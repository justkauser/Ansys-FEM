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H403" i="43"/>
  <c r="C403" i="43"/>
  <c r="E403" i="43"/>
  <c r="G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E405" i="43" l="1"/>
  <c r="E408" i="43"/>
  <c r="E413" i="43"/>
  <c r="E415" i="43"/>
  <c r="E424" i="43"/>
  <c r="E433" i="43"/>
  <c r="E406" i="43"/>
  <c r="E417" i="43"/>
  <c r="E419" i="43"/>
  <c r="E430" i="43"/>
  <c r="E411" i="43"/>
  <c r="E416" i="43"/>
  <c r="E423" i="43"/>
  <c r="E404" i="43"/>
  <c r="E425" i="43"/>
  <c r="E429" i="43"/>
  <c r="E420" i="43"/>
  <c r="E426" i="43"/>
  <c r="E434" i="43"/>
  <c r="E418" i="43"/>
  <c r="E427" i="43"/>
  <c r="E410" i="43"/>
  <c r="E422" i="43"/>
  <c r="E431" i="43"/>
  <c r="E421" i="43"/>
  <c r="E409" i="43"/>
  <c r="E432" i="43"/>
  <c r="E412" i="43"/>
  <c r="E407" i="43"/>
  <c r="E428" i="43"/>
  <c r="E414" i="43"/>
  <c r="G410" i="43"/>
  <c r="G413" i="43"/>
  <c r="G431" i="43"/>
  <c r="G416" i="43"/>
  <c r="G434" i="43"/>
  <c r="G428" i="43"/>
  <c r="G429" i="43"/>
  <c r="G411" i="43"/>
  <c r="G427" i="43"/>
  <c r="G409" i="43"/>
  <c r="G426" i="43"/>
  <c r="G408" i="43"/>
  <c r="G424" i="43"/>
  <c r="G422" i="43"/>
  <c r="G407" i="43"/>
  <c r="G420" i="43"/>
  <c r="G418" i="43"/>
  <c r="G406" i="43"/>
  <c r="G419" i="43"/>
  <c r="G423" i="43"/>
  <c r="G405" i="43"/>
  <c r="G421" i="43"/>
  <c r="G404" i="43"/>
  <c r="G417" i="43"/>
  <c r="G433" i="43"/>
  <c r="G415" i="43"/>
  <c r="G425" i="43"/>
  <c r="G432" i="43"/>
  <c r="G414" i="43"/>
  <c r="G430" i="43"/>
  <c r="G412" i="43"/>
  <c r="C406" i="43"/>
  <c r="C423" i="43"/>
  <c r="C428" i="43"/>
  <c r="C404" i="43"/>
  <c r="C409" i="43"/>
  <c r="C421" i="43"/>
  <c r="C434" i="43"/>
  <c r="C407" i="43"/>
  <c r="C414" i="43"/>
  <c r="C418" i="43"/>
  <c r="C425" i="43"/>
  <c r="C427" i="43"/>
  <c r="C429" i="43"/>
  <c r="C432" i="43"/>
  <c r="C410" i="43"/>
  <c r="C412" i="43"/>
  <c r="C422" i="43"/>
  <c r="C405" i="43"/>
  <c r="C415" i="43"/>
  <c r="C424" i="43"/>
  <c r="C417" i="43"/>
  <c r="C426" i="43"/>
  <c r="C430" i="43"/>
  <c r="C420" i="43"/>
  <c r="C431" i="43"/>
  <c r="C408" i="43"/>
  <c r="C433" i="43"/>
  <c r="C419" i="43"/>
  <c r="C413" i="43"/>
  <c r="C411" i="43"/>
  <c r="C416" i="43"/>
  <c r="B405" i="43"/>
  <c r="B424" i="43"/>
  <c r="B425" i="43"/>
  <c r="B413" i="43"/>
  <c r="B414" i="43"/>
  <c r="B408" i="43"/>
  <c r="B429" i="43"/>
  <c r="B415" i="43"/>
  <c r="B417" i="43"/>
  <c r="B409" i="43"/>
  <c r="B406" i="43"/>
  <c r="B410" i="43"/>
  <c r="B431" i="43"/>
  <c r="B411" i="43"/>
  <c r="B416" i="43"/>
  <c r="B432" i="43"/>
  <c r="B404" i="43"/>
  <c r="B428" i="43"/>
  <c r="B407" i="43"/>
  <c r="B427" i="43"/>
  <c r="B420" i="43"/>
  <c r="B434" i="43"/>
  <c r="B430" i="43"/>
  <c r="B423" i="43"/>
  <c r="B418" i="43"/>
  <c r="B419" i="43"/>
  <c r="B433" i="43"/>
  <c r="B426" i="43"/>
  <c r="B421" i="43"/>
  <c r="B422" i="43"/>
  <c r="B412" i="43"/>
  <c r="H434" i="43"/>
  <c r="H418" i="43"/>
  <c r="H415" i="43"/>
  <c r="H410" i="43"/>
  <c r="H424" i="43"/>
  <c r="H405" i="43"/>
  <c r="H414" i="43"/>
  <c r="H430" i="43"/>
  <c r="H423" i="43"/>
  <c r="H417" i="43"/>
  <c r="H433" i="43"/>
  <c r="H408" i="43"/>
  <c r="H416" i="43"/>
  <c r="H404" i="43"/>
  <c r="H413" i="43"/>
  <c r="H427" i="43"/>
  <c r="H409" i="43"/>
  <c r="H422" i="43"/>
  <c r="H421" i="43"/>
  <c r="H428" i="43"/>
  <c r="H426" i="43"/>
  <c r="H420" i="43"/>
  <c r="H432" i="43"/>
  <c r="H412" i="43"/>
  <c r="H425" i="43"/>
  <c r="H407" i="43"/>
  <c r="H419" i="43"/>
  <c r="H431" i="43"/>
  <c r="H411" i="43"/>
  <c r="H429" i="43"/>
  <c r="H406" i="43"/>
  <c r="D406" i="43"/>
  <c r="D417" i="43"/>
  <c r="D419" i="43"/>
  <c r="D426" i="43"/>
  <c r="D430" i="43"/>
  <c r="D411" i="43"/>
  <c r="D416" i="43"/>
  <c r="D423" i="43"/>
  <c r="D428" i="43"/>
  <c r="D404" i="43"/>
  <c r="D409" i="43"/>
  <c r="D421" i="43"/>
  <c r="D407" i="43"/>
  <c r="D418" i="43"/>
  <c r="D427" i="43"/>
  <c r="D429" i="43"/>
  <c r="D432" i="43"/>
  <c r="D410" i="43"/>
  <c r="D420" i="43"/>
  <c r="D422" i="43"/>
  <c r="D431" i="43"/>
  <c r="D408" i="43"/>
  <c r="D413" i="43"/>
  <c r="D424" i="43"/>
  <c r="D433" i="43"/>
  <c r="D434" i="43"/>
  <c r="D414" i="43"/>
  <c r="D425" i="43"/>
  <c r="D412" i="43"/>
  <c r="D405" i="43"/>
  <c r="D415" i="43"/>
  <c r="F415" i="43"/>
  <c r="F410" i="43"/>
  <c r="F420" i="43"/>
  <c r="F431" i="43"/>
  <c r="F424" i="43"/>
  <c r="F419" i="43"/>
  <c r="F430" i="43"/>
  <c r="F416" i="43"/>
  <c r="F423" i="43"/>
  <c r="F404" i="43"/>
  <c r="F434" i="43"/>
  <c r="F427" i="43"/>
  <c r="F421" i="43"/>
  <c r="F425" i="43"/>
  <c r="F426" i="43"/>
  <c r="F412" i="43"/>
  <c r="F411" i="43"/>
  <c r="F417" i="43"/>
  <c r="F414" i="43"/>
  <c r="F422" i="43"/>
  <c r="F405" i="43"/>
  <c r="F432" i="43"/>
  <c r="F418"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AA49" i="43" l="1"/>
  <c r="AA50" i="43" s="1"/>
  <c r="P398" i="43"/>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<sst xmlns="http://schemas.openxmlformats.org/spreadsheetml/2006/main" count="311" uniqueCount="164">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</sst>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7602240"/>
        <c:axId val="4476030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2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3024"/>
        <c:crossesAt val="-8.0000000000000019E-3"/>
        <c:crossBetween val="midCat"/>
      </c:valAx>
      <c:valAx>
        <c:axId val="447603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2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7603416"/>
        <c:axId val="4476042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3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4200"/>
        <c:crosses val="autoZero"/>
        <c:crossBetween val="midCat"/>
      </c:valAx>
      <c:valAx>
        <c:axId val="4476042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3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7606552"/>
        <c:axId val="4476002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7606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0280"/>
        <c:crosses val="autoZero"/>
        <c:crossBetween val="midCat"/>
        <c:majorUnit val="10000"/>
      </c:valAx>
      <c:valAx>
        <c:axId val="4476002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65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7601848"/>
        <c:axId val="447604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1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7604984"/>
        <c:crosses val="autoZero"/>
        <c:crossBetween val="midCat"/>
        <c:majorUnit val="10000"/>
      </c:valAx>
      <c:valAx>
        <c:axId val="4476049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760184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7600672"/>
        <c:axId val="4476053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76006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5376"/>
        <c:crosses val="autoZero"/>
        <c:crossBetween val="midCat"/>
        <c:majorUnit val="10000"/>
      </c:valAx>
      <c:valAx>
        <c:axId val="44760537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60067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8.8312450861972557E-3</c:v>
                </c:pt>
                <c:pt idx="1">
                  <c:v>1.1788639375617459E-2</c:v>
                </c:pt>
                <c:pt idx="2">
                  <c:v>3.2058257013810451E-3</c:v>
                </c:pt>
                <c:pt idx="3">
                  <c:v>5.381795151034541E-4</c:v>
                </c:pt>
                <c:pt idx="4">
                  <c:v>7.6497421453505419E-5</c:v>
                </c:pt>
                <c:pt idx="5">
                  <c:v>9.694773241529768E-6</c:v>
                </c:pt>
                <c:pt idx="6">
                  <c:v>2.4760854111982117E-6</c:v>
                </c:pt>
                <c:pt idx="7">
                  <c:v>7.3751248193865173E-7</c:v>
                </c:pt>
                <c:pt idx="8">
                  <c:v>4.4854968091131588E-6</c:v>
                </c:pt>
                <c:pt idx="9">
                  <c:v>9.000399148897091E-6</c:v>
                </c:pt>
                <c:pt idx="10">
                  <c:v>1.7297359683989997E-5</c:v>
                </c:pt>
                <c:pt idx="11">
                  <c:v>2.4944567873565402E-5</c:v>
                </c:pt>
                <c:pt idx="12">
                  <c:v>3.2819440783543656E-5</c:v>
                </c:pt>
                <c:pt idx="13">
                  <c:v>3.945162439637669E-5</c:v>
                </c:pt>
                <c:pt idx="14">
                  <c:v>3.557323817710674E-5</c:v>
                </c:pt>
                <c:pt idx="15">
                  <c:v>2.9576639892562073E-5</c:v>
                </c:pt>
                <c:pt idx="16">
                  <c:v>2.825886910879487E-5</c:v>
                </c:pt>
                <c:pt idx="17">
                  <c:v>2.4711941045256457E-5</c:v>
                </c:pt>
                <c:pt idx="18">
                  <c:v>1.8978485932726841E-5</c:v>
                </c:pt>
                <c:pt idx="19">
                  <c:v>1.1348885188703983E-5</c:v>
                </c:pt>
                <c:pt idx="20">
                  <c:v>7.7518531093893526E-6</c:v>
                </c:pt>
                <c:pt idx="21">
                  <c:v>2.2908089874386333E-5</c:v>
                </c:pt>
                <c:pt idx="22">
                  <c:v>4.4321379224074768E-5</c:v>
                </c:pt>
                <c:pt idx="23">
                  <c:v>9.2083773204609489E-5</c:v>
                </c:pt>
                <c:pt idx="24">
                  <c:v>1.5423850776802675E-4</c:v>
                </c:pt>
                <c:pt idx="25">
                  <c:v>1.9362763557684846E-4</c:v>
                </c:pt>
                <c:pt idx="26">
                  <c:v>1.8384744511320472E-3</c:v>
                </c:pt>
                <c:pt idx="27">
                  <c:v>4.3331337811035693E-3</c:v>
                </c:pt>
                <c:pt idx="28">
                  <c:v>6.2369562553613069E-3</c:v>
                </c:pt>
                <c:pt idx="29">
                  <c:v>4.1541525443973852E-3</c:v>
                </c:pt>
                <c:pt idx="30">
                  <c:v>5.9544281169932815E-4</c:v>
                </c:pt>
              </c:numCache>
            </c:numRef>
          </c:yVal>
          <c:smooth val="1"/>
        </c:ser>
        <c:dLbls>
          <c:showLegendKey val="0"/>
          <c:showVal val="0"/>
          <c:showCatName val="0"/>
          <c:showSerName val="0"/>
          <c:showPercent val="0"/>
          <c:showBubbleSize val="0"/>
        </c:dLbls>
        <c:axId val="208017408"/>
        <c:axId val="449480944"/>
      </c:scatterChart>
      <c:valAx>
        <c:axId val="2080174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0944"/>
        <c:crossesAt val="-1.5000000000000005E-3"/>
        <c:crossBetween val="midCat"/>
      </c:valAx>
      <c:valAx>
        <c:axId val="4494809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801740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9675.0823595965794</c:v>
                </c:pt>
                <c:pt idx="1">
                  <c:v>9568.5208676256534</c:v>
                </c:pt>
                <c:pt idx="2">
                  <c:v>9174.4692625954776</c:v>
                </c:pt>
                <c:pt idx="3">
                  <c:v>8954.9761881338181</c:v>
                </c:pt>
                <c:pt idx="4">
                  <c:v>8674.5884847680518</c:v>
                </c:pt>
                <c:pt idx="5">
                  <c:v>8343.5867034819621</c:v>
                </c:pt>
                <c:pt idx="6">
                  <c:v>7990.4990578106663</c:v>
                </c:pt>
                <c:pt idx="7">
                  <c:v>7680.5733953113477</c:v>
                </c:pt>
                <c:pt idx="8">
                  <c:v>7412.843458770717</c:v>
                </c:pt>
                <c:pt idx="9">
                  <c:v>7140.1344510903255</c:v>
                </c:pt>
                <c:pt idx="10">
                  <c:v>6866.4758409755123</c:v>
                </c:pt>
                <c:pt idx="11">
                  <c:v>6590.616587621188</c:v>
                </c:pt>
                <c:pt idx="12">
                  <c:v>6299.1551361645879</c:v>
                </c:pt>
                <c:pt idx="13">
                  <c:v>5945.4475432727131</c:v>
                </c:pt>
                <c:pt idx="14">
                  <c:v>5548.6398635808882</c:v>
                </c:pt>
                <c:pt idx="15">
                  <c:v>4973.7484920646039</c:v>
                </c:pt>
                <c:pt idx="16">
                  <c:v>4041.8006197502077</c:v>
                </c:pt>
                <c:pt idx="17">
                  <c:v>2997.6563026182757</c:v>
                </c:pt>
                <c:pt idx="18">
                  <c:v>2118.9798561857287</c:v>
                </c:pt>
                <c:pt idx="19">
                  <c:v>1431.8888635526487</c:v>
                </c:pt>
                <c:pt idx="20">
                  <c:v>967.84597567616254</c:v>
                </c:pt>
                <c:pt idx="21">
                  <c:v>675.62150681885271</c:v>
                </c:pt>
                <c:pt idx="22">
                  <c:v>531.69455838433282</c:v>
                </c:pt>
                <c:pt idx="23">
                  <c:v>453.87797288707947</c:v>
                </c:pt>
                <c:pt idx="24">
                  <c:v>417.91949974904196</c:v>
                </c:pt>
                <c:pt idx="25">
                  <c:v>391.84032062547061</c:v>
                </c:pt>
                <c:pt idx="26">
                  <c:v>379.72377934446791</c:v>
                </c:pt>
                <c:pt idx="27">
                  <c:v>366.00073875029324</c:v>
                </c:pt>
                <c:pt idx="28">
                  <c:v>350.33173416095406</c:v>
                </c:pt>
                <c:pt idx="29">
                  <c:v>345.37357481170471</c:v>
                </c:pt>
                <c:pt idx="30">
                  <c:v>343.94980490705666</c:v>
                </c:pt>
              </c:numCache>
            </c:numRef>
          </c:yVal>
          <c:smooth val="1"/>
        </c:ser>
        <c:dLbls>
          <c:showLegendKey val="0"/>
          <c:showVal val="0"/>
          <c:showCatName val="0"/>
          <c:showSerName val="0"/>
          <c:showPercent val="0"/>
          <c:showBubbleSize val="0"/>
        </c:dLbls>
        <c:axId val="449478592"/>
        <c:axId val="449474672"/>
      </c:scatterChart>
      <c:valAx>
        <c:axId val="449478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4672"/>
        <c:crosses val="autoZero"/>
        <c:crossBetween val="midCat"/>
      </c:valAx>
      <c:valAx>
        <c:axId val="449474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8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1.8139965050627715E-2</c:v>
                </c:pt>
                <c:pt idx="1">
                  <c:v>1.9702900857366274E-2</c:v>
                </c:pt>
                <c:pt idx="2">
                  <c:v>5.9981649662721889E-2</c:v>
                </c:pt>
                <c:pt idx="3">
                  <c:v>0.12476453688733681</c:v>
                </c:pt>
                <c:pt idx="4">
                  <c:v>0.11064838418360645</c:v>
                </c:pt>
                <c:pt idx="5">
                  <c:v>9.4370467764884794E-2</c:v>
                </c:pt>
                <c:pt idx="6">
                  <c:v>7.6589549870776971E-2</c:v>
                </c:pt>
                <c:pt idx="7">
                  <c:v>5.5958418433850611E-2</c:v>
                </c:pt>
                <c:pt idx="8">
                  <c:v>3.8299141655946431E-2</c:v>
                </c:pt>
                <c:pt idx="9">
                  <c:v>4.8797936601891835E-2</c:v>
                </c:pt>
                <c:pt idx="10">
                  <c:v>4.8549293417210454E-2</c:v>
                </c:pt>
                <c:pt idx="11">
                  <c:v>5.0034638847648236E-2</c:v>
                </c:pt>
                <c:pt idx="12">
                  <c:v>4.9440175424441235E-2</c:v>
                </c:pt>
                <c:pt idx="13">
                  <c:v>4.8899049237283027E-2</c:v>
                </c:pt>
                <c:pt idx="14">
                  <c:v>4.7487828122210203E-2</c:v>
                </c:pt>
                <c:pt idx="15">
                  <c:v>4.8276122884714195E-2</c:v>
                </c:pt>
                <c:pt idx="16">
                  <c:v>4.7106580778868486E-2</c:v>
                </c:pt>
                <c:pt idx="17">
                  <c:v>4.8079227398304766E-2</c:v>
                </c:pt>
                <c:pt idx="18">
                  <c:v>4.619575731180757E-2</c:v>
                </c:pt>
                <c:pt idx="19">
                  <c:v>4.5489436944181408E-2</c:v>
                </c:pt>
                <c:pt idx="20">
                  <c:v>1.6328222549800226E-2</c:v>
                </c:pt>
                <c:pt idx="21">
                  <c:v>8.5038009691982996E-2</c:v>
                </c:pt>
                <c:pt idx="22">
                  <c:v>0.24400823879297806</c:v>
                </c:pt>
                <c:pt idx="23">
                  <c:v>0.30166556856571952</c:v>
                </c:pt>
                <c:pt idx="24">
                  <c:v>0.24035788689750762</c:v>
                </c:pt>
                <c:pt idx="25">
                  <c:v>0.15606378111998129</c:v>
                </c:pt>
                <c:pt idx="26">
                  <c:v>9.1379756063687506E-2</c:v>
                </c:pt>
                <c:pt idx="27">
                  <c:v>5.1405911035862527E-2</c:v>
                </c:pt>
                <c:pt idx="28">
                  <c:v>3.1244187928297838E-2</c:v>
                </c:pt>
                <c:pt idx="29">
                  <c:v>4.2637501116680084E-2</c:v>
                </c:pt>
                <c:pt idx="30">
                  <c:v>2.2293531492563586E-2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9.9737555217946708E-2</c:v>
                </c:pt>
                <c:pt idx="1">
                  <c:v>8.141813972864767E-2</c:v>
                </c:pt>
                <c:pt idx="2">
                  <c:v>6.3968262616541732E-2</c:v>
                </c:pt>
                <c:pt idx="3">
                  <c:v>4.4507136495110018E-2</c:v>
                </c:pt>
                <c:pt idx="4">
                  <c:v>2.7163244591670067E-2</c:v>
                </c:pt>
                <c:pt idx="5">
                  <c:v>3.2065862766324567E-2</c:v>
                </c:pt>
                <c:pt idx="6">
                  <c:v>3.6530158713801379E-2</c:v>
                </c:pt>
                <c:pt idx="7">
                  <c:v>3.602534862838673E-2</c:v>
                </c:pt>
                <c:pt idx="8">
                  <c:v>3.9927241066854635E-2</c:v>
                </c:pt>
                <c:pt idx="9">
                  <c:v>4.1881526826366602E-2</c:v>
                </c:pt>
                <c:pt idx="10">
                  <c:v>4.0523141353636362E-2</c:v>
                </c:pt>
                <c:pt idx="11">
                  <c:v>3.9007608364544422E-2</c:v>
                </c:pt>
                <c:pt idx="12">
                  <c:v>3.9100406574422347E-2</c:v>
                </c:pt>
                <c:pt idx="13">
                  <c:v>4.0833702643392519E-2</c:v>
                </c:pt>
                <c:pt idx="14">
                  <c:v>4.1076303456613963E-2</c:v>
                </c:pt>
                <c:pt idx="15">
                  <c:v>4.3447836604137043E-2</c:v>
                </c:pt>
                <c:pt idx="16">
                  <c:v>4.1257486674281342E-2</c:v>
                </c:pt>
                <c:pt idx="17">
                  <c:v>6.4879171032955858E-3</c:v>
                </c:pt>
                <c:pt idx="18">
                  <c:v>0.10698461325623594</c:v>
                </c:pt>
                <c:pt idx="19">
                  <c:v>0.1722634695299638</c:v>
                </c:pt>
                <c:pt idx="20">
                  <c:v>0.1238599367296587</c:v>
                </c:pt>
                <c:pt idx="21">
                  <c:v>4.0185580605863767E-2</c:v>
                </c:pt>
                <c:pt idx="22">
                  <c:v>4.5227541858198494E-2</c:v>
                </c:pt>
                <c:pt idx="23">
                  <c:v>8.2088333228746521E-2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7.3337822089131519E-2</c:v>
                </c:pt>
                <c:pt idx="1">
                  <c:v>5.1790218206327295E-2</c:v>
                </c:pt>
                <c:pt idx="2">
                  <c:v>3.1088122623257438E-2</c:v>
                </c:pt>
                <c:pt idx="3">
                  <c:v>1.320344454452799E-2</c:v>
                </c:pt>
                <c:pt idx="4">
                  <c:v>2.3973560129270655E-2</c:v>
                </c:pt>
                <c:pt idx="5">
                  <c:v>2.3839153123466711E-2</c:v>
                </c:pt>
                <c:pt idx="6">
                  <c:v>2.6460849710691466E-2</c:v>
                </c:pt>
                <c:pt idx="7">
                  <c:v>2.8170604979935059E-2</c:v>
                </c:pt>
                <c:pt idx="8">
                  <c:v>2.9160387256518375E-2</c:v>
                </c:pt>
                <c:pt idx="9">
                  <c:v>2.7209263922667749E-2</c:v>
                </c:pt>
                <c:pt idx="10">
                  <c:v>2.6959982297017206E-2</c:v>
                </c:pt>
                <c:pt idx="11">
                  <c:v>2.6660348030768364E-2</c:v>
                </c:pt>
                <c:pt idx="12">
                  <c:v>2.8447015506951775E-2</c:v>
                </c:pt>
                <c:pt idx="13">
                  <c:v>2.7880938438595054E-2</c:v>
                </c:pt>
                <c:pt idx="14">
                  <c:v>3.1506722836608152E-2</c:v>
                </c:pt>
                <c:pt idx="15">
                  <c:v>3.0374538419892298E-2</c:v>
                </c:pt>
                <c:pt idx="16">
                  <c:v>1.0697517029886064E-2</c:v>
                </c:pt>
                <c:pt idx="17">
                  <c:v>7.7274440497557717E-2</c:v>
                </c:pt>
                <c:pt idx="18">
                  <c:v>0.13349696074724512</c:v>
                </c:pt>
                <c:pt idx="19">
                  <c:v>9.6149468163600649E-2</c:v>
                </c:pt>
                <c:pt idx="20">
                  <c:v>2.7141225342349039E-2</c:v>
                </c:pt>
                <c:pt idx="21">
                  <c:v>4.0173866627983827E-2</c:v>
                </c:pt>
                <c:pt idx="22">
                  <c:v>7.1185934668619347E-2</c:v>
                </c:pt>
                <c:pt idx="23">
                  <c:v>8.1585661877864854E-2</c:v>
                </c:pt>
                <c:pt idx="24">
                  <c:v>3.0493852819485846E-2</c:v>
                </c:pt>
                <c:pt idx="25">
                  <c:v>2.8912295811773632E-2</c:v>
                </c:pt>
                <c:pt idx="26">
                  <c:v>9.0787862511300214E-3</c:v>
                </c:pt>
                <c:pt idx="27">
                  <c:v>4.6207836475116813E-3</c:v>
                </c:pt>
                <c:pt idx="28">
                  <c:v>1.1850302629467445E-2</c:v>
                </c:pt>
                <c:pt idx="29">
                  <c:v>6.1051239998515918E-3</c:v>
                </c:pt>
                <c:pt idx="30">
                  <c:v>1.1593651340818269E-2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1.1045290771918983E-2</c:v>
                </c:pt>
                <c:pt idx="1">
                  <c:v>2.3430500480342127E-2</c:v>
                </c:pt>
                <c:pt idx="2">
                  <c:v>2.6698382555090619E-2</c:v>
                </c:pt>
                <c:pt idx="3">
                  <c:v>2.9232423102092075E-2</c:v>
                </c:pt>
                <c:pt idx="4">
                  <c:v>2.8110061721597669E-2</c:v>
                </c:pt>
                <c:pt idx="5">
                  <c:v>2.4548805618315038E-2</c:v>
                </c:pt>
                <c:pt idx="6">
                  <c:v>2.653540919564892E-2</c:v>
                </c:pt>
                <c:pt idx="7">
                  <c:v>2.5741456357561674E-2</c:v>
                </c:pt>
                <c:pt idx="8">
                  <c:v>2.8025391887347217E-2</c:v>
                </c:pt>
                <c:pt idx="9">
                  <c:v>2.6709560139274807E-2</c:v>
                </c:pt>
                <c:pt idx="10">
                  <c:v>3.4448120957256433E-2</c:v>
                </c:pt>
                <c:pt idx="11">
                  <c:v>3.4233614937337474E-2</c:v>
                </c:pt>
                <c:pt idx="12">
                  <c:v>3.9849259962045969E-2</c:v>
                </c:pt>
                <c:pt idx="13">
                  <c:v>1.2446903843629193E-2</c:v>
                </c:pt>
                <c:pt idx="14">
                  <c:v>6.5210126425910925E-2</c:v>
                </c:pt>
                <c:pt idx="15">
                  <c:v>0.1208677808429415</c:v>
                </c:pt>
                <c:pt idx="16">
                  <c:v>9.4628412536227682E-2</c:v>
                </c:pt>
                <c:pt idx="17">
                  <c:v>5.4913919632310446E-2</c:v>
                </c:pt>
                <c:pt idx="18">
                  <c:v>1.0261217578320577E-2</c:v>
                </c:pt>
                <c:pt idx="19">
                  <c:v>1.250808252457976E-2</c:v>
                </c:pt>
                <c:pt idx="20">
                  <c:v>1.7987405220779379E-2</c:v>
                </c:pt>
                <c:pt idx="21">
                  <c:v>2.1804073535666008E-2</c:v>
                </c:pt>
                <c:pt idx="22">
                  <c:v>5.1777572746537102E-3</c:v>
                </c:pt>
                <c:pt idx="23">
                  <c:v>1.068339040082472E-2</c:v>
                </c:pt>
                <c:pt idx="24">
                  <c:v>9.6148372735558555E-4</c:v>
                </c:pt>
                <c:pt idx="25">
                  <c:v>1.6584766147377764E-2</c:v>
                </c:pt>
                <c:pt idx="26">
                  <c:v>4.4943316846809602E-3</c:v>
                </c:pt>
                <c:pt idx="27">
                  <c:v>1.0791886457151199E-3</c:v>
                </c:pt>
                <c:pt idx="28">
                  <c:v>5.6254138992201342E-3</c:v>
                </c:pt>
                <c:pt idx="29">
                  <c:v>2.9834282251027931E-2</c:v>
                </c:pt>
                <c:pt idx="30">
                  <c:v>3.9524861184622929E-2</c:v>
                </c:pt>
              </c:numCache>
            </c:numRef>
          </c:yVal>
          <c:smooth val="1"/>
        </c:ser>
        <c:dLbls>
          <c:showLegendKey val="0"/>
          <c:showVal val="0"/>
          <c:showCatName val="0"/>
          <c:showSerName val="0"/>
          <c:showPercent val="0"/>
          <c:showBubbleSize val="0"/>
        </c:dLbls>
        <c:axId val="449481728"/>
        <c:axId val="449475848"/>
      </c:scatterChart>
      <c:valAx>
        <c:axId val="449481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5848"/>
        <c:crossesAt val="1.0000000000000005E-9"/>
        <c:crossBetween val="midCat"/>
      </c:valAx>
      <c:valAx>
        <c:axId val="449475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17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-16.55297231699258</c:v>
                </c:pt>
                <c:pt idx="1">
                  <c:v>-12.671216990221245</c:v>
                </c:pt>
                <c:pt idx="2">
                  <c:v>-9.9653689540248553</c:v>
                </c:pt>
                <c:pt idx="3">
                  <c:v>-7.6847085672859414</c:v>
                </c:pt>
                <c:pt idx="4">
                  <c:v>-5.1032897833215509</c:v>
                </c:pt>
                <c:pt idx="5">
                  <c:v>0</c:v>
                </c:pt>
                <c:pt idx="6">
                  <c:v>4.8872488848841122</c:v>
                </c:pt>
              </c:numCache>
            </c:numRef>
          </c:yVal>
          <c:smooth val="0"/>
        </c:ser>
        <c:dLbls>
          <c:showLegendKey val="0"/>
          <c:showVal val="0"/>
          <c:showCatName val="0"/>
          <c:showSerName val="0"/>
          <c:showPercent val="0"/>
          <c:showBubbleSize val="0"/>
        </c:dLbls>
        <c:axId val="449476632"/>
        <c:axId val="449475456"/>
      </c:scatterChart>
      <c:valAx>
        <c:axId val="449476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5456"/>
        <c:crossesAt val="-100"/>
        <c:crossBetween val="midCat"/>
      </c:valAx>
      <c:valAx>
        <c:axId val="44947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663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9477024"/>
        <c:axId val="449477808"/>
      </c:scatterChart>
      <c:valAx>
        <c:axId val="44947702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7808"/>
        <c:crosses val="autoZero"/>
        <c:crossBetween val="midCat"/>
      </c:valAx>
      <c:valAx>
        <c:axId val="44947780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702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6.4734450171936876E-23</c:v>
                </c:pt>
                <c:pt idx="1">
                  <c:v>6.4734450171936871E-22</c:v>
                </c:pt>
                <c:pt idx="2">
                  <c:v>6.4734450171936871E-21</c:v>
                </c:pt>
                <c:pt idx="3">
                  <c:v>6.4734450171936867E-20</c:v>
                </c:pt>
                <c:pt idx="4">
                  <c:v>6.4734450171936862E-19</c:v>
                </c:pt>
                <c:pt idx="5">
                  <c:v>6.4734450171936873E-18</c:v>
                </c:pt>
                <c:pt idx="6">
                  <c:v>6.4734450171936875E-17</c:v>
                </c:pt>
                <c:pt idx="7">
                  <c:v>6.4734450171936875E-16</c:v>
                </c:pt>
                <c:pt idx="8">
                  <c:v>6.4734450171936869E-15</c:v>
                </c:pt>
                <c:pt idx="9">
                  <c:v>6.4734450171936866E-14</c:v>
                </c:pt>
                <c:pt idx="10">
                  <c:v>6.4734450171936873E-13</c:v>
                </c:pt>
                <c:pt idx="11">
                  <c:v>6.4734450171936869E-12</c:v>
                </c:pt>
                <c:pt idx="12">
                  <c:v>6.4734450171936873E-11</c:v>
                </c:pt>
                <c:pt idx="13">
                  <c:v>6.4734450171936867E-10</c:v>
                </c:pt>
                <c:pt idx="14">
                  <c:v>6.4734450171936876E-9</c:v>
                </c:pt>
                <c:pt idx="15">
                  <c:v>6.4734450171936869E-8</c:v>
                </c:pt>
                <c:pt idx="16">
                  <c:v>6.4734450171936866E-7</c:v>
                </c:pt>
                <c:pt idx="17">
                  <c:v>6.4734450171936866E-6</c:v>
                </c:pt>
                <c:pt idx="18">
                  <c:v>6.4734450171936872E-5</c:v>
                </c:pt>
                <c:pt idx="19">
                  <c:v>6.4734450171936874E-4</c:v>
                </c:pt>
                <c:pt idx="20">
                  <c:v>6.473445017193687E-3</c:v>
                </c:pt>
                <c:pt idx="21">
                  <c:v>6.4734450171936866E-2</c:v>
                </c:pt>
                <c:pt idx="22">
                  <c:v>0.64734450171936864</c:v>
                </c:pt>
                <c:pt idx="23">
                  <c:v>6.4734450171936873</c:v>
                </c:pt>
                <c:pt idx="24">
                  <c:v>64.734450171936871</c:v>
                </c:pt>
                <c:pt idx="25">
                  <c:v>647.34450171936874</c:v>
                </c:pt>
                <c:pt idx="26">
                  <c:v>6473.4450171936869</c:v>
                </c:pt>
                <c:pt idx="27">
                  <c:v>64734.450171936871</c:v>
                </c:pt>
                <c:pt idx="28">
                  <c:v>647344.50171936874</c:v>
                </c:pt>
                <c:pt idx="29">
                  <c:v>6473445.0171936871</c:v>
                </c:pt>
                <c:pt idx="30">
                  <c:v>64734450.17193687</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3.1402222188266824E-21</c:v>
                </c:pt>
                <c:pt idx="1">
                  <c:v>3.140222218826682E-20</c:v>
                </c:pt>
                <c:pt idx="2">
                  <c:v>3.1402222188266821E-19</c:v>
                </c:pt>
                <c:pt idx="3">
                  <c:v>3.1402222188266818E-18</c:v>
                </c:pt>
                <c:pt idx="4">
                  <c:v>3.1402222188266819E-17</c:v>
                </c:pt>
                <c:pt idx="5">
                  <c:v>3.1402222188266824E-16</c:v>
                </c:pt>
                <c:pt idx="6">
                  <c:v>3.1402222188266822E-15</c:v>
                </c:pt>
                <c:pt idx="7">
                  <c:v>3.1402222188266819E-14</c:v>
                </c:pt>
                <c:pt idx="8">
                  <c:v>3.1402222188266821E-13</c:v>
                </c:pt>
                <c:pt idx="9">
                  <c:v>3.1402222188266818E-12</c:v>
                </c:pt>
                <c:pt idx="10">
                  <c:v>3.1402222188266824E-11</c:v>
                </c:pt>
                <c:pt idx="11">
                  <c:v>3.1402222188266823E-10</c:v>
                </c:pt>
                <c:pt idx="12">
                  <c:v>3.140222218826682E-9</c:v>
                </c:pt>
                <c:pt idx="13">
                  <c:v>3.140222218826682E-8</c:v>
                </c:pt>
                <c:pt idx="14">
                  <c:v>3.1402222188266822E-7</c:v>
                </c:pt>
                <c:pt idx="15">
                  <c:v>3.1402222188266821E-6</c:v>
                </c:pt>
                <c:pt idx="16">
                  <c:v>3.1402222188266817E-5</c:v>
                </c:pt>
                <c:pt idx="17">
                  <c:v>3.1402222188266823E-4</c:v>
                </c:pt>
                <c:pt idx="18">
                  <c:v>3.1402222188266818E-3</c:v>
                </c:pt>
                <c:pt idx="19">
                  <c:v>3.1402222188266819E-2</c:v>
                </c:pt>
                <c:pt idx="20">
                  <c:v>0.31402222188266821</c:v>
                </c:pt>
                <c:pt idx="21">
                  <c:v>3.1402222188266822</c:v>
                </c:pt>
                <c:pt idx="22">
                  <c:v>31.402222188266819</c:v>
                </c:pt>
                <c:pt idx="23">
                  <c:v>314.02222188266819</c:v>
                </c:pt>
                <c:pt idx="24">
                  <c:v>3140.2222188266819</c:v>
                </c:pt>
                <c:pt idx="25">
                  <c:v>31402.22218826682</c:v>
                </c:pt>
                <c:pt idx="26">
                  <c:v>314022.22188266821</c:v>
                </c:pt>
                <c:pt idx="27">
                  <c:v>3140222.2188266818</c:v>
                </c:pt>
                <c:pt idx="28">
                  <c:v>31402222.188266821</c:v>
                </c:pt>
                <c:pt idx="29">
                  <c:v>314022221.8826682</c:v>
                </c:pt>
                <c:pt idx="30">
                  <c:v>3140222218.8266821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4.6999718105625303E-20</c:v>
                </c:pt>
                <c:pt idx="1">
                  <c:v>4.6999718105625299E-19</c:v>
                </c:pt>
                <c:pt idx="2">
                  <c:v>4.6999718105625303E-18</c:v>
                </c:pt>
                <c:pt idx="3">
                  <c:v>4.69997181056253E-17</c:v>
                </c:pt>
                <c:pt idx="4">
                  <c:v>4.6999718105625296E-16</c:v>
                </c:pt>
                <c:pt idx="5">
                  <c:v>4.6999718105625306E-15</c:v>
                </c:pt>
                <c:pt idx="6">
                  <c:v>4.6999718105625303E-14</c:v>
                </c:pt>
                <c:pt idx="7">
                  <c:v>4.6999718105625304E-13</c:v>
                </c:pt>
                <c:pt idx="8">
                  <c:v>4.6999718105625298E-12</c:v>
                </c:pt>
                <c:pt idx="9">
                  <c:v>4.6999718105625301E-11</c:v>
                </c:pt>
                <c:pt idx="10">
                  <c:v>4.6999718105625306E-10</c:v>
                </c:pt>
                <c:pt idx="11">
                  <c:v>4.6999718105625306E-9</c:v>
                </c:pt>
                <c:pt idx="12">
                  <c:v>4.69997181056253E-8</c:v>
                </c:pt>
                <c:pt idx="13">
                  <c:v>4.6999718105625304E-7</c:v>
                </c:pt>
                <c:pt idx="14">
                  <c:v>4.6999718105625306E-6</c:v>
                </c:pt>
                <c:pt idx="15">
                  <c:v>4.6999718105625299E-5</c:v>
                </c:pt>
                <c:pt idx="16">
                  <c:v>4.6999718105625299E-4</c:v>
                </c:pt>
                <c:pt idx="17">
                  <c:v>4.6999718105625301E-3</c:v>
                </c:pt>
                <c:pt idx="18">
                  <c:v>4.6999718105625303E-2</c:v>
                </c:pt>
                <c:pt idx="19">
                  <c:v>0.46999718105625304</c:v>
                </c:pt>
                <c:pt idx="20">
                  <c:v>4.6999718105625305</c:v>
                </c:pt>
                <c:pt idx="21">
                  <c:v>46.999718105625298</c:v>
                </c:pt>
                <c:pt idx="22">
                  <c:v>469.997181056253</c:v>
                </c:pt>
                <c:pt idx="23">
                  <c:v>4699.9718105625298</c:v>
                </c:pt>
                <c:pt idx="24">
                  <c:v>46999.718105625303</c:v>
                </c:pt>
                <c:pt idx="25">
                  <c:v>469997.18105625303</c:v>
                </c:pt>
                <c:pt idx="26">
                  <c:v>4699971.8105625305</c:v>
                </c:pt>
                <c:pt idx="27">
                  <c:v>46999718.105625302</c:v>
                </c:pt>
                <c:pt idx="28">
                  <c:v>469997181.05625302</c:v>
                </c:pt>
                <c:pt idx="29">
                  <c:v>4699971810.5625305</c:v>
                </c:pt>
                <c:pt idx="30">
                  <c:v>46999718105.625305</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4.5980477198974853E-19</c:v>
                </c:pt>
                <c:pt idx="1">
                  <c:v>4.5980477198974845E-18</c:v>
                </c:pt>
                <c:pt idx="2">
                  <c:v>4.5980477198974848E-17</c:v>
                </c:pt>
                <c:pt idx="3">
                  <c:v>4.5980477198974842E-16</c:v>
                </c:pt>
                <c:pt idx="4">
                  <c:v>4.5980477198974846E-15</c:v>
                </c:pt>
                <c:pt idx="5">
                  <c:v>4.5980477198974846E-14</c:v>
                </c:pt>
                <c:pt idx="6">
                  <c:v>4.5980477198974844E-13</c:v>
                </c:pt>
                <c:pt idx="7">
                  <c:v>4.5980477198974844E-12</c:v>
                </c:pt>
                <c:pt idx="8">
                  <c:v>4.5980477198974842E-11</c:v>
                </c:pt>
                <c:pt idx="9">
                  <c:v>4.5980477198974843E-10</c:v>
                </c:pt>
                <c:pt idx="10">
                  <c:v>4.5980477198974851E-9</c:v>
                </c:pt>
                <c:pt idx="11">
                  <c:v>4.5980477198974851E-8</c:v>
                </c:pt>
                <c:pt idx="12">
                  <c:v>4.5980477198974844E-7</c:v>
                </c:pt>
                <c:pt idx="13">
                  <c:v>4.5980477198974846E-6</c:v>
                </c:pt>
                <c:pt idx="14">
                  <c:v>4.5980477198974851E-5</c:v>
                </c:pt>
                <c:pt idx="15">
                  <c:v>4.5980477198974846E-4</c:v>
                </c:pt>
                <c:pt idx="16">
                  <c:v>4.5980477198974846E-3</c:v>
                </c:pt>
                <c:pt idx="17">
                  <c:v>4.5980477198974842E-2</c:v>
                </c:pt>
                <c:pt idx="18">
                  <c:v>0.45980477198974845</c:v>
                </c:pt>
                <c:pt idx="19">
                  <c:v>4.598047719897485</c:v>
                </c:pt>
                <c:pt idx="20">
                  <c:v>45.980477198974846</c:v>
                </c:pt>
                <c:pt idx="21">
                  <c:v>459.80477198974847</c:v>
                </c:pt>
                <c:pt idx="22">
                  <c:v>4598.047719897485</c:v>
                </c:pt>
                <c:pt idx="23">
                  <c:v>45980.477198974848</c:v>
                </c:pt>
                <c:pt idx="24">
                  <c:v>459804.77198974846</c:v>
                </c:pt>
                <c:pt idx="25">
                  <c:v>4598047.7198974844</c:v>
                </c:pt>
                <c:pt idx="26">
                  <c:v>45980477.198974848</c:v>
                </c:pt>
                <c:pt idx="27">
                  <c:v>459804771.98974848</c:v>
                </c:pt>
                <c:pt idx="28">
                  <c:v>4598047719.8974848</c:v>
                </c:pt>
                <c:pt idx="29">
                  <c:v>45980477198.974846</c:v>
                </c:pt>
                <c:pt idx="30">
                  <c:v>459804771989.74847</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6.0767225457512562E-18</c:v>
                </c:pt>
                <c:pt idx="1">
                  <c:v>6.0767225457512559E-17</c:v>
                </c:pt>
                <c:pt idx="2">
                  <c:v>6.0767225457512559E-16</c:v>
                </c:pt>
                <c:pt idx="3">
                  <c:v>6.0767225457512561E-15</c:v>
                </c:pt>
                <c:pt idx="4">
                  <c:v>6.0767225457512558E-14</c:v>
                </c:pt>
                <c:pt idx="5">
                  <c:v>6.0767225457512563E-13</c:v>
                </c:pt>
                <c:pt idx="6">
                  <c:v>6.0767225457512561E-12</c:v>
                </c:pt>
                <c:pt idx="7">
                  <c:v>6.0767225457512558E-11</c:v>
                </c:pt>
                <c:pt idx="8">
                  <c:v>6.0767225457512555E-10</c:v>
                </c:pt>
                <c:pt idx="9">
                  <c:v>6.0767225457512559E-9</c:v>
                </c:pt>
                <c:pt idx="10">
                  <c:v>6.0767225457512564E-8</c:v>
                </c:pt>
                <c:pt idx="11">
                  <c:v>6.0767225457512559E-7</c:v>
                </c:pt>
                <c:pt idx="12">
                  <c:v>6.0767225457512561E-6</c:v>
                </c:pt>
                <c:pt idx="13">
                  <c:v>6.0767225457512559E-5</c:v>
                </c:pt>
                <c:pt idx="14">
                  <c:v>6.0767225457512559E-4</c:v>
                </c:pt>
                <c:pt idx="15">
                  <c:v>6.0767225457512555E-3</c:v>
                </c:pt>
                <c:pt idx="16">
                  <c:v>6.0767225457512557E-2</c:v>
                </c:pt>
                <c:pt idx="17">
                  <c:v>0.60767225457512564</c:v>
                </c:pt>
                <c:pt idx="18">
                  <c:v>6.0767225457512559</c:v>
                </c:pt>
                <c:pt idx="19">
                  <c:v>60.767225457512559</c:v>
                </c:pt>
                <c:pt idx="20">
                  <c:v>607.67225457512563</c:v>
                </c:pt>
                <c:pt idx="21">
                  <c:v>6076.7225457512559</c:v>
                </c:pt>
                <c:pt idx="22">
                  <c:v>60767.225457512563</c:v>
                </c:pt>
                <c:pt idx="23">
                  <c:v>607672.25457512564</c:v>
                </c:pt>
                <c:pt idx="24">
                  <c:v>6076722.5457512559</c:v>
                </c:pt>
                <c:pt idx="25">
                  <c:v>60767225.457512558</c:v>
                </c:pt>
                <c:pt idx="26">
                  <c:v>607672254.57512558</c:v>
                </c:pt>
                <c:pt idx="27">
                  <c:v>6076722545.751256</c:v>
                </c:pt>
                <c:pt idx="28">
                  <c:v>60767225457.512558</c:v>
                </c:pt>
                <c:pt idx="29">
                  <c:v>607672254575.12561</c:v>
                </c:pt>
                <c:pt idx="30">
                  <c:v>6076722545751.2559</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1.3258830614141467E-13</c:v>
                </c:pt>
                <c:pt idx="1">
                  <c:v>1.3258830614141467E-12</c:v>
                </c:pt>
                <c:pt idx="2">
                  <c:v>1.3258830614141468E-11</c:v>
                </c:pt>
                <c:pt idx="3">
                  <c:v>1.3258830614141466E-10</c:v>
                </c:pt>
                <c:pt idx="4">
                  <c:v>1.3258830614141467E-9</c:v>
                </c:pt>
                <c:pt idx="5">
                  <c:v>1.3258830614141467E-8</c:v>
                </c:pt>
                <c:pt idx="6">
                  <c:v>1.3258830614141469E-7</c:v>
                </c:pt>
                <c:pt idx="7">
                  <c:v>1.3258830614141468E-6</c:v>
                </c:pt>
                <c:pt idx="8">
                  <c:v>1.3258830614141467E-5</c:v>
                </c:pt>
                <c:pt idx="9">
                  <c:v>1.3258830614141465E-4</c:v>
                </c:pt>
                <c:pt idx="10">
                  <c:v>1.3258830614141469E-3</c:v>
                </c:pt>
                <c:pt idx="11">
                  <c:v>1.3258830614141468E-2</c:v>
                </c:pt>
                <c:pt idx="12">
                  <c:v>0.13258830614141467</c:v>
                </c:pt>
                <c:pt idx="13">
                  <c:v>1.3258830614141468</c:v>
                </c:pt>
                <c:pt idx="14">
                  <c:v>13.258830614141468</c:v>
                </c:pt>
                <c:pt idx="15">
                  <c:v>132.58830614141468</c:v>
                </c:pt>
                <c:pt idx="16">
                  <c:v>1325.8830614141468</c:v>
                </c:pt>
                <c:pt idx="17">
                  <c:v>13258.830614141467</c:v>
                </c:pt>
                <c:pt idx="18">
                  <c:v>132588.30614141468</c:v>
                </c:pt>
                <c:pt idx="19">
                  <c:v>1325883.0614141468</c:v>
                </c:pt>
                <c:pt idx="20">
                  <c:v>13258830.614141468</c:v>
                </c:pt>
                <c:pt idx="21">
                  <c:v>132588306.14141467</c:v>
                </c:pt>
                <c:pt idx="22">
                  <c:v>1325883061.4141467</c:v>
                </c:pt>
                <c:pt idx="23">
                  <c:v>13258830614.141468</c:v>
                </c:pt>
                <c:pt idx="24">
                  <c:v>132588306141.41467</c:v>
                </c:pt>
                <c:pt idx="25">
                  <c:v>1325883061414.1467</c:v>
                </c:pt>
                <c:pt idx="26">
                  <c:v>13258830614141.467</c:v>
                </c:pt>
                <c:pt idx="27">
                  <c:v>132588306141414.67</c:v>
                </c:pt>
                <c:pt idx="28">
                  <c:v>1325883061414146.7</c:v>
                </c:pt>
                <c:pt idx="29">
                  <c:v>1.3258830614141468E+16</c:v>
                </c:pt>
                <c:pt idx="30">
                  <c:v>1.3258830614141467E+17</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9478200"/>
        <c:axId val="449481336"/>
      </c:scatterChart>
      <c:valAx>
        <c:axId val="4494782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1336"/>
        <c:crosses val="autoZero"/>
        <c:crossBetween val="midCat"/>
      </c:valAx>
      <c:valAx>
        <c:axId val="449481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820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6.4734450171936876E-23</c:v>
                </c:pt>
                <c:pt idx="1">
                  <c:v>6.4734450171936871E-22</c:v>
                </c:pt>
                <c:pt idx="2">
                  <c:v>6.4734450171936871E-21</c:v>
                </c:pt>
                <c:pt idx="3">
                  <c:v>6.4734450171936867E-20</c:v>
                </c:pt>
                <c:pt idx="4">
                  <c:v>6.4734450171936862E-19</c:v>
                </c:pt>
                <c:pt idx="5">
                  <c:v>6.4734450171936873E-18</c:v>
                </c:pt>
                <c:pt idx="6">
                  <c:v>6.4734450171936875E-17</c:v>
                </c:pt>
                <c:pt idx="7">
                  <c:v>6.4734450171936875E-16</c:v>
                </c:pt>
                <c:pt idx="8">
                  <c:v>6.4734450171936869E-15</c:v>
                </c:pt>
                <c:pt idx="9">
                  <c:v>6.4734450171936866E-14</c:v>
                </c:pt>
                <c:pt idx="10">
                  <c:v>6.4734450171936873E-13</c:v>
                </c:pt>
                <c:pt idx="11">
                  <c:v>6.4734450171936869E-12</c:v>
                </c:pt>
                <c:pt idx="12">
                  <c:v>6.4734450171936873E-11</c:v>
                </c:pt>
                <c:pt idx="13">
                  <c:v>6.4734450171936867E-10</c:v>
                </c:pt>
                <c:pt idx="14">
                  <c:v>6.4734450171936876E-9</c:v>
                </c:pt>
                <c:pt idx="15">
                  <c:v>6.4734450171936869E-8</c:v>
                </c:pt>
                <c:pt idx="16">
                  <c:v>6.4734450171936866E-7</c:v>
                </c:pt>
                <c:pt idx="17">
                  <c:v>6.4734450171936866E-6</c:v>
                </c:pt>
                <c:pt idx="18">
                  <c:v>6.4734450171936872E-5</c:v>
                </c:pt>
                <c:pt idx="19">
                  <c:v>6.4734450171936874E-4</c:v>
                </c:pt>
                <c:pt idx="20">
                  <c:v>6.473445017193687E-3</c:v>
                </c:pt>
                <c:pt idx="21">
                  <c:v>6.4734450171936866E-2</c:v>
                </c:pt>
                <c:pt idx="22">
                  <c:v>0.64734450171936864</c:v>
                </c:pt>
                <c:pt idx="23">
                  <c:v>6.4734450171936873</c:v>
                </c:pt>
                <c:pt idx="24">
                  <c:v>64.734450171936871</c:v>
                </c:pt>
                <c:pt idx="25">
                  <c:v>647.34450171936874</c:v>
                </c:pt>
                <c:pt idx="26">
                  <c:v>6473.4450171936869</c:v>
                </c:pt>
                <c:pt idx="27">
                  <c:v>64734.450171936871</c:v>
                </c:pt>
                <c:pt idx="28">
                  <c:v>647344.50171936874</c:v>
                </c:pt>
                <c:pt idx="29">
                  <c:v>6473445.0171936871</c:v>
                </c:pt>
                <c:pt idx="30">
                  <c:v>64734450.17193687</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3.1402222188266824E-21</c:v>
                </c:pt>
                <c:pt idx="1">
                  <c:v>3.140222218826682E-20</c:v>
                </c:pt>
                <c:pt idx="2">
                  <c:v>3.1402222188266821E-19</c:v>
                </c:pt>
                <c:pt idx="3">
                  <c:v>3.1402222188266818E-18</c:v>
                </c:pt>
                <c:pt idx="4">
                  <c:v>3.1402222188266819E-17</c:v>
                </c:pt>
                <c:pt idx="5">
                  <c:v>3.1402222188266824E-16</c:v>
                </c:pt>
                <c:pt idx="6">
                  <c:v>3.1402222188266822E-15</c:v>
                </c:pt>
                <c:pt idx="7">
                  <c:v>3.1402222188266819E-14</c:v>
                </c:pt>
                <c:pt idx="8">
                  <c:v>3.1402222188266821E-13</c:v>
                </c:pt>
                <c:pt idx="9">
                  <c:v>3.1402222188266818E-12</c:v>
                </c:pt>
                <c:pt idx="10">
                  <c:v>3.1402222188266824E-11</c:v>
                </c:pt>
                <c:pt idx="11">
                  <c:v>3.1402222188266823E-10</c:v>
                </c:pt>
                <c:pt idx="12">
                  <c:v>3.140222218826682E-9</c:v>
                </c:pt>
                <c:pt idx="13">
                  <c:v>3.140222218826682E-8</c:v>
                </c:pt>
                <c:pt idx="14">
                  <c:v>3.1402222188266822E-7</c:v>
                </c:pt>
                <c:pt idx="15">
                  <c:v>3.1402222188266821E-6</c:v>
                </c:pt>
                <c:pt idx="16">
                  <c:v>3.1402222188266817E-5</c:v>
                </c:pt>
                <c:pt idx="17">
                  <c:v>3.1402222188266823E-4</c:v>
                </c:pt>
                <c:pt idx="18">
                  <c:v>3.1402222188266818E-3</c:v>
                </c:pt>
                <c:pt idx="19">
                  <c:v>3.1402222188266819E-2</c:v>
                </c:pt>
                <c:pt idx="20">
                  <c:v>0.31402222188266821</c:v>
                </c:pt>
                <c:pt idx="21">
                  <c:v>3.1402222188266822</c:v>
                </c:pt>
                <c:pt idx="22">
                  <c:v>31.402222188266819</c:v>
                </c:pt>
                <c:pt idx="23">
                  <c:v>314.02222188266819</c:v>
                </c:pt>
                <c:pt idx="24">
                  <c:v>3140.2222188266819</c:v>
                </c:pt>
                <c:pt idx="25">
                  <c:v>31402.22218826682</c:v>
                </c:pt>
                <c:pt idx="26">
                  <c:v>314022.22188266821</c:v>
                </c:pt>
                <c:pt idx="27">
                  <c:v>3140222.2188266818</c:v>
                </c:pt>
                <c:pt idx="28">
                  <c:v>31402222.188266821</c:v>
                </c:pt>
                <c:pt idx="29">
                  <c:v>314022221.8826682</c:v>
                </c:pt>
                <c:pt idx="30">
                  <c:v>3140222218.8266821</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4.6999718105625303E-20</c:v>
                </c:pt>
                <c:pt idx="1">
                  <c:v>4.6999718105625299E-19</c:v>
                </c:pt>
                <c:pt idx="2">
                  <c:v>4.6999718105625303E-18</c:v>
                </c:pt>
                <c:pt idx="3">
                  <c:v>4.69997181056253E-17</c:v>
                </c:pt>
                <c:pt idx="4">
                  <c:v>4.6999718105625296E-16</c:v>
                </c:pt>
                <c:pt idx="5">
                  <c:v>4.6999718105625306E-15</c:v>
                </c:pt>
                <c:pt idx="6">
                  <c:v>4.6999718105625303E-14</c:v>
                </c:pt>
                <c:pt idx="7">
                  <c:v>4.6999718105625304E-13</c:v>
                </c:pt>
                <c:pt idx="8">
                  <c:v>4.6999718105625298E-12</c:v>
                </c:pt>
                <c:pt idx="9">
                  <c:v>4.6999718105625301E-11</c:v>
                </c:pt>
                <c:pt idx="10">
                  <c:v>4.6999718105625306E-10</c:v>
                </c:pt>
                <c:pt idx="11">
                  <c:v>4.6999718105625306E-9</c:v>
                </c:pt>
                <c:pt idx="12">
                  <c:v>4.69997181056253E-8</c:v>
                </c:pt>
                <c:pt idx="13">
                  <c:v>4.6999718105625304E-7</c:v>
                </c:pt>
                <c:pt idx="14">
                  <c:v>4.6999718105625306E-6</c:v>
                </c:pt>
                <c:pt idx="15">
                  <c:v>4.6999718105625299E-5</c:v>
                </c:pt>
                <c:pt idx="16">
                  <c:v>4.6999718105625299E-4</c:v>
                </c:pt>
                <c:pt idx="17">
                  <c:v>4.6999718105625301E-3</c:v>
                </c:pt>
                <c:pt idx="18">
                  <c:v>4.6999718105625303E-2</c:v>
                </c:pt>
                <c:pt idx="19">
                  <c:v>0.46999718105625304</c:v>
                </c:pt>
                <c:pt idx="20">
                  <c:v>4.6999718105625305</c:v>
                </c:pt>
                <c:pt idx="21">
                  <c:v>46.999718105625298</c:v>
                </c:pt>
                <c:pt idx="22">
                  <c:v>469.997181056253</c:v>
                </c:pt>
                <c:pt idx="23">
                  <c:v>4699.9718105625298</c:v>
                </c:pt>
                <c:pt idx="24">
                  <c:v>46999.718105625303</c:v>
                </c:pt>
                <c:pt idx="25">
                  <c:v>469997.18105625303</c:v>
                </c:pt>
                <c:pt idx="26">
                  <c:v>4699971.8105625305</c:v>
                </c:pt>
                <c:pt idx="27">
                  <c:v>46999718.105625302</c:v>
                </c:pt>
                <c:pt idx="28">
                  <c:v>469997181.05625302</c:v>
                </c:pt>
                <c:pt idx="29">
                  <c:v>4699971810.5625305</c:v>
                </c:pt>
                <c:pt idx="30">
                  <c:v>46999718105.625305</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4.5980477198974853E-19</c:v>
                </c:pt>
                <c:pt idx="1">
                  <c:v>4.5980477198974845E-18</c:v>
                </c:pt>
                <c:pt idx="2">
                  <c:v>4.5980477198974848E-17</c:v>
                </c:pt>
                <c:pt idx="3">
                  <c:v>4.5980477198974842E-16</c:v>
                </c:pt>
                <c:pt idx="4">
                  <c:v>4.5980477198974846E-15</c:v>
                </c:pt>
                <c:pt idx="5">
                  <c:v>4.5980477198974846E-14</c:v>
                </c:pt>
                <c:pt idx="6">
                  <c:v>4.5980477198974844E-13</c:v>
                </c:pt>
                <c:pt idx="7">
                  <c:v>4.5980477198974844E-12</c:v>
                </c:pt>
                <c:pt idx="8">
                  <c:v>4.5980477198974842E-11</c:v>
                </c:pt>
                <c:pt idx="9">
                  <c:v>4.5980477198974843E-10</c:v>
                </c:pt>
                <c:pt idx="10">
                  <c:v>4.5980477198974851E-9</c:v>
                </c:pt>
                <c:pt idx="11">
                  <c:v>4.5980477198974851E-8</c:v>
                </c:pt>
                <c:pt idx="12">
                  <c:v>4.5980477198974844E-7</c:v>
                </c:pt>
                <c:pt idx="13">
                  <c:v>4.5980477198974846E-6</c:v>
                </c:pt>
                <c:pt idx="14">
                  <c:v>4.5980477198974851E-5</c:v>
                </c:pt>
                <c:pt idx="15">
                  <c:v>4.5980477198974846E-4</c:v>
                </c:pt>
                <c:pt idx="16">
                  <c:v>4.5980477198974846E-3</c:v>
                </c:pt>
                <c:pt idx="17">
                  <c:v>4.5980477198974842E-2</c:v>
                </c:pt>
                <c:pt idx="18">
                  <c:v>0.45980477198974845</c:v>
                </c:pt>
                <c:pt idx="19">
                  <c:v>4.598047719897485</c:v>
                </c:pt>
                <c:pt idx="20">
                  <c:v>45.980477198974846</c:v>
                </c:pt>
                <c:pt idx="21">
                  <c:v>459.80477198974847</c:v>
                </c:pt>
                <c:pt idx="22">
                  <c:v>4598.047719897485</c:v>
                </c:pt>
                <c:pt idx="23">
                  <c:v>45980.477198974848</c:v>
                </c:pt>
                <c:pt idx="24">
                  <c:v>459804.77198974846</c:v>
                </c:pt>
                <c:pt idx="25">
                  <c:v>4598047.7198974844</c:v>
                </c:pt>
                <c:pt idx="26">
                  <c:v>45980477.198974848</c:v>
                </c:pt>
                <c:pt idx="27">
                  <c:v>459804771.98974848</c:v>
                </c:pt>
                <c:pt idx="28">
                  <c:v>4598047719.8974848</c:v>
                </c:pt>
                <c:pt idx="29">
                  <c:v>45980477198.974846</c:v>
                </c:pt>
                <c:pt idx="30">
                  <c:v>459804771989.74847</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6.0767225457512562E-18</c:v>
                </c:pt>
                <c:pt idx="1">
                  <c:v>6.0767225457512559E-17</c:v>
                </c:pt>
                <c:pt idx="2">
                  <c:v>6.0767225457512559E-16</c:v>
                </c:pt>
                <c:pt idx="3">
                  <c:v>6.0767225457512561E-15</c:v>
                </c:pt>
                <c:pt idx="4">
                  <c:v>6.0767225457512558E-14</c:v>
                </c:pt>
                <c:pt idx="5">
                  <c:v>6.0767225457512563E-13</c:v>
                </c:pt>
                <c:pt idx="6">
                  <c:v>6.0767225457512561E-12</c:v>
                </c:pt>
                <c:pt idx="7">
                  <c:v>6.0767225457512558E-11</c:v>
                </c:pt>
                <c:pt idx="8">
                  <c:v>6.0767225457512555E-10</c:v>
                </c:pt>
                <c:pt idx="9">
                  <c:v>6.0767225457512559E-9</c:v>
                </c:pt>
                <c:pt idx="10">
                  <c:v>6.0767225457512564E-8</c:v>
                </c:pt>
                <c:pt idx="11">
                  <c:v>6.0767225457512559E-7</c:v>
                </c:pt>
                <c:pt idx="12">
                  <c:v>6.0767225457512561E-6</c:v>
                </c:pt>
                <c:pt idx="13">
                  <c:v>6.0767225457512559E-5</c:v>
                </c:pt>
                <c:pt idx="14">
                  <c:v>6.0767225457512559E-4</c:v>
                </c:pt>
                <c:pt idx="15">
                  <c:v>6.0767225457512555E-3</c:v>
                </c:pt>
                <c:pt idx="16">
                  <c:v>6.0767225457512557E-2</c:v>
                </c:pt>
                <c:pt idx="17">
                  <c:v>0.60767225457512564</c:v>
                </c:pt>
                <c:pt idx="18">
                  <c:v>6.0767225457512559</c:v>
                </c:pt>
                <c:pt idx="19">
                  <c:v>60.767225457512559</c:v>
                </c:pt>
                <c:pt idx="20">
                  <c:v>607.67225457512563</c:v>
                </c:pt>
                <c:pt idx="21">
                  <c:v>6076.7225457512559</c:v>
                </c:pt>
                <c:pt idx="22">
                  <c:v>60767.225457512563</c:v>
                </c:pt>
                <c:pt idx="23">
                  <c:v>607672.25457512564</c:v>
                </c:pt>
                <c:pt idx="24">
                  <c:v>6076722.5457512559</c:v>
                </c:pt>
                <c:pt idx="25">
                  <c:v>60767225.457512558</c:v>
                </c:pt>
                <c:pt idx="26">
                  <c:v>607672254.57512558</c:v>
                </c:pt>
                <c:pt idx="27">
                  <c:v>6076722545.751256</c:v>
                </c:pt>
                <c:pt idx="28">
                  <c:v>60767225457.512558</c:v>
                </c:pt>
                <c:pt idx="29">
                  <c:v>607672254575.12561</c:v>
                </c:pt>
                <c:pt idx="30">
                  <c:v>6076722545751.2559</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1.3258830614141467E-13</c:v>
                </c:pt>
                <c:pt idx="1">
                  <c:v>1.3258830614141467E-12</c:v>
                </c:pt>
                <c:pt idx="2">
                  <c:v>1.3258830614141468E-11</c:v>
                </c:pt>
                <c:pt idx="3">
                  <c:v>1.3258830614141466E-10</c:v>
                </c:pt>
                <c:pt idx="4">
                  <c:v>1.3258830614141467E-9</c:v>
                </c:pt>
                <c:pt idx="5">
                  <c:v>1.3258830614141467E-8</c:v>
                </c:pt>
                <c:pt idx="6">
                  <c:v>1.3258830614141469E-7</c:v>
                </c:pt>
                <c:pt idx="7">
                  <c:v>1.3258830614141468E-6</c:v>
                </c:pt>
                <c:pt idx="8">
                  <c:v>1.3258830614141467E-5</c:v>
                </c:pt>
                <c:pt idx="9">
                  <c:v>1.3258830614141465E-4</c:v>
                </c:pt>
                <c:pt idx="10">
                  <c:v>1.3258830614141469E-3</c:v>
                </c:pt>
                <c:pt idx="11">
                  <c:v>1.3258830614141468E-2</c:v>
                </c:pt>
                <c:pt idx="12">
                  <c:v>0.13258830614141467</c:v>
                </c:pt>
                <c:pt idx="13">
                  <c:v>1.3258830614141468</c:v>
                </c:pt>
                <c:pt idx="14">
                  <c:v>13.258830614141468</c:v>
                </c:pt>
                <c:pt idx="15">
                  <c:v>132.58830614141468</c:v>
                </c:pt>
                <c:pt idx="16">
                  <c:v>1325.8830614141468</c:v>
                </c:pt>
                <c:pt idx="17">
                  <c:v>13258.830614141467</c:v>
                </c:pt>
                <c:pt idx="18">
                  <c:v>132588.30614141468</c:v>
                </c:pt>
                <c:pt idx="19">
                  <c:v>1325883.0614141468</c:v>
                </c:pt>
                <c:pt idx="20">
                  <c:v>13258830.614141468</c:v>
                </c:pt>
                <c:pt idx="21">
                  <c:v>132588306.14141467</c:v>
                </c:pt>
                <c:pt idx="22">
                  <c:v>1325883061.4141467</c:v>
                </c:pt>
                <c:pt idx="23">
                  <c:v>13258830614.141468</c:v>
                </c:pt>
                <c:pt idx="24">
                  <c:v>132588306141.41467</c:v>
                </c:pt>
                <c:pt idx="25">
                  <c:v>1325883061414.1467</c:v>
                </c:pt>
                <c:pt idx="26">
                  <c:v>13258830614141.467</c:v>
                </c:pt>
                <c:pt idx="27">
                  <c:v>132588306141414.67</c:v>
                </c:pt>
                <c:pt idx="28">
                  <c:v>1325883061414146.7</c:v>
                </c:pt>
                <c:pt idx="29">
                  <c:v>1.3258830614141468E+16</c:v>
                </c:pt>
                <c:pt idx="30">
                  <c:v>1.3258830614141467E+17</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9479768"/>
        <c:axId val="449480160"/>
      </c:scatterChart>
      <c:valAx>
        <c:axId val="44947976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80160"/>
        <c:crosses val="autoZero"/>
        <c:crossBetween val="midCat"/>
      </c:valAx>
      <c:valAx>
        <c:axId val="44948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947976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-16.55297231699258</c:v>
                </c:pt>
                <c:pt idx="1">
                  <c:v>-16.483528857489173</c:v>
                </c:pt>
                <c:pt idx="2">
                  <c:v>-16.413981831668064</c:v>
                </c:pt>
                <c:pt idx="3">
                  <c:v>-16.344227673211567</c:v>
                </c:pt>
                <c:pt idx="4">
                  <c:v>-16.274162815801983</c:v>
                </c:pt>
                <c:pt idx="5">
                  <c:v>-16.203683693121619</c:v>
                </c:pt>
                <c:pt idx="6">
                  <c:v>-16.132686738852772</c:v>
                </c:pt>
                <c:pt idx="7">
                  <c:v>-16.061068386677757</c:v>
                </c:pt>
                <c:pt idx="8">
                  <c:v>-15.988725070278868</c:v>
                </c:pt>
                <c:pt idx="9">
                  <c:v>-15.915553223338417</c:v>
                </c:pt>
                <c:pt idx="10">
                  <c:v>-15.841449279538706</c:v>
                </c:pt>
                <c:pt idx="11">
                  <c:v>-15.766309672562038</c:v>
                </c:pt>
                <c:pt idx="12">
                  <c:v>-15.690030836090719</c:v>
                </c:pt>
                <c:pt idx="13">
                  <c:v>-15.612509203807054</c:v>
                </c:pt>
                <c:pt idx="14">
                  <c:v>-15.533641209393345</c:v>
                </c:pt>
                <c:pt idx="15">
                  <c:v>-15.4533232865319</c:v>
                </c:pt>
                <c:pt idx="16">
                  <c:v>-15.371451868905018</c:v>
                </c:pt>
                <c:pt idx="17">
                  <c:v>-15.287923390195008</c:v>
                </c:pt>
                <c:pt idx="18">
                  <c:v>-15.202634284084173</c:v>
                </c:pt>
                <c:pt idx="19">
                  <c:v>-15.11548098425482</c:v>
                </c:pt>
                <c:pt idx="20">
                  <c:v>-15.026359924389247</c:v>
                </c:pt>
                <c:pt idx="21">
                  <c:v>-14.935167538169765</c:v>
                </c:pt>
                <c:pt idx="22">
                  <c:v>-14.841800259278674</c:v>
                </c:pt>
                <c:pt idx="23">
                  <c:v>-14.746154521398282</c:v>
                </c:pt>
                <c:pt idx="24">
                  <c:v>-14.648126758210889</c:v>
                </c:pt>
                <c:pt idx="25">
                  <c:v>-14.547613403398806</c:v>
                </c:pt>
                <c:pt idx="26">
                  <c:v>-14.444510890644331</c:v>
                </c:pt>
                <c:pt idx="27">
                  <c:v>-14.33871565362977</c:v>
                </c:pt>
                <c:pt idx="28">
                  <c:v>-14.230124126037428</c:v>
                </c:pt>
                <c:pt idx="29">
                  <c:v>-14.118632741549611</c:v>
                </c:pt>
                <c:pt idx="30">
                  <c:v>-14.004137933848622</c:v>
                </c:pt>
                <c:pt idx="31">
                  <c:v>-13.886536136616765</c:v>
                </c:pt>
                <c:pt idx="32">
                  <c:v>-13.765723783536345</c:v>
                </c:pt>
                <c:pt idx="33">
                  <c:v>-13.641597308289667</c:v>
                </c:pt>
                <c:pt idx="34">
                  <c:v>-13.514053144559034</c:v>
                </c:pt>
                <c:pt idx="35">
                  <c:v>-13.382987726026752</c:v>
                </c:pt>
                <c:pt idx="36">
                  <c:v>-13.248297486375124</c:v>
                </c:pt>
                <c:pt idx="37">
                  <c:v>-13.109878859286454</c:v>
                </c:pt>
                <c:pt idx="38">
                  <c:v>-12.967628278443048</c:v>
                </c:pt>
                <c:pt idx="39">
                  <c:v>-12.82144217752721</c:v>
                </c:pt>
                <c:pt idx="40">
                  <c:v>-12.671216990221247</c:v>
                </c:pt>
                <c:pt idx="41">
                  <c:v>-12.586970736621119</c:v>
                </c:pt>
                <c:pt idx="42">
                  <c:v>-12.498829178050153</c:v>
                </c:pt>
                <c:pt idx="43">
                  <c:v>-12.407039662245328</c:v>
                </c:pt>
                <c:pt idx="44">
                  <c:v>-12.311849536943626</c:v>
                </c:pt>
                <c:pt idx="45">
                  <c:v>-12.213506149882029</c:v>
                </c:pt>
                <c:pt idx="46">
                  <c:v>-12.11225684879752</c:v>
                </c:pt>
                <c:pt idx="47">
                  <c:v>-12.008348981427082</c:v>
                </c:pt>
                <c:pt idx="48">
                  <c:v>-11.902029895507692</c:v>
                </c:pt>
                <c:pt idx="49">
                  <c:v>-11.793546938776341</c:v>
                </c:pt>
                <c:pt idx="50">
                  <c:v>-11.683147458970005</c:v>
                </c:pt>
                <c:pt idx="51">
                  <c:v>-11.571078803825667</c:v>
                </c:pt>
                <c:pt idx="52">
                  <c:v>-11.457588321080312</c:v>
                </c:pt>
                <c:pt idx="53">
                  <c:v>-11.342923358470918</c:v>
                </c:pt>
                <c:pt idx="54">
                  <c:v>-11.22733126373447</c:v>
                </c:pt>
                <c:pt idx="55">
                  <c:v>-11.111059384607952</c:v>
                </c:pt>
                <c:pt idx="56">
                  <c:v>-10.994355068828341</c:v>
                </c:pt>
                <c:pt idx="57">
                  <c:v>-10.877465664132622</c:v>
                </c:pt>
                <c:pt idx="58">
                  <c:v>-10.760638518257778</c:v>
                </c:pt>
                <c:pt idx="59">
                  <c:v>-10.644120978940791</c:v>
                </c:pt>
                <c:pt idx="60">
                  <c:v>-10.528160393918643</c:v>
                </c:pt>
                <c:pt idx="61">
                  <c:v>-10.413004110928313</c:v>
                </c:pt>
                <c:pt idx="62">
                  <c:v>-10.298899477706788</c:v>
                </c:pt>
                <c:pt idx="63">
                  <c:v>-10.186093841991051</c:v>
                </c:pt>
                <c:pt idx="64">
                  <c:v>-10.074834551518077</c:v>
                </c:pt>
                <c:pt idx="65">
                  <c:v>-9.9653689540248553</c:v>
                </c:pt>
                <c:pt idx="66">
                  <c:v>-9.8578899676292604</c:v>
                </c:pt>
                <c:pt idx="67">
                  <c:v>-9.7523727919727587</c:v>
                </c:pt>
                <c:pt idx="68">
                  <c:v>-9.6487381970777015</c:v>
                </c:pt>
                <c:pt idx="69">
                  <c:v>-9.5469069529664505</c:v>
                </c:pt>
                <c:pt idx="70">
                  <c:v>-9.4467998296613676</c:v>
                </c:pt>
                <c:pt idx="71">
                  <c:v>-9.3483375971848073</c:v>
                </c:pt>
                <c:pt idx="72">
                  <c:v>-9.251441025559128</c:v>
                </c:pt>
                <c:pt idx="73">
                  <c:v>-9.156030884806686</c:v>
                </c:pt>
                <c:pt idx="74">
                  <c:v>-9.0620279449498433</c:v>
                </c:pt>
                <c:pt idx="75">
                  <c:v>-8.9693529760109563</c:v>
                </c:pt>
                <c:pt idx="76">
                  <c:v>-8.8779267480123831</c:v>
                </c:pt>
                <c:pt idx="77">
                  <c:v>-8.7876700309764821</c:v>
                </c:pt>
                <c:pt idx="78">
                  <c:v>-8.6985035949256115</c:v>
                </c:pt>
                <c:pt idx="79">
                  <c:v>-8.6103482098821296</c:v>
                </c:pt>
                <c:pt idx="80">
                  <c:v>-8.5231246458683962</c:v>
                </c:pt>
                <c:pt idx="81">
                  <c:v>-8.436753672906768</c:v>
                </c:pt>
                <c:pt idx="82">
                  <c:v>-8.3511560610196014</c:v>
                </c:pt>
                <c:pt idx="83">
                  <c:v>-8.2662525802292564</c:v>
                </c:pt>
                <c:pt idx="84">
                  <c:v>-8.1819640005580929</c:v>
                </c:pt>
                <c:pt idx="85">
                  <c:v>-8.0982110920284658</c:v>
                </c:pt>
                <c:pt idx="86">
                  <c:v>-8.0149146246627367</c:v>
                </c:pt>
                <c:pt idx="87">
                  <c:v>-7.9319953684832596</c:v>
                </c:pt>
                <c:pt idx="88">
                  <c:v>-7.849374093512397</c:v>
                </c:pt>
                <c:pt idx="89">
                  <c:v>-7.7669715697725046</c:v>
                </c:pt>
                <c:pt idx="90">
                  <c:v>-7.6847085672859414</c:v>
                </c:pt>
                <c:pt idx="91">
                  <c:v>-7.6025138032823598</c:v>
                </c:pt>
                <c:pt idx="92">
                  <c:v>-7.5203477838205872</c:v>
                </c:pt>
                <c:pt idx="93">
                  <c:v>-7.4381789621667469</c:v>
                </c:pt>
                <c:pt idx="94">
                  <c:v>-7.3559757915869595</c:v>
                </c:pt>
                <c:pt idx="95">
                  <c:v>-7.2737067253473491</c:v>
                </c:pt>
                <c:pt idx="96">
                  <c:v>-7.1913402167140354</c:v>
                </c:pt>
                <c:pt idx="97">
                  <c:v>-7.1088447189531419</c:v>
                </c:pt>
                <c:pt idx="98">
                  <c:v>-7.0261886853307924</c:v>
                </c:pt>
                <c:pt idx="99">
                  <c:v>-6.943340569113106</c:v>
                </c:pt>
                <c:pt idx="100">
                  <c:v>-6.8602688235662068</c:v>
                </c:pt>
                <c:pt idx="101">
                  <c:v>-6.7769419019562172</c:v>
                </c:pt>
                <c:pt idx="102">
                  <c:v>-6.6933282575492576</c:v>
                </c:pt>
                <c:pt idx="103">
                  <c:v>-6.6093963436114516</c:v>
                </c:pt>
                <c:pt idx="104">
                  <c:v>-6.5251146134089204</c:v>
                </c:pt>
                <c:pt idx="105">
                  <c:v>-6.4404515202077874</c:v>
                </c:pt>
                <c:pt idx="106">
                  <c:v>-6.3553755172741742</c:v>
                </c:pt>
                <c:pt idx="107">
                  <c:v>-6.2698550578742021</c:v>
                </c:pt>
                <c:pt idx="108">
                  <c:v>-6.1838585952739944</c:v>
                </c:pt>
                <c:pt idx="109">
                  <c:v>-6.0973545827396718</c:v>
                </c:pt>
                <c:pt idx="110">
                  <c:v>-6.0103114735373584</c:v>
                </c:pt>
                <c:pt idx="111">
                  <c:v>-5.9226977209331757</c:v>
                </c:pt>
                <c:pt idx="112">
                  <c:v>-5.8344817781932452</c:v>
                </c:pt>
                <c:pt idx="113">
                  <c:v>-5.7456320985836893</c:v>
                </c:pt>
                <c:pt idx="114">
                  <c:v>-5.6561171353706294</c:v>
                </c:pt>
                <c:pt idx="115">
                  <c:v>-5.5659053418201898</c:v>
                </c:pt>
                <c:pt idx="116">
                  <c:v>-5.474965171198491</c:v>
                </c:pt>
                <c:pt idx="117">
                  <c:v>-5.3832650767716563</c:v>
                </c:pt>
                <c:pt idx="118">
                  <c:v>-5.2907735118058055</c:v>
                </c:pt>
                <c:pt idx="119">
                  <c:v>-5.1974589295670635</c:v>
                </c:pt>
                <c:pt idx="120">
                  <c:v>-5.1032897833215509</c:v>
                </c:pt>
                <c:pt idx="121">
                  <c:v>-5.0082403460976348</c:v>
                </c:pt>
                <c:pt idx="122">
                  <c:v>-4.9123081699726621</c:v>
                </c:pt>
                <c:pt idx="123">
                  <c:v>-4.8154966267862251</c:v>
                </c:pt>
                <c:pt idx="124">
                  <c:v>-4.7178090883779129</c:v>
                </c:pt>
                <c:pt idx="125">
                  <c:v>-4.6192489265873187</c:v>
                </c:pt>
                <c:pt idx="126">
                  <c:v>-4.5198195132540322</c:v>
                </c:pt>
                <c:pt idx="127">
                  <c:v>-4.4195242202176459</c:v>
                </c:pt>
                <c:pt idx="128">
                  <c:v>-4.3183664193177513</c:v>
                </c:pt>
                <c:pt idx="129">
                  <c:v>-4.2163494823939391</c:v>
                </c:pt>
                <c:pt idx="130">
                  <c:v>-4.1134767812858</c:v>
                </c:pt>
                <c:pt idx="131">
                  <c:v>-4.0097516878329262</c:v>
                </c:pt>
                <c:pt idx="132">
                  <c:v>-3.905177573874909</c:v>
                </c:pt>
                <c:pt idx="133">
                  <c:v>-3.7997578112513399</c:v>
                </c:pt>
                <c:pt idx="134">
                  <c:v>-3.6934957718018091</c:v>
                </c:pt>
                <c:pt idx="135">
                  <c:v>-3.5863948273659099</c:v>
                </c:pt>
                <c:pt idx="136">
                  <c:v>-3.4784583497832315</c:v>
                </c:pt>
                <c:pt idx="137">
                  <c:v>-3.3696897108933661</c:v>
                </c:pt>
                <c:pt idx="138">
                  <c:v>-3.2600922825359064</c:v>
                </c:pt>
                <c:pt idx="139">
                  <c:v>-3.149669436550441</c:v>
                </c:pt>
                <c:pt idx="140">
                  <c:v>-3.0384245447765634</c:v>
                </c:pt>
                <c:pt idx="141">
                  <c:v>-2.9263609790538636</c:v>
                </c:pt>
                <c:pt idx="142">
                  <c:v>-2.8134821112219335</c:v>
                </c:pt>
                <c:pt idx="143">
                  <c:v>-2.6997913131203646</c:v>
                </c:pt>
                <c:pt idx="144">
                  <c:v>-2.5852919565887476</c:v>
                </c:pt>
                <c:pt idx="145">
                  <c:v>-2.4699874134666748</c:v>
                </c:pt>
                <c:pt idx="146">
                  <c:v>-2.3538810555937371</c:v>
                </c:pt>
                <c:pt idx="147">
                  <c:v>-2.2369762548095249</c:v>
                </c:pt>
                <c:pt idx="148">
                  <c:v>-2.1192763829536303</c:v>
                </c:pt>
                <c:pt idx="149">
                  <c:v>-2.0007848118656448</c:v>
                </c:pt>
                <c:pt idx="150">
                  <c:v>-1.8815049133851596</c:v>
                </c:pt>
                <c:pt idx="151">
                  <c:v>-1.7614400593517656</c:v>
                </c:pt>
                <c:pt idx="152">
                  <c:v>-1.6405936216050547</c:v>
                </c:pt>
                <c:pt idx="153">
                  <c:v>-1.518968971984618</c:v>
                </c:pt>
                <c:pt idx="154">
                  <c:v>-1.3965694823300465</c:v>
                </c:pt>
                <c:pt idx="155">
                  <c:v>-1.2733985244809323</c:v>
                </c:pt>
                <c:pt idx="156">
                  <c:v>-1.1494594702768657</c:v>
                </c:pt>
                <c:pt idx="157">
                  <c:v>-1.0247556915574387</c:v>
                </c:pt>
                <c:pt idx="158">
                  <c:v>-0.89929056016224229</c:v>
                </c:pt>
                <c:pt idx="159">
                  <c:v>-0.77306744793086812</c:v>
                </c:pt>
                <c:pt idx="160">
                  <c:v>-0.64608972670290732</c:v>
                </c:pt>
                <c:pt idx="161">
                  <c:v>-0.51836076831795119</c:v>
                </c:pt>
                <c:pt idx="162">
                  <c:v>-0.38988394461559106</c:v>
                </c:pt>
                <c:pt idx="163">
                  <c:v>-0.26066262743541824</c:v>
                </c:pt>
                <c:pt idx="164">
                  <c:v>-0.13070018861702412</c:v>
                </c:pt>
                <c:pt idx="165">
                  <c:v>2.7755575615628914E-17</c:v>
                </c:pt>
                <c:pt idx="166">
                  <c:v>0.13143163151142792</c:v>
                </c:pt>
                <c:pt idx="167">
                  <c:v>0.26357665875449343</c:v>
                </c:pt>
                <c:pt idx="168">
                  <c:v>0.3964140995017954</c:v>
                </c:pt>
                <c:pt idx="169">
                  <c:v>0.52992297152593282</c:v>
                </c:pt>
                <c:pt idx="170">
                  <c:v>0.66408229259950458</c:v>
                </c:pt>
                <c:pt idx="171">
                  <c:v>0.79887108049510935</c:v>
                </c:pt>
                <c:pt idx="172">
                  <c:v>0.93426835298534627</c:v>
                </c:pt>
                <c:pt idx="173">
                  <c:v>1.0702531278428142</c:v>
                </c:pt>
                <c:pt idx="174">
                  <c:v>1.2068044228401118</c:v>
                </c:pt>
                <c:pt idx="175">
                  <c:v>1.3439012557498384</c:v>
                </c:pt>
                <c:pt idx="176">
                  <c:v>1.4815226443445926</c:v>
                </c:pt>
                <c:pt idx="177">
                  <c:v>1.6196476063969731</c:v>
                </c:pt>
                <c:pt idx="178">
                  <c:v>1.7582551596795795</c:v>
                </c:pt>
                <c:pt idx="179">
                  <c:v>1.89732432196501</c:v>
                </c:pt>
                <c:pt idx="180">
                  <c:v>2.0368341110258634</c:v>
                </c:pt>
                <c:pt idx="181">
                  <c:v>2.1767635446347393</c:v>
                </c:pt>
                <c:pt idx="182">
                  <c:v>2.3170916405642363</c:v>
                </c:pt>
                <c:pt idx="183">
                  <c:v>2.4577974165869527</c:v>
                </c:pt>
                <c:pt idx="184">
                  <c:v>2.5988598904754885</c:v>
                </c:pt>
                <c:pt idx="185">
                  <c:v>2.7402580800024419</c:v>
                </c:pt>
                <c:pt idx="186">
                  <c:v>2.8819710029404115</c:v>
                </c:pt>
                <c:pt idx="187">
                  <c:v>3.023977677061997</c:v>
                </c:pt>
                <c:pt idx="188">
                  <c:v>3.1662571201397967</c:v>
                </c:pt>
                <c:pt idx="189">
                  <c:v>3.3087883499464095</c:v>
                </c:pt>
                <c:pt idx="190">
                  <c:v>3.4515503842544346</c:v>
                </c:pt>
                <c:pt idx="191">
                  <c:v>3.5945222408364712</c:v>
                </c:pt>
                <c:pt idx="192">
                  <c:v>3.7376829374651175</c:v>
                </c:pt>
                <c:pt idx="193">
                  <c:v>3.8810114919129721</c:v>
                </c:pt>
                <c:pt idx="194">
                  <c:v>4.0244869219526347</c:v>
                </c:pt>
                <c:pt idx="195">
                  <c:v>4.1680882453567039</c:v>
                </c:pt>
                <c:pt idx="196">
                  <c:v>4.3117944798977792</c:v>
                </c:pt>
                <c:pt idx="197">
                  <c:v>4.4555846433484581</c:v>
                </c:pt>
                <c:pt idx="198">
                  <c:v>4.5994377534813413</c:v>
                </c:pt>
                <c:pt idx="199">
                  <c:v>4.7433328280690263</c:v>
                </c:pt>
                <c:pt idx="200">
                  <c:v>4.8872488848841122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-16.55297231699258</c:v>
                </c:pt>
                <c:pt idx="1">
                  <c:v>-12.671216990221245</c:v>
                </c:pt>
                <c:pt idx="2">
                  <c:v>-9.9653689540248553</c:v>
                </c:pt>
                <c:pt idx="3">
                  <c:v>-7.6847085672859414</c:v>
                </c:pt>
                <c:pt idx="4">
                  <c:v>-5.1032897833215509</c:v>
                </c:pt>
                <c:pt idx="5">
                  <c:v>0</c:v>
                </c:pt>
                <c:pt idx="6">
                  <c:v>4.8872488848841122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-16.540540822536656</c:v>
                </c:pt>
                <c:pt idx="1">
                  <c:v>-16.474168358026702</c:v>
                </c:pt>
                <c:pt idx="2">
                  <c:v>-16.408135091828569</c:v>
                </c:pt>
                <c:pt idx="3">
                  <c:v>-16.342078616081437</c:v>
                </c:pt>
                <c:pt idx="4">
                  <c:v>-16.275672748104228</c:v>
                </c:pt>
                <c:pt idx="5">
                  <c:v>-16.208625558059651</c:v>
                </c:pt>
                <c:pt idx="6">
                  <c:v>-16.140677463316479</c:v>
                </c:pt>
                <c:pt idx="7">
                  <c:v>-16.071599388163492</c:v>
                </c:pt>
                <c:pt idx="8">
                  <c:v>-16.001190987541833</c:v>
                </c:pt>
                <c:pt idx="9">
                  <c:v>-15.929278933476724</c:v>
                </c:pt>
                <c:pt idx="10">
                  <c:v>-15.85571526289921</c:v>
                </c:pt>
                <c:pt idx="11">
                  <c:v>-15.780375785563791</c:v>
                </c:pt>
                <c:pt idx="12">
                  <c:v>-15.703158550779207</c:v>
                </c:pt>
                <c:pt idx="13">
                  <c:v>-15.623982371682686</c:v>
                </c:pt>
                <c:pt idx="14">
                  <c:v>-15.542785405799762</c:v>
                </c:pt>
                <c:pt idx="15">
                  <c:v>-15.459523790646003</c:v>
                </c:pt>
                <c:pt idx="16">
                  <c:v>-15.374170333138096</c:v>
                </c:pt>
                <c:pt idx="17">
                  <c:v>-15.286713251594762</c:v>
                </c:pt>
                <c:pt idx="18">
                  <c:v>-15.197154969121655</c:v>
                </c:pt>
                <c:pt idx="19">
                  <c:v>-15.105510957184947</c:v>
                </c:pt>
                <c:pt idx="20">
                  <c:v>-15.011808628193393</c:v>
                </c:pt>
                <c:pt idx="21">
                  <c:v>-14.916086275919135</c:v>
                </c:pt>
                <c:pt idx="22">
                  <c:v>-14.818392062601191</c:v>
                </c:pt>
                <c:pt idx="23">
                  <c:v>-14.718783051588645</c:v>
                </c:pt>
                <c:pt idx="24">
                  <c:v>-14.617324284392033</c:v>
                </c:pt>
                <c:pt idx="25">
                  <c:v>-14.514087901024375</c:v>
                </c:pt>
                <c:pt idx="26">
                  <c:v>-14.40915230252731</c:v>
                </c:pt>
                <c:pt idx="27">
                  <c:v>-14.30260135458785</c:v>
                </c:pt>
                <c:pt idx="28">
                  <c:v>-14.194523631166547</c:v>
                </c:pt>
                <c:pt idx="29">
                  <c:v>-14.08501169706819</c:v>
                </c:pt>
                <c:pt idx="30">
                  <c:v>-13.974161428401111</c:v>
                </c:pt>
                <c:pt idx="31">
                  <c:v>-13.862071369881242</c:v>
                </c:pt>
                <c:pt idx="32">
                  <c:v>-13.748842127952166</c:v>
                </c:pt>
                <c:pt idx="33">
                  <c:v>-13.634575798703018</c:v>
                </c:pt>
                <c:pt idx="34">
                  <c:v>-13.519375429580261</c:v>
                </c:pt>
                <c:pt idx="35">
                  <c:v>-13.403344513900773</c:v>
                </c:pt>
                <c:pt idx="36">
                  <c:v>-13.286586517187274</c:v>
                </c:pt>
                <c:pt idx="37">
                  <c:v>-13.169204434359042</c:v>
                </c:pt>
                <c:pt idx="38">
                  <c:v>-13.051300376824006</c:v>
                </c:pt>
                <c:pt idx="39">
                  <c:v>-12.932975188530563</c:v>
                </c:pt>
                <c:pt idx="40">
                  <c:v>-12.814328090050385</c:v>
                </c:pt>
                <c:pt idx="41">
                  <c:v>-12.695456349775728</c:v>
                </c:pt>
                <c:pt idx="42">
                  <c:v>-12.576454981328016</c:v>
                </c:pt>
                <c:pt idx="43">
                  <c:v>-12.457416466286352</c:v>
                </c:pt>
                <c:pt idx="44">
                  <c:v>-12.338430501357838</c:v>
                </c:pt>
                <c:pt idx="45">
                  <c:v>-12.219583769123835</c:v>
                </c:pt>
                <c:pt idx="46">
                  <c:v>-12.100959731509155</c:v>
                </c:pt>
                <c:pt idx="47">
                  <c:v>-11.982638445133718</c:v>
                </c:pt>
                <c:pt idx="48">
                  <c:v>-11.864696397718795</c:v>
                </c:pt>
                <c:pt idx="49">
                  <c:v>-11.747206364732598</c:v>
                </c:pt>
                <c:pt idx="50">
                  <c:v>-11.630237285472809</c:v>
                </c:pt>
                <c:pt idx="51">
                  <c:v>-11.513854157795885</c:v>
                </c:pt>
                <c:pt idx="52">
                  <c:v>-11.398117950715934</c:v>
                </c:pt>
                <c:pt idx="53">
                  <c:v>-11.283085534108492</c:v>
                </c:pt>
                <c:pt idx="54">
                  <c:v>-11.168809624767057</c:v>
                </c:pt>
                <c:pt idx="55">
                  <c:v>-11.055338748073051</c:v>
                </c:pt>
                <c:pt idx="56">
                  <c:v>-10.942717214552307</c:v>
                </c:pt>
                <c:pt idx="57">
                  <c:v>-10.830985110603963</c:v>
                </c:pt>
                <c:pt idx="58">
                  <c:v>-10.720178302700235</c:v>
                </c:pt>
                <c:pt idx="59">
                  <c:v>-10.610328454368112</c:v>
                </c:pt>
                <c:pt idx="60">
                  <c:v>-10.501463055276702</c:v>
                </c:pt>
                <c:pt idx="61">
                  <c:v>-10.393605461766606</c:v>
                </c:pt>
                <c:pt idx="62">
                  <c:v>-10.286774948170262</c:v>
                </c:pt>
                <c:pt idx="63">
                  <c:v>-10.180986768284825</c:v>
                </c:pt>
                <c:pt idx="64">
                  <c:v>-10.076252226371913</c:v>
                </c:pt>
                <c:pt idx="65">
                  <c:v>-9.9725787570710018</c:v>
                </c:pt>
                <c:pt idx="66">
                  <c:v>-9.8699700136259771</c:v>
                </c:pt>
                <c:pt idx="67">
                  <c:v>-9.7684259638369877</c:v>
                </c:pt>
                <c:pt idx="68">
                  <c:v>-9.6679429931623151</c:v>
                </c:pt>
                <c:pt idx="69">
                  <c:v>-9.5685140144076719</c:v>
                </c:pt>
                <c:pt idx="70">
                  <c:v>-9.4701285834528957</c:v>
                </c:pt>
                <c:pt idx="71">
                  <c:v>-9.3727730204787321</c:v>
                </c:pt>
                <c:pt idx="72">
                  <c:v>-9.2764305361689026</c:v>
                </c:pt>
                <c:pt idx="73">
                  <c:v>-9.1810813623754424</c:v>
                </c:pt>
                <c:pt idx="74">
                  <c:v>-9.086702886747732</c:v>
                </c:pt>
                <c:pt idx="75">
                  <c:v>-8.9932697908384593</c:v>
                </c:pt>
                <c:pt idx="76">
                  <c:v>-8.9007541912122559</c:v>
                </c:pt>
                <c:pt idx="77">
                  <c:v>-8.8091257830954284</c:v>
                </c:pt>
                <c:pt idx="78">
                  <c:v>-8.7183519861178258</c:v>
                </c:pt>
                <c:pt idx="79">
                  <c:v>-8.628398091710519</c:v>
                </c:pt>
                <c:pt idx="80">
                  <c:v>-8.5392274117355953</c:v>
                </c:pt>
                <c:pt idx="81">
                  <c:v>-8.4508014279369821</c:v>
                </c:pt>
                <c:pt idx="82">
                  <c:v>-8.3630799418138739</c:v>
                </c:pt>
                <c:pt idx="83">
                  <c:v>-8.2760212245309521</c:v>
                </c:pt>
                <c:pt idx="84">
                  <c:v>-8.1895821664922011</c:v>
                </c:pt>
                <c:pt idx="85">
                  <c:v>-8.1037184262177995</c:v>
                </c:pt>
                <c:pt idx="86">
                  <c:v>-8.0183845781761001</c:v>
                </c:pt>
                <c:pt idx="87">
                  <c:v>-7.9335342592354845</c:v>
                </c:pt>
                <c:pt idx="88">
                  <c:v>-7.8491203134133745</c:v>
                </c:pt>
                <c:pt idx="89">
                  <c:v>-7.7650949346123541</c:v>
                </c:pt>
                <c:pt idx="90">
                  <c:v>-7.6814098070460677</c:v>
                </c:pt>
                <c:pt idx="91">
                  <c:v>-7.598016243070008</c:v>
                </c:pt>
                <c:pt idx="92">
                  <c:v>-7.5148653181451692</c:v>
                </c:pt>
                <c:pt idx="93">
                  <c:v>-7.4319080026749269</c:v>
                </c:pt>
                <c:pt idx="94">
                  <c:v>-7.3490952904683482</c:v>
                </c:pt>
                <c:pt idx="95">
                  <c:v>-7.2663783235956325</c:v>
                </c:pt>
                <c:pt idx="96">
                  <c:v>-7.1837085134140199</c:v>
                </c:pt>
                <c:pt idx="97">
                  <c:v>-7.1010376575552625</c:v>
                </c:pt>
                <c:pt idx="98">
                  <c:v>-7.0183180526781594</c:v>
                </c:pt>
                <c:pt idx="99">
                  <c:v>-6.9355026028025266</c:v>
                </c:pt>
                <c:pt idx="100">
                  <c:v>-6.8525449230534097</c:v>
                </c:pt>
                <c:pt idx="101">
                  <c:v>-6.7693994386570999</c:v>
                </c:pt>
                <c:pt idx="102">
                  <c:v>-6.6860214790430694</c:v>
                </c:pt>
                <c:pt idx="103">
                  <c:v>-6.6023673669186262</c:v>
                </c:pt>
                <c:pt idx="104">
                  <c:v>-6.5183945021956644</c:v>
                </c:pt>
                <c:pt idx="105">
                  <c:v>-6.4340614406615719</c:v>
                </c:pt>
                <c:pt idx="106">
                  <c:v>-6.349327967298918</c:v>
                </c:pt>
                <c:pt idx="107">
                  <c:v>-6.2641551641712718</c:v>
                </c:pt>
                <c:pt idx="108">
                  <c:v>-6.1785054728049911</c:v>
                </c:pt>
                <c:pt idx="109">
                  <c:v>-6.092342751009614</c:v>
                </c:pt>
                <c:pt idx="110">
                  <c:v>-6.0056323240919784</c:v>
                </c:pt>
                <c:pt idx="111">
                  <c:v>-5.9183410304318862</c:v>
                </c:pt>
                <c:pt idx="112">
                  <c:v>-5.8304372613997675</c:v>
                </c:pt>
                <c:pt idx="113">
                  <c:v>-5.7418909956094044</c:v>
                </c:pt>
                <c:pt idx="114">
                  <c:v>-5.6526738275113875</c:v>
                </c:pt>
                <c:pt idx="115">
                  <c:v>-5.5627589903456727</c:v>
                </c:pt>
                <c:pt idx="116">
                  <c:v>-5.472121373484149</c:v>
                </c:pt>
                <c:pt idx="117">
                  <c:v>-5.3807375342068378</c:v>
                </c:pt>
                <c:pt idx="118">
                  <c:v>-5.2885857039679127</c:v>
                </c:pt>
                <c:pt idx="119">
                  <c:v>-5.1956457892203858</c:v>
                </c:pt>
                <c:pt idx="120">
                  <c:v>-5.1018993668809518</c:v>
                </c:pt>
                <c:pt idx="121">
                  <c:v>-5.0073296745290596</c:v>
                </c:pt>
                <c:pt idx="122">
                  <c:v>-4.9119215954469615</c:v>
                </c:pt>
                <c:pt idx="123">
                  <c:v>-4.815661638620103</c:v>
                </c:pt>
                <c:pt idx="124">
                  <c:v>-4.7185379138298229</c:v>
                </c:pt>
                <c:pt idx="125">
                  <c:v>-4.6205401019830008</c:v>
                </c:pt>
                <c:pt idx="126">
                  <c:v>-4.521659420835892</c:v>
                </c:pt>
                <c:pt idx="127">
                  <c:v>-4.4218885862820123</c:v>
                </c:pt>
                <c:pt idx="128">
                  <c:v>-4.3212217693866197</c:v>
                </c:pt>
                <c:pt idx="129">
                  <c:v>-4.2196545493628639</c:v>
                </c:pt>
                <c:pt idx="130">
                  <c:v>-4.1171838626974404</c:v>
                </c:pt>
                <c:pt idx="131">
                  <c:v>-4.0138079486460745</c:v>
                </c:pt>
                <c:pt idx="132">
                  <c:v>-3.9095262913319178</c:v>
                </c:pt>
                <c:pt idx="133">
                  <c:v>-3.8043395586924644</c:v>
                </c:pt>
                <c:pt idx="134">
                  <c:v>-3.6982495385332887</c:v>
                </c:pt>
                <c:pt idx="135">
                  <c:v>-3.5912590719595188</c:v>
                </c:pt>
                <c:pt idx="136">
                  <c:v>-3.4833719844685729</c:v>
                </c:pt>
                <c:pt idx="137">
                  <c:v>-3.3745930150003365</c:v>
                </c:pt>
                <c:pt idx="138">
                  <c:v>-3.2649277432535757</c:v>
                </c:pt>
                <c:pt idx="139">
                  <c:v>-3.1543825155900183</c:v>
                </c:pt>
                <c:pt idx="140">
                  <c:v>-3.0429643698601514</c:v>
                </c:pt>
                <c:pt idx="141">
                  <c:v>-2.9306809594974341</c:v>
                </c:pt>
                <c:pt idx="142">
                  <c:v>-2.8175404772402235</c:v>
                </c:pt>
                <c:pt idx="143">
                  <c:v>-2.703551578853383</c:v>
                </c:pt>
                <c:pt idx="144">
                  <c:v>-2.5887233072341211</c:v>
                </c:pt>
                <c:pt idx="145">
                  <c:v>-2.4730650172992847</c:v>
                </c:pt>
                <c:pt idx="146">
                  <c:v>-2.3565863020639273</c:v>
                </c:pt>
                <c:pt idx="147">
                  <c:v>-2.2392969203336168</c:v>
                </c:pt>
                <c:pt idx="148">
                  <c:v>-2.1212067264455801</c:v>
                </c:pt>
                <c:pt idx="149">
                  <c:v>-2.002325602506394</c:v>
                </c:pt>
                <c:pt idx="150">
                  <c:v>-1.8826633935865889</c:v>
                </c:pt>
                <c:pt idx="151">
                  <c:v>-1.7622298463451189</c:v>
                </c:pt>
                <c:pt idx="152">
                  <c:v>-1.6410345515693345</c:v>
                </c:pt>
                <c:pt idx="153">
                  <c:v>-1.5190868911286781</c:v>
                </c:pt>
                <c:pt idx="154">
                  <c:v>-1.3963959898529696</c:v>
                </c:pt>
                <c:pt idx="155">
                  <c:v>-1.2729706728587913</c:v>
                </c:pt>
                <c:pt idx="156">
                  <c:v>-1.1488194288600799</c:v>
                </c:pt>
                <c:pt idx="157">
                  <c:v>-1.0239503800116916</c:v>
                </c:pt>
                <c:pt idx="158">
                  <c:v>-0.89837125884732727</c:v>
                </c:pt>
                <c:pt idx="159">
                  <c:v>-0.77208939288581435</c:v>
                </c:pt>
                <c:pt idx="160">
                  <c:v>-0.64511169749240871</c:v>
                </c:pt>
                <c:pt idx="161">
                  <c:v>-0.51744467759437274</c:v>
                </c:pt>
                <c:pt idx="162">
                  <c:v>-0.3890944388627387</c:v>
                </c:pt>
                <c:pt idx="163">
                  <c:v>-0.26006670898478346</c:v>
                </c:pt>
                <c:pt idx="164">
                  <c:v>-0.13036686966437866</c:v>
                </c:pt>
                <c:pt idx="165">
                  <c:v>0</c:v>
                </c:pt>
                <c:pt idx="166">
                  <c:v>0.13102906809718279</c:v>
                </c:pt>
                <c:pt idx="167">
                  <c:v>0.26271568177008831</c:v>
                </c:pt>
                <c:pt idx="168">
                  <c:v>0.39505528567970266</c:v>
                </c:pt>
                <c:pt idx="169">
                  <c:v>0.52804332636594864</c:v>
                </c:pt>
                <c:pt idx="170">
                  <c:v>0.66167514179250997</c:v>
                </c:pt>
                <c:pt idx="171">
                  <c:v>0.79594583535004571</c:v>
                </c:pt>
                <c:pt idx="172">
                  <c:v>0.93085013357960145</c:v>
                </c:pt>
                <c:pt idx="173">
                  <c:v>1.0663822268653953</c:v>
                </c:pt>
                <c:pt idx="174">
                  <c:v>1.2025355923335237</c:v>
                </c:pt>
                <c:pt idx="175">
                  <c:v>1.3393027981805079</c:v>
                </c:pt>
                <c:pt idx="176">
                  <c:v>1.476675288642969</c:v>
                </c:pt>
                <c:pt idx="177">
                  <c:v>1.6146431488070938</c:v>
                </c:pt>
                <c:pt idx="178">
                  <c:v>1.7531948484439139</c:v>
                </c:pt>
                <c:pt idx="179">
                  <c:v>1.8923169640438178</c:v>
                </c:pt>
                <c:pt idx="180">
                  <c:v>2.0319938782110394</c:v>
                </c:pt>
                <c:pt idx="181">
                  <c:v>2.1722074555662969</c:v>
                </c:pt>
                <c:pt idx="182">
                  <c:v>2.3129366942930742</c:v>
                </c:pt>
                <c:pt idx="183">
                  <c:v>2.4541573524504345</c:v>
                </c:pt>
                <c:pt idx="184">
                  <c:v>2.5958415481626251</c:v>
                </c:pt>
                <c:pt idx="185">
                  <c:v>2.7379573327830942</c:v>
                </c:pt>
                <c:pt idx="186">
                  <c:v>2.8804682361179226</c:v>
                </c:pt>
                <c:pt idx="187">
                  <c:v>3.0233327827810257</c:v>
                </c:pt>
                <c:pt idx="188">
                  <c:v>3.16650397874088</c:v>
                </c:pt>
                <c:pt idx="189">
                  <c:v>3.3099287671058626</c:v>
                </c:pt>
                <c:pt idx="190">
                  <c:v>3.453547452182709</c:v>
                </c:pt>
                <c:pt idx="191">
                  <c:v>3.5972930908299072</c:v>
                </c:pt>
                <c:pt idx="192">
                  <c:v>3.7410908501152824</c:v>
                </c:pt>
                <c:pt idx="193">
                  <c:v>3.8848573302743357</c:v>
                </c:pt>
                <c:pt idx="194">
                  <c:v>4.0284998519533151</c:v>
                </c:pt>
                <c:pt idx="195">
                  <c:v>4.1719157067083543</c:v>
                </c:pt>
                <c:pt idx="196">
                  <c:v>4.3149913697193627</c:v>
                </c:pt>
                <c:pt idx="197">
                  <c:v>4.4576016736647688</c:v>
                </c:pt>
                <c:pt idx="198">
                  <c:v>4.5996089426905318</c:v>
                </c:pt>
                <c:pt idx="199">
                  <c:v>4.7408620853942756</c:v>
                </c:pt>
                <c:pt idx="200">
                  <c:v>4.8811956457326877</c:v>
                </c:pt>
              </c:numCache>
            </c:numRef>
          </c:yVal>
          <c:smooth val="1"/>
        </c:ser>
        <c:dLbls>
          <c:showLegendKey val="0"/>
          <c:showVal val="0"/>
          <c:showCatName val="0"/>
          <c:showSerName val="0"/>
          <c:showPercent val="0"/>
          <c:showBubbleSize val="0"/>
        </c:dLbls>
        <c:axId val="445256800"/>
        <c:axId val="452088624"/>
      </c:scatterChart>
      <c:valAx>
        <c:axId val="44525680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088624"/>
        <c:crossesAt val="-1000"/>
        <c:crossBetween val="midCat"/>
      </c:valAx>
      <c:valAx>
        <c:axId val="452088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25680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0.13069875678860479</v>
      </c>
      <c r="D59" s="55">
        <v>1</v>
      </c>
    </row>
    <row r="60" spans="1:4" s="11" customFormat="1" x14ac:dyDescent="0.25">
      <c r="A60" s="54">
        <v>2</v>
      </c>
      <c r="B60" s="56">
        <f>'Shiftfunktion bestimmen'!N2</f>
        <v>3.3109168136627324E-4</v>
      </c>
      <c r="D60" s="55">
        <v>2</v>
      </c>
    </row>
    <row r="61" spans="1:4" s="11" customFormat="1" x14ac:dyDescent="0.25">
      <c r="A61" s="54">
        <v>3</v>
      </c>
      <c r="B61" s="56">
        <f>'Shiftfunktion bestimmen'!N3</f>
        <v>-7.8728599227650329E-7</v>
      </c>
      <c r="D61" s="55">
        <v>3</v>
      </c>
    </row>
    <row r="62" spans="1:4" s="11" customFormat="1" x14ac:dyDescent="0.25">
      <c r="A62" s="54">
        <v>4</v>
      </c>
      <c r="B62" s="56">
        <f>'Shiftfunktion bestimmen'!N4</f>
        <v>7.5536467006377058E-9</v>
      </c>
      <c r="D62" s="55">
        <v>4</v>
      </c>
    </row>
    <row r="63" spans="1:4" s="11" customFormat="1" x14ac:dyDescent="0.25">
      <c r="A63" s="54">
        <v>5</v>
      </c>
      <c r="B63" s="56">
        <f>'Shiftfunktion bestimmen'!N5</f>
        <v>-6.2169407238451323E-10</v>
      </c>
      <c r="D63" s="55">
        <v>5</v>
      </c>
    </row>
    <row r="64" spans="1:4" s="11" customFormat="1" x14ac:dyDescent="0.25">
      <c r="A64" s="54">
        <v>6</v>
      </c>
      <c r="B64" s="56">
        <f>'Shiftfunktion bestimmen'!N6</f>
        <v>-1.8610620176143846E-11</v>
      </c>
      <c r="D64" s="55">
        <v>6</v>
      </c>
    </row>
    <row r="65" spans="1:5" s="11" customFormat="1" x14ac:dyDescent="0.25">
      <c r="A65" s="54">
        <v>7</v>
      </c>
      <c r="B65" s="56">
        <f>'Shiftfunktion bestimmen'!N7</f>
        <v>-1.3769668833094939E-13</v>
      </c>
      <c r="D65" s="55">
        <v>7</v>
      </c>
    </row>
    <row r="66" spans="1:5" x14ac:dyDescent="0.25">
      <c r="A66" s="54">
        <v>8</v>
      </c>
      <c r="B66" s="56">
        <f>'Shiftfunktion bestimmen'!N8</f>
        <v>-3.1322599350097519E-16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0.15057460066374129</v>
      </c>
      <c r="D74" s="51">
        <v>1</v>
      </c>
      <c r="E74" s="56">
        <f>'Mastercurve bestimmen'!A18</f>
        <v>1.0000000000000001E-20</v>
      </c>
    </row>
    <row r="75" spans="1:5" x14ac:dyDescent="0.25">
      <c r="A75" s="50">
        <f>A74+1</f>
        <v>2</v>
      </c>
      <c r="B75" s="56">
        <f>'Mastercurve bestimmen'!C19</f>
        <v>4.4678700817567071E-2</v>
      </c>
      <c r="D75" s="51">
        <v>2</v>
      </c>
      <c r="E75" s="56">
        <f>'Mastercurve bestimmen'!A19</f>
        <v>3.9038946506297401E-14</v>
      </c>
    </row>
    <row r="76" spans="1:5" x14ac:dyDescent="0.25">
      <c r="A76" s="50">
        <f t="shared" ref="A76:A104" si="0">A75+1</f>
        <v>3</v>
      </c>
      <c r="B76" s="56">
        <f>'Mastercurve bestimmen'!C20</f>
        <v>1.5679179328659844E-2</v>
      </c>
      <c r="D76" s="51">
        <v>3</v>
      </c>
      <c r="E76" s="56">
        <f>'Mastercurve bestimmen'!A20</f>
        <v>4.3276437088188502E-13</v>
      </c>
    </row>
    <row r="77" spans="1:5" x14ac:dyDescent="0.25">
      <c r="A77" s="50">
        <f t="shared" si="0"/>
        <v>4</v>
      </c>
      <c r="B77" s="56">
        <f>'Mastercurve bestimmen'!C21</f>
        <v>2.5896955455741541E-2</v>
      </c>
      <c r="D77" s="51">
        <v>4</v>
      </c>
      <c r="E77" s="56">
        <f>'Mastercurve bestimmen'!A21</f>
        <v>4.7973886968128502E-12</v>
      </c>
    </row>
    <row r="78" spans="1:5" x14ac:dyDescent="0.25">
      <c r="A78" s="50">
        <f t="shared" si="0"/>
        <v>5</v>
      </c>
      <c r="B78" s="56">
        <f>'Mastercurve bestimmen'!C22</f>
        <v>3.0557565930725634E-2</v>
      </c>
      <c r="D78" s="51">
        <v>5</v>
      </c>
      <c r="E78" s="56">
        <f>'Mastercurve bestimmen'!A22</f>
        <v>5.31812225239524E-11</v>
      </c>
    </row>
    <row r="79" spans="1:5" x14ac:dyDescent="0.25">
      <c r="A79" s="50">
        <f t="shared" si="0"/>
        <v>6</v>
      </c>
      <c r="B79" s="56">
        <f>'Mastercurve bestimmen'!C23</f>
        <v>3.3957641152514657E-2</v>
      </c>
      <c r="D79" s="51">
        <v>6</v>
      </c>
      <c r="E79" s="56">
        <f>'Mastercurve bestimmen'!A23</f>
        <v>5.8953789402578301E-10</v>
      </c>
    </row>
    <row r="80" spans="1:5" x14ac:dyDescent="0.25">
      <c r="A80" s="50">
        <f t="shared" si="0"/>
        <v>7</v>
      </c>
      <c r="B80" s="56">
        <f>'Mastercurve bestimmen'!C24</f>
        <v>2.7970835032530519E-2</v>
      </c>
      <c r="D80" s="51">
        <v>7</v>
      </c>
      <c r="E80" s="56">
        <f>'Mastercurve bestimmen'!A24</f>
        <v>6.5352940755699598E-9</v>
      </c>
    </row>
    <row r="81" spans="1:5" x14ac:dyDescent="0.25">
      <c r="A81" s="50">
        <f t="shared" si="0"/>
        <v>8</v>
      </c>
      <c r="B81" s="56">
        <f>'Mastercurve bestimmen'!C25</f>
        <v>2.3282403551493334E-2</v>
      </c>
      <c r="D81" s="51">
        <v>8</v>
      </c>
      <c r="E81" s="56">
        <f>'Mastercurve bestimmen'!A25</f>
        <v>7.2446689325643296E-8</v>
      </c>
    </row>
    <row r="82" spans="1:5" x14ac:dyDescent="0.25">
      <c r="A82" s="50">
        <f t="shared" si="0"/>
        <v>9</v>
      </c>
      <c r="B82" s="56">
        <f>'Mastercurve bestimmen'!C26</f>
        <v>2.595552456219721E-2</v>
      </c>
      <c r="D82" s="51">
        <f>A82</f>
        <v>9</v>
      </c>
      <c r="E82" s="56">
        <f>'Mastercurve bestimmen'!A26</f>
        <v>8.03104303120212E-7</v>
      </c>
    </row>
    <row r="83" spans="1:5" x14ac:dyDescent="0.25">
      <c r="A83" s="50">
        <f t="shared" si="0"/>
        <v>10</v>
      </c>
      <c r="B83" s="56">
        <f>'Mastercurve bestimmen'!C27</f>
        <v>2.4758413339816761E-2</v>
      </c>
      <c r="C83" s="11"/>
      <c r="D83" s="51">
        <f t="shared" ref="D83:D104" si="1">A83</f>
        <v>10</v>
      </c>
      <c r="E83" s="56">
        <f>'Mastercurve bestimmen'!A27</f>
        <v>8.9027742702096099E-6</v>
      </c>
    </row>
    <row r="84" spans="1:5" x14ac:dyDescent="0.25">
      <c r="A84" s="50">
        <f t="shared" si="0"/>
        <v>11</v>
      </c>
      <c r="B84" s="56">
        <f>'Mastercurve bestimmen'!C28</f>
        <v>2.5498882300455362E-2</v>
      </c>
      <c r="C84" s="11"/>
      <c r="D84" s="51">
        <f t="shared" si="1"/>
        <v>11</v>
      </c>
      <c r="E84" s="56">
        <f>'Mastercurve bestimmen'!A28</f>
        <v>9.86912775817142E-5</v>
      </c>
    </row>
    <row r="85" spans="1:5" x14ac:dyDescent="0.25">
      <c r="A85" s="50">
        <f t="shared" si="0"/>
        <v>12</v>
      </c>
      <c r="B85" s="56">
        <f>'Mastercurve bestimmen'!C29</f>
        <v>2.6156174216144482E-2</v>
      </c>
      <c r="C85" s="11"/>
      <c r="D85" s="51">
        <f t="shared" si="1"/>
        <v>12</v>
      </c>
      <c r="E85" s="56">
        <f>'Mastercurve bestimmen'!A29</f>
        <v>1.0940374286813801E-3</v>
      </c>
    </row>
    <row r="86" spans="1:5" x14ac:dyDescent="0.25">
      <c r="A86" s="50">
        <f t="shared" si="0"/>
        <v>13</v>
      </c>
      <c r="B86" s="56">
        <f>'Mastercurve bestimmen'!C30</f>
        <v>3.7540941347655205E-2</v>
      </c>
      <c r="C86" s="11"/>
      <c r="D86" s="51">
        <f t="shared" si="1"/>
        <v>13</v>
      </c>
      <c r="E86" s="56">
        <f>'Mastercurve bestimmen'!A30</f>
        <v>1.2127899493091E-2</v>
      </c>
    </row>
    <row r="87" spans="1:5" x14ac:dyDescent="0.25">
      <c r="A87" s="50">
        <f t="shared" si="0"/>
        <v>14</v>
      </c>
      <c r="B87" s="56">
        <f>'Mastercurve bestimmen'!C31</f>
        <v>2.9964173015778757E-2</v>
      </c>
      <c r="C87" s="11"/>
      <c r="D87" s="51">
        <f t="shared" si="1"/>
        <v>14</v>
      </c>
      <c r="E87" s="56">
        <f>'Mastercurve bestimmen'!A31</f>
        <v>0.13444324870292301</v>
      </c>
    </row>
    <row r="88" spans="1:5" x14ac:dyDescent="0.25">
      <c r="A88" s="50">
        <f t="shared" si="0"/>
        <v>15</v>
      </c>
      <c r="B88" s="56">
        <f>'Mastercurve bestimmen'!C32</f>
        <v>7.1416883904963147E-2</v>
      </c>
      <c r="C88" s="11"/>
      <c r="D88" s="51">
        <f t="shared" si="1"/>
        <v>15</v>
      </c>
      <c r="E88" s="56">
        <f>'Mastercurve bestimmen'!A32</f>
        <v>1.49036419143257</v>
      </c>
    </row>
    <row r="89" spans="1:5" x14ac:dyDescent="0.25">
      <c r="A89" s="50">
        <f t="shared" si="0"/>
        <v>16</v>
      </c>
      <c r="B89" s="56">
        <f>'Mastercurve bestimmen'!C33</f>
        <v>0.10311361760580572</v>
      </c>
      <c r="C89" s="11"/>
      <c r="D89" s="51">
        <f t="shared" si="1"/>
        <v>16</v>
      </c>
      <c r="E89" s="56">
        <f>'Mastercurve bestimmen'!A33</f>
        <v>16.521360830937301</v>
      </c>
    </row>
    <row r="90" spans="1:5" x14ac:dyDescent="0.25">
      <c r="A90" s="50">
        <f t="shared" si="0"/>
        <v>17</v>
      </c>
      <c r="B90" s="56">
        <f>'Mastercurve bestimmen'!C34</f>
        <v>8.7291657876096773E-2</v>
      </c>
      <c r="C90" s="11"/>
      <c r="D90" s="51">
        <f t="shared" si="1"/>
        <v>17</v>
      </c>
      <c r="E90" s="56">
        <f>'Mastercurve bestimmen'!A34</f>
        <v>183.146753843879</v>
      </c>
    </row>
    <row r="91" spans="1:5" x14ac:dyDescent="0.25">
      <c r="A91" s="50">
        <f t="shared" si="0"/>
        <v>18</v>
      </c>
      <c r="B91" s="56">
        <f>'Mastercurve bestimmen'!C35</f>
        <v>7.2211450290495263E-2</v>
      </c>
      <c r="C91" s="11"/>
      <c r="D91" s="51">
        <f t="shared" si="1"/>
        <v>18</v>
      </c>
      <c r="E91" s="56">
        <f>'Mastercurve bestimmen'!A35</f>
        <v>2030.26456396616</v>
      </c>
    </row>
    <row r="92" spans="1:5" x14ac:dyDescent="0.25">
      <c r="A92" s="50">
        <f t="shared" si="0"/>
        <v>19</v>
      </c>
      <c r="B92" s="56">
        <f>'Mastercurve bestimmen'!C36</f>
        <v>4.7726428975124642E-2</v>
      </c>
      <c r="C92" s="11"/>
      <c r="D92" s="51">
        <f t="shared" si="1"/>
        <v>19</v>
      </c>
      <c r="E92" s="56">
        <f>'Mastercurve bestimmen'!A36</f>
        <v>22506.400540467101</v>
      </c>
    </row>
    <row r="93" spans="1:5" x14ac:dyDescent="0.25">
      <c r="A93" s="50">
        <f t="shared" si="0"/>
        <v>20</v>
      </c>
      <c r="B93" s="56">
        <f>'Mastercurve bestimmen'!C37</f>
        <v>3.3498054799521296E-2</v>
      </c>
      <c r="C93" s="11"/>
      <c r="D93" s="51">
        <f t="shared" si="1"/>
        <v>20</v>
      </c>
      <c r="E93" s="56">
        <f>'Mastercurve bestimmen'!A37</f>
        <v>249493.62476110301</v>
      </c>
    </row>
    <row r="94" spans="1:5" x14ac:dyDescent="0.25">
      <c r="A94" s="50">
        <f t="shared" si="0"/>
        <v>21</v>
      </c>
      <c r="B94" s="56">
        <f>'Mastercurve bestimmen'!C38</f>
        <v>8.3276524344842746E-3</v>
      </c>
      <c r="C94" s="11"/>
      <c r="D94" s="51">
        <f t="shared" si="1"/>
        <v>21</v>
      </c>
      <c r="E94" s="56">
        <f>'Mastercurve bestimmen'!A38</f>
        <v>2765749.6224023802</v>
      </c>
    </row>
    <row r="95" spans="1:5" x14ac:dyDescent="0.25">
      <c r="A95" s="50">
        <f t="shared" si="0"/>
        <v>22</v>
      </c>
      <c r="B95" s="56">
        <f>'Mastercurve bestimmen'!C39</f>
        <v>1.1282321504922463E-2</v>
      </c>
      <c r="C95" s="11"/>
      <c r="D95" s="51">
        <f t="shared" si="1"/>
        <v>22</v>
      </c>
      <c r="E95" s="56">
        <f>'Mastercurve bestimmen'!A39</f>
        <v>10000000</v>
      </c>
    </row>
    <row r="96" spans="1:5" x14ac:dyDescent="0.25">
      <c r="A96" s="50">
        <f t="shared" si="0"/>
        <v>23</v>
      </c>
      <c r="B96" s="56">
        <f>'Mastercurve bestimmen'!C40</f>
        <v>4.0938385440077553E-3</v>
      </c>
      <c r="C96" s="11"/>
      <c r="D96" s="51">
        <f t="shared" si="1"/>
        <v>23</v>
      </c>
      <c r="E96" s="56">
        <f>'Mastercurve bestimmen'!A40</f>
        <v>100000000</v>
      </c>
    </row>
    <row r="97" spans="1:5" x14ac:dyDescent="0.25">
      <c r="A97" s="50">
        <f t="shared" si="0"/>
        <v>24</v>
      </c>
      <c r="B97" s="56">
        <f>'Mastercurve bestimmen'!C41</f>
        <v>2.6841023020615128E-3</v>
      </c>
      <c r="C97" s="11"/>
      <c r="D97" s="51">
        <f t="shared" si="1"/>
        <v>24</v>
      </c>
      <c r="E97" s="56">
        <f>'Mastercurve bestimmen'!A41</f>
        <v>1000000000</v>
      </c>
    </row>
    <row r="98" spans="1:5" x14ac:dyDescent="0.25">
      <c r="A98" s="50">
        <f t="shared" si="0"/>
        <v>25</v>
      </c>
      <c r="B98" s="56">
        <f>'Mastercurve bestimmen'!C42</f>
        <v>2.382905414544393E-3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2.0583899392901187E-3</v>
      </c>
      <c r="C100" s="11"/>
      <c r="D100" s="51">
        <f t="shared" si="1"/>
        <v>27</v>
      </c>
      <c r="E100" s="56">
        <f>'Mastercurve bestimmen'!A44</f>
        <v>1000000000000</v>
      </c>
    </row>
    <row r="101" spans="1:5" x14ac:dyDescent="0.25">
      <c r="A101" s="50">
        <f t="shared" si="0"/>
        <v>28</v>
      </c>
      <c r="B101" s="56">
        <f>'Mastercurve bestimmen'!C45</f>
        <v>1.1459023430358541E-3</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1.4642888439612509E-3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E5" sqref="E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9761.2866745763949</v>
      </c>
      <c r="G16" s="26">
        <f>INDEX(Comparison!$AM$3:$AS$33,G14,$B$3)</f>
        <v>9457.0352890406648</v>
      </c>
      <c r="H16" s="26">
        <f>INDEX(Comparison!$AM$3:$AS$33,H14,$B$3)</f>
        <v>9203.9756041421206</v>
      </c>
      <c r="I16" s="26">
        <f>INDEX(Comparison!$AM$3:$AS$33,I14,$B$3)</f>
        <v>8950.159395690147</v>
      </c>
      <c r="J16" s="26">
        <f>INDEX(Comparison!$AM$3:$AS$33,J14,$B$3)</f>
        <v>8675.2521191856285</v>
      </c>
      <c r="K16" s="26">
        <f>INDEX(Comparison!$AM$3:$AS$33,K14,$B$3)</f>
        <v>8343.5058150850455</v>
      </c>
      <c r="L16" s="26">
        <f>INDEX(Comparison!$AM$3:$AS$33,L14,$B$3)</f>
        <v>7990.5188430178014</v>
      </c>
      <c r="M16" s="26">
        <f>INDEX(Comparison!$AM$3:$AS$33,M14,$B$3)</f>
        <v>7680.5790598342728</v>
      </c>
      <c r="N16" s="26">
        <f>INDEX(Comparison!$AM$3:$AS$33,N14,$B$3)</f>
        <v>7412.8102086341796</v>
      </c>
      <c r="O16" s="26">
        <f>INDEX(Comparison!$AM$3:$AS$33,O14,$B$3)</f>
        <v>7140.1987157287695</v>
      </c>
      <c r="P16" s="26">
        <f>INDEX(Comparison!$AM$3:$AS$33,P14,$B$3)</f>
        <v>6866.3570711275343</v>
      </c>
      <c r="Q16" s="26">
        <f>INDEX(Comparison!$AM$3:$AS$33,Q14,$B$3)</f>
        <v>6590.7809918049779</v>
      </c>
      <c r="R16" s="26">
        <f>INDEX(Comparison!$AM$3:$AS$33,R14,$B$3)</f>
        <v>6298.9484082003064</v>
      </c>
      <c r="S16" s="26">
        <f>INDEX(Comparison!$AM$3:$AS$33,S14,$B$3)</f>
        <v>5945.6821100901007</v>
      </c>
      <c r="T16" s="26">
        <f>INDEX(Comparison!$AM$3:$AS$33,T14,$B$3)</f>
        <v>5548.4424875147679</v>
      </c>
      <c r="U16" s="26">
        <f>INDEX(Comparison!$AM$3:$AS$33,U14,$B$3)</f>
        <v>4973.8956031837224</v>
      </c>
      <c r="V16" s="26">
        <f>INDEX(Comparison!$AM$3:$AS$33,V14,$B$3)</f>
        <v>4041.6864062630743</v>
      </c>
      <c r="W16" s="26">
        <f>INDEX(Comparison!$AM$3:$AS$33,W14,$B$3)</f>
        <v>2997.7303823547541</v>
      </c>
      <c r="X16" s="26">
        <f>INDEX(Comparison!$AM$3:$AS$33,X14,$B$3)</f>
        <v>2118.9396419195423</v>
      </c>
      <c r="Y16" s="26">
        <f>INDEX(Comparison!$AM$3:$AS$33,Y14,$B$3)</f>
        <v>1431.9051140793895</v>
      </c>
      <c r="Z16" s="26">
        <f>INDEX(Comparison!$AM$3:$AS$33,Z14,$B$3)</f>
        <v>967.83847313448518</v>
      </c>
      <c r="AA16" s="26">
        <f>INDEX(Comparison!$AM$3:$AS$33,AA14,$B$3)</f>
        <v>675.63698437161315</v>
      </c>
      <c r="AB16" s="26">
        <f>INDEX(Comparison!$AM$3:$AS$33,AB14,$B$3)</f>
        <v>531.67099399258564</v>
      </c>
      <c r="AC16" s="26">
        <f>INDEX(Comparison!$AM$3:$AS$33,AC14,$B$3)</f>
        <v>453.91977153237434</v>
      </c>
      <c r="AD16" s="26">
        <f>INDEX(Comparison!$AM$3:$AS$33,AD14,$B$3)</f>
        <v>417.85505040960345</v>
      </c>
      <c r="AE16" s="26">
        <f>INDEX(Comparison!$AM$3:$AS$33,AE14,$B$3)</f>
        <v>391.91620643386665</v>
      </c>
      <c r="AF16" s="26">
        <f>INDEX(Comparison!$AM$3:$AS$33,AF14,$B$3)</f>
        <v>379.02694798430821</v>
      </c>
      <c r="AG16" s="26">
        <f>INDEX(Comparison!$AM$3:$AS$33,AG14,$B$3)</f>
        <v>367.59357086994629</v>
      </c>
      <c r="AH16" s="26">
        <f>INDEX(Comparison!$AM$3:$AS$33,AH14,$B$3)</f>
        <v>348.16027376363564</v>
      </c>
      <c r="AI16" s="26">
        <f>INDEX(Comparison!$AM$3:$AS$33,AI14,$B$3)</f>
        <v>346.81429429478277</v>
      </c>
      <c r="AJ16" s="26">
        <f>INDEX(Comparison!$AM$3:$AS$33,AJ14,$B$3)</f>
        <v>343.74512434370951</v>
      </c>
    </row>
    <row r="17" spans="1:36" x14ac:dyDescent="0.25">
      <c r="A17" s="14" t="s">
        <v>20</v>
      </c>
      <c r="B17" s="105">
        <v>2.896468792386345E-2</v>
      </c>
      <c r="C17" s="18">
        <f t="shared" ref="C17:C48" si="3">ABS(B17/$B$49)</f>
        <v>2.8830514506663903E-2</v>
      </c>
      <c r="D17" s="66"/>
      <c r="E17" s="65" t="s">
        <v>22</v>
      </c>
      <c r="F17" s="27">
        <f>($C$17+SUM(F18:F48))*$B$51</f>
        <v>9675.0823595965794</v>
      </c>
      <c r="G17" s="27">
        <f t="shared" ref="G17:M17" si="4">($C$17+SUM(G18:G48))*$B$51</f>
        <v>9568.5208676256534</v>
      </c>
      <c r="H17" s="27">
        <f t="shared" si="4"/>
        <v>9174.4692625954776</v>
      </c>
      <c r="I17" s="27">
        <f t="shared" si="4"/>
        <v>8954.9761881338181</v>
      </c>
      <c r="J17" s="27">
        <f t="shared" si="4"/>
        <v>8674.5884847680518</v>
      </c>
      <c r="K17" s="27">
        <f t="shared" si="4"/>
        <v>8343.5867034819621</v>
      </c>
      <c r="L17" s="27">
        <f t="shared" si="4"/>
        <v>7990.4990578106663</v>
      </c>
      <c r="M17" s="27">
        <f t="shared" si="4"/>
        <v>7680.5733953113477</v>
      </c>
      <c r="N17" s="27">
        <f t="shared" ref="N17" si="5">($C$17+SUM(N18:N48))*$B$51</f>
        <v>7412.843458770717</v>
      </c>
      <c r="O17" s="27">
        <f t="shared" ref="O17" si="6">($C$17+SUM(O18:O48))*$B$51</f>
        <v>7140.1344510903255</v>
      </c>
      <c r="P17" s="27">
        <f t="shared" ref="P17" si="7">($C$17+SUM(P18:P48))*$B$51</f>
        <v>6866.4758409755123</v>
      </c>
      <c r="Q17" s="27">
        <f t="shared" ref="Q17" si="8">($C$17+SUM(Q18:Q48))*$B$51</f>
        <v>6590.616587621188</v>
      </c>
      <c r="R17" s="27">
        <f t="shared" ref="R17" si="9">($C$17+SUM(R18:R48))*$B$51</f>
        <v>6299.1551361645879</v>
      </c>
      <c r="S17" s="27">
        <f t="shared" ref="S17:T17" si="10">($C$17+SUM(S18:S48))*$B$51</f>
        <v>5945.4475432727131</v>
      </c>
      <c r="T17" s="27">
        <f t="shared" si="10"/>
        <v>5548.6398635808882</v>
      </c>
      <c r="U17" s="27">
        <f t="shared" ref="U17" si="11">($C$17+SUM(U18:U48))*$B$51</f>
        <v>4973.7484920646039</v>
      </c>
      <c r="V17" s="27">
        <f t="shared" ref="V17" si="12">($C$17+SUM(V18:V48))*$B$51</f>
        <v>4041.8006197502077</v>
      </c>
      <c r="W17" s="27">
        <f t="shared" ref="W17" si="13">($C$17+SUM(W18:W48))*$B$51</f>
        <v>2997.6563026182757</v>
      </c>
      <c r="X17" s="27">
        <f t="shared" ref="X17" si="14">($C$17+SUM(X18:X48))*$B$51</f>
        <v>2118.9798561857287</v>
      </c>
      <c r="Y17" s="27">
        <f t="shared" ref="Y17" si="15">($C$17+SUM(Y18:Y48))*$B$51</f>
        <v>1431.8888635526487</v>
      </c>
      <c r="Z17" s="27">
        <f t="shared" ref="Z17:AA17" si="16">($C$17+SUM(Z18:Z48))*$B$51</f>
        <v>967.84597567616254</v>
      </c>
      <c r="AA17" s="27">
        <f t="shared" si="16"/>
        <v>675.62150681885271</v>
      </c>
      <c r="AB17" s="27">
        <f t="shared" ref="AB17" si="17">($C$17+SUM(AB18:AB48))*$B$51</f>
        <v>531.69455838433282</v>
      </c>
      <c r="AC17" s="27">
        <f t="shared" ref="AC17" si="18">($C$17+SUM(AC18:AC48))*$B$51</f>
        <v>453.87797288707947</v>
      </c>
      <c r="AD17" s="27">
        <f t="shared" ref="AD17" si="19">($C$17+SUM(AD18:AD48))*$B$51</f>
        <v>417.91949974904196</v>
      </c>
      <c r="AE17" s="27">
        <f t="shared" ref="AE17" si="20">($C$17+SUM(AE18:AE48))*$B$51</f>
        <v>391.84032062547061</v>
      </c>
      <c r="AF17" s="27">
        <f t="shared" ref="AF17" si="21">($C$17+SUM(AF18:AF48))*$B$51</f>
        <v>379.72377934446791</v>
      </c>
      <c r="AG17" s="27">
        <f t="shared" ref="AG17:AH17" si="22">($C$17+SUM(AG18:AG48))*$B$51</f>
        <v>366.00073875029324</v>
      </c>
      <c r="AH17" s="27">
        <f t="shared" si="22"/>
        <v>350.33173416095406</v>
      </c>
      <c r="AI17" s="27">
        <f t="shared" ref="AI17" si="23">($C$17+SUM(AI18:AI48))*$B$51</f>
        <v>345.37357481170471</v>
      </c>
      <c r="AJ17" s="27">
        <f t="shared" ref="AJ17" si="24">($C$17+SUM(AJ18:AJ48))*$B$51</f>
        <v>343.94980490705666</v>
      </c>
    </row>
    <row r="18" spans="1:36" x14ac:dyDescent="0.25">
      <c r="A18" s="3">
        <f>0.000000000000001/10^5</f>
        <v>1.0000000000000001E-20</v>
      </c>
      <c r="B18" s="106">
        <v>0.15127535502280212</v>
      </c>
      <c r="C18" s="18">
        <f t="shared" si="3"/>
        <v>0.15057460066374129</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4.4886629606466888E-2</v>
      </c>
      <c r="C19" s="18">
        <f t="shared" si="3"/>
        <v>4.4678700817567071E-2</v>
      </c>
      <c r="D19" s="17"/>
      <c r="F19" s="3">
        <f t="shared" si="25"/>
        <v>4.3548769627756292E-2</v>
      </c>
      <c r="G19" s="3">
        <f t="shared" si="25"/>
        <v>3.4582315648461148E-2</v>
      </c>
      <c r="H19" s="3">
        <f t="shared" si="25"/>
        <v>3.44854486295073E-3</v>
      </c>
      <c r="I19" s="3">
        <f t="shared" si="25"/>
        <v>3.3531576887436523E-13</v>
      </c>
      <c r="J19" s="3">
        <f t="shared" si="25"/>
        <v>2.5329986009144581E-113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1.575214816412494E-2</v>
      </c>
      <c r="C20" s="18">
        <f t="shared" si="3"/>
        <v>1.5679179328659844E-2</v>
      </c>
      <c r="D20" s="17"/>
      <c r="F20" s="3">
        <f t="shared" si="25"/>
        <v>1.5642990864031939E-2</v>
      </c>
      <c r="G20" s="3">
        <f t="shared" si="25"/>
        <v>1.5321030271222473E-2</v>
      </c>
      <c r="H20" s="3">
        <f t="shared" si="25"/>
        <v>1.2444279606171893E-2</v>
      </c>
      <c r="I20" s="3">
        <f t="shared" si="25"/>
        <v>1.5552050564132584E-3</v>
      </c>
      <c r="J20" s="3">
        <f t="shared" si="25"/>
        <v>1.4453287779938425E-12</v>
      </c>
      <c r="K20" s="3">
        <f t="shared" si="25"/>
        <v>6.9463482764403623E-103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2.6017476475501983E-2</v>
      </c>
      <c r="C21" s="18">
        <f t="shared" si="3"/>
        <v>2.5896955455741541E-2</v>
      </c>
      <c r="D21" s="17"/>
      <c r="F21" s="3">
        <f t="shared" si="25"/>
        <v>2.5891557882559157E-2</v>
      </c>
      <c r="G21" s="3">
        <f t="shared" si="25"/>
        <v>2.584303032030669E-2</v>
      </c>
      <c r="H21" s="3">
        <f t="shared" si="25"/>
        <v>2.5362729110361967E-2</v>
      </c>
      <c r="I21" s="3">
        <f t="shared" si="25"/>
        <v>2.1024295109343765E-2</v>
      </c>
      <c r="J21" s="3">
        <f t="shared" si="25"/>
        <v>3.2208911742499405E-3</v>
      </c>
      <c r="K21" s="3">
        <f t="shared" si="25"/>
        <v>2.2936234785235041E-11</v>
      </c>
      <c r="L21" s="3">
        <f t="shared" si="25"/>
        <v>7.6910010011403455E-93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3.0699776817779984E-2</v>
      </c>
      <c r="C22" s="18">
        <f t="shared" si="3"/>
        <v>3.0557565930725634E-2</v>
      </c>
      <c r="D22" s="17"/>
      <c r="F22" s="3">
        <f t="shared" si="25"/>
        <v>3.0556991342982336E-2</v>
      </c>
      <c r="G22" s="3">
        <f t="shared" si="25"/>
        <v>3.0551820539458763E-2</v>
      </c>
      <c r="H22" s="3">
        <f t="shared" si="25"/>
        <v>3.0500160604515551E-2</v>
      </c>
      <c r="I22" s="3">
        <f t="shared" si="25"/>
        <v>2.998834130166781E-2</v>
      </c>
      <c r="J22" s="3">
        <f t="shared" si="25"/>
        <v>2.5319529580793525E-2</v>
      </c>
      <c r="K22" s="3">
        <f t="shared" si="25"/>
        <v>4.6610902084910436E-3</v>
      </c>
      <c r="L22" s="3">
        <f t="shared" si="25"/>
        <v>2.0835612134409384E-10</v>
      </c>
      <c r="M22" s="3">
        <f t="shared" si="25"/>
        <v>6.6373363312526957E-84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3.4115675541821718E-2</v>
      </c>
      <c r="C23" s="18">
        <f t="shared" si="3"/>
        <v>3.3957641152514657E-2</v>
      </c>
      <c r="D23" s="17"/>
      <c r="F23" s="3">
        <f t="shared" si="25"/>
        <v>3.3957583552125102E-2</v>
      </c>
      <c r="G23" s="3">
        <f t="shared" si="25"/>
        <v>3.3957065153015796E-2</v>
      </c>
      <c r="H23" s="3">
        <f t="shared" si="25"/>
        <v>3.3951881597168429E-2</v>
      </c>
      <c r="I23" s="3">
        <f t="shared" si="25"/>
        <v>3.3900089538692543E-2</v>
      </c>
      <c r="J23" s="3">
        <f t="shared" si="25"/>
        <v>3.3386494482791247E-2</v>
      </c>
      <c r="K23" s="3">
        <f t="shared" si="25"/>
        <v>2.8659630192096507E-2</v>
      </c>
      <c r="L23" s="3">
        <f t="shared" si="25"/>
        <v>6.226846939080986E-3</v>
      </c>
      <c r="M23" s="3">
        <f t="shared" si="25"/>
        <v>1.4596350180154724E-9</v>
      </c>
      <c r="N23" s="3">
        <f t="shared" si="25"/>
        <v>7.311476829239284E-76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2.8101007614687246E-2</v>
      </c>
      <c r="C24" s="18">
        <f t="shared" si="3"/>
        <v>2.7970835032530519E-2</v>
      </c>
      <c r="D24" s="17"/>
      <c r="F24" s="3">
        <f t="shared" si="25"/>
        <v>2.7970830752565064E-2</v>
      </c>
      <c r="G24" s="3">
        <f t="shared" si="25"/>
        <v>2.7970792232905425E-2</v>
      </c>
      <c r="H24" s="3">
        <f t="shared" si="25"/>
        <v>2.7970407039226593E-2</v>
      </c>
      <c r="I24" s="3">
        <f t="shared" si="25"/>
        <v>2.7966555394179839E-2</v>
      </c>
      <c r="J24" s="3">
        <f t="shared" si="25"/>
        <v>2.7928068103007148E-2</v>
      </c>
      <c r="K24" s="3">
        <f t="shared" si="25"/>
        <v>2.7546096317483865E-2</v>
      </c>
      <c r="L24" s="3">
        <f t="shared" si="25"/>
        <v>2.4002237587878811E-2</v>
      </c>
      <c r="M24" s="3">
        <f t="shared" si="25"/>
        <v>6.0557566751546794E-3</v>
      </c>
      <c r="N24" s="3">
        <f t="shared" si="25"/>
        <v>6.3290026707339678E-9</v>
      </c>
      <c r="O24" s="3">
        <f t="shared" si="25"/>
        <v>9.8401994839696794E-69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2.3390756791058332E-2</v>
      </c>
      <c r="C25" s="18">
        <f t="shared" si="3"/>
        <v>2.3282403551493334E-2</v>
      </c>
      <c r="D25" s="17"/>
      <c r="F25" s="3">
        <f t="shared" si="25"/>
        <v>2.3282403230120423E-2</v>
      </c>
      <c r="G25" s="3">
        <f t="shared" si="25"/>
        <v>2.3282400337764429E-2</v>
      </c>
      <c r="H25" s="3">
        <f t="shared" si="25"/>
        <v>2.3282371414224262E-2</v>
      </c>
      <c r="I25" s="3">
        <f t="shared" si="25"/>
        <v>2.3282082180798792E-2</v>
      </c>
      <c r="J25" s="3">
        <f t="shared" si="25"/>
        <v>2.3279190044157447E-2</v>
      </c>
      <c r="K25" s="3">
        <f t="shared" si="25"/>
        <v>2.3250288429997504E-2</v>
      </c>
      <c r="L25" s="3">
        <f t="shared" si="25"/>
        <v>2.2963238464749666E-2</v>
      </c>
      <c r="M25" s="3">
        <f t="shared" si="25"/>
        <v>2.0280611484358866E-2</v>
      </c>
      <c r="N25" s="3">
        <f t="shared" si="25"/>
        <v>5.8554481627489385E-3</v>
      </c>
      <c r="O25" s="3">
        <f t="shared" si="25"/>
        <v>2.3569539265556129E-8</v>
      </c>
      <c r="P25" s="3">
        <f t="shared" si="25"/>
        <v>2.6318468755171099E-62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2.6076318154864862E-2</v>
      </c>
      <c r="C26" s="18">
        <f t="shared" si="3"/>
        <v>2.595552456219721E-2</v>
      </c>
      <c r="D26" s="17"/>
      <c r="F26" s="3">
        <f t="shared" si="25"/>
        <v>2.5955524529878211E-2</v>
      </c>
      <c r="G26" s="3">
        <f t="shared" si="25"/>
        <v>2.5955524239007252E-2</v>
      </c>
      <c r="H26" s="3">
        <f t="shared" si="25"/>
        <v>2.5955521330297836E-2</v>
      </c>
      <c r="I26" s="3">
        <f t="shared" si="25"/>
        <v>2.5955492243221575E-2</v>
      </c>
      <c r="J26" s="3">
        <f t="shared" si="25"/>
        <v>2.5955201374251793E-2</v>
      </c>
      <c r="K26" s="3">
        <f t="shared" si="25"/>
        <v>2.5952292863826443E-2</v>
      </c>
      <c r="L26" s="3">
        <f t="shared" si="25"/>
        <v>2.5923225679388897E-2</v>
      </c>
      <c r="M26" s="3">
        <f t="shared" si="25"/>
        <v>2.5634338408538983E-2</v>
      </c>
      <c r="N26" s="3">
        <f t="shared" si="25"/>
        <v>2.2916740094429195E-2</v>
      </c>
      <c r="O26" s="3">
        <f t="shared" si="25"/>
        <v>7.4723997873518159E-3</v>
      </c>
      <c r="P26" s="3">
        <f t="shared" si="25"/>
        <v>1.0151558002803504E-7</v>
      </c>
      <c r="Q26" s="3">
        <f t="shared" si="25"/>
        <v>2.1739958471930714E-56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2.4873635734528943E-2</v>
      </c>
      <c r="C27" s="18">
        <f t="shared" si="3"/>
        <v>2.4758413339816761E-2</v>
      </c>
      <c r="D27" s="17"/>
      <c r="F27" s="3">
        <f t="shared" si="25"/>
        <v>2.4758413337035785E-2</v>
      </c>
      <c r="G27" s="3">
        <f t="shared" si="25"/>
        <v>2.475841331200699E-2</v>
      </c>
      <c r="H27" s="3">
        <f t="shared" si="25"/>
        <v>2.4758413061719033E-2</v>
      </c>
      <c r="I27" s="3">
        <f t="shared" si="25"/>
        <v>2.4758410558839598E-2</v>
      </c>
      <c r="J27" s="3">
        <f t="shared" si="25"/>
        <v>2.4758385530059168E-2</v>
      </c>
      <c r="K27" s="3">
        <f t="shared" si="25"/>
        <v>2.4758135243646513E-2</v>
      </c>
      <c r="L27" s="3">
        <f t="shared" si="25"/>
        <v>2.4755632518675866E-2</v>
      </c>
      <c r="M27" s="3">
        <f t="shared" si="25"/>
        <v>2.4730619179359665E-2</v>
      </c>
      <c r="N27" s="3">
        <f t="shared" si="25"/>
        <v>2.4481871636210392E-2</v>
      </c>
      <c r="O27" s="3">
        <f t="shared" si="25"/>
        <v>2.2127934767108129E-2</v>
      </c>
      <c r="P27" s="3">
        <f t="shared" si="25"/>
        <v>8.0519958456119426E-3</v>
      </c>
      <c r="Q27" s="3">
        <f t="shared" si="25"/>
        <v>3.2774052032676655E-7</v>
      </c>
      <c r="R27" s="3">
        <f t="shared" si="25"/>
        <v>4.0906856389618132E-51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2.5617550740181971E-2</v>
      </c>
      <c r="C28" s="18">
        <f t="shared" si="3"/>
        <v>2.5498882300455362E-2</v>
      </c>
      <c r="D28" s="17"/>
      <c r="F28" s="3">
        <f t="shared" si="25"/>
        <v>2.5498882300196993E-2</v>
      </c>
      <c r="G28" s="3">
        <f t="shared" si="25"/>
        <v>2.5498882297871662E-2</v>
      </c>
      <c r="H28" s="3">
        <f t="shared" si="25"/>
        <v>2.5498882274618346E-2</v>
      </c>
      <c r="I28" s="3">
        <f t="shared" si="25"/>
        <v>2.5498882042085193E-2</v>
      </c>
      <c r="J28" s="3">
        <f t="shared" si="25"/>
        <v>2.549887971675378E-2</v>
      </c>
      <c r="K28" s="3">
        <f t="shared" si="25"/>
        <v>2.5498856463451316E-2</v>
      </c>
      <c r="L28" s="3">
        <f t="shared" si="25"/>
        <v>2.5498623931592981E-2</v>
      </c>
      <c r="M28" s="3">
        <f t="shared" si="25"/>
        <v>2.549629872963553E-2</v>
      </c>
      <c r="N28" s="3">
        <f t="shared" si="25"/>
        <v>2.5473058368717372E-2</v>
      </c>
      <c r="O28" s="3">
        <f t="shared" si="25"/>
        <v>2.52418167009348E-2</v>
      </c>
      <c r="P28" s="3">
        <f t="shared" si="25"/>
        <v>2.3041767395566754E-2</v>
      </c>
      <c r="Q28" s="3">
        <f t="shared" si="25"/>
        <v>9.2569428557896776E-3</v>
      </c>
      <c r="R28" s="3">
        <f t="shared" si="25"/>
        <v>1.0138776024003592E-6</v>
      </c>
      <c r="S28" s="3">
        <f t="shared" si="25"/>
        <v>2.5186335998697484E-46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2.6277901605873708E-2</v>
      </c>
      <c r="C29" s="18">
        <f t="shared" si="3"/>
        <v>2.6156174216144482E-2</v>
      </c>
      <c r="D29" s="17"/>
      <c r="F29" s="3">
        <f t="shared" si="25"/>
        <v>2.6156174216120574E-2</v>
      </c>
      <c r="G29" s="3">
        <f t="shared" si="25"/>
        <v>2.6156174215905402E-2</v>
      </c>
      <c r="H29" s="3">
        <f t="shared" si="25"/>
        <v>2.6156174213753689E-2</v>
      </c>
      <c r="I29" s="3">
        <f t="shared" si="25"/>
        <v>2.6156174192236547E-2</v>
      </c>
      <c r="J29" s="3">
        <f t="shared" si="25"/>
        <v>2.6156173977065145E-2</v>
      </c>
      <c r="K29" s="3">
        <f t="shared" si="25"/>
        <v>2.6156171825351231E-2</v>
      </c>
      <c r="L29" s="3">
        <f t="shared" si="25"/>
        <v>2.6156150308221795E-2</v>
      </c>
      <c r="M29" s="3">
        <f t="shared" si="25"/>
        <v>2.6155935137900984E-2</v>
      </c>
      <c r="N29" s="3">
        <f t="shared" si="25"/>
        <v>2.615378353204445E-2</v>
      </c>
      <c r="O29" s="3">
        <f t="shared" si="25"/>
        <v>2.613227720567184E-2</v>
      </c>
      <c r="P29" s="3">
        <f t="shared" si="25"/>
        <v>2.591818420547037E-2</v>
      </c>
      <c r="Q29" s="3">
        <f t="shared" si="25"/>
        <v>2.3871391158681823E-2</v>
      </c>
      <c r="R29" s="3">
        <f t="shared" si="25"/>
        <v>1.04859866375754E-2</v>
      </c>
      <c r="S29" s="3">
        <f t="shared" si="25"/>
        <v>2.8049492450744074E-6</v>
      </c>
      <c r="T29" s="3">
        <f t="shared" si="25"/>
        <v>5.2611669069590652E-42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3.7715651944108086E-2</v>
      </c>
      <c r="C30" s="18">
        <f t="shared" si="3"/>
        <v>3.7540941347655205E-2</v>
      </c>
      <c r="D30" s="17"/>
      <c r="F30" s="3">
        <f t="shared" si="25"/>
        <v>3.754094134765211E-2</v>
      </c>
      <c r="G30" s="3">
        <f t="shared" si="25"/>
        <v>3.754094134762425E-2</v>
      </c>
      <c r="H30" s="3">
        <f t="shared" si="25"/>
        <v>3.7540941347345667E-2</v>
      </c>
      <c r="I30" s="3">
        <f t="shared" si="25"/>
        <v>3.7540941344559785E-2</v>
      </c>
      <c r="J30" s="3">
        <f t="shared" si="25"/>
        <v>3.7540941316701007E-2</v>
      </c>
      <c r="K30" s="3">
        <f t="shared" si="25"/>
        <v>3.7540941038113215E-2</v>
      </c>
      <c r="L30" s="3">
        <f t="shared" si="25"/>
        <v>3.7540938252235437E-2</v>
      </c>
      <c r="M30" s="3">
        <f t="shared" si="25"/>
        <v>3.7540910393469039E-2</v>
      </c>
      <c r="N30" s="3">
        <f t="shared" si="25"/>
        <v>3.7540631806942087E-2</v>
      </c>
      <c r="O30" s="3">
        <f t="shared" si="25"/>
        <v>3.7537846055374656E-2</v>
      </c>
      <c r="P30" s="3">
        <f t="shared" si="25"/>
        <v>3.7509999906787765E-2</v>
      </c>
      <c r="Q30" s="3">
        <f t="shared" si="25"/>
        <v>3.7232672014746934E-2</v>
      </c>
      <c r="R30" s="3">
        <f t="shared" si="25"/>
        <v>3.4569700749346136E-2</v>
      </c>
      <c r="S30" s="3">
        <f t="shared" si="25"/>
        <v>1.64592398901999E-2</v>
      </c>
      <c r="T30" s="3">
        <f t="shared" si="25"/>
        <v>9.8526107261163481E-6</v>
      </c>
      <c r="U30" s="3">
        <f t="shared" si="25"/>
        <v>5.8205874244216743E-38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3.0103622330363698E-2</v>
      </c>
      <c r="C31" s="18">
        <f t="shared" si="3"/>
        <v>2.9964173015778757E-2</v>
      </c>
      <c r="D31" s="17"/>
      <c r="F31" s="3">
        <f t="shared" si="25"/>
        <v>2.9964173015778535E-2</v>
      </c>
      <c r="G31" s="3">
        <f t="shared" si="25"/>
        <v>2.996417301577653E-2</v>
      </c>
      <c r="H31" s="3">
        <f t="shared" si="25"/>
        <v>2.9964173015756469E-2</v>
      </c>
      <c r="I31" s="3">
        <f t="shared" si="25"/>
        <v>2.9964173015555883E-2</v>
      </c>
      <c r="J31" s="3">
        <f t="shared" si="25"/>
        <v>2.9964173013549998E-2</v>
      </c>
      <c r="K31" s="3">
        <f t="shared" si="25"/>
        <v>2.9964172993491158E-2</v>
      </c>
      <c r="L31" s="3">
        <f t="shared" si="25"/>
        <v>2.9964172792902762E-2</v>
      </c>
      <c r="M31" s="3">
        <f t="shared" si="25"/>
        <v>2.9964170787018875E-2</v>
      </c>
      <c r="N31" s="3">
        <f t="shared" si="25"/>
        <v>2.9964150728187405E-2</v>
      </c>
      <c r="O31" s="3">
        <f t="shared" si="25"/>
        <v>2.9963950140611227E-2</v>
      </c>
      <c r="P31" s="3">
        <f t="shared" si="25"/>
        <v>2.9961944338701068E-2</v>
      </c>
      <c r="Q31" s="3">
        <f t="shared" si="25"/>
        <v>2.9941893702933094E-2</v>
      </c>
      <c r="R31" s="3">
        <f t="shared" si="25"/>
        <v>2.974212385312025E-2</v>
      </c>
      <c r="S31" s="3">
        <f t="shared" si="25"/>
        <v>2.7816284104526284E-2</v>
      </c>
      <c r="T31" s="3">
        <f t="shared" si="25"/>
        <v>1.4241983213649025E-2</v>
      </c>
      <c r="U31" s="3">
        <f t="shared" si="25"/>
        <v>1.7631287652969313E-5</v>
      </c>
      <c r="V31" s="3">
        <f t="shared" si="26"/>
        <v>1.4908008961633829E-34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7.174924867622165E-2</v>
      </c>
      <c r="C32" s="18">
        <f t="shared" si="3"/>
        <v>7.1416883904963147E-2</v>
      </c>
      <c r="D32" s="17"/>
      <c r="F32" s="3">
        <f t="shared" si="25"/>
        <v>7.1416883904963105E-2</v>
      </c>
      <c r="G32" s="3">
        <f t="shared" si="25"/>
        <v>7.1416883904962675E-2</v>
      </c>
      <c r="H32" s="3">
        <f t="shared" si="25"/>
        <v>7.1416883904958359E-2</v>
      </c>
      <c r="I32" s="3">
        <f t="shared" si="25"/>
        <v>7.1416883904915227E-2</v>
      </c>
      <c r="J32" s="3">
        <f t="shared" si="25"/>
        <v>7.141688390448396E-2</v>
      </c>
      <c r="K32" s="3">
        <f t="shared" si="25"/>
        <v>7.1416883900171244E-2</v>
      </c>
      <c r="L32" s="3">
        <f t="shared" si="25"/>
        <v>7.1416883857044061E-2</v>
      </c>
      <c r="M32" s="3">
        <f t="shared" si="25"/>
        <v>7.1416883425772335E-2</v>
      </c>
      <c r="N32" s="3">
        <f t="shared" si="25"/>
        <v>7.1416879113055109E-2</v>
      </c>
      <c r="O32" s="3">
        <f t="shared" si="25"/>
        <v>7.1416835985897223E-2</v>
      </c>
      <c r="P32" s="3">
        <f t="shared" si="25"/>
        <v>7.1416404715750739E-2</v>
      </c>
      <c r="Q32" s="3">
        <f t="shared" si="25"/>
        <v>7.1412092157522158E-2</v>
      </c>
      <c r="R32" s="3">
        <f t="shared" si="25"/>
        <v>7.1368980895663653E-2</v>
      </c>
      <c r="S32" s="3">
        <f t="shared" si="25"/>
        <v>7.0939297125281631E-2</v>
      </c>
      <c r="T32" s="3">
        <f t="shared" si="25"/>
        <v>6.678220260399885E-2</v>
      </c>
      <c r="U32" s="3">
        <f t="shared" si="25"/>
        <v>3.6508947727697104E-2</v>
      </c>
      <c r="V32" s="3">
        <f t="shared" si="26"/>
        <v>8.705326919251742E-5</v>
      </c>
      <c r="W32" s="3">
        <f t="shared" si="26"/>
        <v>5.1718125999964651E-31</v>
      </c>
      <c r="X32" s="3">
        <f t="shared" si="26"/>
        <v>2.8328248697185128E-293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0.10359349480087904</v>
      </c>
      <c r="C33" s="18">
        <f t="shared" si="3"/>
        <v>0.10311361760580572</v>
      </c>
      <c r="D33" s="17"/>
      <c r="F33" s="3">
        <f t="shared" si="25"/>
        <v>0.1031136176058057</v>
      </c>
      <c r="G33" s="3">
        <f t="shared" si="25"/>
        <v>0.10311361760580566</v>
      </c>
      <c r="H33" s="3">
        <f t="shared" si="25"/>
        <v>0.10311361760580509</v>
      </c>
      <c r="I33" s="3">
        <f t="shared" si="25"/>
        <v>0.10311361760579947</v>
      </c>
      <c r="J33" s="3">
        <f t="shared" si="25"/>
        <v>0.10311361760574331</v>
      </c>
      <c r="K33" s="3">
        <f t="shared" si="25"/>
        <v>0.10311361760518159</v>
      </c>
      <c r="L33" s="3">
        <f t="shared" si="25"/>
        <v>0.10311361759956449</v>
      </c>
      <c r="M33" s="3">
        <f t="shared" si="25"/>
        <v>0.1031136175433934</v>
      </c>
      <c r="N33" s="3">
        <f t="shared" si="25"/>
        <v>0.10311361698168268</v>
      </c>
      <c r="O33" s="3">
        <f t="shared" si="25"/>
        <v>0.10311361136457561</v>
      </c>
      <c r="P33" s="3">
        <f t="shared" si="25"/>
        <v>0.10311355519352174</v>
      </c>
      <c r="Q33" s="3">
        <f t="shared" si="25"/>
        <v>0.10311299348466581</v>
      </c>
      <c r="R33" s="3">
        <f t="shared" si="25"/>
        <v>0.10310737656439824</v>
      </c>
      <c r="S33" s="3">
        <f t="shared" si="25"/>
        <v>0.10305122418748844</v>
      </c>
      <c r="T33" s="3">
        <f t="shared" si="25"/>
        <v>0.10249137960856051</v>
      </c>
      <c r="U33" s="3">
        <f t="shared" ref="P33:AE48" si="27">$C33*EXP(-U$15/$A33)</f>
        <v>9.7057517058142237E-2</v>
      </c>
      <c r="V33" s="3">
        <f t="shared" si="27"/>
        <v>5.629211358213268E-2</v>
      </c>
      <c r="W33" s="3">
        <f t="shared" si="27"/>
        <v>2.4245510837429186E-4</v>
      </c>
      <c r="X33" s="3">
        <f t="shared" si="27"/>
        <v>5.3268341408864546E-28</v>
      </c>
      <c r="Y33" s="3">
        <f t="shared" si="27"/>
        <v>1.3958782225147734E-264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8.7697901754524354E-2</v>
      </c>
      <c r="C34" s="18">
        <f t="shared" si="3"/>
        <v>8.7291657876096773E-2</v>
      </c>
      <c r="D34" s="17"/>
      <c r="F34" s="3">
        <f t="shared" ref="F34:O48" si="28">$C34*EXP(-F$15/$A34)</f>
        <v>8.7291657876096773E-2</v>
      </c>
      <c r="G34" s="3">
        <f t="shared" si="28"/>
        <v>8.7291657876096773E-2</v>
      </c>
      <c r="H34" s="3">
        <f t="shared" si="28"/>
        <v>8.7291657876096732E-2</v>
      </c>
      <c r="I34" s="3">
        <f t="shared" si="28"/>
        <v>8.7291657876096301E-2</v>
      </c>
      <c r="J34" s="3">
        <f t="shared" si="28"/>
        <v>8.7291657876091999E-2</v>
      </c>
      <c r="K34" s="3">
        <f t="shared" si="28"/>
        <v>8.7291657876049117E-2</v>
      </c>
      <c r="L34" s="3">
        <f t="shared" si="28"/>
        <v>8.7291657875620154E-2</v>
      </c>
      <c r="M34" s="3">
        <f t="shared" si="28"/>
        <v>8.7291657871330558E-2</v>
      </c>
      <c r="N34" s="3">
        <f t="shared" si="28"/>
        <v>8.7291657828434635E-2</v>
      </c>
      <c r="O34" s="3">
        <f t="shared" si="28"/>
        <v>8.7291657399475392E-2</v>
      </c>
      <c r="P34" s="3">
        <f t="shared" si="27"/>
        <v>8.7291653109883141E-2</v>
      </c>
      <c r="Q34" s="3">
        <f t="shared" si="27"/>
        <v>8.7291610213972151E-2</v>
      </c>
      <c r="R34" s="3">
        <f t="shared" si="27"/>
        <v>8.7291181256021699E-2</v>
      </c>
      <c r="S34" s="3">
        <f t="shared" si="27"/>
        <v>8.728689179245179E-2</v>
      </c>
      <c r="T34" s="3">
        <f t="shared" si="27"/>
        <v>8.7244008748109267E-2</v>
      </c>
      <c r="U34" s="3">
        <f t="shared" si="27"/>
        <v>8.6816335335549139E-2</v>
      </c>
      <c r="V34" s="3">
        <f t="shared" si="27"/>
        <v>8.2653227932963313E-2</v>
      </c>
      <c r="W34" s="3">
        <f t="shared" si="27"/>
        <v>5.0564243575937369E-2</v>
      </c>
      <c r="X34" s="3">
        <f t="shared" si="27"/>
        <v>3.7126197491682859E-4</v>
      </c>
      <c r="Y34" s="3">
        <f t="shared" si="27"/>
        <v>1.6906356744717148E-25</v>
      </c>
      <c r="Z34" s="3">
        <f t="shared" si="27"/>
        <v>6.4825460729912419E-239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7.2547512869058389E-2</v>
      </c>
      <c r="C35" s="18">
        <f t="shared" si="3"/>
        <v>7.2211450290495263E-2</v>
      </c>
      <c r="D35" s="17"/>
      <c r="F35" s="3">
        <f t="shared" si="28"/>
        <v>7.2211450290495263E-2</v>
      </c>
      <c r="G35" s="3">
        <f t="shared" si="28"/>
        <v>7.2211450290495263E-2</v>
      </c>
      <c r="H35" s="3">
        <f t="shared" si="28"/>
        <v>7.2211450290495263E-2</v>
      </c>
      <c r="I35" s="3">
        <f t="shared" si="28"/>
        <v>7.2211450290495235E-2</v>
      </c>
      <c r="J35" s="3">
        <f t="shared" si="28"/>
        <v>7.2211450290494916E-2</v>
      </c>
      <c r="K35" s="3">
        <f t="shared" si="28"/>
        <v>7.221145029049171E-2</v>
      </c>
      <c r="L35" s="3">
        <f t="shared" si="28"/>
        <v>7.2211450290459694E-2</v>
      </c>
      <c r="M35" s="3">
        <f t="shared" si="28"/>
        <v>7.2211450290139589E-2</v>
      </c>
      <c r="N35" s="3">
        <f t="shared" si="28"/>
        <v>7.2211450286938511E-2</v>
      </c>
      <c r="O35" s="3">
        <f t="shared" si="28"/>
        <v>7.2211450254927756E-2</v>
      </c>
      <c r="P35" s="3">
        <f t="shared" si="27"/>
        <v>7.221144993482019E-2</v>
      </c>
      <c r="Q35" s="3">
        <f t="shared" si="27"/>
        <v>7.2211446733744591E-2</v>
      </c>
      <c r="R35" s="3">
        <f t="shared" si="27"/>
        <v>7.2211414722996428E-2</v>
      </c>
      <c r="S35" s="3">
        <f t="shared" si="27"/>
        <v>7.2211094616295282E-2</v>
      </c>
      <c r="T35" s="3">
        <f t="shared" si="27"/>
        <v>7.2207893627328018E-2</v>
      </c>
      <c r="U35" s="3">
        <f t="shared" si="27"/>
        <v>7.2175891540794637E-2</v>
      </c>
      <c r="V35" s="3">
        <f t="shared" si="27"/>
        <v>7.1856649711056236E-2</v>
      </c>
      <c r="W35" s="3">
        <f t="shared" si="27"/>
        <v>6.8740872223783764E-2</v>
      </c>
      <c r="X35" s="3">
        <f t="shared" si="27"/>
        <v>4.4126123616758849E-2</v>
      </c>
      <c r="Y35" s="3">
        <f t="shared" si="27"/>
        <v>5.2420742270331642E-4</v>
      </c>
      <c r="Z35" s="3">
        <f t="shared" si="27"/>
        <v>2.9347901662039515E-23</v>
      </c>
      <c r="AA35" s="3">
        <f t="shared" si="27"/>
        <v>8.8780164423392505E-216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4.7948541489448444E-2</v>
      </c>
      <c r="C36" s="18">
        <f t="shared" si="3"/>
        <v>4.7726428975124642E-2</v>
      </c>
      <c r="D36" s="17"/>
      <c r="F36" s="3">
        <f t="shared" si="28"/>
        <v>4.7726428975124642E-2</v>
      </c>
      <c r="G36" s="3">
        <f t="shared" si="28"/>
        <v>4.7726428975124642E-2</v>
      </c>
      <c r="H36" s="3">
        <f t="shared" si="28"/>
        <v>4.7726428975124642E-2</v>
      </c>
      <c r="I36" s="3">
        <f t="shared" si="28"/>
        <v>4.7726428975124642E-2</v>
      </c>
      <c r="J36" s="3">
        <f t="shared" si="28"/>
        <v>4.7726428975124621E-2</v>
      </c>
      <c r="K36" s="3">
        <f t="shared" si="28"/>
        <v>4.7726428975124427E-2</v>
      </c>
      <c r="L36" s="3">
        <f t="shared" si="28"/>
        <v>4.7726428975122526E-2</v>
      </c>
      <c r="M36" s="3">
        <f t="shared" si="28"/>
        <v>4.7726428975103437E-2</v>
      </c>
      <c r="N36" s="3">
        <f t="shared" si="28"/>
        <v>4.7726428974912583E-2</v>
      </c>
      <c r="O36" s="3">
        <f t="shared" si="28"/>
        <v>4.7726428973004074E-2</v>
      </c>
      <c r="P36" s="3">
        <f t="shared" si="27"/>
        <v>4.7726428953918931E-2</v>
      </c>
      <c r="Q36" s="3">
        <f t="shared" si="27"/>
        <v>4.7726428763067506E-2</v>
      </c>
      <c r="R36" s="3">
        <f t="shared" si="27"/>
        <v>4.7726426854553305E-2</v>
      </c>
      <c r="S36" s="3">
        <f t="shared" si="27"/>
        <v>4.7726407769415502E-2</v>
      </c>
      <c r="T36" s="3">
        <f t="shared" si="27"/>
        <v>4.7726216918457201E-2</v>
      </c>
      <c r="U36" s="3">
        <f t="shared" si="27"/>
        <v>4.7724308450848921E-2</v>
      </c>
      <c r="V36" s="3">
        <f t="shared" si="27"/>
        <v>4.7705227971613404E-2</v>
      </c>
      <c r="W36" s="3">
        <f t="shared" si="27"/>
        <v>4.751484224369399E-2</v>
      </c>
      <c r="X36" s="3">
        <f t="shared" si="27"/>
        <v>4.5652277945384248E-2</v>
      </c>
      <c r="Y36" s="3">
        <f t="shared" si="27"/>
        <v>3.0605118342014882E-2</v>
      </c>
      <c r="Z36" s="3">
        <f t="shared" si="27"/>
        <v>5.6119031493174847E-4</v>
      </c>
      <c r="AA36" s="3">
        <f t="shared" si="27"/>
        <v>2.4114108420203088E-21</v>
      </c>
      <c r="AB36" s="3">
        <f t="shared" si="27"/>
        <v>5.1746577162198142E-195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3.3653950334474395E-2</v>
      </c>
      <c r="C37" s="18">
        <f t="shared" si="3"/>
        <v>3.3498054799521296E-2</v>
      </c>
      <c r="D37" s="17"/>
      <c r="F37" s="3">
        <f t="shared" si="28"/>
        <v>3.3498054799521296E-2</v>
      </c>
      <c r="G37" s="3">
        <f t="shared" si="28"/>
        <v>3.3498054799521296E-2</v>
      </c>
      <c r="H37" s="3">
        <f t="shared" si="28"/>
        <v>3.3498054799521296E-2</v>
      </c>
      <c r="I37" s="3">
        <f t="shared" si="28"/>
        <v>3.3498054799521296E-2</v>
      </c>
      <c r="J37" s="3">
        <f t="shared" si="28"/>
        <v>3.3498054799521296E-2</v>
      </c>
      <c r="K37" s="3">
        <f t="shared" si="28"/>
        <v>3.3498054799521282E-2</v>
      </c>
      <c r="L37" s="3">
        <f t="shared" si="28"/>
        <v>3.3498054799521164E-2</v>
      </c>
      <c r="M37" s="3">
        <f t="shared" si="28"/>
        <v>3.3498054799519957E-2</v>
      </c>
      <c r="N37" s="3">
        <f t="shared" si="28"/>
        <v>3.3498054799507869E-2</v>
      </c>
      <c r="O37" s="3">
        <f t="shared" si="28"/>
        <v>3.3498054799387028E-2</v>
      </c>
      <c r="P37" s="3">
        <f t="shared" si="27"/>
        <v>3.3498054798178654E-2</v>
      </c>
      <c r="Q37" s="3">
        <f t="shared" si="27"/>
        <v>3.3498054786094876E-2</v>
      </c>
      <c r="R37" s="3">
        <f t="shared" si="27"/>
        <v>3.3498054665257126E-2</v>
      </c>
      <c r="S37" s="3">
        <f t="shared" si="27"/>
        <v>3.349805345687961E-2</v>
      </c>
      <c r="T37" s="3">
        <f t="shared" si="27"/>
        <v>3.3498041373106843E-2</v>
      </c>
      <c r="U37" s="3">
        <f t="shared" si="27"/>
        <v>3.3497920535618966E-2</v>
      </c>
      <c r="V37" s="3">
        <f t="shared" si="27"/>
        <v>3.3496712184714214E-2</v>
      </c>
      <c r="W37" s="3">
        <f t="shared" si="27"/>
        <v>3.3484631072754796E-2</v>
      </c>
      <c r="X37" s="3">
        <f t="shared" si="27"/>
        <v>3.3364059342334183E-2</v>
      </c>
      <c r="Y37" s="3">
        <f t="shared" si="27"/>
        <v>3.2181964501496921E-2</v>
      </c>
      <c r="Z37" s="3">
        <f t="shared" si="27"/>
        <v>2.243619553145626E-2</v>
      </c>
      <c r="AA37" s="3">
        <f t="shared" si="27"/>
        <v>6.0857746105783938E-4</v>
      </c>
      <c r="AB37" s="3">
        <f t="shared" si="27"/>
        <v>1.312146547276875E-19</v>
      </c>
      <c r="AC37" s="3">
        <f t="shared" si="27"/>
        <v>2.8487026634251205E-176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8.3664082320655704E-3</v>
      </c>
      <c r="C38" s="18">
        <f t="shared" si="3"/>
        <v>8.3276524344842746E-3</v>
      </c>
      <c r="D38" s="17"/>
      <c r="F38" s="3">
        <f t="shared" si="28"/>
        <v>8.3276524344842746E-3</v>
      </c>
      <c r="G38" s="3">
        <f t="shared" si="28"/>
        <v>8.3276524344842746E-3</v>
      </c>
      <c r="H38" s="3">
        <f t="shared" si="28"/>
        <v>8.3276524344842746E-3</v>
      </c>
      <c r="I38" s="3">
        <f t="shared" si="28"/>
        <v>8.3276524344842746E-3</v>
      </c>
      <c r="J38" s="3">
        <f t="shared" si="28"/>
        <v>8.3276524344842746E-3</v>
      </c>
      <c r="K38" s="3">
        <f t="shared" si="28"/>
        <v>8.3276524344842746E-3</v>
      </c>
      <c r="L38" s="3">
        <f t="shared" si="28"/>
        <v>8.3276524344842711E-3</v>
      </c>
      <c r="M38" s="3">
        <f t="shared" si="28"/>
        <v>8.3276524344842433E-3</v>
      </c>
      <c r="N38" s="3">
        <f t="shared" si="28"/>
        <v>8.3276524344839727E-3</v>
      </c>
      <c r="O38" s="3">
        <f t="shared" si="28"/>
        <v>8.3276524344812631E-3</v>
      </c>
      <c r="P38" s="3">
        <f t="shared" si="27"/>
        <v>8.327652434454165E-3</v>
      </c>
      <c r="Q38" s="3">
        <f t="shared" si="27"/>
        <v>8.3276524341831751E-3</v>
      </c>
      <c r="R38" s="3">
        <f t="shared" si="27"/>
        <v>8.3276524314732821E-3</v>
      </c>
      <c r="S38" s="3">
        <f t="shared" si="27"/>
        <v>8.3276524043743461E-3</v>
      </c>
      <c r="T38" s="3">
        <f t="shared" si="27"/>
        <v>8.3276521333849919E-3</v>
      </c>
      <c r="U38" s="3">
        <f t="shared" si="27"/>
        <v>8.3276494234919337E-3</v>
      </c>
      <c r="V38" s="3">
        <f t="shared" si="27"/>
        <v>8.3276223246098596E-3</v>
      </c>
      <c r="W38" s="3">
        <f t="shared" si="27"/>
        <v>8.3273513406390762E-3</v>
      </c>
      <c r="X38" s="3">
        <f t="shared" si="27"/>
        <v>8.3246419858695377E-3</v>
      </c>
      <c r="Y38" s="3">
        <f t="shared" si="27"/>
        <v>8.297596873666822E-3</v>
      </c>
      <c r="Z38" s="3">
        <f t="shared" si="27"/>
        <v>8.0319314880419046E-3</v>
      </c>
      <c r="AA38" s="3">
        <f t="shared" si="27"/>
        <v>5.8009167624293962E-3</v>
      </c>
      <c r="AB38" s="3">
        <f t="shared" si="27"/>
        <v>2.2400773704788222E-4</v>
      </c>
      <c r="AC38" s="3">
        <f t="shared" si="27"/>
        <v>1.6516836453198231E-18</v>
      </c>
      <c r="AD38" s="3">
        <f t="shared" si="27"/>
        <v>7.8445017771132086E-160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1.1334827943193257E-2</v>
      </c>
      <c r="C39" s="18">
        <f t="shared" si="3"/>
        <v>1.1282321504922463E-2</v>
      </c>
      <c r="D39" s="17"/>
      <c r="F39" s="3">
        <f t="shared" si="28"/>
        <v>1.1282321504922463E-2</v>
      </c>
      <c r="G39" s="3">
        <f t="shared" si="28"/>
        <v>1.1282321504922463E-2</v>
      </c>
      <c r="H39" s="3">
        <f t="shared" si="28"/>
        <v>1.1282321504922463E-2</v>
      </c>
      <c r="I39" s="3">
        <f t="shared" si="28"/>
        <v>1.1282321504922463E-2</v>
      </c>
      <c r="J39" s="3">
        <f t="shared" si="28"/>
        <v>1.1282321504922463E-2</v>
      </c>
      <c r="K39" s="3">
        <f t="shared" si="28"/>
        <v>1.1282321504922463E-2</v>
      </c>
      <c r="L39" s="3">
        <f t="shared" si="28"/>
        <v>1.1282321504922461E-2</v>
      </c>
      <c r="M39" s="3">
        <f t="shared" si="28"/>
        <v>1.1282321504922452E-2</v>
      </c>
      <c r="N39" s="3">
        <f t="shared" si="28"/>
        <v>1.128232150492235E-2</v>
      </c>
      <c r="O39" s="3">
        <f t="shared" si="28"/>
        <v>1.1282321504921334E-2</v>
      </c>
      <c r="P39" s="3">
        <f t="shared" si="27"/>
        <v>1.128232150491118E-2</v>
      </c>
      <c r="Q39" s="3">
        <f t="shared" si="27"/>
        <v>1.128232150480964E-2</v>
      </c>
      <c r="R39" s="3">
        <f t="shared" si="27"/>
        <v>1.128232150379423E-2</v>
      </c>
      <c r="S39" s="3">
        <f t="shared" si="27"/>
        <v>1.1282321493640142E-2</v>
      </c>
      <c r="T39" s="3">
        <f t="shared" si="27"/>
        <v>1.1282321392099249E-2</v>
      </c>
      <c r="U39" s="3">
        <f t="shared" si="27"/>
        <v>1.128232037669037E-2</v>
      </c>
      <c r="V39" s="3">
        <f t="shared" si="27"/>
        <v>1.12823102226066E-2</v>
      </c>
      <c r="W39" s="3">
        <f t="shared" si="27"/>
        <v>1.1282208682271528E-2</v>
      </c>
      <c r="X39" s="3">
        <f t="shared" si="27"/>
        <v>1.1281193329181698E-2</v>
      </c>
      <c r="Y39" s="3">
        <f t="shared" si="27"/>
        <v>1.1271044822698376E-2</v>
      </c>
      <c r="Z39" s="3">
        <f t="shared" si="27"/>
        <v>1.1170060530253148E-2</v>
      </c>
      <c r="AA39" s="3">
        <f t="shared" si="27"/>
        <v>1.0208666659965622E-2</v>
      </c>
      <c r="AB39" s="3">
        <f t="shared" si="27"/>
        <v>4.1505341303474221E-3</v>
      </c>
      <c r="AC39" s="3">
        <f t="shared" si="27"/>
        <v>5.1221660388125226E-7</v>
      </c>
      <c r="AD39" s="3">
        <f t="shared" si="27"/>
        <v>4.1971093184205299E-46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4.1128907293853621E-3</v>
      </c>
      <c r="C40" s="18">
        <f t="shared" si="3"/>
        <v>4.0938385440077553E-3</v>
      </c>
      <c r="D40" s="17"/>
      <c r="F40" s="3">
        <f t="shared" si="28"/>
        <v>4.0938385440077553E-3</v>
      </c>
      <c r="G40" s="3">
        <f t="shared" si="28"/>
        <v>4.0938385440077553E-3</v>
      </c>
      <c r="H40" s="3">
        <f t="shared" si="28"/>
        <v>4.0938385440077553E-3</v>
      </c>
      <c r="I40" s="3">
        <f t="shared" si="28"/>
        <v>4.0938385440077553E-3</v>
      </c>
      <c r="J40" s="3">
        <f t="shared" si="28"/>
        <v>4.0938385440077553E-3</v>
      </c>
      <c r="K40" s="3">
        <f t="shared" si="28"/>
        <v>4.0938385440077553E-3</v>
      </c>
      <c r="L40" s="3">
        <f t="shared" si="28"/>
        <v>4.0938385440077553E-3</v>
      </c>
      <c r="M40" s="3">
        <f t="shared" si="28"/>
        <v>4.0938385440077545E-3</v>
      </c>
      <c r="N40" s="3">
        <f t="shared" si="28"/>
        <v>4.093838544007751E-3</v>
      </c>
      <c r="O40" s="3">
        <f t="shared" si="28"/>
        <v>4.0938385440077146E-3</v>
      </c>
      <c r="P40" s="3">
        <f t="shared" si="27"/>
        <v>4.0938385440073459E-3</v>
      </c>
      <c r="Q40" s="3">
        <f t="shared" si="27"/>
        <v>4.0938385440036614E-3</v>
      </c>
      <c r="R40" s="3">
        <f t="shared" si="27"/>
        <v>4.0938385439668167E-3</v>
      </c>
      <c r="S40" s="3">
        <f t="shared" si="27"/>
        <v>4.0938385435983719E-3</v>
      </c>
      <c r="T40" s="3">
        <f t="shared" si="27"/>
        <v>4.0938385399139172E-3</v>
      </c>
      <c r="U40" s="3">
        <f t="shared" si="27"/>
        <v>4.0938385030693698E-3</v>
      </c>
      <c r="V40" s="3">
        <f t="shared" si="27"/>
        <v>4.0938381346239212E-3</v>
      </c>
      <c r="W40" s="3">
        <f t="shared" si="27"/>
        <v>4.0938344501712581E-3</v>
      </c>
      <c r="X40" s="3">
        <f t="shared" si="27"/>
        <v>4.0937976058270063E-3</v>
      </c>
      <c r="Y40" s="3">
        <f t="shared" si="27"/>
        <v>4.0934291806218647E-3</v>
      </c>
      <c r="Z40" s="3">
        <f t="shared" si="27"/>
        <v>4.0897467517008838E-3</v>
      </c>
      <c r="AA40" s="3">
        <f t="shared" si="27"/>
        <v>4.0531041698908142E-3</v>
      </c>
      <c r="AB40" s="3">
        <f t="shared" si="27"/>
        <v>3.7042582980160691E-3</v>
      </c>
      <c r="AC40" s="3">
        <f t="shared" si="27"/>
        <v>1.5060390358156842E-3</v>
      </c>
      <c r="AD40" s="3">
        <f t="shared" si="27"/>
        <v>1.8585998235690536E-7</v>
      </c>
      <c r="AE40" s="3">
        <f t="shared" si="27"/>
        <v>1.522939041727137E-46</v>
      </c>
      <c r="AF40" s="3">
        <f t="shared" si="29"/>
        <v>0</v>
      </c>
      <c r="AG40" s="3">
        <f t="shared" si="29"/>
        <v>0</v>
      </c>
      <c r="AH40" s="3">
        <f t="shared" si="29"/>
        <v>0</v>
      </c>
      <c r="AI40" s="3">
        <f t="shared" si="29"/>
        <v>0</v>
      </c>
      <c r="AJ40" s="3">
        <f t="shared" si="29"/>
        <v>0</v>
      </c>
    </row>
    <row r="41" spans="1:36" x14ac:dyDescent="0.25">
      <c r="A41" s="3">
        <f t="shared" si="30"/>
        <v>1000000000</v>
      </c>
      <c r="B41" s="106">
        <v>2.6965937606477797E-3</v>
      </c>
      <c r="C41" s="18">
        <f t="shared" si="3"/>
        <v>2.6841023020615128E-3</v>
      </c>
      <c r="D41" s="17"/>
      <c r="F41" s="3">
        <f t="shared" si="28"/>
        <v>2.6841023020615128E-3</v>
      </c>
      <c r="G41" s="3">
        <f t="shared" si="28"/>
        <v>2.6841023020615128E-3</v>
      </c>
      <c r="H41" s="3">
        <f t="shared" si="28"/>
        <v>2.6841023020615128E-3</v>
      </c>
      <c r="I41" s="3">
        <f t="shared" si="28"/>
        <v>2.6841023020615128E-3</v>
      </c>
      <c r="J41" s="3">
        <f t="shared" si="28"/>
        <v>2.6841023020615128E-3</v>
      </c>
      <c r="K41" s="3">
        <f t="shared" si="28"/>
        <v>2.6841023020615128E-3</v>
      </c>
      <c r="L41" s="3">
        <f t="shared" si="28"/>
        <v>2.6841023020615128E-3</v>
      </c>
      <c r="M41" s="3">
        <f t="shared" si="28"/>
        <v>2.6841023020615128E-3</v>
      </c>
      <c r="N41" s="3">
        <f t="shared" si="28"/>
        <v>2.6841023020615124E-3</v>
      </c>
      <c r="O41" s="3">
        <f t="shared" si="28"/>
        <v>2.6841023020615102E-3</v>
      </c>
      <c r="P41" s="3">
        <f t="shared" si="27"/>
        <v>2.6841023020614859E-3</v>
      </c>
      <c r="Q41" s="3">
        <f t="shared" si="27"/>
        <v>2.6841023020612443E-3</v>
      </c>
      <c r="R41" s="3">
        <f t="shared" si="27"/>
        <v>2.6841023020588287E-3</v>
      </c>
      <c r="S41" s="3">
        <f t="shared" si="27"/>
        <v>2.6841023020346719E-3</v>
      </c>
      <c r="T41" s="3">
        <f t="shared" si="27"/>
        <v>2.6841023017931025E-3</v>
      </c>
      <c r="U41" s="3">
        <f t="shared" si="27"/>
        <v>2.6841022993774107E-3</v>
      </c>
      <c r="V41" s="3">
        <f t="shared" si="27"/>
        <v>2.6841022752204899E-3</v>
      </c>
      <c r="W41" s="3">
        <f t="shared" si="27"/>
        <v>2.684102033651296E-3</v>
      </c>
      <c r="X41" s="3">
        <f t="shared" si="27"/>
        <v>2.6840996179605526E-3</v>
      </c>
      <c r="Y41" s="3">
        <f t="shared" si="27"/>
        <v>2.684075461172697E-3</v>
      </c>
      <c r="Z41" s="3">
        <f t="shared" si="27"/>
        <v>2.6838339052513709E-3</v>
      </c>
      <c r="AA41" s="3">
        <f t="shared" si="27"/>
        <v>2.6814195413633638E-3</v>
      </c>
      <c r="AB41" s="3">
        <f t="shared" si="27"/>
        <v>2.6573950379217602E-3</v>
      </c>
      <c r="AC41" s="3">
        <f t="shared" si="27"/>
        <v>2.4286761967417143E-3</v>
      </c>
      <c r="AD41" s="3">
        <f t="shared" si="27"/>
        <v>9.8742605492937118E-4</v>
      </c>
      <c r="AE41" s="3">
        <f t="shared" si="27"/>
        <v>1.218580559889166E-7</v>
      </c>
      <c r="AF41" s="3">
        <f t="shared" si="29"/>
        <v>9.9850644910812557E-47</v>
      </c>
      <c r="AG41" s="3">
        <f t="shared" si="29"/>
        <v>0</v>
      </c>
      <c r="AH41" s="3">
        <f t="shared" si="29"/>
        <v>0</v>
      </c>
      <c r="AI41" s="3">
        <f t="shared" si="29"/>
        <v>0</v>
      </c>
      <c r="AJ41" s="3">
        <f t="shared" si="29"/>
        <v>0</v>
      </c>
    </row>
    <row r="42" spans="1:36" x14ac:dyDescent="0.25">
      <c r="A42" s="3">
        <f t="shared" si="30"/>
        <v>10000000000</v>
      </c>
      <c r="B42" s="106">
        <v>2.3939951424872927E-3</v>
      </c>
      <c r="C42" s="18">
        <f t="shared" si="3"/>
        <v>2.382905414544393E-3</v>
      </c>
      <c r="D42" s="17"/>
      <c r="F42" s="3">
        <f t="shared" si="28"/>
        <v>2.382905414544393E-3</v>
      </c>
      <c r="G42" s="3">
        <f t="shared" si="28"/>
        <v>2.382905414544393E-3</v>
      </c>
      <c r="H42" s="3">
        <f t="shared" si="28"/>
        <v>2.382905414544393E-3</v>
      </c>
      <c r="I42" s="3">
        <f t="shared" si="28"/>
        <v>2.382905414544393E-3</v>
      </c>
      <c r="J42" s="3">
        <f t="shared" si="28"/>
        <v>2.382905414544393E-3</v>
      </c>
      <c r="K42" s="3">
        <f t="shared" si="28"/>
        <v>2.382905414544393E-3</v>
      </c>
      <c r="L42" s="3">
        <f t="shared" si="28"/>
        <v>2.382905414544393E-3</v>
      </c>
      <c r="M42" s="3">
        <f t="shared" si="28"/>
        <v>2.382905414544393E-3</v>
      </c>
      <c r="N42" s="3">
        <f t="shared" si="28"/>
        <v>2.382905414544393E-3</v>
      </c>
      <c r="O42" s="3">
        <f t="shared" si="28"/>
        <v>2.3829054145443926E-3</v>
      </c>
      <c r="P42" s="3">
        <f t="shared" si="27"/>
        <v>2.3829054145443908E-3</v>
      </c>
      <c r="Q42" s="3">
        <f t="shared" si="27"/>
        <v>2.3829054145443691E-3</v>
      </c>
      <c r="R42" s="3">
        <f t="shared" si="27"/>
        <v>2.3829054145441545E-3</v>
      </c>
      <c r="S42" s="3">
        <f t="shared" si="27"/>
        <v>2.3829054145420104E-3</v>
      </c>
      <c r="T42" s="3">
        <f t="shared" si="27"/>
        <v>2.382905414520564E-3</v>
      </c>
      <c r="U42" s="3">
        <f t="shared" si="27"/>
        <v>2.3829054143061023E-3</v>
      </c>
      <c r="V42" s="3">
        <f t="shared" si="27"/>
        <v>2.3829054121614875E-3</v>
      </c>
      <c r="W42" s="3">
        <f t="shared" si="27"/>
        <v>2.3829053907153388E-3</v>
      </c>
      <c r="X42" s="3">
        <f t="shared" si="27"/>
        <v>2.3829051762538638E-3</v>
      </c>
      <c r="Y42" s="3">
        <f t="shared" si="27"/>
        <v>2.3829030316401701E-3</v>
      </c>
      <c r="Z42" s="3">
        <f t="shared" si="27"/>
        <v>2.3828815856093925E-3</v>
      </c>
      <c r="AA42" s="3">
        <f t="shared" si="27"/>
        <v>2.3826671359170686E-3</v>
      </c>
      <c r="AB42" s="3">
        <f t="shared" si="27"/>
        <v>2.3805237001855045E-3</v>
      </c>
      <c r="AC42" s="3">
        <f t="shared" si="27"/>
        <v>2.3591951095096688E-3</v>
      </c>
      <c r="AD42" s="3">
        <f t="shared" si="27"/>
        <v>2.1561419827202562E-3</v>
      </c>
      <c r="AE42" s="3">
        <f t="shared" si="27"/>
        <v>8.7662191226699541E-4</v>
      </c>
      <c r="AF42" s="3">
        <f t="shared" si="29"/>
        <v>1.081837384509603E-7</v>
      </c>
      <c r="AG42" s="3">
        <f t="shared" si="29"/>
        <v>8.8645891857765683E-47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2.067969414953652E-3</v>
      </c>
      <c r="C44" s="18">
        <f t="shared" si="3"/>
        <v>2.0583899392901187E-3</v>
      </c>
      <c r="D44" s="17"/>
      <c r="F44" s="3">
        <f t="shared" si="28"/>
        <v>2.0583899392901187E-3</v>
      </c>
      <c r="G44" s="3">
        <f t="shared" si="28"/>
        <v>2.0583899392901187E-3</v>
      </c>
      <c r="H44" s="3">
        <f t="shared" si="28"/>
        <v>2.0583899392901187E-3</v>
      </c>
      <c r="I44" s="3">
        <f t="shared" si="28"/>
        <v>2.0583899392901187E-3</v>
      </c>
      <c r="J44" s="3">
        <f t="shared" si="28"/>
        <v>2.0583899392901187E-3</v>
      </c>
      <c r="K44" s="3">
        <f t="shared" si="28"/>
        <v>2.0583899392901187E-3</v>
      </c>
      <c r="L44" s="3">
        <f t="shared" si="28"/>
        <v>2.0583899392901187E-3</v>
      </c>
      <c r="M44" s="3">
        <f t="shared" si="28"/>
        <v>2.0583899392901187E-3</v>
      </c>
      <c r="N44" s="3">
        <f t="shared" si="28"/>
        <v>2.0583899392901187E-3</v>
      </c>
      <c r="O44" s="3">
        <f t="shared" si="28"/>
        <v>2.0583899392901187E-3</v>
      </c>
      <c r="P44" s="3">
        <f t="shared" si="27"/>
        <v>2.0583899392901187E-3</v>
      </c>
      <c r="Q44" s="3">
        <f t="shared" si="27"/>
        <v>2.0583899392901182E-3</v>
      </c>
      <c r="R44" s="3">
        <f t="shared" si="27"/>
        <v>2.0583899392901165E-3</v>
      </c>
      <c r="S44" s="3">
        <f t="shared" si="27"/>
        <v>2.0583899392900983E-3</v>
      </c>
      <c r="T44" s="3">
        <f t="shared" si="27"/>
        <v>2.0583899392899127E-3</v>
      </c>
      <c r="U44" s="3">
        <f t="shared" si="27"/>
        <v>2.0583899392880604E-3</v>
      </c>
      <c r="V44" s="3">
        <f t="shared" si="27"/>
        <v>2.0583899392695349E-3</v>
      </c>
      <c r="W44" s="3">
        <f t="shared" si="27"/>
        <v>2.0583899390842798E-3</v>
      </c>
      <c r="X44" s="3">
        <f t="shared" si="27"/>
        <v>2.0583899372317287E-3</v>
      </c>
      <c r="Y44" s="3">
        <f t="shared" si="27"/>
        <v>2.0583899187062195E-3</v>
      </c>
      <c r="Z44" s="3">
        <f t="shared" si="27"/>
        <v>2.0583897334511352E-3</v>
      </c>
      <c r="AA44" s="3">
        <f t="shared" si="27"/>
        <v>2.0583878809012084E-3</v>
      </c>
      <c r="AB44" s="3">
        <f t="shared" si="27"/>
        <v>2.0583693554936449E-3</v>
      </c>
      <c r="AC44" s="3">
        <f t="shared" si="27"/>
        <v>2.0581841105877961E-3</v>
      </c>
      <c r="AD44" s="3">
        <f t="shared" si="27"/>
        <v>2.0563325782028191E-3</v>
      </c>
      <c r="AE44" s="3">
        <f t="shared" si="27"/>
        <v>2.0379086171851421E-3</v>
      </c>
      <c r="AF44" s="3">
        <f t="shared" si="29"/>
        <v>1.8625082379784665E-3</v>
      </c>
      <c r="AG44" s="3">
        <f t="shared" si="29"/>
        <v>7.5723934057896796E-4</v>
      </c>
      <c r="AH44" s="3">
        <f t="shared" si="29"/>
        <v>9.3450758667576844E-8</v>
      </c>
      <c r="AI44" s="3">
        <f t="shared" si="29"/>
        <v>7.6573669624361575E-47</v>
      </c>
      <c r="AJ44" s="3">
        <f t="shared" si="29"/>
        <v>0</v>
      </c>
    </row>
    <row r="45" spans="1:36" x14ac:dyDescent="0.25">
      <c r="A45" s="3">
        <f t="shared" si="30"/>
        <v>10000000000000</v>
      </c>
      <c r="B45" s="106">
        <v>1.1512352216116613E-3</v>
      </c>
      <c r="C45" s="18">
        <f t="shared" si="3"/>
        <v>1.1459023430358541E-3</v>
      </c>
      <c r="D45" s="17"/>
      <c r="F45" s="3">
        <f t="shared" si="28"/>
        <v>1.1459023430358541E-3</v>
      </c>
      <c r="G45" s="3">
        <f t="shared" si="28"/>
        <v>1.1459023430358541E-3</v>
      </c>
      <c r="H45" s="3">
        <f t="shared" si="28"/>
        <v>1.1459023430358541E-3</v>
      </c>
      <c r="I45" s="3">
        <f t="shared" si="28"/>
        <v>1.1459023430358541E-3</v>
      </c>
      <c r="J45" s="3">
        <f t="shared" si="28"/>
        <v>1.1459023430358541E-3</v>
      </c>
      <c r="K45" s="3">
        <f t="shared" si="28"/>
        <v>1.1459023430358541E-3</v>
      </c>
      <c r="L45" s="3">
        <f t="shared" si="28"/>
        <v>1.1459023430358541E-3</v>
      </c>
      <c r="M45" s="3">
        <f t="shared" si="28"/>
        <v>1.1459023430358541E-3</v>
      </c>
      <c r="N45" s="3">
        <f t="shared" si="28"/>
        <v>1.1459023430358541E-3</v>
      </c>
      <c r="O45" s="3">
        <f t="shared" si="28"/>
        <v>1.1459023430358541E-3</v>
      </c>
      <c r="P45" s="3">
        <f t="shared" si="27"/>
        <v>1.1459023430358541E-3</v>
      </c>
      <c r="Q45" s="3">
        <f t="shared" si="27"/>
        <v>1.1459023430358541E-3</v>
      </c>
      <c r="R45" s="3">
        <f t="shared" si="27"/>
        <v>1.1459023430358539E-3</v>
      </c>
      <c r="S45" s="3">
        <f t="shared" si="27"/>
        <v>1.1459023430358531E-3</v>
      </c>
      <c r="T45" s="3">
        <f t="shared" si="27"/>
        <v>1.1459023430358426E-3</v>
      </c>
      <c r="U45" s="3">
        <f t="shared" si="27"/>
        <v>1.1459023430357394E-3</v>
      </c>
      <c r="V45" s="3">
        <f t="shared" si="27"/>
        <v>1.1459023430347084E-3</v>
      </c>
      <c r="W45" s="3">
        <f t="shared" si="27"/>
        <v>1.1459023430243952E-3</v>
      </c>
      <c r="X45" s="3">
        <f t="shared" si="27"/>
        <v>1.1459023429212639E-3</v>
      </c>
      <c r="Y45" s="3">
        <f t="shared" si="27"/>
        <v>1.1459023418899518E-3</v>
      </c>
      <c r="Z45" s="3">
        <f t="shared" si="27"/>
        <v>1.1459023315768307E-3</v>
      </c>
      <c r="AA45" s="3">
        <f t="shared" si="27"/>
        <v>1.1459022284456256E-3</v>
      </c>
      <c r="AB45" s="3">
        <f t="shared" si="27"/>
        <v>1.145901197134084E-3</v>
      </c>
      <c r="AC45" s="3">
        <f t="shared" si="27"/>
        <v>1.1458908840697188E-3</v>
      </c>
      <c r="AD45" s="3">
        <f t="shared" si="27"/>
        <v>1.1457877585308713E-3</v>
      </c>
      <c r="AE45" s="3">
        <f t="shared" si="27"/>
        <v>1.1447570134530539E-3</v>
      </c>
      <c r="AF45" s="3">
        <f t="shared" si="29"/>
        <v>1.1345004242154296E-3</v>
      </c>
      <c r="AG45" s="3">
        <f t="shared" si="29"/>
        <v>1.0368553173939186E-3</v>
      </c>
      <c r="AH45" s="3">
        <f t="shared" si="29"/>
        <v>4.2155391359307643E-4</v>
      </c>
      <c r="AI45" s="3">
        <f t="shared" si="29"/>
        <v>5.2023885888494604E-8</v>
      </c>
      <c r="AJ45" s="3">
        <f t="shared" si="29"/>
        <v>4.2628437771936682E-47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1.4711034513771556E-3</v>
      </c>
      <c r="C48" s="18">
        <f t="shared" si="3"/>
        <v>1.4642888439612509E-3</v>
      </c>
      <c r="D48" s="17"/>
      <c r="F48" s="3">
        <f t="shared" si="28"/>
        <v>1.4642888439612509E-3</v>
      </c>
      <c r="G48" s="3">
        <f t="shared" si="28"/>
        <v>1.4642888439612509E-3</v>
      </c>
      <c r="H48" s="3">
        <f t="shared" si="28"/>
        <v>1.4642888439612509E-3</v>
      </c>
      <c r="I48" s="3">
        <f t="shared" si="28"/>
        <v>1.4642888439612509E-3</v>
      </c>
      <c r="J48" s="3">
        <f t="shared" si="28"/>
        <v>1.4642888439612509E-3</v>
      </c>
      <c r="K48" s="3">
        <f t="shared" si="28"/>
        <v>1.4642888439612509E-3</v>
      </c>
      <c r="L48" s="3">
        <f t="shared" si="28"/>
        <v>1.4642888439612509E-3</v>
      </c>
      <c r="M48" s="3">
        <f t="shared" si="28"/>
        <v>1.4642888439612509E-3</v>
      </c>
      <c r="N48" s="3">
        <f t="shared" si="28"/>
        <v>1.4642888439612509E-3</v>
      </c>
      <c r="O48" s="3">
        <f t="shared" si="28"/>
        <v>1.4642888439612509E-3</v>
      </c>
      <c r="P48" s="3">
        <f t="shared" si="27"/>
        <v>1.4642888439612509E-3</v>
      </c>
      <c r="Q48" s="3">
        <f t="shared" si="27"/>
        <v>1.4642888439612509E-3</v>
      </c>
      <c r="R48" s="3">
        <f t="shared" si="27"/>
        <v>1.4642888439612509E-3</v>
      </c>
      <c r="S48" s="3">
        <f t="shared" si="27"/>
        <v>1.4642888439612509E-3</v>
      </c>
      <c r="T48" s="3">
        <f t="shared" si="27"/>
        <v>1.4642888439612509E-3</v>
      </c>
      <c r="U48" s="3">
        <f t="shared" si="27"/>
        <v>1.4642888439612507E-3</v>
      </c>
      <c r="V48" s="3">
        <f t="shared" si="27"/>
        <v>1.4642888439612494E-3</v>
      </c>
      <c r="W48" s="3">
        <f t="shared" si="27"/>
        <v>1.4642888439612364E-3</v>
      </c>
      <c r="X48" s="3">
        <f t="shared" si="27"/>
        <v>1.4642888439611046E-3</v>
      </c>
      <c r="Y48" s="3">
        <f t="shared" si="27"/>
        <v>1.4642888439597866E-3</v>
      </c>
      <c r="Z48" s="3">
        <f t="shared" si="27"/>
        <v>1.4642888439466081E-3</v>
      </c>
      <c r="AA48" s="3">
        <f t="shared" si="27"/>
        <v>1.4642888438148221E-3</v>
      </c>
      <c r="AB48" s="3">
        <f t="shared" si="27"/>
        <v>1.4642888424969622E-3</v>
      </c>
      <c r="AC48" s="3">
        <f t="shared" si="27"/>
        <v>1.4642888293183627E-3</v>
      </c>
      <c r="AD48" s="3">
        <f t="shared" si="27"/>
        <v>1.4642886975323739E-3</v>
      </c>
      <c r="AE48" s="3">
        <f t="shared" si="27"/>
        <v>1.4642873796731392E-3</v>
      </c>
      <c r="AF48" s="3">
        <f t="shared" si="29"/>
        <v>1.4642742011460256E-3</v>
      </c>
      <c r="AG48" s="3">
        <f t="shared" si="29"/>
        <v>1.464142422398055E-3</v>
      </c>
      <c r="AH48" s="3">
        <f t="shared" si="29"/>
        <v>1.4628252870177245E-3</v>
      </c>
      <c r="AI48" s="3">
        <f t="shared" si="29"/>
        <v>1.4497189265245979E-3</v>
      </c>
      <c r="AJ48" s="3">
        <f t="shared" si="29"/>
        <v>1.3249433368287583E-3</v>
      </c>
    </row>
    <row r="49" spans="1:36" x14ac:dyDescent="0.25">
      <c r="B49" s="16">
        <f>SUM(B17:B48)</f>
        <v>1.0046538682883559</v>
      </c>
      <c r="C49" s="18">
        <f>SUM(C17:C48)</f>
        <v>1.0000000000000002</v>
      </c>
      <c r="F49" s="3">
        <f t="shared" ref="F49:AJ49" si="31">F16-F17</f>
        <v>86.204314979815535</v>
      </c>
      <c r="G49" s="3">
        <f t="shared" si="31"/>
        <v>-111.48557858498862</v>
      </c>
      <c r="H49" s="3">
        <f t="shared" si="31"/>
        <v>29.506341546642943</v>
      </c>
      <c r="I49" s="3">
        <f t="shared" si="31"/>
        <v>-4.8167924436711473</v>
      </c>
      <c r="J49" s="3">
        <f t="shared" si="31"/>
        <v>0.66363441757675901</v>
      </c>
      <c r="K49" s="3">
        <f t="shared" si="31"/>
        <v>-8.088839691663452E-2</v>
      </c>
      <c r="L49" s="3">
        <f t="shared" si="31"/>
        <v>1.9785207135100791E-2</v>
      </c>
      <c r="M49" s="3">
        <f t="shared" si="31"/>
        <v>5.6645229251444107E-3</v>
      </c>
      <c r="N49" s="3">
        <f t="shared" si="31"/>
        <v>-3.3250136537390063E-2</v>
      </c>
      <c r="O49" s="3">
        <f t="shared" si="31"/>
        <v>6.4264638444001321E-2</v>
      </c>
      <c r="P49" s="3">
        <f t="shared" si="31"/>
        <v>-0.11876984797800105</v>
      </c>
      <c r="Q49" s="3">
        <f t="shared" si="31"/>
        <v>0.16440418378988397</v>
      </c>
      <c r="R49" s="3">
        <f t="shared" si="31"/>
        <v>-0.20672796428152651</v>
      </c>
      <c r="S49" s="3">
        <f t="shared" si="31"/>
        <v>0.23456681738753105</v>
      </c>
      <c r="T49" s="3">
        <f t="shared" si="31"/>
        <v>-0.19737606612034142</v>
      </c>
      <c r="U49" s="3">
        <f t="shared" si="31"/>
        <v>0.14711111911856278</v>
      </c>
      <c r="V49" s="3">
        <f t="shared" si="31"/>
        <v>-0.11421348713338375</v>
      </c>
      <c r="W49" s="3">
        <f t="shared" si="31"/>
        <v>7.4079736478324776E-2</v>
      </c>
      <c r="X49" s="3">
        <f t="shared" si="31"/>
        <v>-4.0214266186467285E-2</v>
      </c>
      <c r="Y49" s="3">
        <f t="shared" si="31"/>
        <v>1.6250526740805071E-2</v>
      </c>
      <c r="Z49" s="3">
        <f t="shared" si="31"/>
        <v>-7.502541677354202E-3</v>
      </c>
      <c r="AA49" s="3">
        <f t="shared" si="31"/>
        <v>1.5477552760444269E-2</v>
      </c>
      <c r="AB49" s="3">
        <f t="shared" si="31"/>
        <v>-2.3564391747186164E-2</v>
      </c>
      <c r="AC49" s="3">
        <f t="shared" si="31"/>
        <v>4.1798645294875314E-2</v>
      </c>
      <c r="AD49" s="3">
        <f t="shared" si="31"/>
        <v>-6.4449339438510833E-2</v>
      </c>
      <c r="AE49" s="3">
        <f t="shared" si="31"/>
        <v>7.5885808396037646E-2</v>
      </c>
      <c r="AF49" s="3">
        <f t="shared" si="31"/>
        <v>-0.69683136015970604</v>
      </c>
      <c r="AG49" s="3">
        <f t="shared" si="31"/>
        <v>1.5928321196530533</v>
      </c>
      <c r="AH49" s="3">
        <f t="shared" si="31"/>
        <v>-2.1714603973184126</v>
      </c>
      <c r="AI49" s="3">
        <f t="shared" si="31"/>
        <v>1.4407194830780554</v>
      </c>
      <c r="AJ49" s="3">
        <f t="shared" si="31"/>
        <v>-0.20468056334715357</v>
      </c>
    </row>
    <row r="50" spans="1:36" x14ac:dyDescent="0.25">
      <c r="F50" s="57">
        <f t="shared" ref="F50:AJ50" si="32">F49/F17</f>
        <v>8.909930869406054E-3</v>
      </c>
      <c r="G50" s="57">
        <f t="shared" si="32"/>
        <v>-1.165128656009848E-2</v>
      </c>
      <c r="H50" s="57">
        <f t="shared" si="32"/>
        <v>3.2161360730632101E-3</v>
      </c>
      <c r="I50" s="57">
        <f t="shared" si="32"/>
        <v>-5.3789003370593525E-4</v>
      </c>
      <c r="J50" s="57">
        <f t="shared" si="32"/>
        <v>7.6503273756680555E-5</v>
      </c>
      <c r="K50" s="57">
        <f t="shared" si="32"/>
        <v>-9.6946792538127532E-6</v>
      </c>
      <c r="L50" s="57">
        <f t="shared" si="32"/>
        <v>2.4760915422123562E-6</v>
      </c>
      <c r="M50" s="57">
        <f t="shared" si="32"/>
        <v>7.3751302586371384E-7</v>
      </c>
      <c r="N50" s="57">
        <f t="shared" si="32"/>
        <v>-4.4854766895217809E-6</v>
      </c>
      <c r="O50" s="57">
        <f t="shared" si="32"/>
        <v>9.000480156811035E-6</v>
      </c>
      <c r="P50" s="57">
        <f t="shared" si="32"/>
        <v>-1.7297060490513217E-5</v>
      </c>
      <c r="Q50" s="57">
        <f t="shared" si="32"/>
        <v>2.4945190120553482E-5</v>
      </c>
      <c r="R50" s="57">
        <f t="shared" si="32"/>
        <v>-3.2818363703199485E-5</v>
      </c>
      <c r="S50" s="57">
        <f t="shared" si="32"/>
        <v>3.945318088845034E-5</v>
      </c>
      <c r="T50" s="57">
        <f t="shared" si="32"/>
        <v>-3.5571972766847077E-5</v>
      </c>
      <c r="U50" s="57">
        <f t="shared" si="32"/>
        <v>2.9577514696063156E-5</v>
      </c>
      <c r="V50" s="57">
        <f t="shared" si="32"/>
        <v>-2.8258070567677433E-5</v>
      </c>
      <c r="W50" s="57">
        <f t="shared" si="32"/>
        <v>2.471255174037814E-5</v>
      </c>
      <c r="X50" s="57">
        <f t="shared" si="32"/>
        <v>-1.8978125756634141E-5</v>
      </c>
      <c r="Y50" s="57">
        <f t="shared" si="32"/>
        <v>1.1349013987360731E-5</v>
      </c>
      <c r="Z50" s="57">
        <f t="shared" si="32"/>
        <v>-7.7517930186285382E-6</v>
      </c>
      <c r="AA50" s="57">
        <f t="shared" si="32"/>
        <v>2.2908614666990024E-5</v>
      </c>
      <c r="AB50" s="57">
        <f t="shared" si="32"/>
        <v>-4.4319414926478816E-5</v>
      </c>
      <c r="AC50" s="57">
        <f t="shared" si="32"/>
        <v>9.20922534067861E-5</v>
      </c>
      <c r="AD50" s="57">
        <f t="shared" si="32"/>
        <v>-1.5421472191944204E-4</v>
      </c>
      <c r="AE50" s="57">
        <f t="shared" si="32"/>
        <v>1.9366513449893517E-4</v>
      </c>
      <c r="AF50" s="57">
        <f t="shared" si="32"/>
        <v>-1.8351006654433741E-3</v>
      </c>
      <c r="AG50" s="57">
        <f t="shared" si="32"/>
        <v>4.3519915426721992E-3</v>
      </c>
      <c r="AH50" s="57">
        <f t="shared" si="32"/>
        <v>-6.1982977434775332E-3</v>
      </c>
      <c r="AI50" s="57">
        <f t="shared" si="32"/>
        <v>4.1714815149466074E-3</v>
      </c>
      <c r="AJ50" s="57">
        <f t="shared" si="32"/>
        <v>-5.9508847054721569E-4</v>
      </c>
    </row>
    <row r="51" spans="1:36" x14ac:dyDescent="0.25">
      <c r="A51" s="13" t="s">
        <v>21</v>
      </c>
      <c r="B51" s="3">
        <f>STUTT!D8</f>
        <v>11405.888999999999</v>
      </c>
      <c r="E51" s="11" t="s">
        <v>24</v>
      </c>
      <c r="F51" s="20">
        <f t="shared" ref="F51:AJ51" si="33">(F16-F17)^2</f>
        <v>7431.1839211392489</v>
      </c>
      <c r="G51" s="20">
        <f t="shared" si="33"/>
        <v>12429.034232429673</v>
      </c>
      <c r="H51" s="20">
        <f t="shared" si="33"/>
        <v>870.62419146714751</v>
      </c>
      <c r="I51" s="20">
        <f t="shared" si="33"/>
        <v>23.201489445407464</v>
      </c>
      <c r="J51" s="20">
        <f t="shared" si="33"/>
        <v>0.44041064019244414</v>
      </c>
      <c r="K51" s="20">
        <f t="shared" si="33"/>
        <v>6.5429327557430085E-3</v>
      </c>
      <c r="L51" s="20">
        <f t="shared" si="33"/>
        <v>3.9145442137884323E-4</v>
      </c>
      <c r="M51" s="20">
        <f t="shared" si="33"/>
        <v>3.2086819969486594E-5</v>
      </c>
      <c r="N51" s="20">
        <f t="shared" si="33"/>
        <v>1.1055715797550817E-3</v>
      </c>
      <c r="O51" s="20">
        <f t="shared" si="33"/>
        <v>4.1299437543382122E-3</v>
      </c>
      <c r="P51" s="20">
        <f t="shared" si="33"/>
        <v>1.4106276788717481E-2</v>
      </c>
      <c r="Q51" s="20">
        <f t="shared" si="33"/>
        <v>2.7028735647617947E-2</v>
      </c>
      <c r="R51" s="20">
        <f t="shared" si="33"/>
        <v>4.27364512159841E-2</v>
      </c>
      <c r="S51" s="20">
        <f t="shared" si="33"/>
        <v>5.5021591819315339E-2</v>
      </c>
      <c r="T51" s="20">
        <f t="shared" si="33"/>
        <v>3.895731147714139E-2</v>
      </c>
      <c r="U51" s="20">
        <f t="shared" si="33"/>
        <v>2.1641681368315967E-2</v>
      </c>
      <c r="V51" s="20">
        <f t="shared" si="33"/>
        <v>1.3044720643167616E-2</v>
      </c>
      <c r="W51" s="20">
        <f t="shared" si="33"/>
        <v>5.4878073566980426E-3</v>
      </c>
      <c r="X51" s="20">
        <f t="shared" si="33"/>
        <v>1.6171872049160459E-3</v>
      </c>
      <c r="Y51" s="20">
        <f t="shared" si="33"/>
        <v>2.6407961935362071E-4</v>
      </c>
      <c r="Z51" s="20">
        <f t="shared" si="33"/>
        <v>5.6288131620436799E-5</v>
      </c>
      <c r="AA51" s="20">
        <f t="shared" si="33"/>
        <v>2.39554639452336E-4</v>
      </c>
      <c r="AB51" s="20">
        <f t="shared" si="33"/>
        <v>5.5528055841485538E-4</v>
      </c>
      <c r="AC51" s="20">
        <f t="shared" si="33"/>
        <v>1.7471267484868022E-3</v>
      </c>
      <c r="AD51" s="20">
        <f t="shared" si="33"/>
        <v>4.1537173540603881E-3</v>
      </c>
      <c r="AE51" s="20">
        <f t="shared" si="33"/>
        <v>5.758655915920138E-3</v>
      </c>
      <c r="AF51" s="20">
        <f t="shared" si="33"/>
        <v>0.48557394450202596</v>
      </c>
      <c r="AG51" s="20">
        <f t="shared" si="33"/>
        <v>2.5371141613984385</v>
      </c>
      <c r="AH51" s="20">
        <f t="shared" si="33"/>
        <v>4.7152402571222378</v>
      </c>
      <c r="AI51" s="20">
        <f t="shared" si="33"/>
        <v>2.075672628920699</v>
      </c>
      <c r="AJ51" s="20">
        <f t="shared" si="33"/>
        <v>4.1894133012108141E-2</v>
      </c>
    </row>
    <row r="52" spans="1:36" x14ac:dyDescent="0.25">
      <c r="A52" s="13"/>
    </row>
    <row r="53" spans="1:36" x14ac:dyDescent="0.25">
      <c r="E53" s="118" t="s">
        <v>25</v>
      </c>
      <c r="F53" s="118"/>
      <c r="G53" s="104">
        <f>SUM(F51:AJ51)</f>
        <v>20764.584358702446</v>
      </c>
      <c r="I53" s="3">
        <f>G53+C123</f>
        <v>20764.584358702446</v>
      </c>
      <c r="K53" s="3">
        <f>SUM(Z51:AJ51)</f>
        <v>9.8680057483034656</v>
      </c>
    </row>
    <row r="55" spans="1:36" x14ac:dyDescent="0.25">
      <c r="E55" s="30" t="s">
        <v>30</v>
      </c>
      <c r="F55" s="31">
        <f t="shared" ref="F55:AJ55" si="34">ABS(F17-F16)/F16</f>
        <v>8.8312450861972557E-3</v>
      </c>
      <c r="G55" s="31">
        <f t="shared" si="34"/>
        <v>1.1788639375617459E-2</v>
      </c>
      <c r="H55" s="31">
        <f t="shared" si="34"/>
        <v>3.2058257013810451E-3</v>
      </c>
      <c r="I55" s="31">
        <f t="shared" si="34"/>
        <v>5.381795151034541E-4</v>
      </c>
      <c r="J55" s="31">
        <f t="shared" si="34"/>
        <v>7.6497421453505419E-5</v>
      </c>
      <c r="K55" s="31">
        <f t="shared" si="34"/>
        <v>9.694773241529768E-6</v>
      </c>
      <c r="L55" s="31">
        <f t="shared" si="34"/>
        <v>2.4760854111982117E-6</v>
      </c>
      <c r="M55" s="31">
        <f t="shared" si="34"/>
        <v>7.3751248193865173E-7</v>
      </c>
      <c r="N55" s="31">
        <f t="shared" si="34"/>
        <v>4.4854968091131588E-6</v>
      </c>
      <c r="O55" s="31">
        <f t="shared" si="34"/>
        <v>9.000399148897091E-6</v>
      </c>
      <c r="P55" s="31">
        <f t="shared" si="34"/>
        <v>1.7297359683989997E-5</v>
      </c>
      <c r="Q55" s="31">
        <f t="shared" si="34"/>
        <v>2.4944567873565402E-5</v>
      </c>
      <c r="R55" s="31">
        <f t="shared" si="34"/>
        <v>3.2819440783543656E-5</v>
      </c>
      <c r="S55" s="31">
        <f t="shared" si="34"/>
        <v>3.945162439637669E-5</v>
      </c>
      <c r="T55" s="31">
        <f t="shared" si="34"/>
        <v>3.557323817710674E-5</v>
      </c>
      <c r="U55" s="31">
        <f t="shared" si="34"/>
        <v>2.9576639892562073E-5</v>
      </c>
      <c r="V55" s="31">
        <f t="shared" si="34"/>
        <v>2.825886910879487E-5</v>
      </c>
      <c r="W55" s="31">
        <f t="shared" si="34"/>
        <v>2.4711941045256457E-5</v>
      </c>
      <c r="X55" s="31">
        <f t="shared" si="34"/>
        <v>1.8978485932726841E-5</v>
      </c>
      <c r="Y55" s="31">
        <f t="shared" si="34"/>
        <v>1.1348885188703983E-5</v>
      </c>
      <c r="Z55" s="31">
        <f t="shared" si="34"/>
        <v>7.7518531093893526E-6</v>
      </c>
      <c r="AA55" s="31">
        <f t="shared" si="34"/>
        <v>2.2908089874386333E-5</v>
      </c>
      <c r="AB55" s="31">
        <f t="shared" si="34"/>
        <v>4.4321379224074768E-5</v>
      </c>
      <c r="AC55" s="31">
        <f t="shared" si="34"/>
        <v>9.2083773204609489E-5</v>
      </c>
      <c r="AD55" s="31">
        <f t="shared" si="34"/>
        <v>1.5423850776802675E-4</v>
      </c>
      <c r="AE55" s="31">
        <f t="shared" si="34"/>
        <v>1.9362763557684846E-4</v>
      </c>
      <c r="AF55" s="31">
        <f t="shared" si="34"/>
        <v>1.8384744511320472E-3</v>
      </c>
      <c r="AG55" s="31">
        <f t="shared" si="34"/>
        <v>4.3331337811035693E-3</v>
      </c>
      <c r="AH55" s="31">
        <f t="shared" si="34"/>
        <v>6.2369562553613069E-3</v>
      </c>
      <c r="AI55" s="31">
        <f t="shared" si="34"/>
        <v>4.1541525443973852E-3</v>
      </c>
      <c r="AJ55" s="31">
        <f t="shared" si="34"/>
        <v>5.9544281169932815E-4</v>
      </c>
    </row>
    <row r="56" spans="1:36" x14ac:dyDescent="0.25">
      <c r="E56" s="13" t="s">
        <v>31</v>
      </c>
      <c r="F56" s="32">
        <f>AVERAGE(F55:AJ55)</f>
        <v>1.3678333387541614E-3</v>
      </c>
    </row>
    <row r="57" spans="1:36" x14ac:dyDescent="0.25">
      <c r="A57" s="42"/>
      <c r="B57" s="15"/>
      <c r="C57" s="15"/>
      <c r="D57" s="15"/>
      <c r="F57" s="60">
        <f>AVERAGE(S55:X55)</f>
        <v>2.942513309213728E-5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-16.55297231699258</v>
      </c>
    </row>
    <row r="119" spans="1:14" x14ac:dyDescent="0.25">
      <c r="L119" s="11">
        <f>L118+1</f>
        <v>2</v>
      </c>
      <c r="M119" s="11">
        <f t="shared" ref="M119:M124" si="35">INDEX($B$125:$K$126,1,L119)</f>
        <v>0</v>
      </c>
      <c r="N119" s="11">
        <f t="shared" ref="N119:N124" si="36">IF(L119=$B$3,0,INDEX($B$125:$K$126,2,L119))</f>
        <v>-12.671216990221245</v>
      </c>
    </row>
    <row r="120" spans="1:14" x14ac:dyDescent="0.25">
      <c r="L120" s="11">
        <f t="shared" ref="L120:L124" si="37">L119+1</f>
        <v>3</v>
      </c>
      <c r="M120" s="11">
        <f t="shared" si="35"/>
        <v>25</v>
      </c>
      <c r="N120" s="11">
        <f t="shared" si="36"/>
        <v>-9.9653689540248553</v>
      </c>
    </row>
    <row r="121" spans="1:14" x14ac:dyDescent="0.25">
      <c r="A121" s="103">
        <f>(A165+A204+A243+A282+A321+A360+A399)*10^9</f>
        <v>3.4803505638381652E+16</v>
      </c>
      <c r="L121" s="11">
        <f t="shared" si="37"/>
        <v>4</v>
      </c>
      <c r="M121" s="11">
        <f t="shared" si="35"/>
        <v>50</v>
      </c>
      <c r="N121" s="11">
        <f t="shared" si="36"/>
        <v>-7.6847085672859414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-5.1032897833215509</v>
      </c>
    </row>
    <row r="123" spans="1:14" x14ac:dyDescent="0.25">
      <c r="A123" s="118"/>
      <c r="B123" s="11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4.8872488848841122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-16.55297231699258</v>
      </c>
      <c r="C126" s="107">
        <v>-12.671216990221245</v>
      </c>
      <c r="D126" s="107">
        <v>-9.9653689540248553</v>
      </c>
      <c r="E126" s="107">
        <v>-7.6847085672859414</v>
      </c>
      <c r="F126" s="107">
        <v>-5.1032897833215509</v>
      </c>
      <c r="G126" s="107">
        <v>7.6146253492544802E-3</v>
      </c>
      <c r="H126" s="107">
        <v>4.8872488848841122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11394.80717145969</v>
      </c>
      <c r="C131" s="27">
        <f t="shared" ref="C131:AF131" si="40">($C$17+SUM(C132:C162))*$B$51</f>
        <v>11298.233733482701</v>
      </c>
      <c r="D131" s="27">
        <f t="shared" si="40"/>
        <v>10587.416591226542</v>
      </c>
      <c r="E131" s="27">
        <f t="shared" si="40"/>
        <v>9691.1024898807209</v>
      </c>
      <c r="F131" s="27">
        <f t="shared" si="40"/>
        <v>9688.4430564118775</v>
      </c>
      <c r="G131" s="27">
        <f t="shared" si="40"/>
        <v>9688.3642029517214</v>
      </c>
      <c r="H131" s="27">
        <f t="shared" si="40"/>
        <v>9687.5762940148634</v>
      </c>
      <c r="I131" s="27">
        <f t="shared" si="40"/>
        <v>9679.7594279150962</v>
      </c>
      <c r="J131" s="27">
        <f t="shared" si="40"/>
        <v>9607.4836692309509</v>
      </c>
      <c r="K131" s="27">
        <f t="shared" si="40"/>
        <v>9246.6457065376817</v>
      </c>
      <c r="L131" s="27">
        <f t="shared" si="40"/>
        <v>8998.1252262375001</v>
      </c>
      <c r="M131" s="27">
        <f t="shared" si="40"/>
        <v>8736.7442308851932</v>
      </c>
      <c r="N131" s="27">
        <f t="shared" si="40"/>
        <v>8415.5999323345513</v>
      </c>
      <c r="O131" s="27">
        <f t="shared" si="40"/>
        <v>8065.2549490466372</v>
      </c>
      <c r="P131" s="27">
        <f t="shared" si="40"/>
        <v>7742.9387172615416</v>
      </c>
      <c r="Q131" s="27">
        <f t="shared" si="40"/>
        <v>7467.6957148616975</v>
      </c>
      <c r="R131" s="27">
        <f t="shared" si="40"/>
        <v>7198.4975360145581</v>
      </c>
      <c r="S131" s="27">
        <f t="shared" si="40"/>
        <v>6921.857623758392</v>
      </c>
      <c r="T131" s="27">
        <f t="shared" si="40"/>
        <v>6646.4262641878822</v>
      </c>
      <c r="U131" s="27">
        <f t="shared" si="40"/>
        <v>6357.7918458888489</v>
      </c>
      <c r="V131" s="27">
        <f t="shared" si="40"/>
        <v>6020.1939864740125</v>
      </c>
      <c r="W131" s="27">
        <f t="shared" si="40"/>
        <v>5620.2503428609107</v>
      </c>
      <c r="X131" s="27">
        <f t="shared" si="40"/>
        <v>5113.431238242295</v>
      </c>
      <c r="Y131" s="27">
        <f t="shared" si="40"/>
        <v>4224.0102682486522</v>
      </c>
      <c r="Z131" s="27">
        <f t="shared" si="40"/>
        <v>3155.374512032955</v>
      </c>
      <c r="AA131" s="27">
        <f t="shared" si="40"/>
        <v>2248.0422243264657</v>
      </c>
      <c r="AB131" s="27">
        <f t="shared" si="40"/>
        <v>1524.4810626809508</v>
      </c>
      <c r="AC131" s="27">
        <f t="shared" si="40"/>
        <v>1032.6133047935086</v>
      </c>
      <c r="AD131" s="27">
        <f t="shared" si="40"/>
        <v>710.56354065409676</v>
      </c>
      <c r="AE131" s="27">
        <f t="shared" si="40"/>
        <v>559.93472227119355</v>
      </c>
      <c r="AF131" s="27">
        <f t="shared" si="40"/>
        <v>462.42451161404432</v>
      </c>
    </row>
    <row r="132" spans="1:33" x14ac:dyDescent="0.25">
      <c r="B132" s="3">
        <f t="shared" ref="B132:Z133" si="41">$C18*EXP(-B$129/$A18/EXP(-$B$126))</f>
        <v>0.14960301241980137</v>
      </c>
      <c r="C132" s="3">
        <f t="shared" ref="C132:AF132" si="42">$C18*EXP(-C$129/$A18/EXP(-$B$126))</f>
        <v>0.1411360327664882</v>
      </c>
      <c r="D132" s="3">
        <f t="shared" si="42"/>
        <v>7.8815852077744816E-2</v>
      </c>
      <c r="E132" s="3">
        <f t="shared" si="42"/>
        <v>2.3247179565061973E-4</v>
      </c>
      <c r="F132" s="3">
        <f t="shared" si="42"/>
        <v>1.1586098632950543E-29</v>
      </c>
      <c r="G132" s="3">
        <f t="shared" si="42"/>
        <v>1.0954857506694225E-282</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4.4678700743480772E-2</v>
      </c>
      <c r="C133" s="3">
        <f t="shared" si="41"/>
        <v>4.4678700076704068E-2</v>
      </c>
      <c r="D133" s="3">
        <f t="shared" si="41"/>
        <v>4.4678693408937611E-2</v>
      </c>
      <c r="E133" s="3">
        <f t="shared" si="41"/>
        <v>4.4678626731327747E-2</v>
      </c>
      <c r="F133" s="3">
        <f t="shared" si="41"/>
        <v>4.4677959960702042E-2</v>
      </c>
      <c r="G133" s="3">
        <f t="shared" si="41"/>
        <v>4.4671292801708312E-2</v>
      </c>
      <c r="H133" s="3">
        <f t="shared" si="41"/>
        <v>4.4604675907897129E-2</v>
      </c>
      <c r="I133" s="3">
        <f t="shared" si="41"/>
        <v>4.3943946500408927E-2</v>
      </c>
      <c r="J133" s="3">
        <f t="shared" si="41"/>
        <v>3.7851731278214146E-2</v>
      </c>
      <c r="K133" s="3">
        <f t="shared" si="41"/>
        <v>8.5104526104889215E-3</v>
      </c>
      <c r="L133" s="3">
        <f t="shared" si="41"/>
        <v>2.809452881595459E-9</v>
      </c>
      <c r="M133" s="3">
        <f t="shared" si="41"/>
        <v>4.3182989350460298E-74</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1.5679179326314498E-2</v>
      </c>
      <c r="C134" s="3">
        <f t="shared" si="44"/>
        <v>1.5679179305206365E-2</v>
      </c>
      <c r="D134" s="3">
        <f t="shared" si="44"/>
        <v>1.5679179094125046E-2</v>
      </c>
      <c r="E134" s="3">
        <f t="shared" si="44"/>
        <v>1.5679176983312018E-2</v>
      </c>
      <c r="F134" s="3">
        <f t="shared" si="44"/>
        <v>1.5679155875197356E-2</v>
      </c>
      <c r="G134" s="3">
        <f t="shared" si="44"/>
        <v>1.5678944795613669E-2</v>
      </c>
      <c r="H134" s="3">
        <f t="shared" si="44"/>
        <v>1.5676834156060956E-2</v>
      </c>
      <c r="I134" s="3">
        <f t="shared" si="44"/>
        <v>1.5655743381166733E-2</v>
      </c>
      <c r="J134" s="3">
        <f t="shared" si="44"/>
        <v>1.5446389942607839E-2</v>
      </c>
      <c r="K134" s="3">
        <f t="shared" si="44"/>
        <v>1.3500815355308797E-2</v>
      </c>
      <c r="L134" s="3">
        <f t="shared" si="44"/>
        <v>3.5130961045074295E-3</v>
      </c>
      <c r="M134" s="3">
        <f t="shared" si="44"/>
        <v>5.0002343527401313E-9</v>
      </c>
      <c r="N134" s="3">
        <f t="shared" si="44"/>
        <v>1.7060574392096586E-67</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2.5896955455392095E-2</v>
      </c>
      <c r="C135" s="3">
        <f t="shared" si="47"/>
        <v>2.5896955452247086E-2</v>
      </c>
      <c r="D135" s="3">
        <f t="shared" si="47"/>
        <v>2.5896955420797004E-2</v>
      </c>
      <c r="E135" s="3">
        <f t="shared" si="47"/>
        <v>2.5896955106296193E-2</v>
      </c>
      <c r="F135" s="3">
        <f t="shared" si="47"/>
        <v>2.5896951961288276E-2</v>
      </c>
      <c r="G135" s="3">
        <f t="shared" si="47"/>
        <v>2.5896920511230114E-2</v>
      </c>
      <c r="H135" s="3">
        <f t="shared" si="47"/>
        <v>2.5896606012749117E-2</v>
      </c>
      <c r="I135" s="3">
        <f t="shared" si="47"/>
        <v>2.5893461237995557E-2</v>
      </c>
      <c r="J135" s="3">
        <f t="shared" si="47"/>
        <v>2.5862034486660929E-2</v>
      </c>
      <c r="K135" s="3">
        <f t="shared" si="47"/>
        <v>2.5549857189556296E-2</v>
      </c>
      <c r="L135" s="3">
        <f t="shared" si="47"/>
        <v>2.2628011041114626E-2</v>
      </c>
      <c r="M135" s="3">
        <f t="shared" si="47"/>
        <v>6.7177746592196495E-3</v>
      </c>
      <c r="N135" s="3">
        <f t="shared" si="47"/>
        <v>3.5728594316943812E-8</v>
      </c>
      <c r="O135" s="3">
        <f t="shared" si="47"/>
        <v>6.4702477639488105E-61</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3.0557565930688438E-2</v>
      </c>
      <c r="C136" s="3">
        <f t="shared" si="49"/>
        <v>3.0557565930353674E-2</v>
      </c>
      <c r="D136" s="3">
        <f t="shared" si="49"/>
        <v>3.0557565927006036E-2</v>
      </c>
      <c r="E136" s="3">
        <f t="shared" si="49"/>
        <v>3.0557565893529662E-2</v>
      </c>
      <c r="F136" s="3">
        <f t="shared" si="49"/>
        <v>3.0557565558765921E-2</v>
      </c>
      <c r="G136" s="3">
        <f t="shared" si="49"/>
        <v>3.0557562211128726E-2</v>
      </c>
      <c r="H136" s="3">
        <f t="shared" si="49"/>
        <v>3.0557528734776924E-2</v>
      </c>
      <c r="I136" s="3">
        <f t="shared" si="49"/>
        <v>3.0557193973275998E-2</v>
      </c>
      <c r="J136" s="3">
        <f t="shared" si="49"/>
        <v>3.0553846559964508E-2</v>
      </c>
      <c r="K136" s="3">
        <f t="shared" si="49"/>
        <v>3.0520392588458178E-2</v>
      </c>
      <c r="L136" s="3">
        <f t="shared" si="49"/>
        <v>3.0187860885801023E-2</v>
      </c>
      <c r="M136" s="3">
        <f t="shared" si="49"/>
        <v>2.7055438836948276E-2</v>
      </c>
      <c r="N136" s="3">
        <f t="shared" si="49"/>
        <v>9.0464254434337102E-3</v>
      </c>
      <c r="O136" s="3">
        <f t="shared" si="49"/>
        <v>1.5801607339692602E-7</v>
      </c>
      <c r="P136" s="3">
        <f t="shared" si="49"/>
        <v>4.1777633843402098E-55</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3.3957641152510931E-2</v>
      </c>
      <c r="C137" s="3">
        <f t="shared" si="51"/>
        <v>3.3957641152477375E-2</v>
      </c>
      <c r="D137" s="3">
        <f t="shared" si="51"/>
        <v>3.3957641152141782E-2</v>
      </c>
      <c r="E137" s="3">
        <f t="shared" si="51"/>
        <v>3.3957641148785925E-2</v>
      </c>
      <c r="F137" s="3">
        <f t="shared" si="51"/>
        <v>3.3957641115227331E-2</v>
      </c>
      <c r="G137" s="3">
        <f t="shared" si="51"/>
        <v>3.395764077964139E-2</v>
      </c>
      <c r="H137" s="3">
        <f t="shared" si="51"/>
        <v>3.3957637423782154E-2</v>
      </c>
      <c r="I137" s="3">
        <f t="shared" si="51"/>
        <v>3.3957603865208033E-2</v>
      </c>
      <c r="J137" s="3">
        <f t="shared" si="51"/>
        <v>3.3957268281290837E-2</v>
      </c>
      <c r="K137" s="3">
        <f t="shared" si="51"/>
        <v>3.3953912624514838E-2</v>
      </c>
      <c r="L137" s="3">
        <f t="shared" si="51"/>
        <v>3.3920374289676487E-2</v>
      </c>
      <c r="M137" s="3">
        <f t="shared" si="51"/>
        <v>3.3586807584145034E-2</v>
      </c>
      <c r="N137" s="3">
        <f t="shared" si="51"/>
        <v>3.0426334182520456E-2</v>
      </c>
      <c r="O137" s="3">
        <f t="shared" si="51"/>
        <v>1.1325533736534232E-2</v>
      </c>
      <c r="P137" s="3">
        <f t="shared" si="51"/>
        <v>5.7829461657631199E-7</v>
      </c>
      <c r="Q137" s="3">
        <f t="shared" si="51"/>
        <v>6.9671291743903266E-50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2.7970835032530242E-2</v>
      </c>
      <c r="C138" s="3">
        <f t="shared" si="53"/>
        <v>2.7970835032527751E-2</v>
      </c>
      <c r="D138" s="3">
        <f t="shared" si="53"/>
        <v>2.7970835032502812E-2</v>
      </c>
      <c r="E138" s="3">
        <f t="shared" si="53"/>
        <v>2.7970835032253456E-2</v>
      </c>
      <c r="F138" s="3">
        <f t="shared" si="53"/>
        <v>2.7970835029759906E-2</v>
      </c>
      <c r="G138" s="3">
        <f t="shared" si="53"/>
        <v>2.7970835004824397E-2</v>
      </c>
      <c r="H138" s="3">
        <f t="shared" si="53"/>
        <v>2.7970834755469288E-2</v>
      </c>
      <c r="I138" s="3">
        <f t="shared" si="53"/>
        <v>2.7970832261918339E-2</v>
      </c>
      <c r="J138" s="3">
        <f t="shared" si="53"/>
        <v>2.7970807326421061E-2</v>
      </c>
      <c r="K138" s="3">
        <f t="shared" si="53"/>
        <v>2.7970557972670923E-2</v>
      </c>
      <c r="L138" s="3">
        <f t="shared" si="53"/>
        <v>2.7968064557427681E-2</v>
      </c>
      <c r="M138" s="3">
        <f t="shared" si="53"/>
        <v>2.7943142626780302E-2</v>
      </c>
      <c r="N138" s="3">
        <f t="shared" si="53"/>
        <v>2.7695141477066275E-2</v>
      </c>
      <c r="O138" s="3">
        <f t="shared" si="53"/>
        <v>2.5333021607703076E-2</v>
      </c>
      <c r="P138" s="3">
        <f t="shared" si="53"/>
        <v>1.0387739471425973E-2</v>
      </c>
      <c r="Q138" s="3">
        <f t="shared" si="53"/>
        <v>1.3959234451310301E-6</v>
      </c>
      <c r="R138" s="3">
        <f t="shared" si="53"/>
        <v>2.6808167481572765E-45</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2.3282403551493313E-2</v>
      </c>
      <c r="C139" s="3">
        <f t="shared" si="55"/>
        <v>2.3282403551493126E-2</v>
      </c>
      <c r="D139" s="3">
        <f t="shared" si="55"/>
        <v>2.3282403551491252E-2</v>
      </c>
      <c r="E139" s="3">
        <f t="shared" si="55"/>
        <v>2.3282403551472531E-2</v>
      </c>
      <c r="F139" s="3">
        <f t="shared" si="55"/>
        <v>2.3282403551285295E-2</v>
      </c>
      <c r="G139" s="3">
        <f t="shared" si="55"/>
        <v>2.3282403549412942E-2</v>
      </c>
      <c r="H139" s="3">
        <f t="shared" si="55"/>
        <v>2.3282403530689433E-2</v>
      </c>
      <c r="I139" s="3">
        <f t="shared" si="55"/>
        <v>2.3282403343454348E-2</v>
      </c>
      <c r="J139" s="3">
        <f t="shared" si="55"/>
        <v>2.328240147110355E-2</v>
      </c>
      <c r="K139" s="3">
        <f t="shared" si="55"/>
        <v>2.3282382747603837E-2</v>
      </c>
      <c r="L139" s="3">
        <f t="shared" si="55"/>
        <v>2.328219551343487E-2</v>
      </c>
      <c r="M139" s="3">
        <f t="shared" si="55"/>
        <v>2.3280323254557513E-2</v>
      </c>
      <c r="N139" s="3">
        <f t="shared" si="55"/>
        <v>2.3261608944553373E-2</v>
      </c>
      <c r="O139" s="3">
        <f t="shared" si="55"/>
        <v>2.3075291263388288E-2</v>
      </c>
      <c r="P139" s="3">
        <f t="shared" si="55"/>
        <v>2.1292252238873006E-2</v>
      </c>
      <c r="Q139" s="3">
        <f t="shared" si="55"/>
        <v>9.5272094088438061E-3</v>
      </c>
      <c r="R139" s="3">
        <f t="shared" si="55"/>
        <v>3.064832883040488E-6</v>
      </c>
      <c r="S139" s="3">
        <f t="shared" si="55"/>
        <v>3.6376228829398748E-41</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2.5955524562197206E-2</v>
      </c>
      <c r="C140" s="3">
        <f t="shared" si="57"/>
        <v>2.5955524562197189E-2</v>
      </c>
      <c r="D140" s="3">
        <f t="shared" si="57"/>
        <v>2.5955524562196998E-2</v>
      </c>
      <c r="E140" s="3">
        <f t="shared" si="57"/>
        <v>2.5955524562195117E-2</v>
      </c>
      <c r="F140" s="3">
        <f t="shared" si="57"/>
        <v>2.5955524562176289E-2</v>
      </c>
      <c r="G140" s="3">
        <f t="shared" si="57"/>
        <v>2.5955524561987995E-2</v>
      </c>
      <c r="H140" s="3">
        <f t="shared" si="57"/>
        <v>2.5955524560105057E-2</v>
      </c>
      <c r="I140" s="3">
        <f t="shared" si="57"/>
        <v>2.5955524541275685E-2</v>
      </c>
      <c r="J140" s="3">
        <f t="shared" si="57"/>
        <v>2.5955524352981967E-2</v>
      </c>
      <c r="K140" s="3">
        <f t="shared" si="57"/>
        <v>2.5955522470044873E-2</v>
      </c>
      <c r="L140" s="3">
        <f t="shared" si="57"/>
        <v>2.595550364068144E-2</v>
      </c>
      <c r="M140" s="3">
        <f t="shared" si="57"/>
        <v>2.595531534779838E-2</v>
      </c>
      <c r="N140" s="3">
        <f t="shared" si="57"/>
        <v>2.5953432494093997E-2</v>
      </c>
      <c r="O140" s="3">
        <f t="shared" si="57"/>
        <v>2.5934611467656955E-2</v>
      </c>
      <c r="P140" s="3">
        <f t="shared" si="57"/>
        <v>2.5747150251904067E-2</v>
      </c>
      <c r="Q140" s="3">
        <f t="shared" si="57"/>
        <v>2.3945470812565001E-2</v>
      </c>
      <c r="R140" s="3">
        <f t="shared" si="57"/>
        <v>1.1592190548268502E-2</v>
      </c>
      <c r="S140" s="3">
        <f t="shared" si="57"/>
        <v>8.1957144632063692E-6</v>
      </c>
      <c r="T140" s="3">
        <f t="shared" si="57"/>
        <v>2.5574072912075814E-37</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2.4758413339816761E-2</v>
      </c>
      <c r="C141" s="3">
        <f t="shared" si="59"/>
        <v>2.4758413339816758E-2</v>
      </c>
      <c r="D141" s="3">
        <f t="shared" si="59"/>
        <v>2.4758413339816741E-2</v>
      </c>
      <c r="E141" s="3">
        <f t="shared" si="59"/>
        <v>2.4758413339816585E-2</v>
      </c>
      <c r="F141" s="3">
        <f t="shared" si="59"/>
        <v>2.4758413339814961E-2</v>
      </c>
      <c r="G141" s="3">
        <f t="shared" si="59"/>
        <v>2.4758413339798759E-2</v>
      </c>
      <c r="H141" s="3">
        <f t="shared" si="59"/>
        <v>2.4758413339636735E-2</v>
      </c>
      <c r="I141" s="3">
        <f t="shared" si="59"/>
        <v>2.4758413338016511E-2</v>
      </c>
      <c r="J141" s="3">
        <f t="shared" si="59"/>
        <v>2.4758413321814259E-2</v>
      </c>
      <c r="K141" s="3">
        <f t="shared" si="59"/>
        <v>2.4758413159791725E-2</v>
      </c>
      <c r="L141" s="3">
        <f t="shared" si="59"/>
        <v>2.4758411539566448E-2</v>
      </c>
      <c r="M141" s="3">
        <f t="shared" si="59"/>
        <v>2.4758395337319525E-2</v>
      </c>
      <c r="N141" s="3">
        <f t="shared" si="59"/>
        <v>2.4758233315433448E-2</v>
      </c>
      <c r="O141" s="3">
        <f t="shared" si="59"/>
        <v>2.4756613154887499E-2</v>
      </c>
      <c r="P141" s="3">
        <f t="shared" si="59"/>
        <v>2.4740417379499582E-2</v>
      </c>
      <c r="Q141" s="3">
        <f t="shared" si="59"/>
        <v>2.4579041223590149E-2</v>
      </c>
      <c r="R141" s="3">
        <f t="shared" si="59"/>
        <v>2.3022055531272356E-2</v>
      </c>
      <c r="S141" s="3">
        <f t="shared" si="59"/>
        <v>1.196563328766969E-2</v>
      </c>
      <c r="T141" s="3">
        <f t="shared" si="59"/>
        <v>1.721280329449589E-5</v>
      </c>
      <c r="U141" s="3">
        <f t="shared" si="59"/>
        <v>6.531467567558878E-34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2.5498882300455362E-2</v>
      </c>
      <c r="C142" s="3">
        <f t="shared" si="61"/>
        <v>2.5498882300455362E-2</v>
      </c>
      <c r="D142" s="3">
        <f t="shared" si="61"/>
        <v>2.5498882300455359E-2</v>
      </c>
      <c r="E142" s="3">
        <f t="shared" si="61"/>
        <v>2.5498882300455345E-2</v>
      </c>
      <c r="F142" s="3">
        <f t="shared" si="61"/>
        <v>2.5498882300455196E-2</v>
      </c>
      <c r="G142" s="3">
        <f t="shared" si="61"/>
        <v>2.549888230045369E-2</v>
      </c>
      <c r="H142" s="3">
        <f t="shared" si="61"/>
        <v>2.5498882300438636E-2</v>
      </c>
      <c r="I142" s="3">
        <f t="shared" si="61"/>
        <v>2.5498882300288107E-2</v>
      </c>
      <c r="J142" s="3">
        <f t="shared" si="61"/>
        <v>2.5498882298782818E-2</v>
      </c>
      <c r="K142" s="3">
        <f t="shared" si="61"/>
        <v>2.5498882283729912E-2</v>
      </c>
      <c r="L142" s="3">
        <f t="shared" si="61"/>
        <v>2.5498882133200854E-2</v>
      </c>
      <c r="M142" s="3">
        <f t="shared" si="61"/>
        <v>2.5498880627910319E-2</v>
      </c>
      <c r="N142" s="3">
        <f t="shared" si="61"/>
        <v>2.5498865575009865E-2</v>
      </c>
      <c r="O142" s="3">
        <f t="shared" si="61"/>
        <v>2.549871504649406E-2</v>
      </c>
      <c r="P142" s="3">
        <f t="shared" si="61"/>
        <v>2.5497209810209309E-2</v>
      </c>
      <c r="Q142" s="3">
        <f t="shared" si="61"/>
        <v>2.5482162333624856E-2</v>
      </c>
      <c r="R142" s="3">
        <f t="shared" si="61"/>
        <v>2.5332175128488548E-2</v>
      </c>
      <c r="S142" s="3">
        <f t="shared" si="61"/>
        <v>2.3880010804317217E-2</v>
      </c>
      <c r="T142" s="3">
        <f t="shared" si="61"/>
        <v>1.3232895740666098E-2</v>
      </c>
      <c r="U142" s="3">
        <f t="shared" si="61"/>
        <v>3.6129221963435024E-5</v>
      </c>
      <c r="V142" s="3">
        <f t="shared" si="61"/>
        <v>8.3156421786433814E-31</v>
      </c>
      <c r="W142" s="3">
        <f t="shared" si="61"/>
        <v>3.4695059400179724E-287</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2.6156174216144482E-2</v>
      </c>
      <c r="C143" s="3">
        <f t="shared" si="63"/>
        <v>2.6156174216144482E-2</v>
      </c>
      <c r="D143" s="3">
        <f t="shared" si="63"/>
        <v>2.6156174216144482E-2</v>
      </c>
      <c r="E143" s="3">
        <f t="shared" si="63"/>
        <v>2.6156174216144478E-2</v>
      </c>
      <c r="F143" s="3">
        <f t="shared" si="63"/>
        <v>2.6156174216144468E-2</v>
      </c>
      <c r="G143" s="3">
        <f t="shared" si="63"/>
        <v>2.6156174216144329E-2</v>
      </c>
      <c r="H143" s="3">
        <f t="shared" si="63"/>
        <v>2.6156174216142934E-2</v>
      </c>
      <c r="I143" s="3">
        <f t="shared" si="63"/>
        <v>2.6156174216129004E-2</v>
      </c>
      <c r="J143" s="3">
        <f t="shared" si="63"/>
        <v>2.6156174215989713E-2</v>
      </c>
      <c r="K143" s="3">
        <f t="shared" si="63"/>
        <v>2.6156174214596813E-2</v>
      </c>
      <c r="L143" s="3">
        <f t="shared" si="63"/>
        <v>2.6156174200667813E-2</v>
      </c>
      <c r="M143" s="3">
        <f t="shared" si="63"/>
        <v>2.6156174061377789E-2</v>
      </c>
      <c r="N143" s="3">
        <f t="shared" si="63"/>
        <v>2.6156172668477591E-2</v>
      </c>
      <c r="O143" s="3">
        <f t="shared" si="63"/>
        <v>2.6156158739479688E-2</v>
      </c>
      <c r="P143" s="3">
        <f t="shared" si="63"/>
        <v>2.6156019449908634E-2</v>
      </c>
      <c r="Q143" s="3">
        <f t="shared" si="63"/>
        <v>2.6154626594994235E-2</v>
      </c>
      <c r="R143" s="3">
        <f t="shared" si="63"/>
        <v>2.6140702124659736E-2</v>
      </c>
      <c r="S143" s="3">
        <f t="shared" si="63"/>
        <v>2.6001864499730857E-2</v>
      </c>
      <c r="T143" s="3">
        <f t="shared" si="63"/>
        <v>2.4653405294767831E-2</v>
      </c>
      <c r="U143" s="3">
        <f t="shared" si="63"/>
        <v>1.4474419728196741E-2</v>
      </c>
      <c r="V143" s="3">
        <f t="shared" si="63"/>
        <v>7.0443938430513205E-5</v>
      </c>
      <c r="W143" s="3">
        <f t="shared" si="63"/>
        <v>5.2513177291958748E-28</v>
      </c>
      <c r="X143" s="3">
        <f t="shared" si="63"/>
        <v>2.7830112819763242E-259</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3.7540941347655205E-2</v>
      </c>
      <c r="C144" s="3">
        <f t="shared" si="65"/>
        <v>3.7540941347655205E-2</v>
      </c>
      <c r="D144" s="3">
        <f t="shared" si="65"/>
        <v>3.7540941347655205E-2</v>
      </c>
      <c r="E144" s="3">
        <f t="shared" si="65"/>
        <v>3.7540941347655205E-2</v>
      </c>
      <c r="F144" s="3">
        <f t="shared" si="65"/>
        <v>3.7540941347655205E-2</v>
      </c>
      <c r="G144" s="3">
        <f t="shared" si="65"/>
        <v>3.7540941347655184E-2</v>
      </c>
      <c r="H144" s="3">
        <f t="shared" si="65"/>
        <v>3.7540941347655003E-2</v>
      </c>
      <c r="I144" s="3">
        <f t="shared" si="65"/>
        <v>3.7540941347653199E-2</v>
      </c>
      <c r="J144" s="3">
        <f t="shared" si="65"/>
        <v>3.7540941347635165E-2</v>
      </c>
      <c r="K144" s="3">
        <f t="shared" si="65"/>
        <v>3.7540941347454823E-2</v>
      </c>
      <c r="L144" s="3">
        <f t="shared" si="65"/>
        <v>3.7540941345651398E-2</v>
      </c>
      <c r="M144" s="3">
        <f t="shared" si="65"/>
        <v>3.7540941327617178E-2</v>
      </c>
      <c r="N144" s="3">
        <f t="shared" si="65"/>
        <v>3.7540941147274902E-2</v>
      </c>
      <c r="O144" s="3">
        <f t="shared" si="65"/>
        <v>3.7540939343852213E-2</v>
      </c>
      <c r="P144" s="3">
        <f t="shared" si="65"/>
        <v>3.754092130963007E-2</v>
      </c>
      <c r="Q144" s="3">
        <f t="shared" si="65"/>
        <v>3.7540740967885178E-2</v>
      </c>
      <c r="R144" s="3">
        <f t="shared" si="65"/>
        <v>3.7538937598084167E-2</v>
      </c>
      <c r="S144" s="3">
        <f t="shared" si="65"/>
        <v>3.7520908664020261E-2</v>
      </c>
      <c r="T144" s="3">
        <f t="shared" si="65"/>
        <v>3.7341094872327452E-2</v>
      </c>
      <c r="U144" s="3">
        <f t="shared" si="65"/>
        <v>3.5589677343356739E-2</v>
      </c>
      <c r="V144" s="3">
        <f t="shared" si="65"/>
        <v>2.2013752576125908E-2</v>
      </c>
      <c r="W144" s="3">
        <f t="shared" si="65"/>
        <v>1.8046558056229452E-4</v>
      </c>
      <c r="X144" s="3">
        <f t="shared" si="65"/>
        <v>2.473986946247744E-25</v>
      </c>
      <c r="Y144" s="3">
        <f t="shared" si="65"/>
        <v>5.7999949011586916E-234</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2.9964173015778757E-2</v>
      </c>
      <c r="C145" s="3">
        <f t="shared" si="68"/>
        <v>2.9964173015778757E-2</v>
      </c>
      <c r="D145" s="3">
        <f t="shared" si="68"/>
        <v>2.9964173015778757E-2</v>
      </c>
      <c r="E145" s="3">
        <f t="shared" si="68"/>
        <v>2.9964173015778757E-2</v>
      </c>
      <c r="F145" s="3">
        <f t="shared" si="68"/>
        <v>2.9964173015778757E-2</v>
      </c>
      <c r="G145" s="3">
        <f t="shared" si="68"/>
        <v>2.9964173015778757E-2</v>
      </c>
      <c r="H145" s="3">
        <f t="shared" si="68"/>
        <v>2.9964173015778743E-2</v>
      </c>
      <c r="I145" s="3">
        <f t="shared" si="68"/>
        <v>2.9964173015778615E-2</v>
      </c>
      <c r="J145" s="3">
        <f t="shared" si="68"/>
        <v>2.9964173015777314E-2</v>
      </c>
      <c r="K145" s="3">
        <f t="shared" si="68"/>
        <v>2.9964173015764328E-2</v>
      </c>
      <c r="L145" s="3">
        <f t="shared" si="68"/>
        <v>2.996417301563448E-2</v>
      </c>
      <c r="M145" s="3">
        <f t="shared" si="68"/>
        <v>2.9964173014335981E-2</v>
      </c>
      <c r="N145" s="3">
        <f t="shared" si="68"/>
        <v>2.9964173001351003E-2</v>
      </c>
      <c r="O145" s="3">
        <f t="shared" si="68"/>
        <v>2.9964172871501205E-2</v>
      </c>
      <c r="P145" s="3">
        <f t="shared" si="68"/>
        <v>2.9964171573003285E-2</v>
      </c>
      <c r="Q145" s="3">
        <f t="shared" si="68"/>
        <v>2.9964158588027145E-2</v>
      </c>
      <c r="R145" s="3">
        <f t="shared" si="68"/>
        <v>2.996402873857526E-2</v>
      </c>
      <c r="S145" s="3">
        <f t="shared" si="68"/>
        <v>2.9962730275004595E-2</v>
      </c>
      <c r="T145" s="3">
        <f t="shared" si="68"/>
        <v>2.9949748733620385E-2</v>
      </c>
      <c r="U145" s="3">
        <f t="shared" si="68"/>
        <v>2.9820242256453897E-2</v>
      </c>
      <c r="V145" s="3">
        <f t="shared" si="68"/>
        <v>2.8555581494032676E-2</v>
      </c>
      <c r="W145" s="3">
        <f t="shared" si="68"/>
        <v>1.8513537891502646E-2</v>
      </c>
      <c r="X145" s="3">
        <f t="shared" si="68"/>
        <v>2.4292573664350974E-4</v>
      </c>
      <c r="Y145" s="3">
        <f t="shared" si="68"/>
        <v>3.6754846975606816E-23</v>
      </c>
      <c r="Z145" s="3">
        <f t="shared" si="68"/>
        <v>2.3106040222449365E-211</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7.1416883904963147E-2</v>
      </c>
      <c r="C146" s="3">
        <f t="shared" si="70"/>
        <v>7.1416883904963147E-2</v>
      </c>
      <c r="D146" s="3">
        <f t="shared" si="70"/>
        <v>7.1416883904963147E-2</v>
      </c>
      <c r="E146" s="3">
        <f t="shared" si="70"/>
        <v>7.1416883904963147E-2</v>
      </c>
      <c r="F146" s="3">
        <f t="shared" si="70"/>
        <v>7.1416883904963147E-2</v>
      </c>
      <c r="G146" s="3">
        <f t="shared" si="70"/>
        <v>7.1416883904963147E-2</v>
      </c>
      <c r="H146" s="3">
        <f t="shared" si="70"/>
        <v>7.1416883904963147E-2</v>
      </c>
      <c r="I146" s="3">
        <f t="shared" si="70"/>
        <v>7.1416883904963119E-2</v>
      </c>
      <c r="J146" s="3">
        <f t="shared" si="70"/>
        <v>7.1416883904962841E-2</v>
      </c>
      <c r="K146" s="3">
        <f t="shared" si="70"/>
        <v>7.1416883904960052E-2</v>
      </c>
      <c r="L146" s="3">
        <f t="shared" si="70"/>
        <v>7.141688390493213E-2</v>
      </c>
      <c r="M146" s="3">
        <f t="shared" si="70"/>
        <v>7.141688390465295E-2</v>
      </c>
      <c r="N146" s="3">
        <f t="shared" si="70"/>
        <v>7.1416883901861128E-2</v>
      </c>
      <c r="O146" s="3">
        <f t="shared" si="70"/>
        <v>7.1416883873942988E-2</v>
      </c>
      <c r="P146" s="3">
        <f t="shared" si="70"/>
        <v>7.1416883594761602E-2</v>
      </c>
      <c r="Q146" s="3">
        <f t="shared" si="70"/>
        <v>7.1416880802947794E-2</v>
      </c>
      <c r="R146" s="3">
        <f t="shared" si="70"/>
        <v>7.1416852884815613E-2</v>
      </c>
      <c r="S146" s="3">
        <f t="shared" si="70"/>
        <v>7.1416573704094197E-2</v>
      </c>
      <c r="T146" s="3">
        <f t="shared" si="70"/>
        <v>7.1413781956904426E-2</v>
      </c>
      <c r="U146" s="3">
        <f t="shared" si="70"/>
        <v>7.1385870486577296E-2</v>
      </c>
      <c r="V146" s="3">
        <f t="shared" si="70"/>
        <v>7.1107355073214765E-2</v>
      </c>
      <c r="W146" s="3">
        <f t="shared" si="70"/>
        <v>6.8381272108924737E-2</v>
      </c>
      <c r="X146" s="3">
        <f t="shared" si="70"/>
        <v>4.6255532562624276E-2</v>
      </c>
      <c r="Y146" s="3">
        <f t="shared" si="70"/>
        <v>9.2774534363934907E-4</v>
      </c>
      <c r="Z146" s="3">
        <f t="shared" si="70"/>
        <v>9.7741671255792375E-21</v>
      </c>
      <c r="AA146" s="3">
        <f t="shared" ref="AA146" si="71">$C32*EXP(-AA$129/$A32/EXP(-$B$126))</f>
        <v>1.6466053946186951E-190</v>
      </c>
      <c r="AB146" s="3">
        <f t="shared" si="67"/>
        <v>0</v>
      </c>
      <c r="AC146" s="3">
        <f t="shared" si="67"/>
        <v>0</v>
      </c>
      <c r="AD146" s="3">
        <f t="shared" si="67"/>
        <v>0</v>
      </c>
      <c r="AE146" s="3">
        <f t="shared" si="67"/>
        <v>0</v>
      </c>
      <c r="AF146" s="3">
        <f t="shared" si="67"/>
        <v>0</v>
      </c>
    </row>
    <row r="147" spans="1:32" x14ac:dyDescent="0.25">
      <c r="B147" s="3">
        <f t="shared" ref="B147:Z147" si="72">$C33*EXP(-B$129/$A33/EXP(-$B$126))</f>
        <v>0.10311361760580572</v>
      </c>
      <c r="C147" s="3">
        <f t="shared" si="72"/>
        <v>0.10311361760580572</v>
      </c>
      <c r="D147" s="3">
        <f t="shared" si="72"/>
        <v>0.10311361760580572</v>
      </c>
      <c r="E147" s="3">
        <f t="shared" si="72"/>
        <v>0.10311361760580572</v>
      </c>
      <c r="F147" s="3">
        <f t="shared" si="72"/>
        <v>0.10311361760580572</v>
      </c>
      <c r="G147" s="3">
        <f t="shared" si="72"/>
        <v>0.10311361760580572</v>
      </c>
      <c r="H147" s="3">
        <f t="shared" si="72"/>
        <v>0.10311361760580572</v>
      </c>
      <c r="I147" s="3">
        <f t="shared" si="72"/>
        <v>0.10311361760580572</v>
      </c>
      <c r="J147" s="3">
        <f t="shared" si="72"/>
        <v>0.10311361760580567</v>
      </c>
      <c r="K147" s="3">
        <f t="shared" si="72"/>
        <v>0.10311361760580531</v>
      </c>
      <c r="L147" s="3">
        <f t="shared" si="72"/>
        <v>0.10311361760580168</v>
      </c>
      <c r="M147" s="3">
        <f t="shared" si="72"/>
        <v>0.10311361760576532</v>
      </c>
      <c r="N147" s="3">
        <f t="shared" si="72"/>
        <v>0.10311361760540169</v>
      </c>
      <c r="O147" s="3">
        <f t="shared" si="72"/>
        <v>0.10311361760176549</v>
      </c>
      <c r="P147" s="3">
        <f t="shared" si="72"/>
        <v>0.10311361756540345</v>
      </c>
      <c r="Q147" s="3">
        <f t="shared" si="72"/>
        <v>0.10311361720178309</v>
      </c>
      <c r="R147" s="3">
        <f t="shared" si="72"/>
        <v>0.10311361356557969</v>
      </c>
      <c r="S147" s="3">
        <f t="shared" si="72"/>
        <v>0.10311357720355252</v>
      </c>
      <c r="T147" s="3">
        <f t="shared" si="72"/>
        <v>0.10311321358398619</v>
      </c>
      <c r="U147" s="3">
        <f t="shared" si="72"/>
        <v>0.10310957745884684</v>
      </c>
      <c r="V147" s="3">
        <f t="shared" si="72"/>
        <v>0.10307322325892991</v>
      </c>
      <c r="W147" s="3">
        <f t="shared" si="72"/>
        <v>0.1027103854882286</v>
      </c>
      <c r="X147" s="3">
        <f t="shared" si="72"/>
        <v>9.9151520374840985E-2</v>
      </c>
      <c r="Y147" s="3">
        <f t="shared" si="72"/>
        <v>6.9686646558150114E-2</v>
      </c>
      <c r="Z147" s="3">
        <f t="shared" si="72"/>
        <v>2.0495166283917522E-3</v>
      </c>
      <c r="AA147" s="3">
        <f t="shared" ref="AA147" si="73">$C33*EXP(-AA$129/$A33/EXP(-$B$126))</f>
        <v>9.9236228036665411E-19</v>
      </c>
      <c r="AB147" s="3">
        <f t="shared" si="67"/>
        <v>7.0284291303460478E-172</v>
      </c>
      <c r="AC147" s="3">
        <f t="shared" si="67"/>
        <v>0</v>
      </c>
      <c r="AD147" s="3">
        <f t="shared" si="67"/>
        <v>0</v>
      </c>
      <c r="AE147" s="3">
        <f t="shared" si="67"/>
        <v>0</v>
      </c>
      <c r="AF147" s="3">
        <f t="shared" si="67"/>
        <v>0</v>
      </c>
    </row>
    <row r="148" spans="1:32" x14ac:dyDescent="0.25">
      <c r="B148" s="3">
        <f t="shared" ref="B148:Z148" si="74">$C34*EXP(-B$129/$A34/EXP(-$B$126))</f>
        <v>8.7291657876096773E-2</v>
      </c>
      <c r="C148" s="3">
        <f t="shared" si="74"/>
        <v>8.7291657876096773E-2</v>
      </c>
      <c r="D148" s="3">
        <f t="shared" si="74"/>
        <v>8.7291657876096773E-2</v>
      </c>
      <c r="E148" s="3">
        <f t="shared" si="74"/>
        <v>8.7291657876096773E-2</v>
      </c>
      <c r="F148" s="3">
        <f t="shared" si="74"/>
        <v>8.7291657876096773E-2</v>
      </c>
      <c r="G148" s="3">
        <f t="shared" si="74"/>
        <v>8.7291657876096773E-2</v>
      </c>
      <c r="H148" s="3">
        <f t="shared" si="74"/>
        <v>8.7291657876096773E-2</v>
      </c>
      <c r="I148" s="3">
        <f t="shared" si="74"/>
        <v>8.7291657876096773E-2</v>
      </c>
      <c r="J148" s="3">
        <f t="shared" si="74"/>
        <v>8.7291657876096773E-2</v>
      </c>
      <c r="K148" s="3">
        <f t="shared" si="74"/>
        <v>8.7291657876096745E-2</v>
      </c>
      <c r="L148" s="3">
        <f t="shared" si="74"/>
        <v>8.7291657876096468E-2</v>
      </c>
      <c r="M148" s="3">
        <f t="shared" si="74"/>
        <v>8.7291657876093692E-2</v>
      </c>
      <c r="N148" s="3">
        <f t="shared" si="74"/>
        <v>8.7291657876065923E-2</v>
      </c>
      <c r="O148" s="3">
        <f t="shared" si="74"/>
        <v>8.7291657875788228E-2</v>
      </c>
      <c r="P148" s="3">
        <f t="shared" si="74"/>
        <v>8.729165787301138E-2</v>
      </c>
      <c r="Q148" s="3">
        <f t="shared" si="74"/>
        <v>8.7291657845242954E-2</v>
      </c>
      <c r="R148" s="3">
        <f t="shared" si="74"/>
        <v>8.7291657567558537E-2</v>
      </c>
      <c r="S148" s="3">
        <f t="shared" si="74"/>
        <v>8.729165479071456E-2</v>
      </c>
      <c r="T148" s="3">
        <f t="shared" si="74"/>
        <v>8.7291627022279494E-2</v>
      </c>
      <c r="U148" s="3">
        <f t="shared" si="74"/>
        <v>8.7291349338414717E-2</v>
      </c>
      <c r="V148" s="3">
        <f t="shared" si="74"/>
        <v>8.7288572548350291E-2</v>
      </c>
      <c r="W148" s="3">
        <f t="shared" si="74"/>
        <v>8.7260809505466927E-2</v>
      </c>
      <c r="X148" s="3">
        <f t="shared" si="74"/>
        <v>8.6983664281441581E-2</v>
      </c>
      <c r="Y148" s="3">
        <f t="shared" si="74"/>
        <v>8.426016625755714E-2</v>
      </c>
      <c r="Z148" s="3">
        <f t="shared" si="74"/>
        <v>6.1301124393055427E-2</v>
      </c>
      <c r="AA148" s="3">
        <f>$C34*EXP(-AA$129/$A34/EXP(-$B$126))</f>
        <v>2.5464181906602848E-3</v>
      </c>
      <c r="AB148" s="3">
        <f t="shared" si="67"/>
        <v>3.8953151853512455E-17</v>
      </c>
      <c r="AC148" s="3">
        <f t="shared" si="67"/>
        <v>2.7331996877542476E-155</v>
      </c>
      <c r="AD148" s="3">
        <f t="shared" si="67"/>
        <v>0</v>
      </c>
      <c r="AE148" s="3">
        <f t="shared" si="67"/>
        <v>0</v>
      </c>
      <c r="AF148" s="3">
        <f t="shared" si="67"/>
        <v>0</v>
      </c>
    </row>
    <row r="149" spans="1:32" x14ac:dyDescent="0.25">
      <c r="B149" s="3">
        <f t="shared" ref="B149:Z149" si="75">$C35*EXP(-B$129/$A35/EXP(-$B$126))</f>
        <v>7.2211450290495263E-2</v>
      </c>
      <c r="C149" s="3">
        <f t="shared" si="75"/>
        <v>7.2211450290495263E-2</v>
      </c>
      <c r="D149" s="3">
        <f t="shared" si="75"/>
        <v>7.2211450290495263E-2</v>
      </c>
      <c r="E149" s="3">
        <f t="shared" si="75"/>
        <v>7.2211450290495263E-2</v>
      </c>
      <c r="F149" s="3">
        <f t="shared" si="75"/>
        <v>7.2211450290495263E-2</v>
      </c>
      <c r="G149" s="3">
        <f t="shared" si="75"/>
        <v>7.2211450290495263E-2</v>
      </c>
      <c r="H149" s="3">
        <f t="shared" si="75"/>
        <v>7.2211450290495263E-2</v>
      </c>
      <c r="I149" s="3">
        <f t="shared" si="75"/>
        <v>7.2211450290495263E-2</v>
      </c>
      <c r="J149" s="3">
        <f t="shared" si="75"/>
        <v>7.2211450290495263E-2</v>
      </c>
      <c r="K149" s="3">
        <f t="shared" si="75"/>
        <v>7.2211450290495263E-2</v>
      </c>
      <c r="L149" s="3">
        <f t="shared" si="75"/>
        <v>7.2211450290495235E-2</v>
      </c>
      <c r="M149" s="3">
        <f t="shared" si="75"/>
        <v>7.2211450290495027E-2</v>
      </c>
      <c r="N149" s="3">
        <f t="shared" si="75"/>
        <v>7.2211450290492959E-2</v>
      </c>
      <c r="O149" s="3">
        <f t="shared" si="75"/>
        <v>7.221145029047224E-2</v>
      </c>
      <c r="P149" s="3">
        <f t="shared" si="75"/>
        <v>7.2211450290265017E-2</v>
      </c>
      <c r="Q149" s="3">
        <f t="shared" si="75"/>
        <v>7.2211450288192827E-2</v>
      </c>
      <c r="R149" s="3">
        <f t="shared" si="75"/>
        <v>7.2211450267470834E-2</v>
      </c>
      <c r="S149" s="3">
        <f t="shared" si="75"/>
        <v>7.2211450060250967E-2</v>
      </c>
      <c r="T149" s="3">
        <f t="shared" si="75"/>
        <v>7.2211447988052249E-2</v>
      </c>
      <c r="U149" s="3">
        <f t="shared" si="75"/>
        <v>7.2211427266068454E-2</v>
      </c>
      <c r="V149" s="3">
        <f t="shared" si="75"/>
        <v>7.2211220046557542E-2</v>
      </c>
      <c r="W149" s="3">
        <f t="shared" si="75"/>
        <v>7.2209147884153377E-2</v>
      </c>
      <c r="X149" s="3">
        <f t="shared" si="75"/>
        <v>7.2188429530265774E-2</v>
      </c>
      <c r="Y149" s="3">
        <f t="shared" si="75"/>
        <v>7.1981572659839607E-2</v>
      </c>
      <c r="Z149" s="3">
        <f t="shared" si="75"/>
        <v>6.9945326602741428E-2</v>
      </c>
      <c r="AA149" s="3">
        <f t="shared" ref="AA149" si="76">$C35*EXP(-AA$129/$A35/EXP(-$B$126))</f>
        <v>5.2496749948959497E-2</v>
      </c>
      <c r="AB149" s="3">
        <f t="shared" si="67"/>
        <v>2.9776220078683246E-3</v>
      </c>
      <c r="AC149" s="3">
        <f t="shared" si="67"/>
        <v>1.0262213607505772E-15</v>
      </c>
      <c r="AD149" s="3">
        <f t="shared" si="67"/>
        <v>2.4263636746889755E-140</v>
      </c>
      <c r="AE149" s="3">
        <f t="shared" si="67"/>
        <v>0</v>
      </c>
      <c r="AF149" s="3">
        <f t="shared" si="67"/>
        <v>0</v>
      </c>
    </row>
    <row r="150" spans="1:32" x14ac:dyDescent="0.25">
      <c r="B150" s="3">
        <f t="shared" ref="B150:Z150" si="77">$C36*EXP(-B$129/$A36/EXP(-$B$126))</f>
        <v>4.7726428975124642E-2</v>
      </c>
      <c r="C150" s="3">
        <f t="shared" si="77"/>
        <v>4.7726428975124642E-2</v>
      </c>
      <c r="D150" s="3">
        <f t="shared" si="77"/>
        <v>4.7726428975124642E-2</v>
      </c>
      <c r="E150" s="3">
        <f t="shared" si="77"/>
        <v>4.7726428975124642E-2</v>
      </c>
      <c r="F150" s="3">
        <f t="shared" si="77"/>
        <v>4.7726428975124642E-2</v>
      </c>
      <c r="G150" s="3">
        <f t="shared" si="77"/>
        <v>4.7726428975124642E-2</v>
      </c>
      <c r="H150" s="3">
        <f t="shared" si="77"/>
        <v>4.7726428975124642E-2</v>
      </c>
      <c r="I150" s="3">
        <f t="shared" si="77"/>
        <v>4.7726428975124642E-2</v>
      </c>
      <c r="J150" s="3">
        <f t="shared" si="77"/>
        <v>4.7726428975124642E-2</v>
      </c>
      <c r="K150" s="3">
        <f t="shared" si="77"/>
        <v>4.7726428975124642E-2</v>
      </c>
      <c r="L150" s="3">
        <f t="shared" si="77"/>
        <v>4.7726428975124642E-2</v>
      </c>
      <c r="M150" s="3">
        <f t="shared" si="77"/>
        <v>4.7726428975124628E-2</v>
      </c>
      <c r="N150" s="3">
        <f t="shared" si="77"/>
        <v>4.7726428975124503E-2</v>
      </c>
      <c r="O150" s="3">
        <f t="shared" si="77"/>
        <v>4.7726428975123268E-2</v>
      </c>
      <c r="P150" s="3">
        <f t="shared" si="77"/>
        <v>4.772642897511091E-2</v>
      </c>
      <c r="Q150" s="3">
        <f t="shared" si="77"/>
        <v>4.772642897498737E-2</v>
      </c>
      <c r="R150" s="3">
        <f t="shared" si="77"/>
        <v>4.77264289737519E-2</v>
      </c>
      <c r="S150" s="3">
        <f t="shared" si="77"/>
        <v>4.7726428961397241E-2</v>
      </c>
      <c r="T150" s="3">
        <f t="shared" si="77"/>
        <v>4.7726428837850624E-2</v>
      </c>
      <c r="U150" s="3">
        <f t="shared" si="77"/>
        <v>4.7726427602384436E-2</v>
      </c>
      <c r="V150" s="3">
        <f t="shared" si="77"/>
        <v>4.7726415247724349E-2</v>
      </c>
      <c r="W150" s="3">
        <f t="shared" si="77"/>
        <v>4.7726291701299377E-2</v>
      </c>
      <c r="X150" s="3">
        <f t="shared" si="77"/>
        <v>4.7725056254639443E-2</v>
      </c>
      <c r="Y150" s="3">
        <f t="shared" si="77"/>
        <v>4.7712703546851483E-2</v>
      </c>
      <c r="Z150" s="3">
        <f t="shared" si="77"/>
        <v>4.7589352181769753E-2</v>
      </c>
      <c r="AA150" s="3">
        <f t="shared" ref="AA150" si="78">$C36*EXP(-AA$129/$A36/EXP(-$B$126))</f>
        <v>4.6373242672456697E-2</v>
      </c>
      <c r="AB150" s="3">
        <f t="shared" si="67"/>
        <v>3.5796798583186497E-2</v>
      </c>
      <c r="AC150" s="3">
        <f t="shared" si="67"/>
        <v>2.6891276420659398E-3</v>
      </c>
      <c r="AD150" s="3">
        <f t="shared" si="67"/>
        <v>1.5391597761577457E-14</v>
      </c>
      <c r="AE150" s="3">
        <f t="shared" si="67"/>
        <v>5.8077322663796875E-127</v>
      </c>
      <c r="AF150" s="3">
        <f t="shared" si="67"/>
        <v>0</v>
      </c>
    </row>
    <row r="151" spans="1:32" x14ac:dyDescent="0.25">
      <c r="B151" s="3">
        <f t="shared" ref="B151:Z151" si="79">$C37*EXP(-B$129/$A37/EXP(-$B$126))</f>
        <v>3.3498054799521296E-2</v>
      </c>
      <c r="C151" s="3">
        <f t="shared" si="79"/>
        <v>3.3498054799521296E-2</v>
      </c>
      <c r="D151" s="3">
        <f t="shared" si="79"/>
        <v>3.3498054799521296E-2</v>
      </c>
      <c r="E151" s="3">
        <f t="shared" si="79"/>
        <v>3.3498054799521296E-2</v>
      </c>
      <c r="F151" s="3">
        <f t="shared" si="79"/>
        <v>3.3498054799521296E-2</v>
      </c>
      <c r="G151" s="3">
        <f t="shared" si="79"/>
        <v>3.3498054799521296E-2</v>
      </c>
      <c r="H151" s="3">
        <f t="shared" si="79"/>
        <v>3.3498054799521296E-2</v>
      </c>
      <c r="I151" s="3">
        <f t="shared" si="79"/>
        <v>3.3498054799521296E-2</v>
      </c>
      <c r="J151" s="3">
        <f t="shared" si="79"/>
        <v>3.3498054799521296E-2</v>
      </c>
      <c r="K151" s="3">
        <f t="shared" si="79"/>
        <v>3.3498054799521296E-2</v>
      </c>
      <c r="L151" s="3">
        <f t="shared" si="79"/>
        <v>3.3498054799521296E-2</v>
      </c>
      <c r="M151" s="3">
        <f t="shared" si="79"/>
        <v>3.3498054799521296E-2</v>
      </c>
      <c r="N151" s="3">
        <f t="shared" si="79"/>
        <v>3.3498054799521289E-2</v>
      </c>
      <c r="O151" s="3">
        <f t="shared" si="79"/>
        <v>3.3498054799521212E-2</v>
      </c>
      <c r="P151" s="3">
        <f t="shared" si="79"/>
        <v>3.3498054799520428E-2</v>
      </c>
      <c r="Q151" s="3">
        <f t="shared" si="79"/>
        <v>3.3498054799512601E-2</v>
      </c>
      <c r="R151" s="3">
        <f t="shared" si="79"/>
        <v>3.3498054799434379E-2</v>
      </c>
      <c r="S151" s="3">
        <f t="shared" si="79"/>
        <v>3.3498054798652144E-2</v>
      </c>
      <c r="T151" s="3">
        <f t="shared" si="79"/>
        <v>3.3498054790829776E-2</v>
      </c>
      <c r="U151" s="3">
        <f t="shared" si="79"/>
        <v>3.3498054712606126E-2</v>
      </c>
      <c r="V151" s="3">
        <f t="shared" si="79"/>
        <v>3.3498053930369573E-2</v>
      </c>
      <c r="W151" s="3">
        <f t="shared" si="79"/>
        <v>3.3498046108005108E-2</v>
      </c>
      <c r="X151" s="3">
        <f t="shared" si="79"/>
        <v>3.3497967884460911E-2</v>
      </c>
      <c r="Y151" s="3">
        <f t="shared" si="79"/>
        <v>3.3497185659065475E-2</v>
      </c>
      <c r="Z151" s="3">
        <f t="shared" si="79"/>
        <v>3.3489364409675121E-2</v>
      </c>
      <c r="AA151" s="3">
        <f t="shared" ref="AA151" si="80">$C37*EXP(-AA$129/$A37/EXP(-$B$126))</f>
        <v>3.3411252285433922E-2</v>
      </c>
      <c r="AB151" s="3">
        <f t="shared" si="67"/>
        <v>3.2640081827584509E-2</v>
      </c>
      <c r="AC151" s="3">
        <f t="shared" si="67"/>
        <v>2.584259313808512E-2</v>
      </c>
      <c r="AD151" s="3">
        <f t="shared" si="67"/>
        <v>2.501408397059274E-3</v>
      </c>
      <c r="AE151" s="3">
        <f t="shared" si="67"/>
        <v>1.805800362288414E-13</v>
      </c>
      <c r="AF151" s="3">
        <f t="shared" si="67"/>
        <v>6.9425826701012616E-115</v>
      </c>
    </row>
    <row r="152" spans="1:32" x14ac:dyDescent="0.25">
      <c r="B152" s="3">
        <f t="shared" ref="B152:Z152" si="81">$C38*EXP(-B$129/$A38/EXP(-$B$126))</f>
        <v>8.3276524344842746E-3</v>
      </c>
      <c r="C152" s="3">
        <f t="shared" si="81"/>
        <v>8.3276524344842746E-3</v>
      </c>
      <c r="D152" s="3">
        <f t="shared" si="81"/>
        <v>8.3276524344842746E-3</v>
      </c>
      <c r="E152" s="3">
        <f t="shared" si="81"/>
        <v>8.3276524344842746E-3</v>
      </c>
      <c r="F152" s="3">
        <f t="shared" si="81"/>
        <v>8.3276524344842746E-3</v>
      </c>
      <c r="G152" s="3">
        <f t="shared" si="81"/>
        <v>8.3276524344842746E-3</v>
      </c>
      <c r="H152" s="3">
        <f t="shared" si="81"/>
        <v>8.3276524344842746E-3</v>
      </c>
      <c r="I152" s="3">
        <f t="shared" si="81"/>
        <v>8.3276524344842746E-3</v>
      </c>
      <c r="J152" s="3">
        <f t="shared" si="81"/>
        <v>8.3276524344842746E-3</v>
      </c>
      <c r="K152" s="3">
        <f t="shared" si="81"/>
        <v>8.3276524344842746E-3</v>
      </c>
      <c r="L152" s="3">
        <f t="shared" si="81"/>
        <v>8.3276524344842746E-3</v>
      </c>
      <c r="M152" s="3">
        <f t="shared" si="81"/>
        <v>8.3276524344842746E-3</v>
      </c>
      <c r="N152" s="3">
        <f t="shared" si="81"/>
        <v>8.3276524344842746E-3</v>
      </c>
      <c r="O152" s="3">
        <f t="shared" si="81"/>
        <v>8.3276524344842728E-3</v>
      </c>
      <c r="P152" s="3">
        <f t="shared" si="81"/>
        <v>8.3276524344842555E-3</v>
      </c>
      <c r="Q152" s="3">
        <f t="shared" si="81"/>
        <v>8.3276524344840803E-3</v>
      </c>
      <c r="R152" s="3">
        <f t="shared" si="81"/>
        <v>8.3276524344823247E-3</v>
      </c>
      <c r="S152" s="3">
        <f t="shared" si="81"/>
        <v>8.3276524344647832E-3</v>
      </c>
      <c r="T152" s="3">
        <f t="shared" si="81"/>
        <v>8.3276524342893593E-3</v>
      </c>
      <c r="U152" s="3">
        <f t="shared" si="81"/>
        <v>8.3276524325351254E-3</v>
      </c>
      <c r="V152" s="3">
        <f t="shared" si="81"/>
        <v>8.3276524149927776E-3</v>
      </c>
      <c r="W152" s="3">
        <f t="shared" si="81"/>
        <v>8.3276522395693085E-3</v>
      </c>
      <c r="X152" s="3">
        <f t="shared" si="81"/>
        <v>8.3276504853348129E-3</v>
      </c>
      <c r="Y152" s="3">
        <f t="shared" si="81"/>
        <v>8.3276329430101974E-3</v>
      </c>
      <c r="Z152" s="3">
        <f t="shared" si="81"/>
        <v>8.3274575217964462E-3</v>
      </c>
      <c r="AA152" s="3">
        <f t="shared" ref="AA152" si="82">$C38*EXP(-AA$129/$A38/EXP(-$B$126))</f>
        <v>8.3257035128842926E-3</v>
      </c>
      <c r="AB152" s="3">
        <f t="shared" si="67"/>
        <v>8.3081837304676588E-3</v>
      </c>
      <c r="AC152" s="3">
        <f t="shared" si="67"/>
        <v>8.1350008382985277E-3</v>
      </c>
      <c r="AD152" s="3">
        <f t="shared" si="67"/>
        <v>6.5898070861857561E-3</v>
      </c>
      <c r="AE152" s="3">
        <f t="shared" si="67"/>
        <v>8.0172179592634765E-4</v>
      </c>
      <c r="AF152" s="3">
        <f t="shared" si="67"/>
        <v>5.6955227027622591E-13</v>
      </c>
    </row>
    <row r="153" spans="1:32" x14ac:dyDescent="0.25">
      <c r="B153" s="3">
        <f t="shared" ref="B153:Z153" si="83">$C39*EXP(-B$129/$A39/EXP(-$B$126))</f>
        <v>1.1282321504922463E-2</v>
      </c>
      <c r="C153" s="3">
        <f t="shared" si="83"/>
        <v>1.1282321504922463E-2</v>
      </c>
      <c r="D153" s="3">
        <f t="shared" si="83"/>
        <v>1.1282321504922463E-2</v>
      </c>
      <c r="E153" s="3">
        <f t="shared" si="83"/>
        <v>1.1282321504922463E-2</v>
      </c>
      <c r="F153" s="3">
        <f t="shared" si="83"/>
        <v>1.1282321504922463E-2</v>
      </c>
      <c r="G153" s="3">
        <f t="shared" si="83"/>
        <v>1.1282321504922463E-2</v>
      </c>
      <c r="H153" s="3">
        <f t="shared" si="83"/>
        <v>1.1282321504922463E-2</v>
      </c>
      <c r="I153" s="3">
        <f t="shared" si="83"/>
        <v>1.1282321504922463E-2</v>
      </c>
      <c r="J153" s="3">
        <f t="shared" si="83"/>
        <v>1.1282321504922463E-2</v>
      </c>
      <c r="K153" s="3">
        <f t="shared" si="83"/>
        <v>1.1282321504922463E-2</v>
      </c>
      <c r="L153" s="3">
        <f t="shared" si="83"/>
        <v>1.1282321504922463E-2</v>
      </c>
      <c r="M153" s="3">
        <f t="shared" si="83"/>
        <v>1.1282321504922463E-2</v>
      </c>
      <c r="N153" s="3">
        <f t="shared" si="83"/>
        <v>1.1282321504922463E-2</v>
      </c>
      <c r="O153" s="3">
        <f t="shared" si="83"/>
        <v>1.1282321504922461E-2</v>
      </c>
      <c r="P153" s="3">
        <f t="shared" si="83"/>
        <v>1.1282321504922456E-2</v>
      </c>
      <c r="Q153" s="3">
        <f t="shared" si="83"/>
        <v>1.128232150492239E-2</v>
      </c>
      <c r="R153" s="3">
        <f t="shared" si="83"/>
        <v>1.1282321504921733E-2</v>
      </c>
      <c r="S153" s="3">
        <f t="shared" si="83"/>
        <v>1.128232150491516E-2</v>
      </c>
      <c r="T153" s="3">
        <f t="shared" si="83"/>
        <v>1.1282321504849428E-2</v>
      </c>
      <c r="U153" s="3">
        <f t="shared" si="83"/>
        <v>1.1282321504192108E-2</v>
      </c>
      <c r="V153" s="3">
        <f t="shared" si="83"/>
        <v>1.1282321497618914E-2</v>
      </c>
      <c r="W153" s="3">
        <f t="shared" si="83"/>
        <v>1.1282321431886976E-2</v>
      </c>
      <c r="X153" s="3">
        <f t="shared" si="83"/>
        <v>1.1282320774567608E-2</v>
      </c>
      <c r="Y153" s="3">
        <f t="shared" si="83"/>
        <v>1.1282314201376034E-2</v>
      </c>
      <c r="Z153" s="3">
        <f t="shared" si="83"/>
        <v>1.1282248469670931E-2</v>
      </c>
      <c r="AA153" s="3">
        <f t="shared" ref="AA153" si="84">$C39*EXP(-AA$129/$A39/EXP(-$B$126))</f>
        <v>1.1281591173682229E-2</v>
      </c>
      <c r="AB153" s="3">
        <f t="shared" si="67"/>
        <v>1.1275020319575684E-2</v>
      </c>
      <c r="AC153" s="3">
        <f t="shared" si="67"/>
        <v>1.1209521903328214E-2</v>
      </c>
      <c r="AD153" s="3">
        <f t="shared" si="67"/>
        <v>1.0575104237910365E-2</v>
      </c>
      <c r="AE153" s="3">
        <f t="shared" si="67"/>
        <v>5.9055496671136503E-3</v>
      </c>
      <c r="AF153" s="3">
        <f t="shared" si="67"/>
        <v>1.7418751421523821E-5</v>
      </c>
    </row>
    <row r="154" spans="1:32" x14ac:dyDescent="0.25">
      <c r="B154" s="3">
        <f t="shared" ref="B154:Z154" si="85">$C40*EXP(-B$129/$A40/EXP(-$B$126))</f>
        <v>4.0938385440077553E-3</v>
      </c>
      <c r="C154" s="3">
        <f t="shared" si="85"/>
        <v>4.0938385440077553E-3</v>
      </c>
      <c r="D154" s="3">
        <f t="shared" si="85"/>
        <v>4.0938385440077553E-3</v>
      </c>
      <c r="E154" s="3">
        <f t="shared" si="85"/>
        <v>4.0938385440077553E-3</v>
      </c>
      <c r="F154" s="3">
        <f t="shared" si="85"/>
        <v>4.0938385440077553E-3</v>
      </c>
      <c r="G154" s="3">
        <f t="shared" si="85"/>
        <v>4.0938385440077553E-3</v>
      </c>
      <c r="H154" s="3">
        <f t="shared" si="85"/>
        <v>4.0938385440077553E-3</v>
      </c>
      <c r="I154" s="3">
        <f t="shared" si="85"/>
        <v>4.0938385440077553E-3</v>
      </c>
      <c r="J154" s="3">
        <f t="shared" si="85"/>
        <v>4.0938385440077553E-3</v>
      </c>
      <c r="K154" s="3">
        <f t="shared" si="85"/>
        <v>4.0938385440077553E-3</v>
      </c>
      <c r="L154" s="3">
        <f t="shared" si="85"/>
        <v>4.0938385440077553E-3</v>
      </c>
      <c r="M154" s="3">
        <f t="shared" si="85"/>
        <v>4.0938385440077553E-3</v>
      </c>
      <c r="N154" s="3">
        <f t="shared" si="85"/>
        <v>4.0938385440077553E-3</v>
      </c>
      <c r="O154" s="3">
        <f t="shared" si="85"/>
        <v>4.0938385440077553E-3</v>
      </c>
      <c r="P154" s="3">
        <f t="shared" si="85"/>
        <v>4.0938385440077545E-3</v>
      </c>
      <c r="Q154" s="3">
        <f t="shared" si="85"/>
        <v>4.0938385440077527E-3</v>
      </c>
      <c r="R154" s="3">
        <f t="shared" si="85"/>
        <v>4.0938385440077293E-3</v>
      </c>
      <c r="S154" s="3">
        <f t="shared" si="85"/>
        <v>4.0938385440074908E-3</v>
      </c>
      <c r="T154" s="3">
        <f t="shared" si="85"/>
        <v>4.0938385440051047E-3</v>
      </c>
      <c r="U154" s="3">
        <f t="shared" si="85"/>
        <v>4.093838543981254E-3</v>
      </c>
      <c r="V154" s="3">
        <f t="shared" si="85"/>
        <v>4.0938385437427434E-3</v>
      </c>
      <c r="W154" s="3">
        <f t="shared" si="85"/>
        <v>4.0938385413576313E-3</v>
      </c>
      <c r="X154" s="3">
        <f t="shared" si="85"/>
        <v>4.0938385175065166E-3</v>
      </c>
      <c r="Y154" s="3">
        <f t="shared" si="85"/>
        <v>4.093838278995377E-3</v>
      </c>
      <c r="Z154" s="3">
        <f t="shared" si="85"/>
        <v>4.0938358938847411E-3</v>
      </c>
      <c r="AA154" s="3">
        <f t="shared" ref="AA154:AF154" si="86">$C40*EXP(-AA$129/$A40/EXP(-$B$126))</f>
        <v>4.0938120428548087E-3</v>
      </c>
      <c r="AB154" s="3">
        <f t="shared" si="86"/>
        <v>4.0935735401980465E-3</v>
      </c>
      <c r="AC154" s="3">
        <f t="shared" si="86"/>
        <v>4.0911892777218632E-3</v>
      </c>
      <c r="AD154" s="3">
        <f t="shared" si="86"/>
        <v>4.0674228976476587E-3</v>
      </c>
      <c r="AE154" s="3">
        <f t="shared" si="86"/>
        <v>3.8372217382006556E-3</v>
      </c>
      <c r="AF154" s="3">
        <f t="shared" si="86"/>
        <v>2.1428539188706784E-3</v>
      </c>
    </row>
    <row r="155" spans="1:32" x14ac:dyDescent="0.25">
      <c r="B155" s="3">
        <f t="shared" ref="B155:Z155" si="87">$C41*EXP(-B$129/$A41/EXP(-$B$126))</f>
        <v>2.6841023020615128E-3</v>
      </c>
      <c r="C155" s="3">
        <f t="shared" si="87"/>
        <v>2.6841023020615128E-3</v>
      </c>
      <c r="D155" s="3">
        <f t="shared" si="87"/>
        <v>2.6841023020615128E-3</v>
      </c>
      <c r="E155" s="3">
        <f t="shared" si="87"/>
        <v>2.6841023020615128E-3</v>
      </c>
      <c r="F155" s="3">
        <f t="shared" si="87"/>
        <v>2.6841023020615128E-3</v>
      </c>
      <c r="G155" s="3">
        <f t="shared" si="87"/>
        <v>2.6841023020615128E-3</v>
      </c>
      <c r="H155" s="3">
        <f t="shared" si="87"/>
        <v>2.6841023020615128E-3</v>
      </c>
      <c r="I155" s="3">
        <f t="shared" si="87"/>
        <v>2.6841023020615128E-3</v>
      </c>
      <c r="J155" s="3">
        <f t="shared" si="87"/>
        <v>2.6841023020615128E-3</v>
      </c>
      <c r="K155" s="3">
        <f t="shared" si="87"/>
        <v>2.6841023020615128E-3</v>
      </c>
      <c r="L155" s="3">
        <f t="shared" si="87"/>
        <v>2.6841023020615128E-3</v>
      </c>
      <c r="M155" s="3">
        <f t="shared" si="87"/>
        <v>2.6841023020615128E-3</v>
      </c>
      <c r="N155" s="3">
        <f t="shared" si="87"/>
        <v>2.6841023020615128E-3</v>
      </c>
      <c r="O155" s="3">
        <f t="shared" si="87"/>
        <v>2.6841023020615128E-3</v>
      </c>
      <c r="P155" s="3">
        <f t="shared" si="87"/>
        <v>2.6841023020615128E-3</v>
      </c>
      <c r="Q155" s="3">
        <f t="shared" si="87"/>
        <v>2.6841023020615124E-3</v>
      </c>
      <c r="R155" s="3">
        <f t="shared" si="87"/>
        <v>2.6841023020615111E-3</v>
      </c>
      <c r="S155" s="3">
        <f t="shared" si="87"/>
        <v>2.6841023020614955E-3</v>
      </c>
      <c r="T155" s="3">
        <f t="shared" si="87"/>
        <v>2.6841023020613389E-3</v>
      </c>
      <c r="U155" s="3">
        <f t="shared" si="87"/>
        <v>2.684102302059775E-3</v>
      </c>
      <c r="V155" s="3">
        <f t="shared" si="87"/>
        <v>2.6841023020441374E-3</v>
      </c>
      <c r="W155" s="3">
        <f t="shared" si="87"/>
        <v>2.684102301887759E-3</v>
      </c>
      <c r="X155" s="3">
        <f t="shared" si="87"/>
        <v>2.6841023003239739E-3</v>
      </c>
      <c r="Y155" s="3">
        <f t="shared" si="87"/>
        <v>2.6841022846861243E-3</v>
      </c>
      <c r="Z155" s="3">
        <f t="shared" si="87"/>
        <v>2.6841021283076317E-3</v>
      </c>
      <c r="AA155" s="3">
        <f t="shared" ref="AA155:AF155" si="88">$C41*EXP(-AA$129/$A41/EXP(-$B$126))</f>
        <v>2.6841005645232082E-3</v>
      </c>
      <c r="AB155" s="3">
        <f t="shared" si="88"/>
        <v>2.6840849267290791E-3</v>
      </c>
      <c r="AC155" s="3">
        <f t="shared" si="88"/>
        <v>2.6839285537985933E-3</v>
      </c>
      <c r="AD155" s="3">
        <f t="shared" si="88"/>
        <v>2.6823653254660026E-3</v>
      </c>
      <c r="AE155" s="3">
        <f t="shared" si="88"/>
        <v>2.6667830315423181E-3</v>
      </c>
      <c r="AF155" s="3">
        <f t="shared" si="88"/>
        <v>2.5158529312545716E-3</v>
      </c>
    </row>
    <row r="156" spans="1:32" x14ac:dyDescent="0.25">
      <c r="B156" s="3">
        <f t="shared" ref="B156:Z156" si="89">$C42*EXP(-B$129/$A42/EXP(-$B$126))</f>
        <v>2.382905414544393E-3</v>
      </c>
      <c r="C156" s="3">
        <f t="shared" si="89"/>
        <v>2.382905414544393E-3</v>
      </c>
      <c r="D156" s="3">
        <f t="shared" si="89"/>
        <v>2.382905414544393E-3</v>
      </c>
      <c r="E156" s="3">
        <f t="shared" si="89"/>
        <v>2.382905414544393E-3</v>
      </c>
      <c r="F156" s="3">
        <f t="shared" si="89"/>
        <v>2.382905414544393E-3</v>
      </c>
      <c r="G156" s="3">
        <f t="shared" si="89"/>
        <v>2.382905414544393E-3</v>
      </c>
      <c r="H156" s="3">
        <f t="shared" si="89"/>
        <v>2.382905414544393E-3</v>
      </c>
      <c r="I156" s="3">
        <f t="shared" si="89"/>
        <v>2.382905414544393E-3</v>
      </c>
      <c r="J156" s="3">
        <f t="shared" si="89"/>
        <v>2.382905414544393E-3</v>
      </c>
      <c r="K156" s="3">
        <f t="shared" si="89"/>
        <v>2.382905414544393E-3</v>
      </c>
      <c r="L156" s="3">
        <f t="shared" si="89"/>
        <v>2.382905414544393E-3</v>
      </c>
      <c r="M156" s="3">
        <f t="shared" si="89"/>
        <v>2.382905414544393E-3</v>
      </c>
      <c r="N156" s="3">
        <f t="shared" si="89"/>
        <v>2.382905414544393E-3</v>
      </c>
      <c r="O156" s="3">
        <f t="shared" si="89"/>
        <v>2.382905414544393E-3</v>
      </c>
      <c r="P156" s="3">
        <f t="shared" si="89"/>
        <v>2.382905414544393E-3</v>
      </c>
      <c r="Q156" s="3">
        <f t="shared" si="89"/>
        <v>2.382905414544393E-3</v>
      </c>
      <c r="R156" s="3">
        <f t="shared" si="89"/>
        <v>2.3829054145443926E-3</v>
      </c>
      <c r="S156" s="3">
        <f t="shared" si="89"/>
        <v>2.3829054145443913E-3</v>
      </c>
      <c r="T156" s="3">
        <f t="shared" si="89"/>
        <v>2.3829054145443778E-3</v>
      </c>
      <c r="U156" s="3">
        <f t="shared" si="89"/>
        <v>2.3829054145442386E-3</v>
      </c>
      <c r="V156" s="3">
        <f t="shared" si="89"/>
        <v>2.3829054145428504E-3</v>
      </c>
      <c r="W156" s="3">
        <f t="shared" si="89"/>
        <v>2.3829054145289674E-3</v>
      </c>
      <c r="X156" s="3">
        <f t="shared" si="89"/>
        <v>2.3829054143901371E-3</v>
      </c>
      <c r="Y156" s="3">
        <f t="shared" si="89"/>
        <v>2.3829054130018322E-3</v>
      </c>
      <c r="Z156" s="3">
        <f t="shared" si="89"/>
        <v>2.382905399118786E-3</v>
      </c>
      <c r="AA156" s="3">
        <f t="shared" ref="AA156:AF156" si="90">$C42*EXP(-AA$129/$A42/EXP(-$B$126))</f>
        <v>2.3829052602883263E-3</v>
      </c>
      <c r="AB156" s="3">
        <f t="shared" si="90"/>
        <v>2.3829038719841741E-3</v>
      </c>
      <c r="AC156" s="3">
        <f t="shared" si="90"/>
        <v>2.3828899889871392E-3</v>
      </c>
      <c r="AD156" s="3">
        <f t="shared" si="90"/>
        <v>2.382751163465304E-3</v>
      </c>
      <c r="AE156" s="3">
        <f t="shared" si="90"/>
        <v>2.3813633530025513E-3</v>
      </c>
      <c r="AF156" s="3">
        <f t="shared" si="90"/>
        <v>2.3675296282100007E-3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2.0583899392901187E-3</v>
      </c>
      <c r="C158" s="3">
        <f t="shared" si="93"/>
        <v>2.0583899392901187E-3</v>
      </c>
      <c r="D158" s="3">
        <f t="shared" si="93"/>
        <v>2.0583899392901187E-3</v>
      </c>
      <c r="E158" s="3">
        <f t="shared" si="93"/>
        <v>2.0583899392901187E-3</v>
      </c>
      <c r="F158" s="3">
        <f t="shared" si="93"/>
        <v>2.0583899392901187E-3</v>
      </c>
      <c r="G158" s="3">
        <f t="shared" si="93"/>
        <v>2.0583899392901187E-3</v>
      </c>
      <c r="H158" s="3">
        <f t="shared" si="93"/>
        <v>2.0583899392901187E-3</v>
      </c>
      <c r="I158" s="3">
        <f t="shared" si="93"/>
        <v>2.0583899392901187E-3</v>
      </c>
      <c r="J158" s="3">
        <f t="shared" si="93"/>
        <v>2.0583899392901187E-3</v>
      </c>
      <c r="K158" s="3">
        <f t="shared" si="93"/>
        <v>2.0583899392901187E-3</v>
      </c>
      <c r="L158" s="3">
        <f t="shared" si="93"/>
        <v>2.0583899392901187E-3</v>
      </c>
      <c r="M158" s="3">
        <f t="shared" si="93"/>
        <v>2.0583899392901187E-3</v>
      </c>
      <c r="N158" s="3">
        <f t="shared" si="93"/>
        <v>2.0583899392901187E-3</v>
      </c>
      <c r="O158" s="3">
        <f t="shared" si="93"/>
        <v>2.0583899392901187E-3</v>
      </c>
      <c r="P158" s="3">
        <f t="shared" si="93"/>
        <v>2.0583899392901187E-3</v>
      </c>
      <c r="Q158" s="3">
        <f t="shared" si="93"/>
        <v>2.0583899392901187E-3</v>
      </c>
      <c r="R158" s="3">
        <f t="shared" si="93"/>
        <v>2.0583899392901187E-3</v>
      </c>
      <c r="S158" s="3">
        <f t="shared" si="93"/>
        <v>2.0583899392901187E-3</v>
      </c>
      <c r="T158" s="3">
        <f t="shared" si="93"/>
        <v>2.0583899392901182E-3</v>
      </c>
      <c r="U158" s="3">
        <f t="shared" si="93"/>
        <v>2.0583899392901174E-3</v>
      </c>
      <c r="V158" s="3">
        <f t="shared" si="93"/>
        <v>2.0583899392901052E-3</v>
      </c>
      <c r="W158" s="3">
        <f t="shared" si="93"/>
        <v>2.0583899392899855E-3</v>
      </c>
      <c r="X158" s="3">
        <f t="shared" si="93"/>
        <v>2.058389939288786E-3</v>
      </c>
      <c r="Y158" s="3">
        <f t="shared" si="93"/>
        <v>2.0583899392767938E-3</v>
      </c>
      <c r="Z158" s="3">
        <f t="shared" si="93"/>
        <v>2.0583899391568698E-3</v>
      </c>
      <c r="AA158" s="3">
        <f t="shared" ref="AA158:AF158" si="94">$C44*EXP(-AA$129/$A44/EXP(-$B$126))</f>
        <v>2.0583899379576311E-3</v>
      </c>
      <c r="AB158" s="3">
        <f t="shared" si="94"/>
        <v>2.0583899259652445E-3</v>
      </c>
      <c r="AC158" s="3">
        <f t="shared" si="94"/>
        <v>2.058389806041382E-3</v>
      </c>
      <c r="AD158" s="3">
        <f t="shared" si="94"/>
        <v>2.0583886068031403E-3</v>
      </c>
      <c r="AE158" s="3">
        <f t="shared" si="94"/>
        <v>2.0583766144591517E-3</v>
      </c>
      <c r="AF158" s="3">
        <f t="shared" si="94"/>
        <v>2.058256694861958E-3</v>
      </c>
    </row>
    <row r="159" spans="1:32" x14ac:dyDescent="0.25">
      <c r="A159" s="11" t="s">
        <v>75</v>
      </c>
      <c r="B159" s="3">
        <f t="shared" ref="B159:Z159" si="95">$C45*EXP(-B$129/$A45/EXP(-$B$126))</f>
        <v>1.1459023430358541E-3</v>
      </c>
      <c r="C159" s="3">
        <f t="shared" si="95"/>
        <v>1.1459023430358541E-3</v>
      </c>
      <c r="D159" s="3">
        <f t="shared" si="95"/>
        <v>1.1459023430358541E-3</v>
      </c>
      <c r="E159" s="3">
        <f t="shared" si="95"/>
        <v>1.1459023430358541E-3</v>
      </c>
      <c r="F159" s="3">
        <f t="shared" si="95"/>
        <v>1.1459023430358541E-3</v>
      </c>
      <c r="G159" s="3">
        <f t="shared" si="95"/>
        <v>1.1459023430358541E-3</v>
      </c>
      <c r="H159" s="3">
        <f t="shared" si="95"/>
        <v>1.1459023430358541E-3</v>
      </c>
      <c r="I159" s="3">
        <f t="shared" si="95"/>
        <v>1.1459023430358541E-3</v>
      </c>
      <c r="J159" s="3">
        <f t="shared" si="95"/>
        <v>1.1459023430358541E-3</v>
      </c>
      <c r="K159" s="3">
        <f t="shared" si="95"/>
        <v>1.1459023430358541E-3</v>
      </c>
      <c r="L159" s="3">
        <f t="shared" si="95"/>
        <v>1.1459023430358541E-3</v>
      </c>
      <c r="M159" s="3">
        <f t="shared" si="95"/>
        <v>1.1459023430358541E-3</v>
      </c>
      <c r="N159" s="3">
        <f t="shared" si="95"/>
        <v>1.1459023430358541E-3</v>
      </c>
      <c r="O159" s="3">
        <f t="shared" si="95"/>
        <v>1.1459023430358541E-3</v>
      </c>
      <c r="P159" s="3">
        <f t="shared" si="95"/>
        <v>1.1459023430358541E-3</v>
      </c>
      <c r="Q159" s="3">
        <f t="shared" si="95"/>
        <v>1.1459023430358541E-3</v>
      </c>
      <c r="R159" s="3">
        <f t="shared" si="95"/>
        <v>1.1459023430358541E-3</v>
      </c>
      <c r="S159" s="3">
        <f t="shared" si="95"/>
        <v>1.1459023430358541E-3</v>
      </c>
      <c r="T159" s="3">
        <f t="shared" si="95"/>
        <v>1.1459023430358541E-3</v>
      </c>
      <c r="U159" s="3">
        <f t="shared" si="95"/>
        <v>1.1459023430358539E-3</v>
      </c>
      <c r="V159" s="3">
        <f t="shared" si="95"/>
        <v>1.1459023430358533E-3</v>
      </c>
      <c r="W159" s="3">
        <f t="shared" si="95"/>
        <v>1.1459023430358468E-3</v>
      </c>
      <c r="X159" s="3">
        <f t="shared" si="95"/>
        <v>1.14590234303578E-3</v>
      </c>
      <c r="Y159" s="3">
        <f t="shared" si="95"/>
        <v>1.1459023430351123E-3</v>
      </c>
      <c r="Z159" s="3">
        <f t="shared" si="95"/>
        <v>1.1459023430284362E-3</v>
      </c>
      <c r="AA159" s="3">
        <f t="shared" ref="AA159:AF159" si="96">$C45*EXP(-AA$129/$A45/EXP(-$B$126))</f>
        <v>1.1459023429616748E-3</v>
      </c>
      <c r="AB159" s="3">
        <f t="shared" si="96"/>
        <v>1.1459023422940606E-3</v>
      </c>
      <c r="AC159" s="3">
        <f t="shared" si="96"/>
        <v>1.1459023356179183E-3</v>
      </c>
      <c r="AD159" s="3">
        <f t="shared" si="96"/>
        <v>1.1459022688564986E-3</v>
      </c>
      <c r="AE159" s="3">
        <f t="shared" si="96"/>
        <v>1.145901601242513E-3</v>
      </c>
      <c r="AF159" s="3">
        <f t="shared" si="96"/>
        <v>1.1458949251240513E-3</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1.4642888439612509E-3</v>
      </c>
      <c r="C162" s="3">
        <f t="shared" si="101"/>
        <v>1.4642888439612509E-3</v>
      </c>
      <c r="D162" s="3">
        <f t="shared" si="101"/>
        <v>1.4642888439612509E-3</v>
      </c>
      <c r="E162" s="3">
        <f t="shared" si="101"/>
        <v>1.4642888439612509E-3</v>
      </c>
      <c r="F162" s="3">
        <f t="shared" si="101"/>
        <v>1.4642888439612509E-3</v>
      </c>
      <c r="G162" s="3">
        <f t="shared" si="101"/>
        <v>1.4642888439612509E-3</v>
      </c>
      <c r="H162" s="3">
        <f t="shared" si="101"/>
        <v>1.4642888439612509E-3</v>
      </c>
      <c r="I162" s="3">
        <f t="shared" si="101"/>
        <v>1.4642888439612509E-3</v>
      </c>
      <c r="J162" s="3">
        <f t="shared" si="101"/>
        <v>1.4642888439612509E-3</v>
      </c>
      <c r="K162" s="3">
        <f t="shared" si="101"/>
        <v>1.4642888439612509E-3</v>
      </c>
      <c r="L162" s="3">
        <f t="shared" si="101"/>
        <v>1.4642888439612509E-3</v>
      </c>
      <c r="M162" s="3">
        <f t="shared" si="101"/>
        <v>1.4642888439612509E-3</v>
      </c>
      <c r="N162" s="3">
        <f t="shared" si="101"/>
        <v>1.4642888439612509E-3</v>
      </c>
      <c r="O162" s="3">
        <f t="shared" si="101"/>
        <v>1.4642888439612509E-3</v>
      </c>
      <c r="P162" s="3">
        <f t="shared" si="101"/>
        <v>1.4642888439612509E-3</v>
      </c>
      <c r="Q162" s="3">
        <f t="shared" si="101"/>
        <v>1.4642888439612509E-3</v>
      </c>
      <c r="R162" s="3">
        <f t="shared" si="101"/>
        <v>1.4642888439612509E-3</v>
      </c>
      <c r="S162" s="3">
        <f t="shared" si="101"/>
        <v>1.4642888439612509E-3</v>
      </c>
      <c r="T162" s="3">
        <f t="shared" si="101"/>
        <v>1.4642888439612509E-3</v>
      </c>
      <c r="U162" s="3">
        <f t="shared" si="101"/>
        <v>1.4642888439612509E-3</v>
      </c>
      <c r="V162" s="3">
        <f t="shared" si="101"/>
        <v>1.4642888439612509E-3</v>
      </c>
      <c r="W162" s="3">
        <f t="shared" si="101"/>
        <v>1.4642888439612509E-3</v>
      </c>
      <c r="X162" s="3">
        <f t="shared" si="101"/>
        <v>1.4642888439612507E-3</v>
      </c>
      <c r="Y162" s="3">
        <f t="shared" si="101"/>
        <v>1.4642888439612501E-3</v>
      </c>
      <c r="Z162" s="3">
        <f t="shared" si="101"/>
        <v>1.4642888439612416E-3</v>
      </c>
      <c r="AA162" s="3">
        <f t="shared" ref="AA162:AF162" si="102">$C48*EXP(-AA$129/$A48/EXP(-$B$126))</f>
        <v>1.4642888439611562E-3</v>
      </c>
      <c r="AB162" s="3">
        <f t="shared" si="102"/>
        <v>1.4642888439603029E-3</v>
      </c>
      <c r="AC162" s="3">
        <f t="shared" si="102"/>
        <v>1.464288843951772E-3</v>
      </c>
      <c r="AD162" s="3">
        <f t="shared" si="102"/>
        <v>1.4642888438664611E-3</v>
      </c>
      <c r="AE162" s="3">
        <f t="shared" si="102"/>
        <v>1.4642888430133516E-3</v>
      </c>
      <c r="AF162" s="3">
        <f t="shared" si="102"/>
        <v>1.4642888344822576E-3</v>
      </c>
    </row>
    <row r="163" spans="1:34" x14ac:dyDescent="0.25">
      <c r="A163" s="79">
        <f>AVERAGE(B163:AF163)</f>
        <v>7.771721472873358E-2</v>
      </c>
      <c r="B163" s="80">
        <f>IF($A$64&lt;=B129,IF($B$64&gt;=B129,ABS((B131-B130)/B130),0),0)</f>
        <v>1.8139965050627715E-2</v>
      </c>
      <c r="C163" s="80">
        <f t="shared" ref="C163:AF163" si="103">IF($A$64&lt;=C129,IF($B$64&gt;=C129,ABS((C131-C130)/C130),0),0)</f>
        <v>1.9702900857366274E-2</v>
      </c>
      <c r="D163" s="80">
        <f t="shared" si="103"/>
        <v>5.9981649662721889E-2</v>
      </c>
      <c r="E163" s="80">
        <f t="shared" si="103"/>
        <v>0.12476453688733681</v>
      </c>
      <c r="F163" s="80">
        <f t="shared" si="103"/>
        <v>0.11064838418360645</v>
      </c>
      <c r="G163" s="80">
        <f t="shared" si="103"/>
        <v>9.4370467764884794E-2</v>
      </c>
      <c r="H163" s="80">
        <f t="shared" si="103"/>
        <v>7.6589549870776971E-2</v>
      </c>
      <c r="I163" s="80">
        <f t="shared" si="103"/>
        <v>5.5958418433850611E-2</v>
      </c>
      <c r="J163" s="80">
        <f t="shared" si="103"/>
        <v>3.8299141655946431E-2</v>
      </c>
      <c r="K163" s="80">
        <f t="shared" si="103"/>
        <v>4.8797936601891835E-2</v>
      </c>
      <c r="L163" s="80">
        <f t="shared" si="103"/>
        <v>4.8549293417210454E-2</v>
      </c>
      <c r="M163" s="80">
        <f t="shared" si="103"/>
        <v>5.0034638847648236E-2</v>
      </c>
      <c r="N163" s="80">
        <f t="shared" si="103"/>
        <v>4.9440175424441235E-2</v>
      </c>
      <c r="O163" s="80">
        <f t="shared" si="103"/>
        <v>4.8899049237283027E-2</v>
      </c>
      <c r="P163" s="80">
        <f t="shared" si="103"/>
        <v>4.7487828122210203E-2</v>
      </c>
      <c r="Q163" s="80">
        <f t="shared" si="103"/>
        <v>4.8276122884714195E-2</v>
      </c>
      <c r="R163" s="80">
        <f t="shared" si="103"/>
        <v>4.7106580778868486E-2</v>
      </c>
      <c r="S163" s="80">
        <f t="shared" si="103"/>
        <v>4.8079227398304766E-2</v>
      </c>
      <c r="T163" s="80">
        <f t="shared" si="103"/>
        <v>4.619575731180757E-2</v>
      </c>
      <c r="U163" s="80">
        <f t="shared" si="103"/>
        <v>4.5489436944181408E-2</v>
      </c>
      <c r="V163" s="80">
        <f t="shared" si="103"/>
        <v>1.6328222549800226E-2</v>
      </c>
      <c r="W163" s="80">
        <f t="shared" si="103"/>
        <v>8.5038009691982996E-2</v>
      </c>
      <c r="X163" s="80">
        <f t="shared" si="103"/>
        <v>0.24400823879297806</v>
      </c>
      <c r="Y163" s="80">
        <f t="shared" si="103"/>
        <v>0.30166556856571952</v>
      </c>
      <c r="Z163" s="80">
        <f t="shared" si="103"/>
        <v>0.24035788689750762</v>
      </c>
      <c r="AA163" s="80">
        <f t="shared" si="103"/>
        <v>0.15606378111998129</v>
      </c>
      <c r="AB163" s="80">
        <f t="shared" si="103"/>
        <v>9.1379756063687506E-2</v>
      </c>
      <c r="AC163" s="80">
        <f t="shared" si="103"/>
        <v>5.1405911035862527E-2</v>
      </c>
      <c r="AD163" s="80">
        <f t="shared" si="103"/>
        <v>3.1244187928297838E-2</v>
      </c>
      <c r="AE163" s="80">
        <f t="shared" si="103"/>
        <v>4.2637501116680084E-2</v>
      </c>
      <c r="AF163" s="80">
        <f t="shared" si="103"/>
        <v>2.2293531492563586E-2</v>
      </c>
    </row>
    <row r="164" spans="1:34" x14ac:dyDescent="0.25">
      <c r="B164" s="21">
        <f>(B131-B130)^2</f>
        <v>44318.768724498725</v>
      </c>
      <c r="C164" s="21">
        <f t="shared" ref="C164:AF164" si="104">(C131-C130)^2</f>
        <v>51566.305722003635</v>
      </c>
      <c r="D164" s="21">
        <f t="shared" si="104"/>
        <v>456398.44110655528</v>
      </c>
      <c r="E164" s="21">
        <f t="shared" si="104"/>
        <v>1908441.6161207128</v>
      </c>
      <c r="F164" s="21">
        <f t="shared" si="104"/>
        <v>1452951.5670164407</v>
      </c>
      <c r="G164" s="21">
        <f t="shared" si="104"/>
        <v>1019229.4776496519</v>
      </c>
      <c r="H164" s="21">
        <f t="shared" si="104"/>
        <v>645624.10318737733</v>
      </c>
      <c r="I164" s="21">
        <f t="shared" si="104"/>
        <v>329213.58115902095</v>
      </c>
      <c r="J164" s="21">
        <f t="shared" si="104"/>
        <v>146392.01351422071</v>
      </c>
      <c r="K164" s="21">
        <f t="shared" si="104"/>
        <v>225022.41670248334</v>
      </c>
      <c r="L164" s="21">
        <f t="shared" si="104"/>
        <v>210812.96043764512</v>
      </c>
      <c r="M164" s="21">
        <f t="shared" si="104"/>
        <v>211750.88930963879</v>
      </c>
      <c r="N164" s="21">
        <f t="shared" si="104"/>
        <v>191589.3037856606</v>
      </c>
      <c r="O164" s="21">
        <f t="shared" si="104"/>
        <v>171942.72256723556</v>
      </c>
      <c r="P164" s="21">
        <f t="shared" si="104"/>
        <v>149016.785391157</v>
      </c>
      <c r="Q164" s="21">
        <f t="shared" si="104"/>
        <v>143488.15946653549</v>
      </c>
      <c r="R164" s="21">
        <f t="shared" si="104"/>
        <v>126636.30487099613</v>
      </c>
      <c r="S164" s="21">
        <f t="shared" si="104"/>
        <v>122224.61458691829</v>
      </c>
      <c r="T164" s="21">
        <f t="shared" si="104"/>
        <v>103624.4084771021</v>
      </c>
      <c r="U164" s="21">
        <f t="shared" si="104"/>
        <v>91806.251415220686</v>
      </c>
      <c r="V164" s="21">
        <f t="shared" si="104"/>
        <v>9986.1565692517379</v>
      </c>
      <c r="W164" s="21">
        <f t="shared" si="104"/>
        <v>194020.48744912894</v>
      </c>
      <c r="X164" s="21">
        <f t="shared" si="104"/>
        <v>1005975.2776514622</v>
      </c>
      <c r="Y164" s="21">
        <f t="shared" si="104"/>
        <v>958302.41696024826</v>
      </c>
      <c r="Z164" s="21">
        <f t="shared" si="104"/>
        <v>373873.38998683775</v>
      </c>
      <c r="AA164" s="21">
        <f t="shared" si="104"/>
        <v>92097.870325284748</v>
      </c>
      <c r="AB164" s="21">
        <f t="shared" si="104"/>
        <v>16292.670288001784</v>
      </c>
      <c r="AC164" s="21">
        <f t="shared" si="104"/>
        <v>2548.9465278451144</v>
      </c>
      <c r="AD164" s="21">
        <f t="shared" si="104"/>
        <v>463.46964437735653</v>
      </c>
      <c r="AE164" s="21">
        <f t="shared" si="104"/>
        <v>524.31418059450129</v>
      </c>
      <c r="AF164" s="21">
        <f t="shared" si="104"/>
        <v>101.6923321956251</v>
      </c>
    </row>
    <row r="165" spans="1:34" x14ac:dyDescent="0.25">
      <c r="A165" s="71">
        <f>SUM(B165:AF165)</f>
        <v>10456237.383126302</v>
      </c>
      <c r="B165" s="60">
        <f>IF($A$64&lt;=B129,IF($B$64&gt;=B129,ABS(B164),0),0)</f>
        <v>44318.768724498725</v>
      </c>
      <c r="C165" s="60">
        <f t="shared" ref="C165:AF165" si="105">IF($A$64&lt;=C129,IF($B$64&gt;=C129,ABS(C164),0),0)</f>
        <v>51566.305722003635</v>
      </c>
      <c r="D165" s="60">
        <f t="shared" si="105"/>
        <v>456398.44110655528</v>
      </c>
      <c r="E165" s="60">
        <f t="shared" si="105"/>
        <v>1908441.6161207128</v>
      </c>
      <c r="F165" s="60">
        <f t="shared" si="105"/>
        <v>1452951.5670164407</v>
      </c>
      <c r="G165" s="60">
        <f t="shared" si="105"/>
        <v>1019229.4776496519</v>
      </c>
      <c r="H165" s="60">
        <f t="shared" si="105"/>
        <v>645624.10318737733</v>
      </c>
      <c r="I165" s="60">
        <f t="shared" si="105"/>
        <v>329213.58115902095</v>
      </c>
      <c r="J165" s="60">
        <f t="shared" si="105"/>
        <v>146392.01351422071</v>
      </c>
      <c r="K165" s="60">
        <f t="shared" si="105"/>
        <v>225022.41670248334</v>
      </c>
      <c r="L165" s="60">
        <f t="shared" si="105"/>
        <v>210812.96043764512</v>
      </c>
      <c r="M165" s="60">
        <f t="shared" si="105"/>
        <v>211750.88930963879</v>
      </c>
      <c r="N165" s="60">
        <f t="shared" si="105"/>
        <v>191589.3037856606</v>
      </c>
      <c r="O165" s="60">
        <f t="shared" si="105"/>
        <v>171942.72256723556</v>
      </c>
      <c r="P165" s="60">
        <f t="shared" si="105"/>
        <v>149016.785391157</v>
      </c>
      <c r="Q165" s="60">
        <f t="shared" si="105"/>
        <v>143488.15946653549</v>
      </c>
      <c r="R165" s="60">
        <f t="shared" si="105"/>
        <v>126636.30487099613</v>
      </c>
      <c r="S165" s="60">
        <f t="shared" si="105"/>
        <v>122224.61458691829</v>
      </c>
      <c r="T165" s="60">
        <f t="shared" si="105"/>
        <v>103624.4084771021</v>
      </c>
      <c r="U165" s="60">
        <f t="shared" si="105"/>
        <v>91806.251415220686</v>
      </c>
      <c r="V165" s="60">
        <f t="shared" si="105"/>
        <v>9986.1565692517379</v>
      </c>
      <c r="W165" s="60">
        <f t="shared" si="105"/>
        <v>194020.48744912894</v>
      </c>
      <c r="X165" s="60">
        <f t="shared" si="105"/>
        <v>1005975.2776514622</v>
      </c>
      <c r="Y165" s="60">
        <f t="shared" si="105"/>
        <v>958302.41696024826</v>
      </c>
      <c r="Z165" s="60">
        <f t="shared" si="105"/>
        <v>373873.38998683775</v>
      </c>
      <c r="AA165" s="60">
        <f t="shared" si="105"/>
        <v>92097.870325284748</v>
      </c>
      <c r="AB165" s="60">
        <f t="shared" si="105"/>
        <v>16292.670288001784</v>
      </c>
      <c r="AC165" s="60">
        <f t="shared" si="105"/>
        <v>2548.9465278451144</v>
      </c>
      <c r="AD165" s="60">
        <f t="shared" si="105"/>
        <v>463.46964437735653</v>
      </c>
      <c r="AE165" s="60">
        <f t="shared" si="105"/>
        <v>524.31418059450129</v>
      </c>
      <c r="AF165" s="60">
        <f t="shared" si="105"/>
        <v>101.6923321956251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10943.044437058081</v>
      </c>
      <c r="C170" s="27">
        <f t="shared" ref="C170:AF170" si="106">($C$17+SUM(C171:C201))*$B$51</f>
        <v>9762.7703630808865</v>
      </c>
      <c r="D170" s="27">
        <f t="shared" si="106"/>
        <v>9688.4475681124095</v>
      </c>
      <c r="E170" s="27">
        <f t="shared" si="106"/>
        <v>9688.4093151213456</v>
      </c>
      <c r="F170" s="27">
        <f t="shared" si="106"/>
        <v>9688.0269324858637</v>
      </c>
      <c r="G170" s="27">
        <f t="shared" si="106"/>
        <v>9684.2177943372171</v>
      </c>
      <c r="H170" s="27">
        <f t="shared" si="106"/>
        <v>9647.5567415996502</v>
      </c>
      <c r="I170" s="27">
        <f t="shared" si="106"/>
        <v>9392.1563639474207</v>
      </c>
      <c r="J170" s="27">
        <f t="shared" si="106"/>
        <v>9065.7505730128796</v>
      </c>
      <c r="K170" s="27">
        <f t="shared" si="106"/>
        <v>8836.0547203414008</v>
      </c>
      <c r="L170" s="27">
        <f t="shared" si="106"/>
        <v>8527.890047084411</v>
      </c>
      <c r="M170" s="27">
        <f t="shared" si="106"/>
        <v>8180.8648706498416</v>
      </c>
      <c r="N170" s="27">
        <f t="shared" si="106"/>
        <v>7836.4187345864466</v>
      </c>
      <c r="O170" s="27">
        <f t="shared" si="106"/>
        <v>7546.5116731403441</v>
      </c>
      <c r="P170" s="27">
        <f t="shared" si="106"/>
        <v>7281.060569160356</v>
      </c>
      <c r="Q170" s="27">
        <f t="shared" si="106"/>
        <v>7000.0639237714386</v>
      </c>
      <c r="R170" s="27">
        <f t="shared" si="106"/>
        <v>6725.1467051029731</v>
      </c>
      <c r="S170" s="27">
        <f t="shared" si="106"/>
        <v>6440.618355343895</v>
      </c>
      <c r="T170" s="27">
        <f t="shared" si="106"/>
        <v>6125.9726949458445</v>
      </c>
      <c r="U170" s="27">
        <f t="shared" si="106"/>
        <v>5729.9547627849252</v>
      </c>
      <c r="V170" s="27">
        <f t="shared" si="106"/>
        <v>5300.9539178432242</v>
      </c>
      <c r="W170" s="27">
        <f t="shared" si="106"/>
        <v>4509.2488835009335</v>
      </c>
      <c r="X170" s="27">
        <f t="shared" si="106"/>
        <v>3461.411986206936</v>
      </c>
      <c r="Y170" s="27">
        <f t="shared" si="106"/>
        <v>2513.5014488265783</v>
      </c>
      <c r="Z170" s="27">
        <f t="shared" si="106"/>
        <v>1736.2525324097417</v>
      </c>
      <c r="AA170" s="27">
        <f t="shared" si="106"/>
        <v>1180.5175831712427</v>
      </c>
      <c r="AB170" s="27">
        <f t="shared" si="106"/>
        <v>804.43919234826183</v>
      </c>
      <c r="AC170" s="27">
        <f t="shared" si="106"/>
        <v>609.5503952271464</v>
      </c>
      <c r="AD170" s="27">
        <f t="shared" si="106"/>
        <v>478.52799283756434</v>
      </c>
      <c r="AE170" s="27">
        <f t="shared" si="106"/>
        <v>432.80273763427687</v>
      </c>
      <c r="AF170" s="27">
        <f t="shared" si="106"/>
        <v>403.18848612189885</v>
      </c>
      <c r="AG170" s="27"/>
      <c r="AH170" s="27"/>
    </row>
    <row r="171" spans="1:34" x14ac:dyDescent="0.25">
      <c r="B171" s="3">
        <f t="shared" ref="B171:AF171" si="107">$C18*EXP(-B$168/$A18/EXP(-$C$126))</f>
        <v>0.10999516661552451</v>
      </c>
      <c r="C171" s="3">
        <f t="shared" si="107"/>
        <v>6.5158419060627401E-3</v>
      </c>
      <c r="D171" s="3">
        <f t="shared" si="107"/>
        <v>3.4668887381614714E-15</v>
      </c>
      <c r="E171" s="3">
        <f t="shared" si="107"/>
        <v>6.3042519495846574E-138</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4.4678697223693366E-2</v>
      </c>
      <c r="C172" s="3">
        <f t="shared" si="108"/>
        <v>4.4678664878843019E-2</v>
      </c>
      <c r="D172" s="3">
        <f t="shared" si="108"/>
        <v>4.4678341431627404E-2</v>
      </c>
      <c r="E172" s="3">
        <f t="shared" si="108"/>
        <v>4.4675107088254652E-2</v>
      </c>
      <c r="F172" s="3">
        <f t="shared" si="108"/>
        <v>4.4642776529418768E-2</v>
      </c>
      <c r="G172" s="3">
        <f t="shared" si="108"/>
        <v>4.4320754988231639E-2</v>
      </c>
      <c r="H172" s="3">
        <f t="shared" si="108"/>
        <v>4.1225570445236163E-2</v>
      </c>
      <c r="I172" s="3">
        <f t="shared" si="108"/>
        <v>1.9987658149685693E-2</v>
      </c>
      <c r="J172" s="3">
        <f t="shared" si="108"/>
        <v>1.4345454292888353E-5</v>
      </c>
      <c r="K172" s="3">
        <f t="shared" si="108"/>
        <v>5.2028132322184874E-37</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1.5679179214888678E-2</v>
      </c>
      <c r="C173" s="3">
        <f t="shared" si="109"/>
        <v>1.5679178190948218E-2</v>
      </c>
      <c r="D173" s="3">
        <f t="shared" si="109"/>
        <v>1.5679167951547321E-2</v>
      </c>
      <c r="E173" s="3">
        <f t="shared" si="109"/>
        <v>1.5679065557906102E-2</v>
      </c>
      <c r="F173" s="3">
        <f t="shared" si="109"/>
        <v>1.567804165827099E-2</v>
      </c>
      <c r="G173" s="3">
        <f t="shared" si="109"/>
        <v>1.5667806338738526E-2</v>
      </c>
      <c r="H173" s="3">
        <f t="shared" si="109"/>
        <v>1.5565819938394277E-2</v>
      </c>
      <c r="I173" s="3">
        <f t="shared" si="109"/>
        <v>1.4581764411109388E-2</v>
      </c>
      <c r="J173" s="3">
        <f t="shared" si="109"/>
        <v>7.5891096413842245E-3</v>
      </c>
      <c r="K173" s="3">
        <f t="shared" si="109"/>
        <v>1.1066195188198199E-5</v>
      </c>
      <c r="L173" s="3">
        <f t="shared" si="109"/>
        <v>4.8092052815168716E-34</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2.5896955438790194E-2</v>
      </c>
      <c r="C174" s="3">
        <f t="shared" si="110"/>
        <v>2.5896955286228086E-2</v>
      </c>
      <c r="D174" s="3">
        <f t="shared" si="110"/>
        <v>2.5896953760607015E-2</v>
      </c>
      <c r="E174" s="3">
        <f t="shared" si="110"/>
        <v>2.5896938504401251E-2</v>
      </c>
      <c r="F174" s="3">
        <f t="shared" si="110"/>
        <v>2.5896785942837945E-2</v>
      </c>
      <c r="G174" s="3">
        <f t="shared" si="110"/>
        <v>2.5895260376635598E-2</v>
      </c>
      <c r="H174" s="3">
        <f t="shared" si="110"/>
        <v>2.5880009656605866E-2</v>
      </c>
      <c r="I174" s="3">
        <f t="shared" si="110"/>
        <v>2.5727995580163091E-2</v>
      </c>
      <c r="J174" s="3">
        <f t="shared" si="110"/>
        <v>2.4256109059464789E-2</v>
      </c>
      <c r="K174" s="3">
        <f t="shared" si="110"/>
        <v>1.3457766171458128E-2</v>
      </c>
      <c r="L174" s="3">
        <f t="shared" si="110"/>
        <v>3.7195585014861409E-5</v>
      </c>
      <c r="M174" s="3">
        <f t="shared" si="110"/>
        <v>9.6755474953996136E-31</v>
      </c>
      <c r="N174" s="3">
        <f t="shared" si="110"/>
        <v>1.3725150125213143E-286</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3.0557565928921285E-2</v>
      </c>
      <c r="C175" s="3">
        <f t="shared" si="111"/>
        <v>3.055756591268213E-2</v>
      </c>
      <c r="D175" s="3">
        <f t="shared" si="111"/>
        <v>3.055756575029062E-2</v>
      </c>
      <c r="E175" s="3">
        <f t="shared" si="111"/>
        <v>3.0557564126375523E-2</v>
      </c>
      <c r="F175" s="3">
        <f t="shared" si="111"/>
        <v>3.0557547887229336E-2</v>
      </c>
      <c r="G175" s="3">
        <f t="shared" si="111"/>
        <v>3.0557385496242123E-2</v>
      </c>
      <c r="H175" s="3">
        <f t="shared" si="111"/>
        <v>3.0555761633833604E-2</v>
      </c>
      <c r="I175" s="3">
        <f t="shared" si="111"/>
        <v>3.0539527755179995E-2</v>
      </c>
      <c r="J175" s="3">
        <f t="shared" si="111"/>
        <v>3.0377662580041941E-2</v>
      </c>
      <c r="K175" s="3">
        <f t="shared" si="111"/>
        <v>2.8805453803450613E-2</v>
      </c>
      <c r="L175" s="3">
        <f t="shared" si="111"/>
        <v>1.6930835810481316E-2</v>
      </c>
      <c r="M175" s="3">
        <f t="shared" si="111"/>
        <v>8.3313458598685943E-5</v>
      </c>
      <c r="N175" s="3">
        <f t="shared" si="111"/>
        <v>6.9355805547810618E-28</v>
      </c>
      <c r="O175" s="3">
        <f t="shared" si="111"/>
        <v>1.1085604642882239E-258</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3.3957641152333774E-2</v>
      </c>
      <c r="C176" s="3">
        <f t="shared" si="112"/>
        <v>3.3957641150705875E-2</v>
      </c>
      <c r="D176" s="3">
        <f t="shared" si="112"/>
        <v>3.3957641134426841E-2</v>
      </c>
      <c r="E176" s="3">
        <f t="shared" si="112"/>
        <v>3.3957640971636477E-2</v>
      </c>
      <c r="F176" s="3">
        <f t="shared" si="112"/>
        <v>3.3957639343732943E-2</v>
      </c>
      <c r="G176" s="3">
        <f t="shared" si="112"/>
        <v>3.3957623064701827E-2</v>
      </c>
      <c r="H176" s="3">
        <f t="shared" si="112"/>
        <v>3.3957460274819891E-2</v>
      </c>
      <c r="I176" s="3">
        <f t="shared" si="112"/>
        <v>3.3955832418921979E-2</v>
      </c>
      <c r="J176" s="3">
        <f t="shared" si="112"/>
        <v>3.3939558151322581E-2</v>
      </c>
      <c r="K176" s="3">
        <f t="shared" si="112"/>
        <v>3.3777243853093518E-2</v>
      </c>
      <c r="L176" s="3">
        <f t="shared" si="112"/>
        <v>3.2196188456433905E-2</v>
      </c>
      <c r="M176" s="3">
        <f t="shared" si="112"/>
        <v>1.9934574799104154E-2</v>
      </c>
      <c r="N176" s="3">
        <f t="shared" si="112"/>
        <v>1.6505631131444735E-4</v>
      </c>
      <c r="O176" s="3">
        <f t="shared" si="112"/>
        <v>2.4996760031673855E-25</v>
      </c>
      <c r="P176" s="3">
        <f t="shared" si="112"/>
        <v>1.5863520662592781E-233</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2.7970835032517079E-2</v>
      </c>
      <c r="C177" s="3">
        <f t="shared" si="113"/>
        <v>2.797083503239612E-2</v>
      </c>
      <c r="D177" s="3">
        <f t="shared" si="113"/>
        <v>2.7970835031186515E-2</v>
      </c>
      <c r="E177" s="3">
        <f t="shared" si="113"/>
        <v>2.7970835019090475E-2</v>
      </c>
      <c r="F177" s="3">
        <f t="shared" si="113"/>
        <v>2.7970834898130084E-2</v>
      </c>
      <c r="G177" s="3">
        <f t="shared" si="113"/>
        <v>2.7970833688526184E-2</v>
      </c>
      <c r="H177" s="3">
        <f t="shared" si="113"/>
        <v>2.7970821592490099E-2</v>
      </c>
      <c r="I177" s="3">
        <f t="shared" si="113"/>
        <v>2.7970700632416908E-2</v>
      </c>
      <c r="J177" s="3">
        <f t="shared" si="113"/>
        <v>2.7969491060454738E-2</v>
      </c>
      <c r="K177" s="3">
        <f t="shared" si="113"/>
        <v>2.7957398217346607E-2</v>
      </c>
      <c r="L177" s="3">
        <f t="shared" si="113"/>
        <v>2.7836756977890741E-2</v>
      </c>
      <c r="M177" s="3">
        <f t="shared" si="113"/>
        <v>2.665860948577993E-2</v>
      </c>
      <c r="N177" s="3">
        <f t="shared" si="113"/>
        <v>1.7299200880643149E-2</v>
      </c>
      <c r="O177" s="3">
        <f t="shared" si="113"/>
        <v>2.2904010346806101E-4</v>
      </c>
      <c r="P177" s="3">
        <f t="shared" si="113"/>
        <v>3.7911103454047485E-23</v>
      </c>
      <c r="Q177" s="3">
        <f t="shared" si="113"/>
        <v>5.8521488873941201E-211</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2.3282403551492324E-2</v>
      </c>
      <c r="C178" s="3">
        <f t="shared" si="114"/>
        <v>2.3282403551483241E-2</v>
      </c>
      <c r="D178" s="3">
        <f t="shared" si="114"/>
        <v>2.3282403551392414E-2</v>
      </c>
      <c r="E178" s="3">
        <f t="shared" si="114"/>
        <v>2.3282403550484151E-2</v>
      </c>
      <c r="F178" s="3">
        <f t="shared" si="114"/>
        <v>2.3282403541401511E-2</v>
      </c>
      <c r="G178" s="3">
        <f t="shared" si="114"/>
        <v>2.3282403450575098E-2</v>
      </c>
      <c r="H178" s="3">
        <f t="shared" si="114"/>
        <v>2.3282402542310995E-2</v>
      </c>
      <c r="I178" s="3">
        <f t="shared" si="114"/>
        <v>2.3282393459671917E-2</v>
      </c>
      <c r="J178" s="3">
        <f t="shared" si="114"/>
        <v>2.3282302633476006E-2</v>
      </c>
      <c r="K178" s="3">
        <f t="shared" si="114"/>
        <v>2.3281394391004222E-2</v>
      </c>
      <c r="L178" s="3">
        <f t="shared" si="114"/>
        <v>2.3272313914737636E-2</v>
      </c>
      <c r="M178" s="3">
        <f t="shared" si="114"/>
        <v>2.3181703716252857E-2</v>
      </c>
      <c r="N178" s="3">
        <f t="shared" si="114"/>
        <v>2.2294780222340525E-2</v>
      </c>
      <c r="O178" s="3">
        <f t="shared" si="114"/>
        <v>1.5093210958881666E-2</v>
      </c>
      <c r="P178" s="3">
        <f t="shared" si="114"/>
        <v>3.0518705588064056E-4</v>
      </c>
      <c r="Q178" s="3">
        <f t="shared" si="114"/>
        <v>3.4866695052009793E-21</v>
      </c>
      <c r="R178" s="3">
        <f t="shared" si="114"/>
        <v>1.3208622273571304E-190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2.5955524562197109E-2</v>
      </c>
      <c r="C179" s="3">
        <f t="shared" si="115"/>
        <v>2.5955524562196196E-2</v>
      </c>
      <c r="D179" s="3">
        <f t="shared" si="115"/>
        <v>2.5955524562187061E-2</v>
      </c>
      <c r="E179" s="3">
        <f t="shared" si="115"/>
        <v>2.5955524562095721E-2</v>
      </c>
      <c r="F179" s="3">
        <f t="shared" si="115"/>
        <v>2.595552456118232E-2</v>
      </c>
      <c r="G179" s="3">
        <f t="shared" si="115"/>
        <v>2.5955524552048324E-2</v>
      </c>
      <c r="H179" s="3">
        <f t="shared" si="115"/>
        <v>2.5955524460708378E-2</v>
      </c>
      <c r="I179" s="3">
        <f t="shared" si="115"/>
        <v>2.5955523547308946E-2</v>
      </c>
      <c r="J179" s="3">
        <f t="shared" si="115"/>
        <v>2.5955514413316338E-2</v>
      </c>
      <c r="K179" s="3">
        <f t="shared" si="115"/>
        <v>2.5955423073567071E-2</v>
      </c>
      <c r="L179" s="3">
        <f t="shared" si="115"/>
        <v>2.5954509693752997E-2</v>
      </c>
      <c r="M179" s="3">
        <f t="shared" si="115"/>
        <v>2.5945377663243004E-2</v>
      </c>
      <c r="N179" s="3">
        <f t="shared" si="115"/>
        <v>2.5854233891277497E-2</v>
      </c>
      <c r="O179" s="3">
        <f t="shared" si="115"/>
        <v>2.4960221775073507E-2</v>
      </c>
      <c r="P179" s="3">
        <f t="shared" si="115"/>
        <v>1.7555617270574777E-2</v>
      </c>
      <c r="Q179" s="3">
        <f t="shared" si="115"/>
        <v>5.2010705960460056E-4</v>
      </c>
      <c r="R179" s="3">
        <f t="shared" si="115"/>
        <v>2.7093130746263713E-19</v>
      </c>
      <c r="S179" s="3">
        <f t="shared" si="115"/>
        <v>3.9858746306017143E-172</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2.4758413339816755E-2</v>
      </c>
      <c r="C180" s="3">
        <f t="shared" si="116"/>
        <v>2.4758413339816675E-2</v>
      </c>
      <c r="D180" s="3">
        <f t="shared" si="116"/>
        <v>2.4758413339815887E-2</v>
      </c>
      <c r="E180" s="3">
        <f t="shared" si="116"/>
        <v>2.4758413339808029E-2</v>
      </c>
      <c r="F180" s="3">
        <f t="shared" si="116"/>
        <v>2.4758413339729432E-2</v>
      </c>
      <c r="G180" s="3">
        <f t="shared" si="116"/>
        <v>2.475841333894347E-2</v>
      </c>
      <c r="H180" s="3">
        <f t="shared" si="116"/>
        <v>2.4758413331083876E-2</v>
      </c>
      <c r="I180" s="3">
        <f t="shared" si="116"/>
        <v>2.4758413252487895E-2</v>
      </c>
      <c r="J180" s="3">
        <f t="shared" si="116"/>
        <v>2.4758412466528101E-2</v>
      </c>
      <c r="K180" s="3">
        <f t="shared" si="116"/>
        <v>2.4758404606931527E-2</v>
      </c>
      <c r="L180" s="3">
        <f t="shared" si="116"/>
        <v>2.4758326011103043E-2</v>
      </c>
      <c r="M180" s="3">
        <f t="shared" si="116"/>
        <v>2.4757540066540715E-2</v>
      </c>
      <c r="N180" s="3">
        <f t="shared" si="116"/>
        <v>2.4749681993011512E-2</v>
      </c>
      <c r="O180" s="3">
        <f t="shared" si="116"/>
        <v>2.4671238306098863E-2</v>
      </c>
      <c r="P180" s="3">
        <f t="shared" si="116"/>
        <v>2.3900346659606535E-2</v>
      </c>
      <c r="Q180" s="3">
        <f t="shared" si="116"/>
        <v>1.739949802438168E-2</v>
      </c>
      <c r="R180" s="3">
        <f t="shared" si="116"/>
        <v>7.2754843033600615E-4</v>
      </c>
      <c r="S180" s="3">
        <f t="shared" si="116"/>
        <v>1.1888136914249388E-17</v>
      </c>
      <c r="T180" s="3">
        <f t="shared" si="116"/>
        <v>1.6129938036926576E-155</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2.5498882300455362E-2</v>
      </c>
      <c r="C181" s="3">
        <f t="shared" si="117"/>
        <v>2.5498882300455356E-2</v>
      </c>
      <c r="D181" s="3">
        <f t="shared" si="117"/>
        <v>2.5498882300455279E-2</v>
      </c>
      <c r="E181" s="3">
        <f t="shared" si="117"/>
        <v>2.5498882300454551E-2</v>
      </c>
      <c r="F181" s="3">
        <f t="shared" si="117"/>
        <v>2.5498882300447247E-2</v>
      </c>
      <c r="G181" s="3">
        <f t="shared" si="117"/>
        <v>2.5498882300374226E-2</v>
      </c>
      <c r="H181" s="3">
        <f t="shared" si="117"/>
        <v>2.5498882299644022E-2</v>
      </c>
      <c r="I181" s="3">
        <f t="shared" si="117"/>
        <v>2.5498882292341967E-2</v>
      </c>
      <c r="J181" s="3">
        <f t="shared" si="117"/>
        <v>2.5498882219321388E-2</v>
      </c>
      <c r="K181" s="3">
        <f t="shared" si="117"/>
        <v>2.5498881489115621E-2</v>
      </c>
      <c r="L181" s="3">
        <f t="shared" si="117"/>
        <v>2.5498874187059123E-2</v>
      </c>
      <c r="M181" s="3">
        <f t="shared" si="117"/>
        <v>2.5498801166609162E-2</v>
      </c>
      <c r="N181" s="3">
        <f t="shared" si="117"/>
        <v>2.5498070973610305E-2</v>
      </c>
      <c r="O181" s="3">
        <f t="shared" si="117"/>
        <v>2.5490770193576994E-2</v>
      </c>
      <c r="P181" s="3">
        <f t="shared" si="117"/>
        <v>2.5417877267019183E-2</v>
      </c>
      <c r="Q181" s="3">
        <f t="shared" si="117"/>
        <v>2.470031458994246E-2</v>
      </c>
      <c r="R181" s="3">
        <f t="shared" si="117"/>
        <v>1.854959992129733E-2</v>
      </c>
      <c r="S181" s="3">
        <f t="shared" si="117"/>
        <v>1.0584130182919955E-3</v>
      </c>
      <c r="T181" s="3">
        <f t="shared" si="117"/>
        <v>3.8713410340590715E-16</v>
      </c>
      <c r="U181" s="3">
        <f t="shared" si="117"/>
        <v>1.6592965488099992E-140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2.6156174216144482E-2</v>
      </c>
      <c r="C182" s="3">
        <f t="shared" si="118"/>
        <v>2.6156174216144482E-2</v>
      </c>
      <c r="D182" s="3">
        <f t="shared" si="118"/>
        <v>2.6156174216144471E-2</v>
      </c>
      <c r="E182" s="3">
        <f t="shared" si="118"/>
        <v>2.6156174216144405E-2</v>
      </c>
      <c r="F182" s="3">
        <f t="shared" si="118"/>
        <v>2.6156174216143729E-2</v>
      </c>
      <c r="G182" s="3">
        <f t="shared" si="118"/>
        <v>2.6156174216136974E-2</v>
      </c>
      <c r="H182" s="3">
        <f t="shared" si="118"/>
        <v>2.6156174216069406E-2</v>
      </c>
      <c r="I182" s="3">
        <f t="shared" si="118"/>
        <v>2.6156174215393721E-2</v>
      </c>
      <c r="J182" s="3">
        <f t="shared" si="118"/>
        <v>2.6156174208636859E-2</v>
      </c>
      <c r="K182" s="3">
        <f t="shared" si="118"/>
        <v>2.6156174141068259E-2</v>
      </c>
      <c r="L182" s="3">
        <f t="shared" si="118"/>
        <v>2.6156173465382248E-2</v>
      </c>
      <c r="M182" s="3">
        <f t="shared" si="118"/>
        <v>2.6156166708523127E-2</v>
      </c>
      <c r="N182" s="3">
        <f t="shared" si="118"/>
        <v>2.6156099140027887E-2</v>
      </c>
      <c r="O182" s="3">
        <f t="shared" si="118"/>
        <v>2.6155423464675556E-2</v>
      </c>
      <c r="P182" s="3">
        <f t="shared" si="118"/>
        <v>2.6148667671066005E-2</v>
      </c>
      <c r="Q182" s="3">
        <f t="shared" si="118"/>
        <v>2.6081205634659013E-2</v>
      </c>
      <c r="R182" s="3">
        <f t="shared" si="118"/>
        <v>2.5416084207309137E-2</v>
      </c>
      <c r="S182" s="3">
        <f t="shared" si="118"/>
        <v>1.9629914804765388E-2</v>
      </c>
      <c r="T182" s="3">
        <f t="shared" si="118"/>
        <v>1.4825732334069512E-3</v>
      </c>
      <c r="U182" s="3">
        <f t="shared" si="118"/>
        <v>8.9535148467741558E-15</v>
      </c>
      <c r="V182" s="3">
        <f t="shared" si="118"/>
        <v>5.777867638805233E-127</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3.7540941347655205E-2</v>
      </c>
      <c r="C183" s="3">
        <f t="shared" si="119"/>
        <v>3.7540941347655205E-2</v>
      </c>
      <c r="D183" s="3">
        <f t="shared" si="119"/>
        <v>3.7540941347655205E-2</v>
      </c>
      <c r="E183" s="3">
        <f t="shared" si="119"/>
        <v>3.7540941347655198E-2</v>
      </c>
      <c r="F183" s="3">
        <f t="shared" si="119"/>
        <v>3.7540941347655107E-2</v>
      </c>
      <c r="G183" s="3">
        <f t="shared" si="119"/>
        <v>3.7540941347654233E-2</v>
      </c>
      <c r="H183" s="3">
        <f t="shared" si="119"/>
        <v>3.7540941347645483E-2</v>
      </c>
      <c r="I183" s="3">
        <f t="shared" si="119"/>
        <v>3.7540941347558004E-2</v>
      </c>
      <c r="J183" s="3">
        <f t="shared" si="119"/>
        <v>3.7540941346683177E-2</v>
      </c>
      <c r="K183" s="3">
        <f t="shared" si="119"/>
        <v>3.7540941337934897E-2</v>
      </c>
      <c r="L183" s="3">
        <f t="shared" si="119"/>
        <v>3.7540941250452139E-2</v>
      </c>
      <c r="M183" s="3">
        <f t="shared" si="119"/>
        <v>3.7540940375624582E-2</v>
      </c>
      <c r="N183" s="3">
        <f t="shared" si="119"/>
        <v>3.7540931627350144E-2</v>
      </c>
      <c r="O183" s="3">
        <f t="shared" si="119"/>
        <v>3.7540844144717811E-2</v>
      </c>
      <c r="P183" s="3">
        <f t="shared" si="119"/>
        <v>3.7539969329606904E-2</v>
      </c>
      <c r="Q183" s="3">
        <f t="shared" si="119"/>
        <v>3.7531222299640427E-2</v>
      </c>
      <c r="R183" s="3">
        <f t="shared" si="119"/>
        <v>3.7443864017626491E-2</v>
      </c>
      <c r="S183" s="3">
        <f t="shared" si="119"/>
        <v>3.658138697759266E-2</v>
      </c>
      <c r="T183" s="3">
        <f t="shared" si="119"/>
        <v>2.8977122082918277E-2</v>
      </c>
      <c r="U183" s="3">
        <f t="shared" si="119"/>
        <v>2.8184223815290272E-3</v>
      </c>
      <c r="V183" s="3">
        <f t="shared" si="119"/>
        <v>2.1355727164025571E-13</v>
      </c>
      <c r="W183" s="3">
        <f t="shared" si="119"/>
        <v>1.3322852250700673E-114</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2.9964173015778757E-2</v>
      </c>
      <c r="C184" s="3">
        <f t="shared" si="120"/>
        <v>2.9964173015778757E-2</v>
      </c>
      <c r="D184" s="3">
        <f t="shared" si="120"/>
        <v>2.9964173015778757E-2</v>
      </c>
      <c r="E184" s="3">
        <f t="shared" si="120"/>
        <v>2.9964173015778757E-2</v>
      </c>
      <c r="F184" s="3">
        <f t="shared" si="120"/>
        <v>2.996417301577875E-2</v>
      </c>
      <c r="G184" s="3">
        <f t="shared" si="120"/>
        <v>2.9964173015778688E-2</v>
      </c>
      <c r="H184" s="3">
        <f t="shared" si="120"/>
        <v>2.996417301577806E-2</v>
      </c>
      <c r="I184" s="3">
        <f t="shared" si="120"/>
        <v>2.9964173015771759E-2</v>
      </c>
      <c r="J184" s="3">
        <f t="shared" si="120"/>
        <v>2.9964173015708771E-2</v>
      </c>
      <c r="K184" s="3">
        <f t="shared" si="120"/>
        <v>2.9964173015078879E-2</v>
      </c>
      <c r="L184" s="3">
        <f t="shared" si="120"/>
        <v>2.9964173008779956E-2</v>
      </c>
      <c r="M184" s="3">
        <f t="shared" si="120"/>
        <v>2.9964172945790742E-2</v>
      </c>
      <c r="N184" s="3">
        <f t="shared" si="120"/>
        <v>2.996417231589861E-2</v>
      </c>
      <c r="O184" s="3">
        <f t="shared" si="120"/>
        <v>2.9964166016978013E-2</v>
      </c>
      <c r="P184" s="3">
        <f t="shared" si="120"/>
        <v>2.9964103027844895E-2</v>
      </c>
      <c r="Q184" s="3">
        <f t="shared" si="120"/>
        <v>2.9963473143796344E-2</v>
      </c>
      <c r="R184" s="3">
        <f t="shared" si="120"/>
        <v>2.9957175031518481E-2</v>
      </c>
      <c r="S184" s="3">
        <f t="shared" si="120"/>
        <v>2.9894266672897549E-2</v>
      </c>
      <c r="T184" s="3">
        <f t="shared" si="120"/>
        <v>2.9272403223627414E-2</v>
      </c>
      <c r="U184" s="3">
        <f t="shared" si="120"/>
        <v>2.3722645781472651E-2</v>
      </c>
      <c r="V184" s="3">
        <f t="shared" si="120"/>
        <v>2.8987487680173186E-3</v>
      </c>
      <c r="W184" s="3">
        <f t="shared" si="120"/>
        <v>2.1512213832195655E-12</v>
      </c>
      <c r="X184" s="3">
        <f t="shared" si="120"/>
        <v>1.090009785596419E-103</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7.1416883904963147E-2</v>
      </c>
      <c r="C185" s="3">
        <f t="shared" si="121"/>
        <v>7.1416883904963147E-2</v>
      </c>
      <c r="D185" s="3">
        <f t="shared" si="121"/>
        <v>7.1416883904963147E-2</v>
      </c>
      <c r="E185" s="3">
        <f t="shared" si="121"/>
        <v>7.1416883904963147E-2</v>
      </c>
      <c r="F185" s="3">
        <f t="shared" si="121"/>
        <v>7.1416883904963147E-2</v>
      </c>
      <c r="G185" s="3">
        <f t="shared" si="121"/>
        <v>7.1416883904963133E-2</v>
      </c>
      <c r="H185" s="3">
        <f t="shared" si="121"/>
        <v>7.1416883904962994E-2</v>
      </c>
      <c r="I185" s="3">
        <f t="shared" si="121"/>
        <v>7.1416883904961634E-2</v>
      </c>
      <c r="J185" s="3">
        <f t="shared" si="121"/>
        <v>7.1416883904948103E-2</v>
      </c>
      <c r="K185" s="3">
        <f t="shared" si="121"/>
        <v>7.141688390481267E-2</v>
      </c>
      <c r="L185" s="3">
        <f t="shared" si="121"/>
        <v>7.1416883903458378E-2</v>
      </c>
      <c r="M185" s="3">
        <f t="shared" si="121"/>
        <v>7.1416883889915489E-2</v>
      </c>
      <c r="N185" s="3">
        <f t="shared" si="121"/>
        <v>7.1416883754486585E-2</v>
      </c>
      <c r="O185" s="3">
        <f t="shared" si="121"/>
        <v>7.1416882400197501E-2</v>
      </c>
      <c r="P185" s="3">
        <f t="shared" si="121"/>
        <v>7.1416868857308136E-2</v>
      </c>
      <c r="Q185" s="3">
        <f t="shared" si="121"/>
        <v>7.1416733428555659E-2</v>
      </c>
      <c r="R185" s="3">
        <f t="shared" si="121"/>
        <v>7.1415379155155723E-2</v>
      </c>
      <c r="S185" s="3">
        <f t="shared" si="121"/>
        <v>7.1401837833533544E-2</v>
      </c>
      <c r="T185" s="3">
        <f t="shared" si="121"/>
        <v>7.1266565755984362E-2</v>
      </c>
      <c r="U185" s="3">
        <f t="shared" si="121"/>
        <v>6.9927860320011706E-2</v>
      </c>
      <c r="V185" s="3">
        <f t="shared" si="121"/>
        <v>5.7848796064832078E-2</v>
      </c>
      <c r="W185" s="3">
        <f t="shared" si="121"/>
        <v>8.6843071856752205E-3</v>
      </c>
      <c r="X185" s="3">
        <f t="shared" si="121"/>
        <v>5.0482830710929129E-11</v>
      </c>
      <c r="Y185" s="3">
        <f t="shared" si="121"/>
        <v>2.2244821115540284E-93</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0.10311361760580572</v>
      </c>
      <c r="C186" s="3">
        <f t="shared" si="122"/>
        <v>0.10311361760580572</v>
      </c>
      <c r="D186" s="3">
        <f t="shared" si="122"/>
        <v>0.10311361760580572</v>
      </c>
      <c r="E186" s="3">
        <f t="shared" si="122"/>
        <v>0.10311361760580572</v>
      </c>
      <c r="F186" s="3">
        <f t="shared" si="122"/>
        <v>0.10311361760580572</v>
      </c>
      <c r="G186" s="3">
        <f t="shared" si="122"/>
        <v>0.10311361760580572</v>
      </c>
      <c r="H186" s="3">
        <f t="shared" si="122"/>
        <v>0.10311361760580569</v>
      </c>
      <c r="I186" s="3">
        <f t="shared" si="122"/>
        <v>0.10311361760580552</v>
      </c>
      <c r="J186" s="3">
        <f t="shared" si="122"/>
        <v>0.10311361760580376</v>
      </c>
      <c r="K186" s="3">
        <f t="shared" si="122"/>
        <v>0.10311361760578612</v>
      </c>
      <c r="L186" s="3">
        <f t="shared" si="122"/>
        <v>0.10311361760560973</v>
      </c>
      <c r="M186" s="3">
        <f t="shared" si="122"/>
        <v>0.10311361760384584</v>
      </c>
      <c r="N186" s="3">
        <f t="shared" si="122"/>
        <v>0.10311361758620687</v>
      </c>
      <c r="O186" s="3">
        <f t="shared" si="122"/>
        <v>0.10311361740981721</v>
      </c>
      <c r="P186" s="3">
        <f t="shared" si="122"/>
        <v>0.10311361564592074</v>
      </c>
      <c r="Q186" s="3">
        <f t="shared" si="122"/>
        <v>0.10311359800695756</v>
      </c>
      <c r="R186" s="3">
        <f t="shared" si="122"/>
        <v>0.10311342161749176</v>
      </c>
      <c r="S186" s="3">
        <f t="shared" si="122"/>
        <v>0.1031116577394293</v>
      </c>
      <c r="T186" s="3">
        <f t="shared" si="122"/>
        <v>0.10309402061824761</v>
      </c>
      <c r="U186" s="3">
        <f t="shared" si="122"/>
        <v>0.10291781524574017</v>
      </c>
      <c r="V186" s="3">
        <f t="shared" si="122"/>
        <v>0.10117224096474625</v>
      </c>
      <c r="W186" s="3">
        <f t="shared" si="122"/>
        <v>8.5264742188350257E-2</v>
      </c>
      <c r="X186" s="3">
        <f t="shared" si="122"/>
        <v>1.5411702548802768E-2</v>
      </c>
      <c r="Y186" s="3">
        <f t="shared" si="122"/>
        <v>5.7366977649756188E-10</v>
      </c>
      <c r="Z186" s="3">
        <f t="shared" si="122"/>
        <v>2.9293784680353443E-84</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8.7291657876096773E-2</v>
      </c>
      <c r="C187" s="3">
        <f t="shared" si="123"/>
        <v>8.7291657876096773E-2</v>
      </c>
      <c r="D187" s="3">
        <f t="shared" si="123"/>
        <v>8.7291657876096773E-2</v>
      </c>
      <c r="E187" s="3">
        <f t="shared" si="123"/>
        <v>8.7291657876096773E-2</v>
      </c>
      <c r="F187" s="3">
        <f t="shared" si="123"/>
        <v>8.7291657876096773E-2</v>
      </c>
      <c r="G187" s="3">
        <f t="shared" si="123"/>
        <v>8.7291657876096773E-2</v>
      </c>
      <c r="H187" s="3">
        <f t="shared" si="123"/>
        <v>8.7291657876096773E-2</v>
      </c>
      <c r="I187" s="3">
        <f t="shared" si="123"/>
        <v>8.7291657876096759E-2</v>
      </c>
      <c r="J187" s="3">
        <f t="shared" si="123"/>
        <v>8.7291657876096634E-2</v>
      </c>
      <c r="K187" s="3">
        <f t="shared" si="123"/>
        <v>8.7291657876095274E-2</v>
      </c>
      <c r="L187" s="3">
        <f t="shared" si="123"/>
        <v>8.7291657876081813E-2</v>
      </c>
      <c r="M187" s="3">
        <f t="shared" si="123"/>
        <v>8.7291657875947101E-2</v>
      </c>
      <c r="N187" s="3">
        <f t="shared" si="123"/>
        <v>8.7291657874600082E-2</v>
      </c>
      <c r="O187" s="3">
        <f t="shared" si="123"/>
        <v>8.7291657861129801E-2</v>
      </c>
      <c r="P187" s="3">
        <f t="shared" si="123"/>
        <v>8.7291657726427066E-2</v>
      </c>
      <c r="Q187" s="3">
        <f t="shared" si="123"/>
        <v>8.7291656379399743E-2</v>
      </c>
      <c r="R187" s="3">
        <f t="shared" si="123"/>
        <v>8.7291642909127706E-2</v>
      </c>
      <c r="S187" s="3">
        <f t="shared" si="123"/>
        <v>8.7291508206521512E-2</v>
      </c>
      <c r="T187" s="3">
        <f t="shared" si="123"/>
        <v>8.7290161191892104E-2</v>
      </c>
      <c r="U187" s="3">
        <f t="shared" si="123"/>
        <v>8.7276692188779648E-2</v>
      </c>
      <c r="V187" s="3">
        <f t="shared" si="123"/>
        <v>8.7142116410567419E-2</v>
      </c>
      <c r="W187" s="3">
        <f t="shared" si="123"/>
        <v>8.5807718954273873E-2</v>
      </c>
      <c r="X187" s="3">
        <f t="shared" si="123"/>
        <v>7.353750570352989E-2</v>
      </c>
      <c r="Y187" s="3">
        <f t="shared" si="123"/>
        <v>1.5715719692874539E-2</v>
      </c>
      <c r="Z187" s="3">
        <f t="shared" si="123"/>
        <v>3.1231156327355426E-9</v>
      </c>
      <c r="AA187" s="3">
        <f t="shared" si="123"/>
        <v>3.0000325393371094E-76</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7.2211450290495263E-2</v>
      </c>
      <c r="C188" s="3">
        <f t="shared" si="124"/>
        <v>7.2211450290495263E-2</v>
      </c>
      <c r="D188" s="3">
        <f t="shared" si="124"/>
        <v>7.2211450290495263E-2</v>
      </c>
      <c r="E188" s="3">
        <f t="shared" si="124"/>
        <v>7.2211450290495263E-2</v>
      </c>
      <c r="F188" s="3">
        <f t="shared" si="124"/>
        <v>7.2211450290495263E-2</v>
      </c>
      <c r="G188" s="3">
        <f t="shared" si="124"/>
        <v>7.2211450290495263E-2</v>
      </c>
      <c r="H188" s="3">
        <f t="shared" si="124"/>
        <v>7.2211450290495263E-2</v>
      </c>
      <c r="I188" s="3">
        <f t="shared" si="124"/>
        <v>7.2211450290495263E-2</v>
      </c>
      <c r="J188" s="3">
        <f t="shared" si="124"/>
        <v>7.2211450290495249E-2</v>
      </c>
      <c r="K188" s="3">
        <f t="shared" si="124"/>
        <v>7.2211450290495152E-2</v>
      </c>
      <c r="L188" s="3">
        <f t="shared" si="124"/>
        <v>7.2211450290494153E-2</v>
      </c>
      <c r="M188" s="3">
        <f t="shared" si="124"/>
        <v>7.2211450290484092E-2</v>
      </c>
      <c r="N188" s="3">
        <f t="shared" si="124"/>
        <v>7.2211450290383575E-2</v>
      </c>
      <c r="O188" s="3">
        <f t="shared" si="124"/>
        <v>7.2211450289378365E-2</v>
      </c>
      <c r="P188" s="3">
        <f t="shared" si="124"/>
        <v>7.2211450279326281E-2</v>
      </c>
      <c r="Q188" s="3">
        <f t="shared" si="124"/>
        <v>7.2211450178805384E-2</v>
      </c>
      <c r="R188" s="3">
        <f t="shared" si="124"/>
        <v>7.2211449173596495E-2</v>
      </c>
      <c r="S188" s="3">
        <f t="shared" si="124"/>
        <v>7.2211439121508361E-2</v>
      </c>
      <c r="T188" s="3">
        <f t="shared" si="124"/>
        <v>7.2211338600704028E-2</v>
      </c>
      <c r="U188" s="3">
        <f t="shared" si="124"/>
        <v>7.2210333400356735E-2</v>
      </c>
      <c r="V188" s="3">
        <f t="shared" si="124"/>
        <v>7.2200282166447166E-2</v>
      </c>
      <c r="W188" s="3">
        <f t="shared" si="124"/>
        <v>7.209984674407191E-2</v>
      </c>
      <c r="X188" s="3">
        <f t="shared" si="124"/>
        <v>7.1103144723247358E-2</v>
      </c>
      <c r="Y188" s="3">
        <f t="shared" si="124"/>
        <v>6.1863356949896961E-2</v>
      </c>
      <c r="Z188" s="3">
        <f t="shared" si="124"/>
        <v>1.5377304756314264E-2</v>
      </c>
      <c r="AA188" s="3">
        <f t="shared" si="124"/>
        <v>1.3846742267093794E-8</v>
      </c>
      <c r="AB188" s="3">
        <f t="shared" si="124"/>
        <v>4.853125024725171E-69</v>
      </c>
      <c r="AC188" s="3">
        <f t="shared" si="124"/>
        <v>0</v>
      </c>
      <c r="AD188" s="3">
        <f t="shared" si="124"/>
        <v>0</v>
      </c>
      <c r="AE188" s="3">
        <f t="shared" si="124"/>
        <v>0</v>
      </c>
      <c r="AF188" s="3">
        <f t="shared" si="124"/>
        <v>0</v>
      </c>
      <c r="AG188" s="3"/>
      <c r="AH188" s="3"/>
    </row>
    <row r="189" spans="2:34" x14ac:dyDescent="0.25">
      <c r="B189" s="3">
        <f t="shared" ref="B189:AF189" si="125">$C36*EXP(-B$168/$A36/EXP(-$C$126))</f>
        <v>4.7726428975124642E-2</v>
      </c>
      <c r="C189" s="3">
        <f t="shared" si="125"/>
        <v>4.7726428975124642E-2</v>
      </c>
      <c r="D189" s="3">
        <f t="shared" si="125"/>
        <v>4.7726428975124642E-2</v>
      </c>
      <c r="E189" s="3">
        <f t="shared" si="125"/>
        <v>4.7726428975124642E-2</v>
      </c>
      <c r="F189" s="3">
        <f t="shared" si="125"/>
        <v>4.7726428975124642E-2</v>
      </c>
      <c r="G189" s="3">
        <f t="shared" si="125"/>
        <v>4.7726428975124642E-2</v>
      </c>
      <c r="H189" s="3">
        <f t="shared" si="125"/>
        <v>4.7726428975124642E-2</v>
      </c>
      <c r="I189" s="3">
        <f t="shared" si="125"/>
        <v>4.7726428975124642E-2</v>
      </c>
      <c r="J189" s="3">
        <f t="shared" si="125"/>
        <v>4.7726428975124642E-2</v>
      </c>
      <c r="K189" s="3">
        <f t="shared" si="125"/>
        <v>4.7726428975124635E-2</v>
      </c>
      <c r="L189" s="3">
        <f t="shared" si="125"/>
        <v>4.7726428975124573E-2</v>
      </c>
      <c r="M189" s="3">
        <f t="shared" si="125"/>
        <v>4.7726428975123976E-2</v>
      </c>
      <c r="N189" s="3">
        <f t="shared" si="125"/>
        <v>4.7726428975117981E-2</v>
      </c>
      <c r="O189" s="3">
        <f t="shared" si="125"/>
        <v>4.7726428975058056E-2</v>
      </c>
      <c r="P189" s="3">
        <f t="shared" si="125"/>
        <v>4.772642897445873E-2</v>
      </c>
      <c r="Q189" s="3">
        <f t="shared" si="125"/>
        <v>4.772642896846558E-2</v>
      </c>
      <c r="R189" s="3">
        <f t="shared" si="125"/>
        <v>4.7726428908533985E-2</v>
      </c>
      <c r="S189" s="3">
        <f t="shared" si="125"/>
        <v>4.7726428309218111E-2</v>
      </c>
      <c r="T189" s="3">
        <f t="shared" si="125"/>
        <v>4.7726422316059725E-2</v>
      </c>
      <c r="U189" s="3">
        <f t="shared" si="125"/>
        <v>4.7726362384517287E-2</v>
      </c>
      <c r="V189" s="3">
        <f t="shared" si="125"/>
        <v>4.7725763073232064E-2</v>
      </c>
      <c r="W189" s="3">
        <f t="shared" si="125"/>
        <v>4.7719770374277416E-2</v>
      </c>
      <c r="X189" s="3">
        <f t="shared" si="125"/>
        <v>4.7659884755266703E-2</v>
      </c>
      <c r="Y189" s="3">
        <f t="shared" si="125"/>
        <v>4.7065146461515578E-2</v>
      </c>
      <c r="Z189" s="3">
        <f t="shared" si="125"/>
        <v>4.151104638403607E-2</v>
      </c>
      <c r="AA189" s="3">
        <f t="shared" si="125"/>
        <v>1.1825141473949538E-2</v>
      </c>
      <c r="AB189" s="3">
        <f t="shared" si="125"/>
        <v>4.1613379641208403E-8</v>
      </c>
      <c r="AC189" s="3">
        <f t="shared" si="125"/>
        <v>1.2119910744363401E-62</v>
      </c>
      <c r="AD189" s="3">
        <f t="shared" si="125"/>
        <v>0</v>
      </c>
      <c r="AE189" s="3">
        <f t="shared" si="125"/>
        <v>0</v>
      </c>
      <c r="AF189" s="3">
        <f t="shared" si="125"/>
        <v>0</v>
      </c>
      <c r="AG189" s="3"/>
      <c r="AH189" s="3"/>
    </row>
    <row r="190" spans="2:34" x14ac:dyDescent="0.25">
      <c r="B190" s="3">
        <f t="shared" ref="B190:AF190" si="126">$C37*EXP(-B$168/$A37/EXP(-$C$126))</f>
        <v>3.3498054799521296E-2</v>
      </c>
      <c r="C190" s="3">
        <f t="shared" si="126"/>
        <v>3.3498054799521296E-2</v>
      </c>
      <c r="D190" s="3">
        <f t="shared" si="126"/>
        <v>3.3498054799521296E-2</v>
      </c>
      <c r="E190" s="3">
        <f t="shared" si="126"/>
        <v>3.3498054799521296E-2</v>
      </c>
      <c r="F190" s="3">
        <f t="shared" si="126"/>
        <v>3.3498054799521296E-2</v>
      </c>
      <c r="G190" s="3">
        <f t="shared" si="126"/>
        <v>3.3498054799521296E-2</v>
      </c>
      <c r="H190" s="3">
        <f t="shared" si="126"/>
        <v>3.3498054799521296E-2</v>
      </c>
      <c r="I190" s="3">
        <f t="shared" si="126"/>
        <v>3.3498054799521296E-2</v>
      </c>
      <c r="J190" s="3">
        <f t="shared" si="126"/>
        <v>3.3498054799521296E-2</v>
      </c>
      <c r="K190" s="3">
        <f t="shared" si="126"/>
        <v>3.3498054799521296E-2</v>
      </c>
      <c r="L190" s="3">
        <f t="shared" si="126"/>
        <v>3.3498054799521289E-2</v>
      </c>
      <c r="M190" s="3">
        <f t="shared" si="126"/>
        <v>3.3498054799521254E-2</v>
      </c>
      <c r="N190" s="3">
        <f t="shared" si="126"/>
        <v>3.3498054799520872E-2</v>
      </c>
      <c r="O190" s="3">
        <f t="shared" si="126"/>
        <v>3.3498054799517077E-2</v>
      </c>
      <c r="P190" s="3">
        <f t="shared" si="126"/>
        <v>3.3498054799479135E-2</v>
      </c>
      <c r="Q190" s="3">
        <f t="shared" si="126"/>
        <v>3.3498054799099675E-2</v>
      </c>
      <c r="R190" s="3">
        <f t="shared" si="126"/>
        <v>3.3498054795305099E-2</v>
      </c>
      <c r="S190" s="3">
        <f t="shared" si="126"/>
        <v>3.3498054757359362E-2</v>
      </c>
      <c r="T190" s="3">
        <f t="shared" si="126"/>
        <v>3.3498054377901966E-2</v>
      </c>
      <c r="U190" s="3">
        <f t="shared" si="126"/>
        <v>3.349805058332822E-2</v>
      </c>
      <c r="V190" s="3">
        <f t="shared" si="126"/>
        <v>3.3498012637614406E-2</v>
      </c>
      <c r="W190" s="3">
        <f t="shared" si="126"/>
        <v>3.3497633182840381E-2</v>
      </c>
      <c r="X190" s="3">
        <f t="shared" si="126"/>
        <v>3.3493838871500876E-2</v>
      </c>
      <c r="Y190" s="3">
        <f t="shared" si="126"/>
        <v>3.345591938828011E-2</v>
      </c>
      <c r="Z190" s="3">
        <f t="shared" si="126"/>
        <v>3.3079077699401278E-2</v>
      </c>
      <c r="AA190" s="3">
        <f t="shared" si="126"/>
        <v>2.9536404264531569E-2</v>
      </c>
      <c r="AB190" s="3">
        <f t="shared" si="126"/>
        <v>9.5148059928499475E-3</v>
      </c>
      <c r="AC190" s="3">
        <f t="shared" si="126"/>
        <v>1.1450463747307039E-7</v>
      </c>
      <c r="AD190" s="3">
        <f t="shared" si="126"/>
        <v>7.2954899351652866E-57</v>
      </c>
      <c r="AE190" s="3">
        <f t="shared" si="126"/>
        <v>0</v>
      </c>
      <c r="AF190" s="3">
        <f t="shared" si="126"/>
        <v>0</v>
      </c>
      <c r="AG190" s="3"/>
      <c r="AH190" s="3"/>
    </row>
    <row r="191" spans="2:34" x14ac:dyDescent="0.25">
      <c r="B191" s="3">
        <f t="shared" ref="B191:AF191" si="127">$C38*EXP(-B$168/$A38/EXP(-$C$126))</f>
        <v>8.3276524344842746E-3</v>
      </c>
      <c r="C191" s="3">
        <f t="shared" si="127"/>
        <v>8.3276524344842746E-3</v>
      </c>
      <c r="D191" s="3">
        <f t="shared" si="127"/>
        <v>8.3276524344842746E-3</v>
      </c>
      <c r="E191" s="3">
        <f t="shared" si="127"/>
        <v>8.3276524344842746E-3</v>
      </c>
      <c r="F191" s="3">
        <f t="shared" si="127"/>
        <v>8.3276524344842746E-3</v>
      </c>
      <c r="G191" s="3">
        <f t="shared" si="127"/>
        <v>8.3276524344842746E-3</v>
      </c>
      <c r="H191" s="3">
        <f t="shared" si="127"/>
        <v>8.3276524344842746E-3</v>
      </c>
      <c r="I191" s="3">
        <f t="shared" si="127"/>
        <v>8.3276524344842746E-3</v>
      </c>
      <c r="J191" s="3">
        <f t="shared" si="127"/>
        <v>8.3276524344842746E-3</v>
      </c>
      <c r="K191" s="3">
        <f t="shared" si="127"/>
        <v>8.3276524344842746E-3</v>
      </c>
      <c r="L191" s="3">
        <f t="shared" si="127"/>
        <v>8.3276524344842746E-3</v>
      </c>
      <c r="M191" s="3">
        <f t="shared" si="127"/>
        <v>8.3276524344842728E-3</v>
      </c>
      <c r="N191" s="3">
        <f t="shared" si="127"/>
        <v>8.3276524344842659E-3</v>
      </c>
      <c r="O191" s="3">
        <f t="shared" si="127"/>
        <v>8.3276524344841809E-3</v>
      </c>
      <c r="P191" s="3">
        <f t="shared" si="127"/>
        <v>8.3276524344833291E-3</v>
      </c>
      <c r="Q191" s="3">
        <f t="shared" si="127"/>
        <v>8.3276524344748186E-3</v>
      </c>
      <c r="R191" s="3">
        <f t="shared" si="127"/>
        <v>8.3276524343897235E-3</v>
      </c>
      <c r="S191" s="3">
        <f t="shared" si="127"/>
        <v>8.3276524335387566E-3</v>
      </c>
      <c r="T191" s="3">
        <f t="shared" si="127"/>
        <v>8.3276524250290879E-3</v>
      </c>
      <c r="U191" s="3">
        <f t="shared" si="127"/>
        <v>8.3276523399324082E-3</v>
      </c>
      <c r="V191" s="3">
        <f t="shared" si="127"/>
        <v>8.3276514889656528E-3</v>
      </c>
      <c r="W191" s="3">
        <f t="shared" si="127"/>
        <v>8.327642979302885E-3</v>
      </c>
      <c r="X191" s="3">
        <f t="shared" si="127"/>
        <v>8.3275578831534629E-3</v>
      </c>
      <c r="Y191" s="3">
        <f t="shared" si="127"/>
        <v>8.3267069694833787E-3</v>
      </c>
      <c r="Z191" s="3">
        <f t="shared" si="127"/>
        <v>8.3182026133880507E-3</v>
      </c>
      <c r="AA191" s="3">
        <f t="shared" si="127"/>
        <v>8.2336353104317285E-3</v>
      </c>
      <c r="AB191" s="3">
        <f t="shared" si="127"/>
        <v>7.4338355768531796E-3</v>
      </c>
      <c r="AC191" s="3">
        <f t="shared" si="127"/>
        <v>2.675630828421577E-3</v>
      </c>
      <c r="AD191" s="3">
        <f t="shared" si="127"/>
        <v>9.7624448374038366E-8</v>
      </c>
      <c r="AE191" s="3">
        <f t="shared" si="127"/>
        <v>4.0820903222257162E-52</v>
      </c>
      <c r="AF191" s="3">
        <f t="shared" si="127"/>
        <v>0</v>
      </c>
      <c r="AG191" s="3"/>
      <c r="AH191" s="3"/>
    </row>
    <row r="192" spans="2:34" x14ac:dyDescent="0.25">
      <c r="B192" s="3">
        <f t="shared" ref="B192:AF192" si="128">$C39*EXP(-B$168/$A39/EXP(-$C$126))</f>
        <v>1.1282321504922463E-2</v>
      </c>
      <c r="C192" s="3">
        <f t="shared" si="128"/>
        <v>1.1282321504922463E-2</v>
      </c>
      <c r="D192" s="3">
        <f t="shared" si="128"/>
        <v>1.1282321504922463E-2</v>
      </c>
      <c r="E192" s="3">
        <f t="shared" si="128"/>
        <v>1.1282321504922463E-2</v>
      </c>
      <c r="F192" s="3">
        <f t="shared" si="128"/>
        <v>1.1282321504922463E-2</v>
      </c>
      <c r="G192" s="3">
        <f t="shared" si="128"/>
        <v>1.1282321504922463E-2</v>
      </c>
      <c r="H192" s="3">
        <f t="shared" si="128"/>
        <v>1.1282321504922463E-2</v>
      </c>
      <c r="I192" s="3">
        <f t="shared" si="128"/>
        <v>1.1282321504922463E-2</v>
      </c>
      <c r="J192" s="3">
        <f t="shared" si="128"/>
        <v>1.1282321504922463E-2</v>
      </c>
      <c r="K192" s="3">
        <f t="shared" si="128"/>
        <v>1.1282321504922463E-2</v>
      </c>
      <c r="L192" s="3">
        <f t="shared" si="128"/>
        <v>1.1282321504922463E-2</v>
      </c>
      <c r="M192" s="3">
        <f t="shared" si="128"/>
        <v>1.1282321504922463E-2</v>
      </c>
      <c r="N192" s="3">
        <f t="shared" si="128"/>
        <v>1.1282321504922459E-2</v>
      </c>
      <c r="O192" s="3">
        <f t="shared" si="128"/>
        <v>1.1282321504922428E-2</v>
      </c>
      <c r="P192" s="3">
        <f t="shared" si="128"/>
        <v>1.1282321504922109E-2</v>
      </c>
      <c r="Q192" s="3">
        <f t="shared" si="128"/>
        <v>1.1282321504918921E-2</v>
      </c>
      <c r="R192" s="3">
        <f t="shared" si="128"/>
        <v>1.1282321504887033E-2</v>
      </c>
      <c r="S192" s="3">
        <f t="shared" si="128"/>
        <v>1.1282321504568173E-2</v>
      </c>
      <c r="T192" s="3">
        <f t="shared" si="128"/>
        <v>1.1282321501379563E-2</v>
      </c>
      <c r="U192" s="3">
        <f t="shared" si="128"/>
        <v>1.1282321469493466E-2</v>
      </c>
      <c r="V192" s="3">
        <f t="shared" si="128"/>
        <v>1.1282321150632501E-2</v>
      </c>
      <c r="W192" s="3">
        <f t="shared" si="128"/>
        <v>1.1282317962023352E-2</v>
      </c>
      <c r="X192" s="3">
        <f t="shared" si="128"/>
        <v>1.1282286075981422E-2</v>
      </c>
      <c r="Y192" s="3">
        <f t="shared" si="128"/>
        <v>1.1281967220518455E-2</v>
      </c>
      <c r="Z192" s="3">
        <f t="shared" si="128"/>
        <v>1.1278779161471882E-2</v>
      </c>
      <c r="AA192" s="3">
        <f t="shared" si="128"/>
        <v>1.1246948077532178E-2</v>
      </c>
      <c r="AB192" s="3">
        <f t="shared" si="128"/>
        <v>1.0933536511084635E-2</v>
      </c>
      <c r="AC192" s="3">
        <f t="shared" si="128"/>
        <v>8.2417673915352267E-3</v>
      </c>
      <c r="AD192" s="3">
        <f t="shared" si="128"/>
        <v>4.8822193740108574E-4</v>
      </c>
      <c r="AE192" s="3">
        <f t="shared" si="128"/>
        <v>2.5976860103439444E-16</v>
      </c>
      <c r="AF192" s="3">
        <f t="shared" si="128"/>
        <v>4.7236782983128811E-139</v>
      </c>
      <c r="AG192" s="3"/>
      <c r="AH192" s="3"/>
    </row>
    <row r="193" spans="1:34" x14ac:dyDescent="0.25">
      <c r="B193" s="3">
        <f t="shared" ref="B193:AF193" si="129">$C40*EXP(-B$168/$A40/EXP(-$C$126))</f>
        <v>4.0938385440077553E-3</v>
      </c>
      <c r="C193" s="3">
        <f t="shared" si="129"/>
        <v>4.0938385440077553E-3</v>
      </c>
      <c r="D193" s="3">
        <f t="shared" si="129"/>
        <v>4.0938385440077553E-3</v>
      </c>
      <c r="E193" s="3">
        <f t="shared" si="129"/>
        <v>4.0938385440077553E-3</v>
      </c>
      <c r="F193" s="3">
        <f t="shared" si="129"/>
        <v>4.0938385440077553E-3</v>
      </c>
      <c r="G193" s="3">
        <f t="shared" si="129"/>
        <v>4.0938385440077553E-3</v>
      </c>
      <c r="H193" s="3">
        <f t="shared" si="129"/>
        <v>4.0938385440077553E-3</v>
      </c>
      <c r="I193" s="3">
        <f t="shared" si="129"/>
        <v>4.0938385440077553E-3</v>
      </c>
      <c r="J193" s="3">
        <f t="shared" si="129"/>
        <v>4.0938385440077553E-3</v>
      </c>
      <c r="K193" s="3">
        <f t="shared" si="129"/>
        <v>4.0938385440077553E-3</v>
      </c>
      <c r="L193" s="3">
        <f t="shared" si="129"/>
        <v>4.0938385440077553E-3</v>
      </c>
      <c r="M193" s="3">
        <f t="shared" si="129"/>
        <v>4.0938385440077553E-3</v>
      </c>
      <c r="N193" s="3">
        <f t="shared" si="129"/>
        <v>4.0938385440077553E-3</v>
      </c>
      <c r="O193" s="3">
        <f t="shared" si="129"/>
        <v>4.0938385440077536E-3</v>
      </c>
      <c r="P193" s="3">
        <f t="shared" si="129"/>
        <v>4.0938385440077423E-3</v>
      </c>
      <c r="Q193" s="3">
        <f t="shared" si="129"/>
        <v>4.093838544007627E-3</v>
      </c>
      <c r="R193" s="3">
        <f t="shared" si="129"/>
        <v>4.0938385440064699E-3</v>
      </c>
      <c r="S193" s="3">
        <f t="shared" si="129"/>
        <v>4.0938385439948993E-3</v>
      </c>
      <c r="T193" s="3">
        <f t="shared" si="129"/>
        <v>4.0938385438791993E-3</v>
      </c>
      <c r="U193" s="3">
        <f t="shared" si="129"/>
        <v>4.0938385427221986E-3</v>
      </c>
      <c r="V193" s="3">
        <f t="shared" si="129"/>
        <v>4.0938385311521924E-3</v>
      </c>
      <c r="W193" s="3">
        <f t="shared" si="129"/>
        <v>4.09383841545213E-3</v>
      </c>
      <c r="X193" s="3">
        <f t="shared" si="129"/>
        <v>4.0938372584516814E-3</v>
      </c>
      <c r="Y193" s="3">
        <f t="shared" si="129"/>
        <v>4.0938256884651839E-3</v>
      </c>
      <c r="Z193" s="3">
        <f t="shared" si="129"/>
        <v>4.093709990398639E-3</v>
      </c>
      <c r="AA193" s="3">
        <f t="shared" si="129"/>
        <v>4.0925531895576297E-3</v>
      </c>
      <c r="AB193" s="3">
        <f t="shared" si="129"/>
        <v>4.0810031448019427E-3</v>
      </c>
      <c r="AC193" s="3">
        <f t="shared" si="129"/>
        <v>3.9672804193592219E-3</v>
      </c>
      <c r="AD193" s="3">
        <f t="shared" si="129"/>
        <v>2.9905604979872493E-3</v>
      </c>
      <c r="AE193" s="3">
        <f t="shared" si="129"/>
        <v>1.7715341514516097E-4</v>
      </c>
      <c r="AF193" s="3">
        <f t="shared" si="129"/>
        <v>9.4258146337488659E-17</v>
      </c>
      <c r="AG193" s="3"/>
      <c r="AH193" s="3"/>
    </row>
    <row r="194" spans="1:34" x14ac:dyDescent="0.25">
      <c r="B194" s="3">
        <f t="shared" ref="B194:AF194" si="130">$C41*EXP(-B$168/$A41/EXP(-$C$126))</f>
        <v>2.6841023020615128E-3</v>
      </c>
      <c r="C194" s="3">
        <f t="shared" si="130"/>
        <v>2.6841023020615128E-3</v>
      </c>
      <c r="D194" s="3">
        <f t="shared" si="130"/>
        <v>2.6841023020615128E-3</v>
      </c>
      <c r="E194" s="3">
        <f t="shared" si="130"/>
        <v>2.6841023020615128E-3</v>
      </c>
      <c r="F194" s="3">
        <f t="shared" si="130"/>
        <v>2.6841023020615128E-3</v>
      </c>
      <c r="G194" s="3">
        <f t="shared" si="130"/>
        <v>2.6841023020615128E-3</v>
      </c>
      <c r="H194" s="3">
        <f t="shared" si="130"/>
        <v>2.6841023020615128E-3</v>
      </c>
      <c r="I194" s="3">
        <f t="shared" si="130"/>
        <v>2.6841023020615128E-3</v>
      </c>
      <c r="J194" s="3">
        <f t="shared" si="130"/>
        <v>2.6841023020615128E-3</v>
      </c>
      <c r="K194" s="3">
        <f t="shared" si="130"/>
        <v>2.6841023020615128E-3</v>
      </c>
      <c r="L194" s="3">
        <f t="shared" si="130"/>
        <v>2.6841023020615128E-3</v>
      </c>
      <c r="M194" s="3">
        <f t="shared" si="130"/>
        <v>2.6841023020615128E-3</v>
      </c>
      <c r="N194" s="3">
        <f t="shared" si="130"/>
        <v>2.6841023020615128E-3</v>
      </c>
      <c r="O194" s="3">
        <f t="shared" si="130"/>
        <v>2.6841023020615128E-3</v>
      </c>
      <c r="P194" s="3">
        <f t="shared" si="130"/>
        <v>2.6841023020615119E-3</v>
      </c>
      <c r="Q194" s="3">
        <f t="shared" si="130"/>
        <v>2.6841023020615046E-3</v>
      </c>
      <c r="R194" s="3">
        <f t="shared" si="130"/>
        <v>2.6841023020614287E-3</v>
      </c>
      <c r="S194" s="3">
        <f t="shared" si="130"/>
        <v>2.6841023020606702E-3</v>
      </c>
      <c r="T194" s="3">
        <f t="shared" si="130"/>
        <v>2.6841023020530842E-3</v>
      </c>
      <c r="U194" s="3">
        <f t="shared" si="130"/>
        <v>2.6841023019772261E-3</v>
      </c>
      <c r="V194" s="3">
        <f t="shared" si="130"/>
        <v>2.6841023012186449E-3</v>
      </c>
      <c r="W194" s="3">
        <f t="shared" si="130"/>
        <v>2.6841022936328353E-3</v>
      </c>
      <c r="X194" s="3">
        <f t="shared" si="130"/>
        <v>2.6841022177747373E-3</v>
      </c>
      <c r="Y194" s="3">
        <f t="shared" si="130"/>
        <v>2.6841014591938764E-3</v>
      </c>
      <c r="Z194" s="3">
        <f t="shared" si="130"/>
        <v>2.6840938733970602E-3</v>
      </c>
      <c r="AA194" s="3">
        <f t="shared" si="130"/>
        <v>2.6840180166080299E-3</v>
      </c>
      <c r="AB194" s="3">
        <f t="shared" si="130"/>
        <v>2.6832595666186126E-3</v>
      </c>
      <c r="AC194" s="3">
        <f t="shared" si="130"/>
        <v>2.6756868444937913E-3</v>
      </c>
      <c r="AD194" s="3">
        <f t="shared" si="130"/>
        <v>2.6011251767884764E-3</v>
      </c>
      <c r="AE194" s="3">
        <f t="shared" si="130"/>
        <v>1.9607442332700343E-3</v>
      </c>
      <c r="AF194" s="3">
        <f t="shared" si="130"/>
        <v>1.1614964398270726E-4</v>
      </c>
      <c r="AG194" s="3"/>
      <c r="AH194" s="3"/>
    </row>
    <row r="195" spans="1:34" x14ac:dyDescent="0.25">
      <c r="B195" s="3">
        <f t="shared" ref="B195:AF195" si="131">$C42*EXP(-B$168/$A42/EXP(-$C$126))</f>
        <v>2.382905414544393E-3</v>
      </c>
      <c r="C195" s="3">
        <f t="shared" si="131"/>
        <v>2.382905414544393E-3</v>
      </c>
      <c r="D195" s="3">
        <f t="shared" si="131"/>
        <v>2.382905414544393E-3</v>
      </c>
      <c r="E195" s="3">
        <f t="shared" si="131"/>
        <v>2.382905414544393E-3</v>
      </c>
      <c r="F195" s="3">
        <f t="shared" si="131"/>
        <v>2.382905414544393E-3</v>
      </c>
      <c r="G195" s="3">
        <f t="shared" si="131"/>
        <v>2.382905414544393E-3</v>
      </c>
      <c r="H195" s="3">
        <f t="shared" si="131"/>
        <v>2.382905414544393E-3</v>
      </c>
      <c r="I195" s="3">
        <f t="shared" si="131"/>
        <v>2.382905414544393E-3</v>
      </c>
      <c r="J195" s="3">
        <f t="shared" si="131"/>
        <v>2.382905414544393E-3</v>
      </c>
      <c r="K195" s="3">
        <f t="shared" si="131"/>
        <v>2.382905414544393E-3</v>
      </c>
      <c r="L195" s="3">
        <f t="shared" si="131"/>
        <v>2.382905414544393E-3</v>
      </c>
      <c r="M195" s="3">
        <f t="shared" si="131"/>
        <v>2.382905414544393E-3</v>
      </c>
      <c r="N195" s="3">
        <f t="shared" si="131"/>
        <v>2.382905414544393E-3</v>
      </c>
      <c r="O195" s="3">
        <f t="shared" si="131"/>
        <v>2.382905414544393E-3</v>
      </c>
      <c r="P195" s="3">
        <f t="shared" si="131"/>
        <v>2.382905414544393E-3</v>
      </c>
      <c r="Q195" s="3">
        <f t="shared" si="131"/>
        <v>2.3829054145443921E-3</v>
      </c>
      <c r="R195" s="3">
        <f t="shared" si="131"/>
        <v>2.3829054145443856E-3</v>
      </c>
      <c r="S195" s="3">
        <f t="shared" si="131"/>
        <v>2.382905414544318E-3</v>
      </c>
      <c r="T195" s="3">
        <f t="shared" si="131"/>
        <v>2.3829054145436449E-3</v>
      </c>
      <c r="U195" s="3">
        <f t="shared" si="131"/>
        <v>2.3829054145369098E-3</v>
      </c>
      <c r="V195" s="3">
        <f t="shared" si="131"/>
        <v>2.3829054144695644E-3</v>
      </c>
      <c r="W195" s="3">
        <f t="shared" si="131"/>
        <v>2.3829054137961079E-3</v>
      </c>
      <c r="X195" s="3">
        <f t="shared" si="131"/>
        <v>2.3829054070615406E-3</v>
      </c>
      <c r="Y195" s="3">
        <f t="shared" si="131"/>
        <v>2.382905339715869E-3</v>
      </c>
      <c r="Z195" s="3">
        <f t="shared" si="131"/>
        <v>2.3829046662592578E-3</v>
      </c>
      <c r="AA195" s="3">
        <f t="shared" si="131"/>
        <v>2.3828979317036137E-3</v>
      </c>
      <c r="AB195" s="3">
        <f t="shared" si="131"/>
        <v>2.3828305871939908E-3</v>
      </c>
      <c r="AC195" s="3">
        <f t="shared" si="131"/>
        <v>2.3821572467683833E-3</v>
      </c>
      <c r="AD195" s="3">
        <f t="shared" si="131"/>
        <v>2.3754342986377487E-3</v>
      </c>
      <c r="AE195" s="3">
        <f t="shared" si="131"/>
        <v>2.3092395781325005E-3</v>
      </c>
      <c r="AF195" s="3">
        <f t="shared" si="131"/>
        <v>1.7407190651441804E-3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2.0583899392901187E-3</v>
      </c>
      <c r="C197" s="3">
        <f t="shared" si="133"/>
        <v>2.0583899392901187E-3</v>
      </c>
      <c r="D197" s="3">
        <f t="shared" si="133"/>
        <v>2.0583899392901187E-3</v>
      </c>
      <c r="E197" s="3">
        <f t="shared" si="133"/>
        <v>2.0583899392901187E-3</v>
      </c>
      <c r="F197" s="3">
        <f t="shared" si="133"/>
        <v>2.0583899392901187E-3</v>
      </c>
      <c r="G197" s="3">
        <f t="shared" si="133"/>
        <v>2.0583899392901187E-3</v>
      </c>
      <c r="H197" s="3">
        <f t="shared" si="133"/>
        <v>2.0583899392901187E-3</v>
      </c>
      <c r="I197" s="3">
        <f t="shared" si="133"/>
        <v>2.0583899392901187E-3</v>
      </c>
      <c r="J197" s="3">
        <f t="shared" si="133"/>
        <v>2.0583899392901187E-3</v>
      </c>
      <c r="K197" s="3">
        <f t="shared" si="133"/>
        <v>2.0583899392901187E-3</v>
      </c>
      <c r="L197" s="3">
        <f t="shared" si="133"/>
        <v>2.0583899392901187E-3</v>
      </c>
      <c r="M197" s="3">
        <f t="shared" si="133"/>
        <v>2.0583899392901187E-3</v>
      </c>
      <c r="N197" s="3">
        <f t="shared" si="133"/>
        <v>2.0583899392901187E-3</v>
      </c>
      <c r="O197" s="3">
        <f t="shared" si="133"/>
        <v>2.0583899392901187E-3</v>
      </c>
      <c r="P197" s="3">
        <f t="shared" si="133"/>
        <v>2.0583899392901187E-3</v>
      </c>
      <c r="Q197" s="3">
        <f t="shared" si="133"/>
        <v>2.0583899392901187E-3</v>
      </c>
      <c r="R197" s="3">
        <f t="shared" si="133"/>
        <v>2.0583899392901187E-3</v>
      </c>
      <c r="S197" s="3">
        <f t="shared" si="133"/>
        <v>2.0583899392901178E-3</v>
      </c>
      <c r="T197" s="3">
        <f t="shared" si="133"/>
        <v>2.0583899392901121E-3</v>
      </c>
      <c r="U197" s="3">
        <f t="shared" si="133"/>
        <v>2.058389939290054E-3</v>
      </c>
      <c r="V197" s="3">
        <f t="shared" si="133"/>
        <v>2.0583899392894725E-3</v>
      </c>
      <c r="W197" s="3">
        <f t="shared" si="133"/>
        <v>2.0583899392836546E-3</v>
      </c>
      <c r="X197" s="3">
        <f t="shared" si="133"/>
        <v>2.0583899392254807E-3</v>
      </c>
      <c r="Y197" s="3">
        <f t="shared" si="133"/>
        <v>2.0583899386437386E-3</v>
      </c>
      <c r="Z197" s="3">
        <f t="shared" si="133"/>
        <v>2.0583899328263169E-3</v>
      </c>
      <c r="AA197" s="3">
        <f t="shared" si="133"/>
        <v>2.0583898746521015E-3</v>
      </c>
      <c r="AB197" s="3">
        <f t="shared" si="133"/>
        <v>2.0583892929100377E-3</v>
      </c>
      <c r="AC197" s="3">
        <f t="shared" si="133"/>
        <v>2.0583834754984453E-3</v>
      </c>
      <c r="AD197" s="3">
        <f t="shared" si="133"/>
        <v>2.058325302286773E-3</v>
      </c>
      <c r="AE197" s="3">
        <f t="shared" si="133"/>
        <v>2.05774366058613E-3</v>
      </c>
      <c r="AF197" s="3">
        <f t="shared" si="133"/>
        <v>2.0519362757398822E-3</v>
      </c>
      <c r="AG197" s="3"/>
      <c r="AH197" s="3"/>
    </row>
    <row r="198" spans="1:34" x14ac:dyDescent="0.25">
      <c r="B198" s="3">
        <f t="shared" ref="B198:AF198" si="134">$C45*EXP(-B$168/$A45/EXP(-$C$126))</f>
        <v>1.1459023430358541E-3</v>
      </c>
      <c r="C198" s="3">
        <f t="shared" si="134"/>
        <v>1.1459023430358541E-3</v>
      </c>
      <c r="D198" s="3">
        <f t="shared" si="134"/>
        <v>1.1459023430358541E-3</v>
      </c>
      <c r="E198" s="3">
        <f t="shared" si="134"/>
        <v>1.1459023430358541E-3</v>
      </c>
      <c r="F198" s="3">
        <f t="shared" si="134"/>
        <v>1.1459023430358541E-3</v>
      </c>
      <c r="G198" s="3">
        <f t="shared" si="134"/>
        <v>1.1459023430358541E-3</v>
      </c>
      <c r="H198" s="3">
        <f t="shared" si="134"/>
        <v>1.1459023430358541E-3</v>
      </c>
      <c r="I198" s="3">
        <f t="shared" si="134"/>
        <v>1.1459023430358541E-3</v>
      </c>
      <c r="J198" s="3">
        <f t="shared" si="134"/>
        <v>1.1459023430358541E-3</v>
      </c>
      <c r="K198" s="3">
        <f t="shared" si="134"/>
        <v>1.1459023430358541E-3</v>
      </c>
      <c r="L198" s="3">
        <f t="shared" si="134"/>
        <v>1.1459023430358541E-3</v>
      </c>
      <c r="M198" s="3">
        <f t="shared" si="134"/>
        <v>1.1459023430358541E-3</v>
      </c>
      <c r="N198" s="3">
        <f t="shared" si="134"/>
        <v>1.1459023430358541E-3</v>
      </c>
      <c r="O198" s="3">
        <f t="shared" si="134"/>
        <v>1.1459023430358541E-3</v>
      </c>
      <c r="P198" s="3">
        <f t="shared" si="134"/>
        <v>1.1459023430358541E-3</v>
      </c>
      <c r="Q198" s="3">
        <f t="shared" si="134"/>
        <v>1.1459023430358541E-3</v>
      </c>
      <c r="R198" s="3">
        <f t="shared" si="134"/>
        <v>1.1459023430358541E-3</v>
      </c>
      <c r="S198" s="3">
        <f t="shared" si="134"/>
        <v>1.1459023430358541E-3</v>
      </c>
      <c r="T198" s="3">
        <f t="shared" si="134"/>
        <v>1.1459023430358537E-3</v>
      </c>
      <c r="U198" s="3">
        <f t="shared" si="134"/>
        <v>1.1459023430358507E-3</v>
      </c>
      <c r="V198" s="3">
        <f t="shared" si="134"/>
        <v>1.1459023430358181E-3</v>
      </c>
      <c r="W198" s="3">
        <f t="shared" si="134"/>
        <v>1.1459023430354944E-3</v>
      </c>
      <c r="X198" s="3">
        <f t="shared" si="134"/>
        <v>1.1459023430322557E-3</v>
      </c>
      <c r="Y198" s="3">
        <f t="shared" si="134"/>
        <v>1.1459023429998703E-3</v>
      </c>
      <c r="Z198" s="3">
        <f t="shared" si="134"/>
        <v>1.1459023426760152E-3</v>
      </c>
      <c r="AA198" s="3">
        <f t="shared" si="134"/>
        <v>1.1459023394374663E-3</v>
      </c>
      <c r="AB198" s="3">
        <f t="shared" si="134"/>
        <v>1.1459023070519746E-3</v>
      </c>
      <c r="AC198" s="3">
        <f t="shared" si="134"/>
        <v>1.1459019831971107E-3</v>
      </c>
      <c r="AD198" s="3">
        <f t="shared" si="134"/>
        <v>1.1458987446535058E-3</v>
      </c>
      <c r="AE198" s="3">
        <f t="shared" si="134"/>
        <v>1.1458663597208531E-3</v>
      </c>
      <c r="AF198" s="3">
        <f t="shared" si="134"/>
        <v>1.1455425607288098E-3</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1.4642888439612509E-3</v>
      </c>
      <c r="C201" s="3">
        <f t="shared" si="137"/>
        <v>1.4642888439612509E-3</v>
      </c>
      <c r="D201" s="3">
        <f t="shared" si="137"/>
        <v>1.4642888439612509E-3</v>
      </c>
      <c r="E201" s="3">
        <f t="shared" si="137"/>
        <v>1.4642888439612509E-3</v>
      </c>
      <c r="F201" s="3">
        <f t="shared" si="137"/>
        <v>1.4642888439612509E-3</v>
      </c>
      <c r="G201" s="3">
        <f t="shared" si="137"/>
        <v>1.4642888439612509E-3</v>
      </c>
      <c r="H201" s="3">
        <f t="shared" si="137"/>
        <v>1.4642888439612509E-3</v>
      </c>
      <c r="I201" s="3">
        <f t="shared" si="137"/>
        <v>1.4642888439612509E-3</v>
      </c>
      <c r="J201" s="3">
        <f t="shared" si="137"/>
        <v>1.4642888439612509E-3</v>
      </c>
      <c r="K201" s="3">
        <f t="shared" si="137"/>
        <v>1.4642888439612509E-3</v>
      </c>
      <c r="L201" s="3">
        <f t="shared" si="137"/>
        <v>1.4642888439612509E-3</v>
      </c>
      <c r="M201" s="3">
        <f t="shared" si="137"/>
        <v>1.4642888439612509E-3</v>
      </c>
      <c r="N201" s="3">
        <f t="shared" si="137"/>
        <v>1.4642888439612509E-3</v>
      </c>
      <c r="O201" s="3">
        <f t="shared" si="137"/>
        <v>1.4642888439612509E-3</v>
      </c>
      <c r="P201" s="3">
        <f t="shared" si="137"/>
        <v>1.4642888439612509E-3</v>
      </c>
      <c r="Q201" s="3">
        <f t="shared" si="137"/>
        <v>1.4642888439612509E-3</v>
      </c>
      <c r="R201" s="3">
        <f t="shared" si="137"/>
        <v>1.4642888439612509E-3</v>
      </c>
      <c r="S201" s="3">
        <f t="shared" si="137"/>
        <v>1.4642888439612509E-3</v>
      </c>
      <c r="T201" s="3">
        <f t="shared" si="137"/>
        <v>1.4642888439612509E-3</v>
      </c>
      <c r="U201" s="3">
        <f t="shared" si="137"/>
        <v>1.4642888439612509E-3</v>
      </c>
      <c r="V201" s="3">
        <f t="shared" si="137"/>
        <v>1.4642888439612509E-3</v>
      </c>
      <c r="W201" s="3">
        <f t="shared" si="137"/>
        <v>1.4642888439612505E-3</v>
      </c>
      <c r="X201" s="3">
        <f t="shared" si="137"/>
        <v>1.4642888439612464E-3</v>
      </c>
      <c r="Y201" s="3">
        <f t="shared" si="137"/>
        <v>1.464288843961205E-3</v>
      </c>
      <c r="Z201" s="3">
        <f t="shared" si="137"/>
        <v>1.4642888439607912E-3</v>
      </c>
      <c r="AA201" s="3">
        <f t="shared" si="137"/>
        <v>1.4642888439566526E-3</v>
      </c>
      <c r="AB201" s="3">
        <f t="shared" si="137"/>
        <v>1.4642888439152691E-3</v>
      </c>
      <c r="AC201" s="3">
        <f t="shared" si="137"/>
        <v>1.4642888435014317E-3</v>
      </c>
      <c r="AD201" s="3">
        <f t="shared" si="137"/>
        <v>1.4642888393630587E-3</v>
      </c>
      <c r="AE201" s="3">
        <f t="shared" si="137"/>
        <v>1.464288797979328E-3</v>
      </c>
      <c r="AF201" s="3">
        <f t="shared" si="137"/>
        <v>1.4642883841420869E-3</v>
      </c>
      <c r="AG201" s="3"/>
      <c r="AH201" s="3"/>
    </row>
    <row r="202" spans="1:34" x14ac:dyDescent="0.25">
      <c r="A202" s="79">
        <f>AVERAGE(B202:AF202)</f>
        <v>6.6206065265699457E-2</v>
      </c>
      <c r="B202" s="80">
        <f>IF($A$64&lt;=B168,IF($B$64&gt;=B168,ABS((B170-B169)/B169),0),0)</f>
        <v>3.7316943997400598E-2</v>
      </c>
      <c r="C202" s="80">
        <f t="shared" ref="C202:AF202" si="138">IF($A$64&lt;=C168,IF($B$64&gt;=C168,ABS((C170-C169)/C169),0),0)</f>
        <v>0.11799515294039607</v>
      </c>
      <c r="D202" s="80">
        <f t="shared" si="138"/>
        <v>0.10997724157458469</v>
      </c>
      <c r="E202" s="80">
        <f t="shared" si="138"/>
        <v>9.4667565925651051E-2</v>
      </c>
      <c r="F202" s="80">
        <f t="shared" si="138"/>
        <v>7.7745784955082733E-2</v>
      </c>
      <c r="G202" s="80">
        <f t="shared" si="138"/>
        <v>5.8604891316004458E-2</v>
      </c>
      <c r="H202" s="80">
        <f t="shared" si="138"/>
        <v>3.9971970442571891E-2</v>
      </c>
      <c r="I202" s="80">
        <f t="shared" si="138"/>
        <v>3.8938626524542545E-2</v>
      </c>
      <c r="J202" s="80">
        <f t="shared" si="138"/>
        <v>4.7463390082793412E-2</v>
      </c>
      <c r="K202" s="80">
        <f t="shared" si="138"/>
        <v>4.5258369835035964E-2</v>
      </c>
      <c r="L202" s="80">
        <f t="shared" si="138"/>
        <v>4.8608343572831281E-2</v>
      </c>
      <c r="M202" s="80">
        <f t="shared" si="138"/>
        <v>5.0349545302213951E-2</v>
      </c>
      <c r="N202" s="80">
        <f t="shared" si="138"/>
        <v>4.9947547524248938E-2</v>
      </c>
      <c r="O202" s="80">
        <f t="shared" si="138"/>
        <v>4.8640053606572073E-2</v>
      </c>
      <c r="P202" s="80">
        <f t="shared" si="138"/>
        <v>4.8391437325760671E-2</v>
      </c>
      <c r="Q202" s="80">
        <f t="shared" si="138"/>
        <v>4.9938980153015164E-2</v>
      </c>
      <c r="R202" s="80">
        <f t="shared" si="138"/>
        <v>4.9888136328047089E-2</v>
      </c>
      <c r="S202" s="80">
        <f t="shared" si="138"/>
        <v>5.0161446282857153E-2</v>
      </c>
      <c r="T202" s="80">
        <f t="shared" si="138"/>
        <v>3.6773749891722884E-2</v>
      </c>
      <c r="U202" s="80">
        <f t="shared" si="138"/>
        <v>3.5501033785610314E-2</v>
      </c>
      <c r="V202" s="80">
        <f t="shared" si="138"/>
        <v>0.18529753679287908</v>
      </c>
      <c r="W202" s="80">
        <f t="shared" si="138"/>
        <v>0.2666720572671728</v>
      </c>
      <c r="X202" s="80">
        <f t="shared" si="138"/>
        <v>0.21697959957830448</v>
      </c>
      <c r="Y202" s="80">
        <f t="shared" si="138"/>
        <v>0.12345727216916333</v>
      </c>
      <c r="Z202" s="80">
        <f t="shared" si="138"/>
        <v>3.0640554911385214E-2</v>
      </c>
      <c r="AA202" s="80">
        <f t="shared" si="138"/>
        <v>1.385250522043781E-2</v>
      </c>
      <c r="AB202" s="80">
        <f t="shared" si="138"/>
        <v>4.2474870955426798E-2</v>
      </c>
      <c r="AC202" s="80">
        <f t="shared" si="138"/>
        <v>5.7871229695752499E-5</v>
      </c>
      <c r="AD202" s="80">
        <f t="shared" si="138"/>
        <v>3.2308803514089379E-2</v>
      </c>
      <c r="AE202" s="80">
        <f t="shared" si="138"/>
        <v>2.0583854402289772E-3</v>
      </c>
      <c r="AF202" s="80">
        <f t="shared" si="138"/>
        <v>2.4483547909564425E-3</v>
      </c>
    </row>
    <row r="203" spans="1:34" x14ac:dyDescent="0.25">
      <c r="B203" s="21">
        <f>(B170-B169)^2</f>
        <v>179937.5534569796</v>
      </c>
      <c r="C203" s="21">
        <f t="shared" ref="C203:AF203" si="139">(C170-C169)^2</f>
        <v>1705817.3982048994</v>
      </c>
      <c r="D203" s="21">
        <f t="shared" si="139"/>
        <v>1433216.5280465141</v>
      </c>
      <c r="E203" s="21">
        <f t="shared" si="139"/>
        <v>1026339.9159837202</v>
      </c>
      <c r="F203" s="21">
        <f t="shared" si="139"/>
        <v>666995.77483301493</v>
      </c>
      <c r="G203" s="21">
        <f t="shared" si="139"/>
        <v>363456.92739532335</v>
      </c>
      <c r="H203" s="21">
        <f t="shared" si="139"/>
        <v>161353.34455919208</v>
      </c>
      <c r="I203" s="21">
        <f t="shared" si="139"/>
        <v>144807.02810315744</v>
      </c>
      <c r="J203" s="21">
        <f t="shared" si="139"/>
        <v>204061.78841290457</v>
      </c>
      <c r="K203" s="21">
        <f t="shared" si="139"/>
        <v>175445.76438126792</v>
      </c>
      <c r="L203" s="21">
        <f t="shared" si="139"/>
        <v>189839.31204063757</v>
      </c>
      <c r="M203" s="21">
        <f t="shared" si="139"/>
        <v>188131.70135493696</v>
      </c>
      <c r="N203" s="21">
        <f t="shared" si="139"/>
        <v>169733.84100600332</v>
      </c>
      <c r="O203" s="21">
        <f t="shared" si="139"/>
        <v>148864.40297872835</v>
      </c>
      <c r="P203" s="21">
        <f t="shared" si="139"/>
        <v>137091.22234967633</v>
      </c>
      <c r="Q203" s="21">
        <f t="shared" si="139"/>
        <v>135388.05539831967</v>
      </c>
      <c r="R203" s="21">
        <f t="shared" si="139"/>
        <v>124694.87492058896</v>
      </c>
      <c r="S203" s="21">
        <f t="shared" si="139"/>
        <v>115689.95268058148</v>
      </c>
      <c r="T203" s="21">
        <f t="shared" si="139"/>
        <v>54697.733412164649</v>
      </c>
      <c r="U203" s="21">
        <f t="shared" si="139"/>
        <v>38590.75831709036</v>
      </c>
      <c r="V203" s="21">
        <f t="shared" si="139"/>
        <v>686740.38287186844</v>
      </c>
      <c r="W203" s="21">
        <f t="shared" si="139"/>
        <v>901228.78650194919</v>
      </c>
      <c r="X203" s="21">
        <f t="shared" si="139"/>
        <v>380870.90420878213</v>
      </c>
      <c r="Y203" s="21">
        <f t="shared" si="139"/>
        <v>76291.91459397912</v>
      </c>
      <c r="Z203" s="21">
        <f t="shared" si="139"/>
        <v>2664.4316364479973</v>
      </c>
      <c r="AA203" s="21">
        <f t="shared" si="139"/>
        <v>274.99057780318776</v>
      </c>
      <c r="AB203" s="21">
        <f t="shared" si="139"/>
        <v>1273.3571117491101</v>
      </c>
      <c r="AC203" s="21">
        <f t="shared" si="139"/>
        <v>1.2445000648622076E-3</v>
      </c>
      <c r="AD203" s="21">
        <f t="shared" si="139"/>
        <v>255.26005965626914</v>
      </c>
      <c r="AE203" s="21">
        <f t="shared" si="139"/>
        <v>0.79693542883485491</v>
      </c>
      <c r="AF203" s="21">
        <f t="shared" si="139"/>
        <v>0.97925132462782238</v>
      </c>
      <c r="AG203" s="3"/>
      <c r="AH203" s="3"/>
    </row>
    <row r="204" spans="1:34" x14ac:dyDescent="0.25">
      <c r="A204" s="71">
        <f>SUM(B204:AF204)</f>
        <v>9413755.6828291882</v>
      </c>
      <c r="B204" s="60">
        <f>IF($A$64&lt;=B168,IF($B$64&gt;=B168,ABS(B203),0),0)</f>
        <v>179937.5534569796</v>
      </c>
      <c r="C204" s="60">
        <f t="shared" ref="C204" si="140">IF($A$64&lt;=C168,IF($B$64&gt;=C168,ABS(C203),0),0)</f>
        <v>1705817.3982048994</v>
      </c>
      <c r="D204" s="60">
        <f t="shared" ref="D204" si="141">IF($A$64&lt;=D168,IF($B$64&gt;=D168,ABS(D203),0),0)</f>
        <v>1433216.5280465141</v>
      </c>
      <c r="E204" s="60">
        <f t="shared" ref="E204" si="142">IF($A$64&lt;=E168,IF($B$64&gt;=E168,ABS(E203),0),0)</f>
        <v>1026339.9159837202</v>
      </c>
      <c r="F204" s="60">
        <f t="shared" ref="F204" si="143">IF($A$64&lt;=F168,IF($B$64&gt;=F168,ABS(F203),0),0)</f>
        <v>666995.77483301493</v>
      </c>
      <c r="G204" s="60">
        <f t="shared" ref="G204" si="144">IF($A$64&lt;=G168,IF($B$64&gt;=G168,ABS(G203),0),0)</f>
        <v>363456.92739532335</v>
      </c>
      <c r="H204" s="60">
        <f t="shared" ref="H204" si="145">IF($A$64&lt;=H168,IF($B$64&gt;=H168,ABS(H203),0),0)</f>
        <v>161353.34455919208</v>
      </c>
      <c r="I204" s="60">
        <f t="shared" ref="I204" si="146">IF($A$64&lt;=I168,IF($B$64&gt;=I168,ABS(I203),0),0)</f>
        <v>144807.02810315744</v>
      </c>
      <c r="J204" s="60">
        <f t="shared" ref="J204" si="147">IF($A$64&lt;=J168,IF($B$64&gt;=J168,ABS(J203),0),0)</f>
        <v>204061.78841290457</v>
      </c>
      <c r="K204" s="60">
        <f t="shared" ref="K204" si="148">IF($A$64&lt;=K168,IF($B$64&gt;=K168,ABS(K203),0),0)</f>
        <v>175445.76438126792</v>
      </c>
      <c r="L204" s="60">
        <f t="shared" ref="L204" si="149">IF($A$64&lt;=L168,IF($B$64&gt;=L168,ABS(L203),0),0)</f>
        <v>189839.31204063757</v>
      </c>
      <c r="M204" s="60">
        <f t="shared" ref="M204" si="150">IF($A$64&lt;=M168,IF($B$64&gt;=M168,ABS(M203),0),0)</f>
        <v>188131.70135493696</v>
      </c>
      <c r="N204" s="60">
        <f t="shared" ref="N204" si="151">IF($A$64&lt;=N168,IF($B$64&gt;=N168,ABS(N203),0),0)</f>
        <v>169733.84100600332</v>
      </c>
      <c r="O204" s="60">
        <f t="shared" ref="O204" si="152">IF($A$64&lt;=O168,IF($B$64&gt;=O168,ABS(O203),0),0)</f>
        <v>148864.40297872835</v>
      </c>
      <c r="P204" s="60">
        <f t="shared" ref="P204" si="153">IF($A$64&lt;=P168,IF($B$64&gt;=P168,ABS(P203),0),0)</f>
        <v>137091.22234967633</v>
      </c>
      <c r="Q204" s="60">
        <f t="shared" ref="Q204" si="154">IF($A$64&lt;=Q168,IF($B$64&gt;=Q168,ABS(Q203),0),0)</f>
        <v>135388.05539831967</v>
      </c>
      <c r="R204" s="60">
        <f t="shared" ref="R204" si="155">IF($A$64&lt;=R168,IF($B$64&gt;=R168,ABS(R203),0),0)</f>
        <v>124694.87492058896</v>
      </c>
      <c r="S204" s="60">
        <f t="shared" ref="S204" si="156">IF($A$64&lt;=S168,IF($B$64&gt;=S168,ABS(S203),0),0)</f>
        <v>115689.95268058148</v>
      </c>
      <c r="T204" s="60">
        <f t="shared" ref="T204" si="157">IF($A$64&lt;=T168,IF($B$64&gt;=T168,ABS(T203),0),0)</f>
        <v>54697.733412164649</v>
      </c>
      <c r="U204" s="60">
        <f t="shared" ref="U204" si="158">IF($A$64&lt;=U168,IF($B$64&gt;=U168,ABS(U203),0),0)</f>
        <v>38590.75831709036</v>
      </c>
      <c r="V204" s="60">
        <f t="shared" ref="V204" si="159">IF($A$64&lt;=V168,IF($B$64&gt;=V168,ABS(V203),0),0)</f>
        <v>686740.38287186844</v>
      </c>
      <c r="W204" s="60">
        <f t="shared" ref="W204" si="160">IF($A$64&lt;=W168,IF($B$64&gt;=W168,ABS(W203),0),0)</f>
        <v>901228.78650194919</v>
      </c>
      <c r="X204" s="60">
        <f t="shared" ref="X204" si="161">IF($A$64&lt;=X168,IF($B$64&gt;=X168,ABS(X203),0),0)</f>
        <v>380870.90420878213</v>
      </c>
      <c r="Y204" s="60">
        <f t="shared" ref="Y204" si="162">IF($A$64&lt;=Y168,IF($B$64&gt;=Y168,ABS(Y203),0),0)</f>
        <v>76291.91459397912</v>
      </c>
      <c r="Z204" s="60">
        <f t="shared" ref="Z204" si="163">IF($A$64&lt;=Z168,IF($B$64&gt;=Z168,ABS(Z203),0),0)</f>
        <v>2664.4316364479973</v>
      </c>
      <c r="AA204" s="60">
        <f t="shared" ref="AA204" si="164">IF($A$64&lt;=AA168,IF($B$64&gt;=AA168,ABS(AA203),0),0)</f>
        <v>274.99057780318776</v>
      </c>
      <c r="AB204" s="60">
        <f t="shared" ref="AB204" si="165">IF($A$64&lt;=AB168,IF($B$64&gt;=AB168,ABS(AB203),0),0)</f>
        <v>1273.3571117491101</v>
      </c>
      <c r="AC204" s="60">
        <f t="shared" ref="AC204" si="166">IF($A$64&lt;=AC168,IF($B$64&gt;=AC168,ABS(AC203),0),0)</f>
        <v>1.2445000648622076E-3</v>
      </c>
      <c r="AD204" s="60">
        <f t="shared" ref="AD204" si="167">IF($A$64&lt;=AD168,IF($B$64&gt;=AD168,ABS(AD203),0),0)</f>
        <v>255.26005965626914</v>
      </c>
      <c r="AE204" s="60">
        <f t="shared" ref="AE204" si="168">IF($A$64&lt;=AE168,IF($B$64&gt;=AE168,ABS(AE203),0),0)</f>
        <v>0.79693542883485491</v>
      </c>
      <c r="AF204" s="60">
        <f t="shared" ref="AF204" si="169">IF($A$64&lt;=AF168,IF($B$64&gt;=AF168,ABS(AF203),0),0)</f>
        <v>0.97925132462782238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9704.0721898464872</v>
      </c>
      <c r="C209" s="27">
        <f t="shared" ref="C209:AF209" si="170">($C$17+SUM(C210:C240))*$B$51</f>
        <v>9688.4454569008212</v>
      </c>
      <c r="D209" s="27">
        <f t="shared" si="170"/>
        <v>9688.3882048511368</v>
      </c>
      <c r="E209" s="27">
        <f t="shared" si="170"/>
        <v>9687.8160142175984</v>
      </c>
      <c r="F209" s="27">
        <f t="shared" si="170"/>
        <v>9682.1269626990761</v>
      </c>
      <c r="G209" s="27">
        <f t="shared" si="170"/>
        <v>9628.3942806356354</v>
      </c>
      <c r="H209" s="27">
        <f t="shared" si="170"/>
        <v>9310.1143449103456</v>
      </c>
      <c r="I209" s="27">
        <f t="shared" si="170"/>
        <v>9029.4198814810152</v>
      </c>
      <c r="J209" s="27">
        <f t="shared" si="170"/>
        <v>8782.730141236274</v>
      </c>
      <c r="K209" s="27">
        <f t="shared" si="170"/>
        <v>8467.985880553686</v>
      </c>
      <c r="L209" s="27">
        <f t="shared" si="170"/>
        <v>8119.3065670055166</v>
      </c>
      <c r="M209" s="27">
        <f t="shared" si="170"/>
        <v>7786.7329225324665</v>
      </c>
      <c r="N209" s="27">
        <f t="shared" si="170"/>
        <v>7504.7749433789495</v>
      </c>
      <c r="O209" s="27">
        <f t="shared" si="170"/>
        <v>7237.3974243799512</v>
      </c>
      <c r="P209" s="27">
        <f t="shared" si="170"/>
        <v>6958.1871206699643</v>
      </c>
      <c r="Q209" s="27">
        <f t="shared" si="170"/>
        <v>6682.6561348052137</v>
      </c>
      <c r="R209" s="27">
        <f t="shared" si="170"/>
        <v>6395.457861374096</v>
      </c>
      <c r="S209" s="27">
        <f t="shared" si="170"/>
        <v>6068.4188323135413</v>
      </c>
      <c r="T209" s="27">
        <f t="shared" si="170"/>
        <v>5667.5502883885338</v>
      </c>
      <c r="U209" s="27">
        <f t="shared" si="170"/>
        <v>5200.9348612449185</v>
      </c>
      <c r="V209" s="27">
        <f t="shared" si="170"/>
        <v>4348.3939153525571</v>
      </c>
      <c r="W209" s="27">
        <f t="shared" si="170"/>
        <v>3278.9315982779121</v>
      </c>
      <c r="X209" s="27">
        <f t="shared" si="170"/>
        <v>2354.6074884734935</v>
      </c>
      <c r="Y209" s="27">
        <f t="shared" si="170"/>
        <v>1608.0844626528321</v>
      </c>
      <c r="Z209" s="27">
        <f t="shared" si="170"/>
        <v>1091.9353613593375</v>
      </c>
      <c r="AA209" s="27">
        <f t="shared" si="170"/>
        <v>747.33624520268961</v>
      </c>
      <c r="AB209" s="27">
        <f t="shared" si="170"/>
        <v>582.06626332995927</v>
      </c>
      <c r="AC209" s="27">
        <f t="shared" si="170"/>
        <v>468.70081854769398</v>
      </c>
      <c r="AD209" s="27">
        <f t="shared" si="170"/>
        <v>427.56555278135386</v>
      </c>
      <c r="AE209" s="27">
        <f t="shared" si="170"/>
        <v>399.23626823204512</v>
      </c>
      <c r="AF209" s="27">
        <f t="shared" si="170"/>
        <v>381.19489306512168</v>
      </c>
      <c r="AG209" s="27"/>
      <c r="AH209" s="27"/>
    </row>
    <row r="210" spans="1:34" x14ac:dyDescent="0.25">
      <c r="B210" s="3">
        <f t="shared" ref="B210:AF210" si="171">$C18*EXP(-B$207/$A18/EXP(-$D$126))</f>
        <v>1.3695563239921238E-3</v>
      </c>
      <c r="C210" s="3">
        <f t="shared" si="171"/>
        <v>5.8349010530905609E-22</v>
      </c>
      <c r="D210" s="3">
        <f t="shared" si="171"/>
        <v>1.1496601481998487E-205</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4.4678647028075613E-2</v>
      </c>
      <c r="C211" s="3">
        <f t="shared" si="172"/>
        <v>4.4678162925566575E-2</v>
      </c>
      <c r="D211" s="3">
        <f t="shared" si="172"/>
        <v>4.4673322188961244E-2</v>
      </c>
      <c r="E211" s="3">
        <f t="shared" si="172"/>
        <v>4.4624943659845082E-2</v>
      </c>
      <c r="F211" s="3">
        <f t="shared" si="172"/>
        <v>4.4144030534961035E-2</v>
      </c>
      <c r="G211" s="3">
        <f t="shared" si="172"/>
        <v>3.9610927426766362E-2</v>
      </c>
      <c r="H211" s="3">
        <f t="shared" si="172"/>
        <v>1.3404335328261269E-2</v>
      </c>
      <c r="I211" s="3">
        <f t="shared" si="172"/>
        <v>2.6396601329002291E-7</v>
      </c>
      <c r="J211" s="3">
        <f t="shared" si="172"/>
        <v>2.3151296023484075E-54</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1.5679177625846447E-2</v>
      </c>
      <c r="C212" s="3">
        <f t="shared" si="173"/>
        <v>1.5679162300534195E-2</v>
      </c>
      <c r="D212" s="3">
        <f t="shared" si="173"/>
        <v>1.5679009048235534E-2</v>
      </c>
      <c r="E212" s="3">
        <f t="shared" si="173"/>
        <v>1.5677476607632593E-2</v>
      </c>
      <c r="F212" s="3">
        <f t="shared" si="173"/>
        <v>1.5662160436990771E-2</v>
      </c>
      <c r="G212" s="3">
        <f t="shared" si="173"/>
        <v>1.5509819298778675E-2</v>
      </c>
      <c r="H212" s="3">
        <f t="shared" si="173"/>
        <v>1.4065573155141613E-2</v>
      </c>
      <c r="I212" s="3">
        <f t="shared" si="173"/>
        <v>5.2925429660699947E-3</v>
      </c>
      <c r="J212" s="3">
        <f t="shared" si="173"/>
        <v>3.0111610084423941E-7</v>
      </c>
      <c r="K212" s="3">
        <f t="shared" si="173"/>
        <v>1.0701134805167407E-49</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2.5896955202030683E-2</v>
      </c>
      <c r="C213" s="3">
        <f t="shared" si="174"/>
        <v>2.5896952918633077E-2</v>
      </c>
      <c r="D213" s="3">
        <f t="shared" si="174"/>
        <v>2.5896930084668091E-2</v>
      </c>
      <c r="E213" s="3">
        <f t="shared" si="174"/>
        <v>2.5896701746125544E-2</v>
      </c>
      <c r="F213" s="3">
        <f t="shared" si="174"/>
        <v>2.5894418471429065E-2</v>
      </c>
      <c r="G213" s="3">
        <f t="shared" si="174"/>
        <v>2.5871596793752456E-2</v>
      </c>
      <c r="H213" s="3">
        <f t="shared" si="174"/>
        <v>2.5644483343082274E-2</v>
      </c>
      <c r="I213" s="3">
        <f t="shared" si="174"/>
        <v>2.3480165300507193E-2</v>
      </c>
      <c r="J213" s="3">
        <f t="shared" si="174"/>
        <v>9.7223916573304352E-3</v>
      </c>
      <c r="K213" s="3">
        <f t="shared" si="174"/>
        <v>1.4404319118890439E-6</v>
      </c>
      <c r="L213" s="3">
        <f t="shared" si="174"/>
        <v>7.3398799270361568E-45</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3.0557565903719917E-2</v>
      </c>
      <c r="C214" s="3">
        <f t="shared" si="175"/>
        <v>3.0557565660668473E-2</v>
      </c>
      <c r="D214" s="3">
        <f t="shared" si="175"/>
        <v>3.0557563230154166E-2</v>
      </c>
      <c r="E214" s="3">
        <f t="shared" si="175"/>
        <v>3.0557538925021704E-2</v>
      </c>
      <c r="F214" s="3">
        <f t="shared" si="175"/>
        <v>3.0557295874760335E-2</v>
      </c>
      <c r="G214" s="3">
        <f t="shared" si="175"/>
        <v>3.0554865478469372E-2</v>
      </c>
      <c r="H214" s="3">
        <f t="shared" si="175"/>
        <v>3.0530572144704848E-2</v>
      </c>
      <c r="I214" s="3">
        <f t="shared" si="175"/>
        <v>3.0288698600122704E-2</v>
      </c>
      <c r="J214" s="3">
        <f t="shared" si="175"/>
        <v>2.7972888803434549E-2</v>
      </c>
      <c r="K214" s="3">
        <f t="shared" si="175"/>
        <v>1.262712187758892E-2</v>
      </c>
      <c r="L214" s="3">
        <f t="shared" si="175"/>
        <v>4.4358301250570187E-6</v>
      </c>
      <c r="M214" s="3">
        <f t="shared" si="175"/>
        <v>1.2696389667738786E-40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3.3957641149807455E-2</v>
      </c>
      <c r="C215" s="3">
        <f t="shared" si="176"/>
        <v>3.3957641125442611E-2</v>
      </c>
      <c r="D215" s="3">
        <f t="shared" si="176"/>
        <v>3.3957640881794218E-2</v>
      </c>
      <c r="E215" s="3">
        <f t="shared" si="176"/>
        <v>3.3957638445310398E-2</v>
      </c>
      <c r="F215" s="3">
        <f t="shared" si="176"/>
        <v>3.3957614080481771E-2</v>
      </c>
      <c r="G215" s="3">
        <f t="shared" si="176"/>
        <v>3.3957370433157004E-2</v>
      </c>
      <c r="H215" s="3">
        <f t="shared" si="176"/>
        <v>3.3954934056057172E-2</v>
      </c>
      <c r="I215" s="3">
        <f t="shared" si="176"/>
        <v>3.3930579897289412E-2</v>
      </c>
      <c r="J215" s="3">
        <f t="shared" si="176"/>
        <v>3.3687996985725652E-2</v>
      </c>
      <c r="K215" s="3">
        <f t="shared" si="176"/>
        <v>3.1355538521171795E-2</v>
      </c>
      <c r="L215" s="3">
        <f t="shared" si="176"/>
        <v>1.5300478358236553E-2</v>
      </c>
      <c r="M215" s="3">
        <f t="shared" si="176"/>
        <v>1.1711498248578443E-5</v>
      </c>
      <c r="N215" s="3">
        <f t="shared" si="176"/>
        <v>8.0851288675718548E-37</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2.7970835032329361E-2</v>
      </c>
      <c r="C216" s="3">
        <f t="shared" si="177"/>
        <v>2.7970835030518948E-2</v>
      </c>
      <c r="D216" s="3">
        <f t="shared" si="177"/>
        <v>2.7970835012414801E-2</v>
      </c>
      <c r="E216" s="3">
        <f t="shared" si="177"/>
        <v>2.7970834831373335E-2</v>
      </c>
      <c r="F216" s="3">
        <f t="shared" si="177"/>
        <v>2.7970833020958739E-2</v>
      </c>
      <c r="G216" s="3">
        <f t="shared" si="177"/>
        <v>2.7970814916819218E-2</v>
      </c>
      <c r="H216" s="3">
        <f t="shared" si="177"/>
        <v>2.7970633876068494E-2</v>
      </c>
      <c r="I216" s="3">
        <f t="shared" si="177"/>
        <v>2.7968823533008103E-2</v>
      </c>
      <c r="J216" s="3">
        <f t="shared" si="177"/>
        <v>2.795072654554796E-2</v>
      </c>
      <c r="K216" s="3">
        <f t="shared" si="177"/>
        <v>2.7770399444966468E-2</v>
      </c>
      <c r="L216" s="3">
        <f t="shared" si="177"/>
        <v>2.6029892795626768E-2</v>
      </c>
      <c r="M216" s="3">
        <f t="shared" si="177"/>
        <v>1.3626204672061241E-2</v>
      </c>
      <c r="N216" s="3">
        <f t="shared" si="177"/>
        <v>2.1057179192542774E-5</v>
      </c>
      <c r="O216" s="3">
        <f t="shared" si="177"/>
        <v>1.6355093918767025E-33</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2.3282403551478231E-2</v>
      </c>
      <c r="C217" s="3">
        <f t="shared" si="178"/>
        <v>2.3282403551342291E-2</v>
      </c>
      <c r="D217" s="3">
        <f t="shared" si="178"/>
        <v>2.3282403549982889E-2</v>
      </c>
      <c r="E217" s="3">
        <f t="shared" si="178"/>
        <v>2.3282403536388895E-2</v>
      </c>
      <c r="F217" s="3">
        <f t="shared" si="178"/>
        <v>2.3282403400448973E-2</v>
      </c>
      <c r="G217" s="3">
        <f t="shared" si="178"/>
        <v>2.3282402041049751E-2</v>
      </c>
      <c r="H217" s="3">
        <f t="shared" si="178"/>
        <v>2.3282388447061937E-2</v>
      </c>
      <c r="I217" s="3">
        <f t="shared" si="178"/>
        <v>2.3282252507620328E-2</v>
      </c>
      <c r="J217" s="3">
        <f t="shared" si="178"/>
        <v>2.3280893156857663E-2</v>
      </c>
      <c r="K217" s="3">
        <f t="shared" si="178"/>
        <v>2.3267304013632518E-2</v>
      </c>
      <c r="L217" s="3">
        <f t="shared" si="178"/>
        <v>2.3131848080146178E-2</v>
      </c>
      <c r="M217" s="3">
        <f t="shared" si="178"/>
        <v>2.1819912311956371E-2</v>
      </c>
      <c r="N217" s="3">
        <f t="shared" si="178"/>
        <v>1.2169695073625031E-2</v>
      </c>
      <c r="O217" s="3">
        <f t="shared" si="178"/>
        <v>3.5444320345181983E-5</v>
      </c>
      <c r="P217" s="3">
        <f t="shared" si="178"/>
        <v>1.5567404765884489E-30</v>
      </c>
      <c r="Q217" s="3">
        <f t="shared" si="178"/>
        <v>4.1582621294233379E-284</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2.595552456219569E-2</v>
      </c>
      <c r="C218" s="3">
        <f t="shared" si="179"/>
        <v>2.595552456218202E-2</v>
      </c>
      <c r="D218" s="3">
        <f t="shared" si="179"/>
        <v>2.5955524562045314E-2</v>
      </c>
      <c r="E218" s="3">
        <f t="shared" si="179"/>
        <v>2.5955524560678227E-2</v>
      </c>
      <c r="F218" s="3">
        <f t="shared" si="179"/>
        <v>2.5955524547007374E-2</v>
      </c>
      <c r="G218" s="3">
        <f t="shared" si="179"/>
        <v>2.5955524410298841E-2</v>
      </c>
      <c r="H218" s="3">
        <f t="shared" si="179"/>
        <v>2.5955523043213562E-2</v>
      </c>
      <c r="I218" s="3">
        <f t="shared" si="179"/>
        <v>2.5955509372364755E-2</v>
      </c>
      <c r="J218" s="3">
        <f t="shared" si="179"/>
        <v>2.5955372664272697E-2</v>
      </c>
      <c r="K218" s="3">
        <f t="shared" si="179"/>
        <v>2.5954005622953875E-2</v>
      </c>
      <c r="L218" s="3">
        <f t="shared" si="179"/>
        <v>2.5940339169172089E-2</v>
      </c>
      <c r="M218" s="3">
        <f t="shared" si="179"/>
        <v>2.5804069801473258E-2</v>
      </c>
      <c r="N218" s="3">
        <f t="shared" si="179"/>
        <v>2.4480133757776874E-2</v>
      </c>
      <c r="O218" s="3">
        <f t="shared" si="179"/>
        <v>1.44567133764368E-2</v>
      </c>
      <c r="P218" s="3">
        <f t="shared" si="179"/>
        <v>7.458086442086744E-5</v>
      </c>
      <c r="Q218" s="3">
        <f t="shared" si="179"/>
        <v>9.958773000991457E-28</v>
      </c>
      <c r="R218" s="3">
        <f t="shared" si="179"/>
        <v>1.794692461516466E-256</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2.475841333981663E-2</v>
      </c>
      <c r="C219" s="3">
        <f t="shared" si="180"/>
        <v>2.4758413339815454E-2</v>
      </c>
      <c r="D219" s="3">
        <f t="shared" si="180"/>
        <v>2.4758413339803692E-2</v>
      </c>
      <c r="E219" s="3">
        <f t="shared" si="180"/>
        <v>2.4758413339686057E-2</v>
      </c>
      <c r="F219" s="3">
        <f t="shared" si="180"/>
        <v>2.475841333850971E-2</v>
      </c>
      <c r="G219" s="3">
        <f t="shared" si="180"/>
        <v>2.4758413326746248E-2</v>
      </c>
      <c r="H219" s="3">
        <f t="shared" si="180"/>
        <v>2.475841320911161E-2</v>
      </c>
      <c r="I219" s="3">
        <f t="shared" si="180"/>
        <v>2.4758412032765294E-2</v>
      </c>
      <c r="J219" s="3">
        <f t="shared" si="180"/>
        <v>2.4758400269305196E-2</v>
      </c>
      <c r="K219" s="3">
        <f t="shared" si="180"/>
        <v>2.4758282635011626E-2</v>
      </c>
      <c r="L219" s="3">
        <f t="shared" si="180"/>
        <v>2.4757106322815754E-2</v>
      </c>
      <c r="M219" s="3">
        <f t="shared" si="180"/>
        <v>2.4745346274302246E-2</v>
      </c>
      <c r="N219" s="3">
        <f t="shared" si="180"/>
        <v>2.4628052594065752E-2</v>
      </c>
      <c r="O219" s="3">
        <f t="shared" si="180"/>
        <v>2.3485263710555468E-2</v>
      </c>
      <c r="P219" s="3">
        <f t="shared" si="180"/>
        <v>1.4603236840382531E-2</v>
      </c>
      <c r="Q219" s="3">
        <f t="shared" si="180"/>
        <v>1.2617868746599281E-4</v>
      </c>
      <c r="R219" s="3">
        <f t="shared" si="180"/>
        <v>2.9265420742043311E-25</v>
      </c>
      <c r="S219" s="3">
        <f t="shared" si="180"/>
        <v>1.3183855667504861E-231</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2.5498882300455352E-2</v>
      </c>
      <c r="C220" s="3">
        <f t="shared" si="181"/>
        <v>2.5498882300455241E-2</v>
      </c>
      <c r="D220" s="3">
        <f t="shared" si="181"/>
        <v>2.5498882300454148E-2</v>
      </c>
      <c r="E220" s="3">
        <f t="shared" si="181"/>
        <v>2.5498882300443219E-2</v>
      </c>
      <c r="F220" s="3">
        <f t="shared" si="181"/>
        <v>2.5498882300333928E-2</v>
      </c>
      <c r="G220" s="3">
        <f t="shared" si="181"/>
        <v>2.5498882299241028E-2</v>
      </c>
      <c r="H220" s="3">
        <f t="shared" si="181"/>
        <v>2.5498882288312038E-2</v>
      </c>
      <c r="I220" s="3">
        <f t="shared" si="181"/>
        <v>2.549888217902211E-2</v>
      </c>
      <c r="J220" s="3">
        <f t="shared" si="181"/>
        <v>2.549888108612287E-2</v>
      </c>
      <c r="K220" s="3">
        <f t="shared" si="181"/>
        <v>2.5498870157133036E-2</v>
      </c>
      <c r="L220" s="3">
        <f t="shared" si="181"/>
        <v>2.5498760867492306E-2</v>
      </c>
      <c r="M220" s="3">
        <f t="shared" si="181"/>
        <v>2.5497667996847887E-2</v>
      </c>
      <c r="N220" s="3">
        <f t="shared" si="181"/>
        <v>2.548674186628172E-2</v>
      </c>
      <c r="O220" s="3">
        <f t="shared" si="181"/>
        <v>2.5377737740396377E-2</v>
      </c>
      <c r="P220" s="3">
        <f t="shared" si="181"/>
        <v>2.4313011245520613E-2</v>
      </c>
      <c r="Q220" s="3">
        <f t="shared" si="181"/>
        <v>1.5837885936399936E-2</v>
      </c>
      <c r="R220" s="3">
        <f t="shared" si="181"/>
        <v>2.1791233285077045E-4</v>
      </c>
      <c r="S220" s="3">
        <f t="shared" si="181"/>
        <v>5.2981933317002691E-23</v>
      </c>
      <c r="T220" s="3">
        <f t="shared" si="181"/>
        <v>3.8246149504415618E-209</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2.6156174216144482E-2</v>
      </c>
      <c r="C221" s="3">
        <f t="shared" si="182"/>
        <v>2.6156174216144471E-2</v>
      </c>
      <c r="D221" s="3">
        <f t="shared" si="182"/>
        <v>2.6156174216144367E-2</v>
      </c>
      <c r="E221" s="3">
        <f t="shared" si="182"/>
        <v>2.6156174216143357E-2</v>
      </c>
      <c r="F221" s="3">
        <f t="shared" si="182"/>
        <v>2.6156174216133248E-2</v>
      </c>
      <c r="G221" s="3">
        <f t="shared" si="182"/>
        <v>2.6156174216032113E-2</v>
      </c>
      <c r="H221" s="3">
        <f t="shared" si="182"/>
        <v>2.6156174215020814E-2</v>
      </c>
      <c r="I221" s="3">
        <f t="shared" si="182"/>
        <v>2.6156174204907821E-2</v>
      </c>
      <c r="J221" s="3">
        <f t="shared" si="182"/>
        <v>2.6156174103777869E-2</v>
      </c>
      <c r="K221" s="3">
        <f t="shared" si="182"/>
        <v>2.6156173092478363E-2</v>
      </c>
      <c r="L221" s="3">
        <f t="shared" si="182"/>
        <v>2.6156162979485489E-2</v>
      </c>
      <c r="M221" s="3">
        <f t="shared" si="182"/>
        <v>2.615606184977181E-2</v>
      </c>
      <c r="N221" s="3">
        <f t="shared" si="182"/>
        <v>2.6155050574140071E-2</v>
      </c>
      <c r="O221" s="3">
        <f t="shared" si="182"/>
        <v>2.6144939968023632E-2</v>
      </c>
      <c r="P221" s="3">
        <f t="shared" si="182"/>
        <v>2.6044048619670385E-2</v>
      </c>
      <c r="Q221" s="3">
        <f t="shared" si="182"/>
        <v>2.505630240761152E-2</v>
      </c>
      <c r="R221" s="3">
        <f t="shared" si="182"/>
        <v>1.702165670358162E-2</v>
      </c>
      <c r="S221" s="3">
        <f t="shared" si="182"/>
        <v>3.5632827131935755E-4</v>
      </c>
      <c r="T221" s="3">
        <f t="shared" si="182"/>
        <v>5.7588374067912346E-21</v>
      </c>
      <c r="U221" s="3">
        <f t="shared" si="182"/>
        <v>7.0013240231077669E-189</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3.7540941347655205E-2</v>
      </c>
      <c r="C222" s="3">
        <f t="shared" si="183"/>
        <v>3.7540941347655205E-2</v>
      </c>
      <c r="D222" s="3">
        <f t="shared" si="183"/>
        <v>3.7540941347655191E-2</v>
      </c>
      <c r="E222" s="3">
        <f t="shared" si="183"/>
        <v>3.7540941347655059E-2</v>
      </c>
      <c r="F222" s="3">
        <f t="shared" si="183"/>
        <v>3.7540941347653747E-2</v>
      </c>
      <c r="G222" s="3">
        <f t="shared" si="183"/>
        <v>3.7540941347640654E-2</v>
      </c>
      <c r="H222" s="3">
        <f t="shared" si="183"/>
        <v>3.7540941347509724E-2</v>
      </c>
      <c r="I222" s="3">
        <f t="shared" si="183"/>
        <v>3.7540941346200368E-2</v>
      </c>
      <c r="J222" s="3">
        <f t="shared" si="183"/>
        <v>3.7540941333106814E-2</v>
      </c>
      <c r="K222" s="3">
        <f t="shared" si="183"/>
        <v>3.7540941202171343E-2</v>
      </c>
      <c r="L222" s="3">
        <f t="shared" si="183"/>
        <v>3.7540939892816608E-2</v>
      </c>
      <c r="M222" s="3">
        <f t="shared" si="183"/>
        <v>3.7540926799271783E-2</v>
      </c>
      <c r="N222" s="3">
        <f t="shared" si="183"/>
        <v>3.754079586407473E-2</v>
      </c>
      <c r="O222" s="3">
        <f t="shared" si="183"/>
        <v>3.7539486537221049E-2</v>
      </c>
      <c r="P222" s="3">
        <f t="shared" si="183"/>
        <v>3.7526395780049716E-2</v>
      </c>
      <c r="Q222" s="3">
        <f t="shared" si="183"/>
        <v>3.739573902109998E-2</v>
      </c>
      <c r="R222" s="3">
        <f t="shared" si="183"/>
        <v>3.6113932034608054E-2</v>
      </c>
      <c r="S222" s="3">
        <f t="shared" si="183"/>
        <v>2.5480112296482737E-2</v>
      </c>
      <c r="T222" s="3">
        <f t="shared" si="183"/>
        <v>7.7887354129192125E-4</v>
      </c>
      <c r="U222" s="3">
        <f t="shared" si="183"/>
        <v>5.5478292105258522E-19</v>
      </c>
      <c r="V222" s="3">
        <f t="shared" si="183"/>
        <v>1.865023905032791E-170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2.9964173015778757E-2</v>
      </c>
      <c r="C223" s="3">
        <f t="shared" si="184"/>
        <v>2.9964173015778757E-2</v>
      </c>
      <c r="D223" s="3">
        <f t="shared" si="184"/>
        <v>2.9964173015778757E-2</v>
      </c>
      <c r="E223" s="3">
        <f t="shared" si="184"/>
        <v>2.9964173015778747E-2</v>
      </c>
      <c r="F223" s="3">
        <f t="shared" si="184"/>
        <v>2.9964173015778653E-2</v>
      </c>
      <c r="G223" s="3">
        <f t="shared" si="184"/>
        <v>2.9964173015777709E-2</v>
      </c>
      <c r="H223" s="3">
        <f t="shared" si="184"/>
        <v>2.9964173015768283E-2</v>
      </c>
      <c r="I223" s="3">
        <f t="shared" si="184"/>
        <v>2.9964173015674007E-2</v>
      </c>
      <c r="J223" s="3">
        <f t="shared" si="184"/>
        <v>2.9964173014731244E-2</v>
      </c>
      <c r="K223" s="3">
        <f t="shared" si="184"/>
        <v>2.9964173005303647E-2</v>
      </c>
      <c r="L223" s="3">
        <f t="shared" si="184"/>
        <v>2.9964172911027667E-2</v>
      </c>
      <c r="M223" s="3">
        <f t="shared" si="184"/>
        <v>2.9964171968267873E-2</v>
      </c>
      <c r="N223" s="3">
        <f t="shared" si="184"/>
        <v>2.9964162540671586E-2</v>
      </c>
      <c r="O223" s="3">
        <f t="shared" si="184"/>
        <v>2.9964068264871815E-2</v>
      </c>
      <c r="P223" s="3">
        <f t="shared" si="184"/>
        <v>2.9963125523188E-2</v>
      </c>
      <c r="Q223" s="3">
        <f t="shared" si="184"/>
        <v>2.9953699737546552E-2</v>
      </c>
      <c r="R223" s="3">
        <f t="shared" si="184"/>
        <v>2.9859604811072131E-2</v>
      </c>
      <c r="S223" s="3">
        <f t="shared" si="184"/>
        <v>2.8934760454805423E-2</v>
      </c>
      <c r="T223" s="3">
        <f t="shared" si="184"/>
        <v>2.11241016279505E-2</v>
      </c>
      <c r="U223" s="3">
        <f t="shared" si="184"/>
        <v>9.0857716485756807E-4</v>
      </c>
      <c r="V223" s="3">
        <f t="shared" si="184"/>
        <v>1.9687814600941373E-17</v>
      </c>
      <c r="W223" s="3">
        <f t="shared" si="184"/>
        <v>4.4931864996580479E-154</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7.1416883904963147E-2</v>
      </c>
      <c r="C224" s="3">
        <f t="shared" si="185"/>
        <v>7.1416883904963147E-2</v>
      </c>
      <c r="D224" s="3">
        <f t="shared" si="185"/>
        <v>7.1416883904963147E-2</v>
      </c>
      <c r="E224" s="3">
        <f t="shared" si="185"/>
        <v>7.1416883904963147E-2</v>
      </c>
      <c r="F224" s="3">
        <f t="shared" si="185"/>
        <v>7.1416883904963119E-2</v>
      </c>
      <c r="G224" s="3">
        <f t="shared" si="185"/>
        <v>7.1416883904962924E-2</v>
      </c>
      <c r="H224" s="3">
        <f t="shared" si="185"/>
        <v>7.1416883904960898E-2</v>
      </c>
      <c r="I224" s="3">
        <f t="shared" si="185"/>
        <v>7.1416883904940623E-2</v>
      </c>
      <c r="J224" s="3">
        <f t="shared" si="185"/>
        <v>7.1416883904737924E-2</v>
      </c>
      <c r="K224" s="3">
        <f t="shared" si="185"/>
        <v>7.1416883902710962E-2</v>
      </c>
      <c r="L224" s="3">
        <f t="shared" si="185"/>
        <v>7.1416883882441315E-2</v>
      </c>
      <c r="M224" s="3">
        <f t="shared" si="185"/>
        <v>7.1416883679744803E-2</v>
      </c>
      <c r="N224" s="3">
        <f t="shared" si="185"/>
        <v>7.1416881652779832E-2</v>
      </c>
      <c r="O224" s="3">
        <f t="shared" si="185"/>
        <v>7.1416861383133245E-2</v>
      </c>
      <c r="P224" s="3">
        <f t="shared" si="185"/>
        <v>7.1416658686983658E-2</v>
      </c>
      <c r="Q224" s="3">
        <f t="shared" si="185"/>
        <v>7.1414631757128824E-2</v>
      </c>
      <c r="R224" s="3">
        <f t="shared" si="185"/>
        <v>7.139436562234118E-2</v>
      </c>
      <c r="S224" s="3">
        <f t="shared" si="185"/>
        <v>7.1192020318545157E-2</v>
      </c>
      <c r="T224" s="3">
        <f t="shared" si="185"/>
        <v>6.9199842302791886E-2</v>
      </c>
      <c r="U224" s="3">
        <f t="shared" si="185"/>
        <v>5.2100630049243132E-2</v>
      </c>
      <c r="V224" s="3">
        <f t="shared" si="185"/>
        <v>3.0494511444432559E-3</v>
      </c>
      <c r="W224" s="3">
        <f t="shared" si="185"/>
        <v>1.4388274886778328E-15</v>
      </c>
      <c r="X224" s="3">
        <f t="shared" si="185"/>
        <v>7.8682688613799558E-139</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0.10311361760580572</v>
      </c>
      <c r="C225" s="3">
        <f t="shared" si="186"/>
        <v>0.10311361760580572</v>
      </c>
      <c r="D225" s="3">
        <f t="shared" si="186"/>
        <v>0.10311361760580572</v>
      </c>
      <c r="E225" s="3">
        <f t="shared" si="186"/>
        <v>0.10311361760580572</v>
      </c>
      <c r="F225" s="3">
        <f t="shared" si="186"/>
        <v>0.10311361760580572</v>
      </c>
      <c r="G225" s="3">
        <f t="shared" si="186"/>
        <v>0.10311361760580569</v>
      </c>
      <c r="H225" s="3">
        <f t="shared" si="186"/>
        <v>0.10311361760580542</v>
      </c>
      <c r="I225" s="3">
        <f t="shared" si="186"/>
        <v>0.10311361760580279</v>
      </c>
      <c r="J225" s="3">
        <f t="shared" si="186"/>
        <v>0.10311361760577639</v>
      </c>
      <c r="K225" s="3">
        <f t="shared" si="186"/>
        <v>0.10311361760551238</v>
      </c>
      <c r="L225" s="3">
        <f t="shared" si="186"/>
        <v>0.10311361760287235</v>
      </c>
      <c r="M225" s="3">
        <f t="shared" si="186"/>
        <v>0.10311361757647211</v>
      </c>
      <c r="N225" s="3">
        <f t="shared" si="186"/>
        <v>0.10311361731246965</v>
      </c>
      <c r="O225" s="3">
        <f t="shared" si="186"/>
        <v>0.10311361467244512</v>
      </c>
      <c r="P225" s="3">
        <f t="shared" si="186"/>
        <v>0.10311358827220347</v>
      </c>
      <c r="Q225" s="3">
        <f t="shared" si="186"/>
        <v>0.10311332427015882</v>
      </c>
      <c r="R225" s="3">
        <f t="shared" si="186"/>
        <v>0.10311068428688785</v>
      </c>
      <c r="S225" s="3">
        <f t="shared" si="186"/>
        <v>0.10308428817138651</v>
      </c>
      <c r="T225" s="3">
        <f t="shared" si="186"/>
        <v>0.1028206983853043</v>
      </c>
      <c r="U225" s="3">
        <f t="shared" si="186"/>
        <v>0.10022158801117312</v>
      </c>
      <c r="V225" s="3">
        <f t="shared" si="186"/>
        <v>7.7583360069284554E-2</v>
      </c>
      <c r="W225" s="3">
        <f t="shared" si="186"/>
        <v>5.9957239880519897E-3</v>
      </c>
      <c r="X225" s="3">
        <f t="shared" si="186"/>
        <v>4.5558782100714057E-14</v>
      </c>
      <c r="Y225" s="3">
        <f t="shared" si="186"/>
        <v>2.9233232722292685E-125</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8.7291657876096773E-2</v>
      </c>
      <c r="C226" s="3">
        <f t="shared" si="187"/>
        <v>8.7291657876096773E-2</v>
      </c>
      <c r="D226" s="3">
        <f t="shared" si="187"/>
        <v>8.7291657876096773E-2</v>
      </c>
      <c r="E226" s="3">
        <f t="shared" si="187"/>
        <v>8.7291657876096773E-2</v>
      </c>
      <c r="F226" s="3">
        <f t="shared" si="187"/>
        <v>8.7291657876096773E-2</v>
      </c>
      <c r="G226" s="3">
        <f t="shared" si="187"/>
        <v>8.7291657876096773E-2</v>
      </c>
      <c r="H226" s="3">
        <f t="shared" si="187"/>
        <v>8.7291657876096759E-2</v>
      </c>
      <c r="I226" s="3">
        <f t="shared" si="187"/>
        <v>8.7291657876096551E-2</v>
      </c>
      <c r="J226" s="3">
        <f t="shared" si="187"/>
        <v>8.7291657876094539E-2</v>
      </c>
      <c r="K226" s="3">
        <f t="shared" si="187"/>
        <v>8.7291657876074374E-2</v>
      </c>
      <c r="L226" s="3">
        <f t="shared" si="187"/>
        <v>8.7291657875872758E-2</v>
      </c>
      <c r="M226" s="3">
        <f t="shared" si="187"/>
        <v>8.7291657873856662E-2</v>
      </c>
      <c r="N226" s="3">
        <f t="shared" si="187"/>
        <v>8.7291657853695706E-2</v>
      </c>
      <c r="O226" s="3">
        <f t="shared" si="187"/>
        <v>8.7291657652086074E-2</v>
      </c>
      <c r="P226" s="3">
        <f t="shared" si="187"/>
        <v>8.7291655635989771E-2</v>
      </c>
      <c r="Q226" s="3">
        <f t="shared" si="187"/>
        <v>8.7291635475029314E-2</v>
      </c>
      <c r="R226" s="3">
        <f t="shared" si="187"/>
        <v>8.7291433865680917E-2</v>
      </c>
      <c r="S226" s="3">
        <f t="shared" si="187"/>
        <v>8.728941779780694E-2</v>
      </c>
      <c r="T226" s="3">
        <f t="shared" si="187"/>
        <v>8.7269259679841116E-2</v>
      </c>
      <c r="U226" s="3">
        <f t="shared" si="187"/>
        <v>8.7067934358896343E-2</v>
      </c>
      <c r="V226" s="3">
        <f t="shared" si="187"/>
        <v>8.5080049719527068E-2</v>
      </c>
      <c r="W226" s="3">
        <f t="shared" si="187"/>
        <v>6.7534031110548426E-2</v>
      </c>
      <c r="X226" s="3">
        <f t="shared" si="187"/>
        <v>6.7061314021485997E-3</v>
      </c>
      <c r="Y226" s="3">
        <f t="shared" si="187"/>
        <v>6.2512362478975288E-13</v>
      </c>
      <c r="Z226" s="3">
        <f t="shared" si="187"/>
        <v>3.0967378677806924E-113</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7.2211450290495263E-2</v>
      </c>
      <c r="C227" s="3">
        <f t="shared" si="188"/>
        <v>7.2211450290495263E-2</v>
      </c>
      <c r="D227" s="3">
        <f t="shared" si="188"/>
        <v>7.2211450290495263E-2</v>
      </c>
      <c r="E227" s="3">
        <f t="shared" si="188"/>
        <v>7.2211450290495263E-2</v>
      </c>
      <c r="F227" s="3">
        <f t="shared" si="188"/>
        <v>7.2211450290495263E-2</v>
      </c>
      <c r="G227" s="3">
        <f t="shared" si="188"/>
        <v>7.2211450290495263E-2</v>
      </c>
      <c r="H227" s="3">
        <f t="shared" si="188"/>
        <v>7.2211450290495263E-2</v>
      </c>
      <c r="I227" s="3">
        <f t="shared" si="188"/>
        <v>7.2211450290495249E-2</v>
      </c>
      <c r="J227" s="3">
        <f t="shared" si="188"/>
        <v>7.2211450290495097E-2</v>
      </c>
      <c r="K227" s="3">
        <f t="shared" si="188"/>
        <v>7.2211450290493584E-2</v>
      </c>
      <c r="L227" s="3">
        <f t="shared" si="188"/>
        <v>7.2211450290478554E-2</v>
      </c>
      <c r="M227" s="3">
        <f t="shared" si="188"/>
        <v>7.2211450290328105E-2</v>
      </c>
      <c r="N227" s="3">
        <f t="shared" si="188"/>
        <v>7.22114502888236E-2</v>
      </c>
      <c r="O227" s="3">
        <f t="shared" si="188"/>
        <v>7.2211450273778635E-2</v>
      </c>
      <c r="P227" s="3">
        <f t="shared" si="188"/>
        <v>7.2211450123328982E-2</v>
      </c>
      <c r="Q227" s="3">
        <f t="shared" si="188"/>
        <v>7.2211448618832455E-2</v>
      </c>
      <c r="R227" s="3">
        <f t="shared" si="188"/>
        <v>7.2211433573868902E-2</v>
      </c>
      <c r="S227" s="3">
        <f t="shared" si="188"/>
        <v>7.2211283124405709E-2</v>
      </c>
      <c r="T227" s="3">
        <f t="shared" si="188"/>
        <v>7.2209778647013736E-2</v>
      </c>
      <c r="U227" s="3">
        <f t="shared" si="188"/>
        <v>7.2194735596953427E-2</v>
      </c>
      <c r="V227" s="3">
        <f t="shared" si="188"/>
        <v>7.2044477349464842E-2</v>
      </c>
      <c r="W227" s="3">
        <f t="shared" si="188"/>
        <v>7.0558988136306663E-2</v>
      </c>
      <c r="X227" s="3">
        <f t="shared" si="188"/>
        <v>5.7288682423505627E-2</v>
      </c>
      <c r="Y227" s="3">
        <f t="shared" si="188"/>
        <v>7.1323678525868411E-3</v>
      </c>
      <c r="Z227" s="3">
        <f t="shared" si="188"/>
        <v>6.3809116551644548E-12</v>
      </c>
      <c r="AA227" s="3">
        <f t="shared" si="188"/>
        <v>2.0959103918629951E-102</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4.7726428975124642E-2</v>
      </c>
      <c r="C228" s="3">
        <f t="shared" si="189"/>
        <v>4.7726428975124642E-2</v>
      </c>
      <c r="D228" s="3">
        <f t="shared" si="189"/>
        <v>4.7726428975124642E-2</v>
      </c>
      <c r="E228" s="3">
        <f t="shared" si="189"/>
        <v>4.7726428975124642E-2</v>
      </c>
      <c r="F228" s="3">
        <f t="shared" si="189"/>
        <v>4.7726428975124642E-2</v>
      </c>
      <c r="G228" s="3">
        <f t="shared" si="189"/>
        <v>4.7726428975124642E-2</v>
      </c>
      <c r="H228" s="3">
        <f t="shared" si="189"/>
        <v>4.7726428975124642E-2</v>
      </c>
      <c r="I228" s="3">
        <f t="shared" si="189"/>
        <v>4.7726428975124642E-2</v>
      </c>
      <c r="J228" s="3">
        <f t="shared" si="189"/>
        <v>4.7726428975124628E-2</v>
      </c>
      <c r="K228" s="3">
        <f t="shared" si="189"/>
        <v>4.7726428975124538E-2</v>
      </c>
      <c r="L228" s="3">
        <f t="shared" si="189"/>
        <v>4.7726428975123643E-2</v>
      </c>
      <c r="M228" s="3">
        <f t="shared" si="189"/>
        <v>4.7726428975114678E-2</v>
      </c>
      <c r="N228" s="3">
        <f t="shared" si="189"/>
        <v>4.7726428975024972E-2</v>
      </c>
      <c r="O228" s="3">
        <f t="shared" si="189"/>
        <v>4.7726428974127981E-2</v>
      </c>
      <c r="P228" s="3">
        <f t="shared" si="189"/>
        <v>4.7726428965158017E-2</v>
      </c>
      <c r="Q228" s="3">
        <f t="shared" si="189"/>
        <v>4.7726428875458381E-2</v>
      </c>
      <c r="R228" s="3">
        <f t="shared" si="189"/>
        <v>4.7726427978462077E-2</v>
      </c>
      <c r="S228" s="3">
        <f t="shared" si="189"/>
        <v>4.772641900849995E-2</v>
      </c>
      <c r="T228" s="3">
        <f t="shared" si="189"/>
        <v>4.7726329308971367E-2</v>
      </c>
      <c r="U228" s="3">
        <f t="shared" si="189"/>
        <v>4.7725432322957749E-2</v>
      </c>
      <c r="V228" s="3">
        <f t="shared" si="189"/>
        <v>4.771646338997481E-2</v>
      </c>
      <c r="W228" s="3">
        <f t="shared" si="189"/>
        <v>4.7626866711025978E-2</v>
      </c>
      <c r="X228" s="3">
        <f t="shared" si="189"/>
        <v>4.6740100902980503E-2</v>
      </c>
      <c r="Y228" s="3">
        <f t="shared" si="189"/>
        <v>3.8731649410856488E-2</v>
      </c>
      <c r="Z228" s="3">
        <f t="shared" si="189"/>
        <v>5.9132937911284813E-3</v>
      </c>
      <c r="AA228" s="3">
        <f t="shared" si="189"/>
        <v>4.0687790108354141E-11</v>
      </c>
      <c r="AB228" s="3">
        <f t="shared" si="189"/>
        <v>9.6785558570853317E-93</v>
      </c>
      <c r="AC228" s="3">
        <f t="shared" si="189"/>
        <v>0</v>
      </c>
      <c r="AD228" s="3">
        <f t="shared" si="189"/>
        <v>0</v>
      </c>
      <c r="AE228" s="3">
        <f t="shared" si="189"/>
        <v>0</v>
      </c>
      <c r="AF228" s="3">
        <f t="shared" si="189"/>
        <v>0</v>
      </c>
      <c r="AG228" s="3"/>
      <c r="AH228" s="3"/>
    </row>
    <row r="229" spans="2:34" x14ac:dyDescent="0.25">
      <c r="B229" s="3">
        <f t="shared" ref="B229:AF229" si="190">$C37*EXP(-B$207/$A37/EXP(-$D$126))</f>
        <v>3.3498054799521296E-2</v>
      </c>
      <c r="C229" s="3">
        <f t="shared" si="190"/>
        <v>3.3498054799521296E-2</v>
      </c>
      <c r="D229" s="3">
        <f t="shared" si="190"/>
        <v>3.3498054799521296E-2</v>
      </c>
      <c r="E229" s="3">
        <f t="shared" si="190"/>
        <v>3.3498054799521296E-2</v>
      </c>
      <c r="F229" s="3">
        <f t="shared" si="190"/>
        <v>3.3498054799521296E-2</v>
      </c>
      <c r="G229" s="3">
        <f t="shared" si="190"/>
        <v>3.3498054799521296E-2</v>
      </c>
      <c r="H229" s="3">
        <f t="shared" si="190"/>
        <v>3.3498054799521296E-2</v>
      </c>
      <c r="I229" s="3">
        <f t="shared" si="190"/>
        <v>3.3498054799521296E-2</v>
      </c>
      <c r="J229" s="3">
        <f t="shared" si="190"/>
        <v>3.3498054799521296E-2</v>
      </c>
      <c r="K229" s="3">
        <f t="shared" si="190"/>
        <v>3.3498054799521289E-2</v>
      </c>
      <c r="L229" s="3">
        <f t="shared" si="190"/>
        <v>3.3498054799521233E-2</v>
      </c>
      <c r="M229" s="3">
        <f t="shared" si="190"/>
        <v>3.3498054799520664E-2</v>
      </c>
      <c r="N229" s="3">
        <f t="shared" si="190"/>
        <v>3.3498054799514981E-2</v>
      </c>
      <c r="O229" s="3">
        <f t="shared" si="190"/>
        <v>3.3498054799458193E-2</v>
      </c>
      <c r="P229" s="3">
        <f t="shared" si="190"/>
        <v>3.3498054798890259E-2</v>
      </c>
      <c r="Q229" s="3">
        <f t="shared" si="190"/>
        <v>3.349805479321092E-2</v>
      </c>
      <c r="R229" s="3">
        <f t="shared" si="190"/>
        <v>3.3498054736417517E-2</v>
      </c>
      <c r="S229" s="3">
        <f t="shared" si="190"/>
        <v>3.3498054168483477E-2</v>
      </c>
      <c r="T229" s="3">
        <f t="shared" si="190"/>
        <v>3.3498048489143679E-2</v>
      </c>
      <c r="U229" s="3">
        <f t="shared" si="190"/>
        <v>3.3497991695798653E-2</v>
      </c>
      <c r="V229" s="3">
        <f t="shared" si="190"/>
        <v>3.3497423767644245E-2</v>
      </c>
      <c r="W229" s="3">
        <f t="shared" si="190"/>
        <v>3.3491745015652129E-2</v>
      </c>
      <c r="X229" s="3">
        <f t="shared" si="190"/>
        <v>3.3435010417728742E-2</v>
      </c>
      <c r="Y229" s="3">
        <f t="shared" si="190"/>
        <v>3.2872923589956034E-2</v>
      </c>
      <c r="Z229" s="3">
        <f t="shared" si="190"/>
        <v>2.7746423091510066E-2</v>
      </c>
      <c r="AA229" s="3">
        <f t="shared" si="190"/>
        <v>5.0920627286521834E-3</v>
      </c>
      <c r="AB229" s="3">
        <f t="shared" si="190"/>
        <v>2.206790736313202E-10</v>
      </c>
      <c r="AC229" s="3">
        <f t="shared" si="190"/>
        <v>5.1574523448905885E-84</v>
      </c>
      <c r="AD229" s="3">
        <f t="shared" si="190"/>
        <v>0</v>
      </c>
      <c r="AE229" s="3">
        <f t="shared" si="190"/>
        <v>0</v>
      </c>
      <c r="AF229" s="3">
        <f t="shared" si="190"/>
        <v>0</v>
      </c>
      <c r="AG229" s="3"/>
      <c r="AH229" s="3"/>
    </row>
    <row r="230" spans="2:34" x14ac:dyDescent="0.25">
      <c r="B230" s="3">
        <f t="shared" ref="B230:AF230" si="191">$C38*EXP(-B$207/$A38/EXP(-$D$126))</f>
        <v>8.3276524344842746E-3</v>
      </c>
      <c r="C230" s="3">
        <f t="shared" si="191"/>
        <v>8.3276524344842746E-3</v>
      </c>
      <c r="D230" s="3">
        <f t="shared" si="191"/>
        <v>8.3276524344842746E-3</v>
      </c>
      <c r="E230" s="3">
        <f t="shared" si="191"/>
        <v>8.3276524344842746E-3</v>
      </c>
      <c r="F230" s="3">
        <f t="shared" si="191"/>
        <v>8.3276524344842746E-3</v>
      </c>
      <c r="G230" s="3">
        <f t="shared" si="191"/>
        <v>8.3276524344842746E-3</v>
      </c>
      <c r="H230" s="3">
        <f t="shared" si="191"/>
        <v>8.3276524344842746E-3</v>
      </c>
      <c r="I230" s="3">
        <f t="shared" si="191"/>
        <v>8.3276524344842746E-3</v>
      </c>
      <c r="J230" s="3">
        <f t="shared" si="191"/>
        <v>8.3276524344842746E-3</v>
      </c>
      <c r="K230" s="3">
        <f t="shared" si="191"/>
        <v>8.3276524344842746E-3</v>
      </c>
      <c r="L230" s="3">
        <f t="shared" si="191"/>
        <v>8.3276524344842728E-3</v>
      </c>
      <c r="M230" s="3">
        <f t="shared" si="191"/>
        <v>8.3276524344842607E-3</v>
      </c>
      <c r="N230" s="3">
        <f t="shared" si="191"/>
        <v>8.3276524344841323E-3</v>
      </c>
      <c r="O230" s="3">
        <f t="shared" si="191"/>
        <v>8.327652434482859E-3</v>
      </c>
      <c r="P230" s="3">
        <f t="shared" si="191"/>
        <v>8.3276524344701227E-3</v>
      </c>
      <c r="Q230" s="3">
        <f t="shared" si="191"/>
        <v>8.3276524343427593E-3</v>
      </c>
      <c r="R230" s="3">
        <f t="shared" si="191"/>
        <v>8.3276524330691166E-3</v>
      </c>
      <c r="S230" s="3">
        <f t="shared" si="191"/>
        <v>8.3276524203326936E-3</v>
      </c>
      <c r="T230" s="3">
        <f t="shared" si="191"/>
        <v>8.3276522929684581E-3</v>
      </c>
      <c r="U230" s="3">
        <f t="shared" si="191"/>
        <v>8.3276510193262265E-3</v>
      </c>
      <c r="V230" s="3">
        <f t="shared" si="191"/>
        <v>8.3276382829146171E-3</v>
      </c>
      <c r="W230" s="3">
        <f t="shared" si="191"/>
        <v>8.3275109198698814E-3</v>
      </c>
      <c r="X230" s="3">
        <f t="shared" si="191"/>
        <v>8.3262373965517066E-3</v>
      </c>
      <c r="Y230" s="3">
        <f t="shared" si="191"/>
        <v>8.3135128702280445E-3</v>
      </c>
      <c r="Z230" s="3">
        <f t="shared" si="191"/>
        <v>8.1873322586798521E-3</v>
      </c>
      <c r="AA230" s="3">
        <f t="shared" si="191"/>
        <v>7.0262052742550863E-3</v>
      </c>
      <c r="AB230" s="3">
        <f t="shared" si="191"/>
        <v>1.5223167241007732E-3</v>
      </c>
      <c r="AC230" s="3">
        <f t="shared" si="191"/>
        <v>3.4701389594223855E-10</v>
      </c>
      <c r="AD230" s="3">
        <f t="shared" si="191"/>
        <v>1.3145143832938848E-76</v>
      </c>
      <c r="AE230" s="3">
        <f t="shared" si="191"/>
        <v>0</v>
      </c>
      <c r="AF230" s="3">
        <f t="shared" si="191"/>
        <v>0</v>
      </c>
      <c r="AG230" s="3"/>
      <c r="AH230" s="3"/>
    </row>
    <row r="231" spans="2:34" x14ac:dyDescent="0.25">
      <c r="B231" s="3">
        <f t="shared" ref="B231:AF231" si="192">$C39*EXP(-B$207/$A39/EXP(-$D$126))</f>
        <v>1.1282321504922463E-2</v>
      </c>
      <c r="C231" s="3">
        <f t="shared" si="192"/>
        <v>1.1282321504922463E-2</v>
      </c>
      <c r="D231" s="3">
        <f t="shared" si="192"/>
        <v>1.1282321504922463E-2</v>
      </c>
      <c r="E231" s="3">
        <f t="shared" si="192"/>
        <v>1.1282321504922463E-2</v>
      </c>
      <c r="F231" s="3">
        <f t="shared" si="192"/>
        <v>1.1282321504922463E-2</v>
      </c>
      <c r="G231" s="3">
        <f t="shared" si="192"/>
        <v>1.1282321504922463E-2</v>
      </c>
      <c r="H231" s="3">
        <f t="shared" si="192"/>
        <v>1.1282321504922463E-2</v>
      </c>
      <c r="I231" s="3">
        <f t="shared" si="192"/>
        <v>1.1282321504922463E-2</v>
      </c>
      <c r="J231" s="3">
        <f t="shared" si="192"/>
        <v>1.1282321504922463E-2</v>
      </c>
      <c r="K231" s="3">
        <f t="shared" si="192"/>
        <v>1.1282321504922463E-2</v>
      </c>
      <c r="L231" s="3">
        <f t="shared" si="192"/>
        <v>1.1282321504922463E-2</v>
      </c>
      <c r="M231" s="3">
        <f t="shared" si="192"/>
        <v>1.1282321504922458E-2</v>
      </c>
      <c r="N231" s="3">
        <f t="shared" si="192"/>
        <v>1.1282321504922411E-2</v>
      </c>
      <c r="O231" s="3">
        <f t="shared" si="192"/>
        <v>1.1282321504921934E-2</v>
      </c>
      <c r="P231" s="3">
        <f t="shared" si="192"/>
        <v>1.128232150491716E-2</v>
      </c>
      <c r="Q231" s="3">
        <f t="shared" si="192"/>
        <v>1.1282321504869436E-2</v>
      </c>
      <c r="R231" s="3">
        <f t="shared" si="192"/>
        <v>1.1282321504392196E-2</v>
      </c>
      <c r="S231" s="3">
        <f t="shared" si="192"/>
        <v>1.1282321499619804E-2</v>
      </c>
      <c r="T231" s="3">
        <f t="shared" si="192"/>
        <v>1.1282321451895871E-2</v>
      </c>
      <c r="U231" s="3">
        <f t="shared" si="192"/>
        <v>1.1282320974656545E-2</v>
      </c>
      <c r="V231" s="3">
        <f t="shared" si="192"/>
        <v>1.1282316202264405E-2</v>
      </c>
      <c r="W231" s="3">
        <f t="shared" si="192"/>
        <v>1.1282268478454044E-2</v>
      </c>
      <c r="X231" s="3">
        <f t="shared" si="192"/>
        <v>1.1281791251453134E-2</v>
      </c>
      <c r="Y231" s="3">
        <f t="shared" si="192"/>
        <v>1.1277020091541641E-2</v>
      </c>
      <c r="Z231" s="3">
        <f t="shared" si="192"/>
        <v>1.1229419328643124E-2</v>
      </c>
      <c r="AA231" s="3">
        <f t="shared" si="192"/>
        <v>1.076432379781125E-2</v>
      </c>
      <c r="AB231" s="3">
        <f t="shared" si="192"/>
        <v>7.0514964098149268E-3</v>
      </c>
      <c r="AC231" s="3">
        <f t="shared" si="192"/>
        <v>1.0261873316128088E-4</v>
      </c>
      <c r="AD231" s="3">
        <f t="shared" si="192"/>
        <v>4.3720009443950445E-23</v>
      </c>
      <c r="AE231" s="3">
        <f t="shared" si="192"/>
        <v>8.6142253449196134E-207</v>
      </c>
      <c r="AF231" s="3">
        <f t="shared" si="192"/>
        <v>0</v>
      </c>
      <c r="AG231" s="3"/>
      <c r="AH231" s="3"/>
    </row>
    <row r="232" spans="2:34" x14ac:dyDescent="0.25">
      <c r="B232" s="3">
        <f t="shared" ref="B232:AF232" si="193">$C40*EXP(-B$207/$A40/EXP(-$D$126))</f>
        <v>4.0938385440077553E-3</v>
      </c>
      <c r="C232" s="3">
        <f t="shared" si="193"/>
        <v>4.0938385440077553E-3</v>
      </c>
      <c r="D232" s="3">
        <f t="shared" si="193"/>
        <v>4.0938385440077553E-3</v>
      </c>
      <c r="E232" s="3">
        <f t="shared" si="193"/>
        <v>4.0938385440077553E-3</v>
      </c>
      <c r="F232" s="3">
        <f t="shared" si="193"/>
        <v>4.0938385440077553E-3</v>
      </c>
      <c r="G232" s="3">
        <f t="shared" si="193"/>
        <v>4.0938385440077553E-3</v>
      </c>
      <c r="H232" s="3">
        <f t="shared" si="193"/>
        <v>4.0938385440077553E-3</v>
      </c>
      <c r="I232" s="3">
        <f t="shared" si="193"/>
        <v>4.0938385440077553E-3</v>
      </c>
      <c r="J232" s="3">
        <f t="shared" si="193"/>
        <v>4.0938385440077553E-3</v>
      </c>
      <c r="K232" s="3">
        <f t="shared" si="193"/>
        <v>4.0938385440077553E-3</v>
      </c>
      <c r="L232" s="3">
        <f t="shared" si="193"/>
        <v>4.0938385440077553E-3</v>
      </c>
      <c r="M232" s="3">
        <f t="shared" si="193"/>
        <v>4.0938385440077553E-3</v>
      </c>
      <c r="N232" s="3">
        <f t="shared" si="193"/>
        <v>4.0938385440077536E-3</v>
      </c>
      <c r="O232" s="3">
        <f t="shared" si="193"/>
        <v>4.0938385440077362E-3</v>
      </c>
      <c r="P232" s="3">
        <f t="shared" si="193"/>
        <v>4.0938385440075628E-3</v>
      </c>
      <c r="Q232" s="3">
        <f t="shared" si="193"/>
        <v>4.0938385440058315E-3</v>
      </c>
      <c r="R232" s="3">
        <f t="shared" si="193"/>
        <v>4.0938385439885146E-3</v>
      </c>
      <c r="S232" s="3">
        <f t="shared" si="193"/>
        <v>4.0938385438153459E-3</v>
      </c>
      <c r="T232" s="3">
        <f t="shared" si="193"/>
        <v>4.0938385420836625E-3</v>
      </c>
      <c r="U232" s="3">
        <f t="shared" si="193"/>
        <v>4.0938385247668296E-3</v>
      </c>
      <c r="V232" s="3">
        <f t="shared" si="193"/>
        <v>4.0938383515985019E-3</v>
      </c>
      <c r="W232" s="3">
        <f t="shared" si="193"/>
        <v>4.0938366199156319E-3</v>
      </c>
      <c r="X232" s="3">
        <f t="shared" si="193"/>
        <v>4.0938193031272172E-3</v>
      </c>
      <c r="Y232" s="3">
        <f t="shared" si="193"/>
        <v>4.0936461392717368E-3</v>
      </c>
      <c r="Z232" s="3">
        <f t="shared" si="193"/>
        <v>4.0919149035205859E-3</v>
      </c>
      <c r="AA232" s="3">
        <f t="shared" si="193"/>
        <v>4.0746427634035806E-3</v>
      </c>
      <c r="AB232" s="3">
        <f t="shared" si="193"/>
        <v>3.9058808636532019E-3</v>
      </c>
      <c r="AC232" s="3">
        <f t="shared" si="193"/>
        <v>2.5586655887121917E-3</v>
      </c>
      <c r="AD232" s="3">
        <f t="shared" si="193"/>
        <v>3.7235645604462467E-5</v>
      </c>
      <c r="AE232" s="3">
        <f t="shared" si="193"/>
        <v>1.5863992151609709E-23</v>
      </c>
      <c r="AF232" s="3">
        <f t="shared" si="193"/>
        <v>3.1257084571126811E-207</v>
      </c>
      <c r="AG232" s="3"/>
      <c r="AH232" s="3"/>
    </row>
    <row r="233" spans="2:34" x14ac:dyDescent="0.25">
      <c r="B233" s="3">
        <f t="shared" ref="B233:AF233" si="194">$C41*EXP(-B$207/$A41/EXP(-$D$126))</f>
        <v>2.6841023020615128E-3</v>
      </c>
      <c r="C233" s="3">
        <f t="shared" si="194"/>
        <v>2.6841023020615128E-3</v>
      </c>
      <c r="D233" s="3">
        <f t="shared" si="194"/>
        <v>2.6841023020615128E-3</v>
      </c>
      <c r="E233" s="3">
        <f t="shared" si="194"/>
        <v>2.6841023020615128E-3</v>
      </c>
      <c r="F233" s="3">
        <f t="shared" si="194"/>
        <v>2.6841023020615128E-3</v>
      </c>
      <c r="G233" s="3">
        <f t="shared" si="194"/>
        <v>2.6841023020615128E-3</v>
      </c>
      <c r="H233" s="3">
        <f t="shared" si="194"/>
        <v>2.6841023020615128E-3</v>
      </c>
      <c r="I233" s="3">
        <f t="shared" si="194"/>
        <v>2.6841023020615128E-3</v>
      </c>
      <c r="J233" s="3">
        <f t="shared" si="194"/>
        <v>2.6841023020615128E-3</v>
      </c>
      <c r="K233" s="3">
        <f t="shared" si="194"/>
        <v>2.6841023020615128E-3</v>
      </c>
      <c r="L233" s="3">
        <f t="shared" si="194"/>
        <v>2.6841023020615128E-3</v>
      </c>
      <c r="M233" s="3">
        <f t="shared" si="194"/>
        <v>2.6841023020615128E-3</v>
      </c>
      <c r="N233" s="3">
        <f t="shared" si="194"/>
        <v>2.6841023020615128E-3</v>
      </c>
      <c r="O233" s="3">
        <f t="shared" si="194"/>
        <v>2.6841023020615115E-3</v>
      </c>
      <c r="P233" s="3">
        <f t="shared" si="194"/>
        <v>2.6841023020615002E-3</v>
      </c>
      <c r="Q233" s="3">
        <f t="shared" si="194"/>
        <v>2.6841023020613866E-3</v>
      </c>
      <c r="R233" s="3">
        <f t="shared" si="194"/>
        <v>2.6841023020602512E-3</v>
      </c>
      <c r="S233" s="3">
        <f t="shared" si="194"/>
        <v>2.6841023020488975E-3</v>
      </c>
      <c r="T233" s="3">
        <f t="shared" si="194"/>
        <v>2.6841023019353607E-3</v>
      </c>
      <c r="U233" s="3">
        <f t="shared" si="194"/>
        <v>2.6841023007999924E-3</v>
      </c>
      <c r="V233" s="3">
        <f t="shared" si="194"/>
        <v>2.6841022894463079E-3</v>
      </c>
      <c r="W233" s="3">
        <f t="shared" si="194"/>
        <v>2.6841021759094644E-3</v>
      </c>
      <c r="X233" s="3">
        <f t="shared" si="194"/>
        <v>2.6841010405412938E-3</v>
      </c>
      <c r="Y233" s="3">
        <f t="shared" si="194"/>
        <v>2.6840896868860018E-3</v>
      </c>
      <c r="Z233" s="3">
        <f t="shared" si="194"/>
        <v>2.683976152974458E-3</v>
      </c>
      <c r="AA233" s="3">
        <f t="shared" si="194"/>
        <v>2.6828410779549815E-3</v>
      </c>
      <c r="AB233" s="3">
        <f t="shared" si="194"/>
        <v>2.6715166960695645E-3</v>
      </c>
      <c r="AC233" s="3">
        <f t="shared" si="194"/>
        <v>2.5608689021346292E-3</v>
      </c>
      <c r="AD233" s="3">
        <f t="shared" si="194"/>
        <v>1.6775747560734675E-3</v>
      </c>
      <c r="AE233" s="3">
        <f t="shared" si="194"/>
        <v>2.4413342395238103E-5</v>
      </c>
      <c r="AF233" s="3">
        <f t="shared" si="194"/>
        <v>1.0401137562287979E-23</v>
      </c>
      <c r="AG233" s="3"/>
      <c r="AH233" s="3"/>
    </row>
    <row r="234" spans="2:34" x14ac:dyDescent="0.25">
      <c r="B234" s="3">
        <f t="shared" ref="B234:AF234" si="195">$C42*EXP(-B$207/$A42/EXP(-$D$126))</f>
        <v>2.382905414544393E-3</v>
      </c>
      <c r="C234" s="3">
        <f t="shared" si="195"/>
        <v>2.382905414544393E-3</v>
      </c>
      <c r="D234" s="3">
        <f t="shared" si="195"/>
        <v>2.382905414544393E-3</v>
      </c>
      <c r="E234" s="3">
        <f t="shared" si="195"/>
        <v>2.382905414544393E-3</v>
      </c>
      <c r="F234" s="3">
        <f t="shared" si="195"/>
        <v>2.382905414544393E-3</v>
      </c>
      <c r="G234" s="3">
        <f t="shared" si="195"/>
        <v>2.382905414544393E-3</v>
      </c>
      <c r="H234" s="3">
        <f t="shared" si="195"/>
        <v>2.382905414544393E-3</v>
      </c>
      <c r="I234" s="3">
        <f t="shared" si="195"/>
        <v>2.382905414544393E-3</v>
      </c>
      <c r="J234" s="3">
        <f t="shared" si="195"/>
        <v>2.382905414544393E-3</v>
      </c>
      <c r="K234" s="3">
        <f t="shared" si="195"/>
        <v>2.382905414544393E-3</v>
      </c>
      <c r="L234" s="3">
        <f t="shared" si="195"/>
        <v>2.382905414544393E-3</v>
      </c>
      <c r="M234" s="3">
        <f t="shared" si="195"/>
        <v>2.382905414544393E-3</v>
      </c>
      <c r="N234" s="3">
        <f t="shared" si="195"/>
        <v>2.382905414544393E-3</v>
      </c>
      <c r="O234" s="3">
        <f t="shared" si="195"/>
        <v>2.382905414544393E-3</v>
      </c>
      <c r="P234" s="3">
        <f t="shared" si="195"/>
        <v>2.3829054145443921E-3</v>
      </c>
      <c r="Q234" s="3">
        <f t="shared" si="195"/>
        <v>2.3829054145443817E-3</v>
      </c>
      <c r="R234" s="3">
        <f t="shared" si="195"/>
        <v>2.3829054145442811E-3</v>
      </c>
      <c r="S234" s="3">
        <f t="shared" si="195"/>
        <v>2.3829054145432732E-3</v>
      </c>
      <c r="T234" s="3">
        <f t="shared" si="195"/>
        <v>2.3829054145331932E-3</v>
      </c>
      <c r="U234" s="3">
        <f t="shared" si="195"/>
        <v>2.3829054144323971E-3</v>
      </c>
      <c r="V234" s="3">
        <f t="shared" si="195"/>
        <v>2.3829054134244343E-3</v>
      </c>
      <c r="W234" s="3">
        <f t="shared" si="195"/>
        <v>2.3829054033448049E-3</v>
      </c>
      <c r="X234" s="3">
        <f t="shared" si="195"/>
        <v>2.382905302548513E-3</v>
      </c>
      <c r="Y234" s="3">
        <f t="shared" si="195"/>
        <v>2.3829042945858287E-3</v>
      </c>
      <c r="Z234" s="3">
        <f t="shared" si="195"/>
        <v>2.3828942149824364E-3</v>
      </c>
      <c r="AA234" s="3">
        <f t="shared" si="195"/>
        <v>2.382793421293483E-3</v>
      </c>
      <c r="AB234" s="3">
        <f t="shared" si="195"/>
        <v>2.3817857188643517E-3</v>
      </c>
      <c r="AC234" s="3">
        <f t="shared" si="195"/>
        <v>2.3717321039591365E-3</v>
      </c>
      <c r="AD234" s="3">
        <f t="shared" si="195"/>
        <v>2.273500666553623E-3</v>
      </c>
      <c r="AE234" s="3">
        <f t="shared" si="195"/>
        <v>1.4893254875122277E-3</v>
      </c>
      <c r="AF234" s="3">
        <f t="shared" si="195"/>
        <v>2.1673796015918712E-5</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2.0583899392901187E-3</v>
      </c>
      <c r="C236" s="3">
        <f t="shared" si="197"/>
        <v>2.0583899392901187E-3</v>
      </c>
      <c r="D236" s="3">
        <f t="shared" si="197"/>
        <v>2.0583899392901187E-3</v>
      </c>
      <c r="E236" s="3">
        <f t="shared" si="197"/>
        <v>2.0583899392901187E-3</v>
      </c>
      <c r="F236" s="3">
        <f t="shared" si="197"/>
        <v>2.0583899392901187E-3</v>
      </c>
      <c r="G236" s="3">
        <f t="shared" si="197"/>
        <v>2.0583899392901187E-3</v>
      </c>
      <c r="H236" s="3">
        <f t="shared" si="197"/>
        <v>2.0583899392901187E-3</v>
      </c>
      <c r="I236" s="3">
        <f t="shared" si="197"/>
        <v>2.0583899392901187E-3</v>
      </c>
      <c r="J236" s="3">
        <f t="shared" si="197"/>
        <v>2.0583899392901187E-3</v>
      </c>
      <c r="K236" s="3">
        <f t="shared" si="197"/>
        <v>2.0583899392901187E-3</v>
      </c>
      <c r="L236" s="3">
        <f t="shared" si="197"/>
        <v>2.0583899392901187E-3</v>
      </c>
      <c r="M236" s="3">
        <f t="shared" si="197"/>
        <v>2.0583899392901187E-3</v>
      </c>
      <c r="N236" s="3">
        <f t="shared" si="197"/>
        <v>2.0583899392901187E-3</v>
      </c>
      <c r="O236" s="3">
        <f t="shared" si="197"/>
        <v>2.0583899392901187E-3</v>
      </c>
      <c r="P236" s="3">
        <f t="shared" si="197"/>
        <v>2.0583899392901187E-3</v>
      </c>
      <c r="Q236" s="3">
        <f t="shared" si="197"/>
        <v>2.0583899392901187E-3</v>
      </c>
      <c r="R236" s="3">
        <f t="shared" si="197"/>
        <v>2.0583899392901178E-3</v>
      </c>
      <c r="S236" s="3">
        <f t="shared" si="197"/>
        <v>2.0583899392901091E-3</v>
      </c>
      <c r="T236" s="3">
        <f t="shared" si="197"/>
        <v>2.0583899392900219E-3</v>
      </c>
      <c r="U236" s="3">
        <f t="shared" si="197"/>
        <v>2.0583899392891511E-3</v>
      </c>
      <c r="V236" s="3">
        <f t="shared" si="197"/>
        <v>2.0583899392804441E-3</v>
      </c>
      <c r="W236" s="3">
        <f t="shared" si="197"/>
        <v>2.0583899391933749E-3</v>
      </c>
      <c r="X236" s="3">
        <f t="shared" si="197"/>
        <v>2.0583899383226812E-3</v>
      </c>
      <c r="Y236" s="3">
        <f t="shared" si="197"/>
        <v>2.0583899296157441E-3</v>
      </c>
      <c r="Z236" s="3">
        <f t="shared" si="197"/>
        <v>2.0583898425463741E-3</v>
      </c>
      <c r="AA236" s="3">
        <f t="shared" si="197"/>
        <v>2.0583889718528772E-3</v>
      </c>
      <c r="AB236" s="3">
        <f t="shared" si="197"/>
        <v>2.0583802649381637E-3</v>
      </c>
      <c r="AC236" s="3">
        <f t="shared" si="197"/>
        <v>2.0582931978166494E-3</v>
      </c>
      <c r="AD236" s="3">
        <f t="shared" si="197"/>
        <v>2.0574227291319663E-3</v>
      </c>
      <c r="AE236" s="3">
        <f t="shared" si="197"/>
        <v>2.0487382636688884E-3</v>
      </c>
      <c r="AF236" s="3">
        <f t="shared" si="197"/>
        <v>1.9638844540114135E-3</v>
      </c>
      <c r="AG236" s="3"/>
      <c r="AH236" s="3"/>
    </row>
    <row r="237" spans="2:34" x14ac:dyDescent="0.25">
      <c r="B237" s="3">
        <f t="shared" ref="B237:AF237" si="198">$C45*EXP(-B$207/$A45/EXP(-$D$126))</f>
        <v>1.1459023430358541E-3</v>
      </c>
      <c r="C237" s="3">
        <f t="shared" si="198"/>
        <v>1.1459023430358541E-3</v>
      </c>
      <c r="D237" s="3">
        <f t="shared" si="198"/>
        <v>1.1459023430358541E-3</v>
      </c>
      <c r="E237" s="3">
        <f t="shared" si="198"/>
        <v>1.1459023430358541E-3</v>
      </c>
      <c r="F237" s="3">
        <f t="shared" si="198"/>
        <v>1.1459023430358541E-3</v>
      </c>
      <c r="G237" s="3">
        <f t="shared" si="198"/>
        <v>1.1459023430358541E-3</v>
      </c>
      <c r="H237" s="3">
        <f t="shared" si="198"/>
        <v>1.1459023430358541E-3</v>
      </c>
      <c r="I237" s="3">
        <f t="shared" si="198"/>
        <v>1.1459023430358541E-3</v>
      </c>
      <c r="J237" s="3">
        <f t="shared" si="198"/>
        <v>1.1459023430358541E-3</v>
      </c>
      <c r="K237" s="3">
        <f t="shared" si="198"/>
        <v>1.1459023430358541E-3</v>
      </c>
      <c r="L237" s="3">
        <f t="shared" si="198"/>
        <v>1.1459023430358541E-3</v>
      </c>
      <c r="M237" s="3">
        <f t="shared" si="198"/>
        <v>1.1459023430358541E-3</v>
      </c>
      <c r="N237" s="3">
        <f t="shared" si="198"/>
        <v>1.1459023430358541E-3</v>
      </c>
      <c r="O237" s="3">
        <f t="shared" si="198"/>
        <v>1.1459023430358541E-3</v>
      </c>
      <c r="P237" s="3">
        <f t="shared" si="198"/>
        <v>1.1459023430358541E-3</v>
      </c>
      <c r="Q237" s="3">
        <f t="shared" si="198"/>
        <v>1.1459023430358541E-3</v>
      </c>
      <c r="R237" s="3">
        <f t="shared" si="198"/>
        <v>1.1459023430358541E-3</v>
      </c>
      <c r="S237" s="3">
        <f t="shared" si="198"/>
        <v>1.1459023430358537E-3</v>
      </c>
      <c r="T237" s="3">
        <f t="shared" si="198"/>
        <v>1.1459023430358487E-3</v>
      </c>
      <c r="U237" s="3">
        <f t="shared" si="198"/>
        <v>1.1459023430358004E-3</v>
      </c>
      <c r="V237" s="3">
        <f t="shared" si="198"/>
        <v>1.1459023430353155E-3</v>
      </c>
      <c r="W237" s="3">
        <f t="shared" si="198"/>
        <v>1.1459023430304685E-3</v>
      </c>
      <c r="X237" s="3">
        <f t="shared" si="198"/>
        <v>1.145902342981997E-3</v>
      </c>
      <c r="Y237" s="3">
        <f t="shared" si="198"/>
        <v>1.1459023424972832E-3</v>
      </c>
      <c r="Z237" s="3">
        <f t="shared" si="198"/>
        <v>1.1459023376501455E-3</v>
      </c>
      <c r="AA237" s="3">
        <f t="shared" si="198"/>
        <v>1.1459022891787682E-3</v>
      </c>
      <c r="AB237" s="3">
        <f t="shared" si="198"/>
        <v>1.1459018044651097E-3</v>
      </c>
      <c r="AC237" s="3">
        <f t="shared" si="198"/>
        <v>1.1458969573398005E-3</v>
      </c>
      <c r="AD237" s="3">
        <f t="shared" si="198"/>
        <v>1.145848487214369E-3</v>
      </c>
      <c r="AE237" s="3">
        <f t="shared" si="198"/>
        <v>1.1453638987084314E-3</v>
      </c>
      <c r="AF237" s="3">
        <f t="shared" si="198"/>
        <v>1.140529270860616E-3</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1.4642888439612509E-3</v>
      </c>
      <c r="C240" s="3">
        <f t="shared" si="201"/>
        <v>1.4642888439612509E-3</v>
      </c>
      <c r="D240" s="3">
        <f t="shared" si="201"/>
        <v>1.4642888439612509E-3</v>
      </c>
      <c r="E240" s="3">
        <f t="shared" si="201"/>
        <v>1.4642888439612509E-3</v>
      </c>
      <c r="F240" s="3">
        <f t="shared" si="201"/>
        <v>1.4642888439612509E-3</v>
      </c>
      <c r="G240" s="3">
        <f t="shared" si="201"/>
        <v>1.4642888439612509E-3</v>
      </c>
      <c r="H240" s="3">
        <f t="shared" si="201"/>
        <v>1.4642888439612509E-3</v>
      </c>
      <c r="I240" s="3">
        <f t="shared" si="201"/>
        <v>1.4642888439612509E-3</v>
      </c>
      <c r="J240" s="3">
        <f t="shared" si="201"/>
        <v>1.4642888439612509E-3</v>
      </c>
      <c r="K240" s="3">
        <f t="shared" si="201"/>
        <v>1.4642888439612509E-3</v>
      </c>
      <c r="L240" s="3">
        <f t="shared" si="201"/>
        <v>1.4642888439612509E-3</v>
      </c>
      <c r="M240" s="3">
        <f t="shared" si="201"/>
        <v>1.4642888439612509E-3</v>
      </c>
      <c r="N240" s="3">
        <f t="shared" si="201"/>
        <v>1.4642888439612509E-3</v>
      </c>
      <c r="O240" s="3">
        <f t="shared" si="201"/>
        <v>1.4642888439612509E-3</v>
      </c>
      <c r="P240" s="3">
        <f t="shared" si="201"/>
        <v>1.4642888439612509E-3</v>
      </c>
      <c r="Q240" s="3">
        <f t="shared" si="201"/>
        <v>1.4642888439612509E-3</v>
      </c>
      <c r="R240" s="3">
        <f t="shared" si="201"/>
        <v>1.4642888439612509E-3</v>
      </c>
      <c r="S240" s="3">
        <f t="shared" si="201"/>
        <v>1.4642888439612509E-3</v>
      </c>
      <c r="T240" s="3">
        <f t="shared" si="201"/>
        <v>1.4642888439612509E-3</v>
      </c>
      <c r="U240" s="3">
        <f t="shared" si="201"/>
        <v>1.4642888439612509E-3</v>
      </c>
      <c r="V240" s="3">
        <f t="shared" si="201"/>
        <v>1.4642888439612503E-3</v>
      </c>
      <c r="W240" s="3">
        <f t="shared" si="201"/>
        <v>1.4642888439612442E-3</v>
      </c>
      <c r="X240" s="3">
        <f t="shared" si="201"/>
        <v>1.4642888439611822E-3</v>
      </c>
      <c r="Y240" s="3">
        <f t="shared" si="201"/>
        <v>1.4642888439605627E-3</v>
      </c>
      <c r="Z240" s="3">
        <f t="shared" si="201"/>
        <v>1.4642888439543689E-3</v>
      </c>
      <c r="AA240" s="3">
        <f t="shared" si="201"/>
        <v>1.4642888438924297E-3</v>
      </c>
      <c r="AB240" s="3">
        <f t="shared" si="201"/>
        <v>1.4642888432730393E-3</v>
      </c>
      <c r="AC240" s="3">
        <f t="shared" si="201"/>
        <v>1.4642888370791347E-3</v>
      </c>
      <c r="AD240" s="3">
        <f t="shared" si="201"/>
        <v>1.4642887751400897E-3</v>
      </c>
      <c r="AE240" s="3">
        <f t="shared" si="201"/>
        <v>1.4642881557497837E-3</v>
      </c>
      <c r="AF240" s="3">
        <f t="shared" si="201"/>
        <v>1.4642819618611346E-3</v>
      </c>
      <c r="AG240" s="3"/>
      <c r="AH240" s="3"/>
    </row>
    <row r="241" spans="1:34" x14ac:dyDescent="0.25">
      <c r="A241" s="79">
        <f>AVERAGE(B241:AF241)</f>
        <v>6.0250764869467371E-2</v>
      </c>
      <c r="B241" s="80">
        <f>IF($A$64&lt;=B207,IF($B$64&gt;=B207,ABS((B209-B208)/B208),0),0)</f>
        <v>0.11855795148331731</v>
      </c>
      <c r="C241" s="80">
        <f t="shared" ref="C241:AF241" si="202">IF($A$64&lt;=C207,IF($B$64&gt;=C207,ABS((C209-C208)/C208),0),0)</f>
        <v>0.1026449099675885</v>
      </c>
      <c r="D241" s="80">
        <f t="shared" si="202"/>
        <v>8.6868658766611304E-2</v>
      </c>
      <c r="E241" s="80">
        <f t="shared" si="202"/>
        <v>6.9721931339889812E-2</v>
      </c>
      <c r="F241" s="80">
        <f t="shared" si="202"/>
        <v>5.0255335722671192E-2</v>
      </c>
      <c r="G241" s="80">
        <f t="shared" si="202"/>
        <v>3.3073401093400345E-2</v>
      </c>
      <c r="H241" s="80">
        <f t="shared" si="202"/>
        <v>3.8107054548596746E-2</v>
      </c>
      <c r="I241" s="80">
        <f t="shared" si="202"/>
        <v>4.2388630708201806E-2</v>
      </c>
      <c r="J241" s="80">
        <f t="shared" si="202"/>
        <v>4.1905549502684686E-2</v>
      </c>
      <c r="K241" s="80">
        <f t="shared" si="202"/>
        <v>4.5474850501824114E-2</v>
      </c>
      <c r="L241" s="80">
        <f t="shared" si="202"/>
        <v>4.7145907568257754E-2</v>
      </c>
      <c r="M241" s="80">
        <f t="shared" si="202"/>
        <v>4.5702499731997574E-2</v>
      </c>
      <c r="N241" s="80">
        <f t="shared" si="202"/>
        <v>4.4439049055677658E-2</v>
      </c>
      <c r="O241" s="80">
        <f t="shared" si="202"/>
        <v>4.4347675144312405E-2</v>
      </c>
      <c r="P241" s="80">
        <f t="shared" si="202"/>
        <v>4.6021468322251638E-2</v>
      </c>
      <c r="Q241" s="80">
        <f t="shared" si="202"/>
        <v>4.5931602896468311E-2</v>
      </c>
      <c r="R241" s="80">
        <f t="shared" si="202"/>
        <v>4.7746306347851084E-2</v>
      </c>
      <c r="S241" s="80">
        <f t="shared" si="202"/>
        <v>3.9424511053136588E-2</v>
      </c>
      <c r="T241" s="80">
        <f t="shared" si="202"/>
        <v>1.6584952199671085E-2</v>
      </c>
      <c r="U241" s="80">
        <f t="shared" si="202"/>
        <v>0.15130238372756713</v>
      </c>
      <c r="V241" s="80">
        <f t="shared" si="202"/>
        <v>0.21490744186882577</v>
      </c>
      <c r="W241" s="80">
        <f t="shared" si="202"/>
        <v>0.15585473497904351</v>
      </c>
      <c r="X241" s="80">
        <f t="shared" si="202"/>
        <v>6.3659138546671074E-2</v>
      </c>
      <c r="Y241" s="80">
        <f t="shared" si="202"/>
        <v>2.5777351025635397E-2</v>
      </c>
      <c r="Z241" s="80">
        <f t="shared" si="202"/>
        <v>6.5649168444056646E-2</v>
      </c>
      <c r="AA241" s="80">
        <f t="shared" si="202"/>
        <v>8.6471240162935337E-2</v>
      </c>
      <c r="AB241" s="80">
        <f t="shared" si="202"/>
        <v>2.8320365905679181E-2</v>
      </c>
      <c r="AC241" s="80">
        <f t="shared" si="202"/>
        <v>3.9607902112507337E-2</v>
      </c>
      <c r="AD241" s="80">
        <f t="shared" si="202"/>
        <v>9.1481194547490055E-3</v>
      </c>
      <c r="AE241" s="80">
        <f t="shared" si="202"/>
        <v>7.0239977232601867E-3</v>
      </c>
      <c r="AF241" s="80">
        <f t="shared" si="202"/>
        <v>1.3709621048148228E-2</v>
      </c>
    </row>
    <row r="242" spans="1:34" x14ac:dyDescent="0.25">
      <c r="B242" s="21">
        <f>(B209-B208)^2</f>
        <v>1703655.9013925402</v>
      </c>
      <c r="C242" s="21">
        <f t="shared" ref="C242:AF242" si="203">(C209-C208)^2</f>
        <v>1228158.3701475197</v>
      </c>
      <c r="D242" s="21">
        <f t="shared" si="203"/>
        <v>849498.8559941717</v>
      </c>
      <c r="E242" s="21">
        <f t="shared" si="203"/>
        <v>527187.39426613168</v>
      </c>
      <c r="F242" s="21">
        <f t="shared" si="203"/>
        <v>262477.55930570542</v>
      </c>
      <c r="G242" s="21">
        <f t="shared" si="203"/>
        <v>108462.20603999922</v>
      </c>
      <c r="H242" s="21">
        <f t="shared" si="203"/>
        <v>136040.21635012928</v>
      </c>
      <c r="I242" s="21">
        <f t="shared" si="203"/>
        <v>159749.63912461107</v>
      </c>
      <c r="J242" s="21">
        <f t="shared" si="203"/>
        <v>147565.72914122956</v>
      </c>
      <c r="K242" s="21">
        <f t="shared" si="203"/>
        <v>162752.64652562581</v>
      </c>
      <c r="L242" s="21">
        <f t="shared" si="203"/>
        <v>161388.68133421373</v>
      </c>
      <c r="M242" s="21">
        <f t="shared" si="203"/>
        <v>139066.61870538851</v>
      </c>
      <c r="N242" s="21">
        <f t="shared" si="203"/>
        <v>121811.43849738377</v>
      </c>
      <c r="O242" s="21">
        <f t="shared" si="203"/>
        <v>112799.3811176272</v>
      </c>
      <c r="P242" s="21">
        <f t="shared" si="203"/>
        <v>112677.17397573878</v>
      </c>
      <c r="Q242" s="21">
        <f t="shared" si="203"/>
        <v>103505.25774337868</v>
      </c>
      <c r="R242" s="21">
        <f t="shared" si="203"/>
        <v>102829.44983153173</v>
      </c>
      <c r="S242" s="21">
        <f t="shared" si="203"/>
        <v>62032.705874987892</v>
      </c>
      <c r="T242" s="21">
        <f t="shared" si="203"/>
        <v>8549.3256355756857</v>
      </c>
      <c r="U242" s="21">
        <f t="shared" si="203"/>
        <v>467170.66232356481</v>
      </c>
      <c r="V242" s="21">
        <f t="shared" si="203"/>
        <v>591662.82568664441</v>
      </c>
      <c r="W242" s="21">
        <f t="shared" si="203"/>
        <v>195478.14225794878</v>
      </c>
      <c r="X242" s="21">
        <f t="shared" si="203"/>
        <v>19858.827571558173</v>
      </c>
      <c r="Y242" s="21">
        <f t="shared" si="203"/>
        <v>1810.4137481675107</v>
      </c>
      <c r="Z242" s="21">
        <f t="shared" si="203"/>
        <v>5886.164116632659</v>
      </c>
      <c r="AA242" s="21">
        <f t="shared" si="203"/>
        <v>5004.1580492969952</v>
      </c>
      <c r="AB242" s="21">
        <f t="shared" si="203"/>
        <v>287.80370234286448</v>
      </c>
      <c r="AC242" s="21">
        <f t="shared" si="203"/>
        <v>373.64394425491275</v>
      </c>
      <c r="AD242" s="21">
        <f t="shared" si="203"/>
        <v>15.583018818039264</v>
      </c>
      <c r="AE242" s="21">
        <f t="shared" si="203"/>
        <v>7.9753764862045324</v>
      </c>
      <c r="AF242" s="21">
        <f t="shared" si="203"/>
        <v>28.076014301013622</v>
      </c>
      <c r="AG242" s="3"/>
      <c r="AH242" s="3"/>
    </row>
    <row r="243" spans="1:34" x14ac:dyDescent="0.25">
      <c r="A243" s="71">
        <f>SUM(B243:AF243)</f>
        <v>7497792.826813505</v>
      </c>
      <c r="B243" s="60">
        <f>IF($A$64&lt;=B207,IF($B$64&gt;=B207,ABS(B242),0),0)</f>
        <v>1703655.9013925402</v>
      </c>
      <c r="C243" s="60">
        <f t="shared" ref="C243" si="204">IF($A$64&lt;=C207,IF($B$64&gt;=C207,ABS(C242),0),0)</f>
        <v>1228158.3701475197</v>
      </c>
      <c r="D243" s="60">
        <f t="shared" ref="D243" si="205">IF($A$64&lt;=D207,IF($B$64&gt;=D207,ABS(D242),0),0)</f>
        <v>849498.8559941717</v>
      </c>
      <c r="E243" s="60">
        <f t="shared" ref="E243" si="206">IF($A$64&lt;=E207,IF($B$64&gt;=E207,ABS(E242),0),0)</f>
        <v>527187.39426613168</v>
      </c>
      <c r="F243" s="60">
        <f t="shared" ref="F243" si="207">IF($A$64&lt;=F207,IF($B$64&gt;=F207,ABS(F242),0),0)</f>
        <v>262477.55930570542</v>
      </c>
      <c r="G243" s="60">
        <f t="shared" ref="G243" si="208">IF($A$64&lt;=G207,IF($B$64&gt;=G207,ABS(G242),0),0)</f>
        <v>108462.20603999922</v>
      </c>
      <c r="H243" s="60">
        <f t="shared" ref="H243" si="209">IF($A$64&lt;=H207,IF($B$64&gt;=H207,ABS(H242),0),0)</f>
        <v>136040.21635012928</v>
      </c>
      <c r="I243" s="60">
        <f t="shared" ref="I243" si="210">IF($A$64&lt;=I207,IF($B$64&gt;=I207,ABS(I242),0),0)</f>
        <v>159749.63912461107</v>
      </c>
      <c r="J243" s="60">
        <f t="shared" ref="J243" si="211">IF($A$64&lt;=J207,IF($B$64&gt;=J207,ABS(J242),0),0)</f>
        <v>147565.72914122956</v>
      </c>
      <c r="K243" s="60">
        <f t="shared" ref="K243" si="212">IF($A$64&lt;=K207,IF($B$64&gt;=K207,ABS(K242),0),0)</f>
        <v>162752.64652562581</v>
      </c>
      <c r="L243" s="60">
        <f t="shared" ref="L243" si="213">IF($A$64&lt;=L207,IF($B$64&gt;=L207,ABS(L242),0),0)</f>
        <v>161388.68133421373</v>
      </c>
      <c r="M243" s="60">
        <f t="shared" ref="M243" si="214">IF($A$64&lt;=M207,IF($B$64&gt;=M207,ABS(M242),0),0)</f>
        <v>139066.61870538851</v>
      </c>
      <c r="N243" s="60">
        <f t="shared" ref="N243" si="215">IF($A$64&lt;=N207,IF($B$64&gt;=N207,ABS(N242),0),0)</f>
        <v>121811.43849738377</v>
      </c>
      <c r="O243" s="60">
        <f t="shared" ref="O243" si="216">IF($A$64&lt;=O207,IF($B$64&gt;=O207,ABS(O242),0),0)</f>
        <v>112799.3811176272</v>
      </c>
      <c r="P243" s="60">
        <f t="shared" ref="P243" si="217">IF($A$64&lt;=P207,IF($B$64&gt;=P207,ABS(P242),0),0)</f>
        <v>112677.17397573878</v>
      </c>
      <c r="Q243" s="60">
        <f t="shared" ref="Q243" si="218">IF($A$64&lt;=Q207,IF($B$64&gt;=Q207,ABS(Q242),0),0)</f>
        <v>103505.25774337868</v>
      </c>
      <c r="R243" s="60">
        <f t="shared" ref="R243" si="219">IF($A$64&lt;=R207,IF($B$64&gt;=R207,ABS(R242),0),0)</f>
        <v>102829.44983153173</v>
      </c>
      <c r="S243" s="60">
        <f t="shared" ref="S243" si="220">IF($A$64&lt;=S207,IF($B$64&gt;=S207,ABS(S242),0),0)</f>
        <v>62032.705874987892</v>
      </c>
      <c r="T243" s="60">
        <f t="shared" ref="T243" si="221">IF($A$64&lt;=T207,IF($B$64&gt;=T207,ABS(T242),0),0)</f>
        <v>8549.3256355756857</v>
      </c>
      <c r="U243" s="60">
        <f t="shared" ref="U243" si="222">IF($A$64&lt;=U207,IF($B$64&gt;=U207,ABS(U242),0),0)</f>
        <v>467170.66232356481</v>
      </c>
      <c r="V243" s="60">
        <f t="shared" ref="V243" si="223">IF($A$64&lt;=V207,IF($B$64&gt;=V207,ABS(V242),0),0)</f>
        <v>591662.82568664441</v>
      </c>
      <c r="W243" s="60">
        <f t="shared" ref="W243" si="224">IF($A$64&lt;=W207,IF($B$64&gt;=W207,ABS(W242),0),0)</f>
        <v>195478.14225794878</v>
      </c>
      <c r="X243" s="60">
        <f t="shared" ref="X243" si="225">IF($A$64&lt;=X207,IF($B$64&gt;=X207,ABS(X242),0),0)</f>
        <v>19858.827571558173</v>
      </c>
      <c r="Y243" s="60">
        <f t="shared" ref="Y243" si="226">IF($A$64&lt;=Y207,IF($B$64&gt;=Y207,ABS(Y242),0),0)</f>
        <v>1810.4137481675107</v>
      </c>
      <c r="Z243" s="60">
        <f t="shared" ref="Z243" si="227">IF($A$64&lt;=Z207,IF($B$64&gt;=Z207,ABS(Z242),0),0)</f>
        <v>5886.164116632659</v>
      </c>
      <c r="AA243" s="60">
        <f t="shared" ref="AA243" si="228">IF($A$64&lt;=AA207,IF($B$64&gt;=AA207,ABS(AA242),0),0)</f>
        <v>5004.1580492969952</v>
      </c>
      <c r="AB243" s="60">
        <f t="shared" ref="AB243" si="229">IF($A$64&lt;=AB207,IF($B$64&gt;=AB207,ABS(AB242),0),0)</f>
        <v>287.80370234286448</v>
      </c>
      <c r="AC243" s="60">
        <f t="shared" ref="AC243" si="230">IF($A$64&lt;=AC207,IF($B$64&gt;=AC207,ABS(AC242),0),0)</f>
        <v>373.64394425491275</v>
      </c>
      <c r="AD243" s="60">
        <f t="shared" ref="AD243" si="231">IF($A$64&lt;=AD207,IF($B$64&gt;=AD207,ABS(AD242),0),0)</f>
        <v>15.583018818039264</v>
      </c>
      <c r="AE243" s="60">
        <f t="shared" ref="AE243" si="232">IF($A$64&lt;=AE207,IF($B$64&gt;=AE207,ABS(AE242),0),0)</f>
        <v>7.9753764862045324</v>
      </c>
      <c r="AF243" s="60">
        <f t="shared" ref="AF243" si="233">IF($A$64&lt;=AF207,IF($B$64&gt;=AF207,ABS(AF242),0),0)</f>
        <v>28.076014301013622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9688.445594860741</v>
      </c>
      <c r="C248" s="27">
        <f t="shared" ref="C248:AF248" si="234">($C$17+SUM(C249:C279))*$B$51</f>
        <v>9688.3895843073333</v>
      </c>
      <c r="D248" s="27">
        <f t="shared" si="234"/>
        <v>9687.8297944878323</v>
      </c>
      <c r="E248" s="27">
        <f t="shared" si="234"/>
        <v>9682.2633445996562</v>
      </c>
      <c r="F248" s="27">
        <f t="shared" si="234"/>
        <v>9629.6240682532716</v>
      </c>
      <c r="G248" s="27">
        <f t="shared" si="234"/>
        <v>9314.6064020056911</v>
      </c>
      <c r="H248" s="27">
        <f t="shared" si="234"/>
        <v>9031.5024286568532</v>
      </c>
      <c r="I248" s="27">
        <f t="shared" si="234"/>
        <v>8785.7961465053668</v>
      </c>
      <c r="J248" s="27">
        <f t="shared" si="234"/>
        <v>8471.4490597832973</v>
      </c>
      <c r="K248" s="27">
        <f t="shared" si="234"/>
        <v>8122.8652830974934</v>
      </c>
      <c r="L248" s="27">
        <f t="shared" si="234"/>
        <v>7789.592343461667</v>
      </c>
      <c r="M248" s="27">
        <f t="shared" si="234"/>
        <v>7507.1721922036249</v>
      </c>
      <c r="N248" s="27">
        <f t="shared" si="234"/>
        <v>7239.9044304861018</v>
      </c>
      <c r="O248" s="27">
        <f t="shared" si="234"/>
        <v>6960.5382348553812</v>
      </c>
      <c r="P248" s="27">
        <f t="shared" si="234"/>
        <v>6685.0114429689847</v>
      </c>
      <c r="Q248" s="27">
        <f t="shared" si="234"/>
        <v>6397.9239592980803</v>
      </c>
      <c r="R248" s="27">
        <f t="shared" si="234"/>
        <v>6071.5820687046535</v>
      </c>
      <c r="S248" s="27">
        <f t="shared" si="234"/>
        <v>5670.7810051465958</v>
      </c>
      <c r="T248" s="27">
        <f t="shared" si="234"/>
        <v>5206.5941110628364</v>
      </c>
      <c r="U248" s="27">
        <f t="shared" si="234"/>
        <v>4356.9159663716509</v>
      </c>
      <c r="V248" s="27">
        <f t="shared" si="234"/>
        <v>3288.012426626352</v>
      </c>
      <c r="W248" s="27">
        <f t="shared" si="234"/>
        <v>2362.5310835584082</v>
      </c>
      <c r="X248" s="27">
        <f t="shared" si="234"/>
        <v>1614.4359509286132</v>
      </c>
      <c r="Y248" s="27">
        <f t="shared" si="234"/>
        <v>1096.4035001698537</v>
      </c>
      <c r="Z248" s="27">
        <f t="shared" si="234"/>
        <v>750.18422224871244</v>
      </c>
      <c r="AA248" s="27">
        <f t="shared" si="234"/>
        <v>583.59084932353971</v>
      </c>
      <c r="AB248" s="27">
        <f t="shared" si="234"/>
        <v>469.15795339514955</v>
      </c>
      <c r="AC248" s="27">
        <f t="shared" si="234"/>
        <v>427.83384086259497</v>
      </c>
      <c r="AD248" s="27">
        <f t="shared" si="234"/>
        <v>399.44268619763642</v>
      </c>
      <c r="AE248" s="27">
        <f t="shared" si="234"/>
        <v>381.24558859190029</v>
      </c>
      <c r="AF248" s="27">
        <f t="shared" si="234"/>
        <v>372.84509609477595</v>
      </c>
      <c r="AG248" s="27"/>
      <c r="AH248" s="27"/>
    </row>
    <row r="249" spans="1:34" x14ac:dyDescent="0.25">
      <c r="B249" s="3">
        <f t="shared" ref="B249:AF249" si="235">$C18*EXP(-B$246/$A18/EXP(-$E$126))</f>
        <v>1.6169038579363731E-21</v>
      </c>
      <c r="C249" s="3">
        <f t="shared" si="235"/>
        <v>3.0695625817207414E-201</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4.4678174590281255E-2</v>
      </c>
      <c r="C250" s="3">
        <f t="shared" si="236"/>
        <v>4.4673438823606713E-2</v>
      </c>
      <c r="D250" s="3">
        <f t="shared" si="236"/>
        <v>4.4626108756904814E-2</v>
      </c>
      <c r="E250" s="3">
        <f t="shared" si="236"/>
        <v>4.4155557299833628E-2</v>
      </c>
      <c r="F250" s="3">
        <f t="shared" si="236"/>
        <v>3.971447998322334E-2</v>
      </c>
      <c r="G250" s="3">
        <f t="shared" si="236"/>
        <v>1.3758908377320491E-2</v>
      </c>
      <c r="H250" s="3">
        <f t="shared" si="236"/>
        <v>3.4271645879291146E-7</v>
      </c>
      <c r="I250" s="3">
        <f t="shared" si="236"/>
        <v>3.1509738034798159E-53</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1.5679162669807751E-2</v>
      </c>
      <c r="C251" s="3">
        <f t="shared" si="237"/>
        <v>1.5679012740935385E-2</v>
      </c>
      <c r="D251" s="3">
        <f t="shared" si="237"/>
        <v>1.567751353106105E-2</v>
      </c>
      <c r="E251" s="3">
        <f t="shared" si="237"/>
        <v>1.5662529314460005E-2</v>
      </c>
      <c r="F251" s="3">
        <f t="shared" si="237"/>
        <v>1.5513472581040829E-2</v>
      </c>
      <c r="G251" s="3">
        <f t="shared" si="237"/>
        <v>1.4098739247327723E-2</v>
      </c>
      <c r="H251" s="3">
        <f t="shared" si="237"/>
        <v>5.418671689405425E-3</v>
      </c>
      <c r="I251" s="3">
        <f t="shared" si="237"/>
        <v>3.8108200233484354E-7</v>
      </c>
      <c r="J251" s="3">
        <f t="shared" si="237"/>
        <v>1.12790997856283E-48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2.5896952973653079E-2</v>
      </c>
      <c r="C252" s="3">
        <f t="shared" si="238"/>
        <v>2.5896930634867636E-2</v>
      </c>
      <c r="D252" s="3">
        <f t="shared" si="238"/>
        <v>2.5896707248073005E-2</v>
      </c>
      <c r="E252" s="3">
        <f t="shared" si="238"/>
        <v>2.5894473486105306E-2</v>
      </c>
      <c r="F252" s="3">
        <f t="shared" si="238"/>
        <v>2.5872146460905982E-2</v>
      </c>
      <c r="G252" s="3">
        <f t="shared" si="238"/>
        <v>2.5649932283099055E-2</v>
      </c>
      <c r="H252" s="3">
        <f t="shared" si="238"/>
        <v>2.3530103688024537E-2</v>
      </c>
      <c r="I252" s="3">
        <f t="shared" si="238"/>
        <v>9.9311609754847169E-3</v>
      </c>
      <c r="J252" s="3">
        <f t="shared" si="238"/>
        <v>1.7814015540523794E-6</v>
      </c>
      <c r="K252" s="3">
        <f t="shared" si="238"/>
        <v>6.1429910205003768E-44</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3.0557565666524966E-2</v>
      </c>
      <c r="C253" s="3">
        <f t="shared" si="239"/>
        <v>3.0557563288719045E-2</v>
      </c>
      <c r="D253" s="3">
        <f t="shared" si="239"/>
        <v>3.0557539510670029E-2</v>
      </c>
      <c r="E253" s="3">
        <f t="shared" si="239"/>
        <v>3.0557301731197525E-2</v>
      </c>
      <c r="F253" s="3">
        <f t="shared" si="239"/>
        <v>3.0554924038233809E-2</v>
      </c>
      <c r="G253" s="3">
        <f t="shared" si="239"/>
        <v>3.0531157281803122E-2</v>
      </c>
      <c r="H253" s="3">
        <f t="shared" si="239"/>
        <v>3.0294504115240997E-2</v>
      </c>
      <c r="I253" s="3">
        <f t="shared" si="239"/>
        <v>2.8026551449831041E-2</v>
      </c>
      <c r="J253" s="3">
        <f t="shared" si="239"/>
        <v>1.2871460019999443E-2</v>
      </c>
      <c r="K253" s="3">
        <f t="shared" si="239"/>
        <v>5.3729067539250761E-6</v>
      </c>
      <c r="L253" s="3">
        <f t="shared" si="239"/>
        <v>8.6302667213198893E-40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3.3957641126029697E-2</v>
      </c>
      <c r="C254" s="3">
        <f t="shared" si="240"/>
        <v>3.3957640887665091E-2</v>
      </c>
      <c r="D254" s="3">
        <f t="shared" si="240"/>
        <v>3.3957638504019116E-2</v>
      </c>
      <c r="E254" s="3">
        <f t="shared" si="240"/>
        <v>3.3957614667568539E-2</v>
      </c>
      <c r="F254" s="3">
        <f t="shared" si="240"/>
        <v>3.3957376303983017E-2</v>
      </c>
      <c r="G254" s="3">
        <f t="shared" si="240"/>
        <v>3.3954992760150737E-2</v>
      </c>
      <c r="H254" s="3">
        <f t="shared" si="240"/>
        <v>3.3931166521734134E-2</v>
      </c>
      <c r="I254" s="3">
        <f t="shared" si="240"/>
        <v>3.3693821743263547E-2</v>
      </c>
      <c r="J254" s="3">
        <f t="shared" si="240"/>
        <v>3.1409795406583459E-2</v>
      </c>
      <c r="K254" s="3">
        <f t="shared" si="240"/>
        <v>1.5567305347016773E-2</v>
      </c>
      <c r="L254" s="3">
        <f t="shared" si="240"/>
        <v>1.3921845467106587E-5</v>
      </c>
      <c r="M254" s="3">
        <f t="shared" si="240"/>
        <v>4.5554413145159171E-36</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2.7970835030562569E-2</v>
      </c>
      <c r="C255" s="3">
        <f t="shared" si="241"/>
        <v>2.7970835012851032E-2</v>
      </c>
      <c r="D255" s="3">
        <f t="shared" si="241"/>
        <v>2.7970834835735651E-2</v>
      </c>
      <c r="E255" s="3">
        <f t="shared" si="241"/>
        <v>2.7970833064581899E-2</v>
      </c>
      <c r="F255" s="3">
        <f t="shared" si="241"/>
        <v>2.7970815353050526E-2</v>
      </c>
      <c r="G255" s="3">
        <f t="shared" si="241"/>
        <v>2.7970638238353666E-2</v>
      </c>
      <c r="H255" s="3">
        <f t="shared" si="241"/>
        <v>2.7968867153067057E-2</v>
      </c>
      <c r="I255" s="3">
        <f t="shared" si="241"/>
        <v>2.7951162466957009E-2</v>
      </c>
      <c r="J255" s="3">
        <f t="shared" si="241"/>
        <v>2.7774730839099721E-2</v>
      </c>
      <c r="K255" s="3">
        <f t="shared" si="241"/>
        <v>2.6070520547917201E-2</v>
      </c>
      <c r="L255" s="3">
        <f t="shared" si="241"/>
        <v>1.3840384042022763E-2</v>
      </c>
      <c r="M255" s="3">
        <f t="shared" si="241"/>
        <v>2.4611184939099315E-5</v>
      </c>
      <c r="N255" s="3">
        <f t="shared" si="241"/>
        <v>7.7799418756170962E-33</v>
      </c>
      <c r="O255" s="3">
        <f t="shared" si="241"/>
        <v>7.7520155806911087E-308</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2.3282403551345563E-2</v>
      </c>
      <c r="C256" s="3">
        <f t="shared" si="242"/>
        <v>2.3282403550015644E-2</v>
      </c>
      <c r="D256" s="3">
        <f t="shared" si="242"/>
        <v>2.3282403536716453E-2</v>
      </c>
      <c r="E256" s="3">
        <f t="shared" si="242"/>
        <v>2.3282403403724537E-2</v>
      </c>
      <c r="F256" s="3">
        <f t="shared" si="242"/>
        <v>2.3282402073805393E-2</v>
      </c>
      <c r="G256" s="3">
        <f t="shared" si="242"/>
        <v>2.3282388774618145E-2</v>
      </c>
      <c r="H256" s="3">
        <f t="shared" si="242"/>
        <v>2.3282255783163494E-2</v>
      </c>
      <c r="I256" s="3">
        <f t="shared" si="242"/>
        <v>2.3280925910397626E-2</v>
      </c>
      <c r="J256" s="3">
        <f t="shared" si="242"/>
        <v>2.3267631359920951E-2</v>
      </c>
      <c r="K256" s="3">
        <f t="shared" si="242"/>
        <v>2.3135102691862322E-2</v>
      </c>
      <c r="L256" s="3">
        <f t="shared" si="242"/>
        <v>2.1850632002706732E-2</v>
      </c>
      <c r="M256" s="3">
        <f t="shared" si="242"/>
        <v>1.234211862654591E-2</v>
      </c>
      <c r="N256" s="3">
        <f t="shared" si="242"/>
        <v>4.0798749351793898E-5</v>
      </c>
      <c r="O256" s="3">
        <f t="shared" si="242"/>
        <v>6.3565020451023399E-30</v>
      </c>
      <c r="P256" s="3">
        <f t="shared" si="242"/>
        <v>5.3571227497528412E-278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2.595552456218235E-2</v>
      </c>
      <c r="C257" s="3">
        <f t="shared" si="243"/>
        <v>2.5955524562048606E-2</v>
      </c>
      <c r="D257" s="3">
        <f t="shared" si="243"/>
        <v>2.5955524560711166E-2</v>
      </c>
      <c r="E257" s="3">
        <f t="shared" si="243"/>
        <v>2.5955524547336781E-2</v>
      </c>
      <c r="F257" s="3">
        <f t="shared" si="243"/>
        <v>2.5955524413592928E-2</v>
      </c>
      <c r="G257" s="3">
        <f t="shared" si="243"/>
        <v>2.5955523076154403E-2</v>
      </c>
      <c r="H257" s="3">
        <f t="shared" si="243"/>
        <v>2.5955509701772992E-2</v>
      </c>
      <c r="I257" s="3">
        <f t="shared" si="243"/>
        <v>2.5955375958337881E-2</v>
      </c>
      <c r="J257" s="3">
        <f t="shared" si="243"/>
        <v>2.5954038561889582E-2</v>
      </c>
      <c r="K257" s="3">
        <f t="shared" si="243"/>
        <v>2.5940668386964683E-2</v>
      </c>
      <c r="L257" s="3">
        <f t="shared" si="243"/>
        <v>2.5807344872022023E-2</v>
      </c>
      <c r="M257" s="3">
        <f t="shared" si="243"/>
        <v>2.451122186602615E-2</v>
      </c>
      <c r="N257" s="3">
        <f t="shared" si="243"/>
        <v>1.4641356547836245E-2</v>
      </c>
      <c r="O257" s="3">
        <f t="shared" si="243"/>
        <v>8.4672985663523936E-5</v>
      </c>
      <c r="P257" s="3">
        <f t="shared" si="243"/>
        <v>3.5430758008338405E-27</v>
      </c>
      <c r="Q257" s="3">
        <f t="shared" si="243"/>
        <v>5.8309073921135407E-251</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2.4758413339815485E-2</v>
      </c>
      <c r="C258" s="3">
        <f t="shared" si="244"/>
        <v>2.4758413339803973E-2</v>
      </c>
      <c r="D258" s="3">
        <f t="shared" si="244"/>
        <v>2.4758413339688892E-2</v>
      </c>
      <c r="E258" s="3">
        <f t="shared" si="244"/>
        <v>2.4758413338538055E-2</v>
      </c>
      <c r="F258" s="3">
        <f t="shared" si="244"/>
        <v>2.4758413327029695E-2</v>
      </c>
      <c r="G258" s="3">
        <f t="shared" si="244"/>
        <v>2.4758413211946096E-2</v>
      </c>
      <c r="H258" s="3">
        <f t="shared" si="244"/>
        <v>2.4758412061110149E-2</v>
      </c>
      <c r="I258" s="3">
        <f t="shared" si="244"/>
        <v>2.4758400552753634E-2</v>
      </c>
      <c r="J258" s="3">
        <f t="shared" si="244"/>
        <v>2.4758285469482669E-2</v>
      </c>
      <c r="K258" s="3">
        <f t="shared" si="244"/>
        <v>2.4757134666194093E-2</v>
      </c>
      <c r="L258" s="3">
        <f t="shared" si="244"/>
        <v>2.4745629574909247E-2</v>
      </c>
      <c r="M258" s="3">
        <f t="shared" si="244"/>
        <v>2.4630872316868342E-2</v>
      </c>
      <c r="N258" s="3">
        <f t="shared" si="244"/>
        <v>2.3512166390877855E-2</v>
      </c>
      <c r="O258" s="3">
        <f t="shared" si="244"/>
        <v>1.4771383796876328E-2</v>
      </c>
      <c r="P258" s="3">
        <f t="shared" si="244"/>
        <v>1.4148374299406615E-4</v>
      </c>
      <c r="Q258" s="3">
        <f t="shared" si="244"/>
        <v>9.1951776514584574E-25</v>
      </c>
      <c r="R258" s="3">
        <f t="shared" si="244"/>
        <v>1.2362205535992714E-226</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2.5498882300455245E-2</v>
      </c>
      <c r="C259" s="3">
        <f t="shared" si="245"/>
        <v>2.5498882300454172E-2</v>
      </c>
      <c r="D259" s="3">
        <f t="shared" si="245"/>
        <v>2.5498882300443483E-2</v>
      </c>
      <c r="E259" s="3">
        <f t="shared" si="245"/>
        <v>2.5498882300336562E-2</v>
      </c>
      <c r="F259" s="3">
        <f t="shared" si="245"/>
        <v>2.5498882299267365E-2</v>
      </c>
      <c r="G259" s="3">
        <f t="shared" si="245"/>
        <v>2.5498882288575379E-2</v>
      </c>
      <c r="H259" s="3">
        <f t="shared" si="245"/>
        <v>2.5498882181655524E-2</v>
      </c>
      <c r="I259" s="3">
        <f t="shared" si="245"/>
        <v>2.5498881112457013E-2</v>
      </c>
      <c r="J259" s="3">
        <f t="shared" si="245"/>
        <v>2.5498870420474357E-2</v>
      </c>
      <c r="K259" s="3">
        <f t="shared" si="245"/>
        <v>2.5498763500894375E-2</v>
      </c>
      <c r="L259" s="3">
        <f t="shared" si="245"/>
        <v>2.5497694329752171E-2</v>
      </c>
      <c r="M259" s="3">
        <f t="shared" si="245"/>
        <v>2.5487005083707461E-2</v>
      </c>
      <c r="N259" s="3">
        <f t="shared" si="245"/>
        <v>2.5380358778928754E-2</v>
      </c>
      <c r="O259" s="3">
        <f t="shared" si="245"/>
        <v>2.4338133644295216E-2</v>
      </c>
      <c r="P259" s="3">
        <f t="shared" si="245"/>
        <v>1.6002300323679358E-2</v>
      </c>
      <c r="Q259" s="3">
        <f t="shared" si="245"/>
        <v>2.4162055031603922E-4</v>
      </c>
      <c r="R259" s="3">
        <f t="shared" si="245"/>
        <v>1.4881557705011632E-22</v>
      </c>
      <c r="S259" s="3">
        <f t="shared" si="245"/>
        <v>1.1689437910237857E-204</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2.6156174216144471E-2</v>
      </c>
      <c r="C260" s="3">
        <f t="shared" si="246"/>
        <v>2.6156174216144371E-2</v>
      </c>
      <c r="D260" s="3">
        <f t="shared" si="246"/>
        <v>2.6156174216143382E-2</v>
      </c>
      <c r="E260" s="3">
        <f t="shared" si="246"/>
        <v>2.6156174216133487E-2</v>
      </c>
      <c r="F260" s="3">
        <f t="shared" si="246"/>
        <v>2.6156174216034552E-2</v>
      </c>
      <c r="G260" s="3">
        <f t="shared" si="246"/>
        <v>2.6156174215045184E-2</v>
      </c>
      <c r="H260" s="3">
        <f t="shared" si="246"/>
        <v>2.6156174205151501E-2</v>
      </c>
      <c r="I260" s="3">
        <f t="shared" si="246"/>
        <v>2.6156174106214663E-2</v>
      </c>
      <c r="J260" s="3">
        <f t="shared" si="246"/>
        <v>2.6156173116846308E-2</v>
      </c>
      <c r="K260" s="3">
        <f t="shared" si="246"/>
        <v>2.6156163223164827E-2</v>
      </c>
      <c r="L260" s="3">
        <f t="shared" si="246"/>
        <v>2.6156064286555848E-2</v>
      </c>
      <c r="M260" s="3">
        <f t="shared" si="246"/>
        <v>2.6155074941048535E-2</v>
      </c>
      <c r="N260" s="3">
        <f t="shared" si="246"/>
        <v>2.6145183543935659E-2</v>
      </c>
      <c r="O260" s="3">
        <f t="shared" si="246"/>
        <v>2.6046475081104629E-2</v>
      </c>
      <c r="P260" s="3">
        <f t="shared" si="246"/>
        <v>2.5079656552191177E-2</v>
      </c>
      <c r="Q260" s="3">
        <f t="shared" si="246"/>
        <v>1.7180976989716667E-2</v>
      </c>
      <c r="R260" s="3">
        <f t="shared" si="246"/>
        <v>3.9112049110243309E-4</v>
      </c>
      <c r="S260" s="3">
        <f t="shared" si="246"/>
        <v>1.4619674500319889E-20</v>
      </c>
      <c r="T260" s="3">
        <f t="shared" si="246"/>
        <v>7.7841113807880124E-185</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3.7540941347655205E-2</v>
      </c>
      <c r="C261" s="3">
        <f t="shared" si="247"/>
        <v>3.7540941347655191E-2</v>
      </c>
      <c r="D261" s="3">
        <f t="shared" si="247"/>
        <v>3.7540941347655066E-2</v>
      </c>
      <c r="E261" s="3">
        <f t="shared" si="247"/>
        <v>3.7540941347653782E-2</v>
      </c>
      <c r="F261" s="3">
        <f t="shared" si="247"/>
        <v>3.7540941347640973E-2</v>
      </c>
      <c r="G261" s="3">
        <f t="shared" si="247"/>
        <v>3.7540941347512874E-2</v>
      </c>
      <c r="H261" s="3">
        <f t="shared" si="247"/>
        <v>3.7540941346231912E-2</v>
      </c>
      <c r="I261" s="3">
        <f t="shared" si="247"/>
        <v>3.7540941333422319E-2</v>
      </c>
      <c r="J261" s="3">
        <f t="shared" si="247"/>
        <v>3.754094120532632E-2</v>
      </c>
      <c r="K261" s="3">
        <f t="shared" si="247"/>
        <v>3.7540939924366391E-2</v>
      </c>
      <c r="L261" s="3">
        <f t="shared" si="247"/>
        <v>3.7540927114769522E-2</v>
      </c>
      <c r="M261" s="3">
        <f t="shared" si="247"/>
        <v>3.7540799019041213E-2</v>
      </c>
      <c r="N261" s="3">
        <f t="shared" si="247"/>
        <v>3.7539518085797446E-2</v>
      </c>
      <c r="O261" s="3">
        <f t="shared" si="247"/>
        <v>3.7526711156990314E-2</v>
      </c>
      <c r="P261" s="3">
        <f t="shared" si="247"/>
        <v>3.7398881928792614E-2</v>
      </c>
      <c r="Q261" s="3">
        <f t="shared" si="247"/>
        <v>3.6144295304378363E-2</v>
      </c>
      <c r="R261" s="3">
        <f t="shared" si="247"/>
        <v>2.5695152072685159E-2</v>
      </c>
      <c r="S261" s="3">
        <f t="shared" si="247"/>
        <v>8.4716010834344458E-4</v>
      </c>
      <c r="T261" s="3">
        <f t="shared" si="247"/>
        <v>1.2856079404546639E-18</v>
      </c>
      <c r="U261" s="3">
        <f t="shared" si="247"/>
        <v>8.3279677632251672E-167</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2.9964173015778757E-2</v>
      </c>
      <c r="C262" s="3">
        <f t="shared" si="248"/>
        <v>2.9964173015778757E-2</v>
      </c>
      <c r="D262" s="3">
        <f t="shared" si="248"/>
        <v>2.9964173015778747E-2</v>
      </c>
      <c r="E262" s="3">
        <f t="shared" si="248"/>
        <v>2.9964173015778653E-2</v>
      </c>
      <c r="F262" s="3">
        <f t="shared" si="248"/>
        <v>2.9964173015777733E-2</v>
      </c>
      <c r="G262" s="3">
        <f t="shared" si="248"/>
        <v>2.9964173015768508E-2</v>
      </c>
      <c r="H262" s="3">
        <f t="shared" si="248"/>
        <v>2.996417301567628E-2</v>
      </c>
      <c r="I262" s="3">
        <f t="shared" si="248"/>
        <v>2.9964173014753962E-2</v>
      </c>
      <c r="J262" s="3">
        <f t="shared" si="248"/>
        <v>2.9964173005530812E-2</v>
      </c>
      <c r="K262" s="3">
        <f t="shared" si="248"/>
        <v>2.9964172913299312E-2</v>
      </c>
      <c r="L262" s="3">
        <f t="shared" si="248"/>
        <v>2.9964171990984306E-2</v>
      </c>
      <c r="M262" s="3">
        <f t="shared" si="248"/>
        <v>2.9964162767835836E-2</v>
      </c>
      <c r="N262" s="3">
        <f t="shared" si="248"/>
        <v>2.9964070536507285E-2</v>
      </c>
      <c r="O262" s="3">
        <f t="shared" si="248"/>
        <v>2.9963148238835748E-2</v>
      </c>
      <c r="P262" s="3">
        <f t="shared" si="248"/>
        <v>2.9953926823339999E-2</v>
      </c>
      <c r="Q262" s="3">
        <f t="shared" si="248"/>
        <v>2.9861868612686457E-2</v>
      </c>
      <c r="R262" s="3">
        <f t="shared" si="248"/>
        <v>2.8956704787177538E-2</v>
      </c>
      <c r="S262" s="3">
        <f t="shared" si="248"/>
        <v>2.1284856214109887E-2</v>
      </c>
      <c r="T262" s="3">
        <f t="shared" si="248"/>
        <v>9.8013645537996935E-4</v>
      </c>
      <c r="U262" s="3">
        <f t="shared" si="248"/>
        <v>4.201890810390013E-17</v>
      </c>
      <c r="V262" s="3">
        <f t="shared" si="248"/>
        <v>8.8110357346845434E-151</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7.1416883904963147E-2</v>
      </c>
      <c r="C263" s="3">
        <f t="shared" si="249"/>
        <v>7.1416883904963147E-2</v>
      </c>
      <c r="D263" s="3">
        <f t="shared" si="249"/>
        <v>7.1416883904963147E-2</v>
      </c>
      <c r="E263" s="3">
        <f t="shared" si="249"/>
        <v>7.1416883904963119E-2</v>
      </c>
      <c r="F263" s="3">
        <f t="shared" si="249"/>
        <v>7.1416883904962924E-2</v>
      </c>
      <c r="G263" s="3">
        <f t="shared" si="249"/>
        <v>7.141688390496094E-2</v>
      </c>
      <c r="H263" s="3">
        <f t="shared" si="249"/>
        <v>7.1416883904941109E-2</v>
      </c>
      <c r="I263" s="3">
        <f t="shared" si="249"/>
        <v>7.1416883904742809E-2</v>
      </c>
      <c r="J263" s="3">
        <f t="shared" si="249"/>
        <v>7.1416883902759798E-2</v>
      </c>
      <c r="K263" s="3">
        <f t="shared" si="249"/>
        <v>7.1416883882929716E-2</v>
      </c>
      <c r="L263" s="3">
        <f t="shared" si="249"/>
        <v>7.1416883684628923E-2</v>
      </c>
      <c r="M263" s="3">
        <f t="shared" si="249"/>
        <v>7.1416881701620916E-2</v>
      </c>
      <c r="N263" s="3">
        <f t="shared" si="249"/>
        <v>7.1416861871543974E-2</v>
      </c>
      <c r="O263" s="3">
        <f t="shared" si="249"/>
        <v>7.1416663571077288E-2</v>
      </c>
      <c r="P263" s="3">
        <f t="shared" si="249"/>
        <v>7.1414680596693897E-2</v>
      </c>
      <c r="Q263" s="3">
        <f t="shared" si="249"/>
        <v>7.1394853880896975E-2</v>
      </c>
      <c r="R263" s="3">
        <f t="shared" si="249"/>
        <v>7.1196889215759299E-2</v>
      </c>
      <c r="S263" s="3">
        <f t="shared" si="249"/>
        <v>6.9247183371264426E-2</v>
      </c>
      <c r="T263" s="3">
        <f t="shared" si="249"/>
        <v>5.2458160718439804E-2</v>
      </c>
      <c r="U263" s="3">
        <f t="shared" si="249"/>
        <v>3.2652957349051672E-3</v>
      </c>
      <c r="V263" s="3">
        <f t="shared" si="249"/>
        <v>2.8511307769209758E-15</v>
      </c>
      <c r="W263" s="3">
        <f t="shared" si="249"/>
        <v>7.3445181668197686E-136</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0.10311361760580572</v>
      </c>
      <c r="C264" s="3">
        <f t="shared" si="250"/>
        <v>0.10311361760580572</v>
      </c>
      <c r="D264" s="3">
        <f t="shared" si="250"/>
        <v>0.10311361760580572</v>
      </c>
      <c r="E264" s="3">
        <f t="shared" si="250"/>
        <v>0.10311361760580572</v>
      </c>
      <c r="F264" s="3">
        <f t="shared" si="250"/>
        <v>0.10311361760580569</v>
      </c>
      <c r="G264" s="3">
        <f t="shared" si="250"/>
        <v>0.10311361760580542</v>
      </c>
      <c r="H264" s="3">
        <f t="shared" si="250"/>
        <v>0.10311361760580284</v>
      </c>
      <c r="I264" s="3">
        <f t="shared" si="250"/>
        <v>0.10311361760577702</v>
      </c>
      <c r="J264" s="3">
        <f t="shared" si="250"/>
        <v>0.10311361760551874</v>
      </c>
      <c r="K264" s="3">
        <f t="shared" si="250"/>
        <v>0.10311361760293597</v>
      </c>
      <c r="L264" s="3">
        <f t="shared" si="250"/>
        <v>0.10311361757710824</v>
      </c>
      <c r="M264" s="3">
        <f t="shared" si="250"/>
        <v>0.10311361731883097</v>
      </c>
      <c r="N264" s="3">
        <f t="shared" si="250"/>
        <v>0.10311361473605829</v>
      </c>
      <c r="O264" s="3">
        <f t="shared" si="250"/>
        <v>0.10311358890833502</v>
      </c>
      <c r="P264" s="3">
        <f t="shared" si="250"/>
        <v>0.10311333063145812</v>
      </c>
      <c r="Q264" s="3">
        <f t="shared" si="250"/>
        <v>0.10311074789827</v>
      </c>
      <c r="R264" s="3">
        <f t="shared" si="250"/>
        <v>0.10308492412412978</v>
      </c>
      <c r="S264" s="3">
        <f t="shared" si="250"/>
        <v>0.10282704182732652</v>
      </c>
      <c r="T264" s="3">
        <f t="shared" si="250"/>
        <v>0.10028343609928521</v>
      </c>
      <c r="U264" s="3">
        <f t="shared" si="250"/>
        <v>7.8063469165081389E-2</v>
      </c>
      <c r="V264" s="3">
        <f t="shared" si="250"/>
        <v>6.3772620281684371E-3</v>
      </c>
      <c r="W264" s="3">
        <f t="shared" si="250"/>
        <v>8.4430313516419739E-14</v>
      </c>
      <c r="X264" s="3">
        <f t="shared" si="250"/>
        <v>1.3968179440510682E-122</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8.7291657876096773E-2</v>
      </c>
      <c r="C265" s="3">
        <f t="shared" si="251"/>
        <v>8.7291657876096773E-2</v>
      </c>
      <c r="D265" s="3">
        <f t="shared" si="251"/>
        <v>8.7291657876096773E-2</v>
      </c>
      <c r="E265" s="3">
        <f t="shared" si="251"/>
        <v>8.7291657876096773E-2</v>
      </c>
      <c r="F265" s="3">
        <f t="shared" si="251"/>
        <v>8.7291657876096773E-2</v>
      </c>
      <c r="G265" s="3">
        <f t="shared" si="251"/>
        <v>8.7291657876096759E-2</v>
      </c>
      <c r="H265" s="3">
        <f t="shared" si="251"/>
        <v>8.7291657876096551E-2</v>
      </c>
      <c r="I265" s="3">
        <f t="shared" si="251"/>
        <v>8.729165787609458E-2</v>
      </c>
      <c r="J265" s="3">
        <f t="shared" si="251"/>
        <v>8.729165787607486E-2</v>
      </c>
      <c r="K265" s="3">
        <f t="shared" si="251"/>
        <v>8.7291657875877629E-2</v>
      </c>
      <c r="L265" s="3">
        <f t="shared" si="251"/>
        <v>8.7291657873905248E-2</v>
      </c>
      <c r="M265" s="3">
        <f t="shared" si="251"/>
        <v>8.7291657854181498E-2</v>
      </c>
      <c r="N265" s="3">
        <f t="shared" si="251"/>
        <v>8.7291657656943994E-2</v>
      </c>
      <c r="O265" s="3">
        <f t="shared" si="251"/>
        <v>8.7291655684568967E-2</v>
      </c>
      <c r="P265" s="3">
        <f t="shared" si="251"/>
        <v>8.7291635960821207E-2</v>
      </c>
      <c r="Q265" s="3">
        <f t="shared" si="251"/>
        <v>8.7291438723588632E-2</v>
      </c>
      <c r="R265" s="3">
        <f t="shared" si="251"/>
        <v>8.7289466375774172E-2</v>
      </c>
      <c r="S265" s="3">
        <f t="shared" si="251"/>
        <v>8.7269745348546673E-2</v>
      </c>
      <c r="T265" s="3">
        <f t="shared" si="251"/>
        <v>8.7072779963193972E-2</v>
      </c>
      <c r="U265" s="3">
        <f t="shared" si="251"/>
        <v>8.512741130218468E-2</v>
      </c>
      <c r="V265" s="3">
        <f t="shared" si="251"/>
        <v>6.7910916509878058E-2</v>
      </c>
      <c r="W265" s="3">
        <f t="shared" si="251"/>
        <v>7.0899184480686609E-3</v>
      </c>
      <c r="X265" s="3">
        <f t="shared" si="251"/>
        <v>1.0905804812604949E-12</v>
      </c>
      <c r="Y265" s="3">
        <f t="shared" si="251"/>
        <v>8.087653367394135E-111</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7.2211450290495263E-2</v>
      </c>
      <c r="C266" s="3">
        <f t="shared" si="252"/>
        <v>7.2211450290495263E-2</v>
      </c>
      <c r="D266" s="3">
        <f t="shared" si="252"/>
        <v>7.2211450290495263E-2</v>
      </c>
      <c r="E266" s="3">
        <f t="shared" si="252"/>
        <v>7.2211450290495263E-2</v>
      </c>
      <c r="F266" s="3">
        <f t="shared" si="252"/>
        <v>7.2211450290495263E-2</v>
      </c>
      <c r="G266" s="3">
        <f t="shared" si="252"/>
        <v>7.2211450290495263E-2</v>
      </c>
      <c r="H266" s="3">
        <f t="shared" si="252"/>
        <v>7.2211450290495249E-2</v>
      </c>
      <c r="I266" s="3">
        <f t="shared" si="252"/>
        <v>7.2211450290495097E-2</v>
      </c>
      <c r="J266" s="3">
        <f t="shared" si="252"/>
        <v>7.2211450290493626E-2</v>
      </c>
      <c r="K266" s="3">
        <f t="shared" si="252"/>
        <v>7.2211450290478915E-2</v>
      </c>
      <c r="L266" s="3">
        <f t="shared" si="252"/>
        <v>7.2211450290331727E-2</v>
      </c>
      <c r="M266" s="3">
        <f t="shared" si="252"/>
        <v>7.2211450288859849E-2</v>
      </c>
      <c r="N266" s="3">
        <f t="shared" si="252"/>
        <v>7.2211450274141151E-2</v>
      </c>
      <c r="O266" s="3">
        <f t="shared" si="252"/>
        <v>7.2211450126954166E-2</v>
      </c>
      <c r="P266" s="3">
        <f t="shared" si="252"/>
        <v>7.2211448655084318E-2</v>
      </c>
      <c r="Q266" s="3">
        <f t="shared" si="252"/>
        <v>7.221143393638739E-2</v>
      </c>
      <c r="R266" s="3">
        <f t="shared" si="252"/>
        <v>7.221128674958327E-2</v>
      </c>
      <c r="S266" s="3">
        <f t="shared" si="252"/>
        <v>7.2209814898042318E-2</v>
      </c>
      <c r="T266" s="3">
        <f t="shared" si="252"/>
        <v>7.2195098032538305E-2</v>
      </c>
      <c r="U266" s="3">
        <f t="shared" si="252"/>
        <v>7.204809424368365E-2</v>
      </c>
      <c r="V266" s="3">
        <f t="shared" si="252"/>
        <v>7.0594419312744711E-2</v>
      </c>
      <c r="W266" s="3">
        <f t="shared" si="252"/>
        <v>5.7577008307125734E-2</v>
      </c>
      <c r="X266" s="3">
        <f t="shared" si="252"/>
        <v>7.4995696984836054E-3</v>
      </c>
      <c r="Y266" s="3">
        <f t="shared" si="252"/>
        <v>1.0541656238059819E-11</v>
      </c>
      <c r="Z266" s="3">
        <f t="shared" si="252"/>
        <v>3.1741971065839702E-100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4.7726428975124642E-2</v>
      </c>
      <c r="C267" s="3">
        <f t="shared" si="253"/>
        <v>4.7726428975124642E-2</v>
      </c>
      <c r="D267" s="3">
        <f t="shared" si="253"/>
        <v>4.7726428975124642E-2</v>
      </c>
      <c r="E267" s="3">
        <f t="shared" si="253"/>
        <v>4.7726428975124642E-2</v>
      </c>
      <c r="F267" s="3">
        <f t="shared" si="253"/>
        <v>4.7726428975124642E-2</v>
      </c>
      <c r="G267" s="3">
        <f t="shared" si="253"/>
        <v>4.7726428975124642E-2</v>
      </c>
      <c r="H267" s="3">
        <f t="shared" si="253"/>
        <v>4.7726428975124642E-2</v>
      </c>
      <c r="I267" s="3">
        <f t="shared" si="253"/>
        <v>4.7726428975124628E-2</v>
      </c>
      <c r="J267" s="3">
        <f t="shared" si="253"/>
        <v>4.7726428975124545E-2</v>
      </c>
      <c r="K267" s="3">
        <f t="shared" si="253"/>
        <v>4.7726428975123664E-2</v>
      </c>
      <c r="L267" s="3">
        <f t="shared" si="253"/>
        <v>4.7726428975114893E-2</v>
      </c>
      <c r="M267" s="3">
        <f t="shared" si="253"/>
        <v>4.7726428975027137E-2</v>
      </c>
      <c r="N267" s="3">
        <f t="shared" si="253"/>
        <v>4.7726428974149589E-2</v>
      </c>
      <c r="O267" s="3">
        <f t="shared" si="253"/>
        <v>4.772642896537415E-2</v>
      </c>
      <c r="P267" s="3">
        <f t="shared" si="253"/>
        <v>4.7726428877619763E-2</v>
      </c>
      <c r="Q267" s="3">
        <f t="shared" si="253"/>
        <v>4.7726428000075809E-2</v>
      </c>
      <c r="R267" s="3">
        <f t="shared" si="253"/>
        <v>4.7726419224637211E-2</v>
      </c>
      <c r="S267" s="3">
        <f t="shared" si="253"/>
        <v>4.7726331470340007E-2</v>
      </c>
      <c r="T267" s="3">
        <f t="shared" si="253"/>
        <v>4.7725453936242307E-2</v>
      </c>
      <c r="U267" s="3">
        <f t="shared" si="253"/>
        <v>4.7716679482643409E-2</v>
      </c>
      <c r="V267" s="3">
        <f t="shared" si="253"/>
        <v>4.7629023624119159E-2</v>
      </c>
      <c r="W267" s="3">
        <f t="shared" si="253"/>
        <v>4.6761272752085636E-2</v>
      </c>
      <c r="X267" s="3">
        <f t="shared" si="253"/>
        <v>3.8907450092051515E-2</v>
      </c>
      <c r="Y267" s="3">
        <f t="shared" si="253"/>
        <v>6.1872437595756179E-3</v>
      </c>
      <c r="Z267" s="3">
        <f t="shared" si="253"/>
        <v>6.3994374572764072E-11</v>
      </c>
      <c r="AA267" s="3">
        <f t="shared" si="253"/>
        <v>8.9657685999663086E-91</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3.3498054799521296E-2</v>
      </c>
      <c r="C268" s="3">
        <f t="shared" si="254"/>
        <v>3.3498054799521296E-2</v>
      </c>
      <c r="D268" s="3">
        <f t="shared" si="254"/>
        <v>3.3498054799521296E-2</v>
      </c>
      <c r="E268" s="3">
        <f t="shared" si="254"/>
        <v>3.3498054799521296E-2</v>
      </c>
      <c r="F268" s="3">
        <f t="shared" si="254"/>
        <v>3.3498054799521296E-2</v>
      </c>
      <c r="G268" s="3">
        <f t="shared" si="254"/>
        <v>3.3498054799521296E-2</v>
      </c>
      <c r="H268" s="3">
        <f t="shared" si="254"/>
        <v>3.3498054799521296E-2</v>
      </c>
      <c r="I268" s="3">
        <f t="shared" si="254"/>
        <v>3.3498054799521296E-2</v>
      </c>
      <c r="J268" s="3">
        <f t="shared" si="254"/>
        <v>3.3498054799521289E-2</v>
      </c>
      <c r="K268" s="3">
        <f t="shared" si="254"/>
        <v>3.3498054799521233E-2</v>
      </c>
      <c r="L268" s="3">
        <f t="shared" si="254"/>
        <v>3.3498054799520678E-2</v>
      </c>
      <c r="M268" s="3">
        <f t="shared" si="254"/>
        <v>3.349805479951512E-2</v>
      </c>
      <c r="N268" s="3">
        <f t="shared" si="254"/>
        <v>3.349805479945956E-2</v>
      </c>
      <c r="O268" s="3">
        <f t="shared" si="254"/>
        <v>3.3498054798903942E-2</v>
      </c>
      <c r="P268" s="3">
        <f t="shared" si="254"/>
        <v>3.3498054793347762E-2</v>
      </c>
      <c r="Q268" s="3">
        <f t="shared" si="254"/>
        <v>3.3498054737785991E-2</v>
      </c>
      <c r="R268" s="3">
        <f t="shared" si="254"/>
        <v>3.3498054182168238E-2</v>
      </c>
      <c r="S268" s="3">
        <f t="shared" si="254"/>
        <v>3.3498048625991192E-2</v>
      </c>
      <c r="T268" s="3">
        <f t="shared" si="254"/>
        <v>3.3497993064271467E-2</v>
      </c>
      <c r="U268" s="3">
        <f t="shared" si="254"/>
        <v>3.3497437452142828E-2</v>
      </c>
      <c r="V268" s="3">
        <f t="shared" si="254"/>
        <v>3.3491881837690432E-2</v>
      </c>
      <c r="W268" s="3">
        <f t="shared" si="254"/>
        <v>3.3436376345473973E-2</v>
      </c>
      <c r="X268" s="3">
        <f t="shared" si="254"/>
        <v>3.28863557060236E-2</v>
      </c>
      <c r="Y268" s="3">
        <f t="shared" si="254"/>
        <v>2.7860005689296089E-2</v>
      </c>
      <c r="Z268" s="3">
        <f t="shared" si="254"/>
        <v>5.304393197982038E-3</v>
      </c>
      <c r="AA268" s="3">
        <f t="shared" si="254"/>
        <v>3.3203265372321594E-10</v>
      </c>
      <c r="AB268" s="3">
        <f t="shared" si="254"/>
        <v>3.0664201939305709E-82</v>
      </c>
      <c r="AC268" s="3">
        <f t="shared" si="254"/>
        <v>0</v>
      </c>
      <c r="AD268" s="3">
        <f t="shared" si="254"/>
        <v>0</v>
      </c>
      <c r="AE268" s="3">
        <f t="shared" si="254"/>
        <v>0</v>
      </c>
      <c r="AF268" s="3">
        <f t="shared" si="254"/>
        <v>0</v>
      </c>
      <c r="AG268" s="3"/>
      <c r="AH268" s="3"/>
    </row>
    <row r="269" spans="2:34" x14ac:dyDescent="0.25">
      <c r="B269" s="3">
        <f t="shared" ref="B269:AF269" si="255">$C38*EXP(-B$246/$A38/EXP(-$E$126))</f>
        <v>8.3276524344842746E-3</v>
      </c>
      <c r="C269" s="3">
        <f t="shared" si="255"/>
        <v>8.3276524344842746E-3</v>
      </c>
      <c r="D269" s="3">
        <f t="shared" si="255"/>
        <v>8.3276524344842746E-3</v>
      </c>
      <c r="E269" s="3">
        <f t="shared" si="255"/>
        <v>8.3276524344842746E-3</v>
      </c>
      <c r="F269" s="3">
        <f t="shared" si="255"/>
        <v>8.3276524344842746E-3</v>
      </c>
      <c r="G269" s="3">
        <f t="shared" si="255"/>
        <v>8.3276524344842746E-3</v>
      </c>
      <c r="H269" s="3">
        <f t="shared" si="255"/>
        <v>8.3276524344842746E-3</v>
      </c>
      <c r="I269" s="3">
        <f t="shared" si="255"/>
        <v>8.3276524344842746E-3</v>
      </c>
      <c r="J269" s="3">
        <f t="shared" si="255"/>
        <v>8.3276524344842746E-3</v>
      </c>
      <c r="K269" s="3">
        <f t="shared" si="255"/>
        <v>8.3276524344842728E-3</v>
      </c>
      <c r="L269" s="3">
        <f t="shared" si="255"/>
        <v>8.3276524344842607E-3</v>
      </c>
      <c r="M269" s="3">
        <f t="shared" si="255"/>
        <v>8.3276524344841358E-3</v>
      </c>
      <c r="N269" s="3">
        <f t="shared" si="255"/>
        <v>8.3276524344828903E-3</v>
      </c>
      <c r="O269" s="3">
        <f t="shared" si="255"/>
        <v>8.3276524344704297E-3</v>
      </c>
      <c r="P269" s="3">
        <f t="shared" si="255"/>
        <v>8.327652434345828E-3</v>
      </c>
      <c r="Q269" s="3">
        <f t="shared" si="255"/>
        <v>8.3276524330998056E-3</v>
      </c>
      <c r="R269" s="3">
        <f t="shared" si="255"/>
        <v>8.3276524206395853E-3</v>
      </c>
      <c r="S269" s="3">
        <f t="shared" si="255"/>
        <v>8.3276522960373869E-3</v>
      </c>
      <c r="T269" s="3">
        <f t="shared" si="255"/>
        <v>8.3276510500154936E-3</v>
      </c>
      <c r="U269" s="3">
        <f t="shared" si="255"/>
        <v>8.3276385898068146E-3</v>
      </c>
      <c r="V269" s="3">
        <f t="shared" si="255"/>
        <v>8.3275139887454153E-3</v>
      </c>
      <c r="W269" s="3">
        <f t="shared" si="255"/>
        <v>8.3262680806646915E-3</v>
      </c>
      <c r="X269" s="3">
        <f t="shared" si="255"/>
        <v>8.313819247510422E-3</v>
      </c>
      <c r="Y269" s="3">
        <f t="shared" si="255"/>
        <v>8.1903500306830211E-3</v>
      </c>
      <c r="Z269" s="3">
        <f t="shared" si="255"/>
        <v>7.0521461897930533E-3</v>
      </c>
      <c r="AA269" s="3">
        <f t="shared" si="255"/>
        <v>1.5794640537045101E-3</v>
      </c>
      <c r="AB269" s="3">
        <f t="shared" si="255"/>
        <v>5.0164229398232427E-10</v>
      </c>
      <c r="AC269" s="3">
        <f t="shared" si="255"/>
        <v>5.2388761617749901E-75</v>
      </c>
      <c r="AD269" s="3">
        <f t="shared" si="255"/>
        <v>0</v>
      </c>
      <c r="AE269" s="3">
        <f t="shared" si="255"/>
        <v>0</v>
      </c>
      <c r="AF269" s="3">
        <f t="shared" si="255"/>
        <v>0</v>
      </c>
      <c r="AG269" s="3"/>
      <c r="AH269" s="3"/>
    </row>
    <row r="270" spans="2:34" x14ac:dyDescent="0.25">
      <c r="B270" s="3">
        <f t="shared" ref="B270:AF270" si="256">$C39*EXP(-B$246/$A39/EXP(-$E$126))</f>
        <v>1.1282321504922463E-2</v>
      </c>
      <c r="C270" s="3">
        <f t="shared" si="256"/>
        <v>1.1282321504922463E-2</v>
      </c>
      <c r="D270" s="3">
        <f t="shared" si="256"/>
        <v>1.1282321504922463E-2</v>
      </c>
      <c r="E270" s="3">
        <f t="shared" si="256"/>
        <v>1.1282321504922463E-2</v>
      </c>
      <c r="F270" s="3">
        <f t="shared" si="256"/>
        <v>1.1282321504922463E-2</v>
      </c>
      <c r="G270" s="3">
        <f t="shared" si="256"/>
        <v>1.1282321504922463E-2</v>
      </c>
      <c r="H270" s="3">
        <f t="shared" si="256"/>
        <v>1.1282321504922463E-2</v>
      </c>
      <c r="I270" s="3">
        <f t="shared" si="256"/>
        <v>1.1282321504922463E-2</v>
      </c>
      <c r="J270" s="3">
        <f t="shared" si="256"/>
        <v>1.1282321504922463E-2</v>
      </c>
      <c r="K270" s="3">
        <f t="shared" si="256"/>
        <v>1.1282321504922463E-2</v>
      </c>
      <c r="L270" s="3">
        <f t="shared" si="256"/>
        <v>1.1282321504922458E-2</v>
      </c>
      <c r="M270" s="3">
        <f t="shared" si="256"/>
        <v>1.1282321504922411E-2</v>
      </c>
      <c r="N270" s="3">
        <f t="shared" si="256"/>
        <v>1.1282321504921944E-2</v>
      </c>
      <c r="O270" s="3">
        <f t="shared" si="256"/>
        <v>1.1282321504917274E-2</v>
      </c>
      <c r="P270" s="3">
        <f t="shared" si="256"/>
        <v>1.1282321504870586E-2</v>
      </c>
      <c r="Q270" s="3">
        <f t="shared" si="256"/>
        <v>1.1282321504403697E-2</v>
      </c>
      <c r="R270" s="3">
        <f t="shared" si="256"/>
        <v>1.1282321499734798E-2</v>
      </c>
      <c r="S270" s="3">
        <f t="shared" si="256"/>
        <v>1.1282321453045811E-2</v>
      </c>
      <c r="T270" s="3">
        <f t="shared" si="256"/>
        <v>1.1282320986155949E-2</v>
      </c>
      <c r="U270" s="3">
        <f t="shared" si="256"/>
        <v>1.1282316317258389E-2</v>
      </c>
      <c r="V270" s="3">
        <f t="shared" si="256"/>
        <v>1.1282269628389057E-2</v>
      </c>
      <c r="W270" s="3">
        <f t="shared" si="256"/>
        <v>1.1281802750322137E-2</v>
      </c>
      <c r="X270" s="3">
        <f t="shared" si="256"/>
        <v>1.1277135032129225E-2</v>
      </c>
      <c r="Y270" s="3">
        <f t="shared" si="256"/>
        <v>1.12305639353274E-2</v>
      </c>
      <c r="Z270" s="3">
        <f t="shared" si="256"/>
        <v>1.0775300830128304E-2</v>
      </c>
      <c r="AA270" s="3">
        <f t="shared" si="256"/>
        <v>7.1237356664002379E-3</v>
      </c>
      <c r="AB270" s="3">
        <f t="shared" si="256"/>
        <v>1.136296631129154E-4</v>
      </c>
      <c r="AC270" s="3">
        <f t="shared" si="256"/>
        <v>1.211521006024521E-22</v>
      </c>
      <c r="AD270" s="3">
        <f t="shared" si="256"/>
        <v>2.2999756780886278E-202</v>
      </c>
      <c r="AE270" s="3">
        <f t="shared" si="256"/>
        <v>0</v>
      </c>
      <c r="AF270" s="3">
        <f t="shared" si="256"/>
        <v>0</v>
      </c>
      <c r="AG270" s="3"/>
      <c r="AH270" s="3"/>
    </row>
    <row r="271" spans="2:34" x14ac:dyDescent="0.25">
      <c r="B271" s="3">
        <f t="shared" ref="B271:AF271" si="257">$C40*EXP(-B$246/$A40/EXP(-$E$126))</f>
        <v>4.0938385440077553E-3</v>
      </c>
      <c r="C271" s="3">
        <f t="shared" si="257"/>
        <v>4.0938385440077553E-3</v>
      </c>
      <c r="D271" s="3">
        <f t="shared" si="257"/>
        <v>4.0938385440077553E-3</v>
      </c>
      <c r="E271" s="3">
        <f t="shared" si="257"/>
        <v>4.0938385440077553E-3</v>
      </c>
      <c r="F271" s="3">
        <f t="shared" si="257"/>
        <v>4.0938385440077553E-3</v>
      </c>
      <c r="G271" s="3">
        <f t="shared" si="257"/>
        <v>4.0938385440077553E-3</v>
      </c>
      <c r="H271" s="3">
        <f t="shared" si="257"/>
        <v>4.0938385440077553E-3</v>
      </c>
      <c r="I271" s="3">
        <f t="shared" si="257"/>
        <v>4.0938385440077553E-3</v>
      </c>
      <c r="J271" s="3">
        <f t="shared" si="257"/>
        <v>4.0938385440077553E-3</v>
      </c>
      <c r="K271" s="3">
        <f t="shared" si="257"/>
        <v>4.0938385440077553E-3</v>
      </c>
      <c r="L271" s="3">
        <f t="shared" si="257"/>
        <v>4.0938385440077553E-3</v>
      </c>
      <c r="M271" s="3">
        <f t="shared" si="257"/>
        <v>4.0938385440077536E-3</v>
      </c>
      <c r="N271" s="3">
        <f t="shared" si="257"/>
        <v>4.0938385440077371E-3</v>
      </c>
      <c r="O271" s="3">
        <f t="shared" si="257"/>
        <v>4.0938385440075671E-3</v>
      </c>
      <c r="P271" s="3">
        <f t="shared" si="257"/>
        <v>4.0938385440058732E-3</v>
      </c>
      <c r="Q271" s="3">
        <f t="shared" si="257"/>
        <v>4.0938385439889318E-3</v>
      </c>
      <c r="R271" s="3">
        <f t="shared" si="257"/>
        <v>4.0938385438195187E-3</v>
      </c>
      <c r="S271" s="3">
        <f t="shared" si="257"/>
        <v>4.0938385421253887E-3</v>
      </c>
      <c r="T271" s="3">
        <f t="shared" si="257"/>
        <v>4.0938385251840905E-3</v>
      </c>
      <c r="U271" s="3">
        <f t="shared" si="257"/>
        <v>4.0938383557711103E-3</v>
      </c>
      <c r="V271" s="3">
        <f t="shared" si="257"/>
        <v>4.0938366616416902E-3</v>
      </c>
      <c r="W271" s="3">
        <f t="shared" si="257"/>
        <v>4.093819720386048E-3</v>
      </c>
      <c r="X271" s="3">
        <f t="shared" si="257"/>
        <v>4.0936503116854655E-3</v>
      </c>
      <c r="Y271" s="3">
        <f t="shared" si="257"/>
        <v>4.0919566102036939E-3</v>
      </c>
      <c r="Z271" s="3">
        <f t="shared" si="257"/>
        <v>4.0750580888274995E-3</v>
      </c>
      <c r="AA271" s="3">
        <f t="shared" si="257"/>
        <v>3.9098639267115239E-3</v>
      </c>
      <c r="AB271" s="3">
        <f t="shared" si="257"/>
        <v>2.5848779114926038E-3</v>
      </c>
      <c r="AC271" s="3">
        <f t="shared" si="257"/>
        <v>4.1231008564266774E-5</v>
      </c>
      <c r="AD271" s="3">
        <f t="shared" si="257"/>
        <v>4.3960557135109952E-23</v>
      </c>
      <c r="AE271" s="3">
        <f t="shared" si="257"/>
        <v>8.3455599781760576E-203</v>
      </c>
      <c r="AF271" s="3">
        <f t="shared" si="257"/>
        <v>0</v>
      </c>
      <c r="AG271" s="3"/>
      <c r="AH271" s="3"/>
    </row>
    <row r="272" spans="2:34" x14ac:dyDescent="0.25">
      <c r="B272" s="3">
        <f t="shared" ref="B272:AF272" si="258">$C41*EXP(-B$246/$A41/EXP(-$E$126))</f>
        <v>2.6841023020615128E-3</v>
      </c>
      <c r="C272" s="3">
        <f t="shared" si="258"/>
        <v>2.6841023020615128E-3</v>
      </c>
      <c r="D272" s="3">
        <f t="shared" si="258"/>
        <v>2.6841023020615128E-3</v>
      </c>
      <c r="E272" s="3">
        <f t="shared" si="258"/>
        <v>2.6841023020615128E-3</v>
      </c>
      <c r="F272" s="3">
        <f t="shared" si="258"/>
        <v>2.6841023020615128E-3</v>
      </c>
      <c r="G272" s="3">
        <f t="shared" si="258"/>
        <v>2.6841023020615128E-3</v>
      </c>
      <c r="H272" s="3">
        <f t="shared" si="258"/>
        <v>2.6841023020615128E-3</v>
      </c>
      <c r="I272" s="3">
        <f t="shared" si="258"/>
        <v>2.6841023020615128E-3</v>
      </c>
      <c r="J272" s="3">
        <f t="shared" si="258"/>
        <v>2.6841023020615128E-3</v>
      </c>
      <c r="K272" s="3">
        <f t="shared" si="258"/>
        <v>2.6841023020615128E-3</v>
      </c>
      <c r="L272" s="3">
        <f t="shared" si="258"/>
        <v>2.6841023020615128E-3</v>
      </c>
      <c r="M272" s="3">
        <f t="shared" si="258"/>
        <v>2.6841023020615128E-3</v>
      </c>
      <c r="N272" s="3">
        <f t="shared" si="258"/>
        <v>2.6841023020615115E-3</v>
      </c>
      <c r="O272" s="3">
        <f t="shared" si="258"/>
        <v>2.6841023020615007E-3</v>
      </c>
      <c r="P272" s="3">
        <f t="shared" si="258"/>
        <v>2.6841023020613896E-3</v>
      </c>
      <c r="Q272" s="3">
        <f t="shared" si="258"/>
        <v>2.6841023020602785E-3</v>
      </c>
      <c r="R272" s="3">
        <f t="shared" si="258"/>
        <v>2.6841023020491711E-3</v>
      </c>
      <c r="S272" s="3">
        <f t="shared" si="258"/>
        <v>2.6841023019380968E-3</v>
      </c>
      <c r="T272" s="3">
        <f t="shared" si="258"/>
        <v>2.6841023008273499E-3</v>
      </c>
      <c r="U272" s="3">
        <f t="shared" si="258"/>
        <v>2.6841022897198825E-3</v>
      </c>
      <c r="V272" s="3">
        <f t="shared" si="258"/>
        <v>2.6841021786452109E-3</v>
      </c>
      <c r="W272" s="3">
        <f t="shared" si="258"/>
        <v>2.6841010678987495E-3</v>
      </c>
      <c r="X272" s="3">
        <f t="shared" si="258"/>
        <v>2.6840899604594166E-3</v>
      </c>
      <c r="Y272" s="3">
        <f t="shared" si="258"/>
        <v>2.6839788885941397E-3</v>
      </c>
      <c r="Z272" s="3">
        <f t="shared" si="258"/>
        <v>2.6828684227080627E-3</v>
      </c>
      <c r="AA272" s="3">
        <f t="shared" si="258"/>
        <v>2.6717890018565322E-3</v>
      </c>
      <c r="AB272" s="3">
        <f t="shared" si="258"/>
        <v>2.5634803751102176E-3</v>
      </c>
      <c r="AC272" s="3">
        <f t="shared" si="258"/>
        <v>1.6947607186269412E-3</v>
      </c>
      <c r="AD272" s="3">
        <f t="shared" si="258"/>
        <v>2.7032879732312363E-5</v>
      </c>
      <c r="AE272" s="3">
        <f t="shared" si="258"/>
        <v>2.8822492958098386E-23</v>
      </c>
      <c r="AF272" s="3">
        <f t="shared" si="258"/>
        <v>5.4717196363795708E-203</v>
      </c>
      <c r="AG272" s="3"/>
      <c r="AH272" s="3"/>
    </row>
    <row r="273" spans="1:34" x14ac:dyDescent="0.25">
      <c r="B273" s="3">
        <f t="shared" ref="B273:AF273" si="259">$C42*EXP(-B$246/$A42/EXP(-$E$126))</f>
        <v>2.382905414544393E-3</v>
      </c>
      <c r="C273" s="3">
        <f t="shared" si="259"/>
        <v>2.382905414544393E-3</v>
      </c>
      <c r="D273" s="3">
        <f t="shared" si="259"/>
        <v>2.382905414544393E-3</v>
      </c>
      <c r="E273" s="3">
        <f t="shared" si="259"/>
        <v>2.382905414544393E-3</v>
      </c>
      <c r="F273" s="3">
        <f t="shared" si="259"/>
        <v>2.382905414544393E-3</v>
      </c>
      <c r="G273" s="3">
        <f t="shared" si="259"/>
        <v>2.382905414544393E-3</v>
      </c>
      <c r="H273" s="3">
        <f t="shared" si="259"/>
        <v>2.382905414544393E-3</v>
      </c>
      <c r="I273" s="3">
        <f t="shared" si="259"/>
        <v>2.382905414544393E-3</v>
      </c>
      <c r="J273" s="3">
        <f t="shared" si="259"/>
        <v>2.382905414544393E-3</v>
      </c>
      <c r="K273" s="3">
        <f t="shared" si="259"/>
        <v>2.382905414544393E-3</v>
      </c>
      <c r="L273" s="3">
        <f t="shared" si="259"/>
        <v>2.382905414544393E-3</v>
      </c>
      <c r="M273" s="3">
        <f t="shared" si="259"/>
        <v>2.382905414544393E-3</v>
      </c>
      <c r="N273" s="3">
        <f t="shared" si="259"/>
        <v>2.382905414544393E-3</v>
      </c>
      <c r="O273" s="3">
        <f t="shared" si="259"/>
        <v>2.3829054145443921E-3</v>
      </c>
      <c r="P273" s="3">
        <f t="shared" si="259"/>
        <v>2.3829054145443822E-3</v>
      </c>
      <c r="Q273" s="3">
        <f t="shared" si="259"/>
        <v>2.3829054145442833E-3</v>
      </c>
      <c r="R273" s="3">
        <f t="shared" si="259"/>
        <v>2.3829054145432971E-3</v>
      </c>
      <c r="S273" s="3">
        <f t="shared" si="259"/>
        <v>2.3829054145334361E-3</v>
      </c>
      <c r="T273" s="3">
        <f t="shared" si="259"/>
        <v>2.3829054144348261E-3</v>
      </c>
      <c r="U273" s="3">
        <f t="shared" si="259"/>
        <v>2.3829054134487217E-3</v>
      </c>
      <c r="V273" s="3">
        <f t="shared" si="259"/>
        <v>2.38290540358768E-3</v>
      </c>
      <c r="W273" s="3">
        <f t="shared" si="259"/>
        <v>2.3829053049772677E-3</v>
      </c>
      <c r="X273" s="3">
        <f t="shared" si="259"/>
        <v>2.3829043188733643E-3</v>
      </c>
      <c r="Y273" s="3">
        <f t="shared" si="259"/>
        <v>2.3828944578567746E-3</v>
      </c>
      <c r="Z273" s="3">
        <f t="shared" si="259"/>
        <v>2.3827958499352481E-3</v>
      </c>
      <c r="AA273" s="3">
        <f t="shared" si="259"/>
        <v>2.3818099951224236E-3</v>
      </c>
      <c r="AB273" s="3">
        <f t="shared" si="259"/>
        <v>2.3719738529169457E-3</v>
      </c>
      <c r="AC273" s="3">
        <f t="shared" si="259"/>
        <v>2.2758190927509728E-3</v>
      </c>
      <c r="AD273" s="3">
        <f t="shared" si="259"/>
        <v>1.5045829250515405E-3</v>
      </c>
      <c r="AE273" s="3">
        <f t="shared" si="259"/>
        <v>2.3999381631385464E-5</v>
      </c>
      <c r="AF273" s="3">
        <f t="shared" si="259"/>
        <v>2.5588173177218299E-23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2.0583899392901187E-3</v>
      </c>
      <c r="C275" s="3">
        <f t="shared" si="261"/>
        <v>2.0583899392901187E-3</v>
      </c>
      <c r="D275" s="3">
        <f t="shared" si="261"/>
        <v>2.0583899392901187E-3</v>
      </c>
      <c r="E275" s="3">
        <f t="shared" si="261"/>
        <v>2.0583899392901187E-3</v>
      </c>
      <c r="F275" s="3">
        <f t="shared" si="261"/>
        <v>2.0583899392901187E-3</v>
      </c>
      <c r="G275" s="3">
        <f t="shared" si="261"/>
        <v>2.0583899392901187E-3</v>
      </c>
      <c r="H275" s="3">
        <f t="shared" si="261"/>
        <v>2.0583899392901187E-3</v>
      </c>
      <c r="I275" s="3">
        <f t="shared" si="261"/>
        <v>2.0583899392901187E-3</v>
      </c>
      <c r="J275" s="3">
        <f t="shared" si="261"/>
        <v>2.0583899392901187E-3</v>
      </c>
      <c r="K275" s="3">
        <f t="shared" si="261"/>
        <v>2.0583899392901187E-3</v>
      </c>
      <c r="L275" s="3">
        <f t="shared" si="261"/>
        <v>2.0583899392901187E-3</v>
      </c>
      <c r="M275" s="3">
        <f t="shared" si="261"/>
        <v>2.0583899392901187E-3</v>
      </c>
      <c r="N275" s="3">
        <f t="shared" si="261"/>
        <v>2.0583899392901187E-3</v>
      </c>
      <c r="O275" s="3">
        <f t="shared" si="261"/>
        <v>2.0583899392901187E-3</v>
      </c>
      <c r="P275" s="3">
        <f t="shared" si="261"/>
        <v>2.0583899392901187E-3</v>
      </c>
      <c r="Q275" s="3">
        <f t="shared" si="261"/>
        <v>2.0583899392901178E-3</v>
      </c>
      <c r="R275" s="3">
        <f t="shared" si="261"/>
        <v>2.0583899392901091E-3</v>
      </c>
      <c r="S275" s="3">
        <f t="shared" si="261"/>
        <v>2.0583899392900241E-3</v>
      </c>
      <c r="T275" s="3">
        <f t="shared" si="261"/>
        <v>2.0583899392891719E-3</v>
      </c>
      <c r="U275" s="3">
        <f t="shared" si="261"/>
        <v>2.058389939280654E-3</v>
      </c>
      <c r="V275" s="3">
        <f t="shared" si="261"/>
        <v>2.058389939195473E-3</v>
      </c>
      <c r="W275" s="3">
        <f t="shared" si="261"/>
        <v>2.0583899383436613E-3</v>
      </c>
      <c r="X275" s="3">
        <f t="shared" si="261"/>
        <v>2.0583899298255437E-3</v>
      </c>
      <c r="Y275" s="3">
        <f t="shared" si="261"/>
        <v>2.0583898446443691E-3</v>
      </c>
      <c r="Z275" s="3">
        <f t="shared" si="261"/>
        <v>2.0583889928328198E-3</v>
      </c>
      <c r="AA275" s="3">
        <f t="shared" si="261"/>
        <v>2.0583804747367107E-3</v>
      </c>
      <c r="AB275" s="3">
        <f t="shared" si="261"/>
        <v>2.0582952957143436E-3</v>
      </c>
      <c r="AC275" s="3">
        <f t="shared" si="261"/>
        <v>2.0574436993329127E-3</v>
      </c>
      <c r="AD275" s="3">
        <f t="shared" si="261"/>
        <v>2.0489470900954643E-3</v>
      </c>
      <c r="AE275" s="3">
        <f t="shared" si="261"/>
        <v>1.9658871458222101E-3</v>
      </c>
      <c r="AF275" s="3">
        <f t="shared" si="261"/>
        <v>1.2996816142389494E-3</v>
      </c>
      <c r="AG275" s="3"/>
      <c r="AH275" s="3"/>
    </row>
    <row r="276" spans="1:34" x14ac:dyDescent="0.25">
      <c r="B276" s="3">
        <f t="shared" ref="B276:AF276" si="262">$C45*EXP(-B$246/$A45/EXP(-$E$126))</f>
        <v>1.1459023430358541E-3</v>
      </c>
      <c r="C276" s="3">
        <f t="shared" si="262"/>
        <v>1.1459023430358541E-3</v>
      </c>
      <c r="D276" s="3">
        <f t="shared" si="262"/>
        <v>1.1459023430358541E-3</v>
      </c>
      <c r="E276" s="3">
        <f t="shared" si="262"/>
        <v>1.1459023430358541E-3</v>
      </c>
      <c r="F276" s="3">
        <f t="shared" si="262"/>
        <v>1.1459023430358541E-3</v>
      </c>
      <c r="G276" s="3">
        <f t="shared" si="262"/>
        <v>1.1459023430358541E-3</v>
      </c>
      <c r="H276" s="3">
        <f t="shared" si="262"/>
        <v>1.1459023430358541E-3</v>
      </c>
      <c r="I276" s="3">
        <f t="shared" si="262"/>
        <v>1.1459023430358541E-3</v>
      </c>
      <c r="J276" s="3">
        <f t="shared" si="262"/>
        <v>1.1459023430358541E-3</v>
      </c>
      <c r="K276" s="3">
        <f t="shared" si="262"/>
        <v>1.1459023430358541E-3</v>
      </c>
      <c r="L276" s="3">
        <f t="shared" si="262"/>
        <v>1.1459023430358541E-3</v>
      </c>
      <c r="M276" s="3">
        <f t="shared" si="262"/>
        <v>1.1459023430358541E-3</v>
      </c>
      <c r="N276" s="3">
        <f t="shared" si="262"/>
        <v>1.1459023430358541E-3</v>
      </c>
      <c r="O276" s="3">
        <f t="shared" si="262"/>
        <v>1.1459023430358541E-3</v>
      </c>
      <c r="P276" s="3">
        <f t="shared" si="262"/>
        <v>1.1459023430358541E-3</v>
      </c>
      <c r="Q276" s="3">
        <f t="shared" si="262"/>
        <v>1.1459023430358541E-3</v>
      </c>
      <c r="R276" s="3">
        <f t="shared" si="262"/>
        <v>1.1459023430358537E-3</v>
      </c>
      <c r="S276" s="3">
        <f t="shared" si="262"/>
        <v>1.1459023430358489E-3</v>
      </c>
      <c r="T276" s="3">
        <f t="shared" si="262"/>
        <v>1.1459023430358014E-3</v>
      </c>
      <c r="U276" s="3">
        <f t="shared" si="262"/>
        <v>1.1459023430353272E-3</v>
      </c>
      <c r="V276" s="3">
        <f t="shared" si="262"/>
        <v>1.1459023430305851E-3</v>
      </c>
      <c r="W276" s="3">
        <f t="shared" si="262"/>
        <v>1.1459023429831649E-3</v>
      </c>
      <c r="X276" s="3">
        <f t="shared" si="262"/>
        <v>1.1459023425089629E-3</v>
      </c>
      <c r="Y276" s="3">
        <f t="shared" si="262"/>
        <v>1.1459023377669406E-3</v>
      </c>
      <c r="Z276" s="3">
        <f t="shared" si="262"/>
        <v>1.1459022903467187E-3</v>
      </c>
      <c r="AA276" s="3">
        <f t="shared" si="262"/>
        <v>1.1459018161446097E-3</v>
      </c>
      <c r="AB276" s="3">
        <f t="shared" si="262"/>
        <v>1.1458970741343119E-3</v>
      </c>
      <c r="AC276" s="3">
        <f t="shared" si="262"/>
        <v>1.1458496551106151E-3</v>
      </c>
      <c r="AD276" s="3">
        <f t="shared" si="262"/>
        <v>1.1453755727853104E-3</v>
      </c>
      <c r="AE276" s="3">
        <f t="shared" si="262"/>
        <v>1.1406455241938322E-3</v>
      </c>
      <c r="AF276" s="3">
        <f t="shared" si="262"/>
        <v>1.0944061878375858E-3</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1.4642888439612509E-3</v>
      </c>
      <c r="C279" s="3">
        <f t="shared" si="265"/>
        <v>1.4642888439612509E-3</v>
      </c>
      <c r="D279" s="3">
        <f t="shared" si="265"/>
        <v>1.4642888439612509E-3</v>
      </c>
      <c r="E279" s="3">
        <f t="shared" si="265"/>
        <v>1.4642888439612509E-3</v>
      </c>
      <c r="F279" s="3">
        <f t="shared" si="265"/>
        <v>1.4642888439612509E-3</v>
      </c>
      <c r="G279" s="3">
        <f t="shared" si="265"/>
        <v>1.4642888439612509E-3</v>
      </c>
      <c r="H279" s="3">
        <f t="shared" si="265"/>
        <v>1.4642888439612509E-3</v>
      </c>
      <c r="I279" s="3">
        <f t="shared" si="265"/>
        <v>1.4642888439612509E-3</v>
      </c>
      <c r="J279" s="3">
        <f t="shared" si="265"/>
        <v>1.4642888439612509E-3</v>
      </c>
      <c r="K279" s="3">
        <f t="shared" si="265"/>
        <v>1.4642888439612509E-3</v>
      </c>
      <c r="L279" s="3">
        <f t="shared" si="265"/>
        <v>1.4642888439612509E-3</v>
      </c>
      <c r="M279" s="3">
        <f t="shared" si="265"/>
        <v>1.4642888439612509E-3</v>
      </c>
      <c r="N279" s="3">
        <f t="shared" si="265"/>
        <v>1.4642888439612509E-3</v>
      </c>
      <c r="O279" s="3">
        <f t="shared" si="265"/>
        <v>1.4642888439612509E-3</v>
      </c>
      <c r="P279" s="3">
        <f t="shared" si="265"/>
        <v>1.4642888439612509E-3</v>
      </c>
      <c r="Q279" s="3">
        <f t="shared" si="265"/>
        <v>1.4642888439612509E-3</v>
      </c>
      <c r="R279" s="3">
        <f t="shared" si="265"/>
        <v>1.4642888439612509E-3</v>
      </c>
      <c r="S279" s="3">
        <f t="shared" si="265"/>
        <v>1.4642888439612509E-3</v>
      </c>
      <c r="T279" s="3">
        <f t="shared" si="265"/>
        <v>1.4642888439612509E-3</v>
      </c>
      <c r="U279" s="3">
        <f t="shared" si="265"/>
        <v>1.4642888439612503E-3</v>
      </c>
      <c r="V279" s="3">
        <f t="shared" si="265"/>
        <v>1.4642888439612442E-3</v>
      </c>
      <c r="W279" s="3">
        <f t="shared" si="265"/>
        <v>1.4642888439611837E-3</v>
      </c>
      <c r="X279" s="3">
        <f t="shared" si="265"/>
        <v>1.4642888439605776E-3</v>
      </c>
      <c r="Y279" s="3">
        <f t="shared" si="265"/>
        <v>1.464288843954518E-3</v>
      </c>
      <c r="Z279" s="3">
        <f t="shared" si="265"/>
        <v>1.4642888438939222E-3</v>
      </c>
      <c r="AA279" s="3">
        <f t="shared" si="265"/>
        <v>1.464288843287964E-3</v>
      </c>
      <c r="AB279" s="3">
        <f t="shared" si="265"/>
        <v>1.464288837228381E-3</v>
      </c>
      <c r="AC279" s="3">
        <f t="shared" si="265"/>
        <v>1.4642887766325528E-3</v>
      </c>
      <c r="AD279" s="3">
        <f t="shared" si="265"/>
        <v>1.4642881706744078E-3</v>
      </c>
      <c r="AE279" s="3">
        <f t="shared" si="265"/>
        <v>1.4642821111067496E-3</v>
      </c>
      <c r="AF279" s="3">
        <f t="shared" si="265"/>
        <v>1.4642215168093275E-3</v>
      </c>
      <c r="AG279" s="3"/>
      <c r="AH279" s="3"/>
    </row>
    <row r="280" spans="1:34" x14ac:dyDescent="0.25">
      <c r="A280" s="79">
        <f>AVERAGE(B280:AF280)</f>
        <v>4.4050592084988419E-2</v>
      </c>
      <c r="B280" s="80">
        <f>IF($D$61&lt;=B246,IF($E$61&gt;=B246,ABS((B248-B247)/B247),0),0)</f>
        <v>9.9737555217946708E-2</v>
      </c>
      <c r="C280" s="80">
        <f t="shared" ref="C280:AF280" si="266">IF($D$61&lt;=C246,IF($E$61&gt;=C246,ABS((C248-C247)/C247),0),0)</f>
        <v>8.141813972864767E-2</v>
      </c>
      <c r="D280" s="80">
        <f t="shared" si="266"/>
        <v>6.3968262616541732E-2</v>
      </c>
      <c r="E280" s="80">
        <f t="shared" si="266"/>
        <v>4.4507136495110018E-2</v>
      </c>
      <c r="F280" s="80">
        <f t="shared" si="266"/>
        <v>2.7163244591670067E-2</v>
      </c>
      <c r="G280" s="80">
        <f t="shared" si="266"/>
        <v>3.2065862766324567E-2</v>
      </c>
      <c r="H280" s="80">
        <f t="shared" si="266"/>
        <v>3.6530158713801379E-2</v>
      </c>
      <c r="I280" s="80">
        <f t="shared" si="266"/>
        <v>3.602534862838673E-2</v>
      </c>
      <c r="J280" s="80">
        <f t="shared" si="266"/>
        <v>3.9927241066854635E-2</v>
      </c>
      <c r="K280" s="80">
        <f t="shared" si="266"/>
        <v>4.1881526826366602E-2</v>
      </c>
      <c r="L280" s="80">
        <f t="shared" si="266"/>
        <v>4.0523141353636362E-2</v>
      </c>
      <c r="M280" s="80">
        <f t="shared" si="266"/>
        <v>3.9007608364544422E-2</v>
      </c>
      <c r="N280" s="80">
        <f t="shared" si="266"/>
        <v>3.9100406574422347E-2</v>
      </c>
      <c r="O280" s="80">
        <f t="shared" si="266"/>
        <v>4.0833702643392519E-2</v>
      </c>
      <c r="P280" s="80">
        <f t="shared" si="266"/>
        <v>4.1076303456613963E-2</v>
      </c>
      <c r="Q280" s="80">
        <f t="shared" si="266"/>
        <v>4.3447836604137043E-2</v>
      </c>
      <c r="R280" s="80">
        <f t="shared" si="266"/>
        <v>4.1257486674281342E-2</v>
      </c>
      <c r="S280" s="80">
        <f t="shared" si="266"/>
        <v>6.4879171032955858E-3</v>
      </c>
      <c r="T280" s="80">
        <f t="shared" si="266"/>
        <v>0.10698461325623594</v>
      </c>
      <c r="U280" s="80">
        <f t="shared" si="266"/>
        <v>0.1722634695299638</v>
      </c>
      <c r="V280" s="80">
        <f t="shared" si="266"/>
        <v>0.1238599367296587</v>
      </c>
      <c r="W280" s="80">
        <f t="shared" si="266"/>
        <v>4.0185580605863767E-2</v>
      </c>
      <c r="X280" s="80">
        <f t="shared" si="266"/>
        <v>4.5227541858198494E-2</v>
      </c>
      <c r="Y280" s="80">
        <f t="shared" si="266"/>
        <v>8.2088333228746521E-2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1152092.5800734835</v>
      </c>
      <c r="C281" s="21">
        <f t="shared" ref="C281:AF281" si="267">(C248-C247)^2</f>
        <v>737411.33471099182</v>
      </c>
      <c r="D281" s="21">
        <f t="shared" si="267"/>
        <v>438329.76470366918</v>
      </c>
      <c r="E281" s="21">
        <f t="shared" si="267"/>
        <v>203403.3929152615</v>
      </c>
      <c r="F281" s="21">
        <f t="shared" si="267"/>
        <v>72293.959801144039</v>
      </c>
      <c r="G281" s="21">
        <f t="shared" si="267"/>
        <v>95218.922244027111</v>
      </c>
      <c r="H281" s="21">
        <f t="shared" si="267"/>
        <v>117259.18589395855</v>
      </c>
      <c r="I281" s="21">
        <f t="shared" si="267"/>
        <v>107807.1093617303</v>
      </c>
      <c r="J281" s="21">
        <f t="shared" si="267"/>
        <v>124121.12886902595</v>
      </c>
      <c r="K281" s="21">
        <f t="shared" si="267"/>
        <v>126073.87032415737</v>
      </c>
      <c r="L281" s="21">
        <f t="shared" si="267"/>
        <v>108234.73548237054</v>
      </c>
      <c r="M281" s="21">
        <f t="shared" si="267"/>
        <v>92856.327578855969</v>
      </c>
      <c r="N281" s="21">
        <f t="shared" si="267"/>
        <v>86790.500755389352</v>
      </c>
      <c r="O281" s="21">
        <f t="shared" si="267"/>
        <v>87808.255665301418</v>
      </c>
      <c r="P281" s="21">
        <f t="shared" si="267"/>
        <v>82000.955973881762</v>
      </c>
      <c r="Q281" s="21">
        <f t="shared" si="267"/>
        <v>84449.512076031911</v>
      </c>
      <c r="R281" s="21">
        <f t="shared" si="267"/>
        <v>68266.133271862185</v>
      </c>
      <c r="S281" s="21">
        <f t="shared" si="267"/>
        <v>1371.3554279200896</v>
      </c>
      <c r="T281" s="21">
        <f t="shared" si="267"/>
        <v>253201.87598125433</v>
      </c>
      <c r="U281" s="21">
        <f t="shared" si="267"/>
        <v>409915.44681397494</v>
      </c>
      <c r="V281" s="21">
        <f t="shared" si="267"/>
        <v>131311.943292037</v>
      </c>
      <c r="W281" s="21">
        <f t="shared" si="267"/>
        <v>8330.5542889676854</v>
      </c>
      <c r="X281" s="21">
        <f t="shared" si="267"/>
        <v>5848.5451010776478</v>
      </c>
      <c r="Y281" s="21">
        <f t="shared" si="267"/>
        <v>9613.9513945759354</v>
      </c>
      <c r="Z281" s="21">
        <f t="shared" si="267"/>
        <v>7160.5626557518799</v>
      </c>
      <c r="AA281" s="21">
        <f t="shared" si="267"/>
        <v>567.07280536861617</v>
      </c>
      <c r="AB281" s="21">
        <f t="shared" si="267"/>
        <v>568.96862742299038</v>
      </c>
      <c r="AC281" s="21">
        <f t="shared" si="267"/>
        <v>34.747142620179652</v>
      </c>
      <c r="AD281" s="21">
        <f t="shared" si="267"/>
        <v>18.680062884719671</v>
      </c>
      <c r="AE281" s="21">
        <f t="shared" si="267"/>
        <v>40.933167991705005</v>
      </c>
      <c r="AF281" s="21">
        <f t="shared" si="267"/>
        <v>2.6559806210250874</v>
      </c>
      <c r="AG281" s="3"/>
      <c r="AH281" s="3"/>
    </row>
    <row r="282" spans="1:34" s="3" customFormat="1" x14ac:dyDescent="0.25">
      <c r="A282" s="71">
        <f>SUM(B282:AF282)</f>
        <v>4604011.3420009483</v>
      </c>
      <c r="B282" s="21">
        <f>IF($D$61&lt;=B246,IF($E$61&gt;=B246,ABS(B281),0),0)</f>
        <v>1152092.5800734835</v>
      </c>
      <c r="C282" s="21">
        <f t="shared" ref="C282:AF282" si="268">IF($D$61&lt;=C246,IF($E$61&gt;=C246,ABS(C281),0),0)</f>
        <v>737411.33471099182</v>
      </c>
      <c r="D282" s="21">
        <f t="shared" si="268"/>
        <v>438329.76470366918</v>
      </c>
      <c r="E282" s="21">
        <f t="shared" si="268"/>
        <v>203403.3929152615</v>
      </c>
      <c r="F282" s="21">
        <f t="shared" si="268"/>
        <v>72293.959801144039</v>
      </c>
      <c r="G282" s="21">
        <f t="shared" si="268"/>
        <v>95218.922244027111</v>
      </c>
      <c r="H282" s="21">
        <f t="shared" si="268"/>
        <v>117259.18589395855</v>
      </c>
      <c r="I282" s="21">
        <f t="shared" si="268"/>
        <v>107807.1093617303</v>
      </c>
      <c r="J282" s="21">
        <f t="shared" si="268"/>
        <v>124121.12886902595</v>
      </c>
      <c r="K282" s="21">
        <f t="shared" si="268"/>
        <v>126073.87032415737</v>
      </c>
      <c r="L282" s="21">
        <f t="shared" si="268"/>
        <v>108234.73548237054</v>
      </c>
      <c r="M282" s="21">
        <f t="shared" si="268"/>
        <v>92856.327578855969</v>
      </c>
      <c r="N282" s="21">
        <f t="shared" si="268"/>
        <v>86790.500755389352</v>
      </c>
      <c r="O282" s="21">
        <f t="shared" si="268"/>
        <v>87808.255665301418</v>
      </c>
      <c r="P282" s="21">
        <f t="shared" si="268"/>
        <v>82000.955973881762</v>
      </c>
      <c r="Q282" s="21">
        <f t="shared" si="268"/>
        <v>84449.512076031911</v>
      </c>
      <c r="R282" s="21">
        <f t="shared" si="268"/>
        <v>68266.133271862185</v>
      </c>
      <c r="S282" s="21">
        <f t="shared" si="268"/>
        <v>1371.3554279200896</v>
      </c>
      <c r="T282" s="21">
        <f t="shared" si="268"/>
        <v>253201.87598125433</v>
      </c>
      <c r="U282" s="21">
        <f t="shared" si="268"/>
        <v>409915.44681397494</v>
      </c>
      <c r="V282" s="21">
        <f t="shared" si="268"/>
        <v>131311.943292037</v>
      </c>
      <c r="W282" s="21">
        <f t="shared" si="268"/>
        <v>8330.5542889676854</v>
      </c>
      <c r="X282" s="21">
        <f t="shared" si="268"/>
        <v>5848.5451010776478</v>
      </c>
      <c r="Y282" s="21">
        <f t="shared" si="268"/>
        <v>9613.9513945759354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9688.3695720378892</v>
      </c>
      <c r="C287" s="27">
        <f t="shared" ref="C287:AF287" si="269">($C$17+SUM(C288:C318))*$B$51</f>
        <v>9687.6299098086038</v>
      </c>
      <c r="D287" s="27">
        <f t="shared" si="269"/>
        <v>9680.2881383479616</v>
      </c>
      <c r="E287" s="27">
        <f t="shared" si="269"/>
        <v>9612.0822578425086</v>
      </c>
      <c r="F287" s="27">
        <f t="shared" si="269"/>
        <v>9258.7167495925059</v>
      </c>
      <c r="G287" s="27">
        <f t="shared" si="269"/>
        <v>9004.4004445603023</v>
      </c>
      <c r="H287" s="27">
        <f t="shared" si="269"/>
        <v>8745.939480549534</v>
      </c>
      <c r="I287" s="27">
        <f t="shared" si="269"/>
        <v>8426.1432463011133</v>
      </c>
      <c r="J287" s="27">
        <f t="shared" si="269"/>
        <v>8076.1685062620054</v>
      </c>
      <c r="K287" s="27">
        <f t="shared" si="269"/>
        <v>7751.8527265431385</v>
      </c>
      <c r="L287" s="27">
        <f t="shared" si="269"/>
        <v>7475.3159698739182</v>
      </c>
      <c r="M287" s="27">
        <f t="shared" si="269"/>
        <v>7206.5197353400463</v>
      </c>
      <c r="N287" s="27">
        <f t="shared" si="269"/>
        <v>6929.3565167254683</v>
      </c>
      <c r="O287" s="27">
        <f t="shared" si="269"/>
        <v>6653.9007641851649</v>
      </c>
      <c r="P287" s="27">
        <f t="shared" si="269"/>
        <v>6365.5474266290457</v>
      </c>
      <c r="Q287" s="27">
        <f t="shared" si="269"/>
        <v>6030.1034196177734</v>
      </c>
      <c r="R287" s="27">
        <f t="shared" si="269"/>
        <v>5629.7543634618996</v>
      </c>
      <c r="S287" s="27">
        <f t="shared" si="269"/>
        <v>5131.5656865157744</v>
      </c>
      <c r="T287" s="27">
        <f t="shared" si="269"/>
        <v>4248.8094793907576</v>
      </c>
      <c r="U287" s="27">
        <f t="shared" si="269"/>
        <v>3178.6923288209491</v>
      </c>
      <c r="V287" s="27">
        <f t="shared" si="269"/>
        <v>2267.877990505141</v>
      </c>
      <c r="W287" s="27">
        <f t="shared" si="269"/>
        <v>1539.682432657333</v>
      </c>
      <c r="X287" s="27">
        <f t="shared" si="269"/>
        <v>1043.4359987144605</v>
      </c>
      <c r="Y287" s="27">
        <f t="shared" si="269"/>
        <v>717.06596131731192</v>
      </c>
      <c r="Z287" s="27">
        <f t="shared" si="269"/>
        <v>564.2582321585146</v>
      </c>
      <c r="AA287" s="27">
        <f t="shared" si="269"/>
        <v>463.63526316084301</v>
      </c>
      <c r="AB287" s="27">
        <f t="shared" si="269"/>
        <v>424.4290572220458</v>
      </c>
      <c r="AC287" s="27">
        <f t="shared" si="269"/>
        <v>396.80929565915955</v>
      </c>
      <c r="AD287" s="27">
        <f t="shared" si="269"/>
        <v>380.68588164428797</v>
      </c>
      <c r="AE287" s="27">
        <f t="shared" si="269"/>
        <v>370.62399874329083</v>
      </c>
      <c r="AF287" s="27">
        <f t="shared" si="269"/>
        <v>352.70108080961523</v>
      </c>
      <c r="AG287" s="27"/>
      <c r="AH287" s="27"/>
    </row>
    <row r="288" spans="1:34" x14ac:dyDescent="0.25">
      <c r="B288" s="3">
        <f t="shared" ref="B288:AF288" si="270">$C18*EXP(-B$285/$A18/EXP(-$F$126))</f>
        <v>1.8579959045517138E-265</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4.4671746763644202E-2</v>
      </c>
      <c r="C289" s="3">
        <f t="shared" si="271"/>
        <v>4.4609208964758368E-2</v>
      </c>
      <c r="D289" s="3">
        <f t="shared" si="271"/>
        <v>4.398862601613468E-2</v>
      </c>
      <c r="E289" s="3">
        <f t="shared" si="271"/>
        <v>3.8238350130278556E-2</v>
      </c>
      <c r="F289" s="3">
        <f t="shared" si="271"/>
        <v>9.4207749784539861E-3</v>
      </c>
      <c r="G289" s="3">
        <f t="shared" si="271"/>
        <v>7.7617827078097452E-9</v>
      </c>
      <c r="H289" s="3">
        <f t="shared" si="271"/>
        <v>1.1186905766987871E-69</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1.5678959168776062E-2</v>
      </c>
      <c r="C290" s="3">
        <f t="shared" si="272"/>
        <v>1.5676977868929121E-2</v>
      </c>
      <c r="D290" s="3">
        <f t="shared" si="272"/>
        <v>1.565717863561901E-2</v>
      </c>
      <c r="E290" s="3">
        <f t="shared" si="272"/>
        <v>1.5460556403741867E-2</v>
      </c>
      <c r="F290" s="3">
        <f t="shared" si="272"/>
        <v>1.3625148651232495E-2</v>
      </c>
      <c r="G290" s="3">
        <f t="shared" si="272"/>
        <v>3.8503707152825134E-3</v>
      </c>
      <c r="H290" s="3">
        <f t="shared" si="272"/>
        <v>1.2505916071592984E-8</v>
      </c>
      <c r="I290" s="3">
        <f t="shared" si="272"/>
        <v>1.6339740374225687E-63</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2.5896922652789065E-2</v>
      </c>
      <c r="C291" s="3">
        <f t="shared" si="273"/>
        <v>2.5896627428086579E-2</v>
      </c>
      <c r="D291" s="3">
        <f t="shared" si="273"/>
        <v>2.5893675366161113E-2</v>
      </c>
      <c r="E291" s="3">
        <f t="shared" si="273"/>
        <v>2.5864173249043595E-2</v>
      </c>
      <c r="F291" s="3">
        <f t="shared" si="273"/>
        <v>2.5570994511081479E-2</v>
      </c>
      <c r="G291" s="3">
        <f t="shared" si="273"/>
        <v>2.2815910367309997E-2</v>
      </c>
      <c r="H291" s="3">
        <f t="shared" si="273"/>
        <v>7.2969207989527244E-3</v>
      </c>
      <c r="I291" s="3">
        <f t="shared" si="273"/>
        <v>8.1687938517151013E-8</v>
      </c>
      <c r="J291" s="3">
        <f t="shared" si="273"/>
        <v>2.5254627963053105E-57</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3.0557562439082711E-2</v>
      </c>
      <c r="C292" s="3">
        <f t="shared" si="274"/>
        <v>3.0557531014314365E-2</v>
      </c>
      <c r="D292" s="3">
        <f t="shared" si="274"/>
        <v>3.05572167684083E-2</v>
      </c>
      <c r="E292" s="3">
        <f t="shared" si="274"/>
        <v>3.055407448708156E-2</v>
      </c>
      <c r="F292" s="3">
        <f t="shared" si="274"/>
        <v>3.0522669440443892E-2</v>
      </c>
      <c r="G292" s="3">
        <f t="shared" si="274"/>
        <v>3.0210388895383737E-2</v>
      </c>
      <c r="H292" s="3">
        <f t="shared" si="274"/>
        <v>2.7258022282587776E-2</v>
      </c>
      <c r="I292" s="3">
        <f t="shared" si="274"/>
        <v>9.7470816707368978E-3</v>
      </c>
      <c r="J292" s="3">
        <f t="shared" si="274"/>
        <v>3.3317870291948039E-7</v>
      </c>
      <c r="K292" s="3">
        <f t="shared" si="274"/>
        <v>7.2561042571820212E-52</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3.3957640802492778E-2</v>
      </c>
      <c r="C293" s="3">
        <f t="shared" si="275"/>
        <v>3.3957637652296008E-2</v>
      </c>
      <c r="D293" s="3">
        <f t="shared" si="275"/>
        <v>3.3957606150344426E-2</v>
      </c>
      <c r="E293" s="3">
        <f t="shared" si="275"/>
        <v>3.3957291132435889E-2</v>
      </c>
      <c r="F293" s="3">
        <f t="shared" si="275"/>
        <v>3.3954141114075756E-2</v>
      </c>
      <c r="G293" s="3">
        <f t="shared" si="275"/>
        <v>3.3922656997480767E-2</v>
      </c>
      <c r="H293" s="3">
        <f t="shared" si="275"/>
        <v>3.3609417030938053E-2</v>
      </c>
      <c r="I293" s="3">
        <f t="shared" si="275"/>
        <v>3.0631775027138042E-2</v>
      </c>
      <c r="J293" s="3">
        <f t="shared" si="275"/>
        <v>1.2113900594924726E-2</v>
      </c>
      <c r="K293" s="3">
        <f t="shared" si="275"/>
        <v>1.1334501500369432E-6</v>
      </c>
      <c r="L293" s="3">
        <f t="shared" si="275"/>
        <v>5.8289000910916476E-47</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2.7970835006522355E-2</v>
      </c>
      <c r="C294" s="3">
        <f t="shared" si="276"/>
        <v>2.7970834772448876E-2</v>
      </c>
      <c r="D294" s="3">
        <f t="shared" si="276"/>
        <v>2.7970832431714183E-2</v>
      </c>
      <c r="E294" s="3">
        <f t="shared" si="276"/>
        <v>2.7970809024378037E-2</v>
      </c>
      <c r="F294" s="3">
        <f t="shared" si="276"/>
        <v>2.7970574952093923E-2</v>
      </c>
      <c r="G294" s="3">
        <f t="shared" si="276"/>
        <v>2.7968234336985295E-2</v>
      </c>
      <c r="H294" s="3">
        <f t="shared" si="276"/>
        <v>2.7944838955814174E-2</v>
      </c>
      <c r="I294" s="3">
        <f t="shared" si="276"/>
        <v>2.7711958808338204E-2</v>
      </c>
      <c r="J294" s="3">
        <f t="shared" si="276"/>
        <v>2.5487272437938954E-2</v>
      </c>
      <c r="K294" s="3">
        <f t="shared" si="276"/>
        <v>1.1037856039904127E-2</v>
      </c>
      <c r="L294" s="3">
        <f t="shared" si="276"/>
        <v>2.5615236415551891E-6</v>
      </c>
      <c r="M294" s="3">
        <f t="shared" si="276"/>
        <v>1.1604723541948981E-42</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2.3282403549540438E-2</v>
      </c>
      <c r="C295" s="3">
        <f t="shared" si="277"/>
        <v>2.3282403531964393E-2</v>
      </c>
      <c r="D295" s="3">
        <f t="shared" si="277"/>
        <v>2.3282403356203931E-2</v>
      </c>
      <c r="E295" s="3">
        <f t="shared" si="277"/>
        <v>2.3282401598599393E-2</v>
      </c>
      <c r="F295" s="3">
        <f t="shared" si="277"/>
        <v>2.3282384022561293E-2</v>
      </c>
      <c r="G295" s="3">
        <f t="shared" si="277"/>
        <v>2.3282208262910047E-2</v>
      </c>
      <c r="H295" s="3">
        <f t="shared" si="277"/>
        <v>2.328045073937085E-2</v>
      </c>
      <c r="I295" s="3">
        <f t="shared" si="277"/>
        <v>2.3262882799267401E-2</v>
      </c>
      <c r="J295" s="3">
        <f t="shared" si="277"/>
        <v>2.308793089350572E-2</v>
      </c>
      <c r="K295" s="3">
        <f t="shared" si="277"/>
        <v>2.1409169736999332E-2</v>
      </c>
      <c r="L295" s="3">
        <f t="shared" si="277"/>
        <v>1.0063474275697802E-2</v>
      </c>
      <c r="M295" s="3">
        <f t="shared" si="277"/>
        <v>5.2994292071766294E-6</v>
      </c>
      <c r="N295" s="3">
        <f t="shared" si="277"/>
        <v>8.6904174152614815E-39</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2.5955524562000818E-2</v>
      </c>
      <c r="C296" s="3">
        <f t="shared" si="278"/>
        <v>2.5955524560233274E-2</v>
      </c>
      <c r="D296" s="3">
        <f t="shared" si="278"/>
        <v>2.5955524542557853E-2</v>
      </c>
      <c r="E296" s="3">
        <f t="shared" si="278"/>
        <v>2.5955524365803642E-2</v>
      </c>
      <c r="F296" s="3">
        <f t="shared" si="278"/>
        <v>2.5955522598261581E-2</v>
      </c>
      <c r="G296" s="3">
        <f t="shared" si="278"/>
        <v>2.5955504922847622E-2</v>
      </c>
      <c r="H296" s="3">
        <f t="shared" si="278"/>
        <v>2.5955328169370066E-2</v>
      </c>
      <c r="I296" s="3">
        <f t="shared" si="278"/>
        <v>2.5953560700794829E-2</v>
      </c>
      <c r="J296" s="3">
        <f t="shared" si="278"/>
        <v>2.5935892633409511E-2</v>
      </c>
      <c r="K296" s="3">
        <f t="shared" si="278"/>
        <v>2.575987213169088E-2</v>
      </c>
      <c r="L296" s="3">
        <f t="shared" si="278"/>
        <v>2.4064050785651683E-2</v>
      </c>
      <c r="M296" s="3">
        <f t="shared" si="278"/>
        <v>1.2179208375258323E-2</v>
      </c>
      <c r="N296" s="3">
        <f t="shared" si="278"/>
        <v>1.3431431932135297E-5</v>
      </c>
      <c r="O296" s="3">
        <f t="shared" si="278"/>
        <v>3.5740025770887908E-35</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2.4758413339799862E-2</v>
      </c>
      <c r="C297" s="3">
        <f t="shared" si="279"/>
        <v>2.4758413339647768E-2</v>
      </c>
      <c r="D297" s="3">
        <f t="shared" si="279"/>
        <v>2.4758413338126839E-2</v>
      </c>
      <c r="E297" s="3">
        <f t="shared" si="279"/>
        <v>2.4758413322917536E-2</v>
      </c>
      <c r="F297" s="3">
        <f t="shared" si="279"/>
        <v>2.4758413170824486E-2</v>
      </c>
      <c r="G297" s="3">
        <f t="shared" si="279"/>
        <v>2.475841164989406E-2</v>
      </c>
      <c r="H297" s="3">
        <f t="shared" si="279"/>
        <v>2.4758396440594944E-2</v>
      </c>
      <c r="I297" s="3">
        <f t="shared" si="279"/>
        <v>2.4758244348117641E-2</v>
      </c>
      <c r="J297" s="3">
        <f t="shared" si="279"/>
        <v>2.4756723474730961E-2</v>
      </c>
      <c r="K297" s="3">
        <f t="shared" si="279"/>
        <v>2.4741519878329815E-2</v>
      </c>
      <c r="L297" s="3">
        <f t="shared" si="279"/>
        <v>2.4589996495086072E-2</v>
      </c>
      <c r="M297" s="3">
        <f t="shared" si="279"/>
        <v>2.3124874570083612E-2</v>
      </c>
      <c r="N297" s="3">
        <f t="shared" si="279"/>
        <v>1.2510900650372501E-2</v>
      </c>
      <c r="O297" s="3">
        <f t="shared" si="279"/>
        <v>2.6876980174516515E-5</v>
      </c>
      <c r="P297" s="3">
        <f t="shared" si="279"/>
        <v>5.6272916856937476E-32</v>
      </c>
      <c r="Q297" s="3">
        <f t="shared" si="279"/>
        <v>9.1093835312390554E-299</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2.5498882300453791E-2</v>
      </c>
      <c r="C298" s="3">
        <f t="shared" si="280"/>
        <v>2.5498882300439663E-2</v>
      </c>
      <c r="D298" s="3">
        <f t="shared" si="280"/>
        <v>2.549888230029836E-2</v>
      </c>
      <c r="E298" s="3">
        <f t="shared" si="280"/>
        <v>2.5498882298885316E-2</v>
      </c>
      <c r="F298" s="3">
        <f t="shared" si="280"/>
        <v>2.5498882284754925E-2</v>
      </c>
      <c r="G298" s="3">
        <f t="shared" si="280"/>
        <v>2.5498882143450977E-2</v>
      </c>
      <c r="H298" s="3">
        <f t="shared" si="280"/>
        <v>2.5498880730411566E-2</v>
      </c>
      <c r="I298" s="3">
        <f t="shared" si="280"/>
        <v>2.5498866600021743E-2</v>
      </c>
      <c r="J298" s="3">
        <f t="shared" si="280"/>
        <v>2.5498725296554177E-2</v>
      </c>
      <c r="K298" s="3">
        <f t="shared" si="280"/>
        <v>2.5497312304945112E-2</v>
      </c>
      <c r="L298" s="3">
        <f t="shared" si="280"/>
        <v>2.5483186694628034E-2</v>
      </c>
      <c r="M298" s="3">
        <f t="shared" si="280"/>
        <v>2.5342360287274223E-2</v>
      </c>
      <c r="N298" s="3">
        <f t="shared" si="280"/>
        <v>2.397619766194042E-2</v>
      </c>
      <c r="O298" s="3">
        <f t="shared" si="280"/>
        <v>1.3775672342566533E-2</v>
      </c>
      <c r="P298" s="3">
        <f t="shared" si="280"/>
        <v>5.4005469463522346E-5</v>
      </c>
      <c r="Q298" s="3">
        <f t="shared" si="280"/>
        <v>4.6311319846881245E-29</v>
      </c>
      <c r="R298" s="3">
        <f t="shared" si="280"/>
        <v>9.9582100919896053E-270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2.6156174216144336E-2</v>
      </c>
      <c r="C299" s="3">
        <f t="shared" si="281"/>
        <v>2.6156174216143031E-2</v>
      </c>
      <c r="D299" s="3">
        <f t="shared" si="281"/>
        <v>2.6156174216129955E-2</v>
      </c>
      <c r="E299" s="3">
        <f t="shared" si="281"/>
        <v>2.6156174215999198E-2</v>
      </c>
      <c r="F299" s="3">
        <f t="shared" si="281"/>
        <v>2.6156174214691661E-2</v>
      </c>
      <c r="G299" s="3">
        <f t="shared" si="281"/>
        <v>2.6156174201616294E-2</v>
      </c>
      <c r="H299" s="3">
        <f t="shared" si="281"/>
        <v>2.6156174070862601E-2</v>
      </c>
      <c r="I299" s="3">
        <f t="shared" si="281"/>
        <v>2.6156172763325731E-2</v>
      </c>
      <c r="J299" s="3">
        <f t="shared" si="281"/>
        <v>2.6156159687960593E-2</v>
      </c>
      <c r="K299" s="3">
        <f t="shared" si="281"/>
        <v>2.6156028934668743E-2</v>
      </c>
      <c r="L299" s="3">
        <f t="shared" si="281"/>
        <v>2.6154721437699282E-2</v>
      </c>
      <c r="M299" s="3">
        <f t="shared" si="281"/>
        <v>2.6141650062245159E-2</v>
      </c>
      <c r="N299" s="3">
        <f t="shared" si="281"/>
        <v>2.6011295067846763E-2</v>
      </c>
      <c r="O299" s="3">
        <f t="shared" si="281"/>
        <v>2.4742966349313878E-2</v>
      </c>
      <c r="P299" s="3">
        <f t="shared" si="281"/>
        <v>1.5008927251744514E-2</v>
      </c>
      <c r="Q299" s="3">
        <f t="shared" si="281"/>
        <v>1.0123449797517967E-4</v>
      </c>
      <c r="R299" s="3">
        <f t="shared" si="281"/>
        <v>1.972955741101784E-26</v>
      </c>
      <c r="S299" s="3">
        <f t="shared" si="281"/>
        <v>1.559572027029278E-243</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3.7540941347655184E-2</v>
      </c>
      <c r="C300" s="3">
        <f t="shared" si="282"/>
        <v>3.7540941347655017E-2</v>
      </c>
      <c r="D300" s="3">
        <f t="shared" si="282"/>
        <v>3.7540941347653324E-2</v>
      </c>
      <c r="E300" s="3">
        <f t="shared" si="282"/>
        <v>3.7540941347636393E-2</v>
      </c>
      <c r="F300" s="3">
        <f t="shared" si="282"/>
        <v>3.7540941347467105E-2</v>
      </c>
      <c r="G300" s="3">
        <f t="shared" si="282"/>
        <v>3.7540941345774202E-2</v>
      </c>
      <c r="H300" s="3">
        <f t="shared" si="282"/>
        <v>3.7540941328845195E-2</v>
      </c>
      <c r="I300" s="3">
        <f t="shared" si="282"/>
        <v>3.7540941159555127E-2</v>
      </c>
      <c r="J300" s="3">
        <f t="shared" si="282"/>
        <v>3.7540939466654467E-2</v>
      </c>
      <c r="K300" s="3">
        <f t="shared" si="282"/>
        <v>3.7540922537652066E-2</v>
      </c>
      <c r="L300" s="3">
        <f t="shared" si="282"/>
        <v>3.7540753248047939E-2</v>
      </c>
      <c r="M300" s="3">
        <f t="shared" si="282"/>
        <v>3.7539060393993427E-2</v>
      </c>
      <c r="N300" s="3">
        <f t="shared" si="282"/>
        <v>3.7522136051424751E-2</v>
      </c>
      <c r="O300" s="3">
        <f t="shared" si="282"/>
        <v>3.735331172378651E-2</v>
      </c>
      <c r="P300" s="3">
        <f t="shared" si="282"/>
        <v>3.5706287338793705E-2</v>
      </c>
      <c r="Q300" s="3">
        <f t="shared" si="282"/>
        <v>2.2745764035334522E-2</v>
      </c>
      <c r="R300" s="3">
        <f t="shared" si="282"/>
        <v>2.5029885822216009E-4</v>
      </c>
      <c r="S300" s="3">
        <f t="shared" si="282"/>
        <v>6.5169180381477438E-24</v>
      </c>
      <c r="T300" s="3">
        <f t="shared" si="282"/>
        <v>9.3298822773752019E-220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2.9964173015778757E-2</v>
      </c>
      <c r="C301" s="3">
        <f t="shared" si="283"/>
        <v>2.9964173015778743E-2</v>
      </c>
      <c r="D301" s="3">
        <f t="shared" si="283"/>
        <v>2.9964173015778622E-2</v>
      </c>
      <c r="E301" s="3">
        <f t="shared" si="283"/>
        <v>2.9964173015777404E-2</v>
      </c>
      <c r="F301" s="3">
        <f t="shared" si="283"/>
        <v>2.9964173015765216E-2</v>
      </c>
      <c r="G301" s="3">
        <f t="shared" si="283"/>
        <v>2.996417301564332E-2</v>
      </c>
      <c r="H301" s="3">
        <f t="shared" si="283"/>
        <v>2.9964173014424399E-2</v>
      </c>
      <c r="I301" s="3">
        <f t="shared" si="283"/>
        <v>2.9964173002235202E-2</v>
      </c>
      <c r="J301" s="3">
        <f t="shared" si="283"/>
        <v>2.9964172880343198E-2</v>
      </c>
      <c r="K301" s="3">
        <f t="shared" si="283"/>
        <v>2.9964171661423195E-2</v>
      </c>
      <c r="L301" s="3">
        <f t="shared" si="283"/>
        <v>2.9964159472225894E-2</v>
      </c>
      <c r="M301" s="3">
        <f t="shared" si="283"/>
        <v>2.9964037580525602E-2</v>
      </c>
      <c r="N301" s="3">
        <f t="shared" si="283"/>
        <v>2.9962818690793855E-2</v>
      </c>
      <c r="O301" s="3">
        <f t="shared" si="283"/>
        <v>2.9950632520181587E-2</v>
      </c>
      <c r="P301" s="3">
        <f t="shared" si="283"/>
        <v>2.9829043074625472E-2</v>
      </c>
      <c r="Q301" s="3">
        <f t="shared" si="283"/>
        <v>2.8639969308310007E-2</v>
      </c>
      <c r="R301" s="3">
        <f t="shared" si="283"/>
        <v>1.9067985708331271E-2</v>
      </c>
      <c r="S301" s="3">
        <f t="shared" si="283"/>
        <v>3.2630784336236927E-4</v>
      </c>
      <c r="T301" s="3">
        <f t="shared" si="283"/>
        <v>7.0283675449529082E-22</v>
      </c>
      <c r="U301" s="3">
        <f t="shared" si="283"/>
        <v>1.5105113111405498E-198</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7.1416883904963147E-2</v>
      </c>
      <c r="C302" s="3">
        <f t="shared" si="284"/>
        <v>7.1416883904963147E-2</v>
      </c>
      <c r="D302" s="3">
        <f t="shared" si="284"/>
        <v>7.1416883904963119E-2</v>
      </c>
      <c r="E302" s="3">
        <f t="shared" si="284"/>
        <v>7.1416883904962855E-2</v>
      </c>
      <c r="F302" s="3">
        <f t="shared" si="284"/>
        <v>7.1416883904960232E-2</v>
      </c>
      <c r="G302" s="3">
        <f t="shared" si="284"/>
        <v>7.1416883904934017E-2</v>
      </c>
      <c r="H302" s="3">
        <f t="shared" si="284"/>
        <v>7.1416883904671963E-2</v>
      </c>
      <c r="I302" s="3">
        <f t="shared" si="284"/>
        <v>7.141688390205124E-2</v>
      </c>
      <c r="J302" s="3">
        <f t="shared" si="284"/>
        <v>7.1416883875844051E-2</v>
      </c>
      <c r="K302" s="3">
        <f t="shared" si="284"/>
        <v>7.1416883613772186E-2</v>
      </c>
      <c r="L302" s="3">
        <f t="shared" si="284"/>
        <v>7.1416880993053544E-2</v>
      </c>
      <c r="M302" s="3">
        <f t="shared" si="284"/>
        <v>7.141685478587248E-2</v>
      </c>
      <c r="N302" s="3">
        <f t="shared" si="284"/>
        <v>7.1416592714590804E-2</v>
      </c>
      <c r="O302" s="3">
        <f t="shared" si="284"/>
        <v>7.1413972054666736E-2</v>
      </c>
      <c r="P302" s="3">
        <f t="shared" si="284"/>
        <v>7.1387770743981768E-2</v>
      </c>
      <c r="Q302" s="3">
        <f t="shared" si="284"/>
        <v>7.1126285775358192E-2</v>
      </c>
      <c r="R302" s="3">
        <f t="shared" si="284"/>
        <v>6.8563539813923213E-2</v>
      </c>
      <c r="S302" s="3">
        <f t="shared" si="284"/>
        <v>4.7503350369491708E-2</v>
      </c>
      <c r="T302" s="3">
        <f t="shared" si="284"/>
        <v>1.2106938568165167E-3</v>
      </c>
      <c r="U302" s="3">
        <f t="shared" si="284"/>
        <v>1.4000234668266949E-19</v>
      </c>
      <c r="V302" s="3">
        <f t="shared" si="284"/>
        <v>5.9861153371905278E-179</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0.10311361760580572</v>
      </c>
      <c r="C303" s="3">
        <f t="shared" si="285"/>
        <v>0.10311361760580572</v>
      </c>
      <c r="D303" s="3">
        <f t="shared" si="285"/>
        <v>0.10311361760580572</v>
      </c>
      <c r="E303" s="3">
        <f t="shared" si="285"/>
        <v>0.10311361760580569</v>
      </c>
      <c r="F303" s="3">
        <f t="shared" si="285"/>
        <v>0.10311361760580534</v>
      </c>
      <c r="G303" s="3">
        <f t="shared" si="285"/>
        <v>0.10311361760580193</v>
      </c>
      <c r="H303" s="3">
        <f t="shared" si="285"/>
        <v>0.10311361760576779</v>
      </c>
      <c r="I303" s="3">
        <f t="shared" si="285"/>
        <v>0.10311361760542646</v>
      </c>
      <c r="J303" s="3">
        <f t="shared" si="285"/>
        <v>0.1031136176020131</v>
      </c>
      <c r="K303" s="3">
        <f t="shared" si="285"/>
        <v>0.1031136175678795</v>
      </c>
      <c r="L303" s="3">
        <f t="shared" si="285"/>
        <v>0.10311361722654347</v>
      </c>
      <c r="M303" s="3">
        <f t="shared" si="285"/>
        <v>0.10311361381318331</v>
      </c>
      <c r="N303" s="3">
        <f t="shared" si="285"/>
        <v>0.10311357967958788</v>
      </c>
      <c r="O303" s="3">
        <f t="shared" si="285"/>
        <v>0.10311323834425519</v>
      </c>
      <c r="P303" s="3">
        <f t="shared" si="285"/>
        <v>0.10310982505307308</v>
      </c>
      <c r="Q303" s="3">
        <f t="shared" si="285"/>
        <v>0.10307569835497378</v>
      </c>
      <c r="R303" s="3">
        <f t="shared" si="285"/>
        <v>0.102735051985784</v>
      </c>
      <c r="S303" s="3">
        <f t="shared" si="285"/>
        <v>9.9389896027904254E-2</v>
      </c>
      <c r="T303" s="3">
        <f t="shared" si="285"/>
        <v>7.1380263837108174E-2</v>
      </c>
      <c r="U303" s="3">
        <f t="shared" si="285"/>
        <v>2.6057771696724017E-3</v>
      </c>
      <c r="V303" s="3">
        <f t="shared" si="285"/>
        <v>1.0952885137167046E-17</v>
      </c>
      <c r="W303" s="3">
        <f t="shared" si="285"/>
        <v>1.8855633082062547E-161</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8.7291657876096773E-2</v>
      </c>
      <c r="C304" s="3">
        <f t="shared" si="286"/>
        <v>8.7291657876096773E-2</v>
      </c>
      <c r="D304" s="3">
        <f t="shared" si="286"/>
        <v>8.7291657876096773E-2</v>
      </c>
      <c r="E304" s="3">
        <f t="shared" si="286"/>
        <v>8.7291657876096773E-2</v>
      </c>
      <c r="F304" s="3">
        <f t="shared" si="286"/>
        <v>8.7291657876096745E-2</v>
      </c>
      <c r="G304" s="3">
        <f t="shared" si="286"/>
        <v>8.7291657876096482E-2</v>
      </c>
      <c r="H304" s="3">
        <f t="shared" si="286"/>
        <v>8.7291657876093873E-2</v>
      </c>
      <c r="I304" s="3">
        <f t="shared" si="286"/>
        <v>8.729165787606781E-2</v>
      </c>
      <c r="J304" s="3">
        <f t="shared" si="286"/>
        <v>8.7291657875807144E-2</v>
      </c>
      <c r="K304" s="3">
        <f t="shared" si="286"/>
        <v>8.7291657873200479E-2</v>
      </c>
      <c r="L304" s="3">
        <f t="shared" si="286"/>
        <v>8.7291657847133816E-2</v>
      </c>
      <c r="M304" s="3">
        <f t="shared" si="286"/>
        <v>8.7291657586467189E-2</v>
      </c>
      <c r="N304" s="3">
        <f t="shared" si="286"/>
        <v>8.7291654979800959E-2</v>
      </c>
      <c r="O304" s="3">
        <f t="shared" si="286"/>
        <v>8.7291628913142946E-2</v>
      </c>
      <c r="P304" s="3">
        <f t="shared" si="286"/>
        <v>8.7291368246990964E-2</v>
      </c>
      <c r="Q304" s="3">
        <f t="shared" si="286"/>
        <v>8.7288761628282155E-2</v>
      </c>
      <c r="R304" s="3">
        <f t="shared" si="286"/>
        <v>8.7262699721822101E-2</v>
      </c>
      <c r="S304" s="3">
        <f t="shared" si="286"/>
        <v>8.7002508247453494E-2</v>
      </c>
      <c r="T304" s="3">
        <f t="shared" si="286"/>
        <v>8.4442883841681832E-2</v>
      </c>
      <c r="U304" s="3">
        <f t="shared" si="286"/>
        <v>6.2643482009180448E-2</v>
      </c>
      <c r="V304" s="3">
        <f t="shared" si="286"/>
        <v>3.1623083958898287E-3</v>
      </c>
      <c r="W304" s="3">
        <f t="shared" si="286"/>
        <v>3.3985020348779166E-16</v>
      </c>
      <c r="X304" s="3">
        <f t="shared" si="286"/>
        <v>6.9842643093266945E-146</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7.2211450290495263E-2</v>
      </c>
      <c r="C305" s="3">
        <f t="shared" si="287"/>
        <v>7.2211450290495263E-2</v>
      </c>
      <c r="D305" s="3">
        <f t="shared" si="287"/>
        <v>7.2211450290495263E-2</v>
      </c>
      <c r="E305" s="3">
        <f t="shared" si="287"/>
        <v>7.2211450290495263E-2</v>
      </c>
      <c r="F305" s="3">
        <f t="shared" si="287"/>
        <v>7.2211450290495263E-2</v>
      </c>
      <c r="G305" s="3">
        <f t="shared" si="287"/>
        <v>7.2211450290495235E-2</v>
      </c>
      <c r="H305" s="3">
        <f t="shared" si="287"/>
        <v>7.2211450290495041E-2</v>
      </c>
      <c r="I305" s="3">
        <f t="shared" si="287"/>
        <v>7.2211450290493098E-2</v>
      </c>
      <c r="J305" s="3">
        <f t="shared" si="287"/>
        <v>7.2211450290473655E-2</v>
      </c>
      <c r="K305" s="3">
        <f t="shared" si="287"/>
        <v>7.2211450290279131E-2</v>
      </c>
      <c r="L305" s="3">
        <f t="shared" si="287"/>
        <v>7.2211450288333923E-2</v>
      </c>
      <c r="M305" s="3">
        <f t="shared" si="287"/>
        <v>7.2211450268881872E-2</v>
      </c>
      <c r="N305" s="3">
        <f t="shared" si="287"/>
        <v>7.2211450074361389E-2</v>
      </c>
      <c r="O305" s="3">
        <f t="shared" si="287"/>
        <v>7.2211448129156544E-2</v>
      </c>
      <c r="P305" s="3">
        <f t="shared" si="287"/>
        <v>7.2211428677110973E-2</v>
      </c>
      <c r="Q305" s="3">
        <f t="shared" si="287"/>
        <v>7.2211234156943443E-2</v>
      </c>
      <c r="R305" s="3">
        <f t="shared" si="287"/>
        <v>7.2209288984087378E-2</v>
      </c>
      <c r="S305" s="3">
        <f t="shared" si="287"/>
        <v>7.2189840137163508E-2</v>
      </c>
      <c r="T305" s="3">
        <f t="shared" si="287"/>
        <v>7.1995639544591761E-2</v>
      </c>
      <c r="U305" s="3">
        <f t="shared" si="287"/>
        <v>7.0082136416863172E-2</v>
      </c>
      <c r="V305" s="3">
        <f t="shared" si="287"/>
        <v>5.3532647112350042E-2</v>
      </c>
      <c r="W305" s="3">
        <f t="shared" si="287"/>
        <v>3.6202001719785799E-3</v>
      </c>
      <c r="X305" s="3">
        <f t="shared" si="287"/>
        <v>7.2422121031118104E-15</v>
      </c>
      <c r="Y305" s="3">
        <f t="shared" si="287"/>
        <v>7.4346031594568675E-132</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4.7726428975124642E-2</v>
      </c>
      <c r="C306" s="3">
        <f t="shared" si="288"/>
        <v>4.7726428975124642E-2</v>
      </c>
      <c r="D306" s="3">
        <f t="shared" si="288"/>
        <v>4.7726428975124642E-2</v>
      </c>
      <c r="E306" s="3">
        <f t="shared" si="288"/>
        <v>4.7726428975124642E-2</v>
      </c>
      <c r="F306" s="3">
        <f t="shared" si="288"/>
        <v>4.7726428975124642E-2</v>
      </c>
      <c r="G306" s="3">
        <f t="shared" si="288"/>
        <v>4.7726428975124642E-2</v>
      </c>
      <c r="H306" s="3">
        <f t="shared" si="288"/>
        <v>4.7726428975124628E-2</v>
      </c>
      <c r="I306" s="3">
        <f t="shared" si="288"/>
        <v>4.7726428975124517E-2</v>
      </c>
      <c r="J306" s="3">
        <f t="shared" si="288"/>
        <v>4.7726428975123351E-2</v>
      </c>
      <c r="K306" s="3">
        <f t="shared" si="288"/>
        <v>4.7726428975111757E-2</v>
      </c>
      <c r="L306" s="3">
        <f t="shared" si="288"/>
        <v>4.772642897499578E-2</v>
      </c>
      <c r="M306" s="3">
        <f t="shared" si="288"/>
        <v>4.7726428973836034E-2</v>
      </c>
      <c r="N306" s="3">
        <f t="shared" si="288"/>
        <v>4.7726428962238512E-2</v>
      </c>
      <c r="O306" s="3">
        <f t="shared" si="288"/>
        <v>4.7726428846263401E-2</v>
      </c>
      <c r="P306" s="3">
        <f t="shared" si="288"/>
        <v>4.7726427686512266E-2</v>
      </c>
      <c r="Q306" s="3">
        <f t="shared" si="288"/>
        <v>4.7726416089002438E-2</v>
      </c>
      <c r="R306" s="3">
        <f t="shared" si="288"/>
        <v>4.7726300114059129E-2</v>
      </c>
      <c r="S306" s="3">
        <f t="shared" si="288"/>
        <v>4.7725140380125965E-2</v>
      </c>
      <c r="T306" s="3">
        <f t="shared" si="288"/>
        <v>4.7713544590645501E-2</v>
      </c>
      <c r="U306" s="3">
        <f t="shared" si="288"/>
        <v>4.7597741541699989E-2</v>
      </c>
      <c r="V306" s="3">
        <f t="shared" si="288"/>
        <v>4.6455057316672425E-2</v>
      </c>
      <c r="W306" s="3">
        <f t="shared" si="288"/>
        <v>3.6433386283102567E-2</v>
      </c>
      <c r="X306" s="3">
        <f t="shared" si="288"/>
        <v>3.2074871115585196E-3</v>
      </c>
      <c r="Y306" s="3">
        <f t="shared" si="288"/>
        <v>8.9705430644731177E-14</v>
      </c>
      <c r="Z306" s="3">
        <f t="shared" si="288"/>
        <v>2.6263759344123321E-119</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3.3498054799521296E-2</v>
      </c>
      <c r="C307" s="3">
        <f t="shared" si="289"/>
        <v>3.3498054799521296E-2</v>
      </c>
      <c r="D307" s="3">
        <f t="shared" si="289"/>
        <v>3.3498054799521296E-2</v>
      </c>
      <c r="E307" s="3">
        <f t="shared" si="289"/>
        <v>3.3498054799521296E-2</v>
      </c>
      <c r="F307" s="3">
        <f t="shared" si="289"/>
        <v>3.3498054799521296E-2</v>
      </c>
      <c r="G307" s="3">
        <f t="shared" si="289"/>
        <v>3.3498054799521296E-2</v>
      </c>
      <c r="H307" s="3">
        <f t="shared" si="289"/>
        <v>3.3498054799521296E-2</v>
      </c>
      <c r="I307" s="3">
        <f t="shared" si="289"/>
        <v>3.3498054799521289E-2</v>
      </c>
      <c r="J307" s="3">
        <f t="shared" si="289"/>
        <v>3.3498054799521212E-2</v>
      </c>
      <c r="K307" s="3">
        <f t="shared" si="289"/>
        <v>3.3498054799520484E-2</v>
      </c>
      <c r="L307" s="3">
        <f t="shared" si="289"/>
        <v>3.3498054799513136E-2</v>
      </c>
      <c r="M307" s="3">
        <f t="shared" si="289"/>
        <v>3.3498054799439708E-2</v>
      </c>
      <c r="N307" s="3">
        <f t="shared" si="289"/>
        <v>3.3498054798705414E-2</v>
      </c>
      <c r="O307" s="3">
        <f t="shared" si="289"/>
        <v>3.3498054791362433E-2</v>
      </c>
      <c r="P307" s="3">
        <f t="shared" si="289"/>
        <v>3.3498054717932685E-2</v>
      </c>
      <c r="Q307" s="3">
        <f t="shared" si="289"/>
        <v>3.3498053983635187E-2</v>
      </c>
      <c r="R307" s="3">
        <f t="shared" si="289"/>
        <v>3.3498046640661111E-2</v>
      </c>
      <c r="S307" s="3">
        <f t="shared" si="289"/>
        <v>3.3497973211008912E-2</v>
      </c>
      <c r="T307" s="3">
        <f t="shared" si="289"/>
        <v>3.3497238923339702E-2</v>
      </c>
      <c r="U307" s="3">
        <f t="shared" si="289"/>
        <v>3.3489896931861204E-2</v>
      </c>
      <c r="V307" s="3">
        <f t="shared" si="289"/>
        <v>3.3416565466680391E-2</v>
      </c>
      <c r="W307" s="3">
        <f t="shared" si="289"/>
        <v>3.2692024455843918E-2</v>
      </c>
      <c r="X307" s="3">
        <f t="shared" si="289"/>
        <v>2.6256803438983956E-2</v>
      </c>
      <c r="Y307" s="3">
        <f t="shared" si="289"/>
        <v>2.932528434149755E-3</v>
      </c>
      <c r="Z307" s="3">
        <f t="shared" si="289"/>
        <v>8.8561715293944486E-13</v>
      </c>
      <c r="AA307" s="3">
        <f t="shared" si="289"/>
        <v>5.5883538424777276E-108</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8.3276524344842746E-3</v>
      </c>
      <c r="C308" s="3">
        <f t="shared" si="290"/>
        <v>8.3276524344842746E-3</v>
      </c>
      <c r="D308" s="3">
        <f t="shared" si="290"/>
        <v>8.3276524344842746E-3</v>
      </c>
      <c r="E308" s="3">
        <f t="shared" si="290"/>
        <v>8.3276524344842746E-3</v>
      </c>
      <c r="F308" s="3">
        <f t="shared" si="290"/>
        <v>8.3276524344842746E-3</v>
      </c>
      <c r="G308" s="3">
        <f t="shared" si="290"/>
        <v>8.3276524344842746E-3</v>
      </c>
      <c r="H308" s="3">
        <f t="shared" si="290"/>
        <v>8.3276524344842746E-3</v>
      </c>
      <c r="I308" s="3">
        <f t="shared" si="290"/>
        <v>8.3276524344842746E-3</v>
      </c>
      <c r="J308" s="3">
        <f t="shared" si="290"/>
        <v>8.3276524344842728E-3</v>
      </c>
      <c r="K308" s="3">
        <f t="shared" si="290"/>
        <v>8.3276524344842555E-3</v>
      </c>
      <c r="L308" s="3">
        <f t="shared" si="290"/>
        <v>8.3276524344840907E-3</v>
      </c>
      <c r="M308" s="3">
        <f t="shared" si="290"/>
        <v>8.3276524344824444E-3</v>
      </c>
      <c r="N308" s="3">
        <f t="shared" si="290"/>
        <v>8.3276524344659784E-3</v>
      </c>
      <c r="O308" s="3">
        <f t="shared" si="290"/>
        <v>8.3276524343013046E-3</v>
      </c>
      <c r="P308" s="3">
        <f t="shared" si="290"/>
        <v>8.3276524326545785E-3</v>
      </c>
      <c r="Q308" s="3">
        <f t="shared" si="290"/>
        <v>8.3276524161873065E-3</v>
      </c>
      <c r="R308" s="3">
        <f t="shared" si="290"/>
        <v>8.3276522515145935E-3</v>
      </c>
      <c r="S308" s="3">
        <f t="shared" si="290"/>
        <v>8.3276506047876408E-3</v>
      </c>
      <c r="T308" s="3">
        <f t="shared" si="290"/>
        <v>8.3276341375360264E-3</v>
      </c>
      <c r="U308" s="3">
        <f t="shared" si="290"/>
        <v>8.3274694668108162E-3</v>
      </c>
      <c r="V308" s="3">
        <f t="shared" si="290"/>
        <v>8.3258229386391318E-3</v>
      </c>
      <c r="W308" s="3">
        <f t="shared" si="290"/>
        <v>8.3093755518681076E-3</v>
      </c>
      <c r="X308" s="3">
        <f t="shared" si="290"/>
        <v>8.1466781549464091E-3</v>
      </c>
      <c r="Y308" s="3">
        <f t="shared" si="290"/>
        <v>6.6850132682520162E-3</v>
      </c>
      <c r="Z308" s="3">
        <f t="shared" si="290"/>
        <v>9.2537852448908002E-4</v>
      </c>
      <c r="AA308" s="3">
        <f t="shared" si="290"/>
        <v>2.3905115459452864E-12</v>
      </c>
      <c r="AB308" s="3">
        <f t="shared" si="290"/>
        <v>3.1637717011182028E-98</v>
      </c>
      <c r="AC308" s="3">
        <f t="shared" si="290"/>
        <v>0</v>
      </c>
      <c r="AD308" s="3">
        <f t="shared" si="290"/>
        <v>0</v>
      </c>
      <c r="AE308" s="3">
        <f t="shared" si="290"/>
        <v>0</v>
      </c>
      <c r="AF308" s="3">
        <f t="shared" si="290"/>
        <v>0</v>
      </c>
      <c r="AG308" s="3"/>
      <c r="AH308" s="3"/>
    </row>
    <row r="309" spans="1:34" x14ac:dyDescent="0.25">
      <c r="B309" s="3">
        <f t="shared" ref="B309:AF309" si="291">$C39*EXP(-B$285/$A39/EXP(-$F$126))</f>
        <v>1.1282321504922463E-2</v>
      </c>
      <c r="C309" s="3">
        <f t="shared" si="291"/>
        <v>1.1282321504922463E-2</v>
      </c>
      <c r="D309" s="3">
        <f t="shared" si="291"/>
        <v>1.1282321504922463E-2</v>
      </c>
      <c r="E309" s="3">
        <f t="shared" si="291"/>
        <v>1.1282321504922463E-2</v>
      </c>
      <c r="F309" s="3">
        <f t="shared" si="291"/>
        <v>1.1282321504922463E-2</v>
      </c>
      <c r="G309" s="3">
        <f t="shared" si="291"/>
        <v>1.1282321504922463E-2</v>
      </c>
      <c r="H309" s="3">
        <f t="shared" si="291"/>
        <v>1.1282321504922463E-2</v>
      </c>
      <c r="I309" s="3">
        <f t="shared" si="291"/>
        <v>1.1282321504922463E-2</v>
      </c>
      <c r="J309" s="3">
        <f t="shared" si="291"/>
        <v>1.1282321504922461E-2</v>
      </c>
      <c r="K309" s="3">
        <f t="shared" si="291"/>
        <v>1.1282321504922456E-2</v>
      </c>
      <c r="L309" s="3">
        <f t="shared" si="291"/>
        <v>1.1282321504922393E-2</v>
      </c>
      <c r="M309" s="3">
        <f t="shared" si="291"/>
        <v>1.1282321504921778E-2</v>
      </c>
      <c r="N309" s="3">
        <f t="shared" si="291"/>
        <v>1.1282321504915607E-2</v>
      </c>
      <c r="O309" s="3">
        <f t="shared" si="291"/>
        <v>1.1282321504853903E-2</v>
      </c>
      <c r="P309" s="3">
        <f t="shared" si="291"/>
        <v>1.1282321504236867E-2</v>
      </c>
      <c r="Q309" s="3">
        <f t="shared" si="291"/>
        <v>1.128232149806651E-2</v>
      </c>
      <c r="R309" s="3">
        <f t="shared" si="291"/>
        <v>1.1282321436362925E-2</v>
      </c>
      <c r="S309" s="3">
        <f t="shared" si="291"/>
        <v>1.128232081932711E-2</v>
      </c>
      <c r="T309" s="3">
        <f t="shared" si="291"/>
        <v>1.1282314648970799E-2</v>
      </c>
      <c r="U309" s="3">
        <f t="shared" si="291"/>
        <v>1.1282252945593313E-2</v>
      </c>
      <c r="V309" s="3">
        <f t="shared" si="291"/>
        <v>1.1281635930378332E-2</v>
      </c>
      <c r="W309" s="3">
        <f t="shared" si="291"/>
        <v>1.1275467633841279E-2</v>
      </c>
      <c r="X309" s="3">
        <f t="shared" si="291"/>
        <v>1.1213969854804206E-2</v>
      </c>
      <c r="Y309" s="3">
        <f t="shared" si="291"/>
        <v>1.0617141383066454E-2</v>
      </c>
      <c r="Z309" s="3">
        <f t="shared" si="291"/>
        <v>6.1445454986601032E-3</v>
      </c>
      <c r="AA309" s="3">
        <f t="shared" si="291"/>
        <v>2.5900694041080625E-5</v>
      </c>
      <c r="AB309" s="3">
        <f t="shared" si="291"/>
        <v>4.5869898021291427E-29</v>
      </c>
      <c r="AC309" s="3">
        <f t="shared" si="291"/>
        <v>1.3921675407125608E-266</v>
      </c>
      <c r="AD309" s="3">
        <f t="shared" si="291"/>
        <v>0</v>
      </c>
      <c r="AE309" s="3">
        <f t="shared" si="291"/>
        <v>0</v>
      </c>
      <c r="AF309" s="3">
        <f t="shared" si="291"/>
        <v>0</v>
      </c>
      <c r="AG309" s="3"/>
      <c r="AH309" s="3"/>
    </row>
    <row r="310" spans="1:34" x14ac:dyDescent="0.25">
      <c r="B310" s="3">
        <f t="shared" ref="B310:AF310" si="292">$C40*EXP(-B$285/$A40/EXP(-$F$126))</f>
        <v>4.0938385440077553E-3</v>
      </c>
      <c r="C310" s="3">
        <f t="shared" si="292"/>
        <v>4.0938385440077553E-3</v>
      </c>
      <c r="D310" s="3">
        <f t="shared" si="292"/>
        <v>4.0938385440077553E-3</v>
      </c>
      <c r="E310" s="3">
        <f t="shared" si="292"/>
        <v>4.0938385440077553E-3</v>
      </c>
      <c r="F310" s="3">
        <f t="shared" si="292"/>
        <v>4.0938385440077553E-3</v>
      </c>
      <c r="G310" s="3">
        <f t="shared" si="292"/>
        <v>4.0938385440077553E-3</v>
      </c>
      <c r="H310" s="3">
        <f t="shared" si="292"/>
        <v>4.0938385440077553E-3</v>
      </c>
      <c r="I310" s="3">
        <f t="shared" si="292"/>
        <v>4.0938385440077553E-3</v>
      </c>
      <c r="J310" s="3">
        <f t="shared" si="292"/>
        <v>4.0938385440077553E-3</v>
      </c>
      <c r="K310" s="3">
        <f t="shared" si="292"/>
        <v>4.0938385440077545E-3</v>
      </c>
      <c r="L310" s="3">
        <f t="shared" si="292"/>
        <v>4.0938385440077527E-3</v>
      </c>
      <c r="M310" s="3">
        <f t="shared" si="292"/>
        <v>4.0938385440077302E-3</v>
      </c>
      <c r="N310" s="3">
        <f t="shared" si="292"/>
        <v>4.0938385440075064E-3</v>
      </c>
      <c r="O310" s="3">
        <f t="shared" si="292"/>
        <v>4.0938385440052677E-3</v>
      </c>
      <c r="P310" s="3">
        <f t="shared" si="292"/>
        <v>4.0938385439828785E-3</v>
      </c>
      <c r="Q310" s="3">
        <f t="shared" si="292"/>
        <v>4.0938385437589838E-3</v>
      </c>
      <c r="R310" s="3">
        <f t="shared" si="292"/>
        <v>4.093838541520043E-3</v>
      </c>
      <c r="S310" s="3">
        <f t="shared" si="292"/>
        <v>4.0938385191306341E-3</v>
      </c>
      <c r="T310" s="3">
        <f t="shared" si="292"/>
        <v>4.0938382952365529E-3</v>
      </c>
      <c r="U310" s="3">
        <f t="shared" si="292"/>
        <v>4.0938360562964128E-3</v>
      </c>
      <c r="V310" s="3">
        <f t="shared" si="292"/>
        <v>4.093813666962362E-3</v>
      </c>
      <c r="W310" s="3">
        <f t="shared" si="292"/>
        <v>4.0935897803563801E-3</v>
      </c>
      <c r="X310" s="3">
        <f t="shared" si="292"/>
        <v>4.0913515876135802E-3</v>
      </c>
      <c r="Y310" s="3">
        <f t="shared" si="292"/>
        <v>4.0690368558375881E-3</v>
      </c>
      <c r="Z310" s="3">
        <f t="shared" si="292"/>
        <v>3.8524750958580278E-3</v>
      </c>
      <c r="AA310" s="3">
        <f t="shared" si="292"/>
        <v>2.2295745770805312E-3</v>
      </c>
      <c r="AB310" s="3">
        <f t="shared" si="292"/>
        <v>9.3981774527224454E-6</v>
      </c>
      <c r="AC310" s="3">
        <f t="shared" si="292"/>
        <v>1.6644088403910313E-29</v>
      </c>
      <c r="AD310" s="3">
        <f t="shared" si="292"/>
        <v>5.0515393799041855E-267</v>
      </c>
      <c r="AE310" s="3">
        <f t="shared" si="292"/>
        <v>0</v>
      </c>
      <c r="AF310" s="3">
        <f t="shared" si="292"/>
        <v>0</v>
      </c>
      <c r="AG310" s="3"/>
      <c r="AH310" s="3"/>
    </row>
    <row r="311" spans="1:34" x14ac:dyDescent="0.25">
      <c r="B311" s="3">
        <f t="shared" ref="B311:AF311" si="293">$C41*EXP(-B$285/$A41/EXP(-$F$126))</f>
        <v>2.6841023020615128E-3</v>
      </c>
      <c r="C311" s="3">
        <f t="shared" si="293"/>
        <v>2.6841023020615128E-3</v>
      </c>
      <c r="D311" s="3">
        <f t="shared" si="293"/>
        <v>2.6841023020615128E-3</v>
      </c>
      <c r="E311" s="3">
        <f t="shared" si="293"/>
        <v>2.6841023020615128E-3</v>
      </c>
      <c r="F311" s="3">
        <f t="shared" si="293"/>
        <v>2.6841023020615128E-3</v>
      </c>
      <c r="G311" s="3">
        <f t="shared" si="293"/>
        <v>2.6841023020615128E-3</v>
      </c>
      <c r="H311" s="3">
        <f t="shared" si="293"/>
        <v>2.6841023020615128E-3</v>
      </c>
      <c r="I311" s="3">
        <f t="shared" si="293"/>
        <v>2.6841023020615128E-3</v>
      </c>
      <c r="J311" s="3">
        <f t="shared" si="293"/>
        <v>2.6841023020615128E-3</v>
      </c>
      <c r="K311" s="3">
        <f t="shared" si="293"/>
        <v>2.6841023020615128E-3</v>
      </c>
      <c r="L311" s="3">
        <f t="shared" si="293"/>
        <v>2.6841023020615124E-3</v>
      </c>
      <c r="M311" s="3">
        <f t="shared" si="293"/>
        <v>2.6841023020615115E-3</v>
      </c>
      <c r="N311" s="3">
        <f t="shared" si="293"/>
        <v>2.6841023020614963E-3</v>
      </c>
      <c r="O311" s="3">
        <f t="shared" si="293"/>
        <v>2.6841023020613497E-3</v>
      </c>
      <c r="P311" s="3">
        <f t="shared" si="293"/>
        <v>2.6841023020598817E-3</v>
      </c>
      <c r="Q311" s="3">
        <f t="shared" si="293"/>
        <v>2.6841023020452025E-3</v>
      </c>
      <c r="R311" s="3">
        <f t="shared" si="293"/>
        <v>2.6841023018984072E-3</v>
      </c>
      <c r="S311" s="3">
        <f t="shared" si="293"/>
        <v>2.6841023004304581E-3</v>
      </c>
      <c r="T311" s="3">
        <f t="shared" si="293"/>
        <v>2.6841022857509679E-3</v>
      </c>
      <c r="U311" s="3">
        <f t="shared" si="293"/>
        <v>2.6841021389560683E-3</v>
      </c>
      <c r="V311" s="3">
        <f t="shared" si="293"/>
        <v>2.6841006710075109E-3</v>
      </c>
      <c r="W311" s="3">
        <f t="shared" si="293"/>
        <v>2.6840859915660963E-3</v>
      </c>
      <c r="X311" s="3">
        <f t="shared" si="293"/>
        <v>2.6839392015674049E-3</v>
      </c>
      <c r="Y311" s="3">
        <f t="shared" si="293"/>
        <v>2.6824717430370239E-3</v>
      </c>
      <c r="Z311" s="3">
        <f t="shared" si="293"/>
        <v>2.6678412141859301E-3</v>
      </c>
      <c r="AA311" s="3">
        <f t="shared" si="293"/>
        <v>2.5258537097323278E-3</v>
      </c>
      <c r="AB311" s="3">
        <f t="shared" si="293"/>
        <v>1.461808078317888E-3</v>
      </c>
      <c r="AC311" s="3">
        <f t="shared" si="293"/>
        <v>6.1618623853542796E-6</v>
      </c>
      <c r="AD311" s="3">
        <f t="shared" si="293"/>
        <v>1.0912603298936151E-29</v>
      </c>
      <c r="AE311" s="3">
        <f t="shared" si="293"/>
        <v>3.3120134887590053E-267</v>
      </c>
      <c r="AF311" s="3">
        <f t="shared" si="293"/>
        <v>0</v>
      </c>
      <c r="AG311" s="3"/>
      <c r="AH311" s="3"/>
    </row>
    <row r="312" spans="1:34" x14ac:dyDescent="0.25">
      <c r="B312" s="3">
        <f t="shared" ref="B312:AF312" si="294">$C42*EXP(-B$285/$A42/EXP(-$F$126))</f>
        <v>2.382905414544393E-3</v>
      </c>
      <c r="C312" s="3">
        <f t="shared" si="294"/>
        <v>2.382905414544393E-3</v>
      </c>
      <c r="D312" s="3">
        <f t="shared" si="294"/>
        <v>2.382905414544393E-3</v>
      </c>
      <c r="E312" s="3">
        <f t="shared" si="294"/>
        <v>2.382905414544393E-3</v>
      </c>
      <c r="F312" s="3">
        <f t="shared" si="294"/>
        <v>2.382905414544393E-3</v>
      </c>
      <c r="G312" s="3">
        <f t="shared" si="294"/>
        <v>2.382905414544393E-3</v>
      </c>
      <c r="H312" s="3">
        <f t="shared" si="294"/>
        <v>2.382905414544393E-3</v>
      </c>
      <c r="I312" s="3">
        <f t="shared" si="294"/>
        <v>2.382905414544393E-3</v>
      </c>
      <c r="J312" s="3">
        <f t="shared" si="294"/>
        <v>2.382905414544393E-3</v>
      </c>
      <c r="K312" s="3">
        <f t="shared" si="294"/>
        <v>2.382905414544393E-3</v>
      </c>
      <c r="L312" s="3">
        <f t="shared" si="294"/>
        <v>2.382905414544393E-3</v>
      </c>
      <c r="M312" s="3">
        <f t="shared" si="294"/>
        <v>2.3829054145443926E-3</v>
      </c>
      <c r="N312" s="3">
        <f t="shared" si="294"/>
        <v>2.3829054145443917E-3</v>
      </c>
      <c r="O312" s="3">
        <f t="shared" si="294"/>
        <v>2.3829054145443783E-3</v>
      </c>
      <c r="P312" s="3">
        <f t="shared" si="294"/>
        <v>2.3829054145442482E-3</v>
      </c>
      <c r="Q312" s="3">
        <f t="shared" si="294"/>
        <v>2.3829054145429449E-3</v>
      </c>
      <c r="R312" s="3">
        <f t="shared" si="294"/>
        <v>2.3829054145299128E-3</v>
      </c>
      <c r="S312" s="3">
        <f t="shared" si="294"/>
        <v>2.3829054143995904E-3</v>
      </c>
      <c r="T312" s="3">
        <f t="shared" si="294"/>
        <v>2.3829054130963677E-3</v>
      </c>
      <c r="U312" s="3">
        <f t="shared" si="294"/>
        <v>2.3829054000641379E-3</v>
      </c>
      <c r="V312" s="3">
        <f t="shared" si="294"/>
        <v>2.3829052697418467E-3</v>
      </c>
      <c r="W312" s="3">
        <f t="shared" si="294"/>
        <v>2.3829039665193273E-3</v>
      </c>
      <c r="X312" s="3">
        <f t="shared" si="294"/>
        <v>2.3828909343333324E-3</v>
      </c>
      <c r="Y312" s="3">
        <f t="shared" si="294"/>
        <v>2.3827606163933589E-3</v>
      </c>
      <c r="Z312" s="3">
        <f t="shared" si="294"/>
        <v>2.3814578289120553E-3</v>
      </c>
      <c r="AA312" s="3">
        <f t="shared" si="294"/>
        <v>2.368469066751186E-3</v>
      </c>
      <c r="AB312" s="3">
        <f t="shared" si="294"/>
        <v>2.2424147085025182E-3</v>
      </c>
      <c r="AC312" s="3">
        <f t="shared" si="294"/>
        <v>1.297771095450817E-3</v>
      </c>
      <c r="AD312" s="3">
        <f t="shared" si="294"/>
        <v>5.4704081995909122E-6</v>
      </c>
      <c r="AE312" s="3">
        <f t="shared" si="294"/>
        <v>9.688044106157181E-30</v>
      </c>
      <c r="AF312" s="3">
        <f t="shared" si="294"/>
        <v>2.9403554660887246E-267</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2.0583899392901187E-3</v>
      </c>
      <c r="C314" s="3">
        <f t="shared" si="296"/>
        <v>2.0583899392901187E-3</v>
      </c>
      <c r="D314" s="3">
        <f t="shared" si="296"/>
        <v>2.0583899392901187E-3</v>
      </c>
      <c r="E314" s="3">
        <f t="shared" si="296"/>
        <v>2.0583899392901187E-3</v>
      </c>
      <c r="F314" s="3">
        <f t="shared" si="296"/>
        <v>2.0583899392901187E-3</v>
      </c>
      <c r="G314" s="3">
        <f t="shared" si="296"/>
        <v>2.0583899392901187E-3</v>
      </c>
      <c r="H314" s="3">
        <f t="shared" si="296"/>
        <v>2.0583899392901187E-3</v>
      </c>
      <c r="I314" s="3">
        <f t="shared" si="296"/>
        <v>2.0583899392901187E-3</v>
      </c>
      <c r="J314" s="3">
        <f t="shared" si="296"/>
        <v>2.0583899392901187E-3</v>
      </c>
      <c r="K314" s="3">
        <f t="shared" si="296"/>
        <v>2.0583899392901187E-3</v>
      </c>
      <c r="L314" s="3">
        <f t="shared" si="296"/>
        <v>2.0583899392901187E-3</v>
      </c>
      <c r="M314" s="3">
        <f t="shared" si="296"/>
        <v>2.0583899392901187E-3</v>
      </c>
      <c r="N314" s="3">
        <f t="shared" si="296"/>
        <v>2.0583899392901187E-3</v>
      </c>
      <c r="O314" s="3">
        <f t="shared" si="296"/>
        <v>2.0583899392901182E-3</v>
      </c>
      <c r="P314" s="3">
        <f t="shared" si="296"/>
        <v>2.0583899392901174E-3</v>
      </c>
      <c r="Q314" s="3">
        <f t="shared" si="296"/>
        <v>2.0583899392901061E-3</v>
      </c>
      <c r="R314" s="3">
        <f t="shared" si="296"/>
        <v>2.0583899392899938E-3</v>
      </c>
      <c r="S314" s="3">
        <f t="shared" si="296"/>
        <v>2.0583899392888679E-3</v>
      </c>
      <c r="T314" s="3">
        <f t="shared" si="296"/>
        <v>2.0583899392776104E-3</v>
      </c>
      <c r="U314" s="3">
        <f t="shared" si="296"/>
        <v>2.058389939165036E-3</v>
      </c>
      <c r="V314" s="3">
        <f t="shared" si="296"/>
        <v>2.0583899380392924E-3</v>
      </c>
      <c r="W314" s="3">
        <f t="shared" si="296"/>
        <v>2.0583899267818543E-3</v>
      </c>
      <c r="X314" s="3">
        <f t="shared" si="296"/>
        <v>2.0583898142074769E-3</v>
      </c>
      <c r="Y314" s="3">
        <f t="shared" si="296"/>
        <v>2.0583886884640436E-3</v>
      </c>
      <c r="Z314" s="3">
        <f t="shared" si="296"/>
        <v>2.0583774310635712E-3</v>
      </c>
      <c r="AA314" s="3">
        <f t="shared" si="296"/>
        <v>2.0582648604449841E-3</v>
      </c>
      <c r="AB314" s="3">
        <f t="shared" si="296"/>
        <v>2.0571394928042119E-3</v>
      </c>
      <c r="AC314" s="3">
        <f t="shared" si="296"/>
        <v>2.0459196025003085E-3</v>
      </c>
      <c r="AD314" s="3">
        <f t="shared" si="296"/>
        <v>1.937031930652729E-3</v>
      </c>
      <c r="AE314" s="3">
        <f t="shared" si="296"/>
        <v>1.1210344103768086E-3</v>
      </c>
      <c r="AF314" s="3">
        <f t="shared" si="296"/>
        <v>4.7254218036182689E-6</v>
      </c>
      <c r="AG314" s="3"/>
      <c r="AH314" s="3"/>
    </row>
    <row r="315" spans="1:34" x14ac:dyDescent="0.25">
      <c r="B315" s="3">
        <f t="shared" ref="B315:AF315" si="297">$C45*EXP(-B$285/$A45/EXP(-$F$126))</f>
        <v>1.1459023430358541E-3</v>
      </c>
      <c r="C315" s="3">
        <f t="shared" si="297"/>
        <v>1.1459023430358541E-3</v>
      </c>
      <c r="D315" s="3">
        <f t="shared" si="297"/>
        <v>1.1459023430358541E-3</v>
      </c>
      <c r="E315" s="3">
        <f t="shared" si="297"/>
        <v>1.1459023430358541E-3</v>
      </c>
      <c r="F315" s="3">
        <f t="shared" si="297"/>
        <v>1.1459023430358541E-3</v>
      </c>
      <c r="G315" s="3">
        <f t="shared" si="297"/>
        <v>1.1459023430358541E-3</v>
      </c>
      <c r="H315" s="3">
        <f t="shared" si="297"/>
        <v>1.1459023430358541E-3</v>
      </c>
      <c r="I315" s="3">
        <f t="shared" si="297"/>
        <v>1.1459023430358541E-3</v>
      </c>
      <c r="J315" s="3">
        <f t="shared" si="297"/>
        <v>1.1459023430358541E-3</v>
      </c>
      <c r="K315" s="3">
        <f t="shared" si="297"/>
        <v>1.1459023430358541E-3</v>
      </c>
      <c r="L315" s="3">
        <f t="shared" si="297"/>
        <v>1.1459023430358541E-3</v>
      </c>
      <c r="M315" s="3">
        <f t="shared" si="297"/>
        <v>1.1459023430358541E-3</v>
      </c>
      <c r="N315" s="3">
        <f t="shared" si="297"/>
        <v>1.1459023430358541E-3</v>
      </c>
      <c r="O315" s="3">
        <f t="shared" si="297"/>
        <v>1.1459023430358541E-3</v>
      </c>
      <c r="P315" s="3">
        <f t="shared" si="297"/>
        <v>1.1459023430358539E-3</v>
      </c>
      <c r="Q315" s="3">
        <f t="shared" si="297"/>
        <v>1.1459023430358535E-3</v>
      </c>
      <c r="R315" s="3">
        <f t="shared" si="297"/>
        <v>1.1459023430358472E-3</v>
      </c>
      <c r="S315" s="3">
        <f t="shared" si="297"/>
        <v>1.1459023430357845E-3</v>
      </c>
      <c r="T315" s="3">
        <f t="shared" si="297"/>
        <v>1.1459023430351579E-3</v>
      </c>
      <c r="U315" s="3">
        <f t="shared" si="297"/>
        <v>1.1459023430288907E-3</v>
      </c>
      <c r="V315" s="3">
        <f t="shared" si="297"/>
        <v>1.1459023429662208E-3</v>
      </c>
      <c r="W315" s="3">
        <f t="shared" si="297"/>
        <v>1.1459023423395212E-3</v>
      </c>
      <c r="X315" s="3">
        <f t="shared" si="297"/>
        <v>1.1459023360725234E-3</v>
      </c>
      <c r="Y315" s="3">
        <f t="shared" si="297"/>
        <v>1.1459022734025502E-3</v>
      </c>
      <c r="Z315" s="3">
        <f t="shared" si="297"/>
        <v>1.1459016467030053E-3</v>
      </c>
      <c r="AA315" s="3">
        <f t="shared" si="297"/>
        <v>1.1458953797264082E-3</v>
      </c>
      <c r="AB315" s="3">
        <f t="shared" si="297"/>
        <v>1.145832711845491E-3</v>
      </c>
      <c r="AC315" s="3">
        <f t="shared" si="297"/>
        <v>1.1452062215038302E-3</v>
      </c>
      <c r="AD315" s="3">
        <f t="shared" si="297"/>
        <v>1.1389601267564559E-3</v>
      </c>
      <c r="AE315" s="3">
        <f t="shared" si="297"/>
        <v>1.0783425363202668E-3</v>
      </c>
      <c r="AF315" s="3">
        <f t="shared" si="297"/>
        <v>6.2407803932311467E-4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1.4642888439612509E-3</v>
      </c>
      <c r="C318" s="3">
        <f t="shared" si="300"/>
        <v>1.4642888439612509E-3</v>
      </c>
      <c r="D318" s="3">
        <f t="shared" si="300"/>
        <v>1.4642888439612509E-3</v>
      </c>
      <c r="E318" s="3">
        <f t="shared" si="300"/>
        <v>1.4642888439612509E-3</v>
      </c>
      <c r="F318" s="3">
        <f t="shared" si="300"/>
        <v>1.4642888439612509E-3</v>
      </c>
      <c r="G318" s="3">
        <f t="shared" si="300"/>
        <v>1.4642888439612509E-3</v>
      </c>
      <c r="H318" s="3">
        <f t="shared" si="300"/>
        <v>1.4642888439612509E-3</v>
      </c>
      <c r="I318" s="3">
        <f t="shared" si="300"/>
        <v>1.4642888439612509E-3</v>
      </c>
      <c r="J318" s="3">
        <f t="shared" si="300"/>
        <v>1.4642888439612509E-3</v>
      </c>
      <c r="K318" s="3">
        <f t="shared" si="300"/>
        <v>1.4642888439612509E-3</v>
      </c>
      <c r="L318" s="3">
        <f t="shared" si="300"/>
        <v>1.4642888439612509E-3</v>
      </c>
      <c r="M318" s="3">
        <f t="shared" si="300"/>
        <v>1.4642888439612509E-3</v>
      </c>
      <c r="N318" s="3">
        <f t="shared" si="300"/>
        <v>1.4642888439612509E-3</v>
      </c>
      <c r="O318" s="3">
        <f t="shared" si="300"/>
        <v>1.4642888439612509E-3</v>
      </c>
      <c r="P318" s="3">
        <f t="shared" si="300"/>
        <v>1.4642888439612509E-3</v>
      </c>
      <c r="Q318" s="3">
        <f t="shared" si="300"/>
        <v>1.4642888439612509E-3</v>
      </c>
      <c r="R318" s="3">
        <f t="shared" si="300"/>
        <v>1.4642888439612509E-3</v>
      </c>
      <c r="S318" s="3">
        <f t="shared" si="300"/>
        <v>1.4642888439612507E-3</v>
      </c>
      <c r="T318" s="3">
        <f t="shared" si="300"/>
        <v>1.4642888439612501E-3</v>
      </c>
      <c r="U318" s="3">
        <f t="shared" si="300"/>
        <v>1.464288843961242E-3</v>
      </c>
      <c r="V318" s="3">
        <f t="shared" si="300"/>
        <v>1.464288843961162E-3</v>
      </c>
      <c r="W318" s="3">
        <f t="shared" si="300"/>
        <v>1.4642888439603612E-3</v>
      </c>
      <c r="X318" s="3">
        <f t="shared" si="300"/>
        <v>1.4642888439523529E-3</v>
      </c>
      <c r="Y318" s="3">
        <f t="shared" si="300"/>
        <v>1.46428884387227E-3</v>
      </c>
      <c r="Z318" s="3">
        <f t="shared" si="300"/>
        <v>1.4642888430714432E-3</v>
      </c>
      <c r="AA318" s="3">
        <f t="shared" si="300"/>
        <v>1.4642888350631738E-3</v>
      </c>
      <c r="AB318" s="3">
        <f t="shared" si="300"/>
        <v>1.4642887549804833E-3</v>
      </c>
      <c r="AC318" s="3">
        <f t="shared" si="300"/>
        <v>1.4642879541538181E-3</v>
      </c>
      <c r="AD318" s="3">
        <f t="shared" si="300"/>
        <v>1.4642799459112549E-3</v>
      </c>
      <c r="AE318" s="3">
        <f t="shared" si="300"/>
        <v>1.4641998658944375E-3</v>
      </c>
      <c r="AF318" s="3">
        <f t="shared" si="300"/>
        <v>1.4633993065590642E-3</v>
      </c>
      <c r="AG318" s="3"/>
      <c r="AH318" s="3"/>
    </row>
    <row r="319" spans="1:34" x14ac:dyDescent="0.25">
      <c r="A319" s="79">
        <f>AVERAGE(B319:AF319)</f>
        <v>3.6787833663573292E-2</v>
      </c>
      <c r="B319" s="80">
        <f>IF($A$64&lt;=B285,IF($B$64&gt;=B285,ABS((B287-B286)/B286),0),0)</f>
        <v>7.3337822089131519E-2</v>
      </c>
      <c r="C319" s="80">
        <f t="shared" ref="C319:AF319" si="301">IF($A$64&lt;=C285,IF($B$64&gt;=C285,ABS((C287-C286)/C286),0),0)</f>
        <v>5.1790218206327295E-2</v>
      </c>
      <c r="D319" s="80">
        <f t="shared" si="301"/>
        <v>3.1088122623257438E-2</v>
      </c>
      <c r="E319" s="80">
        <f t="shared" si="301"/>
        <v>1.320344454452799E-2</v>
      </c>
      <c r="F319" s="80">
        <f t="shared" si="301"/>
        <v>2.3973560129270655E-2</v>
      </c>
      <c r="G319" s="80">
        <f t="shared" si="301"/>
        <v>2.3839153123466711E-2</v>
      </c>
      <c r="H319" s="80">
        <f t="shared" si="301"/>
        <v>2.6460849710691466E-2</v>
      </c>
      <c r="I319" s="80">
        <f t="shared" si="301"/>
        <v>2.8170604979935059E-2</v>
      </c>
      <c r="J319" s="80">
        <f t="shared" si="301"/>
        <v>2.9160387256518375E-2</v>
      </c>
      <c r="K319" s="80">
        <f t="shared" si="301"/>
        <v>2.7209263922667749E-2</v>
      </c>
      <c r="L319" s="80">
        <f t="shared" si="301"/>
        <v>2.6959982297017206E-2</v>
      </c>
      <c r="M319" s="80">
        <f t="shared" si="301"/>
        <v>2.6660348030768364E-2</v>
      </c>
      <c r="N319" s="80">
        <f t="shared" si="301"/>
        <v>2.8447015506951775E-2</v>
      </c>
      <c r="O319" s="80">
        <f t="shared" si="301"/>
        <v>2.7880938438595054E-2</v>
      </c>
      <c r="P319" s="80">
        <f t="shared" si="301"/>
        <v>3.1506722836608152E-2</v>
      </c>
      <c r="Q319" s="80">
        <f t="shared" si="301"/>
        <v>3.0374538419892298E-2</v>
      </c>
      <c r="R319" s="80">
        <f t="shared" si="301"/>
        <v>1.0697517029886064E-2</v>
      </c>
      <c r="S319" s="80">
        <f t="shared" si="301"/>
        <v>7.7274440497557717E-2</v>
      </c>
      <c r="T319" s="80">
        <f t="shared" si="301"/>
        <v>0.13349696074724512</v>
      </c>
      <c r="U319" s="80">
        <f t="shared" si="301"/>
        <v>9.6149468163600649E-2</v>
      </c>
      <c r="V319" s="80">
        <f t="shared" si="301"/>
        <v>2.7141225342349039E-2</v>
      </c>
      <c r="W319" s="80">
        <f t="shared" si="301"/>
        <v>4.0173866627983827E-2</v>
      </c>
      <c r="X319" s="80">
        <f t="shared" si="301"/>
        <v>7.1185934668619347E-2</v>
      </c>
      <c r="Y319" s="80">
        <f t="shared" si="301"/>
        <v>8.1585661877864854E-2</v>
      </c>
      <c r="Z319" s="80">
        <f t="shared" si="301"/>
        <v>3.0493852819485846E-2</v>
      </c>
      <c r="AA319" s="80">
        <f t="shared" si="301"/>
        <v>2.8912295811773632E-2</v>
      </c>
      <c r="AB319" s="80">
        <f t="shared" si="301"/>
        <v>9.0787862511300214E-3</v>
      </c>
      <c r="AC319" s="80">
        <f t="shared" si="301"/>
        <v>4.6207836475116813E-3</v>
      </c>
      <c r="AD319" s="80">
        <f t="shared" si="301"/>
        <v>1.1850302629467445E-2</v>
      </c>
      <c r="AE319" s="80">
        <f t="shared" si="301"/>
        <v>6.1051239998515918E-3</v>
      </c>
      <c r="AF319" s="80">
        <f t="shared" si="301"/>
        <v>1.1593651340818269E-2</v>
      </c>
    </row>
    <row r="320" spans="1:34" x14ac:dyDescent="0.25">
      <c r="B320" s="21">
        <f>(B287-B286)^2</f>
        <v>587914.99376524286</v>
      </c>
      <c r="C320" s="21">
        <f t="shared" ref="C320:AF320" si="302">(C287-C286)^2</f>
        <v>279976.57599631354</v>
      </c>
      <c r="D320" s="21">
        <f t="shared" si="302"/>
        <v>96471.04924954522</v>
      </c>
      <c r="E320" s="21">
        <f t="shared" si="302"/>
        <v>16540.711970500437</v>
      </c>
      <c r="F320" s="21">
        <f t="shared" si="302"/>
        <v>51718.21127939134</v>
      </c>
      <c r="G320" s="21">
        <f t="shared" si="302"/>
        <v>48355.789575442941</v>
      </c>
      <c r="H320" s="21">
        <f t="shared" si="302"/>
        <v>56508.485229729667</v>
      </c>
      <c r="I320" s="21">
        <f t="shared" si="302"/>
        <v>59658.174674841284</v>
      </c>
      <c r="J320" s="21">
        <f t="shared" si="302"/>
        <v>58844.020925153214</v>
      </c>
      <c r="K320" s="21">
        <f t="shared" si="302"/>
        <v>47011.67882716551</v>
      </c>
      <c r="L320" s="21">
        <f t="shared" si="302"/>
        <v>42897.986752482473</v>
      </c>
      <c r="M320" s="21">
        <f t="shared" si="302"/>
        <v>38963.140766115583</v>
      </c>
      <c r="N320" s="21">
        <f t="shared" si="302"/>
        <v>41164.822914416603</v>
      </c>
      <c r="O320" s="21">
        <f t="shared" si="302"/>
        <v>36419.040206347003</v>
      </c>
      <c r="P320" s="21">
        <f t="shared" si="302"/>
        <v>42882.960562335989</v>
      </c>
      <c r="Q320" s="21">
        <f t="shared" si="302"/>
        <v>35682.959972691031</v>
      </c>
      <c r="R320" s="21">
        <f t="shared" si="302"/>
        <v>3705.8400223256713</v>
      </c>
      <c r="S320" s="21">
        <f t="shared" si="302"/>
        <v>135493.60928920165</v>
      </c>
      <c r="T320" s="21">
        <f t="shared" si="302"/>
        <v>250401.28409191335</v>
      </c>
      <c r="U320" s="21">
        <f t="shared" si="302"/>
        <v>77741.193796202613</v>
      </c>
      <c r="V320" s="21">
        <f t="shared" si="302"/>
        <v>3591.1864464468808</v>
      </c>
      <c r="W320" s="21">
        <f t="shared" si="302"/>
        <v>4153.0239473197826</v>
      </c>
      <c r="X320" s="21">
        <f t="shared" si="302"/>
        <v>6395.3224777308651</v>
      </c>
      <c r="Y320" s="21">
        <f t="shared" si="302"/>
        <v>4057.5939701253446</v>
      </c>
      <c r="Z320" s="21">
        <f t="shared" si="302"/>
        <v>314.97731256698535</v>
      </c>
      <c r="AA320" s="21">
        <f t="shared" si="302"/>
        <v>190.54658390476618</v>
      </c>
      <c r="AB320" s="21">
        <f t="shared" si="302"/>
        <v>15.121244944535182</v>
      </c>
      <c r="AC320" s="21">
        <f t="shared" si="302"/>
        <v>3.39326523212699</v>
      </c>
      <c r="AD320" s="21">
        <f t="shared" si="302"/>
        <v>20.842362255528133</v>
      </c>
      <c r="AE320" s="21">
        <f t="shared" si="302"/>
        <v>5.1829276940113527</v>
      </c>
      <c r="AF320" s="21">
        <f t="shared" si="302"/>
        <v>17.115240243471156</v>
      </c>
      <c r="AG320" s="3"/>
      <c r="AH320" s="3"/>
    </row>
    <row r="321" spans="1:34" x14ac:dyDescent="0.25">
      <c r="A321" s="71">
        <f>SUM(B321:AF321)</f>
        <v>2027116.8356458221</v>
      </c>
      <c r="B321" s="60">
        <f>IF($A$64&lt;=B285,IF($B$64&gt;=B285,ABS(B320),0),0)</f>
        <v>587914.99376524286</v>
      </c>
      <c r="C321" s="60">
        <f t="shared" ref="C321" si="303">IF($A$64&lt;=C285,IF($B$64&gt;=C285,ABS(C320),0),0)</f>
        <v>279976.57599631354</v>
      </c>
      <c r="D321" s="60">
        <f t="shared" ref="D321" si="304">IF($A$64&lt;=D285,IF($B$64&gt;=D285,ABS(D320),0),0)</f>
        <v>96471.04924954522</v>
      </c>
      <c r="E321" s="60">
        <f t="shared" ref="E321" si="305">IF($A$64&lt;=E285,IF($B$64&gt;=E285,ABS(E320),0),0)</f>
        <v>16540.711970500437</v>
      </c>
      <c r="F321" s="60">
        <f t="shared" ref="F321" si="306">IF($A$64&lt;=F285,IF($B$64&gt;=F285,ABS(F320),0),0)</f>
        <v>51718.21127939134</v>
      </c>
      <c r="G321" s="60">
        <f t="shared" ref="G321" si="307">IF($A$64&lt;=G285,IF($B$64&gt;=G285,ABS(G320),0),0)</f>
        <v>48355.789575442941</v>
      </c>
      <c r="H321" s="60">
        <f t="shared" ref="H321" si="308">IF($A$64&lt;=H285,IF($B$64&gt;=H285,ABS(H320),0),0)</f>
        <v>56508.485229729667</v>
      </c>
      <c r="I321" s="60">
        <f t="shared" ref="I321" si="309">IF($A$64&lt;=I285,IF($B$64&gt;=I285,ABS(I320),0),0)</f>
        <v>59658.174674841284</v>
      </c>
      <c r="J321" s="60">
        <f t="shared" ref="J321" si="310">IF($A$64&lt;=J285,IF($B$64&gt;=J285,ABS(J320),0),0)</f>
        <v>58844.020925153214</v>
      </c>
      <c r="K321" s="60">
        <f t="shared" ref="K321" si="311">IF($A$64&lt;=K285,IF($B$64&gt;=K285,ABS(K320),0),0)</f>
        <v>47011.67882716551</v>
      </c>
      <c r="L321" s="60">
        <f t="shared" ref="L321" si="312">IF($A$64&lt;=L285,IF($B$64&gt;=L285,ABS(L320),0),0)</f>
        <v>42897.986752482473</v>
      </c>
      <c r="M321" s="60">
        <f t="shared" ref="M321" si="313">IF($A$64&lt;=M285,IF($B$64&gt;=M285,ABS(M320),0),0)</f>
        <v>38963.140766115583</v>
      </c>
      <c r="N321" s="60">
        <f t="shared" ref="N321" si="314">IF($A$64&lt;=N285,IF($B$64&gt;=N285,ABS(N320),0),0)</f>
        <v>41164.822914416603</v>
      </c>
      <c r="O321" s="60">
        <f t="shared" ref="O321" si="315">IF($A$64&lt;=O285,IF($B$64&gt;=O285,ABS(O320),0),0)</f>
        <v>36419.040206347003</v>
      </c>
      <c r="P321" s="60">
        <f t="shared" ref="P321" si="316">IF($A$64&lt;=P285,IF($B$64&gt;=P285,ABS(P320),0),0)</f>
        <v>42882.960562335989</v>
      </c>
      <c r="Q321" s="60">
        <f t="shared" ref="Q321" si="317">IF($A$64&lt;=Q285,IF($B$64&gt;=Q285,ABS(Q320),0),0)</f>
        <v>35682.959972691031</v>
      </c>
      <c r="R321" s="60">
        <f t="shared" ref="R321" si="318">IF($A$64&lt;=R285,IF($B$64&gt;=R285,ABS(R320),0),0)</f>
        <v>3705.8400223256713</v>
      </c>
      <c r="S321" s="60">
        <f t="shared" ref="S321" si="319">IF($A$64&lt;=S285,IF($B$64&gt;=S285,ABS(S320),0),0)</f>
        <v>135493.60928920165</v>
      </c>
      <c r="T321" s="60">
        <f t="shared" ref="T321" si="320">IF($A$64&lt;=T285,IF($B$64&gt;=T285,ABS(T320),0),0)</f>
        <v>250401.28409191335</v>
      </c>
      <c r="U321" s="60">
        <f t="shared" ref="U321" si="321">IF($A$64&lt;=U285,IF($B$64&gt;=U285,ABS(U320),0),0)</f>
        <v>77741.193796202613</v>
      </c>
      <c r="V321" s="60">
        <f t="shared" ref="V321" si="322">IF($A$64&lt;=V285,IF($B$64&gt;=V285,ABS(V320),0),0)</f>
        <v>3591.1864464468808</v>
      </c>
      <c r="W321" s="60">
        <f t="shared" ref="W321" si="323">IF($A$64&lt;=W285,IF($B$64&gt;=W285,ABS(W320),0),0)</f>
        <v>4153.0239473197826</v>
      </c>
      <c r="X321" s="60">
        <f t="shared" ref="X321" si="324">IF($A$64&lt;=X285,IF($B$64&gt;=X285,ABS(X320),0),0)</f>
        <v>6395.3224777308651</v>
      </c>
      <c r="Y321" s="60">
        <f t="shared" ref="Y321" si="325">IF($A$64&lt;=Y285,IF($B$64&gt;=Y285,ABS(Y320),0),0)</f>
        <v>4057.5939701253446</v>
      </c>
      <c r="Z321" s="60">
        <f t="shared" ref="Z321" si="326">IF($A$64&lt;=Z285,IF($B$64&gt;=Z285,ABS(Z320),0),0)</f>
        <v>314.97731256698535</v>
      </c>
      <c r="AA321" s="60">
        <f t="shared" ref="AA321" si="327">IF($A$64&lt;=AA285,IF($B$64&gt;=AA285,ABS(AA320),0),0)</f>
        <v>190.54658390476618</v>
      </c>
      <c r="AB321" s="60">
        <f t="shared" ref="AB321" si="328">IF($A$64&lt;=AB285,IF($B$64&gt;=AB285,ABS(AB320),0),0)</f>
        <v>15.121244944535182</v>
      </c>
      <c r="AC321" s="60">
        <f t="shared" ref="AC321" si="329">IF($A$64&lt;=AC285,IF($B$64&gt;=AC285,ABS(AC320),0),0)</f>
        <v>3.39326523212699</v>
      </c>
      <c r="AD321" s="60">
        <f t="shared" ref="AD321" si="330">IF($A$64&lt;=AD285,IF($B$64&gt;=AD285,ABS(AD320),0),0)</f>
        <v>20.842362255528133</v>
      </c>
      <c r="AE321" s="60">
        <f t="shared" ref="AE321" si="331">IF($A$64&lt;=AE285,IF($B$64&gt;=AE285,ABS(AE320),0),0)</f>
        <v>5.1829276940113527</v>
      </c>
      <c r="AF321" s="60">
        <f t="shared" ref="AF321" si="332">IF($A$64&lt;=AF285,IF($B$64&gt;=AF285,ABS(AF320),0),0)</f>
        <v>17.115240243471156</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9674.9814371475404</v>
      </c>
      <c r="C326" s="27">
        <f t="shared" ref="C326:AF326" si="333">($C$17+SUM(C327:C357))*$B$51</f>
        <v>9567.7132053601836</v>
      </c>
      <c r="D326" s="27">
        <f t="shared" si="333"/>
        <v>9173.4045054243652</v>
      </c>
      <c r="E326" s="27">
        <f t="shared" si="333"/>
        <v>8954.2292865907748</v>
      </c>
      <c r="F326" s="27">
        <f t="shared" si="333"/>
        <v>8673.5396033196885</v>
      </c>
      <c r="G326" s="27">
        <f t="shared" si="333"/>
        <v>8342.3646423323571</v>
      </c>
      <c r="H326" s="27">
        <f t="shared" si="333"/>
        <v>7989.2334266809676</v>
      </c>
      <c r="I326" s="27">
        <f t="shared" si="333"/>
        <v>7679.4958126351448</v>
      </c>
      <c r="J326" s="27">
        <f t="shared" si="333"/>
        <v>7411.8673825145006</v>
      </c>
      <c r="K326" s="27">
        <f t="shared" si="333"/>
        <v>7139.0858109121409</v>
      </c>
      <c r="L326" s="27">
        <f t="shared" si="333"/>
        <v>6865.4635333402821</v>
      </c>
      <c r="M326" s="27">
        <f t="shared" si="333"/>
        <v>6589.582342059758</v>
      </c>
      <c r="N326" s="27">
        <f t="shared" si="333"/>
        <v>6298.049084518675</v>
      </c>
      <c r="O326" s="27">
        <f t="shared" si="333"/>
        <v>5944.0381961083767</v>
      </c>
      <c r="P326" s="27">
        <f t="shared" si="333"/>
        <v>5547.2629354631954</v>
      </c>
      <c r="Q326" s="27">
        <f t="shared" si="333"/>
        <v>4971.0504746700835</v>
      </c>
      <c r="R326" s="27">
        <f t="shared" si="333"/>
        <v>4038.3611148040118</v>
      </c>
      <c r="S326" s="27">
        <f t="shared" si="333"/>
        <v>2994.8145455929925</v>
      </c>
      <c r="T326" s="27">
        <f t="shared" si="333"/>
        <v>2116.7266357933227</v>
      </c>
      <c r="U326" s="27">
        <f t="shared" si="333"/>
        <v>1430.3683285424881</v>
      </c>
      <c r="V326" s="27">
        <f t="shared" si="333"/>
        <v>966.81399124333916</v>
      </c>
      <c r="W326" s="27">
        <f t="shared" si="333"/>
        <v>675.1367071297434</v>
      </c>
      <c r="X326" s="27">
        <f t="shared" si="333"/>
        <v>531.22962699322204</v>
      </c>
      <c r="Y326" s="27">
        <f t="shared" si="333"/>
        <v>453.723500828385</v>
      </c>
      <c r="Z326" s="27">
        <f t="shared" si="333"/>
        <v>417.81460506729331</v>
      </c>
      <c r="AA326" s="27">
        <f t="shared" si="333"/>
        <v>391.76220651672679</v>
      </c>
      <c r="AB326" s="27">
        <f t="shared" si="333"/>
        <v>379.70646649304348</v>
      </c>
      <c r="AC326" s="27">
        <f t="shared" si="333"/>
        <v>365.9259230250326</v>
      </c>
      <c r="AD326" s="27">
        <f t="shared" si="333"/>
        <v>350.29491592512318</v>
      </c>
      <c r="AE326" s="27">
        <f t="shared" si="333"/>
        <v>345.3722672844201</v>
      </c>
      <c r="AF326" s="27">
        <f t="shared" si="333"/>
        <v>343.93825805608822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4.3540243764389086E-2</v>
      </c>
      <c r="C328" s="3">
        <f t="shared" si="335"/>
        <v>3.4514670918398417E-2</v>
      </c>
      <c r="D328" s="3">
        <f t="shared" si="335"/>
        <v>3.3816802793053997E-3</v>
      </c>
      <c r="E328" s="3">
        <f t="shared" si="335"/>
        <v>2.7568975285879458E-13</v>
      </c>
      <c r="F328" s="3">
        <f t="shared" si="335"/>
        <v>3.5752088451257706E-114</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1.5642714572520491E-2</v>
      </c>
      <c r="C329" s="3">
        <f t="shared" si="336"/>
        <v>1.5318324436886258E-2</v>
      </c>
      <c r="D329" s="3">
        <f t="shared" si="336"/>
        <v>1.2422319326479058E-2</v>
      </c>
      <c r="E329" s="3">
        <f t="shared" si="336"/>
        <v>1.5279774456964841E-3</v>
      </c>
      <c r="F329" s="3">
        <f t="shared" si="336"/>
        <v>1.2113216826933057E-12</v>
      </c>
      <c r="G329" s="3">
        <f t="shared" si="336"/>
        <v>1.187640408729557E-103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2.5891516629513885E-2</v>
      </c>
      <c r="C330" s="3">
        <f t="shared" si="337"/>
        <v>2.5842618565996366E-2</v>
      </c>
      <c r="D330" s="3">
        <f t="shared" si="337"/>
        <v>2.5358688382870899E-2</v>
      </c>
      <c r="E330" s="3">
        <f t="shared" si="337"/>
        <v>2.0990823724168547E-2</v>
      </c>
      <c r="F330" s="3">
        <f t="shared" si="337"/>
        <v>3.1699793088227346E-3</v>
      </c>
      <c r="G330" s="3">
        <f t="shared" si="337"/>
        <v>1.9558065078597764E-11</v>
      </c>
      <c r="H330" s="3">
        <f t="shared" si="337"/>
        <v>1.5632213609408426E-93</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3.0556986951053161E-2</v>
      </c>
      <c r="C331" s="3">
        <f t="shared" si="338"/>
        <v>3.0551776627627394E-2</v>
      </c>
      <c r="D331" s="3">
        <f t="shared" si="338"/>
        <v>3.0499722231540342E-2</v>
      </c>
      <c r="E331" s="3">
        <f t="shared" si="338"/>
        <v>2.9984031413485993E-2</v>
      </c>
      <c r="F331" s="3">
        <f t="shared" si="338"/>
        <v>2.5283164183731329E-2</v>
      </c>
      <c r="G331" s="3">
        <f t="shared" si="338"/>
        <v>4.5945759159958443E-3</v>
      </c>
      <c r="H331" s="3">
        <f t="shared" si="338"/>
        <v>1.8046188952977919E-10</v>
      </c>
      <c r="I331" s="3">
        <f t="shared" si="338"/>
        <v>1.5768347644776368E-84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3.3957583111845942E-2</v>
      </c>
      <c r="C332" s="3">
        <f t="shared" si="339"/>
        <v>3.3957060750291618E-2</v>
      </c>
      <c r="D332" s="3">
        <f t="shared" si="339"/>
        <v>3.3951837576673118E-2</v>
      </c>
      <c r="E332" s="3">
        <f t="shared" si="339"/>
        <v>3.389965000781664E-2</v>
      </c>
      <c r="F332" s="3">
        <f t="shared" si="339"/>
        <v>3.3382166016636662E-2</v>
      </c>
      <c r="G332" s="3">
        <f t="shared" si="339"/>
        <v>2.8622495448661921E-2</v>
      </c>
      <c r="H332" s="3">
        <f t="shared" si="339"/>
        <v>6.1466334966061367E-3</v>
      </c>
      <c r="I332" s="3">
        <f t="shared" si="339"/>
        <v>1.2821403028337402E-9</v>
      </c>
      <c r="J332" s="3">
        <f t="shared" si="339"/>
        <v>1.9994837952840833E-76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2.7970830719850334E-2</v>
      </c>
      <c r="C333" s="3">
        <f t="shared" si="340"/>
        <v>2.7970791905758595E-2</v>
      </c>
      <c r="D333" s="3">
        <f t="shared" si="340"/>
        <v>2.7970403767803534E-2</v>
      </c>
      <c r="E333" s="3">
        <f t="shared" si="340"/>
        <v>2.7966522684471341E-2</v>
      </c>
      <c r="F333" s="3">
        <f t="shared" si="340"/>
        <v>2.792774145778908E-2</v>
      </c>
      <c r="G333" s="3">
        <f t="shared" si="340"/>
        <v>2.7542874710085177E-2</v>
      </c>
      <c r="H333" s="3">
        <f t="shared" si="340"/>
        <v>2.397418094340413E-2</v>
      </c>
      <c r="I333" s="3">
        <f t="shared" si="340"/>
        <v>5.985341042754614E-3</v>
      </c>
      <c r="J333" s="3">
        <f t="shared" si="340"/>
        <v>5.6304113807214055E-9</v>
      </c>
      <c r="K333" s="3">
        <f t="shared" si="340"/>
        <v>3.0552896339927279E-69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2.328240322766395E-2</v>
      </c>
      <c r="C334" s="3">
        <f t="shared" si="341"/>
        <v>2.3282400313199683E-2</v>
      </c>
      <c r="D334" s="3">
        <f t="shared" si="341"/>
        <v>2.3282371168577096E-2</v>
      </c>
      <c r="E334" s="3">
        <f t="shared" si="341"/>
        <v>2.3282079724357804E-2</v>
      </c>
      <c r="F334" s="3">
        <f t="shared" si="341"/>
        <v>2.327916548281065E-2</v>
      </c>
      <c r="G334" s="3">
        <f t="shared" si="341"/>
        <v>2.3250043122628617E-2</v>
      </c>
      <c r="H334" s="3">
        <f t="shared" si="341"/>
        <v>2.2960815791935985E-2</v>
      </c>
      <c r="I334" s="3">
        <f t="shared" si="341"/>
        <v>2.0259225142791795E-2</v>
      </c>
      <c r="J334" s="3">
        <f t="shared" si="341"/>
        <v>5.7939933891723973E-3</v>
      </c>
      <c r="K334" s="3">
        <f t="shared" si="341"/>
        <v>2.120946142587091E-8</v>
      </c>
      <c r="L334" s="3">
        <f t="shared" si="341"/>
        <v>9.1631773614624343E-63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2.595552452963118E-2</v>
      </c>
      <c r="C335" s="3">
        <f t="shared" si="342"/>
        <v>2.5955524236536891E-2</v>
      </c>
      <c r="D335" s="3">
        <f t="shared" si="342"/>
        <v>2.5955521305594198E-2</v>
      </c>
      <c r="E335" s="3">
        <f t="shared" si="342"/>
        <v>2.5955491996185492E-2</v>
      </c>
      <c r="F335" s="3">
        <f t="shared" si="342"/>
        <v>2.5955198903918716E-2</v>
      </c>
      <c r="G335" s="3">
        <f t="shared" si="342"/>
        <v>2.5952268163274478E-2</v>
      </c>
      <c r="H335" s="3">
        <f t="shared" si="342"/>
        <v>2.5922978951578014E-2</v>
      </c>
      <c r="I335" s="3">
        <f t="shared" si="342"/>
        <v>2.5631898730159031E-2</v>
      </c>
      <c r="J335" s="3">
        <f t="shared" si="342"/>
        <v>2.2894939049327857E-2</v>
      </c>
      <c r="K335" s="3">
        <f t="shared" si="342"/>
        <v>7.4016172491536735E-3</v>
      </c>
      <c r="L335" s="3">
        <f t="shared" si="342"/>
        <v>9.2299200306391334E-8</v>
      </c>
      <c r="M335" s="3">
        <f t="shared" si="342"/>
        <v>8.392881451727116E-57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2.4758413337014527E-2</v>
      </c>
      <c r="C336" s="3">
        <f t="shared" si="343"/>
        <v>2.475841331179442E-2</v>
      </c>
      <c r="D336" s="3">
        <f t="shared" si="343"/>
        <v>2.4758413059593337E-2</v>
      </c>
      <c r="E336" s="3">
        <f t="shared" si="343"/>
        <v>2.4758410537582671E-2</v>
      </c>
      <c r="F336" s="3">
        <f t="shared" si="343"/>
        <v>2.4758385317490115E-2</v>
      </c>
      <c r="G336" s="3">
        <f t="shared" si="343"/>
        <v>2.4758133117977532E-2</v>
      </c>
      <c r="H336" s="3">
        <f t="shared" si="343"/>
        <v>2.4755611264143058E-2</v>
      </c>
      <c r="I336" s="3">
        <f t="shared" si="343"/>
        <v>2.4730406849609893E-2</v>
      </c>
      <c r="J336" s="3">
        <f t="shared" si="343"/>
        <v>2.4479769776645805E-2</v>
      </c>
      <c r="K336" s="3">
        <f t="shared" si="343"/>
        <v>2.2108944451555864E-2</v>
      </c>
      <c r="L336" s="3">
        <f t="shared" si="343"/>
        <v>7.9831594330585457E-3</v>
      </c>
      <c r="M336" s="3">
        <f t="shared" si="343"/>
        <v>3.00775698957924E-7</v>
      </c>
      <c r="N336" s="3">
        <f t="shared" si="343"/>
        <v>1.7334932880909122E-51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2.5498882300195019E-2</v>
      </c>
      <c r="C337" s="3">
        <f t="shared" si="344"/>
        <v>2.5498882297851914E-2</v>
      </c>
      <c r="D337" s="3">
        <f t="shared" si="344"/>
        <v>2.5498882274420855E-2</v>
      </c>
      <c r="E337" s="3">
        <f t="shared" si="344"/>
        <v>2.5498882040110291E-2</v>
      </c>
      <c r="F337" s="3">
        <f t="shared" si="344"/>
        <v>2.5498879697004768E-2</v>
      </c>
      <c r="G337" s="3">
        <f t="shared" si="344"/>
        <v>2.5498856265961361E-2</v>
      </c>
      <c r="H337" s="3">
        <f t="shared" si="344"/>
        <v>2.5498621956711487E-2</v>
      </c>
      <c r="I337" s="3">
        <f t="shared" si="344"/>
        <v>2.5496278982628347E-2</v>
      </c>
      <c r="J337" s="3">
        <f t="shared" si="344"/>
        <v>2.5472861079330895E-2</v>
      </c>
      <c r="K337" s="3">
        <f t="shared" si="344"/>
        <v>2.523986178492196E-2</v>
      </c>
      <c r="L337" s="3">
        <f t="shared" si="344"/>
        <v>2.3023928337026146E-2</v>
      </c>
      <c r="M337" s="3">
        <f t="shared" si="344"/>
        <v>9.1855242833445427E-3</v>
      </c>
      <c r="N337" s="3">
        <f t="shared" si="344"/>
        <v>9.3831616354496401E-7</v>
      </c>
      <c r="O337" s="3">
        <f t="shared" si="344"/>
        <v>1.1609183536508926E-46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2.615617421612039E-2</v>
      </c>
      <c r="C338" s="3">
        <f t="shared" si="345"/>
        <v>2.6156174215903577E-2</v>
      </c>
      <c r="D338" s="3">
        <f t="shared" si="345"/>
        <v>2.6156174213735416E-2</v>
      </c>
      <c r="E338" s="3">
        <f t="shared" si="345"/>
        <v>2.6156174192053804E-2</v>
      </c>
      <c r="F338" s="3">
        <f t="shared" si="345"/>
        <v>2.6156173975237697E-2</v>
      </c>
      <c r="G338" s="3">
        <f t="shared" si="345"/>
        <v>2.6156171807076745E-2</v>
      </c>
      <c r="H338" s="3">
        <f t="shared" si="345"/>
        <v>2.6156150125477121E-2</v>
      </c>
      <c r="I338" s="3">
        <f t="shared" si="345"/>
        <v>2.615593331046934E-2</v>
      </c>
      <c r="J338" s="3">
        <f t="shared" si="345"/>
        <v>2.615376525923702E-2</v>
      </c>
      <c r="K338" s="3">
        <f t="shared" si="345"/>
        <v>2.6132094628429334E-2</v>
      </c>
      <c r="L338" s="3">
        <f t="shared" si="345"/>
        <v>2.5916373447918539E-2</v>
      </c>
      <c r="M338" s="3">
        <f t="shared" si="345"/>
        <v>2.3854718804471174E-2</v>
      </c>
      <c r="N338" s="3">
        <f t="shared" si="345"/>
        <v>1.0412979730662113E-2</v>
      </c>
      <c r="O338" s="3">
        <f t="shared" si="345"/>
        <v>2.6156657029054542E-6</v>
      </c>
      <c r="P338" s="3">
        <f t="shared" si="345"/>
        <v>2.6161002746312345E-42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3.7540941347652089E-2</v>
      </c>
      <c r="C339" s="3">
        <f t="shared" si="346"/>
        <v>3.7540941347624014E-2</v>
      </c>
      <c r="D339" s="3">
        <f t="shared" si="346"/>
        <v>3.7540941347343294E-2</v>
      </c>
      <c r="E339" s="3">
        <f t="shared" si="346"/>
        <v>3.7540941344536123E-2</v>
      </c>
      <c r="F339" s="3">
        <f t="shared" si="346"/>
        <v>3.7540941316464405E-2</v>
      </c>
      <c r="G339" s="3">
        <f t="shared" si="346"/>
        <v>3.754094103574717E-2</v>
      </c>
      <c r="H339" s="3">
        <f t="shared" si="346"/>
        <v>3.7540938228575009E-2</v>
      </c>
      <c r="I339" s="3">
        <f t="shared" si="346"/>
        <v>3.7540910156864921E-2</v>
      </c>
      <c r="J339" s="3">
        <f t="shared" si="346"/>
        <v>3.7540629440918558E-2</v>
      </c>
      <c r="K339" s="3">
        <f t="shared" si="346"/>
        <v>3.7537822396901822E-2</v>
      </c>
      <c r="L339" s="3">
        <f t="shared" si="346"/>
        <v>3.750976349823211E-2</v>
      </c>
      <c r="M339" s="3">
        <f t="shared" si="346"/>
        <v>3.7230325474464511E-2</v>
      </c>
      <c r="N339" s="3">
        <f t="shared" si="346"/>
        <v>3.4547919827134815E-2</v>
      </c>
      <c r="O339" s="3">
        <f t="shared" si="346"/>
        <v>1.6355830636485703E-2</v>
      </c>
      <c r="P339" s="3">
        <f t="shared" si="346"/>
        <v>9.2508070365888608E-6</v>
      </c>
      <c r="Q339" s="3">
        <f t="shared" si="346"/>
        <v>3.0992013641690922E-38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2.9964173015778531E-2</v>
      </c>
      <c r="C340" s="3">
        <f t="shared" si="347"/>
        <v>2.9964173015776512E-2</v>
      </c>
      <c r="D340" s="3">
        <f t="shared" si="347"/>
        <v>2.9964173015756299E-2</v>
      </c>
      <c r="E340" s="3">
        <f t="shared" si="347"/>
        <v>2.996417301555418E-2</v>
      </c>
      <c r="F340" s="3">
        <f t="shared" si="347"/>
        <v>2.996417301353296E-2</v>
      </c>
      <c r="G340" s="3">
        <f t="shared" si="347"/>
        <v>2.9964172993320798E-2</v>
      </c>
      <c r="H340" s="3">
        <f t="shared" si="347"/>
        <v>2.9964172791199169E-2</v>
      </c>
      <c r="I340" s="3">
        <f t="shared" si="347"/>
        <v>2.9964170769982926E-2</v>
      </c>
      <c r="J340" s="3">
        <f t="shared" si="347"/>
        <v>2.9964150557828022E-2</v>
      </c>
      <c r="K340" s="3">
        <f t="shared" si="347"/>
        <v>2.9963948437028848E-2</v>
      </c>
      <c r="L340" s="3">
        <f t="shared" si="347"/>
        <v>2.9961927304022015E-2</v>
      </c>
      <c r="M340" s="3">
        <f t="shared" si="347"/>
        <v>2.9941723470574746E-2</v>
      </c>
      <c r="N340" s="3">
        <f t="shared" si="347"/>
        <v>2.9740432930561275E-2</v>
      </c>
      <c r="O340" s="3">
        <f t="shared" si="347"/>
        <v>2.7800473817745596E-2</v>
      </c>
      <c r="P340" s="3">
        <f t="shared" si="347"/>
        <v>1.4161241016545706E-2</v>
      </c>
      <c r="Q340" s="3">
        <f t="shared" si="347"/>
        <v>1.6656834799001025E-5</v>
      </c>
      <c r="R340" s="3">
        <f t="shared" si="347"/>
        <v>8.4431425183765958E-35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7.1416883904963105E-2</v>
      </c>
      <c r="C341" s="3">
        <f t="shared" si="348"/>
        <v>7.1416883904962661E-2</v>
      </c>
      <c r="D341" s="3">
        <f t="shared" si="348"/>
        <v>7.1416883904958317E-2</v>
      </c>
      <c r="E341" s="3">
        <f t="shared" si="348"/>
        <v>7.1416883904914866E-2</v>
      </c>
      <c r="F341" s="3">
        <f t="shared" si="348"/>
        <v>7.1416883904480297E-2</v>
      </c>
      <c r="G341" s="3">
        <f t="shared" si="348"/>
        <v>7.1416883900134606E-2</v>
      </c>
      <c r="H341" s="3">
        <f t="shared" si="348"/>
        <v>7.1416883856677785E-2</v>
      </c>
      <c r="I341" s="3">
        <f t="shared" si="348"/>
        <v>7.1416883422109542E-2</v>
      </c>
      <c r="J341" s="3">
        <f t="shared" si="348"/>
        <v>7.1416879076427242E-2</v>
      </c>
      <c r="K341" s="3">
        <f t="shared" si="348"/>
        <v>7.141683561961884E-2</v>
      </c>
      <c r="L341" s="3">
        <f t="shared" si="348"/>
        <v>7.1416401052989159E-2</v>
      </c>
      <c r="M341" s="3">
        <f t="shared" si="348"/>
        <v>7.1412055532126706E-2</v>
      </c>
      <c r="N341" s="3">
        <f t="shared" si="348"/>
        <v>7.136861486366039E-2</v>
      </c>
      <c r="O341" s="3">
        <f t="shared" si="348"/>
        <v>7.0935658926523384E-2</v>
      </c>
      <c r="P341" s="3">
        <f t="shared" si="348"/>
        <v>6.6747960530790143E-2</v>
      </c>
      <c r="Q341" s="3">
        <f t="shared" si="348"/>
        <v>3.6322182175140265E-2</v>
      </c>
      <c r="R341" s="3">
        <f t="shared" si="348"/>
        <v>8.2701093263763635E-5</v>
      </c>
      <c r="S341" s="3">
        <f t="shared" si="348"/>
        <v>3.0967377972551403E-31</v>
      </c>
      <c r="T341" s="3">
        <f t="shared" si="348"/>
        <v>1.678171251135575E-295</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0.1031136176058057</v>
      </c>
      <c r="C342" s="3">
        <f t="shared" si="349"/>
        <v>0.10311361760580566</v>
      </c>
      <c r="D342" s="3">
        <f t="shared" si="349"/>
        <v>0.10311361760580509</v>
      </c>
      <c r="E342" s="3">
        <f t="shared" si="349"/>
        <v>0.10311361760579943</v>
      </c>
      <c r="F342" s="3">
        <f t="shared" si="349"/>
        <v>0.10311361760574282</v>
      </c>
      <c r="G342" s="3">
        <f t="shared" si="349"/>
        <v>0.10311361760517683</v>
      </c>
      <c r="H342" s="3">
        <f t="shared" si="349"/>
        <v>0.10311361759951679</v>
      </c>
      <c r="I342" s="3">
        <f t="shared" si="349"/>
        <v>0.10311361754291636</v>
      </c>
      <c r="J342" s="3">
        <f t="shared" si="349"/>
        <v>0.10311361697691208</v>
      </c>
      <c r="K342" s="3">
        <f t="shared" si="349"/>
        <v>0.10311361131686958</v>
      </c>
      <c r="L342" s="3">
        <f t="shared" si="349"/>
        <v>0.10311355471646171</v>
      </c>
      <c r="M342" s="3">
        <f t="shared" si="349"/>
        <v>0.10311298871409164</v>
      </c>
      <c r="N342" s="3">
        <f t="shared" si="349"/>
        <v>0.10310732886126511</v>
      </c>
      <c r="O342" s="3">
        <f t="shared" si="349"/>
        <v>0.10305074741694135</v>
      </c>
      <c r="P342" s="3">
        <f t="shared" si="349"/>
        <v>0.10248663790324006</v>
      </c>
      <c r="Q342" s="3">
        <f t="shared" si="349"/>
        <v>9.7012623297728903E-2</v>
      </c>
      <c r="R342" s="3">
        <f t="shared" si="349"/>
        <v>5.6032276836618065E-2</v>
      </c>
      <c r="S342" s="3">
        <f t="shared" si="349"/>
        <v>2.3149333260949936E-4</v>
      </c>
      <c r="T342" s="3">
        <f t="shared" si="349"/>
        <v>3.3538270052469832E-28</v>
      </c>
      <c r="U342" s="3">
        <f t="shared" si="349"/>
        <v>1.366351254154807E-266</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8.7291657876096773E-2</v>
      </c>
      <c r="C343" s="3">
        <f t="shared" si="350"/>
        <v>8.7291657876096773E-2</v>
      </c>
      <c r="D343" s="3">
        <f t="shared" si="350"/>
        <v>8.7291657876096732E-2</v>
      </c>
      <c r="E343" s="3">
        <f t="shared" si="350"/>
        <v>8.7291657876096287E-2</v>
      </c>
      <c r="F343" s="3">
        <f t="shared" si="350"/>
        <v>8.7291657876091971E-2</v>
      </c>
      <c r="G343" s="3">
        <f t="shared" si="350"/>
        <v>8.7291657876048742E-2</v>
      </c>
      <c r="H343" s="3">
        <f t="shared" si="350"/>
        <v>8.7291657875616505E-2</v>
      </c>
      <c r="I343" s="3">
        <f t="shared" si="350"/>
        <v>8.7291657871294129E-2</v>
      </c>
      <c r="J343" s="3">
        <f t="shared" si="350"/>
        <v>8.7291657828070315E-2</v>
      </c>
      <c r="K343" s="3">
        <f t="shared" si="350"/>
        <v>8.7291657395832251E-2</v>
      </c>
      <c r="L343" s="3">
        <f t="shared" si="350"/>
        <v>8.7291653073451672E-2</v>
      </c>
      <c r="M343" s="3">
        <f t="shared" si="350"/>
        <v>8.7291609849657739E-2</v>
      </c>
      <c r="N343" s="3">
        <f t="shared" si="350"/>
        <v>8.7291177612895468E-2</v>
      </c>
      <c r="O343" s="3">
        <f t="shared" si="350"/>
        <v>8.7286855362986457E-2</v>
      </c>
      <c r="P343" s="3">
        <f t="shared" si="350"/>
        <v>8.7243644633113585E-2</v>
      </c>
      <c r="Q343" s="3">
        <f t="shared" si="350"/>
        <v>8.6812712102694242E-2</v>
      </c>
      <c r="R343" s="3">
        <f t="shared" si="350"/>
        <v>8.2618739532390739E-2</v>
      </c>
      <c r="S343" s="3">
        <f t="shared" si="350"/>
        <v>5.0353651794866124E-2</v>
      </c>
      <c r="T343" s="3">
        <f t="shared" si="350"/>
        <v>3.5608612102340644E-4</v>
      </c>
      <c r="U343" s="3">
        <f t="shared" si="350"/>
        <v>1.1137707051724874E-25</v>
      </c>
      <c r="V343" s="3">
        <f t="shared" si="350"/>
        <v>9.9816705238773655E-241</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7.2211450290495263E-2</v>
      </c>
      <c r="C344" s="3">
        <f t="shared" si="351"/>
        <v>7.2211450290495263E-2</v>
      </c>
      <c r="D344" s="3">
        <f t="shared" si="351"/>
        <v>7.2211450290495263E-2</v>
      </c>
      <c r="E344" s="3">
        <f t="shared" si="351"/>
        <v>7.2211450290495235E-2</v>
      </c>
      <c r="F344" s="3">
        <f t="shared" si="351"/>
        <v>7.2211450290494902E-2</v>
      </c>
      <c r="G344" s="3">
        <f t="shared" si="351"/>
        <v>7.2211450290491683E-2</v>
      </c>
      <c r="H344" s="3">
        <f t="shared" si="351"/>
        <v>7.2211450290459431E-2</v>
      </c>
      <c r="I344" s="3">
        <f t="shared" si="351"/>
        <v>7.2211450290136869E-2</v>
      </c>
      <c r="J344" s="3">
        <f t="shared" si="351"/>
        <v>7.2211450286911325E-2</v>
      </c>
      <c r="K344" s="3">
        <f t="shared" si="351"/>
        <v>7.221145025465589E-2</v>
      </c>
      <c r="L344" s="3">
        <f t="shared" si="351"/>
        <v>7.2211449932101518E-2</v>
      </c>
      <c r="M344" s="3">
        <f t="shared" si="351"/>
        <v>7.2211446706557894E-2</v>
      </c>
      <c r="N344" s="3">
        <f t="shared" si="351"/>
        <v>7.2211414451129552E-2</v>
      </c>
      <c r="O344" s="3">
        <f t="shared" si="351"/>
        <v>7.2211091897638593E-2</v>
      </c>
      <c r="P344" s="3">
        <f t="shared" si="351"/>
        <v>7.2207866441970775E-2</v>
      </c>
      <c r="Q344" s="3">
        <f t="shared" si="351"/>
        <v>7.2175619808166364E-2</v>
      </c>
      <c r="R344" s="3">
        <f t="shared" si="351"/>
        <v>7.1853944449636137E-2</v>
      </c>
      <c r="S344" s="3">
        <f t="shared" si="351"/>
        <v>6.8714997022455662E-2</v>
      </c>
      <c r="T344" s="3">
        <f t="shared" si="351"/>
        <v>4.3960306655666907E-2</v>
      </c>
      <c r="U344" s="3">
        <f t="shared" si="351"/>
        <v>5.0483856784068113E-4</v>
      </c>
      <c r="V344" s="3">
        <f t="shared" si="351"/>
        <v>2.0140518804989946E-23</v>
      </c>
      <c r="W344" s="3">
        <f t="shared" si="351"/>
        <v>2.0570835338764874E-217</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4.7726428975124642E-2</v>
      </c>
      <c r="C345" s="3">
        <f t="shared" si="352"/>
        <v>4.7726428975124642E-2</v>
      </c>
      <c r="D345" s="3">
        <f t="shared" si="352"/>
        <v>4.7726428975124642E-2</v>
      </c>
      <c r="E345" s="3">
        <f t="shared" si="352"/>
        <v>4.7726428975124642E-2</v>
      </c>
      <c r="F345" s="3">
        <f t="shared" si="352"/>
        <v>4.7726428975124621E-2</v>
      </c>
      <c r="G345" s="3">
        <f t="shared" si="352"/>
        <v>4.7726428975124427E-2</v>
      </c>
      <c r="H345" s="3">
        <f t="shared" si="352"/>
        <v>4.7726428975122505E-2</v>
      </c>
      <c r="I345" s="3">
        <f t="shared" si="352"/>
        <v>4.772642897510327E-2</v>
      </c>
      <c r="J345" s="3">
        <f t="shared" si="352"/>
        <v>4.7726428974910959E-2</v>
      </c>
      <c r="K345" s="3">
        <f t="shared" si="352"/>
        <v>4.7726428972987865E-2</v>
      </c>
      <c r="L345" s="3">
        <f t="shared" si="352"/>
        <v>4.7726428953756839E-2</v>
      </c>
      <c r="M345" s="3">
        <f t="shared" si="352"/>
        <v>4.7726428761446608E-2</v>
      </c>
      <c r="N345" s="3">
        <f t="shared" si="352"/>
        <v>4.7726426838344313E-2</v>
      </c>
      <c r="O345" s="3">
        <f t="shared" si="352"/>
        <v>4.772640760732566E-2</v>
      </c>
      <c r="P345" s="3">
        <f t="shared" si="352"/>
        <v>4.7726215297565329E-2</v>
      </c>
      <c r="Q345" s="3">
        <f t="shared" si="352"/>
        <v>4.7724292242580853E-2</v>
      </c>
      <c r="R345" s="3">
        <f t="shared" si="352"/>
        <v>4.7705065953981975E-2</v>
      </c>
      <c r="S345" s="3">
        <f t="shared" si="352"/>
        <v>4.7513228557967198E-2</v>
      </c>
      <c r="T345" s="3">
        <f t="shared" si="352"/>
        <v>4.5636776016244197E-2</v>
      </c>
      <c r="U345" s="3">
        <f t="shared" si="352"/>
        <v>3.0501352639486494E-2</v>
      </c>
      <c r="V345" s="3">
        <f t="shared" si="352"/>
        <v>5.4245101936476359E-4</v>
      </c>
      <c r="W345" s="3">
        <f t="shared" si="352"/>
        <v>1.7170179384580479E-21</v>
      </c>
      <c r="X345" s="3">
        <f t="shared" si="352"/>
        <v>1.7334761086999987E-196</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3.3498054799521296E-2</v>
      </c>
      <c r="C346" s="3">
        <f t="shared" si="353"/>
        <v>3.3498054799521296E-2</v>
      </c>
      <c r="D346" s="3">
        <f t="shared" si="353"/>
        <v>3.3498054799521296E-2</v>
      </c>
      <c r="E346" s="3">
        <f t="shared" si="353"/>
        <v>3.3498054799521296E-2</v>
      </c>
      <c r="F346" s="3">
        <f t="shared" si="353"/>
        <v>3.3498054799521296E-2</v>
      </c>
      <c r="G346" s="3">
        <f t="shared" si="353"/>
        <v>3.3498054799521282E-2</v>
      </c>
      <c r="H346" s="3">
        <f t="shared" si="353"/>
        <v>3.3498054799521164E-2</v>
      </c>
      <c r="I346" s="3">
        <f t="shared" si="353"/>
        <v>3.3498054799519943E-2</v>
      </c>
      <c r="J346" s="3">
        <f t="shared" si="353"/>
        <v>3.3498054799507765E-2</v>
      </c>
      <c r="K346" s="3">
        <f t="shared" si="353"/>
        <v>3.3498054799386008E-2</v>
      </c>
      <c r="L346" s="3">
        <f t="shared" si="353"/>
        <v>3.3498054798168392E-2</v>
      </c>
      <c r="M346" s="3">
        <f t="shared" si="353"/>
        <v>3.349805478599225E-2</v>
      </c>
      <c r="N346" s="3">
        <f t="shared" si="353"/>
        <v>3.349805466423085E-2</v>
      </c>
      <c r="O346" s="3">
        <f t="shared" si="353"/>
        <v>3.3498053446616868E-2</v>
      </c>
      <c r="P346" s="3">
        <f t="shared" si="353"/>
        <v>3.3498041270479513E-2</v>
      </c>
      <c r="Q346" s="3">
        <f t="shared" si="353"/>
        <v>3.3497919509349341E-2</v>
      </c>
      <c r="R346" s="3">
        <f t="shared" si="353"/>
        <v>3.3496701922389627E-2</v>
      </c>
      <c r="S346" s="3">
        <f t="shared" si="353"/>
        <v>3.3484528486663036E-2</v>
      </c>
      <c r="T346" s="3">
        <f t="shared" si="353"/>
        <v>3.3363037189436902E-2</v>
      </c>
      <c r="U346" s="3">
        <f t="shared" si="353"/>
        <v>3.2172106482338682E-2</v>
      </c>
      <c r="V346" s="3">
        <f t="shared" si="353"/>
        <v>2.2367563358738456E-2</v>
      </c>
      <c r="W346" s="3">
        <f t="shared" si="353"/>
        <v>5.9021530051116982E-4</v>
      </c>
      <c r="X346" s="3">
        <f t="shared" si="353"/>
        <v>9.6589148977687124E-20</v>
      </c>
      <c r="Y346" s="3">
        <f t="shared" si="353"/>
        <v>1.3307825514577781E-177</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8.3276524344842746E-3</v>
      </c>
      <c r="C347" s="3">
        <f t="shared" si="354"/>
        <v>8.3276524344842746E-3</v>
      </c>
      <c r="D347" s="3">
        <f t="shared" si="354"/>
        <v>8.3276524344842746E-3</v>
      </c>
      <c r="E347" s="3">
        <f t="shared" si="354"/>
        <v>8.3276524344842746E-3</v>
      </c>
      <c r="F347" s="3">
        <f t="shared" si="354"/>
        <v>8.3276524344842746E-3</v>
      </c>
      <c r="G347" s="3">
        <f t="shared" si="354"/>
        <v>8.3276524344842746E-3</v>
      </c>
      <c r="H347" s="3">
        <f t="shared" si="354"/>
        <v>8.3276524344842711E-3</v>
      </c>
      <c r="I347" s="3">
        <f t="shared" si="354"/>
        <v>8.3276524344842433E-3</v>
      </c>
      <c r="J347" s="3">
        <f t="shared" si="354"/>
        <v>8.327652434483971E-3</v>
      </c>
      <c r="K347" s="3">
        <f t="shared" si="354"/>
        <v>8.3276524344812405E-3</v>
      </c>
      <c r="L347" s="3">
        <f t="shared" si="354"/>
        <v>8.3276524344539343E-3</v>
      </c>
      <c r="M347" s="3">
        <f t="shared" si="354"/>
        <v>8.3276524341808732E-3</v>
      </c>
      <c r="N347" s="3">
        <f t="shared" si="354"/>
        <v>8.3276524314502658E-3</v>
      </c>
      <c r="O347" s="3">
        <f t="shared" si="354"/>
        <v>8.3276524041441952E-3</v>
      </c>
      <c r="P347" s="3">
        <f t="shared" si="354"/>
        <v>8.3276521310834822E-3</v>
      </c>
      <c r="Q347" s="3">
        <f t="shared" si="354"/>
        <v>8.3276494004768456E-3</v>
      </c>
      <c r="R347" s="3">
        <f t="shared" si="354"/>
        <v>8.3276220944597228E-3</v>
      </c>
      <c r="S347" s="3">
        <f t="shared" si="354"/>
        <v>8.3273490392128859E-3</v>
      </c>
      <c r="T347" s="3">
        <f t="shared" si="354"/>
        <v>8.3246189791240793E-3</v>
      </c>
      <c r="U347" s="3">
        <f t="shared" si="354"/>
        <v>8.2973675565077617E-3</v>
      </c>
      <c r="V347" s="3">
        <f t="shared" si="354"/>
        <v>8.0297120133031256E-3</v>
      </c>
      <c r="W347" s="3">
        <f t="shared" si="354"/>
        <v>5.784906927071596E-3</v>
      </c>
      <c r="X347" s="3">
        <f t="shared" si="354"/>
        <v>2.1790161087825892E-4</v>
      </c>
      <c r="Y347" s="3">
        <f t="shared" si="354"/>
        <v>1.2528558042740917E-18</v>
      </c>
      <c r="Z347" s="3">
        <f t="shared" si="354"/>
        <v>4.9466088953406149E-161</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1.1282321504922463E-2</v>
      </c>
      <c r="C348" s="3">
        <f t="shared" si="355"/>
        <v>1.1282321504922463E-2</v>
      </c>
      <c r="D348" s="3">
        <f t="shared" si="355"/>
        <v>1.1282321504922463E-2</v>
      </c>
      <c r="E348" s="3">
        <f t="shared" si="355"/>
        <v>1.1282321504922463E-2</v>
      </c>
      <c r="F348" s="3">
        <f t="shared" si="355"/>
        <v>1.1282321504922463E-2</v>
      </c>
      <c r="G348" s="3">
        <f t="shared" si="355"/>
        <v>1.1282321504922463E-2</v>
      </c>
      <c r="H348" s="3">
        <f t="shared" si="355"/>
        <v>1.1282321504922461E-2</v>
      </c>
      <c r="I348" s="3">
        <f t="shared" si="355"/>
        <v>1.1282321504922452E-2</v>
      </c>
      <c r="J348" s="3">
        <f t="shared" si="355"/>
        <v>1.1282321504922348E-2</v>
      </c>
      <c r="K348" s="3">
        <f t="shared" si="355"/>
        <v>1.1282321504921325E-2</v>
      </c>
      <c r="L348" s="3">
        <f t="shared" si="355"/>
        <v>1.1282321504911095E-2</v>
      </c>
      <c r="M348" s="3">
        <f t="shared" si="355"/>
        <v>1.1282321504808778E-2</v>
      </c>
      <c r="N348" s="3">
        <f t="shared" si="355"/>
        <v>1.1282321503785607E-2</v>
      </c>
      <c r="O348" s="3">
        <f t="shared" si="355"/>
        <v>1.1282321493553904E-2</v>
      </c>
      <c r="P348" s="3">
        <f t="shared" si="355"/>
        <v>1.1282321391236862E-2</v>
      </c>
      <c r="Q348" s="3">
        <f t="shared" si="355"/>
        <v>1.1282320368066513E-2</v>
      </c>
      <c r="R348" s="3">
        <f t="shared" si="355"/>
        <v>1.1282310136368113E-2</v>
      </c>
      <c r="S348" s="3">
        <f t="shared" si="355"/>
        <v>1.1282207819894466E-2</v>
      </c>
      <c r="T348" s="3">
        <f t="shared" si="355"/>
        <v>1.1281184706190151E-2</v>
      </c>
      <c r="U348" s="3">
        <f t="shared" si="355"/>
        <v>1.127095867065126E-2</v>
      </c>
      <c r="V348" s="3">
        <f t="shared" si="355"/>
        <v>1.1169206758046248E-2</v>
      </c>
      <c r="W348" s="3">
        <f t="shared" si="355"/>
        <v>1.0200866452795592E-2</v>
      </c>
      <c r="X348" s="3">
        <f t="shared" si="355"/>
        <v>4.1189296739457901E-3</v>
      </c>
      <c r="Y348" s="3">
        <f t="shared" si="355"/>
        <v>4.7452328363743077E-7</v>
      </c>
      <c r="Z348" s="3">
        <f t="shared" si="355"/>
        <v>1.9542900805007462E-46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4.0938385440077553E-3</v>
      </c>
      <c r="C349" s="3">
        <f t="shared" si="356"/>
        <v>4.0938385440077553E-3</v>
      </c>
      <c r="D349" s="3">
        <f t="shared" si="356"/>
        <v>4.0938385440077553E-3</v>
      </c>
      <c r="E349" s="3">
        <f t="shared" si="356"/>
        <v>4.0938385440077553E-3</v>
      </c>
      <c r="F349" s="3">
        <f t="shared" si="356"/>
        <v>4.0938385440077553E-3</v>
      </c>
      <c r="G349" s="3">
        <f t="shared" si="356"/>
        <v>4.0938385440077553E-3</v>
      </c>
      <c r="H349" s="3">
        <f t="shared" si="356"/>
        <v>4.0938385440077553E-3</v>
      </c>
      <c r="I349" s="3">
        <f t="shared" si="356"/>
        <v>4.0938385440077545E-3</v>
      </c>
      <c r="J349" s="3">
        <f t="shared" si="356"/>
        <v>4.093838544007751E-3</v>
      </c>
      <c r="K349" s="3">
        <f t="shared" si="356"/>
        <v>4.0938385440077137E-3</v>
      </c>
      <c r="L349" s="3">
        <f t="shared" si="356"/>
        <v>4.0938385440073425E-3</v>
      </c>
      <c r="M349" s="3">
        <f t="shared" si="356"/>
        <v>4.0938385440036302E-3</v>
      </c>
      <c r="N349" s="3">
        <f t="shared" si="356"/>
        <v>4.0938385439665045E-3</v>
      </c>
      <c r="O349" s="3">
        <f t="shared" si="356"/>
        <v>4.0938385435952424E-3</v>
      </c>
      <c r="P349" s="3">
        <f t="shared" si="356"/>
        <v>4.0938385398826254E-3</v>
      </c>
      <c r="Q349" s="3">
        <f t="shared" si="356"/>
        <v>4.0938385027564491E-3</v>
      </c>
      <c r="R349" s="3">
        <f t="shared" si="356"/>
        <v>4.0938381314947186E-3</v>
      </c>
      <c r="S349" s="3">
        <f t="shared" si="356"/>
        <v>4.0938344188792553E-3</v>
      </c>
      <c r="T349" s="3">
        <f t="shared" si="356"/>
        <v>4.0937972929098064E-3</v>
      </c>
      <c r="U349" s="3">
        <f t="shared" si="356"/>
        <v>4.0934260517325538E-3</v>
      </c>
      <c r="V349" s="3">
        <f t="shared" si="356"/>
        <v>4.0897154910626383E-3</v>
      </c>
      <c r="W349" s="3">
        <f t="shared" si="356"/>
        <v>4.0527943749991439E-3</v>
      </c>
      <c r="X349" s="3">
        <f t="shared" si="356"/>
        <v>3.7014279595303256E-3</v>
      </c>
      <c r="Y349" s="3">
        <f t="shared" si="356"/>
        <v>1.4945712238300958E-3</v>
      </c>
      <c r="Z349" s="3">
        <f t="shared" si="356"/>
        <v>1.7218280012109876E-7</v>
      </c>
      <c r="AA349" s="3">
        <f t="shared" si="356"/>
        <v>7.0912250233565366E-47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2.6841023020615128E-3</v>
      </c>
      <c r="C350" s="3">
        <f t="shared" si="357"/>
        <v>2.6841023020615128E-3</v>
      </c>
      <c r="D350" s="3">
        <f t="shared" si="357"/>
        <v>2.6841023020615128E-3</v>
      </c>
      <c r="E350" s="3">
        <f t="shared" si="357"/>
        <v>2.6841023020615128E-3</v>
      </c>
      <c r="F350" s="3">
        <f t="shared" si="357"/>
        <v>2.6841023020615128E-3</v>
      </c>
      <c r="G350" s="3">
        <f t="shared" si="357"/>
        <v>2.6841023020615128E-3</v>
      </c>
      <c r="H350" s="3">
        <f t="shared" si="357"/>
        <v>2.6841023020615128E-3</v>
      </c>
      <c r="I350" s="3">
        <f t="shared" si="357"/>
        <v>2.6841023020615128E-3</v>
      </c>
      <c r="J350" s="3">
        <f t="shared" si="357"/>
        <v>2.6841023020615124E-3</v>
      </c>
      <c r="K350" s="3">
        <f t="shared" si="357"/>
        <v>2.6841023020615102E-3</v>
      </c>
      <c r="L350" s="3">
        <f t="shared" si="357"/>
        <v>2.6841023020614855E-3</v>
      </c>
      <c r="M350" s="3">
        <f t="shared" si="357"/>
        <v>2.6841023020612422E-3</v>
      </c>
      <c r="N350" s="3">
        <f t="shared" si="357"/>
        <v>2.6841023020588084E-3</v>
      </c>
      <c r="O350" s="3">
        <f t="shared" si="357"/>
        <v>2.6841023020344667E-3</v>
      </c>
      <c r="P350" s="3">
        <f t="shared" si="357"/>
        <v>2.6841023017910508E-3</v>
      </c>
      <c r="Q350" s="3">
        <f t="shared" si="357"/>
        <v>2.6841022993568942E-3</v>
      </c>
      <c r="R350" s="3">
        <f t="shared" si="357"/>
        <v>2.6841022750153255E-3</v>
      </c>
      <c r="S350" s="3">
        <f t="shared" si="357"/>
        <v>2.6841020315996516E-3</v>
      </c>
      <c r="T350" s="3">
        <f t="shared" si="357"/>
        <v>2.6840995974441264E-3</v>
      </c>
      <c r="U350" s="3">
        <f t="shared" si="357"/>
        <v>2.6840752560102878E-3</v>
      </c>
      <c r="V350" s="3">
        <f t="shared" si="357"/>
        <v>2.6838318538126267E-3</v>
      </c>
      <c r="W350" s="3">
        <f t="shared" si="357"/>
        <v>2.6813990455010635E-3</v>
      </c>
      <c r="X350" s="3">
        <f t="shared" si="357"/>
        <v>2.6571919226369336E-3</v>
      </c>
      <c r="Y350" s="3">
        <f t="shared" si="357"/>
        <v>2.4268205011729878E-3</v>
      </c>
      <c r="Z350" s="3">
        <f t="shared" si="357"/>
        <v>9.7990724825948406E-4</v>
      </c>
      <c r="AA350" s="3">
        <f t="shared" si="357"/>
        <v>1.1289068809440644E-7</v>
      </c>
      <c r="AB350" s="3">
        <f t="shared" si="357"/>
        <v>4.6493219517626946E-47</v>
      </c>
      <c r="AC350" s="3">
        <f t="shared" si="357"/>
        <v>0</v>
      </c>
      <c r="AD350" s="3">
        <f t="shared" si="357"/>
        <v>0</v>
      </c>
      <c r="AE350" s="3">
        <f t="shared" si="357"/>
        <v>0</v>
      </c>
      <c r="AF350" s="3">
        <f t="shared" si="357"/>
        <v>0</v>
      </c>
      <c r="AG350" s="3"/>
      <c r="AH350" s="3"/>
    </row>
    <row r="351" spans="2:34" x14ac:dyDescent="0.25">
      <c r="B351" s="3">
        <f t="shared" ref="B351:AF351" si="358">$C42*EXP(-B$363/$A42/EXP(-$G$126))</f>
        <v>2.382905414544393E-3</v>
      </c>
      <c r="C351" s="3">
        <f t="shared" si="358"/>
        <v>2.382905414544393E-3</v>
      </c>
      <c r="D351" s="3">
        <f t="shared" si="358"/>
        <v>2.382905414544393E-3</v>
      </c>
      <c r="E351" s="3">
        <f t="shared" si="358"/>
        <v>2.382905414544393E-3</v>
      </c>
      <c r="F351" s="3">
        <f t="shared" si="358"/>
        <v>2.382905414544393E-3</v>
      </c>
      <c r="G351" s="3">
        <f t="shared" si="358"/>
        <v>2.382905414544393E-3</v>
      </c>
      <c r="H351" s="3">
        <f t="shared" si="358"/>
        <v>2.382905414544393E-3</v>
      </c>
      <c r="I351" s="3">
        <f t="shared" si="358"/>
        <v>2.382905414544393E-3</v>
      </c>
      <c r="J351" s="3">
        <f t="shared" si="358"/>
        <v>2.382905414544393E-3</v>
      </c>
      <c r="K351" s="3">
        <f t="shared" si="358"/>
        <v>2.3829054145443926E-3</v>
      </c>
      <c r="L351" s="3">
        <f t="shared" si="358"/>
        <v>2.3829054145443908E-3</v>
      </c>
      <c r="M351" s="3">
        <f t="shared" si="358"/>
        <v>2.3829054145443687E-3</v>
      </c>
      <c r="N351" s="3">
        <f t="shared" si="358"/>
        <v>2.3829054145441527E-3</v>
      </c>
      <c r="O351" s="3">
        <f t="shared" si="358"/>
        <v>2.3829054145419917E-3</v>
      </c>
      <c r="P351" s="3">
        <f t="shared" si="358"/>
        <v>2.3829054145203818E-3</v>
      </c>
      <c r="Q351" s="3">
        <f t="shared" si="358"/>
        <v>2.3829054143042808E-3</v>
      </c>
      <c r="R351" s="3">
        <f t="shared" si="358"/>
        <v>2.3829054121432733E-3</v>
      </c>
      <c r="S351" s="3">
        <f t="shared" si="358"/>
        <v>2.3829053905331968E-3</v>
      </c>
      <c r="T351" s="3">
        <f t="shared" si="358"/>
        <v>2.3829051744324444E-3</v>
      </c>
      <c r="U351" s="3">
        <f t="shared" si="358"/>
        <v>2.3829030134259969E-3</v>
      </c>
      <c r="V351" s="3">
        <f t="shared" si="358"/>
        <v>2.3828814034693099E-3</v>
      </c>
      <c r="W351" s="3">
        <f t="shared" si="358"/>
        <v>2.3826653146807888E-3</v>
      </c>
      <c r="X351" s="3">
        <f t="shared" si="358"/>
        <v>2.3805055042690469E-3</v>
      </c>
      <c r="Y351" s="3">
        <f t="shared" si="358"/>
        <v>2.3590147868328402E-3</v>
      </c>
      <c r="Z351" s="3">
        <f t="shared" si="358"/>
        <v>2.1544945242701562E-3</v>
      </c>
      <c r="AA351" s="3">
        <f t="shared" si="358"/>
        <v>8.6994682946153539E-4</v>
      </c>
      <c r="AB351" s="3">
        <f t="shared" si="358"/>
        <v>1.0022264490634097E-7</v>
      </c>
      <c r="AC351" s="3">
        <f t="shared" si="358"/>
        <v>4.1275976866851664E-47</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2.0583899392901187E-3</v>
      </c>
      <c r="C353" s="3">
        <f t="shared" si="360"/>
        <v>2.0583899392901187E-3</v>
      </c>
      <c r="D353" s="3">
        <f t="shared" si="360"/>
        <v>2.0583899392901187E-3</v>
      </c>
      <c r="E353" s="3">
        <f t="shared" si="360"/>
        <v>2.0583899392901187E-3</v>
      </c>
      <c r="F353" s="3">
        <f t="shared" si="360"/>
        <v>2.0583899392901187E-3</v>
      </c>
      <c r="G353" s="3">
        <f t="shared" si="360"/>
        <v>2.0583899392901187E-3</v>
      </c>
      <c r="H353" s="3">
        <f t="shared" si="360"/>
        <v>2.0583899392901187E-3</v>
      </c>
      <c r="I353" s="3">
        <f t="shared" si="360"/>
        <v>2.0583899392901187E-3</v>
      </c>
      <c r="J353" s="3">
        <f t="shared" si="360"/>
        <v>2.0583899392901187E-3</v>
      </c>
      <c r="K353" s="3">
        <f t="shared" si="360"/>
        <v>2.0583899392901187E-3</v>
      </c>
      <c r="L353" s="3">
        <f t="shared" si="360"/>
        <v>2.0583899392901187E-3</v>
      </c>
      <c r="M353" s="3">
        <f t="shared" si="360"/>
        <v>2.0583899392901182E-3</v>
      </c>
      <c r="N353" s="3">
        <f t="shared" si="360"/>
        <v>2.0583899392901165E-3</v>
      </c>
      <c r="O353" s="3">
        <f t="shared" si="360"/>
        <v>2.0583899392900978E-3</v>
      </c>
      <c r="P353" s="3">
        <f t="shared" si="360"/>
        <v>2.0583899392899114E-3</v>
      </c>
      <c r="Q353" s="3">
        <f t="shared" si="360"/>
        <v>2.0583899392880444E-3</v>
      </c>
      <c r="R353" s="3">
        <f t="shared" si="360"/>
        <v>2.0583899392693774E-3</v>
      </c>
      <c r="S353" s="3">
        <f t="shared" si="360"/>
        <v>2.0583899390827064E-3</v>
      </c>
      <c r="T353" s="3">
        <f t="shared" si="360"/>
        <v>2.0583899372159952E-3</v>
      </c>
      <c r="U353" s="3">
        <f t="shared" si="360"/>
        <v>2.0583899185488822E-3</v>
      </c>
      <c r="V353" s="3">
        <f t="shared" si="360"/>
        <v>2.0583897318777657E-3</v>
      </c>
      <c r="W353" s="3">
        <f t="shared" si="360"/>
        <v>2.0583878651675293E-3</v>
      </c>
      <c r="X353" s="3">
        <f t="shared" si="360"/>
        <v>2.0583691981582715E-3</v>
      </c>
      <c r="Y353" s="3">
        <f t="shared" si="360"/>
        <v>2.0581825373761982E-3</v>
      </c>
      <c r="Z353" s="3">
        <f t="shared" si="360"/>
        <v>2.0563168602934371E-3</v>
      </c>
      <c r="AA353" s="3">
        <f t="shared" si="360"/>
        <v>2.0377528517143248E-3</v>
      </c>
      <c r="AB353" s="3">
        <f t="shared" si="360"/>
        <v>1.8610851383126608E-3</v>
      </c>
      <c r="AC353" s="3">
        <f t="shared" si="360"/>
        <v>7.5147330252860146E-4</v>
      </c>
      <c r="AD353" s="3">
        <f t="shared" si="360"/>
        <v>8.657384498146435E-8</v>
      </c>
      <c r="AE353" s="3">
        <f t="shared" si="360"/>
        <v>3.5654816594280861E-47</v>
      </c>
      <c r="AF353" s="3">
        <f t="shared" si="360"/>
        <v>0</v>
      </c>
      <c r="AG353" s="3"/>
      <c r="AH353" s="3"/>
    </row>
    <row r="354" spans="1:34" x14ac:dyDescent="0.25">
      <c r="B354" s="3">
        <f t="shared" ref="B354:AF354" si="361">$C45*EXP(-B$363/$A45/EXP(-$G$126))</f>
        <v>1.1459023430358541E-3</v>
      </c>
      <c r="C354" s="3">
        <f t="shared" si="361"/>
        <v>1.1459023430358541E-3</v>
      </c>
      <c r="D354" s="3">
        <f t="shared" si="361"/>
        <v>1.1459023430358541E-3</v>
      </c>
      <c r="E354" s="3">
        <f t="shared" si="361"/>
        <v>1.1459023430358541E-3</v>
      </c>
      <c r="F354" s="3">
        <f t="shared" si="361"/>
        <v>1.1459023430358541E-3</v>
      </c>
      <c r="G354" s="3">
        <f t="shared" si="361"/>
        <v>1.1459023430358541E-3</v>
      </c>
      <c r="H354" s="3">
        <f t="shared" si="361"/>
        <v>1.1459023430358541E-3</v>
      </c>
      <c r="I354" s="3">
        <f t="shared" si="361"/>
        <v>1.1459023430358541E-3</v>
      </c>
      <c r="J354" s="3">
        <f t="shared" si="361"/>
        <v>1.1459023430358541E-3</v>
      </c>
      <c r="K354" s="3">
        <f t="shared" si="361"/>
        <v>1.1459023430358541E-3</v>
      </c>
      <c r="L354" s="3">
        <f t="shared" si="361"/>
        <v>1.1459023430358541E-3</v>
      </c>
      <c r="M354" s="3">
        <f t="shared" si="361"/>
        <v>1.1459023430358541E-3</v>
      </c>
      <c r="N354" s="3">
        <f t="shared" si="361"/>
        <v>1.1459023430358539E-3</v>
      </c>
      <c r="O354" s="3">
        <f t="shared" si="361"/>
        <v>1.1459023430358531E-3</v>
      </c>
      <c r="P354" s="3">
        <f t="shared" si="361"/>
        <v>1.1459023430358426E-3</v>
      </c>
      <c r="Q354" s="3">
        <f t="shared" si="361"/>
        <v>1.1459023430357386E-3</v>
      </c>
      <c r="R354" s="3">
        <f t="shared" si="361"/>
        <v>1.1459023430346995E-3</v>
      </c>
      <c r="S354" s="3">
        <f t="shared" si="361"/>
        <v>1.1459023430243076E-3</v>
      </c>
      <c r="T354" s="3">
        <f t="shared" si="361"/>
        <v>1.1459023429203879E-3</v>
      </c>
      <c r="U354" s="3">
        <f t="shared" si="361"/>
        <v>1.1459023418811929E-3</v>
      </c>
      <c r="V354" s="3">
        <f t="shared" si="361"/>
        <v>1.1459023314892415E-3</v>
      </c>
      <c r="W354" s="3">
        <f t="shared" si="361"/>
        <v>1.1459022275697333E-3</v>
      </c>
      <c r="X354" s="3">
        <f t="shared" si="361"/>
        <v>1.1459011883751702E-3</v>
      </c>
      <c r="Y354" s="3">
        <f t="shared" si="361"/>
        <v>1.1458907964813712E-3</v>
      </c>
      <c r="Z354" s="3">
        <f t="shared" si="361"/>
        <v>1.1457868827265245E-3</v>
      </c>
      <c r="AA354" s="3">
        <f t="shared" si="361"/>
        <v>1.1447482633183759E-3</v>
      </c>
      <c r="AB354" s="3">
        <f t="shared" si="361"/>
        <v>1.1344137098302847E-3</v>
      </c>
      <c r="AC354" s="3">
        <f t="shared" si="361"/>
        <v>1.0360630801164751E-3</v>
      </c>
      <c r="AD354" s="3">
        <f t="shared" si="361"/>
        <v>4.1834396955583167E-4</v>
      </c>
      <c r="AE354" s="3">
        <f t="shared" si="361"/>
        <v>4.8195519185298733E-8</v>
      </c>
      <c r="AF354" s="3">
        <f t="shared" si="361"/>
        <v>1.9848978609947205E-47</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1.4642888439612509E-3</v>
      </c>
      <c r="C357" s="3">
        <f t="shared" si="364"/>
        <v>1.4642888439612509E-3</v>
      </c>
      <c r="D357" s="3">
        <f t="shared" si="364"/>
        <v>1.4642888439612509E-3</v>
      </c>
      <c r="E357" s="3">
        <f t="shared" si="364"/>
        <v>1.4642888439612509E-3</v>
      </c>
      <c r="F357" s="3">
        <f t="shared" si="364"/>
        <v>1.4642888439612509E-3</v>
      </c>
      <c r="G357" s="3">
        <f t="shared" si="364"/>
        <v>1.4642888439612509E-3</v>
      </c>
      <c r="H357" s="3">
        <f t="shared" si="364"/>
        <v>1.4642888439612509E-3</v>
      </c>
      <c r="I357" s="3">
        <f t="shared" si="364"/>
        <v>1.4642888439612509E-3</v>
      </c>
      <c r="J357" s="3">
        <f t="shared" si="364"/>
        <v>1.4642888439612509E-3</v>
      </c>
      <c r="K357" s="3">
        <f t="shared" si="364"/>
        <v>1.4642888439612509E-3</v>
      </c>
      <c r="L357" s="3">
        <f t="shared" si="364"/>
        <v>1.4642888439612509E-3</v>
      </c>
      <c r="M357" s="3">
        <f t="shared" si="364"/>
        <v>1.4642888439612509E-3</v>
      </c>
      <c r="N357" s="3">
        <f t="shared" si="364"/>
        <v>1.4642888439612509E-3</v>
      </c>
      <c r="O357" s="3">
        <f t="shared" si="364"/>
        <v>1.4642888439612509E-3</v>
      </c>
      <c r="P357" s="3">
        <f t="shared" si="364"/>
        <v>1.4642888439612509E-3</v>
      </c>
      <c r="Q357" s="3">
        <f t="shared" si="364"/>
        <v>1.4642888439612507E-3</v>
      </c>
      <c r="R357" s="3">
        <f t="shared" si="364"/>
        <v>1.4642888439612494E-3</v>
      </c>
      <c r="S357" s="3">
        <f t="shared" si="364"/>
        <v>1.4642888439612362E-3</v>
      </c>
      <c r="T357" s="3">
        <f t="shared" si="364"/>
        <v>1.4642888439611033E-3</v>
      </c>
      <c r="U357" s="3">
        <f t="shared" si="364"/>
        <v>1.4642888439597756E-3</v>
      </c>
      <c r="V357" s="3">
        <f t="shared" si="364"/>
        <v>1.4642888439464962E-3</v>
      </c>
      <c r="W357" s="3">
        <f t="shared" si="364"/>
        <v>1.4642888438137027E-3</v>
      </c>
      <c r="X357" s="3">
        <f t="shared" si="364"/>
        <v>1.4642888424857695E-3</v>
      </c>
      <c r="Y357" s="3">
        <f t="shared" si="364"/>
        <v>1.4642888292064368E-3</v>
      </c>
      <c r="Z357" s="3">
        <f t="shared" si="364"/>
        <v>1.4642886964131168E-3</v>
      </c>
      <c r="AA357" s="3">
        <f t="shared" si="364"/>
        <v>1.4642873684805799E-3</v>
      </c>
      <c r="AB357" s="3">
        <f t="shared" si="364"/>
        <v>1.4642740892214443E-3</v>
      </c>
      <c r="AC357" s="3">
        <f t="shared" si="364"/>
        <v>1.4641413032533545E-3</v>
      </c>
      <c r="AD357" s="3">
        <f t="shared" si="364"/>
        <v>1.4628141056769498E-3</v>
      </c>
      <c r="AE357" s="3">
        <f t="shared" si="364"/>
        <v>1.4496081187340825E-3</v>
      </c>
      <c r="AF357" s="3">
        <f t="shared" si="364"/>
        <v>1.3239309781280532E-3</v>
      </c>
      <c r="AG357" s="3"/>
      <c r="AH357" s="3"/>
    </row>
    <row r="358" spans="1:34" x14ac:dyDescent="0.25">
      <c r="A358" s="79">
        <f>AVERAGE(B358:AF358)</f>
        <v>1.6580909881955186E-3</v>
      </c>
      <c r="B358" s="80">
        <f>IF($A$64&lt;=B324,IF($B$64&gt;=B324,ABS((B326-B325)/B325),0),0)</f>
        <v>8.8415841380460082E-3</v>
      </c>
      <c r="C358" s="80">
        <f t="shared" ref="C358:AF358" si="365">IF($A$64&lt;=C324,IF($B$64&gt;=C324,ABS((C326-C325)/C325),0),0)</f>
        <v>1.1703236049862103E-2</v>
      </c>
      <c r="D358" s="80">
        <f t="shared" si="365"/>
        <v>3.3215101856633867E-3</v>
      </c>
      <c r="E358" s="80">
        <f t="shared" si="365"/>
        <v>4.5472831496024636E-4</v>
      </c>
      <c r="F358" s="80">
        <f t="shared" si="365"/>
        <v>1.9740243193080084E-4</v>
      </c>
      <c r="G358" s="80">
        <f t="shared" si="365"/>
        <v>1.3677377087999672E-4</v>
      </c>
      <c r="H358" s="80">
        <f t="shared" si="365"/>
        <v>1.6086769358625755E-4</v>
      </c>
      <c r="I358" s="80">
        <f t="shared" si="365"/>
        <v>1.4103717840661814E-4</v>
      </c>
      <c r="J358" s="80">
        <f t="shared" si="365"/>
        <v>1.2718875745406798E-4</v>
      </c>
      <c r="K358" s="80">
        <f t="shared" si="365"/>
        <v>1.5586468401460358E-4</v>
      </c>
      <c r="L358" s="80">
        <f t="shared" si="365"/>
        <v>1.3013272948029809E-4</v>
      </c>
      <c r="M358" s="80">
        <f t="shared" si="365"/>
        <v>1.8186763400426917E-4</v>
      </c>
      <c r="N358" s="80">
        <f t="shared" si="365"/>
        <v>1.4277362241300006E-4</v>
      </c>
      <c r="O358" s="80">
        <f t="shared" si="365"/>
        <v>2.7648871084683921E-4</v>
      </c>
      <c r="P358" s="80">
        <f t="shared" si="365"/>
        <v>2.1259156136641143E-4</v>
      </c>
      <c r="Q358" s="80">
        <f t="shared" si="365"/>
        <v>5.7201210894288889E-4</v>
      </c>
      <c r="R358" s="80">
        <f t="shared" si="365"/>
        <v>8.2274850763028524E-4</v>
      </c>
      <c r="S358" s="80">
        <f t="shared" si="365"/>
        <v>9.7268145892129418E-4</v>
      </c>
      <c r="T358" s="80">
        <f t="shared" si="365"/>
        <v>1.0443931872523126E-3</v>
      </c>
      <c r="U358" s="80">
        <f t="shared" si="365"/>
        <v>1.0732453720506299E-3</v>
      </c>
      <c r="V358" s="80">
        <f t="shared" si="365"/>
        <v>1.0585256936811896E-3</v>
      </c>
      <c r="W358" s="80">
        <f t="shared" si="365"/>
        <v>7.4045271860752847E-4</v>
      </c>
      <c r="X358" s="80">
        <f t="shared" si="365"/>
        <v>8.3015060883639242E-4</v>
      </c>
      <c r="Y358" s="80">
        <f t="shared" si="365"/>
        <v>4.3239073576098523E-4</v>
      </c>
      <c r="Z358" s="80">
        <f t="shared" si="365"/>
        <v>9.6792756891389033E-5</v>
      </c>
      <c r="AA358" s="80">
        <f t="shared" si="365"/>
        <v>3.9294092617688875E-4</v>
      </c>
      <c r="AB358" s="80">
        <f t="shared" si="365"/>
        <v>1.7927973521381462E-3</v>
      </c>
      <c r="AC358" s="80">
        <f t="shared" si="365"/>
        <v>4.5366621645939985E-3</v>
      </c>
      <c r="AD358" s="80">
        <f t="shared" si="365"/>
        <v>6.1312054313719102E-3</v>
      </c>
      <c r="AE358" s="80">
        <f t="shared" si="365"/>
        <v>4.1579226522220018E-3</v>
      </c>
      <c r="AF358" s="80">
        <f t="shared" si="365"/>
        <v>5.6185149606833857E-4</v>
      </c>
    </row>
    <row r="359" spans="1:34" x14ac:dyDescent="0.25">
      <c r="B359" s="21">
        <f>(B326-B325)^2</f>
        <v>7448.5940076509523</v>
      </c>
      <c r="C359" s="21">
        <f t="shared" ref="C359:AF359" si="366">(C326-C325)^2</f>
        <v>12249.6011608304</v>
      </c>
      <c r="D359" s="21">
        <f t="shared" si="366"/>
        <v>934.5920768107444</v>
      </c>
      <c r="E359" s="21">
        <f t="shared" si="366"/>
        <v>16.564011943012943</v>
      </c>
      <c r="F359" s="21">
        <f t="shared" si="366"/>
        <v>2.932710591096491</v>
      </c>
      <c r="G359" s="21">
        <f t="shared" si="366"/>
        <v>1.3022752514783342</v>
      </c>
      <c r="H359" s="21">
        <f t="shared" si="366"/>
        <v>1.6522951589992378</v>
      </c>
      <c r="I359" s="21">
        <f t="shared" si="366"/>
        <v>1.1734244944186174</v>
      </c>
      <c r="J359" s="21">
        <f t="shared" si="366"/>
        <v>0.88892109194898217</v>
      </c>
      <c r="K359" s="21">
        <f t="shared" si="366"/>
        <v>1.2385571308750107</v>
      </c>
      <c r="L359" s="21">
        <f t="shared" si="366"/>
        <v>0.7984097772475065</v>
      </c>
      <c r="M359" s="21">
        <f t="shared" si="366"/>
        <v>1.4367612117156878</v>
      </c>
      <c r="N359" s="21">
        <f t="shared" si="366"/>
        <v>0.80878308434298074</v>
      </c>
      <c r="O359" s="21">
        <f t="shared" si="366"/>
        <v>2.7024531793074145</v>
      </c>
      <c r="P359" s="21">
        <f t="shared" si="366"/>
        <v>1.3913430423688942</v>
      </c>
      <c r="Q359" s="21">
        <f t="shared" si="366"/>
        <v>8.0947562591210023</v>
      </c>
      <c r="R359" s="21">
        <f t="shared" si="366"/>
        <v>11.057563287714377</v>
      </c>
      <c r="S359" s="21">
        <f t="shared" si="366"/>
        <v>8.5021040212398571</v>
      </c>
      <c r="T359" s="21">
        <f t="shared" si="366"/>
        <v>4.8973961146855904</v>
      </c>
      <c r="U359" s="21">
        <f t="shared" si="366"/>
        <v>2.3617097864291217</v>
      </c>
      <c r="V359" s="21">
        <f t="shared" si="366"/>
        <v>1.0495631452861343</v>
      </c>
      <c r="W359" s="21">
        <f t="shared" si="366"/>
        <v>0.25027731873280756</v>
      </c>
      <c r="X359" s="21">
        <f t="shared" si="366"/>
        <v>0.19480482812722361</v>
      </c>
      <c r="Y359" s="21">
        <f t="shared" si="366"/>
        <v>3.8522189244471775E-2</v>
      </c>
      <c r="Z359" s="21">
        <f t="shared" si="366"/>
        <v>1.6358257145840656E-3</v>
      </c>
      <c r="AA359" s="21">
        <f t="shared" si="366"/>
        <v>2.3715974479082601E-2</v>
      </c>
      <c r="AB359" s="21">
        <f t="shared" si="366"/>
        <v>0.46174540371380607</v>
      </c>
      <c r="AC359" s="21">
        <f t="shared" si="366"/>
        <v>2.7810493346452678</v>
      </c>
      <c r="AD359" s="21">
        <f t="shared" si="366"/>
        <v>4.5566971576001709</v>
      </c>
      <c r="AE359" s="21">
        <f t="shared" si="366"/>
        <v>2.0794418986154852</v>
      </c>
      <c r="AF359" s="21">
        <f t="shared" si="366"/>
        <v>3.7300630857182375E-2</v>
      </c>
      <c r="AG359" s="3"/>
      <c r="AH359" s="3"/>
    </row>
    <row r="360" spans="1:34" x14ac:dyDescent="0.25">
      <c r="A360" s="71">
        <f>SUM(B360:AF360)</f>
        <v>20712.065474425115</v>
      </c>
      <c r="B360" s="60">
        <f>IF($A$64&lt;=B324,IF($B$64&gt;=B324,ABS(B359),0),0)</f>
        <v>7448.5940076509523</v>
      </c>
      <c r="C360" s="60">
        <f t="shared" ref="C360:AF360" si="367">IF($A$64&lt;=C324,IF($B$64&gt;=C324,ABS(C359),0),0)</f>
        <v>12249.6011608304</v>
      </c>
      <c r="D360" s="60">
        <f t="shared" si="367"/>
        <v>934.5920768107444</v>
      </c>
      <c r="E360" s="60">
        <f t="shared" si="367"/>
        <v>16.564011943012943</v>
      </c>
      <c r="F360" s="60">
        <f t="shared" si="367"/>
        <v>2.932710591096491</v>
      </c>
      <c r="G360" s="60">
        <f t="shared" si="367"/>
        <v>1.3022752514783342</v>
      </c>
      <c r="H360" s="60">
        <f t="shared" si="367"/>
        <v>1.6522951589992378</v>
      </c>
      <c r="I360" s="60">
        <f t="shared" si="367"/>
        <v>1.1734244944186174</v>
      </c>
      <c r="J360" s="60">
        <f t="shared" si="367"/>
        <v>0.88892109194898217</v>
      </c>
      <c r="K360" s="60">
        <f t="shared" si="367"/>
        <v>1.2385571308750107</v>
      </c>
      <c r="L360" s="60">
        <f t="shared" si="367"/>
        <v>0.7984097772475065</v>
      </c>
      <c r="M360" s="60">
        <f t="shared" si="367"/>
        <v>1.4367612117156878</v>
      </c>
      <c r="N360" s="60">
        <f t="shared" si="367"/>
        <v>0.80878308434298074</v>
      </c>
      <c r="O360" s="60">
        <f t="shared" si="367"/>
        <v>2.7024531793074145</v>
      </c>
      <c r="P360" s="60">
        <f t="shared" si="367"/>
        <v>1.3913430423688942</v>
      </c>
      <c r="Q360" s="60">
        <f t="shared" si="367"/>
        <v>8.0947562591210023</v>
      </c>
      <c r="R360" s="60">
        <f t="shared" si="367"/>
        <v>11.057563287714377</v>
      </c>
      <c r="S360" s="60">
        <f t="shared" si="367"/>
        <v>8.5021040212398571</v>
      </c>
      <c r="T360" s="60">
        <f t="shared" si="367"/>
        <v>4.8973961146855904</v>
      </c>
      <c r="U360" s="60">
        <f t="shared" si="367"/>
        <v>2.3617097864291217</v>
      </c>
      <c r="V360" s="60">
        <f t="shared" si="367"/>
        <v>1.0495631452861343</v>
      </c>
      <c r="W360" s="60">
        <f t="shared" si="367"/>
        <v>0.25027731873280756</v>
      </c>
      <c r="X360" s="60">
        <f t="shared" si="367"/>
        <v>0.19480482812722361</v>
      </c>
      <c r="Y360" s="60">
        <f t="shared" si="367"/>
        <v>3.8522189244471775E-2</v>
      </c>
      <c r="Z360" s="60">
        <f t="shared" si="367"/>
        <v>1.6358257145840656E-3</v>
      </c>
      <c r="AA360" s="60">
        <f t="shared" si="367"/>
        <v>2.3715974479082601E-2</v>
      </c>
      <c r="AB360" s="60">
        <f t="shared" si="367"/>
        <v>0.46174540371380607</v>
      </c>
      <c r="AC360" s="60">
        <f t="shared" si="367"/>
        <v>2.7810493346452678</v>
      </c>
      <c r="AD360" s="60">
        <f t="shared" si="367"/>
        <v>4.5566971576001709</v>
      </c>
      <c r="AE360" s="60">
        <f t="shared" si="367"/>
        <v>2.0794418986154852</v>
      </c>
      <c r="AF360" s="60">
        <f t="shared" si="367"/>
        <v>3.7300630857182375E-2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9139.7150031122364</v>
      </c>
      <c r="C365" s="27">
        <f t="shared" ref="C365:AF365" si="368">($C$17+SUM(C366:C396))*$B$51</f>
        <v>8927.5224312705122</v>
      </c>
      <c r="D365" s="27">
        <f t="shared" si="368"/>
        <v>8637.0396969223802</v>
      </c>
      <c r="E365" s="27">
        <f t="shared" si="368"/>
        <v>8299.9547990372466</v>
      </c>
      <c r="F365" s="27">
        <f t="shared" si="368"/>
        <v>7945.7157352907125</v>
      </c>
      <c r="G365" s="27">
        <f t="shared" si="368"/>
        <v>7641.9799116428294</v>
      </c>
      <c r="H365" s="27">
        <f t="shared" si="368"/>
        <v>7377.1287616931304</v>
      </c>
      <c r="I365" s="27">
        <f t="shared" si="368"/>
        <v>7101.5845728714667</v>
      </c>
      <c r="J365" s="27">
        <f t="shared" si="368"/>
        <v>6828.7820054919111</v>
      </c>
      <c r="K365" s="27">
        <f t="shared" si="368"/>
        <v>6551.6869943057291</v>
      </c>
      <c r="L365" s="27">
        <f t="shared" si="368"/>
        <v>6256.8557950696359</v>
      </c>
      <c r="M365" s="27">
        <f t="shared" si="368"/>
        <v>5891.5653174382987</v>
      </c>
      <c r="N365" s="27">
        <f t="shared" si="368"/>
        <v>5494.5993512002187</v>
      </c>
      <c r="O365" s="27">
        <f t="shared" si="368"/>
        <v>4868.2557530540262</v>
      </c>
      <c r="P365" s="27">
        <f t="shared" si="368"/>
        <v>3907.9563952927792</v>
      </c>
      <c r="Q365" s="27">
        <f t="shared" si="368"/>
        <v>2887.9463763698736</v>
      </c>
      <c r="R365" s="27">
        <f t="shared" si="368"/>
        <v>2032.8268349281791</v>
      </c>
      <c r="S365" s="27">
        <f t="shared" si="368"/>
        <v>1375.136354243848</v>
      </c>
      <c r="T365" s="27">
        <f t="shared" si="368"/>
        <v>930.11098303495862</v>
      </c>
      <c r="U365" s="27">
        <f t="shared" si="368"/>
        <v>659.31130591263559</v>
      </c>
      <c r="V365" s="27">
        <f t="shared" si="368"/>
        <v>515.29789046365102</v>
      </c>
      <c r="W365" s="27">
        <f t="shared" si="368"/>
        <v>448.11851358612307</v>
      </c>
      <c r="X365" s="27">
        <f t="shared" si="368"/>
        <v>413.98866522745647</v>
      </c>
      <c r="Y365" s="27">
        <f t="shared" si="368"/>
        <v>388.97836968522483</v>
      </c>
      <c r="Z365" s="27">
        <f t="shared" si="368"/>
        <v>378.99930487869233</v>
      </c>
      <c r="AA365" s="27">
        <f t="shared" si="368"/>
        <v>363.21897277605819</v>
      </c>
      <c r="AB365" s="27">
        <f t="shared" si="368"/>
        <v>348.98806318716566</v>
      </c>
      <c r="AC365" s="27">
        <f t="shared" si="368"/>
        <v>345.31920609576736</v>
      </c>
      <c r="AD365" s="27">
        <f t="shared" si="368"/>
        <v>343.46526339494278</v>
      </c>
      <c r="AE365" s="27">
        <f t="shared" si="368"/>
        <v>333.27304219970205</v>
      </c>
      <c r="AF365" s="27">
        <f t="shared" si="368"/>
        <v>328.83767741786926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1.4965888057210978E-3</v>
      </c>
      <c r="C367" s="3">
        <f t="shared" si="370"/>
        <v>7.9454792859597907E-17</v>
      </c>
      <c r="D367" s="3">
        <f t="shared" si="370"/>
        <v>1.413501172884968E-149</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1.1541605692690769E-2</v>
      </c>
      <c r="C368" s="3">
        <f t="shared" si="371"/>
        <v>7.3240682719109427E-4</v>
      </c>
      <c r="D368" s="3">
        <f t="shared" si="371"/>
        <v>7.7555730642537859E-16</v>
      </c>
      <c r="E368" s="3">
        <f t="shared" si="371"/>
        <v>1.3747666568348988E-135</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2.5191025813922976E-2</v>
      </c>
      <c r="C369" s="3">
        <f t="shared" si="372"/>
        <v>1.9643557452613231E-2</v>
      </c>
      <c r="D369" s="3">
        <f t="shared" si="372"/>
        <v>1.632912922725227E-3</v>
      </c>
      <c r="E369" s="3">
        <f t="shared" si="372"/>
        <v>2.5727161465617713E-14</v>
      </c>
      <c r="F369" s="3">
        <f t="shared" si="372"/>
        <v>2.4248246254208417E-122</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3.048147648912565E-2</v>
      </c>
      <c r="C370" s="3">
        <f t="shared" si="373"/>
        <v>2.9805141093047875E-2</v>
      </c>
      <c r="D370" s="3">
        <f t="shared" si="373"/>
        <v>2.3814584210620146E-2</v>
      </c>
      <c r="E370" s="3">
        <f t="shared" si="373"/>
        <v>2.5255805049600789E-3</v>
      </c>
      <c r="F370" s="3">
        <f t="shared" si="373"/>
        <v>4.5450990117689539E-13</v>
      </c>
      <c r="G370" s="3">
        <f t="shared" si="373"/>
        <v>1.6194392740419668E-110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3.3950004866693993E-2</v>
      </c>
      <c r="C371" s="3">
        <f t="shared" si="374"/>
        <v>3.3881355523046414E-2</v>
      </c>
      <c r="D371" s="3">
        <f t="shared" si="374"/>
        <v>3.3202450723401236E-2</v>
      </c>
      <c r="E371" s="3">
        <f t="shared" si="374"/>
        <v>2.7118382166443366E-2</v>
      </c>
      <c r="F371" s="3">
        <f t="shared" si="374"/>
        <v>3.5826149674720487E-3</v>
      </c>
      <c r="G371" s="3">
        <f t="shared" si="374"/>
        <v>5.8018130183088496E-12</v>
      </c>
      <c r="H371" s="3">
        <f t="shared" si="374"/>
        <v>7.1977979332765206E-100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2.7970267564873284E-2</v>
      </c>
      <c r="C372" s="3">
        <f t="shared" si="375"/>
        <v>2.7965160874001169E-2</v>
      </c>
      <c r="D372" s="3">
        <f t="shared" si="375"/>
        <v>2.7914145216871262E-2</v>
      </c>
      <c r="E372" s="3">
        <f t="shared" si="375"/>
        <v>2.7409079348008927E-2</v>
      </c>
      <c r="F372" s="3">
        <f t="shared" si="375"/>
        <v>2.2834714951707993E-2</v>
      </c>
      <c r="G372" s="3">
        <f t="shared" si="375"/>
        <v>3.677960490184015E-3</v>
      </c>
      <c r="H372" s="3">
        <f t="shared" si="375"/>
        <v>4.3223677010997673E-11</v>
      </c>
      <c r="I372" s="3">
        <f t="shared" si="375"/>
        <v>2.1720419363266047E-90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2.3282360941242215E-2</v>
      </c>
      <c r="C373" s="3">
        <f t="shared" si="376"/>
        <v>2.3281977452491356E-2</v>
      </c>
      <c r="D373" s="3">
        <f t="shared" si="376"/>
        <v>2.327814291237449E-2</v>
      </c>
      <c r="E373" s="3">
        <f t="shared" si="376"/>
        <v>2.3239832229216283E-2</v>
      </c>
      <c r="F373" s="3">
        <f t="shared" si="376"/>
        <v>2.2860176133035814E-2</v>
      </c>
      <c r="G373" s="3">
        <f t="shared" si="376"/>
        <v>1.9388553498521789E-2</v>
      </c>
      <c r="H373" s="3">
        <f t="shared" si="376"/>
        <v>3.7342533600697682E-3</v>
      </c>
      <c r="I373" s="3">
        <f t="shared" si="376"/>
        <v>2.6229347780114851E-10</v>
      </c>
      <c r="J373" s="3">
        <f t="shared" si="376"/>
        <v>7.6669848047937409E-82</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2.595552027707666E-2</v>
      </c>
      <c r="C374" s="3">
        <f t="shared" si="377"/>
        <v>2.5955481711023552E-2</v>
      </c>
      <c r="D374" s="3">
        <f t="shared" si="377"/>
        <v>2.5955096053644128E-2</v>
      </c>
      <c r="E374" s="3">
        <f t="shared" si="377"/>
        <v>2.5951239795000077E-2</v>
      </c>
      <c r="F374" s="3">
        <f t="shared" si="377"/>
        <v>2.5912708706256369E-2</v>
      </c>
      <c r="G374" s="3">
        <f t="shared" si="377"/>
        <v>2.5530530340761276E-2</v>
      </c>
      <c r="H374" s="3">
        <f t="shared" si="377"/>
        <v>2.2005440693661955E-2</v>
      </c>
      <c r="I374" s="3">
        <f t="shared" si="377"/>
        <v>4.9800351771522762E-3</v>
      </c>
      <c r="J374" s="3">
        <f t="shared" si="377"/>
        <v>1.754913888301193E-9</v>
      </c>
      <c r="K374" s="3">
        <f t="shared" si="377"/>
        <v>5.1819094052903675E-74</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2.4758412971091694E-2</v>
      </c>
      <c r="C375" s="3">
        <f t="shared" si="378"/>
        <v>2.4758409652566312E-2</v>
      </c>
      <c r="D375" s="3">
        <f t="shared" si="378"/>
        <v>2.4758376467336977E-2</v>
      </c>
      <c r="E375" s="3">
        <f t="shared" si="378"/>
        <v>2.4758044617490031E-2</v>
      </c>
      <c r="F375" s="3">
        <f t="shared" si="378"/>
        <v>2.4754726363648637E-2</v>
      </c>
      <c r="G375" s="3">
        <f t="shared" si="378"/>
        <v>2.4721568275915148E-2</v>
      </c>
      <c r="H375" s="3">
        <f t="shared" si="378"/>
        <v>2.4392420384047628E-2</v>
      </c>
      <c r="I375" s="3">
        <f t="shared" si="378"/>
        <v>2.1332594533991694E-2</v>
      </c>
      <c r="J375" s="3">
        <f t="shared" si="378"/>
        <v>5.5838212350944457E-3</v>
      </c>
      <c r="K375" s="3">
        <f t="shared" si="378"/>
        <v>8.4296545469387435E-9</v>
      </c>
      <c r="L375" s="3">
        <f t="shared" si="378"/>
        <v>5.1831346397570937E-67</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2.5498882266198498E-2</v>
      </c>
      <c r="C376" s="3">
        <f t="shared" si="379"/>
        <v>2.5498881957886733E-2</v>
      </c>
      <c r="D376" s="3">
        <f t="shared" si="379"/>
        <v>2.5498878874769256E-2</v>
      </c>
      <c r="E376" s="3">
        <f t="shared" si="379"/>
        <v>2.5498848043614998E-2</v>
      </c>
      <c r="F376" s="3">
        <f t="shared" si="379"/>
        <v>2.5498539734122718E-2</v>
      </c>
      <c r="G376" s="3">
        <f t="shared" si="379"/>
        <v>2.5495456844221793E-2</v>
      </c>
      <c r="H376" s="3">
        <f t="shared" si="379"/>
        <v>2.5464648438229293E-2</v>
      </c>
      <c r="I376" s="3">
        <f t="shared" si="379"/>
        <v>2.5158604541513602E-2</v>
      </c>
      <c r="J376" s="3">
        <f t="shared" si="379"/>
        <v>2.2293342483685811E-2</v>
      </c>
      <c r="K376" s="3">
        <f t="shared" si="379"/>
        <v>6.65367495583919E-3</v>
      </c>
      <c r="L376" s="3">
        <f t="shared" si="379"/>
        <v>3.7318614445861104E-8</v>
      </c>
      <c r="M376" s="3">
        <f t="shared" si="379"/>
        <v>1.1496477971380984E-60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2.6156174212974569E-2</v>
      </c>
      <c r="C377" s="3">
        <f t="shared" si="380"/>
        <v>2.6156174184445359E-2</v>
      </c>
      <c r="D377" s="3">
        <f t="shared" si="380"/>
        <v>2.6156173899153239E-2</v>
      </c>
      <c r="E377" s="3">
        <f t="shared" si="380"/>
        <v>2.6156171046232253E-2</v>
      </c>
      <c r="F377" s="3">
        <f t="shared" si="380"/>
        <v>2.6156142517039477E-2</v>
      </c>
      <c r="G377" s="3">
        <f t="shared" si="380"/>
        <v>2.6155857226823186E-2</v>
      </c>
      <c r="H377" s="3">
        <f t="shared" si="380"/>
        <v>2.6153004495799111E-2</v>
      </c>
      <c r="I377" s="3">
        <f t="shared" si="380"/>
        <v>2.6124494292536014E-2</v>
      </c>
      <c r="J377" s="3">
        <f t="shared" si="380"/>
        <v>2.5841096073930765E-2</v>
      </c>
      <c r="K377" s="3">
        <f t="shared" si="380"/>
        <v>2.3170815272035919E-2</v>
      </c>
      <c r="L377" s="3">
        <f t="shared" si="380"/>
        <v>7.7847587101599744E-3</v>
      </c>
      <c r="M377" s="3">
        <f t="shared" si="380"/>
        <v>1.4265387348016521E-7</v>
      </c>
      <c r="N377" s="3">
        <f t="shared" si="380"/>
        <v>6.0907067950755963E-55</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3.754094134724479E-2</v>
      </c>
      <c r="C378" s="3">
        <f t="shared" si="381"/>
        <v>3.7540941343551043E-2</v>
      </c>
      <c r="D378" s="3">
        <f t="shared" si="381"/>
        <v>3.7540941306613555E-2</v>
      </c>
      <c r="E378" s="3">
        <f t="shared" si="381"/>
        <v>3.7540940937238726E-2</v>
      </c>
      <c r="F378" s="3">
        <f t="shared" si="381"/>
        <v>3.7540937243490627E-2</v>
      </c>
      <c r="G378" s="3">
        <f t="shared" si="381"/>
        <v>3.75409003060296E-2</v>
      </c>
      <c r="H378" s="3">
        <f t="shared" si="381"/>
        <v>3.7540530933418269E-2</v>
      </c>
      <c r="I378" s="3">
        <f t="shared" si="381"/>
        <v>3.7536837407187315E-2</v>
      </c>
      <c r="J378" s="3">
        <f t="shared" si="381"/>
        <v>3.7499922125843396E-2</v>
      </c>
      <c r="K378" s="3">
        <f t="shared" si="381"/>
        <v>3.7132760153955308E-2</v>
      </c>
      <c r="L378" s="3">
        <f t="shared" si="381"/>
        <v>3.36531637050188E-2</v>
      </c>
      <c r="M378" s="3">
        <f t="shared" si="381"/>
        <v>1.2580924474433753E-2</v>
      </c>
      <c r="N378" s="3">
        <f t="shared" si="381"/>
        <v>6.7077848763535316E-7</v>
      </c>
      <c r="O378" s="3">
        <f t="shared" si="381"/>
        <v>1.2452164061086988E-49</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2.9964173015749208E-2</v>
      </c>
      <c r="C379" s="3">
        <f t="shared" si="382"/>
        <v>2.996417301548325E-2</v>
      </c>
      <c r="D379" s="3">
        <f t="shared" si="382"/>
        <v>2.9964173012823683E-2</v>
      </c>
      <c r="E379" s="3">
        <f t="shared" si="382"/>
        <v>2.9964172986228006E-2</v>
      </c>
      <c r="F379" s="3">
        <f t="shared" si="382"/>
        <v>2.996417272027125E-2</v>
      </c>
      <c r="G379" s="3">
        <f t="shared" si="382"/>
        <v>2.9964170060703819E-2</v>
      </c>
      <c r="H379" s="3">
        <f t="shared" si="382"/>
        <v>2.9964143465042482E-2</v>
      </c>
      <c r="I379" s="3">
        <f t="shared" si="382"/>
        <v>2.9963877509727462E-2</v>
      </c>
      <c r="J379" s="3">
        <f t="shared" si="382"/>
        <v>2.9961218086404721E-2</v>
      </c>
      <c r="K379" s="3">
        <f t="shared" si="382"/>
        <v>2.9934636831662063E-2</v>
      </c>
      <c r="L379" s="3">
        <f t="shared" si="382"/>
        <v>2.9670117880605446E-2</v>
      </c>
      <c r="M379" s="3">
        <f t="shared" si="382"/>
        <v>2.7150138748394149E-2</v>
      </c>
      <c r="N379" s="3">
        <f t="shared" si="382"/>
        <v>1.1176346789734179E-2</v>
      </c>
      <c r="O379" s="3">
        <f t="shared" si="382"/>
        <v>1.5616295753285999E-6</v>
      </c>
      <c r="P379" s="3">
        <f t="shared" si="382"/>
        <v>4.4295498078352949E-45</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7.1416883904956791E-2</v>
      </c>
      <c r="C380" s="3">
        <f t="shared" si="383"/>
        <v>7.1416883904899614E-2</v>
      </c>
      <c r="D380" s="3">
        <f t="shared" si="383"/>
        <v>7.1416883904327794E-2</v>
      </c>
      <c r="E380" s="3">
        <f t="shared" si="383"/>
        <v>7.1416883898609632E-2</v>
      </c>
      <c r="F380" s="3">
        <f t="shared" si="383"/>
        <v>7.1416883841428053E-2</v>
      </c>
      <c r="G380" s="3">
        <f t="shared" si="383"/>
        <v>7.1416883269612152E-2</v>
      </c>
      <c r="H380" s="3">
        <f t="shared" si="383"/>
        <v>7.1416877551453511E-2</v>
      </c>
      <c r="I380" s="3">
        <f t="shared" si="383"/>
        <v>7.1416820369892262E-2</v>
      </c>
      <c r="J380" s="3">
        <f t="shared" si="383"/>
        <v>7.1416248556797818E-2</v>
      </c>
      <c r="K380" s="3">
        <f t="shared" si="383"/>
        <v>7.1410530677655876E-2</v>
      </c>
      <c r="L380" s="3">
        <f t="shared" si="383"/>
        <v>7.1353377059022727E-2</v>
      </c>
      <c r="M380" s="3">
        <f t="shared" si="383"/>
        <v>7.0784350709851937E-2</v>
      </c>
      <c r="N380" s="3">
        <f t="shared" si="383"/>
        <v>6.5337792130406816E-2</v>
      </c>
      <c r="O380" s="3">
        <f t="shared" si="383"/>
        <v>2.9338403440663293E-2</v>
      </c>
      <c r="P380" s="3">
        <f t="shared" si="383"/>
        <v>9.7758986736637228E-6</v>
      </c>
      <c r="Q380" s="3">
        <f t="shared" si="383"/>
        <v>1.6495247742573678E-40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0.1031136176058049</v>
      </c>
      <c r="C381" s="3">
        <f t="shared" si="384"/>
        <v>0.10311361760579744</v>
      </c>
      <c r="D381" s="3">
        <f t="shared" si="384"/>
        <v>0.10311361760572296</v>
      </c>
      <c r="E381" s="3">
        <f t="shared" si="384"/>
        <v>0.1031136176049782</v>
      </c>
      <c r="F381" s="3">
        <f t="shared" si="384"/>
        <v>0.10311361759753057</v>
      </c>
      <c r="G381" s="3">
        <f t="shared" si="384"/>
        <v>0.10311361752305431</v>
      </c>
      <c r="H381" s="3">
        <f t="shared" si="384"/>
        <v>0.10311361677829156</v>
      </c>
      <c r="I381" s="3">
        <f t="shared" si="384"/>
        <v>0.10311360933066453</v>
      </c>
      <c r="J381" s="3">
        <f t="shared" si="384"/>
        <v>0.10311353485442372</v>
      </c>
      <c r="K381" s="3">
        <f t="shared" si="384"/>
        <v>0.10311279009497418</v>
      </c>
      <c r="L381" s="3">
        <f t="shared" si="384"/>
        <v>0.10310534279632752</v>
      </c>
      <c r="M381" s="3">
        <f t="shared" si="384"/>
        <v>0.10303089938682504</v>
      </c>
      <c r="N381" s="3">
        <f t="shared" si="384"/>
        <v>0.10228941509926895</v>
      </c>
      <c r="O381" s="3">
        <f t="shared" si="384"/>
        <v>9.5161819854449978E-2</v>
      </c>
      <c r="P381" s="3">
        <f t="shared" si="384"/>
        <v>4.6215023054532511E-2</v>
      </c>
      <c r="Q381" s="3">
        <f t="shared" si="384"/>
        <v>3.3727762126852998E-5</v>
      </c>
      <c r="R381" s="3">
        <f t="shared" si="384"/>
        <v>1.4455431113199718E-36</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8.7291657876096704E-2</v>
      </c>
      <c r="C382" s="3">
        <f t="shared" si="385"/>
        <v>8.7291657876096149E-2</v>
      </c>
      <c r="D382" s="3">
        <f t="shared" si="385"/>
        <v>8.7291657876090459E-2</v>
      </c>
      <c r="E382" s="3">
        <f t="shared" si="385"/>
        <v>8.7291657876033574E-2</v>
      </c>
      <c r="F382" s="3">
        <f t="shared" si="385"/>
        <v>8.7291657875464834E-2</v>
      </c>
      <c r="G382" s="3">
        <f t="shared" si="385"/>
        <v>8.7291657869777328E-2</v>
      </c>
      <c r="H382" s="3">
        <f t="shared" si="385"/>
        <v>8.7291657812902351E-2</v>
      </c>
      <c r="I382" s="3">
        <f t="shared" si="385"/>
        <v>8.7291657244152568E-2</v>
      </c>
      <c r="J382" s="3">
        <f t="shared" si="385"/>
        <v>8.7291651556654914E-2</v>
      </c>
      <c r="K382" s="3">
        <f t="shared" si="385"/>
        <v>8.7291594681698698E-2</v>
      </c>
      <c r="L382" s="3">
        <f t="shared" si="385"/>
        <v>8.7291025934174732E-2</v>
      </c>
      <c r="M382" s="3">
        <f t="shared" si="385"/>
        <v>8.7285338662742892E-2</v>
      </c>
      <c r="N382" s="3">
        <f t="shared" si="385"/>
        <v>8.7228486324292462E-2</v>
      </c>
      <c r="O382" s="3">
        <f t="shared" si="385"/>
        <v>8.6661995623052643E-2</v>
      </c>
      <c r="P382" s="3">
        <f t="shared" si="385"/>
        <v>8.1195540899974994E-2</v>
      </c>
      <c r="Q382" s="3">
        <f t="shared" si="385"/>
        <v>4.2322090958191137E-2</v>
      </c>
      <c r="R382" s="3">
        <f t="shared" si="385"/>
        <v>6.2649337914516887E-5</v>
      </c>
      <c r="S382" s="3">
        <f t="shared" si="385"/>
        <v>3.1652657618928389E-33</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7.2211450290495249E-2</v>
      </c>
      <c r="C383" s="3">
        <f t="shared" si="386"/>
        <v>7.2211450290495222E-2</v>
      </c>
      <c r="D383" s="3">
        <f t="shared" si="386"/>
        <v>7.2211450290494791E-2</v>
      </c>
      <c r="E383" s="3">
        <f t="shared" si="386"/>
        <v>7.2211450290490545E-2</v>
      </c>
      <c r="F383" s="3">
        <f t="shared" si="386"/>
        <v>7.2211450290448106E-2</v>
      </c>
      <c r="G383" s="3">
        <f t="shared" si="386"/>
        <v>7.2211450290023682E-2</v>
      </c>
      <c r="H383" s="3">
        <f t="shared" si="386"/>
        <v>7.2211450285779438E-2</v>
      </c>
      <c r="I383" s="3">
        <f t="shared" si="386"/>
        <v>7.2211450243336903E-2</v>
      </c>
      <c r="J383" s="3">
        <f t="shared" si="386"/>
        <v>7.2211449818911713E-2</v>
      </c>
      <c r="K383" s="3">
        <f t="shared" si="386"/>
        <v>7.2211445574659833E-2</v>
      </c>
      <c r="L383" s="3">
        <f t="shared" si="386"/>
        <v>7.2211403132154808E-2</v>
      </c>
      <c r="M383" s="3">
        <f t="shared" si="386"/>
        <v>7.2210978708476606E-2</v>
      </c>
      <c r="N383" s="3">
        <f t="shared" si="386"/>
        <v>7.2206734608892764E-2</v>
      </c>
      <c r="O383" s="3">
        <f t="shared" si="386"/>
        <v>7.2164307329892541E-2</v>
      </c>
      <c r="P383" s="3">
        <f t="shared" si="386"/>
        <v>7.1741403245413615E-2</v>
      </c>
      <c r="Q383" s="3">
        <f t="shared" si="386"/>
        <v>6.764630266298112E-2</v>
      </c>
      <c r="R383" s="3">
        <f t="shared" si="386"/>
        <v>3.758253210150965E-2</v>
      </c>
      <c r="S383" s="3">
        <f t="shared" si="386"/>
        <v>1.0529451877197247E-4</v>
      </c>
      <c r="T383" s="3">
        <f t="shared" si="386"/>
        <v>3.1376394288444713E-30</v>
      </c>
      <c r="U383" s="3">
        <f t="shared" si="386"/>
        <v>1.7321110486027544E-285</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4.7726428975124642E-2</v>
      </c>
      <c r="C384" s="3">
        <f t="shared" si="387"/>
        <v>4.7726428975124635E-2</v>
      </c>
      <c r="D384" s="3">
        <f t="shared" si="387"/>
        <v>4.7726428975124614E-2</v>
      </c>
      <c r="E384" s="3">
        <f t="shared" si="387"/>
        <v>4.7726428975124364E-2</v>
      </c>
      <c r="F384" s="3">
        <f t="shared" si="387"/>
        <v>4.7726428975121832E-2</v>
      </c>
      <c r="G384" s="3">
        <f t="shared" si="387"/>
        <v>4.7726428975096526E-2</v>
      </c>
      <c r="H384" s="3">
        <f t="shared" si="387"/>
        <v>4.7726428974843478E-2</v>
      </c>
      <c r="I384" s="3">
        <f t="shared" si="387"/>
        <v>4.7726428972313009E-2</v>
      </c>
      <c r="J384" s="3">
        <f t="shared" si="387"/>
        <v>4.7726428947008348E-2</v>
      </c>
      <c r="K384" s="3">
        <f t="shared" si="387"/>
        <v>4.7726428693961674E-2</v>
      </c>
      <c r="L384" s="3">
        <f t="shared" si="387"/>
        <v>4.7726426163495046E-2</v>
      </c>
      <c r="M384" s="3">
        <f t="shared" si="387"/>
        <v>4.7726400858836122E-2</v>
      </c>
      <c r="N384" s="3">
        <f t="shared" si="387"/>
        <v>4.772614781298478E-2</v>
      </c>
      <c r="O384" s="3">
        <f t="shared" si="387"/>
        <v>4.7723617428261048E-2</v>
      </c>
      <c r="P384" s="3">
        <f t="shared" si="387"/>
        <v>4.7698320958542852E-2</v>
      </c>
      <c r="Q384" s="3">
        <f t="shared" si="387"/>
        <v>4.7446092568043281E-2</v>
      </c>
      <c r="R384" s="3">
        <f t="shared" si="387"/>
        <v>4.499601513919007E-2</v>
      </c>
      <c r="S384" s="3">
        <f t="shared" si="387"/>
        <v>2.6479518164109494E-2</v>
      </c>
      <c r="T384" s="3">
        <f t="shared" si="387"/>
        <v>1.3190775158348182E-4</v>
      </c>
      <c r="U384" s="3">
        <f t="shared" si="387"/>
        <v>1.2412884456180991E-27</v>
      </c>
      <c r="V384" s="3">
        <f t="shared" si="387"/>
        <v>6.7592212774630508E-258</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3.3498054799521296E-2</v>
      </c>
      <c r="C385" s="3">
        <f t="shared" si="388"/>
        <v>3.3498054799521296E-2</v>
      </c>
      <c r="D385" s="3">
        <f t="shared" si="388"/>
        <v>3.3498054799521296E-2</v>
      </c>
      <c r="E385" s="3">
        <f t="shared" si="388"/>
        <v>3.3498054799521275E-2</v>
      </c>
      <c r="F385" s="3">
        <f t="shared" si="388"/>
        <v>3.3498054799521115E-2</v>
      </c>
      <c r="G385" s="3">
        <f t="shared" si="388"/>
        <v>3.3498054799519512E-2</v>
      </c>
      <c r="H385" s="3">
        <f t="shared" si="388"/>
        <v>3.3498054799503491E-2</v>
      </c>
      <c r="I385" s="3">
        <f t="shared" si="388"/>
        <v>3.3498054799343278E-2</v>
      </c>
      <c r="J385" s="3">
        <f t="shared" si="388"/>
        <v>3.3498054797741109E-2</v>
      </c>
      <c r="K385" s="3">
        <f t="shared" si="388"/>
        <v>3.3498054781719439E-2</v>
      </c>
      <c r="L385" s="3">
        <f t="shared" si="388"/>
        <v>3.3498054621502703E-2</v>
      </c>
      <c r="M385" s="3">
        <f t="shared" si="388"/>
        <v>3.3498053019335436E-2</v>
      </c>
      <c r="N385" s="3">
        <f t="shared" si="388"/>
        <v>3.3498036997666965E-2</v>
      </c>
      <c r="O385" s="3">
        <f t="shared" si="388"/>
        <v>3.3497876781403695E-2</v>
      </c>
      <c r="P385" s="3">
        <f t="shared" si="388"/>
        <v>3.3496274660916418E-2</v>
      </c>
      <c r="Q385" s="3">
        <f t="shared" si="388"/>
        <v>3.3480257669839072E-2</v>
      </c>
      <c r="R385" s="3">
        <f t="shared" si="388"/>
        <v>3.3320508393859846E-2</v>
      </c>
      <c r="S385" s="3">
        <f t="shared" si="388"/>
        <v>3.176434415991812E-2</v>
      </c>
      <c r="T385" s="3">
        <f t="shared" si="388"/>
        <v>1.9688953366633438E-2</v>
      </c>
      <c r="U385" s="3">
        <f t="shared" si="388"/>
        <v>1.6483521739547689E-4</v>
      </c>
      <c r="V385" s="3">
        <f t="shared" si="388"/>
        <v>2.7881989151430259E-25</v>
      </c>
      <c r="W385" s="3">
        <f t="shared" si="388"/>
        <v>5.3463974448172799E-233</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8.3276524344842746E-3</v>
      </c>
      <c r="C386" s="3">
        <f t="shared" si="389"/>
        <v>8.3276524344842746E-3</v>
      </c>
      <c r="D386" s="3">
        <f t="shared" si="389"/>
        <v>8.3276524344842746E-3</v>
      </c>
      <c r="E386" s="3">
        <f t="shared" si="389"/>
        <v>8.3276524344842746E-3</v>
      </c>
      <c r="F386" s="3">
        <f t="shared" si="389"/>
        <v>8.3276524344842711E-3</v>
      </c>
      <c r="G386" s="3">
        <f t="shared" si="389"/>
        <v>8.3276524344842347E-3</v>
      </c>
      <c r="H386" s="3">
        <f t="shared" si="389"/>
        <v>8.3276524344838756E-3</v>
      </c>
      <c r="I386" s="3">
        <f t="shared" si="389"/>
        <v>8.327652434480283E-3</v>
      </c>
      <c r="J386" s="3">
        <f t="shared" si="389"/>
        <v>8.3276524344443516E-3</v>
      </c>
      <c r="K386" s="3">
        <f t="shared" si="389"/>
        <v>8.3276524340850522E-3</v>
      </c>
      <c r="L386" s="3">
        <f t="shared" si="389"/>
        <v>8.3276524304920496E-3</v>
      </c>
      <c r="M386" s="3">
        <f t="shared" si="389"/>
        <v>8.3276523945620302E-3</v>
      </c>
      <c r="N386" s="3">
        <f t="shared" si="389"/>
        <v>8.3276520352618382E-3</v>
      </c>
      <c r="O386" s="3">
        <f t="shared" si="389"/>
        <v>8.3276484422607679E-3</v>
      </c>
      <c r="P386" s="3">
        <f t="shared" si="389"/>
        <v>8.3276125123353251E-3</v>
      </c>
      <c r="Q386" s="3">
        <f t="shared" si="389"/>
        <v>8.3272532216069461E-3</v>
      </c>
      <c r="R386" s="3">
        <f t="shared" si="389"/>
        <v>8.3236611667909556E-3</v>
      </c>
      <c r="S386" s="3">
        <f t="shared" si="389"/>
        <v>8.2878257294828755E-3</v>
      </c>
      <c r="T386" s="3">
        <f t="shared" si="389"/>
        <v>7.9378481260084528E-3</v>
      </c>
      <c r="U386" s="3">
        <f t="shared" si="389"/>
        <v>5.1561380208191114E-3</v>
      </c>
      <c r="V386" s="3">
        <f t="shared" si="389"/>
        <v>6.8951230687171294E-5</v>
      </c>
      <c r="W386" s="3">
        <f t="shared" si="389"/>
        <v>1.2610052720620035E-23</v>
      </c>
      <c r="X386" s="3">
        <f t="shared" si="389"/>
        <v>5.2779552499515661E-211</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1.1282321504922463E-2</v>
      </c>
      <c r="C387" s="3">
        <f t="shared" si="390"/>
        <v>1.1282321504922463E-2</v>
      </c>
      <c r="D387" s="3">
        <f t="shared" si="390"/>
        <v>1.1282321504922463E-2</v>
      </c>
      <c r="E387" s="3">
        <f t="shared" si="390"/>
        <v>1.1282321504922463E-2</v>
      </c>
      <c r="F387" s="3">
        <f t="shared" si="390"/>
        <v>1.1282321504922461E-2</v>
      </c>
      <c r="G387" s="3">
        <f t="shared" si="390"/>
        <v>1.1282321504922447E-2</v>
      </c>
      <c r="H387" s="3">
        <f t="shared" si="390"/>
        <v>1.1282321504922314E-2</v>
      </c>
      <c r="I387" s="3">
        <f t="shared" si="390"/>
        <v>1.1282321504920968E-2</v>
      </c>
      <c r="J387" s="3">
        <f t="shared" si="390"/>
        <v>1.1282321504907504E-2</v>
      </c>
      <c r="K387" s="3">
        <f t="shared" si="390"/>
        <v>1.1282321504772872E-2</v>
      </c>
      <c r="L387" s="3">
        <f t="shared" si="390"/>
        <v>1.1282321503426559E-2</v>
      </c>
      <c r="M387" s="3">
        <f t="shared" si="390"/>
        <v>1.1282321489963424E-2</v>
      </c>
      <c r="N387" s="3">
        <f t="shared" si="390"/>
        <v>1.1282321355332074E-2</v>
      </c>
      <c r="O387" s="3">
        <f t="shared" si="390"/>
        <v>1.1282320009018664E-2</v>
      </c>
      <c r="P387" s="3">
        <f t="shared" si="390"/>
        <v>1.1282306545893404E-2</v>
      </c>
      <c r="Q387" s="3">
        <f t="shared" si="390"/>
        <v>1.1282171915524388E-2</v>
      </c>
      <c r="R387" s="3">
        <f t="shared" si="390"/>
        <v>1.1280825700190081E-2</v>
      </c>
      <c r="S387" s="3">
        <f t="shared" si="390"/>
        <v>1.1267372378532394E-2</v>
      </c>
      <c r="T387" s="3">
        <f t="shared" si="390"/>
        <v>1.1133718443550381E-2</v>
      </c>
      <c r="U387" s="3">
        <f t="shared" si="390"/>
        <v>9.8813458876354024E-3</v>
      </c>
      <c r="V387" s="3">
        <f t="shared" si="390"/>
        <v>2.9962274200091882E-3</v>
      </c>
      <c r="W387" s="3">
        <f t="shared" si="390"/>
        <v>1.9686182149185528E-8</v>
      </c>
      <c r="X387" s="3">
        <f t="shared" si="390"/>
        <v>2.9514045961220344E-60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4.0938385440077553E-3</v>
      </c>
      <c r="C388" s="3">
        <f t="shared" si="391"/>
        <v>4.0938385440077553E-3</v>
      </c>
      <c r="D388" s="3">
        <f t="shared" si="391"/>
        <v>4.0938385440077553E-3</v>
      </c>
      <c r="E388" s="3">
        <f t="shared" si="391"/>
        <v>4.0938385440077553E-3</v>
      </c>
      <c r="F388" s="3">
        <f t="shared" si="391"/>
        <v>4.0938385440077553E-3</v>
      </c>
      <c r="G388" s="3">
        <f t="shared" si="391"/>
        <v>4.0938385440077545E-3</v>
      </c>
      <c r="H388" s="3">
        <f t="shared" si="391"/>
        <v>4.0938385440077501E-3</v>
      </c>
      <c r="I388" s="3">
        <f t="shared" si="391"/>
        <v>4.0938385440077016E-3</v>
      </c>
      <c r="J388" s="3">
        <f t="shared" si="391"/>
        <v>4.0938385440072124E-3</v>
      </c>
      <c r="K388" s="3">
        <f t="shared" si="391"/>
        <v>4.0938385440023274E-3</v>
      </c>
      <c r="L388" s="3">
        <f t="shared" si="391"/>
        <v>4.0938385439534758E-3</v>
      </c>
      <c r="M388" s="3">
        <f t="shared" si="391"/>
        <v>4.0938385434649604E-3</v>
      </c>
      <c r="N388" s="3">
        <f t="shared" si="391"/>
        <v>4.0938385385798038E-3</v>
      </c>
      <c r="O388" s="3">
        <f t="shared" si="391"/>
        <v>4.0938384897282439E-3</v>
      </c>
      <c r="P388" s="3">
        <f t="shared" si="391"/>
        <v>4.093838001212673E-3</v>
      </c>
      <c r="Q388" s="3">
        <f t="shared" si="391"/>
        <v>4.0938331160601726E-3</v>
      </c>
      <c r="R388" s="3">
        <f t="shared" si="391"/>
        <v>4.0937842648557784E-3</v>
      </c>
      <c r="S388" s="3">
        <f t="shared" si="391"/>
        <v>4.0932957848721415E-3</v>
      </c>
      <c r="T388" s="3">
        <f t="shared" si="391"/>
        <v>4.0884141896505239E-3</v>
      </c>
      <c r="U388" s="3">
        <f t="shared" si="391"/>
        <v>4.0399172885163962E-3</v>
      </c>
      <c r="V388" s="3">
        <f t="shared" si="391"/>
        <v>3.5854885578136468E-3</v>
      </c>
      <c r="W388" s="3">
        <f t="shared" si="391"/>
        <v>1.0871939160123081E-3</v>
      </c>
      <c r="X388" s="3">
        <f t="shared" si="391"/>
        <v>7.1432152710353914E-9</v>
      </c>
      <c r="Y388" s="3">
        <f t="shared" si="391"/>
        <v>1.0709297629299444E-60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2.6841023020615128E-3</v>
      </c>
      <c r="C389" s="3">
        <f t="shared" si="392"/>
        <v>2.6841023020615128E-3</v>
      </c>
      <c r="D389" s="3">
        <f t="shared" si="392"/>
        <v>2.6841023020615128E-3</v>
      </c>
      <c r="E389" s="3">
        <f t="shared" si="392"/>
        <v>2.6841023020615128E-3</v>
      </c>
      <c r="F389" s="3">
        <f t="shared" si="392"/>
        <v>2.6841023020615128E-3</v>
      </c>
      <c r="G389" s="3">
        <f t="shared" si="392"/>
        <v>2.6841023020615128E-3</v>
      </c>
      <c r="H389" s="3">
        <f t="shared" si="392"/>
        <v>2.6841023020615124E-3</v>
      </c>
      <c r="I389" s="3">
        <f t="shared" si="392"/>
        <v>2.6841023020615093E-3</v>
      </c>
      <c r="J389" s="3">
        <f t="shared" si="392"/>
        <v>2.6841023020614772E-3</v>
      </c>
      <c r="K389" s="3">
        <f t="shared" si="392"/>
        <v>2.6841023020611572E-3</v>
      </c>
      <c r="L389" s="3">
        <f t="shared" si="392"/>
        <v>2.684102302057954E-3</v>
      </c>
      <c r="M389" s="3">
        <f t="shared" si="392"/>
        <v>2.6841023020259245E-3</v>
      </c>
      <c r="N389" s="3">
        <f t="shared" si="392"/>
        <v>2.6841023017056321E-3</v>
      </c>
      <c r="O389" s="3">
        <f t="shared" si="392"/>
        <v>2.6841022985027072E-3</v>
      </c>
      <c r="P389" s="3">
        <f t="shared" si="392"/>
        <v>2.6841022664734556E-3</v>
      </c>
      <c r="Q389" s="3">
        <f t="shared" si="392"/>
        <v>2.6841019461809586E-3</v>
      </c>
      <c r="R389" s="3">
        <f t="shared" si="392"/>
        <v>2.6840987432580946E-3</v>
      </c>
      <c r="S389" s="3">
        <f t="shared" si="392"/>
        <v>2.6840667142396658E-3</v>
      </c>
      <c r="T389" s="3">
        <f t="shared" si="392"/>
        <v>2.683746445075531E-3</v>
      </c>
      <c r="U389" s="3">
        <f t="shared" si="392"/>
        <v>2.6805458545218919E-3</v>
      </c>
      <c r="V389" s="3">
        <f t="shared" si="392"/>
        <v>2.6487491330396793E-3</v>
      </c>
      <c r="W389" s="3">
        <f t="shared" si="392"/>
        <v>2.3508054820895233E-3</v>
      </c>
      <c r="X389" s="3">
        <f t="shared" si="392"/>
        <v>7.1281259907703359E-4</v>
      </c>
      <c r="Y389" s="3">
        <f t="shared" si="392"/>
        <v>4.6834090663324233E-9</v>
      </c>
      <c r="Z389" s="3">
        <f t="shared" si="392"/>
        <v>7.02149098242749E-61</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2.382905414544393E-3</v>
      </c>
      <c r="C390" s="3">
        <f t="shared" si="393"/>
        <v>2.382905414544393E-3</v>
      </c>
      <c r="D390" s="3">
        <f t="shared" si="393"/>
        <v>2.382905414544393E-3</v>
      </c>
      <c r="E390" s="3">
        <f t="shared" si="393"/>
        <v>2.382905414544393E-3</v>
      </c>
      <c r="F390" s="3">
        <f t="shared" si="393"/>
        <v>2.382905414544393E-3</v>
      </c>
      <c r="G390" s="3">
        <f t="shared" si="393"/>
        <v>2.382905414544393E-3</v>
      </c>
      <c r="H390" s="3">
        <f t="shared" si="393"/>
        <v>2.382905414544393E-3</v>
      </c>
      <c r="I390" s="3">
        <f t="shared" si="393"/>
        <v>2.3829054145443926E-3</v>
      </c>
      <c r="J390" s="3">
        <f t="shared" si="393"/>
        <v>2.38290541454439E-3</v>
      </c>
      <c r="K390" s="3">
        <f t="shared" si="393"/>
        <v>2.3829054145443613E-3</v>
      </c>
      <c r="L390" s="3">
        <f t="shared" si="393"/>
        <v>2.3829054145440773E-3</v>
      </c>
      <c r="M390" s="3">
        <f t="shared" si="393"/>
        <v>2.3829054145412336E-3</v>
      </c>
      <c r="N390" s="3">
        <f t="shared" si="393"/>
        <v>2.3829054145127985E-3</v>
      </c>
      <c r="O390" s="3">
        <f t="shared" si="393"/>
        <v>2.3829054142284478E-3</v>
      </c>
      <c r="P390" s="3">
        <f t="shared" si="393"/>
        <v>2.382905411384939E-3</v>
      </c>
      <c r="Q390" s="3">
        <f t="shared" si="393"/>
        <v>2.382905382949854E-3</v>
      </c>
      <c r="R390" s="3">
        <f t="shared" si="393"/>
        <v>2.3829050985990216E-3</v>
      </c>
      <c r="S390" s="3">
        <f t="shared" si="393"/>
        <v>2.3829022550925618E-3</v>
      </c>
      <c r="T390" s="3">
        <f t="shared" si="393"/>
        <v>2.3828738202145844E-3</v>
      </c>
      <c r="U390" s="3">
        <f t="shared" si="393"/>
        <v>2.3825894900961898E-3</v>
      </c>
      <c r="V390" s="3">
        <f t="shared" si="393"/>
        <v>2.3797480542261233E-3</v>
      </c>
      <c r="W390" s="3">
        <f t="shared" si="393"/>
        <v>2.3515194059638973E-3</v>
      </c>
      <c r="X390" s="3">
        <f t="shared" si="393"/>
        <v>2.0870095403999209E-3</v>
      </c>
      <c r="Y390" s="3">
        <f t="shared" si="393"/>
        <v>6.3282424093580552E-4</v>
      </c>
      <c r="Z390" s="3">
        <f t="shared" si="393"/>
        <v>4.1578597112779011E-9</v>
      </c>
      <c r="AA390" s="3">
        <f t="shared" si="393"/>
        <v>6.2335734622896089E-61</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2.0583899392901187E-3</v>
      </c>
      <c r="C392" s="3">
        <f t="shared" si="395"/>
        <v>2.0583899392901187E-3</v>
      </c>
      <c r="D392" s="3">
        <f t="shared" si="395"/>
        <v>2.0583899392901187E-3</v>
      </c>
      <c r="E392" s="3">
        <f t="shared" si="395"/>
        <v>2.0583899392901187E-3</v>
      </c>
      <c r="F392" s="3">
        <f t="shared" si="395"/>
        <v>2.0583899392901187E-3</v>
      </c>
      <c r="G392" s="3">
        <f t="shared" si="395"/>
        <v>2.0583899392901187E-3</v>
      </c>
      <c r="H392" s="3">
        <f t="shared" si="395"/>
        <v>2.0583899392901187E-3</v>
      </c>
      <c r="I392" s="3">
        <f t="shared" si="395"/>
        <v>2.0583899392901187E-3</v>
      </c>
      <c r="J392" s="3">
        <f t="shared" si="395"/>
        <v>2.0583899392901187E-3</v>
      </c>
      <c r="K392" s="3">
        <f t="shared" si="395"/>
        <v>2.0583899392901182E-3</v>
      </c>
      <c r="L392" s="3">
        <f t="shared" si="395"/>
        <v>2.0583899392901161E-3</v>
      </c>
      <c r="M392" s="3">
        <f t="shared" si="395"/>
        <v>2.0583899392900913E-3</v>
      </c>
      <c r="N392" s="3">
        <f t="shared" si="395"/>
        <v>2.0583899392898459E-3</v>
      </c>
      <c r="O392" s="3">
        <f t="shared" si="395"/>
        <v>2.0583899392873895E-3</v>
      </c>
      <c r="P392" s="3">
        <f t="shared" si="395"/>
        <v>2.0583899392628267E-3</v>
      </c>
      <c r="Q392" s="3">
        <f t="shared" si="395"/>
        <v>2.0583899390172002E-3</v>
      </c>
      <c r="R392" s="3">
        <f t="shared" si="395"/>
        <v>2.0583899365609342E-3</v>
      </c>
      <c r="S392" s="3">
        <f t="shared" si="395"/>
        <v>2.0583899119982754E-3</v>
      </c>
      <c r="T392" s="3">
        <f t="shared" si="395"/>
        <v>2.0583896663717012E-3</v>
      </c>
      <c r="U392" s="3">
        <f t="shared" si="395"/>
        <v>2.0583872101075738E-3</v>
      </c>
      <c r="V392" s="3">
        <f t="shared" si="395"/>
        <v>2.0583626476275039E-3</v>
      </c>
      <c r="W392" s="3">
        <f t="shared" si="395"/>
        <v>2.0581170389467867E-3</v>
      </c>
      <c r="X392" s="3">
        <f t="shared" si="395"/>
        <v>2.0556625634261115E-3</v>
      </c>
      <c r="Y392" s="3">
        <f t="shared" si="395"/>
        <v>2.0312782277206029E-3</v>
      </c>
      <c r="Z392" s="3">
        <f t="shared" si="395"/>
        <v>1.8027905828494899E-3</v>
      </c>
      <c r="AA392" s="3">
        <f t="shared" si="395"/>
        <v>5.4664320410309801E-4</v>
      </c>
      <c r="AB392" s="3">
        <f t="shared" si="395"/>
        <v>3.5916224565340196E-9</v>
      </c>
      <c r="AC392" s="3">
        <f t="shared" si="395"/>
        <v>5.3846555647094753E-61</v>
      </c>
      <c r="AD392" s="3">
        <f t="shared" si="395"/>
        <v>0</v>
      </c>
      <c r="AE392" s="3">
        <f t="shared" si="395"/>
        <v>0</v>
      </c>
      <c r="AF392" s="3">
        <f t="shared" si="395"/>
        <v>0</v>
      </c>
      <c r="AG392" s="3"/>
      <c r="AH392" s="3"/>
    </row>
    <row r="393" spans="1:34" x14ac:dyDescent="0.25">
      <c r="B393" s="3">
        <f t="shared" ref="B393:AF393" si="396">$C45*EXP(-B$363/$A45/EXP(-$H$126))</f>
        <v>1.1459023430358541E-3</v>
      </c>
      <c r="C393" s="3">
        <f t="shared" si="396"/>
        <v>1.1459023430358541E-3</v>
      </c>
      <c r="D393" s="3">
        <f t="shared" si="396"/>
        <v>1.1459023430358541E-3</v>
      </c>
      <c r="E393" s="3">
        <f t="shared" si="396"/>
        <v>1.1459023430358541E-3</v>
      </c>
      <c r="F393" s="3">
        <f t="shared" si="396"/>
        <v>1.1459023430358541E-3</v>
      </c>
      <c r="G393" s="3">
        <f t="shared" si="396"/>
        <v>1.1459023430358541E-3</v>
      </c>
      <c r="H393" s="3">
        <f t="shared" si="396"/>
        <v>1.1459023430358541E-3</v>
      </c>
      <c r="I393" s="3">
        <f t="shared" si="396"/>
        <v>1.1459023430358541E-3</v>
      </c>
      <c r="J393" s="3">
        <f t="shared" si="396"/>
        <v>1.1459023430358541E-3</v>
      </c>
      <c r="K393" s="3">
        <f t="shared" si="396"/>
        <v>1.1459023430358541E-3</v>
      </c>
      <c r="L393" s="3">
        <f t="shared" si="396"/>
        <v>1.1459023430358539E-3</v>
      </c>
      <c r="M393" s="3">
        <f t="shared" si="396"/>
        <v>1.1459023430358526E-3</v>
      </c>
      <c r="N393" s="3">
        <f t="shared" si="396"/>
        <v>1.145902343035839E-3</v>
      </c>
      <c r="O393" s="3">
        <f t="shared" si="396"/>
        <v>1.1459023430357021E-3</v>
      </c>
      <c r="P393" s="3">
        <f t="shared" si="396"/>
        <v>1.145902343034335E-3</v>
      </c>
      <c r="Q393" s="3">
        <f t="shared" si="396"/>
        <v>1.1459023430206608E-3</v>
      </c>
      <c r="R393" s="3">
        <f t="shared" si="396"/>
        <v>1.145902342883921E-3</v>
      </c>
      <c r="S393" s="3">
        <f t="shared" si="396"/>
        <v>1.1459023415165215E-3</v>
      </c>
      <c r="T393" s="3">
        <f t="shared" si="396"/>
        <v>1.1459023278425292E-3</v>
      </c>
      <c r="U393" s="3">
        <f t="shared" si="396"/>
        <v>1.1459021911026136E-3</v>
      </c>
      <c r="V393" s="3">
        <f t="shared" si="396"/>
        <v>1.1459008237043548E-3</v>
      </c>
      <c r="W393" s="3">
        <f t="shared" si="396"/>
        <v>1.1458871498115099E-3</v>
      </c>
      <c r="X393" s="3">
        <f t="shared" si="396"/>
        <v>1.1457504198570286E-3</v>
      </c>
      <c r="Y393" s="3">
        <f t="shared" si="396"/>
        <v>1.1443840173127975E-3</v>
      </c>
      <c r="Z393" s="3">
        <f t="shared" si="396"/>
        <v>1.1308092971468256E-3</v>
      </c>
      <c r="AA393" s="3">
        <f t="shared" si="396"/>
        <v>1.0036105955719195E-3</v>
      </c>
      <c r="AB393" s="3">
        <f t="shared" si="396"/>
        <v>3.0431538574386663E-4</v>
      </c>
      <c r="AC393" s="3">
        <f t="shared" si="396"/>
        <v>1.9994504003754973E-9</v>
      </c>
      <c r="AD393" s="3">
        <f t="shared" si="396"/>
        <v>2.9976290256109583E-61</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1.4642888439612509E-3</v>
      </c>
      <c r="C396" s="3">
        <f t="shared" si="399"/>
        <v>1.4642888439612509E-3</v>
      </c>
      <c r="D396" s="3">
        <f t="shared" si="399"/>
        <v>1.4642888439612509E-3</v>
      </c>
      <c r="E396" s="3">
        <f t="shared" si="399"/>
        <v>1.4642888439612509E-3</v>
      </c>
      <c r="F396" s="3">
        <f t="shared" si="399"/>
        <v>1.4642888439612509E-3</v>
      </c>
      <c r="G396" s="3">
        <f t="shared" si="399"/>
        <v>1.4642888439612509E-3</v>
      </c>
      <c r="H396" s="3">
        <f t="shared" si="399"/>
        <v>1.4642888439612509E-3</v>
      </c>
      <c r="I396" s="3">
        <f t="shared" si="399"/>
        <v>1.4642888439612509E-3</v>
      </c>
      <c r="J396" s="3">
        <f t="shared" si="399"/>
        <v>1.4642888439612509E-3</v>
      </c>
      <c r="K396" s="3">
        <f t="shared" si="399"/>
        <v>1.4642888439612509E-3</v>
      </c>
      <c r="L396" s="3">
        <f t="shared" si="399"/>
        <v>1.4642888439612509E-3</v>
      </c>
      <c r="M396" s="3">
        <f t="shared" si="399"/>
        <v>1.4642888439612509E-3</v>
      </c>
      <c r="N396" s="3">
        <f t="shared" si="399"/>
        <v>1.4642888439612509E-3</v>
      </c>
      <c r="O396" s="3">
        <f t="shared" si="399"/>
        <v>1.4642888439612507E-3</v>
      </c>
      <c r="P396" s="3">
        <f t="shared" si="399"/>
        <v>1.464288843961249E-3</v>
      </c>
      <c r="Q396" s="3">
        <f t="shared" si="399"/>
        <v>1.4642888439612316E-3</v>
      </c>
      <c r="R396" s="3">
        <f t="shared" si="399"/>
        <v>1.4642888439610569E-3</v>
      </c>
      <c r="S396" s="3">
        <f t="shared" si="399"/>
        <v>1.4642888439593096E-3</v>
      </c>
      <c r="T396" s="3">
        <f t="shared" si="399"/>
        <v>1.4642888439418361E-3</v>
      </c>
      <c r="U396" s="3">
        <f t="shared" si="399"/>
        <v>1.4642888437671035E-3</v>
      </c>
      <c r="V396" s="3">
        <f t="shared" si="399"/>
        <v>1.4642888420197751E-3</v>
      </c>
      <c r="W396" s="3">
        <f t="shared" si="399"/>
        <v>1.4642888245464934E-3</v>
      </c>
      <c r="X396" s="3">
        <f t="shared" si="399"/>
        <v>1.4642886498136864E-3</v>
      </c>
      <c r="Y396" s="3">
        <f t="shared" si="399"/>
        <v>1.4642869024867628E-3</v>
      </c>
      <c r="Z396" s="3">
        <f t="shared" si="399"/>
        <v>1.4642694293322068E-3</v>
      </c>
      <c r="AA396" s="3">
        <f t="shared" si="399"/>
        <v>1.4640947092540088E-3</v>
      </c>
      <c r="AB396" s="3">
        <f t="shared" si="399"/>
        <v>1.4623486547022944E-3</v>
      </c>
      <c r="AC396" s="3">
        <f t="shared" si="399"/>
        <v>1.4450022277404057E-3</v>
      </c>
      <c r="AD396" s="3">
        <f t="shared" si="399"/>
        <v>1.2824616405652006E-3</v>
      </c>
      <c r="AE396" s="3">
        <f t="shared" si="399"/>
        <v>3.8886876102370098E-4</v>
      </c>
      <c r="AF396" s="3">
        <f t="shared" si="399"/>
        <v>2.5549933928637494E-9</v>
      </c>
      <c r="AG396" s="3"/>
      <c r="AH396" s="3"/>
    </row>
    <row r="397" spans="1:34" x14ac:dyDescent="0.25">
      <c r="A397" s="79">
        <f>AVERAGE(B397:AF397)</f>
        <v>2.8490376614247519E-2</v>
      </c>
      <c r="B397" s="80">
        <f>IF($A$64&lt;=B363,IF($B$64&gt;=B363,ABS((B365-B364)/B364),0),0)</f>
        <v>1.1045290771918983E-2</v>
      </c>
      <c r="C397" s="80">
        <f t="shared" ref="C397:AF397" si="400">IF($A$64&lt;=C363,IF($B$64&gt;=C363,ABS((C365-C364)/C364),0),0)</f>
        <v>2.3430500480342127E-2</v>
      </c>
      <c r="D397" s="80">
        <f t="shared" si="400"/>
        <v>2.6698382555090619E-2</v>
      </c>
      <c r="E397" s="80">
        <f t="shared" si="400"/>
        <v>2.9232423102092075E-2</v>
      </c>
      <c r="F397" s="80">
        <f t="shared" si="400"/>
        <v>2.8110061721597669E-2</v>
      </c>
      <c r="G397" s="80">
        <f t="shared" si="400"/>
        <v>2.4548805618315038E-2</v>
      </c>
      <c r="H397" s="80">
        <f t="shared" si="400"/>
        <v>2.653540919564892E-2</v>
      </c>
      <c r="I397" s="80">
        <f t="shared" si="400"/>
        <v>2.5741456357561674E-2</v>
      </c>
      <c r="J397" s="80">
        <f t="shared" si="400"/>
        <v>2.8025391887347217E-2</v>
      </c>
      <c r="K397" s="80">
        <f t="shared" si="400"/>
        <v>2.6709560139274807E-2</v>
      </c>
      <c r="L397" s="80">
        <f t="shared" si="400"/>
        <v>3.4448120957256433E-2</v>
      </c>
      <c r="M397" s="80">
        <f t="shared" si="400"/>
        <v>3.4233614937337474E-2</v>
      </c>
      <c r="N397" s="80">
        <f t="shared" si="400"/>
        <v>3.9849259962045969E-2</v>
      </c>
      <c r="O397" s="80">
        <f t="shared" si="400"/>
        <v>1.2446903843629193E-2</v>
      </c>
      <c r="P397" s="80">
        <f t="shared" si="400"/>
        <v>6.5210126425910925E-2</v>
      </c>
      <c r="Q397" s="80">
        <f t="shared" si="400"/>
        <v>0.1208677808429415</v>
      </c>
      <c r="R397" s="80">
        <f t="shared" si="400"/>
        <v>9.4628412536227682E-2</v>
      </c>
      <c r="S397" s="80">
        <f t="shared" si="400"/>
        <v>5.4913919632310446E-2</v>
      </c>
      <c r="T397" s="80">
        <f t="shared" si="400"/>
        <v>1.0261217578320577E-2</v>
      </c>
      <c r="U397" s="80">
        <f t="shared" si="400"/>
        <v>1.250808252457976E-2</v>
      </c>
      <c r="V397" s="80">
        <f t="shared" si="400"/>
        <v>1.7987405220779379E-2</v>
      </c>
      <c r="W397" s="80">
        <f t="shared" si="400"/>
        <v>2.1804073535666008E-2</v>
      </c>
      <c r="X397" s="80">
        <f t="shared" si="400"/>
        <v>5.1777572746537102E-3</v>
      </c>
      <c r="Y397" s="80">
        <f t="shared" si="400"/>
        <v>1.068339040082472E-2</v>
      </c>
      <c r="Z397" s="80">
        <f t="shared" si="400"/>
        <v>9.6148372735558555E-4</v>
      </c>
      <c r="AA397" s="80">
        <f t="shared" si="400"/>
        <v>1.6584766147377764E-2</v>
      </c>
      <c r="AB397" s="80">
        <f t="shared" si="400"/>
        <v>4.4943316846809602E-3</v>
      </c>
      <c r="AC397" s="80">
        <f t="shared" si="400"/>
        <v>1.0791886457151199E-3</v>
      </c>
      <c r="AD397" s="80">
        <f t="shared" si="400"/>
        <v>5.6254138992201342E-3</v>
      </c>
      <c r="AE397" s="80">
        <f t="shared" si="400"/>
        <v>2.9834282251027931E-2</v>
      </c>
      <c r="AF397" s="80">
        <f t="shared" si="400"/>
        <v>3.9524861184622929E-2</v>
      </c>
    </row>
    <row r="398" spans="1:34" x14ac:dyDescent="0.25">
      <c r="B398" s="21">
        <f>(B365-B364)^2</f>
        <v>9969.6151222178105</v>
      </c>
      <c r="C398" s="21">
        <f t="shared" ref="C398:AF398" si="401">(C365-C364)^2</f>
        <v>41774.217083463445</v>
      </c>
      <c r="D398" s="21">
        <f t="shared" si="401"/>
        <v>50444.518271146721</v>
      </c>
      <c r="E398" s="21">
        <f t="shared" si="401"/>
        <v>55571.762161608138</v>
      </c>
      <c r="F398" s="21">
        <f t="shared" si="401"/>
        <v>47196.568854438243</v>
      </c>
      <c r="G398" s="21">
        <f t="shared" si="401"/>
        <v>33527.966577623949</v>
      </c>
      <c r="H398" s="21">
        <f t="shared" si="401"/>
        <v>36364.568358416043</v>
      </c>
      <c r="I398" s="21">
        <f t="shared" si="401"/>
        <v>31761.495151154922</v>
      </c>
      <c r="J398" s="21">
        <f t="shared" si="401"/>
        <v>34656.30067918916</v>
      </c>
      <c r="K398" s="21">
        <f t="shared" si="401"/>
        <v>29049.893322568605</v>
      </c>
      <c r="L398" s="21">
        <f t="shared" si="401"/>
        <v>43413.613555624273</v>
      </c>
      <c r="M398" s="21">
        <f t="shared" si="401"/>
        <v>38030.288332998665</v>
      </c>
      <c r="N398" s="21">
        <f t="shared" si="401"/>
        <v>44337.561922526533</v>
      </c>
      <c r="O398" s="21">
        <f t="shared" si="401"/>
        <v>3581.9946039891533</v>
      </c>
      <c r="P398" s="21">
        <f t="shared" si="401"/>
        <v>74319.281896424945</v>
      </c>
      <c r="Q398" s="21">
        <f t="shared" si="401"/>
        <v>157648.90310790885</v>
      </c>
      <c r="R398" s="21">
        <f t="shared" si="401"/>
        <v>45142.972953989709</v>
      </c>
      <c r="S398" s="21">
        <f t="shared" si="401"/>
        <v>6384.3058041665836</v>
      </c>
      <c r="T398" s="21">
        <f t="shared" si="401"/>
        <v>92.987840473432982</v>
      </c>
      <c r="U398" s="21">
        <f t="shared" si="401"/>
        <v>69.742164640126276</v>
      </c>
      <c r="V398" s="21">
        <f t="shared" si="401"/>
        <v>89.0880905139406</v>
      </c>
      <c r="W398" s="21">
        <f t="shared" si="401"/>
        <v>99.772154300418265</v>
      </c>
      <c r="X398" s="21">
        <f t="shared" si="401"/>
        <v>4.6426858981109556</v>
      </c>
      <c r="Y398" s="21">
        <f t="shared" si="401"/>
        <v>17.644058966756816</v>
      </c>
      <c r="Z398" s="21">
        <f t="shared" si="401"/>
        <v>0.13304428980555308</v>
      </c>
      <c r="AA398" s="21">
        <f t="shared" si="401"/>
        <v>35.113050513374773</v>
      </c>
      <c r="AB398" s="21">
        <f t="shared" si="401"/>
        <v>2.4823551254050877</v>
      </c>
      <c r="AC398" s="21">
        <f t="shared" si="401"/>
        <v>0.13917911797767726</v>
      </c>
      <c r="AD398" s="21">
        <f t="shared" si="401"/>
        <v>3.775500857386358</v>
      </c>
      <c r="AE398" s="21">
        <f t="shared" si="401"/>
        <v>105.03637177404751</v>
      </c>
      <c r="AF398" s="21">
        <f t="shared" si="401"/>
        <v>183.11823553498627</v>
      </c>
      <c r="AG398" s="3"/>
      <c r="AH398" s="3"/>
    </row>
    <row r="399" spans="1:34" x14ac:dyDescent="0.25">
      <c r="A399" s="71">
        <f>SUM(B399:AF399)</f>
        <v>783879.50249146135</v>
      </c>
      <c r="B399" s="60">
        <f>IF($A$64&lt;=B363,IF($B$64&gt;=B363,ABS(B398),0),0)</f>
        <v>9969.6151222178105</v>
      </c>
      <c r="C399" s="60">
        <f t="shared" ref="C399" si="402">IF($A$64&lt;=C363,IF($B$64&gt;=C363,ABS(C398),0),0)</f>
        <v>41774.217083463445</v>
      </c>
      <c r="D399" s="60">
        <f t="shared" ref="D399" si="403">IF($A$64&lt;=D363,IF($B$64&gt;=D363,ABS(D398),0),0)</f>
        <v>50444.518271146721</v>
      </c>
      <c r="E399" s="60">
        <f t="shared" ref="E399" si="404">IF($A$64&lt;=E363,IF($B$64&gt;=E363,ABS(E398),0),0)</f>
        <v>55571.762161608138</v>
      </c>
      <c r="F399" s="60">
        <f t="shared" ref="F399" si="405">IF($A$64&lt;=F363,IF($B$64&gt;=F363,ABS(F398),0),0)</f>
        <v>47196.568854438243</v>
      </c>
      <c r="G399" s="60">
        <f t="shared" ref="G399" si="406">IF($A$64&lt;=G363,IF($B$64&gt;=G363,ABS(G398),0),0)</f>
        <v>33527.966577623949</v>
      </c>
      <c r="H399" s="60">
        <f t="shared" ref="H399" si="407">IF($A$64&lt;=H363,IF($B$64&gt;=H363,ABS(H398),0),0)</f>
        <v>36364.568358416043</v>
      </c>
      <c r="I399" s="60">
        <f t="shared" ref="I399" si="408">IF($A$64&lt;=I363,IF($B$64&gt;=I363,ABS(I398),0),0)</f>
        <v>31761.495151154922</v>
      </c>
      <c r="J399" s="60">
        <f t="shared" ref="J399" si="409">IF($A$64&lt;=J363,IF($B$64&gt;=J363,ABS(J398),0),0)</f>
        <v>34656.30067918916</v>
      </c>
      <c r="K399" s="60">
        <f t="shared" ref="K399" si="410">IF($A$64&lt;=K363,IF($B$64&gt;=K363,ABS(K398),0),0)</f>
        <v>29049.893322568605</v>
      </c>
      <c r="L399" s="60">
        <f t="shared" ref="L399" si="411">IF($A$64&lt;=L363,IF($B$64&gt;=L363,ABS(L398),0),0)</f>
        <v>43413.613555624273</v>
      </c>
      <c r="M399" s="60">
        <f t="shared" ref="M399" si="412">IF($A$64&lt;=M363,IF($B$64&gt;=M363,ABS(M398),0),0)</f>
        <v>38030.288332998665</v>
      </c>
      <c r="N399" s="60">
        <f t="shared" ref="N399" si="413">IF($A$64&lt;=N363,IF($B$64&gt;=N363,ABS(N398),0),0)</f>
        <v>44337.561922526533</v>
      </c>
      <c r="O399" s="60">
        <f t="shared" ref="O399" si="414">IF($A$64&lt;=O363,IF($B$64&gt;=O363,ABS(O398),0),0)</f>
        <v>3581.9946039891533</v>
      </c>
      <c r="P399" s="60">
        <f t="shared" ref="P399" si="415">IF($A$64&lt;=P363,IF($B$64&gt;=P363,ABS(P398),0),0)</f>
        <v>74319.281896424945</v>
      </c>
      <c r="Q399" s="60">
        <f t="shared" ref="Q399" si="416">IF($A$64&lt;=Q363,IF($B$64&gt;=Q363,ABS(Q398),0),0)</f>
        <v>157648.90310790885</v>
      </c>
      <c r="R399" s="60">
        <f t="shared" ref="R399" si="417">IF($A$64&lt;=R363,IF($B$64&gt;=R363,ABS(R398),0),0)</f>
        <v>45142.972953989709</v>
      </c>
      <c r="S399" s="60">
        <f t="shared" ref="S399" si="418">IF($A$64&lt;=S363,IF($B$64&gt;=S363,ABS(S398),0),0)</f>
        <v>6384.3058041665836</v>
      </c>
      <c r="T399" s="60">
        <f t="shared" ref="T399" si="419">IF($A$64&lt;=T363,IF($B$64&gt;=T363,ABS(T398),0),0)</f>
        <v>92.987840473432982</v>
      </c>
      <c r="U399" s="60">
        <f t="shared" ref="U399" si="420">IF($A$64&lt;=U363,IF($B$64&gt;=U363,ABS(U398),0),0)</f>
        <v>69.742164640126276</v>
      </c>
      <c r="V399" s="60">
        <f t="shared" ref="V399" si="421">IF($A$64&lt;=V363,IF($B$64&gt;=V363,ABS(V398),0),0)</f>
        <v>89.0880905139406</v>
      </c>
      <c r="W399" s="60">
        <f t="shared" ref="W399" si="422">IF($A$64&lt;=W363,IF($B$64&gt;=W363,ABS(W398),0),0)</f>
        <v>99.772154300418265</v>
      </c>
      <c r="X399" s="60">
        <f t="shared" ref="X399" si="423">IF($A$64&lt;=X363,IF($B$64&gt;=X363,ABS(X398),0),0)</f>
        <v>4.6426858981109556</v>
      </c>
      <c r="Y399" s="60">
        <f t="shared" ref="Y399" si="424">IF($A$64&lt;=Y363,IF($B$64&gt;=Y363,ABS(Y398),0),0)</f>
        <v>17.644058966756816</v>
      </c>
      <c r="Z399" s="60">
        <f t="shared" ref="Z399" si="425">IF($A$64&lt;=Z363,IF($B$64&gt;=Z363,ABS(Z398),0),0)</f>
        <v>0.13304428980555308</v>
      </c>
      <c r="AA399" s="60">
        <f t="shared" ref="AA399" si="426">IF($A$64&lt;=AA363,IF($B$64&gt;=AA363,ABS(AA398),0),0)</f>
        <v>35.113050513374773</v>
      </c>
      <c r="AB399" s="60">
        <f t="shared" ref="AB399" si="427">IF($A$64&lt;=AB363,IF($B$64&gt;=AB363,ABS(AB398),0),0)</f>
        <v>2.4823551254050877</v>
      </c>
      <c r="AC399" s="60">
        <f t="shared" ref="AC399" si="428">IF($A$64&lt;=AC363,IF($B$64&gt;=AC363,ABS(AC398),0),0)</f>
        <v>0.13917911797767726</v>
      </c>
      <c r="AD399" s="60">
        <f t="shared" ref="AD399" si="429">IF($A$64&lt;=AD363,IF($B$64&gt;=AD363,ABS(AD398),0),0)</f>
        <v>3.775500857386358</v>
      </c>
      <c r="AE399" s="60">
        <f t="shared" ref="AE399" si="430">IF($A$64&lt;=AE363,IF($B$64&gt;=AE363,ABS(AE398),0),0)</f>
        <v>105.03637177404751</v>
      </c>
      <c r="AF399" s="60">
        <f t="shared" ref="AF399" si="431">IF($A$64&lt;=AF363,IF($B$64&gt;=AF363,ABS(AF398),0),0)</f>
        <v>183.11823553498627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-16.55297231699258</v>
      </c>
      <c r="C403" s="107">
        <f t="shared" ref="C403:H403" si="432">IF(C125=$B$2,0,C126)</f>
        <v>-12.671216990221245</v>
      </c>
      <c r="D403" s="107">
        <f t="shared" si="432"/>
        <v>-9.9653689540248553</v>
      </c>
      <c r="E403" s="107">
        <f t="shared" si="432"/>
        <v>-7.6847085672859414</v>
      </c>
      <c r="F403" s="107">
        <f t="shared" si="432"/>
        <v>-5.1032897833215509</v>
      </c>
      <c r="G403" s="107">
        <f t="shared" si="432"/>
        <v>0</v>
      </c>
      <c r="H403" s="107">
        <f t="shared" si="432"/>
        <v>4.8872488848841122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6.4734450171936876E-23</v>
      </c>
      <c r="C404" s="3">
        <f t="shared" ref="C404:H419" si="433">$A404/EXP(-C$403)</f>
        <v>3.1402222188266824E-21</v>
      </c>
      <c r="D404" s="3">
        <f t="shared" si="433"/>
        <v>4.6999718105625303E-20</v>
      </c>
      <c r="E404" s="3">
        <f t="shared" si="433"/>
        <v>4.5980477198974853E-19</v>
      </c>
      <c r="F404" s="3">
        <f t="shared" si="433"/>
        <v>6.0767225457512562E-18</v>
      </c>
      <c r="G404" s="3">
        <f t="shared" si="433"/>
        <v>1.0000000000000001E-15</v>
      </c>
      <c r="H404" s="3">
        <f t="shared" si="433"/>
        <v>1.3258830614141467E-13</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6.4734450171936871E-22</v>
      </c>
      <c r="C405" s="3">
        <f t="shared" si="433"/>
        <v>3.140222218826682E-20</v>
      </c>
      <c r="D405" s="3">
        <f t="shared" si="433"/>
        <v>4.6999718105625299E-19</v>
      </c>
      <c r="E405" s="3">
        <f t="shared" si="433"/>
        <v>4.5980477198974845E-18</v>
      </c>
      <c r="F405" s="3">
        <f t="shared" si="433"/>
        <v>6.0767225457512559E-17</v>
      </c>
      <c r="G405" s="3">
        <f t="shared" si="433"/>
        <v>1E-14</v>
      </c>
      <c r="H405" s="3">
        <f t="shared" si="433"/>
        <v>1.3258830614141467E-12</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6.4734450171936871E-21</v>
      </c>
      <c r="C406" s="3">
        <f t="shared" si="433"/>
        <v>3.1402222188266821E-19</v>
      </c>
      <c r="D406" s="3">
        <f t="shared" si="433"/>
        <v>4.6999718105625303E-18</v>
      </c>
      <c r="E406" s="3">
        <f t="shared" si="433"/>
        <v>4.5980477198974848E-17</v>
      </c>
      <c r="F406" s="3">
        <f t="shared" si="433"/>
        <v>6.0767225457512559E-16</v>
      </c>
      <c r="G406" s="3">
        <f t="shared" si="433"/>
        <v>1E-13</v>
      </c>
      <c r="H406" s="3">
        <f t="shared" si="433"/>
        <v>1.3258830614141468E-11</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6.4734450171936867E-20</v>
      </c>
      <c r="C407" s="3">
        <f t="shared" si="433"/>
        <v>3.1402222188266818E-18</v>
      </c>
      <c r="D407" s="3">
        <f t="shared" si="433"/>
        <v>4.69997181056253E-17</v>
      </c>
      <c r="E407" s="3">
        <f t="shared" si="433"/>
        <v>4.5980477198974842E-16</v>
      </c>
      <c r="F407" s="3">
        <f t="shared" si="433"/>
        <v>6.0767225457512561E-15</v>
      </c>
      <c r="G407" s="3">
        <f t="shared" si="433"/>
        <v>9.9999999999999998E-13</v>
      </c>
      <c r="H407" s="3">
        <f t="shared" si="433"/>
        <v>1.3258830614141466E-10</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6.4734450171936862E-19</v>
      </c>
      <c r="C408" s="3">
        <f t="shared" si="433"/>
        <v>3.1402222188266819E-17</v>
      </c>
      <c r="D408" s="3">
        <f t="shared" si="433"/>
        <v>4.6999718105625296E-16</v>
      </c>
      <c r="E408" s="3">
        <f t="shared" si="433"/>
        <v>4.5980477198974846E-15</v>
      </c>
      <c r="F408" s="3">
        <f t="shared" si="433"/>
        <v>6.0767225457512558E-14</v>
      </c>
      <c r="G408" s="3">
        <f t="shared" si="433"/>
        <v>9.9999999999999994E-12</v>
      </c>
      <c r="H408" s="3">
        <f t="shared" si="433"/>
        <v>1.3258830614141467E-9</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6.4734450171936873E-18</v>
      </c>
      <c r="C409" s="3">
        <f t="shared" si="433"/>
        <v>3.1402222188266824E-16</v>
      </c>
      <c r="D409" s="3">
        <f t="shared" si="433"/>
        <v>4.6999718105625306E-15</v>
      </c>
      <c r="E409" s="3">
        <f t="shared" si="433"/>
        <v>4.5980477198974846E-14</v>
      </c>
      <c r="F409" s="3">
        <f t="shared" si="433"/>
        <v>6.0767225457512563E-13</v>
      </c>
      <c r="G409" s="3">
        <f t="shared" si="433"/>
        <v>1E-10</v>
      </c>
      <c r="H409" s="3">
        <f t="shared" si="433"/>
        <v>1.3258830614141467E-8</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6.4734450171936875E-17</v>
      </c>
      <c r="C410" s="3">
        <f t="shared" si="433"/>
        <v>3.1402222188266822E-15</v>
      </c>
      <c r="D410" s="3">
        <f t="shared" si="433"/>
        <v>4.6999718105625303E-14</v>
      </c>
      <c r="E410" s="3">
        <f t="shared" si="433"/>
        <v>4.5980477198974844E-13</v>
      </c>
      <c r="F410" s="3">
        <f t="shared" si="433"/>
        <v>6.0767225457512561E-12</v>
      </c>
      <c r="G410" s="3">
        <f t="shared" si="433"/>
        <v>1.0000000000000001E-9</v>
      </c>
      <c r="H410" s="3">
        <f t="shared" si="433"/>
        <v>1.3258830614141469E-7</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6.4734450171936875E-16</v>
      </c>
      <c r="C411" s="3">
        <f t="shared" si="433"/>
        <v>3.1402222188266819E-14</v>
      </c>
      <c r="D411" s="3">
        <f t="shared" si="433"/>
        <v>4.6999718105625304E-13</v>
      </c>
      <c r="E411" s="3">
        <f t="shared" si="433"/>
        <v>4.5980477198974844E-12</v>
      </c>
      <c r="F411" s="3">
        <f t="shared" si="433"/>
        <v>6.0767225457512558E-11</v>
      </c>
      <c r="G411" s="3">
        <f t="shared" si="433"/>
        <v>1E-8</v>
      </c>
      <c r="H411" s="3">
        <f t="shared" si="433"/>
        <v>1.3258830614141468E-6</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6.4734450171936869E-15</v>
      </c>
      <c r="C412" s="3">
        <f t="shared" si="433"/>
        <v>3.1402222188266821E-13</v>
      </c>
      <c r="D412" s="3">
        <f t="shared" si="433"/>
        <v>4.6999718105625298E-12</v>
      </c>
      <c r="E412" s="3">
        <f t="shared" si="433"/>
        <v>4.5980477198974842E-11</v>
      </c>
      <c r="F412" s="3">
        <f t="shared" si="433"/>
        <v>6.0767225457512555E-10</v>
      </c>
      <c r="G412" s="3">
        <f t="shared" si="433"/>
        <v>9.9999999999999995E-8</v>
      </c>
      <c r="H412" s="3">
        <f t="shared" si="433"/>
        <v>1.3258830614141467E-5</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6.4734450171936866E-14</v>
      </c>
      <c r="C413" s="3">
        <f t="shared" si="433"/>
        <v>3.1402222188266818E-12</v>
      </c>
      <c r="D413" s="3">
        <f t="shared" si="433"/>
        <v>4.6999718105625301E-11</v>
      </c>
      <c r="E413" s="3">
        <f t="shared" si="433"/>
        <v>4.5980477198974843E-10</v>
      </c>
      <c r="F413" s="3">
        <f t="shared" si="433"/>
        <v>6.0767225457512559E-9</v>
      </c>
      <c r="G413" s="3">
        <f t="shared" si="433"/>
        <v>9.9999999999999995E-7</v>
      </c>
      <c r="H413" s="3">
        <f t="shared" si="433"/>
        <v>1.3258830614141465E-4</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6.4734450171936873E-13</v>
      </c>
      <c r="C414" s="3">
        <f t="shared" si="433"/>
        <v>3.1402222188266824E-11</v>
      </c>
      <c r="D414" s="3">
        <f t="shared" si="433"/>
        <v>4.6999718105625306E-10</v>
      </c>
      <c r="E414" s="3">
        <f t="shared" si="433"/>
        <v>4.5980477198974851E-9</v>
      </c>
      <c r="F414" s="3">
        <f t="shared" si="433"/>
        <v>6.0767225457512564E-8</v>
      </c>
      <c r="G414" s="3">
        <f t="shared" si="433"/>
        <v>1.0000000000000001E-5</v>
      </c>
      <c r="H414" s="3">
        <f t="shared" si="433"/>
        <v>1.3258830614141469E-3</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6.4734450171936869E-12</v>
      </c>
      <c r="C415" s="3">
        <f t="shared" si="433"/>
        <v>3.1402222188266823E-10</v>
      </c>
      <c r="D415" s="3">
        <f t="shared" si="433"/>
        <v>4.6999718105625306E-9</v>
      </c>
      <c r="E415" s="3">
        <f t="shared" si="433"/>
        <v>4.5980477198974851E-8</v>
      </c>
      <c r="F415" s="3">
        <f t="shared" si="433"/>
        <v>6.0767225457512559E-7</v>
      </c>
      <c r="G415" s="3">
        <f t="shared" si="433"/>
        <v>1E-4</v>
      </c>
      <c r="H415" s="3">
        <f t="shared" si="433"/>
        <v>1.3258830614141468E-2</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6.4734450171936873E-11</v>
      </c>
      <c r="C416" s="3">
        <f t="shared" si="433"/>
        <v>3.140222218826682E-9</v>
      </c>
      <c r="D416" s="3">
        <f t="shared" si="433"/>
        <v>4.69997181056253E-8</v>
      </c>
      <c r="E416" s="3">
        <f t="shared" si="433"/>
        <v>4.5980477198974844E-7</v>
      </c>
      <c r="F416" s="3">
        <f t="shared" si="433"/>
        <v>6.0767225457512561E-6</v>
      </c>
      <c r="G416" s="3">
        <f t="shared" si="433"/>
        <v>1E-3</v>
      </c>
      <c r="H416" s="3">
        <f t="shared" si="433"/>
        <v>0.13258830614141467</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6.4734450171936867E-10</v>
      </c>
      <c r="C417" s="3">
        <f t="shared" si="433"/>
        <v>3.140222218826682E-8</v>
      </c>
      <c r="D417" s="3">
        <f t="shared" si="433"/>
        <v>4.6999718105625304E-7</v>
      </c>
      <c r="E417" s="3">
        <f t="shared" si="433"/>
        <v>4.5980477198974846E-6</v>
      </c>
      <c r="F417" s="3">
        <f t="shared" si="433"/>
        <v>6.0767225457512559E-5</v>
      </c>
      <c r="G417" s="3">
        <f t="shared" si="433"/>
        <v>0.01</v>
      </c>
      <c r="H417" s="3">
        <f t="shared" si="433"/>
        <v>1.3258830614141468</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6.4734450171936876E-9</v>
      </c>
      <c r="C418" s="3">
        <f t="shared" si="433"/>
        <v>3.1402222188266822E-7</v>
      </c>
      <c r="D418" s="3">
        <f t="shared" si="433"/>
        <v>4.6999718105625306E-6</v>
      </c>
      <c r="E418" s="3">
        <f t="shared" si="433"/>
        <v>4.5980477198974851E-5</v>
      </c>
      <c r="F418" s="3">
        <f t="shared" si="433"/>
        <v>6.0767225457512559E-4</v>
      </c>
      <c r="G418" s="3">
        <f t="shared" si="433"/>
        <v>0.1</v>
      </c>
      <c r="H418" s="3">
        <f t="shared" si="433"/>
        <v>13.258830614141468</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6.4734450171936869E-8</v>
      </c>
      <c r="C419" s="3">
        <f t="shared" si="433"/>
        <v>3.1402222188266821E-6</v>
      </c>
      <c r="D419" s="3">
        <f t="shared" si="433"/>
        <v>4.6999718105625299E-5</v>
      </c>
      <c r="E419" s="3">
        <f t="shared" si="433"/>
        <v>4.5980477198974846E-4</v>
      </c>
      <c r="F419" s="3">
        <f t="shared" si="433"/>
        <v>6.0767225457512555E-3</v>
      </c>
      <c r="G419" s="3">
        <f t="shared" si="433"/>
        <v>1</v>
      </c>
      <c r="H419" s="3">
        <f t="shared" si="433"/>
        <v>132.58830614141468</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6.4734450171936866E-7</v>
      </c>
      <c r="C420" s="3">
        <f t="shared" si="434"/>
        <v>3.1402222188266817E-5</v>
      </c>
      <c r="D420" s="3">
        <f t="shared" si="434"/>
        <v>4.6999718105625299E-4</v>
      </c>
      <c r="E420" s="3">
        <f t="shared" si="434"/>
        <v>4.5980477198974846E-3</v>
      </c>
      <c r="F420" s="3">
        <f t="shared" si="434"/>
        <v>6.0767225457512557E-2</v>
      </c>
      <c r="G420" s="3">
        <f t="shared" si="434"/>
        <v>10</v>
      </c>
      <c r="H420" s="3">
        <f t="shared" si="434"/>
        <v>1325.8830614141468</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6.4734450171936866E-6</v>
      </c>
      <c r="C421" s="3">
        <f t="shared" si="434"/>
        <v>3.1402222188266823E-4</v>
      </c>
      <c r="D421" s="3">
        <f t="shared" si="434"/>
        <v>4.6999718105625301E-3</v>
      </c>
      <c r="E421" s="3">
        <f t="shared" si="434"/>
        <v>4.5980477198974842E-2</v>
      </c>
      <c r="F421" s="3">
        <f t="shared" si="434"/>
        <v>0.60767225457512564</v>
      </c>
      <c r="G421" s="3">
        <f t="shared" si="434"/>
        <v>100</v>
      </c>
      <c r="H421" s="3">
        <f t="shared" si="434"/>
        <v>13258.830614141467</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6.4734450171936872E-5</v>
      </c>
      <c r="C422" s="3">
        <f t="shared" si="434"/>
        <v>3.1402222188266818E-3</v>
      </c>
      <c r="D422" s="3">
        <f t="shared" si="434"/>
        <v>4.6999718105625303E-2</v>
      </c>
      <c r="E422" s="3">
        <f t="shared" si="434"/>
        <v>0.45980477198974845</v>
      </c>
      <c r="F422" s="3">
        <f t="shared" si="434"/>
        <v>6.0767225457512559</v>
      </c>
      <c r="G422" s="3">
        <f t="shared" si="434"/>
        <v>1000</v>
      </c>
      <c r="H422" s="3">
        <f t="shared" si="434"/>
        <v>132588.30614141468</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6.4734450171936874E-4</v>
      </c>
      <c r="C423" s="3">
        <f t="shared" si="434"/>
        <v>3.1402222188266819E-2</v>
      </c>
      <c r="D423" s="3">
        <f t="shared" si="434"/>
        <v>0.46999718105625304</v>
      </c>
      <c r="E423" s="3">
        <f t="shared" si="434"/>
        <v>4.598047719897485</v>
      </c>
      <c r="F423" s="3">
        <f t="shared" si="434"/>
        <v>60.767225457512559</v>
      </c>
      <c r="G423" s="3">
        <f t="shared" si="434"/>
        <v>10000</v>
      </c>
      <c r="H423" s="3">
        <f t="shared" si="434"/>
        <v>1325883.0614141468</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6.473445017193687E-3</v>
      </c>
      <c r="C424" s="3">
        <f t="shared" si="434"/>
        <v>0.31402222188266821</v>
      </c>
      <c r="D424" s="3">
        <f t="shared" si="434"/>
        <v>4.6999718105625305</v>
      </c>
      <c r="E424" s="3">
        <f t="shared" si="434"/>
        <v>45.980477198974846</v>
      </c>
      <c r="F424" s="3">
        <f t="shared" si="434"/>
        <v>607.67225457512563</v>
      </c>
      <c r="G424" s="3">
        <f t="shared" si="434"/>
        <v>100000</v>
      </c>
      <c r="H424" s="3">
        <f t="shared" si="434"/>
        <v>13258830.614141468</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6.4734450171936866E-2</v>
      </c>
      <c r="C425" s="3">
        <f t="shared" si="434"/>
        <v>3.1402222188266822</v>
      </c>
      <c r="D425" s="3">
        <f t="shared" si="434"/>
        <v>46.999718105625298</v>
      </c>
      <c r="E425" s="3">
        <f t="shared" si="434"/>
        <v>459.80477198974847</v>
      </c>
      <c r="F425" s="3">
        <f t="shared" si="434"/>
        <v>6076.7225457512559</v>
      </c>
      <c r="G425" s="3">
        <f t="shared" si="434"/>
        <v>1000000</v>
      </c>
      <c r="H425" s="3">
        <f t="shared" si="434"/>
        <v>132588306.14141467</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0.64734450171936864</v>
      </c>
      <c r="C426" s="3">
        <f t="shared" si="434"/>
        <v>31.402222188266819</v>
      </c>
      <c r="D426" s="3">
        <f t="shared" si="434"/>
        <v>469.997181056253</v>
      </c>
      <c r="E426" s="3">
        <f t="shared" si="434"/>
        <v>4598.047719897485</v>
      </c>
      <c r="F426" s="3">
        <f t="shared" si="434"/>
        <v>60767.225457512563</v>
      </c>
      <c r="G426" s="3">
        <f t="shared" si="434"/>
        <v>10000000</v>
      </c>
      <c r="H426" s="3">
        <f t="shared" si="434"/>
        <v>1325883061.4141467</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6.4734450171936873</v>
      </c>
      <c r="C427" s="3">
        <f t="shared" si="434"/>
        <v>314.02222188266819</v>
      </c>
      <c r="D427" s="3">
        <f t="shared" si="434"/>
        <v>4699.9718105625298</v>
      </c>
      <c r="E427" s="3">
        <f t="shared" si="434"/>
        <v>45980.477198974848</v>
      </c>
      <c r="F427" s="3">
        <f t="shared" si="434"/>
        <v>607672.25457512564</v>
      </c>
      <c r="G427" s="3">
        <f t="shared" si="434"/>
        <v>100000000</v>
      </c>
      <c r="H427" s="3">
        <f t="shared" si="434"/>
        <v>13258830614.141468</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64.734450171936871</v>
      </c>
      <c r="C428" s="3">
        <f t="shared" si="434"/>
        <v>3140.2222188266819</v>
      </c>
      <c r="D428" s="3">
        <f t="shared" si="434"/>
        <v>46999.718105625303</v>
      </c>
      <c r="E428" s="3">
        <f t="shared" si="434"/>
        <v>459804.77198974846</v>
      </c>
      <c r="F428" s="3">
        <f t="shared" si="434"/>
        <v>6076722.5457512559</v>
      </c>
      <c r="G428" s="3">
        <f t="shared" si="434"/>
        <v>1000000000</v>
      </c>
      <c r="H428" s="3">
        <f t="shared" si="434"/>
        <v>132588306141.41467</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647.34450171936874</v>
      </c>
      <c r="C429" s="3">
        <f t="shared" si="434"/>
        <v>31402.22218826682</v>
      </c>
      <c r="D429" s="3">
        <f t="shared" si="434"/>
        <v>469997.18105625303</v>
      </c>
      <c r="E429" s="3">
        <f t="shared" si="434"/>
        <v>4598047.7198974844</v>
      </c>
      <c r="F429" s="3">
        <f t="shared" si="434"/>
        <v>60767225.457512558</v>
      </c>
      <c r="G429" s="3">
        <f t="shared" si="434"/>
        <v>10000000000</v>
      </c>
      <c r="H429" s="3">
        <f t="shared" si="434"/>
        <v>1325883061414.1467</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6473.4450171936869</v>
      </c>
      <c r="C430" s="3">
        <f t="shared" si="434"/>
        <v>314022.22188266821</v>
      </c>
      <c r="D430" s="3">
        <f t="shared" si="434"/>
        <v>4699971.8105625305</v>
      </c>
      <c r="E430" s="3">
        <f t="shared" si="434"/>
        <v>45980477.198974848</v>
      </c>
      <c r="F430" s="3">
        <f t="shared" si="434"/>
        <v>607672254.57512558</v>
      </c>
      <c r="G430" s="3">
        <f t="shared" si="434"/>
        <v>100000000000</v>
      </c>
      <c r="H430" s="3">
        <f t="shared" si="434"/>
        <v>13258830614141.467</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64734.450171936871</v>
      </c>
      <c r="C431" s="3">
        <f t="shared" si="434"/>
        <v>3140222.2188266818</v>
      </c>
      <c r="D431" s="3">
        <f t="shared" si="434"/>
        <v>46999718.105625302</v>
      </c>
      <c r="E431" s="3">
        <f t="shared" si="434"/>
        <v>459804771.98974848</v>
      </c>
      <c r="F431" s="3">
        <f t="shared" si="434"/>
        <v>6076722545.751256</v>
      </c>
      <c r="G431" s="3">
        <f t="shared" si="434"/>
        <v>1000000000000</v>
      </c>
      <c r="H431" s="3">
        <f t="shared" si="434"/>
        <v>132588306141414.67</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647344.50171936874</v>
      </c>
      <c r="C432" s="3">
        <f t="shared" si="434"/>
        <v>31402222.188266821</v>
      </c>
      <c r="D432" s="3">
        <f t="shared" si="434"/>
        <v>469997181.05625302</v>
      </c>
      <c r="E432" s="3">
        <f t="shared" si="434"/>
        <v>4598047719.8974848</v>
      </c>
      <c r="F432" s="3">
        <f t="shared" si="434"/>
        <v>60767225457.512558</v>
      </c>
      <c r="G432" s="3">
        <f t="shared" si="434"/>
        <v>10000000000000</v>
      </c>
      <c r="H432" s="3">
        <f t="shared" si="434"/>
        <v>1325883061414146.7</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6473445.0171936871</v>
      </c>
      <c r="C433" s="3">
        <f t="shared" si="434"/>
        <v>314022221.8826682</v>
      </c>
      <c r="D433" s="3">
        <f t="shared" si="434"/>
        <v>4699971810.5625305</v>
      </c>
      <c r="E433" s="3">
        <f t="shared" si="434"/>
        <v>45980477198.974846</v>
      </c>
      <c r="F433" s="3">
        <f t="shared" si="434"/>
        <v>607672254575.12561</v>
      </c>
      <c r="G433" s="3">
        <f t="shared" si="434"/>
        <v>100000000000000</v>
      </c>
      <c r="H433" s="3">
        <f t="shared" si="434"/>
        <v>1.3258830614141468E+16</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64734450.17193687</v>
      </c>
      <c r="C434" s="3">
        <f t="shared" si="434"/>
        <v>3140222218.8266821</v>
      </c>
      <c r="D434" s="3">
        <f t="shared" si="434"/>
        <v>46999718105.625305</v>
      </c>
      <c r="E434" s="3">
        <f t="shared" si="434"/>
        <v>459804771989.74847</v>
      </c>
      <c r="F434" s="3">
        <f t="shared" si="434"/>
        <v>6076722545751.2559</v>
      </c>
      <c r="G434" s="3">
        <f t="shared" si="434"/>
        <v>1000000000000000</v>
      </c>
      <c r="H434" s="3">
        <f t="shared" si="434"/>
        <v>1.3258830614141467E+17</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-16.55297231699258</v>
      </c>
      <c r="M1" s="54">
        <v>1</v>
      </c>
      <c r="N1" s="56">
        <f>INDEX($H$217:$P$217,1,Q1)</f>
        <v>0.13069875678860479</v>
      </c>
      <c r="O1" s="11"/>
      <c r="P1" s="55">
        <v>1</v>
      </c>
      <c r="Q1" s="11">
        <v>2</v>
      </c>
    </row>
    <row r="2" spans="1:17" x14ac:dyDescent="0.25">
      <c r="A2" s="11">
        <f>'Mastercurve bestimmen'!M119</f>
        <v>0</v>
      </c>
      <c r="B2" s="11">
        <f>'Mastercurve bestimmen'!N119</f>
        <v>-12.671216990221245</v>
      </c>
      <c r="M2" s="54">
        <v>2</v>
      </c>
      <c r="N2" s="56">
        <f t="shared" ref="N2:N9" si="0">INDEX($H$217:$P$217,1,Q2)</f>
        <v>3.3109168136627324E-4</v>
      </c>
      <c r="O2" s="11"/>
      <c r="P2" s="55">
        <v>2</v>
      </c>
      <c r="Q2" s="11">
        <f>Q1+1</f>
        <v>3</v>
      </c>
    </row>
    <row r="3" spans="1:17" x14ac:dyDescent="0.25">
      <c r="A3" s="11">
        <f>'Mastercurve bestimmen'!M120</f>
        <v>25</v>
      </c>
      <c r="B3" s="11">
        <f>'Mastercurve bestimmen'!N120</f>
        <v>-9.9653689540248553</v>
      </c>
      <c r="M3" s="54">
        <v>3</v>
      </c>
      <c r="N3" s="56">
        <f t="shared" si="0"/>
        <v>-7.8728599227650329E-7</v>
      </c>
      <c r="O3" s="11"/>
      <c r="P3" s="55">
        <v>3</v>
      </c>
      <c r="Q3" s="11">
        <f t="shared" ref="Q3:Q8" si="1">Q2+1</f>
        <v>4</v>
      </c>
    </row>
    <row r="4" spans="1:17" x14ac:dyDescent="0.25">
      <c r="A4" s="11">
        <f>'Mastercurve bestimmen'!M121</f>
        <v>50</v>
      </c>
      <c r="B4" s="11">
        <f>'Mastercurve bestimmen'!N121</f>
        <v>-7.6847085672859414</v>
      </c>
      <c r="M4" s="54">
        <v>4</v>
      </c>
      <c r="N4" s="56">
        <f t="shared" si="0"/>
        <v>7.5536467006377058E-9</v>
      </c>
      <c r="O4" s="11"/>
      <c r="P4" s="55">
        <v>4</v>
      </c>
      <c r="Q4" s="11">
        <f t="shared" si="1"/>
        <v>5</v>
      </c>
    </row>
    <row r="5" spans="1:17" x14ac:dyDescent="0.25">
      <c r="A5" s="11">
        <f>'Mastercurve bestimmen'!M122</f>
        <v>80</v>
      </c>
      <c r="B5" s="11">
        <f>'Mastercurve bestimmen'!N122</f>
        <v>-5.1032897833215509</v>
      </c>
      <c r="M5" s="54">
        <v>5</v>
      </c>
      <c r="N5" s="56">
        <f t="shared" si="0"/>
        <v>-6.2169407238451323E-10</v>
      </c>
      <c r="O5" s="11"/>
      <c r="P5" s="55">
        <v>5</v>
      </c>
      <c r="Q5" s="11">
        <f t="shared" si="1"/>
        <v>6</v>
      </c>
    </row>
    <row r="6" spans="1:17" x14ac:dyDescent="0.25">
      <c r="A6" s="11">
        <f>'Mastercurve bestimmen'!M123</f>
        <v>125</v>
      </c>
      <c r="B6" s="11">
        <f>'Mastercurve bestimmen'!N123</f>
        <v>0</v>
      </c>
      <c r="M6" s="54">
        <v>6</v>
      </c>
      <c r="N6" s="56">
        <f t="shared" si="0"/>
        <v>-1.8610620176143846E-11</v>
      </c>
      <c r="O6" s="11"/>
      <c r="P6" s="55">
        <v>6</v>
      </c>
      <c r="Q6" s="11">
        <f t="shared" si="1"/>
        <v>7</v>
      </c>
    </row>
    <row r="7" spans="1:17" x14ac:dyDescent="0.25">
      <c r="A7" s="11">
        <f>'Mastercurve bestimmen'!M124</f>
        <v>160</v>
      </c>
      <c r="B7" s="11">
        <f>'Mastercurve bestimmen'!N124</f>
        <v>4.8872488848841122</v>
      </c>
      <c r="M7" s="54">
        <v>7</v>
      </c>
      <c r="N7" s="56">
        <f t="shared" si="0"/>
        <v>-1.3769668833094939E-13</v>
      </c>
      <c r="O7" s="11"/>
      <c r="P7" s="55">
        <v>7</v>
      </c>
      <c r="Q7" s="11">
        <f t="shared" si="1"/>
        <v>8</v>
      </c>
    </row>
    <row r="8" spans="1:17" x14ac:dyDescent="0.25">
      <c r="A8" s="11"/>
      <c r="B8" s="11"/>
      <c r="M8" s="54">
        <v>8</v>
      </c>
      <c r="N8" s="56">
        <f t="shared" si="0"/>
        <v>-3.1322599350097519E-16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-16.55297231699258</v>
      </c>
      <c r="E15" s="11">
        <f>A15-'Mastercurve bestimmen'!$B$2</f>
        <v>-165</v>
      </c>
      <c r="F15" s="11">
        <f>B15</f>
        <v>-16.55297231699258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-16.483528857489173</v>
      </c>
      <c r="E16" s="11">
        <f>A16-'Mastercurve bestimmen'!$B$2</f>
        <v>-164</v>
      </c>
      <c r="F16" s="11">
        <f t="shared" ref="F16:F79" si="4">B16</f>
        <v>-16.483528857489173</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-16.413981831668064</v>
      </c>
      <c r="E17" s="11">
        <f>A17-'Mastercurve bestimmen'!$B$2</f>
        <v>-163</v>
      </c>
      <c r="F17" s="11">
        <f t="shared" si="4"/>
        <v>-16.413981831668064</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-16.344227673211567</v>
      </c>
      <c r="E18" s="11">
        <f>A18-'Mastercurve bestimmen'!$B$2</f>
        <v>-162</v>
      </c>
      <c r="F18" s="11">
        <f t="shared" si="4"/>
        <v>-16.344227673211567</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-16.274162815801983</v>
      </c>
      <c r="E19" s="11">
        <f>A19-'Mastercurve bestimmen'!$B$2</f>
        <v>-161</v>
      </c>
      <c r="F19" s="11">
        <f t="shared" si="4"/>
        <v>-16.274162815801983</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-16.203683693121619</v>
      </c>
      <c r="E20" s="11">
        <f>A20-'Mastercurve bestimmen'!$B$2</f>
        <v>-160</v>
      </c>
      <c r="F20" s="11">
        <f t="shared" si="4"/>
        <v>-16.203683693121619</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-16.132686738852772</v>
      </c>
      <c r="E21" s="11">
        <f>A21-'Mastercurve bestimmen'!$B$2</f>
        <v>-159</v>
      </c>
      <c r="F21" s="11">
        <f t="shared" si="4"/>
        <v>-16.132686738852772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-16.061068386677757</v>
      </c>
      <c r="E22" s="11">
        <f>A22-'Mastercurve bestimmen'!$B$2</f>
        <v>-158</v>
      </c>
      <c r="F22" s="11">
        <f t="shared" si="4"/>
        <v>-16.061068386677757</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-15.988725070278868</v>
      </c>
      <c r="E23" s="11">
        <f>A23-'Mastercurve bestimmen'!$B$2</f>
        <v>-157</v>
      </c>
      <c r="F23" s="11">
        <f t="shared" si="4"/>
        <v>-15.988725070278868</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-15.915553223338417</v>
      </c>
      <c r="E24" s="11">
        <f>A24-'Mastercurve bestimmen'!$B$2</f>
        <v>-156</v>
      </c>
      <c r="F24" s="11">
        <f t="shared" si="4"/>
        <v>-15.915553223338417</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-15.841449279538706</v>
      </c>
      <c r="E25" s="11">
        <f>A25-'Mastercurve bestimmen'!$B$2</f>
        <v>-155</v>
      </c>
      <c r="F25" s="11">
        <f t="shared" si="4"/>
        <v>-15.841449279538706</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-15.766309672562038</v>
      </c>
      <c r="E26" s="11">
        <f>A26-'Mastercurve bestimmen'!$B$2</f>
        <v>-154</v>
      </c>
      <c r="F26" s="11">
        <f t="shared" si="4"/>
        <v>-15.766309672562038</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-15.690030836090719</v>
      </c>
      <c r="E27" s="11">
        <f>A27-'Mastercurve bestimmen'!$B$2</f>
        <v>-153</v>
      </c>
      <c r="F27" s="11">
        <f t="shared" si="4"/>
        <v>-15.690030836090719</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-15.612509203807054</v>
      </c>
      <c r="E28" s="11">
        <f>A28-'Mastercurve bestimmen'!$B$2</f>
        <v>-152</v>
      </c>
      <c r="F28" s="11">
        <f t="shared" si="4"/>
        <v>-15.612509203807054</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-15.533641209393345</v>
      </c>
      <c r="E29" s="11">
        <f>A29-'Mastercurve bestimmen'!$B$2</f>
        <v>-151</v>
      </c>
      <c r="F29" s="11">
        <f t="shared" si="4"/>
        <v>-15.533641209393345</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-15.4533232865319</v>
      </c>
      <c r="E30" s="11">
        <f>A30-'Mastercurve bestimmen'!$B$2</f>
        <v>-150</v>
      </c>
      <c r="F30" s="11">
        <f t="shared" si="4"/>
        <v>-15.4533232865319</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-15.371451868905018</v>
      </c>
      <c r="E31" s="11">
        <f>A31-'Mastercurve bestimmen'!$B$2</f>
        <v>-149</v>
      </c>
      <c r="F31" s="11">
        <f t="shared" si="4"/>
        <v>-15.371451868905018</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-15.287923390195008</v>
      </c>
      <c r="E32" s="11">
        <f>A32-'Mastercurve bestimmen'!$B$2</f>
        <v>-148</v>
      </c>
      <c r="F32" s="11">
        <f t="shared" si="4"/>
        <v>-15.287923390195008</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-15.202634284084173</v>
      </c>
      <c r="E33" s="11">
        <f>A33-'Mastercurve bestimmen'!$B$2</f>
        <v>-147</v>
      </c>
      <c r="F33" s="11">
        <f t="shared" si="4"/>
        <v>-15.202634284084173</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-15.11548098425482</v>
      </c>
      <c r="E34" s="11">
        <f>A34-'Mastercurve bestimmen'!$B$2</f>
        <v>-146</v>
      </c>
      <c r="F34" s="11">
        <f t="shared" si="4"/>
        <v>-15.11548098425482</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-15.026359924389247</v>
      </c>
      <c r="E35" s="11">
        <f>A35-'Mastercurve bestimmen'!$B$2</f>
        <v>-145</v>
      </c>
      <c r="F35" s="11">
        <f t="shared" si="4"/>
        <v>-15.026359924389247</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-14.935167538169765</v>
      </c>
      <c r="E36" s="11">
        <f>A36-'Mastercurve bestimmen'!$B$2</f>
        <v>-144</v>
      </c>
      <c r="F36" s="11">
        <f t="shared" si="4"/>
        <v>-14.935167538169765</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-14.841800259278674</v>
      </c>
      <c r="E37" s="11">
        <f>A37-'Mastercurve bestimmen'!$B$2</f>
        <v>-143</v>
      </c>
      <c r="F37" s="11">
        <f t="shared" si="4"/>
        <v>-14.841800259278674</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-14.746154521398282</v>
      </c>
      <c r="E38" s="11">
        <f>A38-'Mastercurve bestimmen'!$B$2</f>
        <v>-142</v>
      </c>
      <c r="F38" s="11">
        <f t="shared" si="4"/>
        <v>-14.746154521398282</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-14.648126758210889</v>
      </c>
      <c r="E39" s="11">
        <f>A39-'Mastercurve bestimmen'!$B$2</f>
        <v>-141</v>
      </c>
      <c r="F39" s="11">
        <f t="shared" si="4"/>
        <v>-14.648126758210889</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-14.547613403398806</v>
      </c>
      <c r="E40" s="11">
        <f>A40-'Mastercurve bestimmen'!$B$2</f>
        <v>-140</v>
      </c>
      <c r="F40" s="11">
        <f t="shared" si="4"/>
        <v>-14.547613403398806</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-14.444510890644331</v>
      </c>
      <c r="E41" s="11">
        <f>A41-'Mastercurve bestimmen'!$B$2</f>
        <v>-139</v>
      </c>
      <c r="F41" s="11">
        <f t="shared" si="4"/>
        <v>-14.444510890644331</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-14.33871565362977</v>
      </c>
      <c r="E42" s="11">
        <f>A42-'Mastercurve bestimmen'!$B$2</f>
        <v>-138</v>
      </c>
      <c r="F42" s="11">
        <f t="shared" si="4"/>
        <v>-14.33871565362977</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-14.230124126037428</v>
      </c>
      <c r="E43" s="11">
        <f>A43-'Mastercurve bestimmen'!$B$2</f>
        <v>-137</v>
      </c>
      <c r="F43" s="11">
        <f t="shared" si="4"/>
        <v>-14.230124126037428</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-14.118632741549611</v>
      </c>
      <c r="E44" s="11">
        <f>A44-'Mastercurve bestimmen'!$B$2</f>
        <v>-136</v>
      </c>
      <c r="F44" s="11">
        <f t="shared" si="4"/>
        <v>-14.118632741549611</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-14.004137933848622</v>
      </c>
      <c r="E45" s="11">
        <f>A45-'Mastercurve bestimmen'!$B$2</f>
        <v>-135</v>
      </c>
      <c r="F45" s="11">
        <f t="shared" si="4"/>
        <v>-14.004137933848622</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-13.886536136616765</v>
      </c>
      <c r="E46" s="11">
        <f>A46-'Mastercurve bestimmen'!$B$2</f>
        <v>-134</v>
      </c>
      <c r="F46" s="11">
        <f t="shared" si="4"/>
        <v>-13.886536136616765</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-13.765723783536345</v>
      </c>
      <c r="E47" s="11">
        <f>A47-'Mastercurve bestimmen'!$B$2</f>
        <v>-133</v>
      </c>
      <c r="F47" s="11">
        <f t="shared" si="4"/>
        <v>-13.765723783536345</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-13.641597308289667</v>
      </c>
      <c r="E48" s="11">
        <f>A48-'Mastercurve bestimmen'!$B$2</f>
        <v>-132</v>
      </c>
      <c r="F48" s="11">
        <f t="shared" si="4"/>
        <v>-13.641597308289667</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-13.514053144559034</v>
      </c>
      <c r="E49" s="11">
        <f>A49-'Mastercurve bestimmen'!$B$2</f>
        <v>-131</v>
      </c>
      <c r="F49" s="11">
        <f t="shared" si="4"/>
        <v>-13.514053144559034</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-13.382987726026752</v>
      </c>
      <c r="E50" s="11">
        <f>A50-'Mastercurve bestimmen'!$B$2</f>
        <v>-130</v>
      </c>
      <c r="F50" s="11">
        <f t="shared" si="4"/>
        <v>-13.382987726026752</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-13.248297486375124</v>
      </c>
      <c r="E51" s="11">
        <f>A51-'Mastercurve bestimmen'!$B$2</f>
        <v>-129</v>
      </c>
      <c r="F51" s="11">
        <f t="shared" si="4"/>
        <v>-13.248297486375124</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-13.109878859286454</v>
      </c>
      <c r="E52" s="11">
        <f>A52-'Mastercurve bestimmen'!$B$2</f>
        <v>-128</v>
      </c>
      <c r="F52" s="11">
        <f t="shared" si="4"/>
        <v>-13.109878859286454</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-12.967628278443048</v>
      </c>
      <c r="E53" s="11">
        <f>A53-'Mastercurve bestimmen'!$B$2</f>
        <v>-127</v>
      </c>
      <c r="F53" s="11">
        <f t="shared" si="4"/>
        <v>-12.967628278443048</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-12.82144217752721</v>
      </c>
      <c r="E54" s="11">
        <f>A54-'Mastercurve bestimmen'!$B$2</f>
        <v>-126</v>
      </c>
      <c r="F54" s="11">
        <f t="shared" si="4"/>
        <v>-12.82144217752721</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-12.671216990221247</v>
      </c>
      <c r="E55" s="11">
        <f>A55-'Mastercurve bestimmen'!$B$2</f>
        <v>-125</v>
      </c>
      <c r="F55" s="11">
        <f t="shared" si="4"/>
        <v>-12.671216990221247</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-12.586970736621119</v>
      </c>
      <c r="E56" s="11">
        <f>A56-'Mastercurve bestimmen'!$B$2</f>
        <v>-124</v>
      </c>
      <c r="F56" s="11">
        <f t="shared" si="4"/>
        <v>-12.586970736621119</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-12.498829178050153</v>
      </c>
      <c r="E57" s="11">
        <f>A57-'Mastercurve bestimmen'!$B$2</f>
        <v>-123</v>
      </c>
      <c r="F57" s="11">
        <f t="shared" si="4"/>
        <v>-12.498829178050153</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-12.407039662245328</v>
      </c>
      <c r="E58" s="11">
        <f>A58-'Mastercurve bestimmen'!$B$2</f>
        <v>-122</v>
      </c>
      <c r="F58" s="11">
        <f t="shared" si="4"/>
        <v>-12.407039662245328</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-12.311849536943626</v>
      </c>
      <c r="E59" s="11">
        <f>A59-'Mastercurve bestimmen'!$B$2</f>
        <v>-121</v>
      </c>
      <c r="F59" s="11">
        <f t="shared" si="4"/>
        <v>-12.311849536943626</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-12.213506149882029</v>
      </c>
      <c r="E60" s="11">
        <f>A60-'Mastercurve bestimmen'!$B$2</f>
        <v>-120</v>
      </c>
      <c r="F60" s="11">
        <f t="shared" si="4"/>
        <v>-12.213506149882029</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-12.11225684879752</v>
      </c>
      <c r="E61" s="11">
        <f>A61-'Mastercurve bestimmen'!$B$2</f>
        <v>-119</v>
      </c>
      <c r="F61" s="11">
        <f t="shared" si="4"/>
        <v>-12.11225684879752</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-12.008348981427082</v>
      </c>
      <c r="E62" s="11">
        <f>A62-'Mastercurve bestimmen'!$B$2</f>
        <v>-118</v>
      </c>
      <c r="F62" s="11">
        <f t="shared" si="4"/>
        <v>-12.008348981427082</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-11.902029895507692</v>
      </c>
      <c r="E63" s="11">
        <f>A63-'Mastercurve bestimmen'!$B$2</f>
        <v>-117</v>
      </c>
      <c r="F63" s="11">
        <f t="shared" si="4"/>
        <v>-11.902029895507692</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-11.793546938776341</v>
      </c>
      <c r="E64" s="11">
        <f>A64-'Mastercurve bestimmen'!$B$2</f>
        <v>-116</v>
      </c>
      <c r="F64" s="11">
        <f t="shared" si="4"/>
        <v>-11.793546938776341</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-11.683147458970005</v>
      </c>
      <c r="E65" s="11">
        <f>A65-'Mastercurve bestimmen'!$B$2</f>
        <v>-115</v>
      </c>
      <c r="F65" s="11">
        <f t="shared" si="4"/>
        <v>-11.683147458970005</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-11.571078803825667</v>
      </c>
      <c r="E66" s="11">
        <f>A66-'Mastercurve bestimmen'!$B$2</f>
        <v>-114</v>
      </c>
      <c r="F66" s="11">
        <f t="shared" si="4"/>
        <v>-11.571078803825667</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-11.457588321080312</v>
      </c>
      <c r="E67" s="11">
        <f>A67-'Mastercurve bestimmen'!$B$2</f>
        <v>-113</v>
      </c>
      <c r="F67" s="11">
        <f t="shared" si="4"/>
        <v>-11.457588321080312</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-11.342923358470918</v>
      </c>
      <c r="E68" s="11">
        <f>A68-'Mastercurve bestimmen'!$B$2</f>
        <v>-112</v>
      </c>
      <c r="F68" s="11">
        <f t="shared" si="4"/>
        <v>-11.342923358470918</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-11.22733126373447</v>
      </c>
      <c r="E69" s="11">
        <f>A69-'Mastercurve bestimmen'!$B$2</f>
        <v>-111</v>
      </c>
      <c r="F69" s="11">
        <f t="shared" si="4"/>
        <v>-11.22733126373447</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-11.111059384607952</v>
      </c>
      <c r="E70" s="11">
        <f>A70-'Mastercurve bestimmen'!$B$2</f>
        <v>-110</v>
      </c>
      <c r="F70" s="11">
        <f t="shared" si="4"/>
        <v>-11.111059384607952</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-10.994355068828341</v>
      </c>
      <c r="E71" s="11">
        <f>A71-'Mastercurve bestimmen'!$B$2</f>
        <v>-109</v>
      </c>
      <c r="F71" s="11">
        <f t="shared" si="4"/>
        <v>-10.994355068828341</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-10.877465664132622</v>
      </c>
      <c r="E72" s="11">
        <f>A72-'Mastercurve bestimmen'!$B$2</f>
        <v>-108</v>
      </c>
      <c r="F72" s="11">
        <f t="shared" si="4"/>
        <v>-10.877465664132622</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-10.760638518257778</v>
      </c>
      <c r="E73" s="11">
        <f>A73-'Mastercurve bestimmen'!$B$2</f>
        <v>-107</v>
      </c>
      <c r="F73" s="11">
        <f t="shared" si="4"/>
        <v>-10.760638518257778</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-10.644120978940791</v>
      </c>
      <c r="E74" s="11">
        <f>A74-'Mastercurve bestimmen'!$B$2</f>
        <v>-106</v>
      </c>
      <c r="F74" s="11">
        <f t="shared" si="4"/>
        <v>-10.644120978940791</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-10.528160393918643</v>
      </c>
      <c r="E75" s="11">
        <f>A75-'Mastercurve bestimmen'!$B$2</f>
        <v>-105</v>
      </c>
      <c r="F75" s="11">
        <f t="shared" si="4"/>
        <v>-10.528160393918643</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-10.413004110928313</v>
      </c>
      <c r="E76" s="11">
        <f>A76-'Mastercurve bestimmen'!$B$2</f>
        <v>-104</v>
      </c>
      <c r="F76" s="11">
        <f t="shared" si="4"/>
        <v>-10.413004110928313</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-10.298899477706788</v>
      </c>
      <c r="E77" s="11">
        <f>A77-'Mastercurve bestimmen'!$B$2</f>
        <v>-103</v>
      </c>
      <c r="F77" s="11">
        <f t="shared" si="4"/>
        <v>-10.298899477706788</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-10.186093841991051</v>
      </c>
      <c r="E78" s="11">
        <f>A78-'Mastercurve bestimmen'!$B$2</f>
        <v>-102</v>
      </c>
      <c r="F78" s="11">
        <f t="shared" si="4"/>
        <v>-10.186093841991051</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-10.074834551518077</v>
      </c>
      <c r="E79" s="11">
        <f>A79-'Mastercurve bestimmen'!$B$2</f>
        <v>-101</v>
      </c>
      <c r="F79" s="11">
        <f t="shared" si="4"/>
        <v>-10.074834551518077</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-9.9653689540248553</v>
      </c>
      <c r="E80" s="11">
        <f>A80-'Mastercurve bestimmen'!$B$2</f>
        <v>-100</v>
      </c>
      <c r="F80" s="11">
        <f t="shared" ref="F80:F143" si="10">B80</f>
        <v>-9.9653689540248553</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-9.8578899676292604</v>
      </c>
      <c r="E81" s="11">
        <f>A81-'Mastercurve bestimmen'!$B$2</f>
        <v>-99</v>
      </c>
      <c r="F81" s="11">
        <f t="shared" si="10"/>
        <v>-9.8578899676292604</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-9.7523727919727587</v>
      </c>
      <c r="E82" s="11">
        <f>A82-'Mastercurve bestimmen'!$B$2</f>
        <v>-98</v>
      </c>
      <c r="F82" s="11">
        <f t="shared" si="10"/>
        <v>-9.7523727919727587</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-9.6487381970777015</v>
      </c>
      <c r="E83" s="11">
        <f>A83-'Mastercurve bestimmen'!$B$2</f>
        <v>-97</v>
      </c>
      <c r="F83" s="11">
        <f t="shared" si="10"/>
        <v>-9.6487381970777015</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-9.5469069529664505</v>
      </c>
      <c r="E84" s="11">
        <f>A84-'Mastercurve bestimmen'!$B$2</f>
        <v>-96</v>
      </c>
      <c r="F84" s="11">
        <f t="shared" si="10"/>
        <v>-9.5469069529664505</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-9.4467998296613676</v>
      </c>
      <c r="E85" s="11">
        <f>A85-'Mastercurve bestimmen'!$B$2</f>
        <v>-95</v>
      </c>
      <c r="F85" s="11">
        <f t="shared" si="10"/>
        <v>-9.4467998296613676</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-9.3483375971848073</v>
      </c>
      <c r="E86" s="11">
        <f>A86-'Mastercurve bestimmen'!$B$2</f>
        <v>-94</v>
      </c>
      <c r="F86" s="11">
        <f t="shared" si="10"/>
        <v>-9.3483375971848073</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-9.251441025559128</v>
      </c>
      <c r="E87" s="11">
        <f>A87-'Mastercurve bestimmen'!$B$2</f>
        <v>-93</v>
      </c>
      <c r="F87" s="11">
        <f t="shared" si="10"/>
        <v>-9.251441025559128</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-9.156030884806686</v>
      </c>
      <c r="E88" s="11">
        <f>A88-'Mastercurve bestimmen'!$B$2</f>
        <v>-92</v>
      </c>
      <c r="F88" s="11">
        <f t="shared" si="10"/>
        <v>-9.156030884806686</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-9.0620279449498433</v>
      </c>
      <c r="E89" s="11">
        <f>A89-'Mastercurve bestimmen'!$B$2</f>
        <v>-91</v>
      </c>
      <c r="F89" s="11">
        <f t="shared" si="10"/>
        <v>-9.0620279449498433</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-8.9693529760109563</v>
      </c>
      <c r="E90" s="11">
        <f>A90-'Mastercurve bestimmen'!$B$2</f>
        <v>-90</v>
      </c>
      <c r="F90" s="11">
        <f t="shared" si="10"/>
        <v>-8.9693529760109563</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-8.8779267480123831</v>
      </c>
      <c r="E91" s="11">
        <f>A91-'Mastercurve bestimmen'!$B$2</f>
        <v>-89</v>
      </c>
      <c r="F91" s="11">
        <f t="shared" si="10"/>
        <v>-8.8779267480123831</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-8.7876700309764821</v>
      </c>
      <c r="E92" s="11">
        <f>A92-'Mastercurve bestimmen'!$B$2</f>
        <v>-88</v>
      </c>
      <c r="F92" s="11">
        <f t="shared" si="10"/>
        <v>-8.7876700309764821</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-8.6985035949256115</v>
      </c>
      <c r="E93" s="11">
        <f>A93-'Mastercurve bestimmen'!$B$2</f>
        <v>-87</v>
      </c>
      <c r="F93" s="11">
        <f t="shared" si="10"/>
        <v>-8.6985035949256115</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-8.6103482098821296</v>
      </c>
      <c r="E94" s="11">
        <f>A94-'Mastercurve bestimmen'!$B$2</f>
        <v>-86</v>
      </c>
      <c r="F94" s="11">
        <f t="shared" si="10"/>
        <v>-8.6103482098821296</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-8.5231246458683962</v>
      </c>
      <c r="E95" s="11">
        <f>A95-'Mastercurve bestimmen'!$B$2</f>
        <v>-85</v>
      </c>
      <c r="F95" s="11">
        <f t="shared" si="10"/>
        <v>-8.5231246458683962</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-8.436753672906768</v>
      </c>
      <c r="E96" s="11">
        <f>A96-'Mastercurve bestimmen'!$B$2</f>
        <v>-84</v>
      </c>
      <c r="F96" s="11">
        <f t="shared" si="10"/>
        <v>-8.436753672906768</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-8.3511560610196014</v>
      </c>
      <c r="E97" s="11">
        <f>A97-'Mastercurve bestimmen'!$B$2</f>
        <v>-83</v>
      </c>
      <c r="F97" s="11">
        <f t="shared" si="10"/>
        <v>-8.3511560610196014</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-8.2662525802292564</v>
      </c>
      <c r="E98" s="11">
        <f>A98-'Mastercurve bestimmen'!$B$2</f>
        <v>-82</v>
      </c>
      <c r="F98" s="11">
        <f t="shared" si="10"/>
        <v>-8.2662525802292564</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-8.1819640005580929</v>
      </c>
      <c r="E99" s="11">
        <f>A99-'Mastercurve bestimmen'!$B$2</f>
        <v>-81</v>
      </c>
      <c r="F99" s="11">
        <f t="shared" si="10"/>
        <v>-8.1819640005580929</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-8.0982110920284658</v>
      </c>
      <c r="E100" s="11">
        <f>A100-'Mastercurve bestimmen'!$B$2</f>
        <v>-80</v>
      </c>
      <c r="F100" s="11">
        <f t="shared" si="10"/>
        <v>-8.0982110920284658</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-8.0149146246627367</v>
      </c>
      <c r="E101" s="11">
        <f>A101-'Mastercurve bestimmen'!$B$2</f>
        <v>-79</v>
      </c>
      <c r="F101" s="11">
        <f t="shared" si="10"/>
        <v>-8.0149146246627367</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-7.9319953684832596</v>
      </c>
      <c r="E102" s="11">
        <f>A102-'Mastercurve bestimmen'!$B$2</f>
        <v>-78</v>
      </c>
      <c r="F102" s="11">
        <f t="shared" si="10"/>
        <v>-7.9319953684832596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-7.849374093512397</v>
      </c>
      <c r="E103" s="11">
        <f>A103-'Mastercurve bestimmen'!$B$2</f>
        <v>-77</v>
      </c>
      <c r="F103" s="11">
        <f t="shared" si="10"/>
        <v>-7.849374093512397</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-7.7669715697725046</v>
      </c>
      <c r="E104" s="11">
        <f>A104-'Mastercurve bestimmen'!$B$2</f>
        <v>-76</v>
      </c>
      <c r="F104" s="11">
        <f t="shared" si="10"/>
        <v>-7.7669715697725046</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-7.6847085672859414</v>
      </c>
      <c r="E105" s="11">
        <f>A105-'Mastercurve bestimmen'!$B$2</f>
        <v>-75</v>
      </c>
      <c r="F105" s="11">
        <f t="shared" si="10"/>
        <v>-7.6847085672859414</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-7.6025138032823598</v>
      </c>
      <c r="E106" s="11">
        <f>A106-'Mastercurve bestimmen'!$B$2</f>
        <v>-74</v>
      </c>
      <c r="F106" s="11">
        <f t="shared" si="10"/>
        <v>-7.6025138032823598</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-7.5203477838205872</v>
      </c>
      <c r="E107" s="11">
        <f>A107-'Mastercurve bestimmen'!$B$2</f>
        <v>-73</v>
      </c>
      <c r="F107" s="11">
        <f t="shared" si="10"/>
        <v>-7.5203477838205872</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-7.4381789621667469</v>
      </c>
      <c r="E108" s="11">
        <f>A108-'Mastercurve bestimmen'!$B$2</f>
        <v>-72</v>
      </c>
      <c r="F108" s="11">
        <f t="shared" si="10"/>
        <v>-7.4381789621667469</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-7.3559757915869595</v>
      </c>
      <c r="E109" s="11">
        <f>A109-'Mastercurve bestimmen'!$B$2</f>
        <v>-71</v>
      </c>
      <c r="F109" s="11">
        <f t="shared" si="10"/>
        <v>-7.3559757915869595</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-7.2737067253473491</v>
      </c>
      <c r="E110" s="11">
        <f>A110-'Mastercurve bestimmen'!$B$2</f>
        <v>-70</v>
      </c>
      <c r="F110" s="11">
        <f t="shared" si="10"/>
        <v>-7.2737067253473491</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-7.1913402167140354</v>
      </c>
      <c r="E111" s="11">
        <f>A111-'Mastercurve bestimmen'!$B$2</f>
        <v>-69</v>
      </c>
      <c r="F111" s="11">
        <f t="shared" si="10"/>
        <v>-7.1913402167140354</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-7.1088447189531419</v>
      </c>
      <c r="E112" s="11">
        <f>A112-'Mastercurve bestimmen'!$B$2</f>
        <v>-68</v>
      </c>
      <c r="F112" s="11">
        <f t="shared" si="10"/>
        <v>-7.1088447189531419</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-7.0261886853307924</v>
      </c>
      <c r="E113" s="11">
        <f>A113-'Mastercurve bestimmen'!$B$2</f>
        <v>-67</v>
      </c>
      <c r="F113" s="11">
        <f t="shared" si="10"/>
        <v>-7.0261886853307924</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-6.943340569113106</v>
      </c>
      <c r="E114" s="11">
        <f>A114-'Mastercurve bestimmen'!$B$2</f>
        <v>-66</v>
      </c>
      <c r="F114" s="11">
        <f t="shared" si="10"/>
        <v>-6.943340569113106</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-6.8602688235662068</v>
      </c>
      <c r="E115" s="11">
        <f>A115-'Mastercurve bestimmen'!$B$2</f>
        <v>-65</v>
      </c>
      <c r="F115" s="11">
        <f t="shared" si="10"/>
        <v>-6.8602688235662068</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-6.7769419019562172</v>
      </c>
      <c r="E116" s="11">
        <f>A116-'Mastercurve bestimmen'!$B$2</f>
        <v>-64</v>
      </c>
      <c r="F116" s="11">
        <f t="shared" si="10"/>
        <v>-6.7769419019562172</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-6.6933282575492576</v>
      </c>
      <c r="E117" s="11">
        <f>A117-'Mastercurve bestimmen'!$B$2</f>
        <v>-63</v>
      </c>
      <c r="F117" s="11">
        <f t="shared" si="10"/>
        <v>-6.6933282575492576</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-6.6093963436114516</v>
      </c>
      <c r="E118" s="11">
        <f>A118-'Mastercurve bestimmen'!$B$2</f>
        <v>-62</v>
      </c>
      <c r="F118" s="11">
        <f t="shared" si="10"/>
        <v>-6.6093963436114516</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-6.5251146134089204</v>
      </c>
      <c r="E119" s="11">
        <f>A119-'Mastercurve bestimmen'!$B$2</f>
        <v>-61</v>
      </c>
      <c r="F119" s="11">
        <f t="shared" si="10"/>
        <v>-6.5251146134089204</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-6.4404515202077874</v>
      </c>
      <c r="E120" s="11">
        <f>A120-'Mastercurve bestimmen'!$B$2</f>
        <v>-60</v>
      </c>
      <c r="F120" s="11">
        <f t="shared" si="10"/>
        <v>-6.4404515202077874</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-6.3553755172741742</v>
      </c>
      <c r="E121" s="11">
        <f>A121-'Mastercurve bestimmen'!$B$2</f>
        <v>-59</v>
      </c>
      <c r="F121" s="11">
        <f t="shared" si="10"/>
        <v>-6.3553755172741742</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-6.2698550578742021</v>
      </c>
      <c r="E122" s="11">
        <f>A122-'Mastercurve bestimmen'!$B$2</f>
        <v>-58</v>
      </c>
      <c r="F122" s="11">
        <f t="shared" si="10"/>
        <v>-6.2698550578742021</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-6.1838585952739944</v>
      </c>
      <c r="E123" s="11">
        <f>A123-'Mastercurve bestimmen'!$B$2</f>
        <v>-57</v>
      </c>
      <c r="F123" s="11">
        <f t="shared" si="10"/>
        <v>-6.1838585952739944</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-6.0973545827396718</v>
      </c>
      <c r="E124" s="11">
        <f>A124-'Mastercurve bestimmen'!$B$2</f>
        <v>-56</v>
      </c>
      <c r="F124" s="11">
        <f t="shared" si="10"/>
        <v>-6.0973545827396718</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-6.0103114735373584</v>
      </c>
      <c r="E125" s="11">
        <f>A125-'Mastercurve bestimmen'!$B$2</f>
        <v>-55</v>
      </c>
      <c r="F125" s="11">
        <f t="shared" si="10"/>
        <v>-6.0103114735373584</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-5.9226977209331757</v>
      </c>
      <c r="E126" s="11">
        <f>A126-'Mastercurve bestimmen'!$B$2</f>
        <v>-54</v>
      </c>
      <c r="F126" s="11">
        <f t="shared" si="10"/>
        <v>-5.9226977209331757</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-5.8344817781932452</v>
      </c>
      <c r="E127" s="11">
        <f>A127-'Mastercurve bestimmen'!$B$2</f>
        <v>-53</v>
      </c>
      <c r="F127" s="11">
        <f t="shared" si="10"/>
        <v>-5.8344817781932452</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-5.7456320985836893</v>
      </c>
      <c r="E128" s="11">
        <f>A128-'Mastercurve bestimmen'!$B$2</f>
        <v>-52</v>
      </c>
      <c r="F128" s="11">
        <f t="shared" si="10"/>
        <v>-5.7456320985836893</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-5.6561171353706294</v>
      </c>
      <c r="E129" s="11">
        <f>A129-'Mastercurve bestimmen'!$B$2</f>
        <v>-51</v>
      </c>
      <c r="F129" s="11">
        <f t="shared" si="10"/>
        <v>-5.6561171353706294</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-5.5659053418201898</v>
      </c>
      <c r="E130" s="11">
        <f>A130-'Mastercurve bestimmen'!$B$2</f>
        <v>-50</v>
      </c>
      <c r="F130" s="11">
        <f t="shared" si="10"/>
        <v>-5.5659053418201898</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-5.474965171198491</v>
      </c>
      <c r="E131" s="11">
        <f>A131-'Mastercurve bestimmen'!$B$2</f>
        <v>-49</v>
      </c>
      <c r="F131" s="11">
        <f t="shared" si="10"/>
        <v>-5.474965171198491</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-5.3832650767716563</v>
      </c>
      <c r="E132" s="11">
        <f>A132-'Mastercurve bestimmen'!$B$2</f>
        <v>-48</v>
      </c>
      <c r="F132" s="11">
        <f t="shared" si="10"/>
        <v>-5.3832650767716563</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-5.2907735118058055</v>
      </c>
      <c r="E133" s="11">
        <f>A133-'Mastercurve bestimmen'!$B$2</f>
        <v>-47</v>
      </c>
      <c r="F133" s="11">
        <f t="shared" si="10"/>
        <v>-5.2907735118058055</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-5.1974589295670635</v>
      </c>
      <c r="E134" s="11">
        <f>A134-'Mastercurve bestimmen'!$B$2</f>
        <v>-46</v>
      </c>
      <c r="F134" s="11">
        <f t="shared" si="10"/>
        <v>-5.1974589295670635</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-5.1032897833215509</v>
      </c>
      <c r="E135" s="11">
        <f>A135-'Mastercurve bestimmen'!$B$2</f>
        <v>-45</v>
      </c>
      <c r="F135" s="11">
        <f t="shared" si="10"/>
        <v>-5.1032897833215509</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-5.0082403460976348</v>
      </c>
      <c r="E136" s="11">
        <f>A136-'Mastercurve bestimmen'!$B$2</f>
        <v>-44</v>
      </c>
      <c r="F136" s="11">
        <f t="shared" si="10"/>
        <v>-5.0082403460976348</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-4.9123081699726621</v>
      </c>
      <c r="E137" s="11">
        <f>A137-'Mastercurve bestimmen'!$B$2</f>
        <v>-43</v>
      </c>
      <c r="F137" s="11">
        <f t="shared" si="10"/>
        <v>-4.9123081699726621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-4.8154966267862251</v>
      </c>
      <c r="E138" s="11">
        <f>A138-'Mastercurve bestimmen'!$B$2</f>
        <v>-42</v>
      </c>
      <c r="F138" s="11">
        <f t="shared" si="10"/>
        <v>-4.8154966267862251</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-4.7178090883779129</v>
      </c>
      <c r="E139" s="11">
        <f>A139-'Mastercurve bestimmen'!$B$2</f>
        <v>-41</v>
      </c>
      <c r="F139" s="11">
        <f t="shared" si="10"/>
        <v>-4.7178090883779129</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-4.6192489265873187</v>
      </c>
      <c r="E140" s="11">
        <f>A140-'Mastercurve bestimmen'!$B$2</f>
        <v>-40</v>
      </c>
      <c r="F140" s="11">
        <f t="shared" si="10"/>
        <v>-4.6192489265873187</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-4.5198195132540322</v>
      </c>
      <c r="E141" s="11">
        <f>A141-'Mastercurve bestimmen'!$B$2</f>
        <v>-39</v>
      </c>
      <c r="F141" s="11">
        <f t="shared" si="10"/>
        <v>-4.5198195132540322</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-4.4195242202176459</v>
      </c>
      <c r="E142" s="11">
        <f>A142-'Mastercurve bestimmen'!$B$2</f>
        <v>-38</v>
      </c>
      <c r="F142" s="11">
        <f t="shared" si="10"/>
        <v>-4.4195242202176459</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-4.3183664193177513</v>
      </c>
      <c r="E143" s="11">
        <f>A143-'Mastercurve bestimmen'!$B$2</f>
        <v>-37</v>
      </c>
      <c r="F143" s="11">
        <f t="shared" si="10"/>
        <v>-4.3183664193177513</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-4.2163494823939391</v>
      </c>
      <c r="E144" s="11">
        <f>A144-'Mastercurve bestimmen'!$B$2</f>
        <v>-36</v>
      </c>
      <c r="F144" s="11">
        <f t="shared" ref="F144:F207" si="15">B144</f>
        <v>-4.2163494823939391</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-4.1134767812858</v>
      </c>
      <c r="E145" s="11">
        <f>A145-'Mastercurve bestimmen'!$B$2</f>
        <v>-35</v>
      </c>
      <c r="F145" s="11">
        <f t="shared" si="15"/>
        <v>-4.1134767812858</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-4.0097516878329262</v>
      </c>
      <c r="E146" s="11">
        <f>A146-'Mastercurve bestimmen'!$B$2</f>
        <v>-34</v>
      </c>
      <c r="F146" s="11">
        <f t="shared" si="15"/>
        <v>-4.0097516878329262</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-3.905177573874909</v>
      </c>
      <c r="E147" s="11">
        <f>A147-'Mastercurve bestimmen'!$B$2</f>
        <v>-33</v>
      </c>
      <c r="F147" s="11">
        <f t="shared" si="15"/>
        <v>-3.905177573874909</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-3.7997578112513399</v>
      </c>
      <c r="E148" s="11">
        <f>A148-'Mastercurve bestimmen'!$B$2</f>
        <v>-32</v>
      </c>
      <c r="F148" s="11">
        <f t="shared" si="15"/>
        <v>-3.7997578112513399</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-3.6934957718018091</v>
      </c>
      <c r="E149" s="11">
        <f>A149-'Mastercurve bestimmen'!$B$2</f>
        <v>-31</v>
      </c>
      <c r="F149" s="11">
        <f t="shared" si="15"/>
        <v>-3.6934957718018091</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-3.5863948273659099</v>
      </c>
      <c r="E150" s="11">
        <f>A150-'Mastercurve bestimmen'!$B$2</f>
        <v>-30</v>
      </c>
      <c r="F150" s="11">
        <f t="shared" si="15"/>
        <v>-3.5863948273659099</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-3.4784583497832315</v>
      </c>
      <c r="E151" s="11">
        <f>A151-'Mastercurve bestimmen'!$B$2</f>
        <v>-29</v>
      </c>
      <c r="F151" s="11">
        <f t="shared" si="15"/>
        <v>-3.4784583497832315</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-3.3696897108933661</v>
      </c>
      <c r="E152" s="11">
        <f>A152-'Mastercurve bestimmen'!$B$2</f>
        <v>-28</v>
      </c>
      <c r="F152" s="11">
        <f t="shared" si="15"/>
        <v>-3.3696897108933661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-3.2600922825359064</v>
      </c>
      <c r="E153" s="11">
        <f>A153-'Mastercurve bestimmen'!$B$2</f>
        <v>-27</v>
      </c>
      <c r="F153" s="11">
        <f t="shared" si="15"/>
        <v>-3.2600922825359064</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-3.149669436550441</v>
      </c>
      <c r="E154" s="11">
        <f>A154-'Mastercurve bestimmen'!$B$2</f>
        <v>-26</v>
      </c>
      <c r="F154" s="11">
        <f t="shared" si="15"/>
        <v>-3.149669436550441</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-3.0384245447765634</v>
      </c>
      <c r="E155" s="11">
        <f>A155-'Mastercurve bestimmen'!$B$2</f>
        <v>-25</v>
      </c>
      <c r="F155" s="11">
        <f t="shared" si="15"/>
        <v>-3.0384245447765634</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-2.9263609790538636</v>
      </c>
      <c r="E156" s="11">
        <f>A156-'Mastercurve bestimmen'!$B$2</f>
        <v>-24</v>
      </c>
      <c r="F156" s="11">
        <f t="shared" si="15"/>
        <v>-2.9263609790538636</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-2.8134821112219335</v>
      </c>
      <c r="E157" s="11">
        <f>A157-'Mastercurve bestimmen'!$B$2</f>
        <v>-23</v>
      </c>
      <c r="F157" s="11">
        <f t="shared" si="15"/>
        <v>-2.8134821112219335</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-2.6997913131203646</v>
      </c>
      <c r="E158" s="11">
        <f>A158-'Mastercurve bestimmen'!$B$2</f>
        <v>-22</v>
      </c>
      <c r="F158" s="11">
        <f t="shared" si="15"/>
        <v>-2.6997913131203646</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-2.5852919565887476</v>
      </c>
      <c r="E159" s="11">
        <f>A159-'Mastercurve bestimmen'!$B$2</f>
        <v>-21</v>
      </c>
      <c r="F159" s="11">
        <f t="shared" si="15"/>
        <v>-2.5852919565887476</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-2.4699874134666748</v>
      </c>
      <c r="E160" s="11">
        <f>A160-'Mastercurve bestimmen'!$B$2</f>
        <v>-20</v>
      </c>
      <c r="F160" s="11">
        <f t="shared" si="15"/>
        <v>-2.4699874134666748</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-2.3538810555937371</v>
      </c>
      <c r="E161" s="11">
        <f>A161-'Mastercurve bestimmen'!$B$2</f>
        <v>-19</v>
      </c>
      <c r="F161" s="11">
        <f t="shared" si="15"/>
        <v>-2.3538810555937371</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-2.2369762548095249</v>
      </c>
      <c r="E162" s="11">
        <f>A162-'Mastercurve bestimmen'!$B$2</f>
        <v>-18</v>
      </c>
      <c r="F162" s="11">
        <f t="shared" si="15"/>
        <v>-2.2369762548095249</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-2.1192763829536303</v>
      </c>
      <c r="E163" s="11">
        <f>A163-'Mastercurve bestimmen'!$B$2</f>
        <v>-17</v>
      </c>
      <c r="F163" s="11">
        <f t="shared" si="15"/>
        <v>-2.1192763829536303</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-2.0007848118656448</v>
      </c>
      <c r="E164" s="11">
        <f>A164-'Mastercurve bestimmen'!$B$2</f>
        <v>-16</v>
      </c>
      <c r="F164" s="11">
        <f t="shared" si="15"/>
        <v>-2.0007848118656448</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-1.8815049133851596</v>
      </c>
      <c r="E165" s="11">
        <f>A165-'Mastercurve bestimmen'!$B$2</f>
        <v>-15</v>
      </c>
      <c r="F165" s="11">
        <f t="shared" si="15"/>
        <v>-1.8815049133851596</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-1.7614400593517656</v>
      </c>
      <c r="E166" s="11">
        <f>A166-'Mastercurve bestimmen'!$B$2</f>
        <v>-14</v>
      </c>
      <c r="F166" s="11">
        <f t="shared" si="15"/>
        <v>-1.7614400593517656</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-1.6405936216050547</v>
      </c>
      <c r="E167" s="11">
        <f>A167-'Mastercurve bestimmen'!$B$2</f>
        <v>-13</v>
      </c>
      <c r="F167" s="11">
        <f t="shared" si="15"/>
        <v>-1.6405936216050547</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-1.518968971984618</v>
      </c>
      <c r="E168" s="11">
        <f>A168-'Mastercurve bestimmen'!$B$2</f>
        <v>-12</v>
      </c>
      <c r="F168" s="11">
        <f t="shared" si="15"/>
        <v>-1.518968971984618</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-1.3965694823300465</v>
      </c>
      <c r="E169" s="11">
        <f>A169-'Mastercurve bestimmen'!$B$2</f>
        <v>-11</v>
      </c>
      <c r="F169" s="11">
        <f t="shared" si="15"/>
        <v>-1.3965694823300465</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-1.2733985244809323</v>
      </c>
      <c r="E170" s="11">
        <f>A170-'Mastercurve bestimmen'!$B$2</f>
        <v>-10</v>
      </c>
      <c r="F170" s="11">
        <f t="shared" si="15"/>
        <v>-1.2733985244809323</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-1.1494594702768657</v>
      </c>
      <c r="E171" s="11">
        <f>A171-'Mastercurve bestimmen'!$B$2</f>
        <v>-9</v>
      </c>
      <c r="F171" s="11">
        <f t="shared" si="15"/>
        <v>-1.1494594702768657</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-1.0247556915574387</v>
      </c>
      <c r="E172" s="11">
        <f>A172-'Mastercurve bestimmen'!$B$2</f>
        <v>-8</v>
      </c>
      <c r="F172" s="11">
        <f t="shared" si="15"/>
        <v>-1.0247556915574387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-0.89929056016224229</v>
      </c>
      <c r="E173" s="11">
        <f>A173-'Mastercurve bestimmen'!$B$2</f>
        <v>-7</v>
      </c>
      <c r="F173" s="11">
        <f t="shared" si="15"/>
        <v>-0.89929056016224229</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-0.77306744793086812</v>
      </c>
      <c r="E174" s="11">
        <f>A174-'Mastercurve bestimmen'!$B$2</f>
        <v>-6</v>
      </c>
      <c r="F174" s="11">
        <f t="shared" si="15"/>
        <v>-0.77306744793086812</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-0.64608972670290732</v>
      </c>
      <c r="E175" s="11">
        <f>A175-'Mastercurve bestimmen'!$B$2</f>
        <v>-5</v>
      </c>
      <c r="F175" s="11">
        <f t="shared" si="15"/>
        <v>-0.64608972670290732</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-0.51836076831795119</v>
      </c>
      <c r="E176" s="11">
        <f>A176-'Mastercurve bestimmen'!$B$2</f>
        <v>-4</v>
      </c>
      <c r="F176" s="11">
        <f t="shared" si="15"/>
        <v>-0.51836076831795119</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-0.38988394461559106</v>
      </c>
      <c r="E177" s="11">
        <f>A177-'Mastercurve bestimmen'!$B$2</f>
        <v>-3</v>
      </c>
      <c r="F177" s="11">
        <f t="shared" si="15"/>
        <v>-0.38988394461559106</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-0.26066262743541824</v>
      </c>
      <c r="E178" s="11">
        <f>A178-'Mastercurve bestimmen'!$B$2</f>
        <v>-2</v>
      </c>
      <c r="F178" s="11">
        <f t="shared" si="15"/>
        <v>-0.26066262743541824</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-0.13070018861702412</v>
      </c>
      <c r="E179" s="11">
        <f>A179-'Mastercurve bestimmen'!$B$2</f>
        <v>-1</v>
      </c>
      <c r="F179" s="11">
        <f t="shared" si="15"/>
        <v>-0.13070018861702412</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2.7755575615628914E-17</v>
      </c>
      <c r="E180" s="11">
        <f>A180-'Mastercurve bestimmen'!$B$2</f>
        <v>0</v>
      </c>
      <c r="F180" s="11">
        <f t="shared" si="15"/>
        <v>2.7755575615628914E-17</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0.13143163151142792</v>
      </c>
      <c r="E181" s="11">
        <f>A181-'Mastercurve bestimmen'!$B$2</f>
        <v>1</v>
      </c>
      <c r="F181" s="11">
        <f t="shared" si="15"/>
        <v>0.13143163151142792</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0.26357665875449343</v>
      </c>
      <c r="E182" s="11">
        <f>A182-'Mastercurve bestimmen'!$B$2</f>
        <v>2</v>
      </c>
      <c r="F182" s="11">
        <f t="shared" si="15"/>
        <v>0.26357665875449343</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0.3964140995017954</v>
      </c>
      <c r="E183" s="11">
        <f>A183-'Mastercurve bestimmen'!$B$2</f>
        <v>3</v>
      </c>
      <c r="F183" s="11">
        <f t="shared" si="15"/>
        <v>0.3964140995017954</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0.52992297152593282</v>
      </c>
      <c r="E184" s="11">
        <f>A184-'Mastercurve bestimmen'!$B$2</f>
        <v>4</v>
      </c>
      <c r="F184" s="11">
        <f t="shared" si="15"/>
        <v>0.52992297152593282</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0.66408229259950458</v>
      </c>
      <c r="E185" s="11">
        <f>A185-'Mastercurve bestimmen'!$B$2</f>
        <v>5</v>
      </c>
      <c r="F185" s="11">
        <f t="shared" si="15"/>
        <v>0.66408229259950458</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0.79887108049510935</v>
      </c>
      <c r="E186" s="11">
        <f>A186-'Mastercurve bestimmen'!$B$2</f>
        <v>6</v>
      </c>
      <c r="F186" s="11">
        <f t="shared" si="15"/>
        <v>0.79887108049510935</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0.93426835298534627</v>
      </c>
      <c r="E187" s="11">
        <f>A187-'Mastercurve bestimmen'!$B$2</f>
        <v>7</v>
      </c>
      <c r="F187" s="11">
        <f t="shared" si="15"/>
        <v>0.93426835298534627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1.0702531278428142</v>
      </c>
      <c r="E188" s="11">
        <f>A188-'Mastercurve bestimmen'!$B$2</f>
        <v>8</v>
      </c>
      <c r="F188" s="11">
        <f t="shared" si="15"/>
        <v>1.0702531278428142</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1.2068044228401118</v>
      </c>
      <c r="E189" s="11">
        <f>A189-'Mastercurve bestimmen'!$B$2</f>
        <v>9</v>
      </c>
      <c r="F189" s="11">
        <f t="shared" si="15"/>
        <v>1.2068044228401118</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1.3439012557498384</v>
      </c>
      <c r="E190" s="11">
        <f>A190-'Mastercurve bestimmen'!$B$2</f>
        <v>10</v>
      </c>
      <c r="F190" s="11">
        <f t="shared" si="15"/>
        <v>1.3439012557498384</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1.4815226443445926</v>
      </c>
      <c r="E191" s="11">
        <f>A191-'Mastercurve bestimmen'!$B$2</f>
        <v>11</v>
      </c>
      <c r="F191" s="11">
        <f t="shared" si="15"/>
        <v>1.4815226443445926</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1.6196476063969731</v>
      </c>
      <c r="E192" s="11">
        <f>A192-'Mastercurve bestimmen'!$B$2</f>
        <v>12</v>
      </c>
      <c r="F192" s="11">
        <f t="shared" si="15"/>
        <v>1.6196476063969731</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1.7582551596795795</v>
      </c>
      <c r="E193" s="11">
        <f>A193-'Mastercurve bestimmen'!$B$2</f>
        <v>13</v>
      </c>
      <c r="F193" s="11">
        <f t="shared" si="15"/>
        <v>1.7582551596795795</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1.89732432196501</v>
      </c>
      <c r="E194" s="11">
        <f>A194-'Mastercurve bestimmen'!$B$2</f>
        <v>14</v>
      </c>
      <c r="F194" s="11">
        <f t="shared" si="15"/>
        <v>1.89732432196501</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2.0368341110258634</v>
      </c>
      <c r="E195" s="11">
        <f>A195-'Mastercurve bestimmen'!$B$2</f>
        <v>15</v>
      </c>
      <c r="F195" s="11">
        <f t="shared" si="15"/>
        <v>2.0368341110258634</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2.1767635446347393</v>
      </c>
      <c r="E196" s="11">
        <f>A196-'Mastercurve bestimmen'!$B$2</f>
        <v>16</v>
      </c>
      <c r="F196" s="11">
        <f t="shared" si="15"/>
        <v>2.1767635446347393</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2.3170916405642363</v>
      </c>
      <c r="E197" s="11">
        <f>A197-'Mastercurve bestimmen'!$B$2</f>
        <v>17</v>
      </c>
      <c r="F197" s="11">
        <f t="shared" si="15"/>
        <v>2.3170916405642363</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2.4577974165869527</v>
      </c>
      <c r="E198" s="11">
        <f>A198-'Mastercurve bestimmen'!$B$2</f>
        <v>18</v>
      </c>
      <c r="F198" s="11">
        <f t="shared" si="15"/>
        <v>2.4577974165869527</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2.5988598904754885</v>
      </c>
      <c r="E199" s="11">
        <f>A199-'Mastercurve bestimmen'!$B$2</f>
        <v>19</v>
      </c>
      <c r="F199" s="11">
        <f t="shared" si="15"/>
        <v>2.5988598904754885</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2.7402580800024419</v>
      </c>
      <c r="E200" s="11">
        <f>A200-'Mastercurve bestimmen'!$B$2</f>
        <v>20</v>
      </c>
      <c r="F200" s="11">
        <f t="shared" si="15"/>
        <v>2.7402580800024419</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2.8819710029404115</v>
      </c>
      <c r="E201" s="11">
        <f>A201-'Mastercurve bestimmen'!$B$2</f>
        <v>21</v>
      </c>
      <c r="F201" s="11">
        <f t="shared" si="15"/>
        <v>2.8819710029404115</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3.023977677061997</v>
      </c>
      <c r="E202" s="11">
        <f>A202-'Mastercurve bestimmen'!$B$2</f>
        <v>22</v>
      </c>
      <c r="F202" s="11">
        <f t="shared" si="15"/>
        <v>3.023977677061997</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3.1662571201397967</v>
      </c>
      <c r="E203" s="11">
        <f>A203-'Mastercurve bestimmen'!$B$2</f>
        <v>23</v>
      </c>
      <c r="F203" s="11">
        <f t="shared" si="15"/>
        <v>3.1662571201397967</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3.3087883499464095</v>
      </c>
      <c r="E204" s="11">
        <f>A204-'Mastercurve bestimmen'!$B$2</f>
        <v>24</v>
      </c>
      <c r="F204" s="11">
        <f t="shared" si="15"/>
        <v>3.3087883499464095</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3.4515503842544346</v>
      </c>
      <c r="E205" s="11">
        <f>A205-'Mastercurve bestimmen'!$B$2</f>
        <v>25</v>
      </c>
      <c r="F205" s="11">
        <f t="shared" si="15"/>
        <v>3.4515503842544346</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3.5945222408364712</v>
      </c>
      <c r="E206" s="11">
        <f>A206-'Mastercurve bestimmen'!$B$2</f>
        <v>26</v>
      </c>
      <c r="F206" s="11">
        <f t="shared" si="15"/>
        <v>3.5945222408364712</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3.7376829374651175</v>
      </c>
      <c r="E207" s="11">
        <f>A207-'Mastercurve bestimmen'!$B$2</f>
        <v>27</v>
      </c>
      <c r="F207" s="11">
        <f t="shared" si="15"/>
        <v>3.7376829374651175</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3.8810114919129721</v>
      </c>
      <c r="E208" s="11">
        <f>A208-'Mastercurve bestimmen'!$B$2</f>
        <v>28</v>
      </c>
      <c r="F208" s="11">
        <f t="shared" ref="F208:F215" si="21">B208</f>
        <v>3.8810114919129721</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4.0244869219526347</v>
      </c>
      <c r="E209" s="11">
        <f>A209-'Mastercurve bestimmen'!$B$2</f>
        <v>29</v>
      </c>
      <c r="F209" s="11">
        <f t="shared" si="21"/>
        <v>4.0244869219526347</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4.1680882453567039</v>
      </c>
      <c r="E210" s="11">
        <f>A210-'Mastercurve bestimmen'!$B$2</f>
        <v>30</v>
      </c>
      <c r="F210" s="11">
        <f t="shared" si="21"/>
        <v>4.1680882453567039</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4.3117944798977792</v>
      </c>
      <c r="E211" s="11">
        <f>A211-'Mastercurve bestimmen'!$B$2</f>
        <v>31</v>
      </c>
      <c r="F211" s="11">
        <f t="shared" si="21"/>
        <v>4.3117944798977792</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4.4555846433484581</v>
      </c>
      <c r="E212" s="11">
        <f>A212-'Mastercurve bestimmen'!$B$2</f>
        <v>32</v>
      </c>
      <c r="F212" s="11">
        <f t="shared" si="21"/>
        <v>4.4555846433484581</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4.5994377534813413</v>
      </c>
      <c r="E213" s="11">
        <f>A213-'Mastercurve bestimmen'!$B$2</f>
        <v>33</v>
      </c>
      <c r="F213" s="11">
        <f t="shared" si="21"/>
        <v>4.5994377534813413</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4.7433328280690263</v>
      </c>
      <c r="E214" s="11">
        <f>A214-'Mastercurve bestimmen'!$B$2</f>
        <v>34</v>
      </c>
      <c r="F214" s="11">
        <f t="shared" si="21"/>
        <v>4.7433328280690263</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4.8872488848841122</v>
      </c>
      <c r="E215" s="11">
        <f>A215-'Mastercurve bestimmen'!$B$2</f>
        <v>35</v>
      </c>
      <c r="F215" s="11">
        <f t="shared" si="21"/>
        <v>4.8872488848841122</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0.13069875678860479</v>
      </c>
      <c r="J217" s="98">
        <v>3.3109168136627324E-4</v>
      </c>
      <c r="K217" s="98">
        <v>-7.8728599227650329E-7</v>
      </c>
      <c r="L217" s="98">
        <v>7.5536467006377058E-9</v>
      </c>
      <c r="M217" s="98">
        <v>-6.2169407238451323E-10</v>
      </c>
      <c r="N217" s="98">
        <v>-1.8610620176143846E-11</v>
      </c>
      <c r="O217" s="98">
        <v>-1.3769668833094939E-13</v>
      </c>
      <c r="P217" s="98">
        <v>-3.1322599350097519E-16</v>
      </c>
    </row>
    <row r="218" spans="1:16" x14ac:dyDescent="0.25">
      <c r="G218" s="11"/>
      <c r="H218" s="11">
        <v>0</v>
      </c>
      <c r="I218" s="11">
        <v>2.9181348433368533E-4</v>
      </c>
      <c r="J218" s="11">
        <v>1.1853355389509437E-5</v>
      </c>
      <c r="K218" s="3">
        <v>3.653422661754701E-7</v>
      </c>
      <c r="L218" s="3">
        <v>9.3883656784709886E-9</v>
      </c>
      <c r="M218" s="3">
        <v>2.6147868262127753E-10</v>
      </c>
      <c r="N218" s="3">
        <v>3.101283768130051E-12</v>
      </c>
      <c r="O218" s="11">
        <v>1.6294996223377987E-14</v>
      </c>
      <c r="P218" s="11">
        <v>3.1811378676711183E-17</v>
      </c>
    </row>
    <row r="219" spans="1:16" x14ac:dyDescent="0.25">
      <c r="G219" s="11"/>
      <c r="H219" s="11">
        <v>0.99999253972749969</v>
      </c>
      <c r="I219" s="11">
        <v>2.5087281472151262E-2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-16.540540822536656</v>
      </c>
      <c r="G222">
        <f>F15</f>
        <v>-16.55297231699258</v>
      </c>
    </row>
    <row r="223" spans="1:16" x14ac:dyDescent="0.25">
      <c r="E223" s="11">
        <f t="shared" ref="E223:E286" si="25">E16</f>
        <v>-164</v>
      </c>
      <c r="F223" s="11">
        <f t="shared" ref="F223:F286" si="26">$H$217*0+E223*$I$217+E223^2*$J$217+E223^3*$K$217+E223^4*$L$217+E223^5*$M$217+E223^6*$N$217+E223^7*$O$217+E223^8*$P$217</f>
        <v>-16.474168358026702</v>
      </c>
      <c r="G223" s="11">
        <f t="shared" ref="G223:G286" si="27">F16</f>
        <v>-16.483528857489173</v>
      </c>
    </row>
    <row r="224" spans="1:16" x14ac:dyDescent="0.25">
      <c r="E224" s="11">
        <f t="shared" si="25"/>
        <v>-163</v>
      </c>
      <c r="F224" s="11">
        <f t="shared" si="26"/>
        <v>-16.408135091828569</v>
      </c>
      <c r="G224" s="11">
        <f t="shared" si="27"/>
        <v>-16.413981831668064</v>
      </c>
    </row>
    <row r="225" spans="5:7" x14ac:dyDescent="0.25">
      <c r="E225" s="11">
        <f t="shared" si="25"/>
        <v>-162</v>
      </c>
      <c r="F225" s="11">
        <f t="shared" si="26"/>
        <v>-16.342078616081437</v>
      </c>
      <c r="G225" s="11">
        <f t="shared" si="27"/>
        <v>-16.344227673211567</v>
      </c>
    </row>
    <row r="226" spans="5:7" x14ac:dyDescent="0.25">
      <c r="E226" s="11">
        <f t="shared" si="25"/>
        <v>-161</v>
      </c>
      <c r="F226" s="11">
        <f t="shared" si="26"/>
        <v>-16.275672748104228</v>
      </c>
      <c r="G226" s="11">
        <f t="shared" si="27"/>
        <v>-16.274162815801983</v>
      </c>
    </row>
    <row r="227" spans="5:7" x14ac:dyDescent="0.25">
      <c r="E227" s="11">
        <f t="shared" si="25"/>
        <v>-160</v>
      </c>
      <c r="F227" s="11">
        <f t="shared" si="26"/>
        <v>-16.208625558059651</v>
      </c>
      <c r="G227" s="11">
        <f t="shared" si="27"/>
        <v>-16.203683693121619</v>
      </c>
    </row>
    <row r="228" spans="5:7" x14ac:dyDescent="0.25">
      <c r="E228" s="11">
        <f t="shared" si="25"/>
        <v>-159</v>
      </c>
      <c r="F228" s="11">
        <f t="shared" si="26"/>
        <v>-16.140677463316479</v>
      </c>
      <c r="G228" s="11">
        <f t="shared" si="27"/>
        <v>-16.132686738852772</v>
      </c>
    </row>
    <row r="229" spans="5:7" x14ac:dyDescent="0.25">
      <c r="E229" s="11">
        <f t="shared" si="25"/>
        <v>-158</v>
      </c>
      <c r="F229" s="11">
        <f t="shared" si="26"/>
        <v>-16.071599388163492</v>
      </c>
      <c r="G229" s="11">
        <f t="shared" si="27"/>
        <v>-16.061068386677757</v>
      </c>
    </row>
    <row r="230" spans="5:7" x14ac:dyDescent="0.25">
      <c r="E230" s="11">
        <f t="shared" si="25"/>
        <v>-157</v>
      </c>
      <c r="F230" s="11">
        <f t="shared" si="26"/>
        <v>-16.001190987541833</v>
      </c>
      <c r="G230" s="11">
        <f t="shared" si="27"/>
        <v>-15.988725070278868</v>
      </c>
    </row>
    <row r="231" spans="5:7" x14ac:dyDescent="0.25">
      <c r="E231" s="11">
        <f t="shared" si="25"/>
        <v>-156</v>
      </c>
      <c r="F231" s="11">
        <f t="shared" si="26"/>
        <v>-15.929278933476724</v>
      </c>
      <c r="G231" s="11">
        <f t="shared" si="27"/>
        <v>-15.915553223338417</v>
      </c>
    </row>
    <row r="232" spans="5:7" x14ac:dyDescent="0.25">
      <c r="E232" s="11">
        <f t="shared" si="25"/>
        <v>-155</v>
      </c>
      <c r="F232" s="11">
        <f t="shared" si="26"/>
        <v>-15.85571526289921</v>
      </c>
      <c r="G232" s="11">
        <f t="shared" si="27"/>
        <v>-15.841449279538706</v>
      </c>
    </row>
    <row r="233" spans="5:7" x14ac:dyDescent="0.25">
      <c r="E233" s="11">
        <f t="shared" si="25"/>
        <v>-154</v>
      </c>
      <c r="F233" s="11">
        <f t="shared" si="26"/>
        <v>-15.780375785563791</v>
      </c>
      <c r="G233" s="11">
        <f t="shared" si="27"/>
        <v>-15.766309672562038</v>
      </c>
    </row>
    <row r="234" spans="5:7" x14ac:dyDescent="0.25">
      <c r="E234" s="11">
        <f t="shared" si="25"/>
        <v>-153</v>
      </c>
      <c r="F234" s="11">
        <f t="shared" si="26"/>
        <v>-15.703158550779207</v>
      </c>
      <c r="G234" s="11">
        <f t="shared" si="27"/>
        <v>-15.690030836090719</v>
      </c>
    </row>
    <row r="235" spans="5:7" x14ac:dyDescent="0.25">
      <c r="E235" s="11">
        <f t="shared" si="25"/>
        <v>-152</v>
      </c>
      <c r="F235" s="11">
        <f t="shared" si="26"/>
        <v>-15.623982371682686</v>
      </c>
      <c r="G235" s="11">
        <f t="shared" si="27"/>
        <v>-15.612509203807054</v>
      </c>
    </row>
    <row r="236" spans="5:7" x14ac:dyDescent="0.25">
      <c r="E236" s="11">
        <f t="shared" si="25"/>
        <v>-151</v>
      </c>
      <c r="F236" s="11">
        <f t="shared" si="26"/>
        <v>-15.542785405799762</v>
      </c>
      <c r="G236" s="11">
        <f t="shared" si="27"/>
        <v>-15.533641209393345</v>
      </c>
    </row>
    <row r="237" spans="5:7" x14ac:dyDescent="0.25">
      <c r="E237" s="11">
        <f t="shared" si="25"/>
        <v>-150</v>
      </c>
      <c r="F237" s="11">
        <f t="shared" si="26"/>
        <v>-15.459523790646003</v>
      </c>
      <c r="G237" s="11">
        <f t="shared" si="27"/>
        <v>-15.4533232865319</v>
      </c>
    </row>
    <row r="238" spans="5:7" x14ac:dyDescent="0.25">
      <c r="E238" s="11">
        <f t="shared" si="25"/>
        <v>-149</v>
      </c>
      <c r="F238" s="11">
        <f t="shared" si="26"/>
        <v>-15.374170333138096</v>
      </c>
      <c r="G238" s="11">
        <f t="shared" si="27"/>
        <v>-15.371451868905018</v>
      </c>
    </row>
    <row r="239" spans="5:7" x14ac:dyDescent="0.25">
      <c r="E239" s="11">
        <f t="shared" si="25"/>
        <v>-148</v>
      </c>
      <c r="F239" s="11">
        <f t="shared" si="26"/>
        <v>-15.286713251594762</v>
      </c>
      <c r="G239" s="11">
        <f t="shared" si="27"/>
        <v>-15.287923390195008</v>
      </c>
    </row>
    <row r="240" spans="5:7" x14ac:dyDescent="0.25">
      <c r="E240" s="11">
        <f t="shared" si="25"/>
        <v>-147</v>
      </c>
      <c r="F240" s="11">
        <f t="shared" si="26"/>
        <v>-15.197154969121655</v>
      </c>
      <c r="G240" s="11">
        <f t="shared" si="27"/>
        <v>-15.202634284084173</v>
      </c>
    </row>
    <row r="241" spans="5:7" x14ac:dyDescent="0.25">
      <c r="E241" s="11">
        <f t="shared" si="25"/>
        <v>-146</v>
      </c>
      <c r="F241" s="11">
        <f t="shared" si="26"/>
        <v>-15.105510957184947</v>
      </c>
      <c r="G241" s="11">
        <f t="shared" si="27"/>
        <v>-15.11548098425482</v>
      </c>
    </row>
    <row r="242" spans="5:7" x14ac:dyDescent="0.25">
      <c r="E242" s="11">
        <f t="shared" si="25"/>
        <v>-145</v>
      </c>
      <c r="F242" s="11">
        <f t="shared" si="26"/>
        <v>-15.011808628193393</v>
      </c>
      <c r="G242" s="11">
        <f t="shared" si="27"/>
        <v>-15.026359924389247</v>
      </c>
    </row>
    <row r="243" spans="5:7" x14ac:dyDescent="0.25">
      <c r="E243" s="11">
        <f t="shared" si="25"/>
        <v>-144</v>
      </c>
      <c r="F243" s="11">
        <f t="shared" si="26"/>
        <v>-14.916086275919135</v>
      </c>
      <c r="G243" s="11">
        <f t="shared" si="27"/>
        <v>-14.935167538169765</v>
      </c>
    </row>
    <row r="244" spans="5:7" x14ac:dyDescent="0.25">
      <c r="E244" s="11">
        <f t="shared" si="25"/>
        <v>-143</v>
      </c>
      <c r="F244" s="11">
        <f t="shared" si="26"/>
        <v>-14.818392062601191</v>
      </c>
      <c r="G244" s="11">
        <f t="shared" si="27"/>
        <v>-14.841800259278674</v>
      </c>
    </row>
    <row r="245" spans="5:7" x14ac:dyDescent="0.25">
      <c r="E245" s="11">
        <f t="shared" si="25"/>
        <v>-142</v>
      </c>
      <c r="F245" s="11">
        <f t="shared" si="26"/>
        <v>-14.718783051588645</v>
      </c>
      <c r="G245" s="11">
        <f t="shared" si="27"/>
        <v>-14.746154521398282</v>
      </c>
    </row>
    <row r="246" spans="5:7" x14ac:dyDescent="0.25">
      <c r="E246" s="11">
        <f t="shared" si="25"/>
        <v>-141</v>
      </c>
      <c r="F246" s="11">
        <f t="shared" si="26"/>
        <v>-14.617324284392033</v>
      </c>
      <c r="G246" s="11">
        <f t="shared" si="27"/>
        <v>-14.648126758210889</v>
      </c>
    </row>
    <row r="247" spans="5:7" x14ac:dyDescent="0.25">
      <c r="E247" s="11">
        <f t="shared" si="25"/>
        <v>-140</v>
      </c>
      <c r="F247" s="11">
        <f t="shared" si="26"/>
        <v>-14.514087901024375</v>
      </c>
      <c r="G247" s="11">
        <f t="shared" si="27"/>
        <v>-14.547613403398806</v>
      </c>
    </row>
    <row r="248" spans="5:7" x14ac:dyDescent="0.25">
      <c r="E248" s="11">
        <f t="shared" si="25"/>
        <v>-139</v>
      </c>
      <c r="F248" s="11">
        <f t="shared" si="26"/>
        <v>-14.40915230252731</v>
      </c>
      <c r="G248" s="11">
        <f t="shared" si="27"/>
        <v>-14.444510890644331</v>
      </c>
    </row>
    <row r="249" spans="5:7" x14ac:dyDescent="0.25">
      <c r="E249" s="11">
        <f t="shared" si="25"/>
        <v>-138</v>
      </c>
      <c r="F249" s="11">
        <f t="shared" si="26"/>
        <v>-14.30260135458785</v>
      </c>
      <c r="G249" s="11">
        <f t="shared" si="27"/>
        <v>-14.33871565362977</v>
      </c>
    </row>
    <row r="250" spans="5:7" x14ac:dyDescent="0.25">
      <c r="E250" s="11">
        <f t="shared" si="25"/>
        <v>-137</v>
      </c>
      <c r="F250" s="11">
        <f t="shared" si="26"/>
        <v>-14.194523631166547</v>
      </c>
      <c r="G250" s="11">
        <f t="shared" si="27"/>
        <v>-14.230124126037428</v>
      </c>
    </row>
    <row r="251" spans="5:7" x14ac:dyDescent="0.25">
      <c r="E251" s="11">
        <f t="shared" si="25"/>
        <v>-136</v>
      </c>
      <c r="F251" s="11">
        <f t="shared" si="26"/>
        <v>-14.08501169706819</v>
      </c>
      <c r="G251" s="11">
        <f t="shared" si="27"/>
        <v>-14.118632741549611</v>
      </c>
    </row>
    <row r="252" spans="5:7" x14ac:dyDescent="0.25">
      <c r="E252" s="11">
        <f t="shared" si="25"/>
        <v>-135</v>
      </c>
      <c r="F252" s="11">
        <f t="shared" si="26"/>
        <v>-13.974161428401111</v>
      </c>
      <c r="G252" s="11">
        <f t="shared" si="27"/>
        <v>-14.004137933848622</v>
      </c>
    </row>
    <row r="253" spans="5:7" x14ac:dyDescent="0.25">
      <c r="E253" s="11">
        <f t="shared" si="25"/>
        <v>-134</v>
      </c>
      <c r="F253" s="11">
        <f t="shared" si="26"/>
        <v>-13.862071369881242</v>
      </c>
      <c r="G253" s="11">
        <f t="shared" si="27"/>
        <v>-13.886536136616765</v>
      </c>
    </row>
    <row r="254" spans="5:7" x14ac:dyDescent="0.25">
      <c r="E254" s="11">
        <f t="shared" si="25"/>
        <v>-133</v>
      </c>
      <c r="F254" s="11">
        <f t="shared" si="26"/>
        <v>-13.748842127952166</v>
      </c>
      <c r="G254" s="11">
        <f t="shared" si="27"/>
        <v>-13.765723783536345</v>
      </c>
    </row>
    <row r="255" spans="5:7" x14ac:dyDescent="0.25">
      <c r="E255" s="11">
        <f t="shared" si="25"/>
        <v>-132</v>
      </c>
      <c r="F255" s="11">
        <f t="shared" si="26"/>
        <v>-13.634575798703018</v>
      </c>
      <c r="G255" s="11">
        <f t="shared" si="27"/>
        <v>-13.641597308289667</v>
      </c>
    </row>
    <row r="256" spans="5:7" x14ac:dyDescent="0.25">
      <c r="E256" s="11">
        <f t="shared" si="25"/>
        <v>-131</v>
      </c>
      <c r="F256" s="11">
        <f t="shared" si="26"/>
        <v>-13.519375429580261</v>
      </c>
      <c r="G256" s="11">
        <f t="shared" si="27"/>
        <v>-13.514053144559034</v>
      </c>
    </row>
    <row r="257" spans="5:7" x14ac:dyDescent="0.25">
      <c r="E257" s="11">
        <f t="shared" si="25"/>
        <v>-130</v>
      </c>
      <c r="F257" s="11">
        <f t="shared" si="26"/>
        <v>-13.403344513900773</v>
      </c>
      <c r="G257" s="11">
        <f t="shared" si="27"/>
        <v>-13.382987726026752</v>
      </c>
    </row>
    <row r="258" spans="5:7" x14ac:dyDescent="0.25">
      <c r="E258" s="11">
        <f t="shared" si="25"/>
        <v>-129</v>
      </c>
      <c r="F258" s="11">
        <f t="shared" si="26"/>
        <v>-13.286586517187274</v>
      </c>
      <c r="G258" s="11">
        <f t="shared" si="27"/>
        <v>-13.248297486375124</v>
      </c>
    </row>
    <row r="259" spans="5:7" x14ac:dyDescent="0.25">
      <c r="E259" s="11">
        <f t="shared" si="25"/>
        <v>-128</v>
      </c>
      <c r="F259" s="11">
        <f t="shared" si="26"/>
        <v>-13.169204434359042</v>
      </c>
      <c r="G259" s="11">
        <f t="shared" si="27"/>
        <v>-13.109878859286454</v>
      </c>
    </row>
    <row r="260" spans="5:7" x14ac:dyDescent="0.25">
      <c r="E260" s="11">
        <f t="shared" si="25"/>
        <v>-127</v>
      </c>
      <c r="F260" s="11">
        <f t="shared" si="26"/>
        <v>-13.051300376824006</v>
      </c>
      <c r="G260" s="11">
        <f t="shared" si="27"/>
        <v>-12.967628278443048</v>
      </c>
    </row>
    <row r="261" spans="5:7" x14ac:dyDescent="0.25">
      <c r="E261" s="11">
        <f t="shared" si="25"/>
        <v>-126</v>
      </c>
      <c r="F261" s="11">
        <f t="shared" si="26"/>
        <v>-12.932975188530563</v>
      </c>
      <c r="G261" s="11">
        <f t="shared" si="27"/>
        <v>-12.82144217752721</v>
      </c>
    </row>
    <row r="262" spans="5:7" x14ac:dyDescent="0.25">
      <c r="E262" s="11">
        <f t="shared" si="25"/>
        <v>-125</v>
      </c>
      <c r="F262" s="11">
        <f t="shared" si="26"/>
        <v>-12.814328090050385</v>
      </c>
      <c r="G262" s="11">
        <f t="shared" si="27"/>
        <v>-12.671216990221247</v>
      </c>
    </row>
    <row r="263" spans="5:7" x14ac:dyDescent="0.25">
      <c r="E263" s="11">
        <f t="shared" si="25"/>
        <v>-124</v>
      </c>
      <c r="F263" s="11">
        <f t="shared" si="26"/>
        <v>-12.695456349775728</v>
      </c>
      <c r="G263" s="11">
        <f t="shared" si="27"/>
        <v>-12.586970736621119</v>
      </c>
    </row>
    <row r="264" spans="5:7" x14ac:dyDescent="0.25">
      <c r="E264" s="11">
        <f t="shared" si="25"/>
        <v>-123</v>
      </c>
      <c r="F264" s="11">
        <f t="shared" si="26"/>
        <v>-12.576454981328016</v>
      </c>
      <c r="G264" s="11">
        <f t="shared" si="27"/>
        <v>-12.498829178050153</v>
      </c>
    </row>
    <row r="265" spans="5:7" x14ac:dyDescent="0.25">
      <c r="E265" s="11">
        <f t="shared" si="25"/>
        <v>-122</v>
      </c>
      <c r="F265" s="11">
        <f t="shared" si="26"/>
        <v>-12.457416466286352</v>
      </c>
      <c r="G265" s="11">
        <f t="shared" si="27"/>
        <v>-12.407039662245328</v>
      </c>
    </row>
    <row r="266" spans="5:7" x14ac:dyDescent="0.25">
      <c r="E266" s="11">
        <f t="shared" si="25"/>
        <v>-121</v>
      </c>
      <c r="F266" s="11">
        <f t="shared" si="26"/>
        <v>-12.338430501357838</v>
      </c>
      <c r="G266" s="11">
        <f t="shared" si="27"/>
        <v>-12.311849536943626</v>
      </c>
    </row>
    <row r="267" spans="5:7" x14ac:dyDescent="0.25">
      <c r="E267" s="11">
        <f t="shared" si="25"/>
        <v>-120</v>
      </c>
      <c r="F267" s="11">
        <f t="shared" si="26"/>
        <v>-12.219583769123835</v>
      </c>
      <c r="G267" s="11">
        <f t="shared" si="27"/>
        <v>-12.213506149882029</v>
      </c>
    </row>
    <row r="268" spans="5:7" x14ac:dyDescent="0.25">
      <c r="E268" s="11">
        <f t="shared" si="25"/>
        <v>-119</v>
      </c>
      <c r="F268" s="11">
        <f t="shared" si="26"/>
        <v>-12.100959731509155</v>
      </c>
      <c r="G268" s="11">
        <f t="shared" si="27"/>
        <v>-12.11225684879752</v>
      </c>
    </row>
    <row r="269" spans="5:7" x14ac:dyDescent="0.25">
      <c r="E269" s="11">
        <f t="shared" si="25"/>
        <v>-118</v>
      </c>
      <c r="F269" s="11">
        <f t="shared" si="26"/>
        <v>-11.982638445133718</v>
      </c>
      <c r="G269" s="11">
        <f t="shared" si="27"/>
        <v>-12.008348981427082</v>
      </c>
    </row>
    <row r="270" spans="5:7" x14ac:dyDescent="0.25">
      <c r="E270" s="11">
        <f t="shared" si="25"/>
        <v>-117</v>
      </c>
      <c r="F270" s="11">
        <f t="shared" si="26"/>
        <v>-11.864696397718795</v>
      </c>
      <c r="G270" s="11">
        <f t="shared" si="27"/>
        <v>-11.902029895507692</v>
      </c>
    </row>
    <row r="271" spans="5:7" x14ac:dyDescent="0.25">
      <c r="E271" s="11">
        <f t="shared" si="25"/>
        <v>-116</v>
      </c>
      <c r="F271" s="11">
        <f t="shared" si="26"/>
        <v>-11.747206364732598</v>
      </c>
      <c r="G271" s="11">
        <f t="shared" si="27"/>
        <v>-11.793546938776341</v>
      </c>
    </row>
    <row r="272" spans="5:7" x14ac:dyDescent="0.25">
      <c r="E272" s="11">
        <f t="shared" si="25"/>
        <v>-115</v>
      </c>
      <c r="F272" s="11">
        <f t="shared" si="26"/>
        <v>-11.630237285472809</v>
      </c>
      <c r="G272" s="11">
        <f t="shared" si="27"/>
        <v>-11.683147458970005</v>
      </c>
    </row>
    <row r="273" spans="5:7" x14ac:dyDescent="0.25">
      <c r="E273" s="11">
        <f t="shared" si="25"/>
        <v>-114</v>
      </c>
      <c r="F273" s="11">
        <f t="shared" si="26"/>
        <v>-11.513854157795885</v>
      </c>
      <c r="G273" s="11">
        <f t="shared" si="27"/>
        <v>-11.571078803825667</v>
      </c>
    </row>
    <row r="274" spans="5:7" x14ac:dyDescent="0.25">
      <c r="E274" s="11">
        <f t="shared" si="25"/>
        <v>-113</v>
      </c>
      <c r="F274" s="11">
        <f t="shared" si="26"/>
        <v>-11.398117950715934</v>
      </c>
      <c r="G274" s="11">
        <f t="shared" si="27"/>
        <v>-11.457588321080312</v>
      </c>
    </row>
    <row r="275" spans="5:7" x14ac:dyDescent="0.25">
      <c r="E275" s="11">
        <f t="shared" si="25"/>
        <v>-112</v>
      </c>
      <c r="F275" s="11">
        <f t="shared" si="26"/>
        <v>-11.283085534108492</v>
      </c>
      <c r="G275" s="11">
        <f t="shared" si="27"/>
        <v>-11.342923358470918</v>
      </c>
    </row>
    <row r="276" spans="5:7" x14ac:dyDescent="0.25">
      <c r="E276" s="11">
        <f t="shared" si="25"/>
        <v>-111</v>
      </c>
      <c r="F276" s="11">
        <f t="shared" si="26"/>
        <v>-11.168809624767057</v>
      </c>
      <c r="G276" s="11">
        <f t="shared" si="27"/>
        <v>-11.22733126373447</v>
      </c>
    </row>
    <row r="277" spans="5:7" x14ac:dyDescent="0.25">
      <c r="E277" s="11">
        <f t="shared" si="25"/>
        <v>-110</v>
      </c>
      <c r="F277" s="11">
        <f t="shared" si="26"/>
        <v>-11.055338748073051</v>
      </c>
      <c r="G277" s="11">
        <f t="shared" si="27"/>
        <v>-11.111059384607952</v>
      </c>
    </row>
    <row r="278" spans="5:7" x14ac:dyDescent="0.25">
      <c r="E278" s="11">
        <f t="shared" si="25"/>
        <v>-109</v>
      </c>
      <c r="F278" s="11">
        <f t="shared" si="26"/>
        <v>-10.942717214552307</v>
      </c>
      <c r="G278" s="11">
        <f t="shared" si="27"/>
        <v>-10.994355068828341</v>
      </c>
    </row>
    <row r="279" spans="5:7" x14ac:dyDescent="0.25">
      <c r="E279" s="11">
        <f t="shared" si="25"/>
        <v>-108</v>
      </c>
      <c r="F279" s="11">
        <f t="shared" si="26"/>
        <v>-10.830985110603963</v>
      </c>
      <c r="G279" s="11">
        <f t="shared" si="27"/>
        <v>-10.877465664132622</v>
      </c>
    </row>
    <row r="280" spans="5:7" x14ac:dyDescent="0.25">
      <c r="E280" s="11">
        <f t="shared" si="25"/>
        <v>-107</v>
      </c>
      <c r="F280" s="11">
        <f t="shared" si="26"/>
        <v>-10.720178302700235</v>
      </c>
      <c r="G280" s="11">
        <f t="shared" si="27"/>
        <v>-10.760638518257778</v>
      </c>
    </row>
    <row r="281" spans="5:7" x14ac:dyDescent="0.25">
      <c r="E281" s="11">
        <f t="shared" si="25"/>
        <v>-106</v>
      </c>
      <c r="F281" s="11">
        <f t="shared" si="26"/>
        <v>-10.610328454368112</v>
      </c>
      <c r="G281" s="11">
        <f t="shared" si="27"/>
        <v>-10.644120978940791</v>
      </c>
    </row>
    <row r="282" spans="5:7" x14ac:dyDescent="0.25">
      <c r="E282" s="11">
        <f t="shared" si="25"/>
        <v>-105</v>
      </c>
      <c r="F282" s="11">
        <f t="shared" si="26"/>
        <v>-10.501463055276702</v>
      </c>
      <c r="G282" s="11">
        <f t="shared" si="27"/>
        <v>-10.528160393918643</v>
      </c>
    </row>
    <row r="283" spans="5:7" x14ac:dyDescent="0.25">
      <c r="E283" s="11">
        <f t="shared" si="25"/>
        <v>-104</v>
      </c>
      <c r="F283" s="11">
        <f t="shared" si="26"/>
        <v>-10.393605461766606</v>
      </c>
      <c r="G283" s="11">
        <f t="shared" si="27"/>
        <v>-10.413004110928313</v>
      </c>
    </row>
    <row r="284" spans="5:7" x14ac:dyDescent="0.25">
      <c r="E284" s="11">
        <f t="shared" si="25"/>
        <v>-103</v>
      </c>
      <c r="F284" s="11">
        <f t="shared" si="26"/>
        <v>-10.286774948170262</v>
      </c>
      <c r="G284" s="11">
        <f t="shared" si="27"/>
        <v>-10.298899477706788</v>
      </c>
    </row>
    <row r="285" spans="5:7" x14ac:dyDescent="0.25">
      <c r="E285" s="11">
        <f t="shared" si="25"/>
        <v>-102</v>
      </c>
      <c r="F285" s="11">
        <f t="shared" si="26"/>
        <v>-10.180986768284825</v>
      </c>
      <c r="G285" s="11">
        <f t="shared" si="27"/>
        <v>-10.186093841991051</v>
      </c>
    </row>
    <row r="286" spans="5:7" x14ac:dyDescent="0.25">
      <c r="E286" s="11">
        <f t="shared" si="25"/>
        <v>-101</v>
      </c>
      <c r="F286" s="11">
        <f t="shared" si="26"/>
        <v>-10.076252226371913</v>
      </c>
      <c r="G286" s="11">
        <f t="shared" si="27"/>
        <v>-10.074834551518077</v>
      </c>
    </row>
    <row r="287" spans="5:7" x14ac:dyDescent="0.25">
      <c r="E287" s="11">
        <f t="shared" ref="E287:E350" si="28">E80</f>
        <v>-100</v>
      </c>
      <c r="F287" s="11">
        <f t="shared" ref="F287:F350" si="29">$H$217*0+E287*$I$217+E287^2*$J$217+E287^3*$K$217+E287^4*$L$217+E287^5*$M$217+E287^6*$N$217+E287^7*$O$217+E287^8*$P$217</f>
        <v>-9.9725787570710018</v>
      </c>
      <c r="G287" s="11">
        <f t="shared" ref="G287:G350" si="30">F80</f>
        <v>-9.9653689540248553</v>
      </c>
    </row>
    <row r="288" spans="5:7" x14ac:dyDescent="0.25">
      <c r="E288" s="11">
        <f t="shared" si="28"/>
        <v>-99</v>
      </c>
      <c r="F288" s="11">
        <f t="shared" si="29"/>
        <v>-9.8699700136259771</v>
      </c>
      <c r="G288" s="11">
        <f t="shared" si="30"/>
        <v>-9.8578899676292604</v>
      </c>
    </row>
    <row r="289" spans="5:7" x14ac:dyDescent="0.25">
      <c r="E289" s="11">
        <f t="shared" si="28"/>
        <v>-98</v>
      </c>
      <c r="F289" s="11">
        <f t="shared" si="29"/>
        <v>-9.7684259638369877</v>
      </c>
      <c r="G289" s="11">
        <f t="shared" si="30"/>
        <v>-9.7523727919727587</v>
      </c>
    </row>
    <row r="290" spans="5:7" x14ac:dyDescent="0.25">
      <c r="E290" s="11">
        <f t="shared" si="28"/>
        <v>-97</v>
      </c>
      <c r="F290" s="11">
        <f t="shared" si="29"/>
        <v>-9.6679429931623151</v>
      </c>
      <c r="G290" s="11">
        <f t="shared" si="30"/>
        <v>-9.6487381970777015</v>
      </c>
    </row>
    <row r="291" spans="5:7" x14ac:dyDescent="0.25">
      <c r="E291" s="11">
        <f t="shared" si="28"/>
        <v>-96</v>
      </c>
      <c r="F291" s="11">
        <f t="shared" si="29"/>
        <v>-9.5685140144076719</v>
      </c>
      <c r="G291" s="11">
        <f t="shared" si="30"/>
        <v>-9.5469069529664505</v>
      </c>
    </row>
    <row r="292" spans="5:7" x14ac:dyDescent="0.25">
      <c r="E292" s="11">
        <f t="shared" si="28"/>
        <v>-95</v>
      </c>
      <c r="F292" s="11">
        <f t="shared" si="29"/>
        <v>-9.4701285834528957</v>
      </c>
      <c r="G292" s="11">
        <f t="shared" si="30"/>
        <v>-9.4467998296613676</v>
      </c>
    </row>
    <row r="293" spans="5:7" x14ac:dyDescent="0.25">
      <c r="E293" s="11">
        <f t="shared" si="28"/>
        <v>-94</v>
      </c>
      <c r="F293" s="11">
        <f t="shared" si="29"/>
        <v>-9.3727730204787321</v>
      </c>
      <c r="G293" s="11">
        <f t="shared" si="30"/>
        <v>-9.3483375971848073</v>
      </c>
    </row>
    <row r="294" spans="5:7" x14ac:dyDescent="0.25">
      <c r="E294" s="11">
        <f t="shared" si="28"/>
        <v>-93</v>
      </c>
      <c r="F294" s="11">
        <f t="shared" si="29"/>
        <v>-9.2764305361689026</v>
      </c>
      <c r="G294" s="11">
        <f t="shared" si="30"/>
        <v>-9.251441025559128</v>
      </c>
    </row>
    <row r="295" spans="5:7" x14ac:dyDescent="0.25">
      <c r="E295" s="11">
        <f t="shared" si="28"/>
        <v>-92</v>
      </c>
      <c r="F295" s="11">
        <f t="shared" si="29"/>
        <v>-9.1810813623754424</v>
      </c>
      <c r="G295" s="11">
        <f t="shared" si="30"/>
        <v>-9.156030884806686</v>
      </c>
    </row>
    <row r="296" spans="5:7" x14ac:dyDescent="0.25">
      <c r="E296" s="11">
        <f t="shared" si="28"/>
        <v>-91</v>
      </c>
      <c r="F296" s="11">
        <f t="shared" si="29"/>
        <v>-9.086702886747732</v>
      </c>
      <c r="G296" s="11">
        <f t="shared" si="30"/>
        <v>-9.0620279449498433</v>
      </c>
    </row>
    <row r="297" spans="5:7" x14ac:dyDescent="0.25">
      <c r="E297" s="11">
        <f t="shared" si="28"/>
        <v>-90</v>
      </c>
      <c r="F297" s="11">
        <f t="shared" si="29"/>
        <v>-8.9932697908384593</v>
      </c>
      <c r="G297" s="11">
        <f t="shared" si="30"/>
        <v>-8.9693529760109563</v>
      </c>
    </row>
    <row r="298" spans="5:7" x14ac:dyDescent="0.25">
      <c r="E298" s="11">
        <f t="shared" si="28"/>
        <v>-89</v>
      </c>
      <c r="F298" s="11">
        <f t="shared" si="29"/>
        <v>-8.9007541912122559</v>
      </c>
      <c r="G298" s="11">
        <f t="shared" si="30"/>
        <v>-8.8779267480123831</v>
      </c>
    </row>
    <row r="299" spans="5:7" x14ac:dyDescent="0.25">
      <c r="E299" s="11">
        <f t="shared" si="28"/>
        <v>-88</v>
      </c>
      <c r="F299" s="11">
        <f t="shared" si="29"/>
        <v>-8.8091257830954284</v>
      </c>
      <c r="G299" s="11">
        <f t="shared" si="30"/>
        <v>-8.7876700309764821</v>
      </c>
    </row>
    <row r="300" spans="5:7" x14ac:dyDescent="0.25">
      <c r="E300" s="11">
        <f t="shared" si="28"/>
        <v>-87</v>
      </c>
      <c r="F300" s="11">
        <f t="shared" si="29"/>
        <v>-8.7183519861178258</v>
      </c>
      <c r="G300" s="11">
        <f t="shared" si="30"/>
        <v>-8.6985035949256115</v>
      </c>
    </row>
    <row r="301" spans="5:7" x14ac:dyDescent="0.25">
      <c r="E301" s="11">
        <f t="shared" si="28"/>
        <v>-86</v>
      </c>
      <c r="F301" s="11">
        <f t="shared" si="29"/>
        <v>-8.628398091710519</v>
      </c>
      <c r="G301" s="11">
        <f t="shared" si="30"/>
        <v>-8.6103482098821296</v>
      </c>
    </row>
    <row r="302" spans="5:7" x14ac:dyDescent="0.25">
      <c r="E302" s="11">
        <f t="shared" si="28"/>
        <v>-85</v>
      </c>
      <c r="F302" s="11">
        <f t="shared" si="29"/>
        <v>-8.5392274117355953</v>
      </c>
      <c r="G302" s="11">
        <f t="shared" si="30"/>
        <v>-8.5231246458683962</v>
      </c>
    </row>
    <row r="303" spans="5:7" x14ac:dyDescent="0.25">
      <c r="E303" s="11">
        <f t="shared" si="28"/>
        <v>-84</v>
      </c>
      <c r="F303" s="11">
        <f t="shared" si="29"/>
        <v>-8.4508014279369821</v>
      </c>
      <c r="G303" s="11">
        <f t="shared" si="30"/>
        <v>-8.436753672906768</v>
      </c>
    </row>
    <row r="304" spans="5:7" x14ac:dyDescent="0.25">
      <c r="E304" s="11">
        <f t="shared" si="28"/>
        <v>-83</v>
      </c>
      <c r="F304" s="11">
        <f t="shared" si="29"/>
        <v>-8.3630799418138739</v>
      </c>
      <c r="G304" s="11">
        <f t="shared" si="30"/>
        <v>-8.3511560610196014</v>
      </c>
    </row>
    <row r="305" spans="5:7" x14ac:dyDescent="0.25">
      <c r="E305" s="11">
        <f t="shared" si="28"/>
        <v>-82</v>
      </c>
      <c r="F305" s="11">
        <f t="shared" si="29"/>
        <v>-8.2760212245309521</v>
      </c>
      <c r="G305" s="11">
        <f t="shared" si="30"/>
        <v>-8.2662525802292564</v>
      </c>
    </row>
    <row r="306" spans="5:7" x14ac:dyDescent="0.25">
      <c r="E306" s="11">
        <f t="shared" si="28"/>
        <v>-81</v>
      </c>
      <c r="F306" s="11">
        <f t="shared" si="29"/>
        <v>-8.1895821664922011</v>
      </c>
      <c r="G306" s="11">
        <f t="shared" si="30"/>
        <v>-8.1819640005580929</v>
      </c>
    </row>
    <row r="307" spans="5:7" x14ac:dyDescent="0.25">
      <c r="E307" s="11">
        <f t="shared" si="28"/>
        <v>-80</v>
      </c>
      <c r="F307" s="11">
        <f t="shared" si="29"/>
        <v>-8.1037184262177995</v>
      </c>
      <c r="G307" s="11">
        <f t="shared" si="30"/>
        <v>-8.0982110920284658</v>
      </c>
    </row>
    <row r="308" spans="5:7" x14ac:dyDescent="0.25">
      <c r="E308" s="11">
        <f t="shared" si="28"/>
        <v>-79</v>
      </c>
      <c r="F308" s="11">
        <f t="shared" si="29"/>
        <v>-8.0183845781761001</v>
      </c>
      <c r="G308" s="11">
        <f t="shared" si="30"/>
        <v>-8.0149146246627367</v>
      </c>
    </row>
    <row r="309" spans="5:7" x14ac:dyDescent="0.25">
      <c r="E309" s="11">
        <f t="shared" si="28"/>
        <v>-78</v>
      </c>
      <c r="F309" s="11">
        <f t="shared" si="29"/>
        <v>-7.9335342592354845</v>
      </c>
      <c r="G309" s="11">
        <f t="shared" si="30"/>
        <v>-7.9319953684832596</v>
      </c>
    </row>
    <row r="310" spans="5:7" x14ac:dyDescent="0.25">
      <c r="E310" s="11">
        <f t="shared" si="28"/>
        <v>-77</v>
      </c>
      <c r="F310" s="11">
        <f t="shared" si="29"/>
        <v>-7.8491203134133745</v>
      </c>
      <c r="G310" s="11">
        <f t="shared" si="30"/>
        <v>-7.849374093512397</v>
      </c>
    </row>
    <row r="311" spans="5:7" x14ac:dyDescent="0.25">
      <c r="E311" s="11">
        <f t="shared" si="28"/>
        <v>-76</v>
      </c>
      <c r="F311" s="11">
        <f t="shared" si="29"/>
        <v>-7.7650949346123541</v>
      </c>
      <c r="G311" s="11">
        <f t="shared" si="30"/>
        <v>-7.7669715697725046</v>
      </c>
    </row>
    <row r="312" spans="5:7" x14ac:dyDescent="0.25">
      <c r="E312" s="11">
        <f t="shared" si="28"/>
        <v>-75</v>
      </c>
      <c r="F312" s="11">
        <f t="shared" si="29"/>
        <v>-7.6814098070460677</v>
      </c>
      <c r="G312" s="11">
        <f t="shared" si="30"/>
        <v>-7.6847085672859414</v>
      </c>
    </row>
    <row r="313" spans="5:7" x14ac:dyDescent="0.25">
      <c r="E313" s="11">
        <f t="shared" si="28"/>
        <v>-74</v>
      </c>
      <c r="F313" s="11">
        <f t="shared" si="29"/>
        <v>-7.598016243070008</v>
      </c>
      <c r="G313" s="11">
        <f t="shared" si="30"/>
        <v>-7.6025138032823598</v>
      </c>
    </row>
    <row r="314" spans="5:7" x14ac:dyDescent="0.25">
      <c r="E314" s="11">
        <f t="shared" si="28"/>
        <v>-73</v>
      </c>
      <c r="F314" s="11">
        <f t="shared" si="29"/>
        <v>-7.5148653181451692</v>
      </c>
      <c r="G314" s="11">
        <f t="shared" si="30"/>
        <v>-7.5203477838205872</v>
      </c>
    </row>
    <row r="315" spans="5:7" x14ac:dyDescent="0.25">
      <c r="E315" s="11">
        <f t="shared" si="28"/>
        <v>-72</v>
      </c>
      <c r="F315" s="11">
        <f t="shared" si="29"/>
        <v>-7.4319080026749269</v>
      </c>
      <c r="G315" s="11">
        <f t="shared" si="30"/>
        <v>-7.4381789621667469</v>
      </c>
    </row>
    <row r="316" spans="5:7" x14ac:dyDescent="0.25">
      <c r="E316" s="11">
        <f t="shared" si="28"/>
        <v>-71</v>
      </c>
      <c r="F316" s="11">
        <f t="shared" si="29"/>
        <v>-7.3490952904683482</v>
      </c>
      <c r="G316" s="11">
        <f t="shared" si="30"/>
        <v>-7.3559757915869595</v>
      </c>
    </row>
    <row r="317" spans="5:7" x14ac:dyDescent="0.25">
      <c r="E317" s="11">
        <f t="shared" si="28"/>
        <v>-70</v>
      </c>
      <c r="F317" s="11">
        <f t="shared" si="29"/>
        <v>-7.2663783235956325</v>
      </c>
      <c r="G317" s="11">
        <f t="shared" si="30"/>
        <v>-7.2737067253473491</v>
      </c>
    </row>
    <row r="318" spans="5:7" x14ac:dyDescent="0.25">
      <c r="E318" s="11">
        <f t="shared" si="28"/>
        <v>-69</v>
      </c>
      <c r="F318" s="11">
        <f t="shared" si="29"/>
        <v>-7.1837085134140199</v>
      </c>
      <c r="G318" s="11">
        <f t="shared" si="30"/>
        <v>-7.1913402167140354</v>
      </c>
    </row>
    <row r="319" spans="5:7" x14ac:dyDescent="0.25">
      <c r="E319" s="11">
        <f t="shared" si="28"/>
        <v>-68</v>
      </c>
      <c r="F319" s="11">
        <f t="shared" si="29"/>
        <v>-7.1010376575552625</v>
      </c>
      <c r="G319" s="11">
        <f t="shared" si="30"/>
        <v>-7.1088447189531419</v>
      </c>
    </row>
    <row r="320" spans="5:7" x14ac:dyDescent="0.25">
      <c r="E320" s="11">
        <f t="shared" si="28"/>
        <v>-67</v>
      </c>
      <c r="F320" s="11">
        <f t="shared" si="29"/>
        <v>-7.0183180526781594</v>
      </c>
      <c r="G320" s="11">
        <f t="shared" si="30"/>
        <v>-7.0261886853307924</v>
      </c>
    </row>
    <row r="321" spans="5:7" x14ac:dyDescent="0.25">
      <c r="E321" s="11">
        <f t="shared" si="28"/>
        <v>-66</v>
      </c>
      <c r="F321" s="11">
        <f t="shared" si="29"/>
        <v>-6.9355026028025266</v>
      </c>
      <c r="G321" s="11">
        <f t="shared" si="30"/>
        <v>-6.943340569113106</v>
      </c>
    </row>
    <row r="322" spans="5:7" x14ac:dyDescent="0.25">
      <c r="E322" s="11">
        <f t="shared" si="28"/>
        <v>-65</v>
      </c>
      <c r="F322" s="11">
        <f t="shared" si="29"/>
        <v>-6.8525449230534097</v>
      </c>
      <c r="G322" s="11">
        <f t="shared" si="30"/>
        <v>-6.8602688235662068</v>
      </c>
    </row>
    <row r="323" spans="5:7" x14ac:dyDescent="0.25">
      <c r="E323" s="11">
        <f t="shared" si="28"/>
        <v>-64</v>
      </c>
      <c r="F323" s="11">
        <f t="shared" si="29"/>
        <v>-6.7693994386570999</v>
      </c>
      <c r="G323" s="11">
        <f t="shared" si="30"/>
        <v>-6.7769419019562172</v>
      </c>
    </row>
    <row r="324" spans="5:7" x14ac:dyDescent="0.25">
      <c r="E324" s="11">
        <f t="shared" si="28"/>
        <v>-63</v>
      </c>
      <c r="F324" s="11">
        <f t="shared" si="29"/>
        <v>-6.6860214790430694</v>
      </c>
      <c r="G324" s="11">
        <f t="shared" si="30"/>
        <v>-6.6933282575492576</v>
      </c>
    </row>
    <row r="325" spans="5:7" x14ac:dyDescent="0.25">
      <c r="E325" s="11">
        <f t="shared" si="28"/>
        <v>-62</v>
      </c>
      <c r="F325" s="11">
        <f t="shared" si="29"/>
        <v>-6.6023673669186262</v>
      </c>
      <c r="G325" s="11">
        <f t="shared" si="30"/>
        <v>-6.6093963436114516</v>
      </c>
    </row>
    <row r="326" spans="5:7" x14ac:dyDescent="0.25">
      <c r="E326" s="11">
        <f t="shared" si="28"/>
        <v>-61</v>
      </c>
      <c r="F326" s="11">
        <f t="shared" si="29"/>
        <v>-6.5183945021956644</v>
      </c>
      <c r="G326" s="11">
        <f t="shared" si="30"/>
        <v>-6.5251146134089204</v>
      </c>
    </row>
    <row r="327" spans="5:7" x14ac:dyDescent="0.25">
      <c r="E327" s="11">
        <f t="shared" si="28"/>
        <v>-60</v>
      </c>
      <c r="F327" s="11">
        <f t="shared" si="29"/>
        <v>-6.4340614406615719</v>
      </c>
      <c r="G327" s="11">
        <f t="shared" si="30"/>
        <v>-6.4404515202077874</v>
      </c>
    </row>
    <row r="328" spans="5:7" x14ac:dyDescent="0.25">
      <c r="E328" s="11">
        <f t="shared" si="28"/>
        <v>-59</v>
      </c>
      <c r="F328" s="11">
        <f t="shared" si="29"/>
        <v>-6.349327967298918</v>
      </c>
      <c r="G328" s="11">
        <f t="shared" si="30"/>
        <v>-6.3553755172741742</v>
      </c>
    </row>
    <row r="329" spans="5:7" x14ac:dyDescent="0.25">
      <c r="E329" s="11">
        <f t="shared" si="28"/>
        <v>-58</v>
      </c>
      <c r="F329" s="11">
        <f t="shared" si="29"/>
        <v>-6.2641551641712718</v>
      </c>
      <c r="G329" s="11">
        <f t="shared" si="30"/>
        <v>-6.2698550578742021</v>
      </c>
    </row>
    <row r="330" spans="5:7" x14ac:dyDescent="0.25">
      <c r="E330" s="11">
        <f t="shared" si="28"/>
        <v>-57</v>
      </c>
      <c r="F330" s="11">
        <f t="shared" si="29"/>
        <v>-6.1785054728049911</v>
      </c>
      <c r="G330" s="11">
        <f t="shared" si="30"/>
        <v>-6.1838585952739944</v>
      </c>
    </row>
    <row r="331" spans="5:7" x14ac:dyDescent="0.25">
      <c r="E331" s="11">
        <f t="shared" si="28"/>
        <v>-56</v>
      </c>
      <c r="F331" s="11">
        <f t="shared" si="29"/>
        <v>-6.092342751009614</v>
      </c>
      <c r="G331" s="11">
        <f t="shared" si="30"/>
        <v>-6.0973545827396718</v>
      </c>
    </row>
    <row r="332" spans="5:7" x14ac:dyDescent="0.25">
      <c r="E332" s="11">
        <f t="shared" si="28"/>
        <v>-55</v>
      </c>
      <c r="F332" s="11">
        <f t="shared" si="29"/>
        <v>-6.0056323240919784</v>
      </c>
      <c r="G332" s="11">
        <f t="shared" si="30"/>
        <v>-6.0103114735373584</v>
      </c>
    </row>
    <row r="333" spans="5:7" x14ac:dyDescent="0.25">
      <c r="E333" s="11">
        <f t="shared" si="28"/>
        <v>-54</v>
      </c>
      <c r="F333" s="11">
        <f t="shared" si="29"/>
        <v>-5.9183410304318862</v>
      </c>
      <c r="G333" s="11">
        <f t="shared" si="30"/>
        <v>-5.9226977209331757</v>
      </c>
    </row>
    <row r="334" spans="5:7" x14ac:dyDescent="0.25">
      <c r="E334" s="11">
        <f t="shared" si="28"/>
        <v>-53</v>
      </c>
      <c r="F334" s="11">
        <f t="shared" si="29"/>
        <v>-5.8304372613997675</v>
      </c>
      <c r="G334" s="11">
        <f t="shared" si="30"/>
        <v>-5.8344817781932452</v>
      </c>
    </row>
    <row r="335" spans="5:7" x14ac:dyDescent="0.25">
      <c r="E335" s="11">
        <f t="shared" si="28"/>
        <v>-52</v>
      </c>
      <c r="F335" s="11">
        <f t="shared" si="29"/>
        <v>-5.7418909956094044</v>
      </c>
      <c r="G335" s="11">
        <f t="shared" si="30"/>
        <v>-5.7456320985836893</v>
      </c>
    </row>
    <row r="336" spans="5:7" x14ac:dyDescent="0.25">
      <c r="E336" s="11">
        <f t="shared" si="28"/>
        <v>-51</v>
      </c>
      <c r="F336" s="11">
        <f t="shared" si="29"/>
        <v>-5.6526738275113875</v>
      </c>
      <c r="G336" s="11">
        <f t="shared" si="30"/>
        <v>-5.6561171353706294</v>
      </c>
    </row>
    <row r="337" spans="5:7" x14ac:dyDescent="0.25">
      <c r="E337" s="11">
        <f t="shared" si="28"/>
        <v>-50</v>
      </c>
      <c r="F337" s="11">
        <f t="shared" si="29"/>
        <v>-5.5627589903456727</v>
      </c>
      <c r="G337" s="11">
        <f t="shared" si="30"/>
        <v>-5.5659053418201898</v>
      </c>
    </row>
    <row r="338" spans="5:7" x14ac:dyDescent="0.25">
      <c r="E338" s="11">
        <f t="shared" si="28"/>
        <v>-49</v>
      </c>
      <c r="F338" s="11">
        <f t="shared" si="29"/>
        <v>-5.472121373484149</v>
      </c>
      <c r="G338" s="11">
        <f t="shared" si="30"/>
        <v>-5.474965171198491</v>
      </c>
    </row>
    <row r="339" spans="5:7" x14ac:dyDescent="0.25">
      <c r="E339" s="11">
        <f t="shared" si="28"/>
        <v>-48</v>
      </c>
      <c r="F339" s="11">
        <f t="shared" si="29"/>
        <v>-5.3807375342068378</v>
      </c>
      <c r="G339" s="11">
        <f t="shared" si="30"/>
        <v>-5.3832650767716563</v>
      </c>
    </row>
    <row r="340" spans="5:7" x14ac:dyDescent="0.25">
      <c r="E340" s="11">
        <f t="shared" si="28"/>
        <v>-47</v>
      </c>
      <c r="F340" s="11">
        <f t="shared" si="29"/>
        <v>-5.2885857039679127</v>
      </c>
      <c r="G340" s="11">
        <f t="shared" si="30"/>
        <v>-5.2907735118058055</v>
      </c>
    </row>
    <row r="341" spans="5:7" x14ac:dyDescent="0.25">
      <c r="E341" s="11">
        <f t="shared" si="28"/>
        <v>-46</v>
      </c>
      <c r="F341" s="11">
        <f t="shared" si="29"/>
        <v>-5.1956457892203858</v>
      </c>
      <c r="G341" s="11">
        <f t="shared" si="30"/>
        <v>-5.1974589295670635</v>
      </c>
    </row>
    <row r="342" spans="5:7" x14ac:dyDescent="0.25">
      <c r="E342" s="11">
        <f t="shared" si="28"/>
        <v>-45</v>
      </c>
      <c r="F342" s="11">
        <f t="shared" si="29"/>
        <v>-5.1018993668809518</v>
      </c>
      <c r="G342" s="11">
        <f t="shared" si="30"/>
        <v>-5.1032897833215509</v>
      </c>
    </row>
    <row r="343" spans="5:7" x14ac:dyDescent="0.25">
      <c r="E343" s="11">
        <f t="shared" si="28"/>
        <v>-44</v>
      </c>
      <c r="F343" s="11">
        <f t="shared" si="29"/>
        <v>-5.0073296745290596</v>
      </c>
      <c r="G343" s="11">
        <f t="shared" si="30"/>
        <v>-5.0082403460976348</v>
      </c>
    </row>
    <row r="344" spans="5:7" x14ac:dyDescent="0.25">
      <c r="E344" s="11">
        <f t="shared" si="28"/>
        <v>-43</v>
      </c>
      <c r="F344" s="11">
        <f t="shared" si="29"/>
        <v>-4.9119215954469615</v>
      </c>
      <c r="G344" s="11">
        <f t="shared" si="30"/>
        <v>-4.9123081699726621</v>
      </c>
    </row>
    <row r="345" spans="5:7" x14ac:dyDescent="0.25">
      <c r="E345" s="11">
        <f t="shared" si="28"/>
        <v>-42</v>
      </c>
      <c r="F345" s="11">
        <f t="shared" si="29"/>
        <v>-4.815661638620103</v>
      </c>
      <c r="G345" s="11">
        <f t="shared" si="30"/>
        <v>-4.8154966267862251</v>
      </c>
    </row>
    <row r="346" spans="5:7" x14ac:dyDescent="0.25">
      <c r="E346" s="11">
        <f t="shared" si="28"/>
        <v>-41</v>
      </c>
      <c r="F346" s="11">
        <f t="shared" si="29"/>
        <v>-4.7185379138298229</v>
      </c>
      <c r="G346" s="11">
        <f t="shared" si="30"/>
        <v>-4.7178090883779129</v>
      </c>
    </row>
    <row r="347" spans="5:7" x14ac:dyDescent="0.25">
      <c r="E347" s="11">
        <f t="shared" si="28"/>
        <v>-40</v>
      </c>
      <c r="F347" s="11">
        <f t="shared" si="29"/>
        <v>-4.6205401019830008</v>
      </c>
      <c r="G347" s="11">
        <f t="shared" si="30"/>
        <v>-4.6192489265873187</v>
      </c>
    </row>
    <row r="348" spans="5:7" x14ac:dyDescent="0.25">
      <c r="E348" s="11">
        <f t="shared" si="28"/>
        <v>-39</v>
      </c>
      <c r="F348" s="11">
        <f t="shared" si="29"/>
        <v>-4.521659420835892</v>
      </c>
      <c r="G348" s="11">
        <f t="shared" si="30"/>
        <v>-4.5198195132540322</v>
      </c>
    </row>
    <row r="349" spans="5:7" x14ac:dyDescent="0.25">
      <c r="E349" s="11">
        <f t="shared" si="28"/>
        <v>-38</v>
      </c>
      <c r="F349" s="11">
        <f t="shared" si="29"/>
        <v>-4.4218885862820123</v>
      </c>
      <c r="G349" s="11">
        <f t="shared" si="30"/>
        <v>-4.4195242202176459</v>
      </c>
    </row>
    <row r="350" spans="5:7" x14ac:dyDescent="0.25">
      <c r="E350" s="11">
        <f t="shared" si="28"/>
        <v>-37</v>
      </c>
      <c r="F350" s="11">
        <f t="shared" si="29"/>
        <v>-4.3212217693866197</v>
      </c>
      <c r="G350" s="11">
        <f t="shared" si="30"/>
        <v>-4.3183664193177513</v>
      </c>
    </row>
    <row r="351" spans="5:7" x14ac:dyDescent="0.25">
      <c r="E351" s="11">
        <f t="shared" ref="E351:E414" si="31">E144</f>
        <v>-36</v>
      </c>
      <c r="F351" s="11">
        <f t="shared" ref="F351:F414" si="32">$H$217*0+E351*$I$217+E351^2*$J$217+E351^3*$K$217+E351^4*$L$217+E351^5*$M$217+E351^6*$N$217+E351^7*$O$217+E351^8*$P$217</f>
        <v>-4.2196545493628639</v>
      </c>
      <c r="G351" s="11">
        <f t="shared" ref="G351:G414" si="33">F144</f>
        <v>-4.2163494823939391</v>
      </c>
    </row>
    <row r="352" spans="5:7" x14ac:dyDescent="0.25">
      <c r="E352" s="11">
        <f t="shared" si="31"/>
        <v>-35</v>
      </c>
      <c r="F352" s="11">
        <f t="shared" si="32"/>
        <v>-4.1171838626974404</v>
      </c>
      <c r="G352" s="11">
        <f t="shared" si="33"/>
        <v>-4.1134767812858</v>
      </c>
    </row>
    <row r="353" spans="5:7" x14ac:dyDescent="0.25">
      <c r="E353" s="11">
        <f t="shared" si="31"/>
        <v>-34</v>
      </c>
      <c r="F353" s="11">
        <f t="shared" si="32"/>
        <v>-4.0138079486460745</v>
      </c>
      <c r="G353" s="11">
        <f t="shared" si="33"/>
        <v>-4.0097516878329262</v>
      </c>
    </row>
    <row r="354" spans="5:7" x14ac:dyDescent="0.25">
      <c r="E354" s="11">
        <f t="shared" si="31"/>
        <v>-33</v>
      </c>
      <c r="F354" s="11">
        <f t="shared" si="32"/>
        <v>-3.9095262913319178</v>
      </c>
      <c r="G354" s="11">
        <f t="shared" si="33"/>
        <v>-3.905177573874909</v>
      </c>
    </row>
    <row r="355" spans="5:7" x14ac:dyDescent="0.25">
      <c r="E355" s="11">
        <f t="shared" si="31"/>
        <v>-32</v>
      </c>
      <c r="F355" s="11">
        <f t="shared" si="32"/>
        <v>-3.8043395586924644</v>
      </c>
      <c r="G355" s="11">
        <f t="shared" si="33"/>
        <v>-3.7997578112513399</v>
      </c>
    </row>
    <row r="356" spans="5:7" x14ac:dyDescent="0.25">
      <c r="E356" s="11">
        <f t="shared" si="31"/>
        <v>-31</v>
      </c>
      <c r="F356" s="11">
        <f t="shared" si="32"/>
        <v>-3.6982495385332887</v>
      </c>
      <c r="G356" s="11">
        <f t="shared" si="33"/>
        <v>-3.6934957718018091</v>
      </c>
    </row>
    <row r="357" spans="5:7" x14ac:dyDescent="0.25">
      <c r="E357" s="11">
        <f t="shared" si="31"/>
        <v>-30</v>
      </c>
      <c r="F357" s="11">
        <f t="shared" si="32"/>
        <v>-3.5912590719595188</v>
      </c>
      <c r="G357" s="11">
        <f t="shared" si="33"/>
        <v>-3.5863948273659099</v>
      </c>
    </row>
    <row r="358" spans="5:7" x14ac:dyDescent="0.25">
      <c r="E358" s="11">
        <f t="shared" si="31"/>
        <v>-29</v>
      </c>
      <c r="F358" s="11">
        <f t="shared" si="32"/>
        <v>-3.4833719844685729</v>
      </c>
      <c r="G358" s="11">
        <f t="shared" si="33"/>
        <v>-3.4784583497832315</v>
      </c>
    </row>
    <row r="359" spans="5:7" x14ac:dyDescent="0.25">
      <c r="E359" s="11">
        <f t="shared" si="31"/>
        <v>-28</v>
      </c>
      <c r="F359" s="11">
        <f t="shared" si="32"/>
        <v>-3.3745930150003365</v>
      </c>
      <c r="G359" s="11">
        <f t="shared" si="33"/>
        <v>-3.3696897108933661</v>
      </c>
    </row>
    <row r="360" spans="5:7" x14ac:dyDescent="0.25">
      <c r="E360" s="11">
        <f t="shared" si="31"/>
        <v>-27</v>
      </c>
      <c r="F360" s="11">
        <f t="shared" si="32"/>
        <v>-3.2649277432535757</v>
      </c>
      <c r="G360" s="11">
        <f t="shared" si="33"/>
        <v>-3.2600922825359064</v>
      </c>
    </row>
    <row r="361" spans="5:7" x14ac:dyDescent="0.25">
      <c r="E361" s="11">
        <f t="shared" si="31"/>
        <v>-26</v>
      </c>
      <c r="F361" s="11">
        <f t="shared" si="32"/>
        <v>-3.1543825155900183</v>
      </c>
      <c r="G361" s="11">
        <f t="shared" si="33"/>
        <v>-3.149669436550441</v>
      </c>
    </row>
    <row r="362" spans="5:7" x14ac:dyDescent="0.25">
      <c r="E362" s="11">
        <f t="shared" si="31"/>
        <v>-25</v>
      </c>
      <c r="F362" s="11">
        <f t="shared" si="32"/>
        <v>-3.0429643698601514</v>
      </c>
      <c r="G362" s="11">
        <f t="shared" si="33"/>
        <v>-3.0384245447765634</v>
      </c>
    </row>
    <row r="363" spans="5:7" x14ac:dyDescent="0.25">
      <c r="E363" s="11">
        <f t="shared" si="31"/>
        <v>-24</v>
      </c>
      <c r="F363" s="11">
        <f t="shared" si="32"/>
        <v>-2.9306809594974341</v>
      </c>
      <c r="G363" s="11">
        <f t="shared" si="33"/>
        <v>-2.9263609790538636</v>
      </c>
    </row>
    <row r="364" spans="5:7" x14ac:dyDescent="0.25">
      <c r="E364" s="11">
        <f t="shared" si="31"/>
        <v>-23</v>
      </c>
      <c r="F364" s="11">
        <f t="shared" si="32"/>
        <v>-2.8175404772402235</v>
      </c>
      <c r="G364" s="11">
        <f t="shared" si="33"/>
        <v>-2.8134821112219335</v>
      </c>
    </row>
    <row r="365" spans="5:7" x14ac:dyDescent="0.25">
      <c r="E365" s="11">
        <f t="shared" si="31"/>
        <v>-22</v>
      </c>
      <c r="F365" s="11">
        <f t="shared" si="32"/>
        <v>-2.703551578853383</v>
      </c>
      <c r="G365" s="11">
        <f t="shared" si="33"/>
        <v>-2.6997913131203646</v>
      </c>
    </row>
    <row r="366" spans="5:7" x14ac:dyDescent="0.25">
      <c r="E366" s="11">
        <f t="shared" si="31"/>
        <v>-21</v>
      </c>
      <c r="F366" s="11">
        <f t="shared" si="32"/>
        <v>-2.5887233072341211</v>
      </c>
      <c r="G366" s="11">
        <f t="shared" si="33"/>
        <v>-2.5852919565887476</v>
      </c>
    </row>
    <row r="367" spans="5:7" x14ac:dyDescent="0.25">
      <c r="E367" s="11">
        <f t="shared" si="31"/>
        <v>-20</v>
      </c>
      <c r="F367" s="11">
        <f t="shared" si="32"/>
        <v>-2.4730650172992847</v>
      </c>
      <c r="G367" s="11">
        <f t="shared" si="33"/>
        <v>-2.4699874134666748</v>
      </c>
    </row>
    <row r="368" spans="5:7" x14ac:dyDescent="0.25">
      <c r="E368" s="11">
        <f t="shared" si="31"/>
        <v>-19</v>
      </c>
      <c r="F368" s="11">
        <f t="shared" si="32"/>
        <v>-2.3565863020639273</v>
      </c>
      <c r="G368" s="11">
        <f t="shared" si="33"/>
        <v>-2.3538810555937371</v>
      </c>
    </row>
    <row r="369" spans="5:7" x14ac:dyDescent="0.25">
      <c r="E369" s="11">
        <f t="shared" si="31"/>
        <v>-18</v>
      </c>
      <c r="F369" s="11">
        <f t="shared" si="32"/>
        <v>-2.2392969203336168</v>
      </c>
      <c r="G369" s="11">
        <f t="shared" si="33"/>
        <v>-2.2369762548095249</v>
      </c>
    </row>
    <row r="370" spans="5:7" x14ac:dyDescent="0.25">
      <c r="E370" s="11">
        <f t="shared" si="31"/>
        <v>-17</v>
      </c>
      <c r="F370" s="11">
        <f t="shared" si="32"/>
        <v>-2.1212067264455801</v>
      </c>
      <c r="G370" s="11">
        <f t="shared" si="33"/>
        <v>-2.1192763829536303</v>
      </c>
    </row>
    <row r="371" spans="5:7" x14ac:dyDescent="0.25">
      <c r="E371" s="11">
        <f t="shared" si="31"/>
        <v>-16</v>
      </c>
      <c r="F371" s="11">
        <f t="shared" si="32"/>
        <v>-2.002325602506394</v>
      </c>
      <c r="G371" s="11">
        <f t="shared" si="33"/>
        <v>-2.0007848118656448</v>
      </c>
    </row>
    <row r="372" spans="5:7" x14ac:dyDescent="0.25">
      <c r="E372" s="11">
        <f t="shared" si="31"/>
        <v>-15</v>
      </c>
      <c r="F372" s="11">
        <f t="shared" si="32"/>
        <v>-1.8826633935865889</v>
      </c>
      <c r="G372" s="11">
        <f t="shared" si="33"/>
        <v>-1.8815049133851596</v>
      </c>
    </row>
    <row r="373" spans="5:7" x14ac:dyDescent="0.25">
      <c r="E373" s="11">
        <f t="shared" si="31"/>
        <v>-14</v>
      </c>
      <c r="F373" s="11">
        <f t="shared" si="32"/>
        <v>-1.7622298463451189</v>
      </c>
      <c r="G373" s="11">
        <f t="shared" si="33"/>
        <v>-1.7614400593517656</v>
      </c>
    </row>
    <row r="374" spans="5:7" x14ac:dyDescent="0.25">
      <c r="E374" s="11">
        <f t="shared" si="31"/>
        <v>-13</v>
      </c>
      <c r="F374" s="11">
        <f t="shared" si="32"/>
        <v>-1.6410345515693345</v>
      </c>
      <c r="G374" s="11">
        <f t="shared" si="33"/>
        <v>-1.6405936216050547</v>
      </c>
    </row>
    <row r="375" spans="5:7" x14ac:dyDescent="0.25">
      <c r="E375" s="11">
        <f t="shared" si="31"/>
        <v>-12</v>
      </c>
      <c r="F375" s="11">
        <f t="shared" si="32"/>
        <v>-1.5190868911286781</v>
      </c>
      <c r="G375" s="11">
        <f t="shared" si="33"/>
        <v>-1.518968971984618</v>
      </c>
    </row>
    <row r="376" spans="5:7" x14ac:dyDescent="0.25">
      <c r="E376" s="11">
        <f t="shared" si="31"/>
        <v>-11</v>
      </c>
      <c r="F376" s="11">
        <f t="shared" si="32"/>
        <v>-1.3963959898529696</v>
      </c>
      <c r="G376" s="11">
        <f t="shared" si="33"/>
        <v>-1.3965694823300465</v>
      </c>
    </row>
    <row r="377" spans="5:7" x14ac:dyDescent="0.25">
      <c r="E377" s="11">
        <f t="shared" si="31"/>
        <v>-10</v>
      </c>
      <c r="F377" s="11">
        <f t="shared" si="32"/>
        <v>-1.2729706728587913</v>
      </c>
      <c r="G377" s="11">
        <f t="shared" si="33"/>
        <v>-1.2733985244809323</v>
      </c>
    </row>
    <row r="378" spans="5:7" x14ac:dyDescent="0.25">
      <c r="E378" s="11">
        <f t="shared" si="31"/>
        <v>-9</v>
      </c>
      <c r="F378" s="11">
        <f t="shared" si="32"/>
        <v>-1.1488194288600799</v>
      </c>
      <c r="G378" s="11">
        <f t="shared" si="33"/>
        <v>-1.1494594702768657</v>
      </c>
    </row>
    <row r="379" spans="5:7" x14ac:dyDescent="0.25">
      <c r="E379" s="11">
        <f t="shared" si="31"/>
        <v>-8</v>
      </c>
      <c r="F379" s="11">
        <f t="shared" si="32"/>
        <v>-1.0239503800116916</v>
      </c>
      <c r="G379" s="11">
        <f t="shared" si="33"/>
        <v>-1.0247556915574387</v>
      </c>
    </row>
    <row r="380" spans="5:7" x14ac:dyDescent="0.25">
      <c r="E380" s="11">
        <f t="shared" si="31"/>
        <v>-7</v>
      </c>
      <c r="F380" s="11">
        <f t="shared" si="32"/>
        <v>-0.89837125884732727</v>
      </c>
      <c r="G380" s="11">
        <f t="shared" si="33"/>
        <v>-0.89929056016224229</v>
      </c>
    </row>
    <row r="381" spans="5:7" x14ac:dyDescent="0.25">
      <c r="E381" s="11">
        <f t="shared" si="31"/>
        <v>-6</v>
      </c>
      <c r="F381" s="11">
        <f t="shared" si="32"/>
        <v>-0.77208939288581435</v>
      </c>
      <c r="G381" s="11">
        <f t="shared" si="33"/>
        <v>-0.77306744793086812</v>
      </c>
    </row>
    <row r="382" spans="5:7" x14ac:dyDescent="0.25">
      <c r="E382" s="11">
        <f t="shared" si="31"/>
        <v>-5</v>
      </c>
      <c r="F382" s="11">
        <f t="shared" si="32"/>
        <v>-0.64511169749240871</v>
      </c>
      <c r="G382" s="11">
        <f t="shared" si="33"/>
        <v>-0.64608972670290732</v>
      </c>
    </row>
    <row r="383" spans="5:7" x14ac:dyDescent="0.25">
      <c r="E383" s="11">
        <f t="shared" si="31"/>
        <v>-4</v>
      </c>
      <c r="F383" s="11">
        <f t="shared" si="32"/>
        <v>-0.51744467759437274</v>
      </c>
      <c r="G383" s="11">
        <f t="shared" si="33"/>
        <v>-0.51836076831795119</v>
      </c>
    </row>
    <row r="384" spans="5:7" x14ac:dyDescent="0.25">
      <c r="E384" s="11">
        <f t="shared" si="31"/>
        <v>-3</v>
      </c>
      <c r="F384" s="11">
        <f t="shared" si="32"/>
        <v>-0.3890944388627387</v>
      </c>
      <c r="G384" s="11">
        <f t="shared" si="33"/>
        <v>-0.38988394461559106</v>
      </c>
    </row>
    <row r="385" spans="5:7" x14ac:dyDescent="0.25">
      <c r="E385" s="11">
        <f t="shared" si="31"/>
        <v>-2</v>
      </c>
      <c r="F385" s="11">
        <f t="shared" si="32"/>
        <v>-0.26006670898478346</v>
      </c>
      <c r="G385" s="11">
        <f t="shared" si="33"/>
        <v>-0.26066262743541824</v>
      </c>
    </row>
    <row r="386" spans="5:7" x14ac:dyDescent="0.25">
      <c r="E386" s="11">
        <f t="shared" si="31"/>
        <v>-1</v>
      </c>
      <c r="F386" s="11">
        <f t="shared" si="32"/>
        <v>-0.13036686966437866</v>
      </c>
      <c r="G386" s="11">
        <f t="shared" si="33"/>
        <v>-0.13070018861702412</v>
      </c>
    </row>
    <row r="387" spans="5:7" x14ac:dyDescent="0.25">
      <c r="E387" s="11">
        <f t="shared" si="31"/>
        <v>0</v>
      </c>
      <c r="F387" s="11">
        <f t="shared" si="32"/>
        <v>0</v>
      </c>
      <c r="G387" s="11">
        <f t="shared" si="33"/>
        <v>2.7755575615628914E-17</v>
      </c>
    </row>
    <row r="388" spans="5:7" x14ac:dyDescent="0.25">
      <c r="E388" s="11">
        <f t="shared" si="31"/>
        <v>1</v>
      </c>
      <c r="F388" s="11">
        <f t="shared" si="32"/>
        <v>0.13102906809718279</v>
      </c>
      <c r="G388" s="11">
        <f t="shared" si="33"/>
        <v>0.13143163151142792</v>
      </c>
    </row>
    <row r="389" spans="5:7" x14ac:dyDescent="0.25">
      <c r="E389" s="11">
        <f t="shared" si="31"/>
        <v>2</v>
      </c>
      <c r="F389" s="11">
        <f t="shared" si="32"/>
        <v>0.26271568177008831</v>
      </c>
      <c r="G389" s="11">
        <f t="shared" si="33"/>
        <v>0.26357665875449343</v>
      </c>
    </row>
    <row r="390" spans="5:7" x14ac:dyDescent="0.25">
      <c r="E390" s="11">
        <f t="shared" si="31"/>
        <v>3</v>
      </c>
      <c r="F390" s="11">
        <f t="shared" si="32"/>
        <v>0.39505528567970266</v>
      </c>
      <c r="G390" s="11">
        <f t="shared" si="33"/>
        <v>0.3964140995017954</v>
      </c>
    </row>
    <row r="391" spans="5:7" x14ac:dyDescent="0.25">
      <c r="E391" s="11">
        <f t="shared" si="31"/>
        <v>4</v>
      </c>
      <c r="F391" s="11">
        <f t="shared" si="32"/>
        <v>0.52804332636594864</v>
      </c>
      <c r="G391" s="11">
        <f t="shared" si="33"/>
        <v>0.52992297152593282</v>
      </c>
    </row>
    <row r="392" spans="5:7" x14ac:dyDescent="0.25">
      <c r="E392" s="11">
        <f t="shared" si="31"/>
        <v>5</v>
      </c>
      <c r="F392" s="11">
        <f t="shared" si="32"/>
        <v>0.66167514179250997</v>
      </c>
      <c r="G392" s="11">
        <f t="shared" si="33"/>
        <v>0.66408229259950458</v>
      </c>
    </row>
    <row r="393" spans="5:7" x14ac:dyDescent="0.25">
      <c r="E393" s="11">
        <f t="shared" si="31"/>
        <v>6</v>
      </c>
      <c r="F393" s="11">
        <f t="shared" si="32"/>
        <v>0.79594583535004571</v>
      </c>
      <c r="G393" s="11">
        <f t="shared" si="33"/>
        <v>0.79887108049510935</v>
      </c>
    </row>
    <row r="394" spans="5:7" x14ac:dyDescent="0.25">
      <c r="E394" s="11">
        <f t="shared" si="31"/>
        <v>7</v>
      </c>
      <c r="F394" s="11">
        <f t="shared" si="32"/>
        <v>0.93085013357960145</v>
      </c>
      <c r="G394" s="11">
        <f t="shared" si="33"/>
        <v>0.93426835298534627</v>
      </c>
    </row>
    <row r="395" spans="5:7" x14ac:dyDescent="0.25">
      <c r="E395" s="11">
        <f t="shared" si="31"/>
        <v>8</v>
      </c>
      <c r="F395" s="11">
        <f t="shared" si="32"/>
        <v>1.0663822268653953</v>
      </c>
      <c r="G395" s="11">
        <f t="shared" si="33"/>
        <v>1.0702531278428142</v>
      </c>
    </row>
    <row r="396" spans="5:7" x14ac:dyDescent="0.25">
      <c r="E396" s="11">
        <f t="shared" si="31"/>
        <v>9</v>
      </c>
      <c r="F396" s="11">
        <f t="shared" si="32"/>
        <v>1.2025355923335237</v>
      </c>
      <c r="G396" s="11">
        <f t="shared" si="33"/>
        <v>1.2068044228401118</v>
      </c>
    </row>
    <row r="397" spans="5:7" x14ac:dyDescent="0.25">
      <c r="E397" s="11">
        <f t="shared" si="31"/>
        <v>10</v>
      </c>
      <c r="F397" s="11">
        <f t="shared" si="32"/>
        <v>1.3393027981805079</v>
      </c>
      <c r="G397" s="11">
        <f t="shared" si="33"/>
        <v>1.3439012557498384</v>
      </c>
    </row>
    <row r="398" spans="5:7" x14ac:dyDescent="0.25">
      <c r="E398" s="11">
        <f t="shared" si="31"/>
        <v>11</v>
      </c>
      <c r="F398" s="11">
        <f t="shared" si="32"/>
        <v>1.476675288642969</v>
      </c>
      <c r="G398" s="11">
        <f t="shared" si="33"/>
        <v>1.4815226443445926</v>
      </c>
    </row>
    <row r="399" spans="5:7" x14ac:dyDescent="0.25">
      <c r="E399" s="11">
        <f t="shared" si="31"/>
        <v>12</v>
      </c>
      <c r="F399" s="11">
        <f t="shared" si="32"/>
        <v>1.6146431488070938</v>
      </c>
      <c r="G399" s="11">
        <f t="shared" si="33"/>
        <v>1.6196476063969731</v>
      </c>
    </row>
    <row r="400" spans="5:7" x14ac:dyDescent="0.25">
      <c r="E400" s="11">
        <f t="shared" si="31"/>
        <v>13</v>
      </c>
      <c r="F400" s="11">
        <f t="shared" si="32"/>
        <v>1.7531948484439139</v>
      </c>
      <c r="G400" s="11">
        <f t="shared" si="33"/>
        <v>1.7582551596795795</v>
      </c>
    </row>
    <row r="401" spans="5:7" x14ac:dyDescent="0.25">
      <c r="E401" s="11">
        <f t="shared" si="31"/>
        <v>14</v>
      </c>
      <c r="F401" s="11">
        <f t="shared" si="32"/>
        <v>1.8923169640438178</v>
      </c>
      <c r="G401" s="11">
        <f t="shared" si="33"/>
        <v>1.89732432196501</v>
      </c>
    </row>
    <row r="402" spans="5:7" x14ac:dyDescent="0.25">
      <c r="E402" s="11">
        <f t="shared" si="31"/>
        <v>15</v>
      </c>
      <c r="F402" s="11">
        <f t="shared" si="32"/>
        <v>2.0319938782110394</v>
      </c>
      <c r="G402" s="11">
        <f t="shared" si="33"/>
        <v>2.0368341110258634</v>
      </c>
    </row>
    <row r="403" spans="5:7" x14ac:dyDescent="0.25">
      <c r="E403" s="11">
        <f t="shared" si="31"/>
        <v>16</v>
      </c>
      <c r="F403" s="11">
        <f t="shared" si="32"/>
        <v>2.1722074555662969</v>
      </c>
      <c r="G403" s="11">
        <f t="shared" si="33"/>
        <v>2.1767635446347393</v>
      </c>
    </row>
    <row r="404" spans="5:7" x14ac:dyDescent="0.25">
      <c r="E404" s="11">
        <f t="shared" si="31"/>
        <v>17</v>
      </c>
      <c r="F404" s="11">
        <f t="shared" si="32"/>
        <v>2.3129366942930742</v>
      </c>
      <c r="G404" s="11">
        <f t="shared" si="33"/>
        <v>2.3170916405642363</v>
      </c>
    </row>
    <row r="405" spans="5:7" x14ac:dyDescent="0.25">
      <c r="E405" s="11">
        <f t="shared" si="31"/>
        <v>18</v>
      </c>
      <c r="F405" s="11">
        <f t="shared" si="32"/>
        <v>2.4541573524504345</v>
      </c>
      <c r="G405" s="11">
        <f t="shared" si="33"/>
        <v>2.4577974165869527</v>
      </c>
    </row>
    <row r="406" spans="5:7" x14ac:dyDescent="0.25">
      <c r="E406" s="11">
        <f t="shared" si="31"/>
        <v>19</v>
      </c>
      <c r="F406" s="11">
        <f t="shared" si="32"/>
        <v>2.5958415481626251</v>
      </c>
      <c r="G406" s="11">
        <f t="shared" si="33"/>
        <v>2.5988598904754885</v>
      </c>
    </row>
    <row r="407" spans="5:7" x14ac:dyDescent="0.25">
      <c r="E407" s="11">
        <f t="shared" si="31"/>
        <v>20</v>
      </c>
      <c r="F407" s="11">
        <f t="shared" si="32"/>
        <v>2.7379573327830942</v>
      </c>
      <c r="G407" s="11">
        <f t="shared" si="33"/>
        <v>2.7402580800024419</v>
      </c>
    </row>
    <row r="408" spans="5:7" x14ac:dyDescent="0.25">
      <c r="E408" s="11">
        <f t="shared" si="31"/>
        <v>21</v>
      </c>
      <c r="F408" s="11">
        <f t="shared" si="32"/>
        <v>2.8804682361179226</v>
      </c>
      <c r="G408" s="11">
        <f t="shared" si="33"/>
        <v>2.8819710029404115</v>
      </c>
    </row>
    <row r="409" spans="5:7" x14ac:dyDescent="0.25">
      <c r="E409" s="11">
        <f t="shared" si="31"/>
        <v>22</v>
      </c>
      <c r="F409" s="11">
        <f t="shared" si="32"/>
        <v>3.0233327827810257</v>
      </c>
      <c r="G409" s="11">
        <f t="shared" si="33"/>
        <v>3.023977677061997</v>
      </c>
    </row>
    <row r="410" spans="5:7" x14ac:dyDescent="0.25">
      <c r="E410" s="11">
        <f t="shared" si="31"/>
        <v>23</v>
      </c>
      <c r="F410" s="11">
        <f t="shared" si="32"/>
        <v>3.16650397874088</v>
      </c>
      <c r="G410" s="11">
        <f t="shared" si="33"/>
        <v>3.1662571201397967</v>
      </c>
    </row>
    <row r="411" spans="5:7" x14ac:dyDescent="0.25">
      <c r="E411" s="11">
        <f t="shared" si="31"/>
        <v>24</v>
      </c>
      <c r="F411" s="11">
        <f t="shared" si="32"/>
        <v>3.3099287671058626</v>
      </c>
      <c r="G411" s="11">
        <f t="shared" si="33"/>
        <v>3.3087883499464095</v>
      </c>
    </row>
    <row r="412" spans="5:7" x14ac:dyDescent="0.25">
      <c r="E412" s="11">
        <f t="shared" si="31"/>
        <v>25</v>
      </c>
      <c r="F412" s="11">
        <f t="shared" si="32"/>
        <v>3.453547452182709</v>
      </c>
      <c r="G412" s="11">
        <f t="shared" si="33"/>
        <v>3.4515503842544346</v>
      </c>
    </row>
    <row r="413" spans="5:7" x14ac:dyDescent="0.25">
      <c r="E413" s="11">
        <f t="shared" si="31"/>
        <v>26</v>
      </c>
      <c r="F413" s="11">
        <f t="shared" si="32"/>
        <v>3.5972930908299072</v>
      </c>
      <c r="G413" s="11">
        <f t="shared" si="33"/>
        <v>3.5945222408364712</v>
      </c>
    </row>
    <row r="414" spans="5:7" x14ac:dyDescent="0.25">
      <c r="E414" s="11">
        <f t="shared" si="31"/>
        <v>27</v>
      </c>
      <c r="F414" s="11">
        <f t="shared" si="32"/>
        <v>3.7410908501152824</v>
      </c>
      <c r="G414" s="11">
        <f t="shared" si="33"/>
        <v>3.7376829374651175</v>
      </c>
    </row>
    <row r="415" spans="5:7" x14ac:dyDescent="0.25">
      <c r="E415" s="11">
        <f t="shared" ref="E415:E422" si="34">E208</f>
        <v>28</v>
      </c>
      <c r="F415" s="11">
        <f t="shared" ref="F415:F422" si="35">$H$217*0+E415*$I$217+E415^2*$J$217+E415^3*$K$217+E415^4*$L$217+E415^5*$M$217+E415^6*$N$217+E415^7*$O$217+E415^8*$P$217</f>
        <v>3.8848573302743357</v>
      </c>
      <c r="G415" s="11">
        <f t="shared" ref="G415:G422" si="36">F208</f>
        <v>3.8810114919129721</v>
      </c>
    </row>
    <row r="416" spans="5:7" x14ac:dyDescent="0.25">
      <c r="E416" s="11">
        <f t="shared" si="34"/>
        <v>29</v>
      </c>
      <c r="F416" s="11">
        <f t="shared" si="35"/>
        <v>4.0284998519533151</v>
      </c>
      <c r="G416" s="11">
        <f t="shared" si="36"/>
        <v>4.0244869219526347</v>
      </c>
    </row>
    <row r="417" spans="5:7" x14ac:dyDescent="0.25">
      <c r="E417" s="11">
        <f t="shared" si="34"/>
        <v>30</v>
      </c>
      <c r="F417" s="11">
        <f t="shared" si="35"/>
        <v>4.1719157067083543</v>
      </c>
      <c r="G417" s="11">
        <f t="shared" si="36"/>
        <v>4.1680882453567039</v>
      </c>
    </row>
    <row r="418" spans="5:7" x14ac:dyDescent="0.25">
      <c r="E418" s="11">
        <f t="shared" si="34"/>
        <v>31</v>
      </c>
      <c r="F418" s="11">
        <f t="shared" si="35"/>
        <v>4.3149913697193627</v>
      </c>
      <c r="G418" s="11">
        <f t="shared" si="36"/>
        <v>4.3117944798977792</v>
      </c>
    </row>
    <row r="419" spans="5:7" x14ac:dyDescent="0.25">
      <c r="E419" s="11">
        <f t="shared" si="34"/>
        <v>32</v>
      </c>
      <c r="F419" s="11">
        <f t="shared" si="35"/>
        <v>4.4576016736647688</v>
      </c>
      <c r="G419" s="11">
        <f t="shared" si="36"/>
        <v>4.4555846433484581</v>
      </c>
    </row>
    <row r="420" spans="5:7" x14ac:dyDescent="0.25">
      <c r="E420" s="11">
        <f t="shared" si="34"/>
        <v>33</v>
      </c>
      <c r="F420" s="11">
        <f t="shared" si="35"/>
        <v>4.5996089426905318</v>
      </c>
      <c r="G420" s="11">
        <f t="shared" si="36"/>
        <v>4.5994377534813413</v>
      </c>
    </row>
    <row r="421" spans="5:7" x14ac:dyDescent="0.25">
      <c r="E421" s="11">
        <f t="shared" si="34"/>
        <v>34</v>
      </c>
      <c r="F421" s="11">
        <f t="shared" si="35"/>
        <v>4.7408620853942756</v>
      </c>
      <c r="G421" s="11">
        <f t="shared" si="36"/>
        <v>4.7433328280690263</v>
      </c>
    </row>
    <row r="422" spans="5:7" x14ac:dyDescent="0.25">
      <c r="E422" s="11">
        <f t="shared" si="34"/>
        <v>35</v>
      </c>
      <c r="F422" s="11">
        <f t="shared" si="35"/>
        <v>4.8811956457326877</v>
      </c>
      <c r="G422" s="11">
        <f t="shared" si="36"/>
        <v>4.8872488848841122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2022-01-12T17:45:07Z</dcterms:modified>
</cp:coreProperties>
</file>