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1"/>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bestimmen'!$C$126:$H$126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M3" i="8" l="1"/>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C403" i="43"/>
  <c r="C406" i="43" s="1"/>
  <c r="D403" i="43"/>
  <c r="D406" i="43" s="1"/>
  <c r="E403" i="43"/>
  <c r="E405" i="43" s="1"/>
  <c r="F403" i="43"/>
  <c r="F415" i="43" s="1"/>
  <c r="G403" i="43"/>
  <c r="G410" i="43" s="1"/>
  <c r="H403" i="43"/>
  <c r="H434" i="43" s="1"/>
  <c r="B403" i="43"/>
  <c r="B405" i="43" s="1"/>
  <c r="B65" i="43"/>
  <c r="A65" i="43"/>
  <c r="G431" i="43" l="1"/>
  <c r="G416" i="43"/>
  <c r="F404" i="43"/>
  <c r="F410" i="43"/>
  <c r="F416" i="43"/>
  <c r="F430" i="43"/>
  <c r="F424" i="43"/>
  <c r="F423" i="43"/>
  <c r="F419" i="43"/>
  <c r="E410" i="43"/>
  <c r="E418" i="43"/>
  <c r="E422" i="43"/>
  <c r="E429" i="43"/>
  <c r="E427" i="43"/>
  <c r="E425" i="43"/>
  <c r="E434" i="43"/>
  <c r="D424" i="43"/>
  <c r="D431" i="43"/>
  <c r="D433" i="43"/>
  <c r="C433" i="43"/>
  <c r="C426" i="43"/>
  <c r="D422" i="43"/>
  <c r="D415" i="43"/>
  <c r="D420" i="43"/>
  <c r="D413" i="43"/>
  <c r="C431" i="43"/>
  <c r="C420" i="43"/>
  <c r="C412" i="43"/>
  <c r="C430" i="43"/>
  <c r="C422" i="43"/>
  <c r="C419" i="43"/>
  <c r="C415" i="43"/>
  <c r="G434" i="43"/>
  <c r="F431" i="43"/>
  <c r="F420" i="43"/>
  <c r="G413" i="43"/>
  <c r="C408" i="43"/>
  <c r="F434" i="43"/>
  <c r="E431" i="43"/>
  <c r="F427" i="43"/>
  <c r="C424" i="43"/>
  <c r="E420" i="43"/>
  <c r="C417" i="43"/>
  <c r="C405" i="43"/>
  <c r="C410" i="43"/>
  <c r="D408" i="43"/>
  <c r="D405" i="43"/>
  <c r="D412" i="43"/>
  <c r="D410" i="43"/>
  <c r="D425" i="43"/>
  <c r="D429" i="43"/>
  <c r="D427" i="43"/>
  <c r="D407" i="43"/>
  <c r="D432" i="43"/>
  <c r="D418" i="43"/>
  <c r="D414" i="43"/>
  <c r="E404" i="43"/>
  <c r="D434" i="43"/>
  <c r="C432" i="43"/>
  <c r="C429" i="43"/>
  <c r="C427" i="43"/>
  <c r="C425" i="43"/>
  <c r="E423" i="43"/>
  <c r="D421" i="43"/>
  <c r="C418" i="43"/>
  <c r="E416" i="43"/>
  <c r="C414" i="43"/>
  <c r="E411" i="43"/>
  <c r="D409" i="43"/>
  <c r="C407" i="43"/>
  <c r="D404" i="43"/>
  <c r="C434" i="43"/>
  <c r="E430" i="43"/>
  <c r="D428" i="43"/>
  <c r="E426" i="43"/>
  <c r="D423" i="43"/>
  <c r="C421" i="43"/>
  <c r="E419" i="43"/>
  <c r="E417" i="43"/>
  <c r="D416" i="43"/>
  <c r="D411" i="43"/>
  <c r="C409" i="43"/>
  <c r="E406" i="43"/>
  <c r="C404" i="43"/>
  <c r="E433" i="43"/>
  <c r="D430" i="43"/>
  <c r="C428" i="43"/>
  <c r="D426" i="43"/>
  <c r="E424" i="43"/>
  <c r="C423" i="43"/>
  <c r="D419" i="43"/>
  <c r="D417" i="43"/>
  <c r="E415" i="43"/>
  <c r="E413" i="43"/>
  <c r="E408" i="43"/>
  <c r="G428" i="43"/>
  <c r="F417" i="43"/>
  <c r="G406" i="43"/>
  <c r="F432" i="43"/>
  <c r="F428" i="43"/>
  <c r="G425" i="43"/>
  <c r="F421" i="43"/>
  <c r="F414" i="43"/>
  <c r="H416" i="43"/>
  <c r="E432" i="43"/>
  <c r="F429" i="43"/>
  <c r="E428" i="43"/>
  <c r="F425" i="43"/>
  <c r="G422" i="43"/>
  <c r="E421" i="43"/>
  <c r="F418" i="43"/>
  <c r="C416" i="43"/>
  <c r="E414" i="43"/>
  <c r="C413" i="43"/>
  <c r="C411" i="43"/>
  <c r="E409" i="43"/>
  <c r="G407" i="43"/>
  <c r="F406" i="43"/>
  <c r="F433" i="43"/>
  <c r="F426" i="43"/>
  <c r="F422" i="43"/>
  <c r="G419" i="43"/>
  <c r="E412" i="43"/>
  <c r="E407" i="43"/>
  <c r="B433" i="43"/>
  <c r="B424" i="43"/>
  <c r="B415" i="43"/>
  <c r="B411" i="43"/>
  <c r="B410" i="43"/>
  <c r="B434" i="43"/>
  <c r="B426" i="43"/>
  <c r="B425" i="43"/>
  <c r="B417" i="43"/>
  <c r="B416" i="43"/>
  <c r="B407" i="43"/>
  <c r="B430" i="43"/>
  <c r="B421" i="43"/>
  <c r="B413" i="43"/>
  <c r="B409" i="43"/>
  <c r="B432" i="43"/>
  <c r="B431" i="43"/>
  <c r="B423" i="43"/>
  <c r="B422" i="43"/>
  <c r="B414" i="43"/>
  <c r="B406" i="43"/>
  <c r="B404" i="43"/>
  <c r="B427" i="43"/>
  <c r="B418" i="43"/>
  <c r="B412" i="43"/>
  <c r="B408" i="43"/>
  <c r="B429" i="43"/>
  <c r="B428" i="43"/>
  <c r="B420" i="43"/>
  <c r="B419" i="43"/>
  <c r="H419" i="43"/>
  <c r="H418" i="43"/>
  <c r="H417" i="43"/>
  <c r="H404" i="43"/>
  <c r="H433" i="43"/>
  <c r="H432" i="43"/>
  <c r="H431" i="43"/>
  <c r="H415" i="43"/>
  <c r="H414" i="43"/>
  <c r="H413" i="43"/>
  <c r="H428" i="43"/>
  <c r="H412" i="43"/>
  <c r="H411" i="43"/>
  <c r="H410" i="43"/>
  <c r="H430" i="43"/>
  <c r="H427" i="43"/>
  <c r="H426" i="43"/>
  <c r="H425" i="43"/>
  <c r="F413" i="43"/>
  <c r="F412" i="43"/>
  <c r="F411" i="43"/>
  <c r="H409" i="43"/>
  <c r="H408" i="43"/>
  <c r="H407" i="43"/>
  <c r="H429" i="43"/>
  <c r="H424" i="43"/>
  <c r="H423" i="43"/>
  <c r="H422" i="43"/>
  <c r="F409" i="43"/>
  <c r="F408" i="43"/>
  <c r="H406" i="43"/>
  <c r="H405" i="43"/>
  <c r="F405" i="43"/>
  <c r="H421" i="43"/>
  <c r="H420" i="43"/>
  <c r="F407" i="43"/>
  <c r="G432" i="43"/>
  <c r="G429" i="43"/>
  <c r="G426" i="43"/>
  <c r="G423" i="43"/>
  <c r="G420" i="43"/>
  <c r="G417" i="43"/>
  <c r="G414" i="43"/>
  <c r="G411" i="43"/>
  <c r="G408" i="43"/>
  <c r="G405" i="43"/>
  <c r="G404" i="43"/>
  <c r="G433" i="43"/>
  <c r="G430" i="43"/>
  <c r="G427" i="43"/>
  <c r="G424" i="43"/>
  <c r="G421" i="43"/>
  <c r="G418" i="43"/>
  <c r="G415" i="43"/>
  <c r="G412" i="43"/>
  <c r="G409" i="43"/>
  <c r="N122" i="43"/>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AO11" i="8"/>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AO16" i="8"/>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AQ4" i="8"/>
  <c r="N405" i="43"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U14" i="8"/>
  <c r="BE14" i="8" s="1"/>
  <c r="P24" i="8"/>
  <c r="AZ24" i="8" s="1"/>
  <c r="U5" i="8"/>
  <c r="BE5" i="8" s="1"/>
  <c r="R19" i="8"/>
  <c r="S29" i="8"/>
  <c r="BC29" i="8" s="1"/>
  <c r="P9" i="8"/>
  <c r="AZ9" i="8" s="1"/>
  <c r="O29" i="8"/>
  <c r="AY29" i="8" s="1"/>
  <c r="Q23" i="8"/>
  <c r="R32" i="8"/>
  <c r="BB32" i="8" s="1"/>
  <c r="Q4" i="8"/>
  <c r="BA4" i="8" s="1"/>
  <c r="U7" i="8"/>
  <c r="S21" i="8"/>
  <c r="BC21" i="8" s="1"/>
  <c r="P5" i="8"/>
  <c r="S31" i="8"/>
  <c r="BC31" i="8" s="1"/>
  <c r="U18" i="8"/>
  <c r="BE18" i="8" s="1"/>
  <c r="U9" i="8"/>
  <c r="BE9" i="8" s="1"/>
  <c r="Q3" i="8"/>
  <c r="BA3" i="8" s="1"/>
  <c r="T24" i="8"/>
  <c r="T29" i="8"/>
  <c r="BD29" i="8" s="1"/>
  <c r="Q10" i="8"/>
  <c r="R28" i="8"/>
  <c r="BB28" i="8" s="1"/>
  <c r="S8" i="8"/>
  <c r="BC8" i="8" s="1"/>
  <c r="P16" i="8"/>
  <c r="AZ16" i="8" s="1"/>
  <c r="P23" i="8"/>
  <c r="AZ23" i="8" s="1"/>
  <c r="R13" i="8"/>
  <c r="BB13" i="8" s="1"/>
  <c r="T20" i="8"/>
  <c r="Q9" i="8"/>
  <c r="BA9" i="8" s="1"/>
  <c r="S30" i="8"/>
  <c r="BC30" i="8" s="1"/>
  <c r="T11" i="8"/>
  <c r="BD11" i="8" s="1"/>
  <c r="AR11" i="8"/>
  <c r="O412" i="43" s="1"/>
  <c r="R14" i="8"/>
  <c r="O31" i="8"/>
  <c r="AY31" i="8" s="1"/>
  <c r="P3" i="8"/>
  <c r="T3" i="8"/>
  <c r="R3" i="8"/>
  <c r="BB3" i="8" s="1"/>
  <c r="U15" i="8"/>
  <c r="R15" i="8"/>
  <c r="BB15" i="8" s="1"/>
  <c r="AP15" i="8"/>
  <c r="O3" i="8"/>
  <c r="AY3" i="8" s="1"/>
  <c r="Q33" i="8"/>
  <c r="BA33" i="8" s="1"/>
  <c r="AQ7" i="8" l="1"/>
  <c r="AP5" i="8"/>
  <c r="AP3" i="8"/>
  <c r="F16" i="43" s="1"/>
  <c r="F55" i="43" s="1"/>
  <c r="AO4" i="8"/>
  <c r="AN16" i="8"/>
  <c r="K417" i="43" s="1"/>
  <c r="AN13" i="8"/>
  <c r="K414" i="43" s="1"/>
  <c r="AM29" i="8"/>
  <c r="J430" i="43" s="1"/>
  <c r="AQ3" i="8"/>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J281" i="43" s="1"/>
  <c r="J282" i="43" s="1"/>
  <c r="AM21" i="8"/>
  <c r="AO8" i="8"/>
  <c r="AO7" i="8"/>
  <c r="L408" i="43" s="1"/>
  <c r="AN10" i="8"/>
  <c r="K411" i="43" s="1"/>
  <c r="AS9" i="8"/>
  <c r="P410" i="43" s="1"/>
  <c r="AQ21" i="8"/>
  <c r="N422" i="43" s="1"/>
  <c r="AS5" i="8"/>
  <c r="P406" i="43" s="1"/>
  <c r="AR31" i="8"/>
  <c r="O432" i="43" s="1"/>
  <c r="AM8" i="8"/>
  <c r="J409" i="43" s="1"/>
  <c r="AM24" i="8"/>
  <c r="AN11" i="8"/>
  <c r="K412" i="43" s="1"/>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S163" i="43" s="1"/>
  <c r="F49" i="43"/>
  <c r="F50" i="43" s="1"/>
  <c r="F51" i="43"/>
  <c r="J404" i="43"/>
  <c r="B130" i="43"/>
  <c r="N404" i="43"/>
  <c r="B286" i="43"/>
  <c r="AY30" i="8"/>
  <c r="AM30" i="8"/>
  <c r="BB12" i="8"/>
  <c r="AP12" i="8"/>
  <c r="BE15" i="8"/>
  <c r="AS15" i="8"/>
  <c r="J432" i="43"/>
  <c r="O422" i="43"/>
  <c r="T32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32" i="43"/>
  <c r="AD169" i="43"/>
  <c r="BB31" i="8"/>
  <c r="AP31" i="8"/>
  <c r="BE33" i="8"/>
  <c r="AS33" i="8"/>
  <c r="AY26" i="8"/>
  <c r="AM26" i="8"/>
  <c r="O423" i="43"/>
  <c r="U325" i="43"/>
  <c r="M416" i="43"/>
  <c r="R16" i="43"/>
  <c r="N247" i="43"/>
  <c r="BE7" i="8"/>
  <c r="AS7" i="8"/>
  <c r="BB19" i="8"/>
  <c r="AP19" i="8"/>
  <c r="N408" i="43"/>
  <c r="F286" i="43"/>
  <c r="T286"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O364" i="43"/>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AO5" i="8"/>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Y18" i="8"/>
  <c r="AM18" i="8"/>
  <c r="BC11" i="8"/>
  <c r="BE25" i="8"/>
  <c r="BD28" i="8"/>
  <c r="BD6" i="8"/>
  <c r="AZ12" i="8"/>
  <c r="BD33" i="8"/>
  <c r="AQ5" i="8"/>
  <c r="AR26" i="8"/>
  <c r="S208" i="43"/>
  <c r="L421" i="43"/>
  <c r="Z364" i="43"/>
  <c r="P428" i="43"/>
  <c r="BE23" i="8"/>
  <c r="O405" i="43" l="1"/>
  <c r="P286" i="43"/>
  <c r="C280" i="43"/>
  <c r="X286" i="43"/>
  <c r="X319" i="43" s="1"/>
  <c r="M405" i="43"/>
  <c r="J280" i="43"/>
  <c r="S164" i="43"/>
  <c r="S165" i="43" s="1"/>
  <c r="G16" i="43"/>
  <c r="G51" i="43" s="1"/>
  <c r="AF359" i="43"/>
  <c r="AF360" i="43" s="1"/>
  <c r="J169" i="43"/>
  <c r="J203" i="43" s="1"/>
  <c r="J204" i="43" s="1"/>
  <c r="AA358" i="43"/>
  <c r="T208" i="43"/>
  <c r="Q208" i="43"/>
  <c r="Q241" i="43" s="1"/>
  <c r="I202" i="43"/>
  <c r="F208" i="43"/>
  <c r="AB16" i="43"/>
  <c r="AB49" i="43" s="1"/>
  <c r="AB50" i="43" s="1"/>
  <c r="P432" i="43"/>
  <c r="V169" i="43"/>
  <c r="P364" i="43"/>
  <c r="P397" i="43" s="1"/>
  <c r="P16" i="43"/>
  <c r="P49" i="43" s="1"/>
  <c r="P50" i="43" s="1"/>
  <c r="AD286" i="43"/>
  <c r="V398" i="43"/>
  <c r="V399" i="43" s="1"/>
  <c r="M426" i="43"/>
  <c r="U364" i="43"/>
  <c r="U397" i="43" s="1"/>
  <c r="X280" i="43"/>
  <c r="G130" i="43"/>
  <c r="G163" i="43" s="1"/>
  <c r="L247" i="43"/>
  <c r="H247" i="43"/>
  <c r="H280" i="43" s="1"/>
  <c r="P430" i="43"/>
  <c r="AB397" i="43"/>
  <c r="AB169" i="43"/>
  <c r="AB203" i="43" s="1"/>
  <c r="AB204" i="43" s="1"/>
  <c r="B364" i="43"/>
  <c r="B397" i="43" s="1"/>
  <c r="Z359" i="43"/>
  <c r="Z360" i="43" s="1"/>
  <c r="J422" i="43"/>
  <c r="T130" i="43"/>
  <c r="M359" i="43"/>
  <c r="M360" i="43" s="1"/>
  <c r="G364" i="43"/>
  <c r="G397" i="43" s="1"/>
  <c r="L409" i="43"/>
  <c r="G208" i="43"/>
  <c r="M407" i="43"/>
  <c r="G169" i="43"/>
  <c r="G202" i="43" s="1"/>
  <c r="Z169" i="43"/>
  <c r="Z202" i="43" s="1"/>
  <c r="W281" i="43"/>
  <c r="W282" i="43" s="1"/>
  <c r="I49" i="43"/>
  <c r="I50" i="43" s="1"/>
  <c r="I286" i="43"/>
  <c r="I319" i="43" s="1"/>
  <c r="AA130" i="43"/>
  <c r="AA163" i="43" s="1"/>
  <c r="D364" i="43"/>
  <c r="D398" i="43" s="1"/>
  <c r="D399" i="43" s="1"/>
  <c r="I51" i="43"/>
  <c r="F130" i="43"/>
  <c r="F163" i="43" s="1"/>
  <c r="AD325" i="43"/>
  <c r="AD359" i="43" s="1"/>
  <c r="AD360" i="43" s="1"/>
  <c r="E247" i="43"/>
  <c r="E280" i="43" s="1"/>
  <c r="R364" i="43"/>
  <c r="R397" i="43" s="1"/>
  <c r="AA16" i="43"/>
  <c r="AA55" i="43" s="1"/>
  <c r="AE247" i="43"/>
  <c r="AE281" i="43" s="1"/>
  <c r="J410" i="43"/>
  <c r="H130" i="43"/>
  <c r="R208" i="43"/>
  <c r="R241" i="43" s="1"/>
  <c r="W364" i="43"/>
  <c r="W398" i="43" s="1"/>
  <c r="W399" i="43" s="1"/>
  <c r="M433" i="43"/>
  <c r="Y286" i="43"/>
  <c r="Y320" i="43" s="1"/>
  <c r="Y321" i="43" s="1"/>
  <c r="L426" i="43"/>
  <c r="E364" i="43"/>
  <c r="E397" i="43" s="1"/>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K406" i="43"/>
  <c r="D169" i="43"/>
  <c r="N425" i="43"/>
  <c r="W286" i="43"/>
  <c r="L55" i="43"/>
  <c r="L49" i="43"/>
  <c r="L50" i="43" s="1"/>
  <c r="L51" i="43"/>
  <c r="O425" i="43"/>
  <c r="W325" i="43"/>
  <c r="L427" i="43"/>
  <c r="Y208" i="43"/>
  <c r="O427" i="43"/>
  <c r="Y325" i="43"/>
  <c r="L416" i="43"/>
  <c r="N208" i="43"/>
  <c r="X203" i="43"/>
  <c r="X204" i="43" s="1"/>
  <c r="X202" i="43"/>
  <c r="O419" i="43"/>
  <c r="Q325" i="43"/>
  <c r="X130" i="43"/>
  <c r="J426" i="43"/>
  <c r="C397" i="43"/>
  <c r="C398" i="43"/>
  <c r="C399" i="43" s="1"/>
  <c r="X320" i="43"/>
  <c r="X321" i="43" s="1"/>
  <c r="N417" i="43"/>
  <c r="O286" i="43"/>
  <c r="N413" i="43"/>
  <c r="K286" i="43"/>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5" i="43"/>
  <c r="G49" i="43"/>
  <c r="G50" i="43" s="1"/>
  <c r="L428" i="43"/>
  <c r="Z208" i="43"/>
  <c r="Z398" i="43"/>
  <c r="Z399" i="43" s="1"/>
  <c r="Z397" i="43"/>
  <c r="N406" i="43"/>
  <c r="D286" i="43"/>
  <c r="J319" i="43"/>
  <c r="J320" i="43"/>
  <c r="J321" i="43" s="1"/>
  <c r="AB202" i="43"/>
  <c r="J434" i="43"/>
  <c r="AF130" i="43"/>
  <c r="M421" i="43"/>
  <c r="S247" i="43"/>
  <c r="W16" i="43"/>
  <c r="L202" i="43"/>
  <c r="L203" i="43"/>
  <c r="L204" i="43" s="1"/>
  <c r="AE359" i="43"/>
  <c r="AE360" i="43" s="1"/>
  <c r="AE358" i="43"/>
  <c r="M411" i="43"/>
  <c r="M16" i="43"/>
  <c r="I247" i="43"/>
  <c r="AA49" i="43"/>
  <c r="AA50" i="43" s="1"/>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429" i="43"/>
  <c r="AA364" i="43"/>
  <c r="O421" i="43"/>
  <c r="S325" i="43"/>
  <c r="AD242" i="43"/>
  <c r="AD243" i="43" s="1"/>
  <c r="AD241" i="43"/>
  <c r="O418" i="43"/>
  <c r="P325" i="43"/>
  <c r="K404" i="43"/>
  <c r="B169" i="43"/>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V203" i="43"/>
  <c r="V204" i="43" s="1"/>
  <c r="V202" i="43"/>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P419" i="43"/>
  <c r="Q364" i="43"/>
  <c r="N431" i="43"/>
  <c r="AC286" i="43"/>
  <c r="Q242" i="43"/>
  <c r="Q243" i="43" s="1"/>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F242" i="43"/>
  <c r="F243" i="43" s="1"/>
  <c r="F241" i="43"/>
  <c r="J242" i="43"/>
  <c r="J243" i="43" s="1"/>
  <c r="J241" i="43"/>
  <c r="N421" i="43"/>
  <c r="S286" i="43"/>
  <c r="Z164" i="43"/>
  <c r="Z165" i="43" s="1"/>
  <c r="Z163" i="43"/>
  <c r="N420" i="43"/>
  <c r="R286" i="43"/>
  <c r="AC397" i="43"/>
  <c r="AC398" i="43"/>
  <c r="AC399" i="43" s="1"/>
  <c r="T241" i="43"/>
  <c r="T242" i="43"/>
  <c r="T243" i="43" s="1"/>
  <c r="O420" i="43"/>
  <c r="R325" i="43"/>
  <c r="E164" i="43"/>
  <c r="E165" i="43" s="1"/>
  <c r="E163" i="43"/>
  <c r="J416" i="43"/>
  <c r="N130" i="43"/>
  <c r="M423" i="43"/>
  <c r="U247" i="43"/>
  <c r="Y16" i="43"/>
  <c r="I397" i="43"/>
  <c r="I398" i="43"/>
  <c r="I399" i="43" s="1"/>
  <c r="K418" i="43"/>
  <c r="P169" i="43"/>
  <c r="K433" i="43"/>
  <c r="AE169" i="43"/>
  <c r="H397" i="43"/>
  <c r="H398" i="43"/>
  <c r="H399" i="43" s="1"/>
  <c r="J358" i="43"/>
  <c r="J359" i="43"/>
  <c r="J360" i="43" s="1"/>
  <c r="O130" i="43"/>
  <c r="J417" i="43"/>
  <c r="R242" i="43"/>
  <c r="R243" i="43" s="1"/>
  <c r="P421" i="43"/>
  <c r="S364" i="43"/>
  <c r="M420" i="43"/>
  <c r="R247" i="43"/>
  <c r="V16" i="43"/>
  <c r="Q16" i="43"/>
  <c r="M415" i="43"/>
  <c r="M247" i="43"/>
  <c r="L434" i="43"/>
  <c r="AF208" i="43"/>
  <c r="D281" i="43"/>
  <c r="D282" i="43" s="1"/>
  <c r="D280" i="43"/>
  <c r="H281" i="43"/>
  <c r="H282" i="43" s="1"/>
  <c r="P413" i="43"/>
  <c r="K364" i="43"/>
  <c r="AC51" i="43"/>
  <c r="AC49" i="43"/>
  <c r="AC50" i="43" s="1"/>
  <c r="AC55" i="43"/>
  <c r="O417" i="43"/>
  <c r="O325" i="43"/>
  <c r="J405" i="43"/>
  <c r="C130" i="43"/>
  <c r="AI51" i="43"/>
  <c r="AI55" i="43"/>
  <c r="AI49" i="43"/>
  <c r="AI50" i="43" s="1"/>
  <c r="P416" i="43"/>
  <c r="N364" i="43"/>
  <c r="B320" i="43"/>
  <c r="B321" i="43" s="1"/>
  <c r="B319" i="43"/>
  <c r="P398" i="43" l="1"/>
  <c r="P399" i="43" s="1"/>
  <c r="J202" i="43"/>
  <c r="R398" i="43"/>
  <c r="R399" i="43" s="1"/>
  <c r="AA164" i="43"/>
  <c r="AA165" i="43" s="1"/>
  <c r="AB319" i="43"/>
  <c r="W397" i="43"/>
  <c r="E281" i="43"/>
  <c r="E282" i="43" s="1"/>
  <c r="I320" i="43"/>
  <c r="I321" i="43" s="1"/>
  <c r="P55" i="43"/>
  <c r="U55" i="43"/>
  <c r="G398" i="43"/>
  <c r="G399" i="43" s="1"/>
  <c r="U398" i="43"/>
  <c r="U399" i="43" s="1"/>
  <c r="G164" i="43"/>
  <c r="G165" i="43" s="1"/>
  <c r="B398" i="43"/>
  <c r="B399" i="43" s="1"/>
  <c r="P51" i="43"/>
  <c r="E398" i="43"/>
  <c r="E399" i="43" s="1"/>
  <c r="AD358" i="43"/>
  <c r="AE49" i="43"/>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<sst xmlns="http://schemas.openxmlformats.org/spreadsheetml/2006/main" count="311" uniqueCount="164">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</sst>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-3.1765554857142859E-4</c:v>
                </c:pt>
                <c:pt idx="1">
                  <c:v>-3.1956785142857146E-4</c:v>
                </c:pt>
                <c:pt idx="2">
                  <c:v>-3.2602421142857144E-4</c:v>
                </c:pt>
                <c:pt idx="3">
                  <c:v>-3.3090011428571432E-4</c:v>
                </c:pt>
                <c:pt idx="4">
                  <c:v>-3.3562091428571432E-4</c:v>
                </c:pt>
                <c:pt idx="5">
                  <c:v>-3.4095297142857148E-4</c:v>
                </c:pt>
                <c:pt idx="6">
                  <c:v>-3.4677661714285719E-4</c:v>
                </c:pt>
                <c:pt idx="7">
                  <c:v>-3.5371800571428575E-4</c:v>
                </c:pt>
                <c:pt idx="8">
                  <c:v>-3.6188184000000005E-4</c:v>
                </c:pt>
                <c:pt idx="9">
                  <c:v>-3.704156685714286E-4</c:v>
                </c:pt>
                <c:pt idx="10">
                  <c:v>-3.7939892000000004E-4</c:v>
                </c:pt>
                <c:pt idx="11">
                  <c:v>-3.8849084571428573E-4</c:v>
                </c:pt>
                <c:pt idx="12">
                  <c:v>-4.0148532E-4</c:v>
                </c:pt>
                <c:pt idx="13">
                  <c:v>-4.165129028571429E-4</c:v>
                </c:pt>
                <c:pt idx="14">
                  <c:v>-4.3171997714285714E-4</c:v>
                </c:pt>
                <c:pt idx="15">
                  <c:v>-4.4481564000000003E-4</c:v>
                </c:pt>
                <c:pt idx="16">
                  <c:v>-4.5926486857142857E-4</c:v>
                </c:pt>
                <c:pt idx="17">
                  <c:v>-4.7422432E-4</c:v>
                </c:pt>
                <c:pt idx="18">
                  <c:v>-4.9147261714285718E-4</c:v>
                </c:pt>
                <c:pt idx="19">
                  <c:v>-5.1080495999999997E-4</c:v>
                </c:pt>
                <c:pt idx="20">
                  <c:v>-5.5237050285714281E-4</c:v>
                </c:pt>
                <c:pt idx="21">
                  <c:v>-6.5347891428571428E-4</c:v>
                </c:pt>
                <c:pt idx="22">
                  <c:v>-8.2994857142857151E-4</c:v>
                </c:pt>
                <c:pt idx="23">
                  <c:v>-1.0604901142857144E-3</c:v>
                </c:pt>
                <c:pt idx="24">
                  <c:v>-1.3626403428571429E-3</c:v>
                </c:pt>
                <c:pt idx="25">
                  <c:v>-1.7953448000000002E-3</c:v>
                </c:pt>
                <c:pt idx="26">
                  <c:v>-2.5186729142857144E-3</c:v>
                </c:pt>
                <c:pt idx="27">
                  <c:v>-3.6098497142857144E-3</c:v>
                </c:pt>
                <c:pt idx="28">
                  <c:v>-5.1771965142857149E-3</c:v>
                </c:pt>
                <c:pt idx="29">
                  <c:v>-6.6766028571428569E-3</c:v>
                </c:pt>
                <c:pt idx="30">
                  <c:v>-7.9544497142857145E-3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-3.2385028571428571E-4</c:v>
                </c:pt>
                <c:pt idx="1">
                  <c:v>-3.3142164571428574E-4</c:v>
                </c:pt>
                <c:pt idx="2">
                  <c:v>-3.362832742857143E-4</c:v>
                </c:pt>
                <c:pt idx="3">
                  <c:v>-3.4131923428571434E-4</c:v>
                </c:pt>
                <c:pt idx="4">
                  <c:v>-3.4687351428571431E-4</c:v>
                </c:pt>
                <c:pt idx="5">
                  <c:v>-3.5323632000000007E-4</c:v>
                </c:pt>
                <c:pt idx="6">
                  <c:v>-3.604695828571429E-4</c:v>
                </c:pt>
                <c:pt idx="7">
                  <c:v>-3.6940146857142862E-4</c:v>
                </c:pt>
                <c:pt idx="8">
                  <c:v>-3.778486685714286E-4</c:v>
                </c:pt>
                <c:pt idx="9">
                  <c:v>-3.8717555428571435E-4</c:v>
                </c:pt>
                <c:pt idx="10">
                  <c:v>-3.9797395428571429E-4</c:v>
                </c:pt>
                <c:pt idx="11">
                  <c:v>-4.1174637142857144E-4</c:v>
                </c:pt>
                <c:pt idx="12">
                  <c:v>-4.2728338285714294E-4</c:v>
                </c:pt>
                <c:pt idx="13">
                  <c:v>-4.4168786857142855E-4</c:v>
                </c:pt>
                <c:pt idx="14">
                  <c:v>-4.5537212571428577E-4</c:v>
                </c:pt>
                <c:pt idx="15">
                  <c:v>-4.7008845714285722E-4</c:v>
                </c:pt>
                <c:pt idx="16">
                  <c:v>-4.8622577714285719E-4</c:v>
                </c:pt>
                <c:pt idx="17">
                  <c:v>-5.042617714285714E-4</c:v>
                </c:pt>
                <c:pt idx="18">
                  <c:v>-5.3436528571428575E-4</c:v>
                </c:pt>
                <c:pt idx="19">
                  <c:v>-6.1334434285714289E-4</c:v>
                </c:pt>
                <c:pt idx="20">
                  <c:v>-7.6379371428571426E-4</c:v>
                </c:pt>
                <c:pt idx="21">
                  <c:v>-9.6756845714285724E-4</c:v>
                </c:pt>
                <c:pt idx="22">
                  <c:v>-1.2198500000000002E-3</c:v>
                </c:pt>
                <c:pt idx="23">
                  <c:v>-1.5611176000000001E-3</c:v>
                </c:pt>
                <c:pt idx="24">
                  <c:v>-2.0873740571428572E-3</c:v>
                </c:pt>
                <c:pt idx="25">
                  <c:v>-2.9592241714285717E-3</c:v>
                </c:pt>
                <c:pt idx="26">
                  <c:v>-4.2434921142857143E-3</c:v>
                </c:pt>
                <c:pt idx="27">
                  <c:v>-5.8771245714285712E-3</c:v>
                </c:pt>
                <c:pt idx="28">
                  <c:v>-7.2722080000000014E-3</c:v>
                </c:pt>
                <c:pt idx="29">
                  <c:v>-8.3137022857142865E-3</c:v>
                </c:pt>
                <c:pt idx="30">
                  <c:v>-8.936981714285714E-3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-3.3333392571428572E-4</c:v>
                </c:pt>
                <c:pt idx="1">
                  <c:v>-3.3902407428571435E-4</c:v>
                </c:pt>
                <c:pt idx="2">
                  <c:v>-3.4420747428571429E-4</c:v>
                </c:pt>
                <c:pt idx="3">
                  <c:v>-3.4984034857142864E-4</c:v>
                </c:pt>
                <c:pt idx="4">
                  <c:v>-3.5637131428571434E-4</c:v>
                </c:pt>
                <c:pt idx="5">
                  <c:v>-3.6370544000000001E-4</c:v>
                </c:pt>
                <c:pt idx="6">
                  <c:v>-3.7287631428571427E-4</c:v>
                </c:pt>
                <c:pt idx="7">
                  <c:v>-3.8131252000000001E-4</c:v>
                </c:pt>
                <c:pt idx="8">
                  <c:v>-3.9080617142857142E-4</c:v>
                </c:pt>
                <c:pt idx="9">
                  <c:v>-4.0198573142857146E-4</c:v>
                </c:pt>
                <c:pt idx="10">
                  <c:v>-4.1611814857142864E-4</c:v>
                </c:pt>
                <c:pt idx="11">
                  <c:v>-4.3179653142857147E-4</c:v>
                </c:pt>
                <c:pt idx="12">
                  <c:v>-4.4603799428571429E-4</c:v>
                </c:pt>
                <c:pt idx="13">
                  <c:v>-4.5998946857142857E-4</c:v>
                </c:pt>
                <c:pt idx="14">
                  <c:v>-4.7481256571428577E-4</c:v>
                </c:pt>
                <c:pt idx="15">
                  <c:v>-4.9127769714285715E-4</c:v>
                </c:pt>
                <c:pt idx="16">
                  <c:v>-5.0905381142857145E-4</c:v>
                </c:pt>
                <c:pt idx="17">
                  <c:v>-5.3754890285714289E-4</c:v>
                </c:pt>
                <c:pt idx="18">
                  <c:v>-6.0763388571428577E-4</c:v>
                </c:pt>
                <c:pt idx="19">
                  <c:v>-7.5412742857142862E-4</c:v>
                </c:pt>
                <c:pt idx="20">
                  <c:v>-9.5998822857142866E-4</c:v>
                </c:pt>
                <c:pt idx="21">
                  <c:v>-1.2203956E-3</c:v>
                </c:pt>
                <c:pt idx="22">
                  <c:v>-1.5747096571428571E-3</c:v>
                </c:pt>
                <c:pt idx="23">
                  <c:v>-2.126671542857143E-3</c:v>
                </c:pt>
                <c:pt idx="24">
                  <c:v>-3.0271867428571433E-3</c:v>
                </c:pt>
                <c:pt idx="25">
                  <c:v>-4.3534069142857146E-3</c:v>
                </c:pt>
                <c:pt idx="26">
                  <c:v>-5.9767857142857149E-3</c:v>
                </c:pt>
                <c:pt idx="27">
                  <c:v>-7.3654439999999996E-3</c:v>
                </c:pt>
                <c:pt idx="28">
                  <c:v>-8.3538388571428573E-3</c:v>
                </c:pt>
                <c:pt idx="29">
                  <c:v>-8.9823782857142865E-3</c:v>
                </c:pt>
                <c:pt idx="30">
                  <c:v>-9.3296577142857155E-3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-3.403251942857143E-4</c:v>
                </c:pt>
                <c:pt idx="1">
                  <c:v>-3.4632799428571432E-4</c:v>
                </c:pt>
                <c:pt idx="2">
                  <c:v>-3.5206168571428573E-4</c:v>
                </c:pt>
                <c:pt idx="3">
                  <c:v>-3.5859454857142857E-4</c:v>
                </c:pt>
                <c:pt idx="4">
                  <c:v>-3.6596454857142861E-4</c:v>
                </c:pt>
                <c:pt idx="5">
                  <c:v>-3.7513532571428575E-4</c:v>
                </c:pt>
                <c:pt idx="6">
                  <c:v>-3.8366720571428569E-4</c:v>
                </c:pt>
                <c:pt idx="7">
                  <c:v>-3.9319581142857146E-4</c:v>
                </c:pt>
                <c:pt idx="8">
                  <c:v>-4.0432668571428575E-4</c:v>
                </c:pt>
                <c:pt idx="9">
                  <c:v>-4.1845078857142859E-4</c:v>
                </c:pt>
                <c:pt idx="10">
                  <c:v>-4.3423338285714292E-4</c:v>
                </c:pt>
                <c:pt idx="11">
                  <c:v>-4.4869412571428574E-4</c:v>
                </c:pt>
                <c:pt idx="12">
                  <c:v>-4.6266420000000007E-4</c:v>
                </c:pt>
                <c:pt idx="13">
                  <c:v>-4.775777771428572E-4</c:v>
                </c:pt>
                <c:pt idx="14">
                  <c:v>-4.940049657142857E-4</c:v>
                </c:pt>
                <c:pt idx="15">
                  <c:v>-5.1156064000000003E-4</c:v>
                </c:pt>
                <c:pt idx="16">
                  <c:v>-5.3645994857142863E-4</c:v>
                </c:pt>
                <c:pt idx="17">
                  <c:v>-5.9246891428571438E-4</c:v>
                </c:pt>
                <c:pt idx="18">
                  <c:v>-7.2165205714285711E-4</c:v>
                </c:pt>
                <c:pt idx="19">
                  <c:v>-9.2102622857142874E-4</c:v>
                </c:pt>
                <c:pt idx="20">
                  <c:v>-1.1794936000000002E-3</c:v>
                </c:pt>
                <c:pt idx="21">
                  <c:v>-1.5301973142857145E-3</c:v>
                </c:pt>
                <c:pt idx="22">
                  <c:v>-2.0701796571428576E-3</c:v>
                </c:pt>
                <c:pt idx="23">
                  <c:v>-2.9545460000000002E-3</c:v>
                </c:pt>
                <c:pt idx="24">
                  <c:v>-4.2581054285714291E-3</c:v>
                </c:pt>
                <c:pt idx="25">
                  <c:v>-5.8863280000000006E-3</c:v>
                </c:pt>
                <c:pt idx="26">
                  <c:v>-7.2844622857142858E-3</c:v>
                </c:pt>
                <c:pt idx="27">
                  <c:v>-8.3061679999999992E-3</c:v>
                </c:pt>
                <c:pt idx="28">
                  <c:v>-8.9411811428571422E-3</c:v>
                </c:pt>
                <c:pt idx="29">
                  <c:v>-9.2980605714285732E-3</c:v>
                </c:pt>
                <c:pt idx="30">
                  <c:v>-9.6590897142857148E-3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-3.4942501142857146E-4</c:v>
                </c:pt>
                <c:pt idx="1">
                  <c:v>-3.5648601714285716E-4</c:v>
                </c:pt>
                <c:pt idx="2">
                  <c:v>-3.6348173142857149E-4</c:v>
                </c:pt>
                <c:pt idx="3">
                  <c:v>-3.7166670857142863E-4</c:v>
                </c:pt>
                <c:pt idx="4">
                  <c:v>-3.8023785142857143E-4</c:v>
                </c:pt>
                <c:pt idx="5">
                  <c:v>-3.8966249142857143E-4</c:v>
                </c:pt>
                <c:pt idx="6">
                  <c:v>-3.9857573142857144E-4</c:v>
                </c:pt>
                <c:pt idx="7">
                  <c:v>-4.1107237714285716E-4</c:v>
                </c:pt>
                <c:pt idx="8">
                  <c:v>-4.2596614285714284E-4</c:v>
                </c:pt>
                <c:pt idx="9">
                  <c:v>-4.4192214857142857E-4</c:v>
                </c:pt>
                <c:pt idx="10">
                  <c:v>-4.5590130285714283E-4</c:v>
                </c:pt>
                <c:pt idx="11">
                  <c:v>-4.7041819428571432E-4</c:v>
                </c:pt>
                <c:pt idx="12">
                  <c:v>-4.8552683428571436E-4</c:v>
                </c:pt>
                <c:pt idx="13">
                  <c:v>-5.0266556571428576E-4</c:v>
                </c:pt>
                <c:pt idx="14">
                  <c:v>-5.2012852571428571E-4</c:v>
                </c:pt>
                <c:pt idx="15">
                  <c:v>-5.4532661142857146E-4</c:v>
                </c:pt>
                <c:pt idx="16">
                  <c:v>-5.9216714285714289E-4</c:v>
                </c:pt>
                <c:pt idx="17">
                  <c:v>-7.0827571428571431E-4</c:v>
                </c:pt>
                <c:pt idx="18">
                  <c:v>-9.0756428571428581E-4</c:v>
                </c:pt>
                <c:pt idx="19">
                  <c:v>-1.1832574285714286E-3</c:v>
                </c:pt>
                <c:pt idx="20">
                  <c:v>-1.5661336571428574E-3</c:v>
                </c:pt>
                <c:pt idx="21">
                  <c:v>-2.1722050857142859E-3</c:v>
                </c:pt>
                <c:pt idx="22">
                  <c:v>-3.1303788000000003E-3</c:v>
                </c:pt>
                <c:pt idx="23">
                  <c:v>-4.5407554857142861E-3</c:v>
                </c:pt>
                <c:pt idx="24">
                  <c:v>-6.1332525714285716E-3</c:v>
                </c:pt>
                <c:pt idx="25">
                  <c:v>-7.5139828571428573E-3</c:v>
                </c:pt>
                <c:pt idx="26">
                  <c:v>-8.4066577142857153E-3</c:v>
                </c:pt>
                <c:pt idx="27">
                  <c:v>-9.0518805714285711E-3</c:v>
                </c:pt>
                <c:pt idx="28">
                  <c:v>-9.3563582857142859E-3</c:v>
                </c:pt>
                <c:pt idx="29">
                  <c:v>-9.698237142857143E-3</c:v>
                </c:pt>
                <c:pt idx="30">
                  <c:v>-1.012065142857143E-2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-3.7173529714285713E-4</c:v>
                </c:pt>
                <c:pt idx="1">
                  <c:v>-3.8212683428571429E-4</c:v>
                </c:pt>
                <c:pt idx="2">
                  <c:v>-3.9116091428571429E-4</c:v>
                </c:pt>
                <c:pt idx="3">
                  <c:v>-4.0084070285714289E-4</c:v>
                </c:pt>
                <c:pt idx="4">
                  <c:v>-4.1181157714285721E-4</c:v>
                </c:pt>
                <c:pt idx="5">
                  <c:v>-4.2589937714285713E-4</c:v>
                </c:pt>
                <c:pt idx="6">
                  <c:v>-4.420115542857143E-4</c:v>
                </c:pt>
                <c:pt idx="7">
                  <c:v>-4.5721752571428574E-4</c:v>
                </c:pt>
                <c:pt idx="8">
                  <c:v>-4.7125333142857142E-4</c:v>
                </c:pt>
                <c:pt idx="9">
                  <c:v>-4.8648615428571431E-4</c:v>
                </c:pt>
                <c:pt idx="10">
                  <c:v>-5.028533485714286E-4</c:v>
                </c:pt>
                <c:pt idx="11">
                  <c:v>-5.2051835428571435E-4</c:v>
                </c:pt>
                <c:pt idx="12">
                  <c:v>-5.4071768571428572E-4</c:v>
                </c:pt>
                <c:pt idx="13">
                  <c:v>-5.6753465714285724E-4</c:v>
                </c:pt>
                <c:pt idx="14">
                  <c:v>-6.0179708571428576E-4</c:v>
                </c:pt>
                <c:pt idx="15">
                  <c:v>-6.6458657142857145E-4</c:v>
                </c:pt>
                <c:pt idx="16">
                  <c:v>-8.1709234285714302E-4</c:v>
                </c:pt>
                <c:pt idx="17">
                  <c:v>-1.1108585142857144E-3</c:v>
                </c:pt>
                <c:pt idx="18">
                  <c:v>-1.5874490285714285E-3</c:v>
                </c:pt>
                <c:pt idx="19">
                  <c:v>-2.3751488000000004E-3</c:v>
                </c:pt>
                <c:pt idx="20">
                  <c:v>-3.5625850285714291E-3</c:v>
                </c:pt>
                <c:pt idx="21">
                  <c:v>-5.1735060571428577E-3</c:v>
                </c:pt>
                <c:pt idx="22">
                  <c:v>-6.6533691428571429E-3</c:v>
                </c:pt>
                <c:pt idx="23">
                  <c:v>-7.8597879999999995E-3</c:v>
                </c:pt>
                <c:pt idx="24">
                  <c:v>-8.5845314285714295E-3</c:v>
                </c:pt>
                <c:pt idx="25">
                  <c:v>-9.184025142857143E-3</c:v>
                </c:pt>
                <c:pt idx="26">
                  <c:v>-9.5224000000000003E-3</c:v>
                </c:pt>
                <c:pt idx="27">
                  <c:v>-9.8091748571428571E-3</c:v>
                </c:pt>
                <c:pt idx="28">
                  <c:v>-1.0384158857142858E-2</c:v>
                </c:pt>
                <c:pt idx="29">
                  <c:v>-1.0416116571428572E-2</c:v>
                </c:pt>
                <c:pt idx="30">
                  <c:v>-1.0529876000000001E-2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-3.9813363428571429E-4</c:v>
                </c:pt>
                <c:pt idx="1">
                  <c:v>-4.1063771428571428E-4</c:v>
                </c:pt>
                <c:pt idx="2">
                  <c:v>-4.2372155999999999E-4</c:v>
                </c:pt>
                <c:pt idx="3">
                  <c:v>-4.3944785714285716E-4</c:v>
                </c:pt>
                <c:pt idx="4">
                  <c:v>-4.5578372000000007E-4</c:v>
                </c:pt>
                <c:pt idx="5">
                  <c:v>-4.6982645714285716E-4</c:v>
                </c:pt>
                <c:pt idx="6">
                  <c:v>-4.8496462857142863E-4</c:v>
                </c:pt>
                <c:pt idx="7">
                  <c:v>-5.0056704571428581E-4</c:v>
                </c:pt>
                <c:pt idx="8">
                  <c:v>-5.1841342285714287E-4</c:v>
                </c:pt>
                <c:pt idx="9">
                  <c:v>-5.3625677714285716E-4</c:v>
                </c:pt>
                <c:pt idx="10">
                  <c:v>-5.6095232E-4</c:v>
                </c:pt>
                <c:pt idx="11">
                  <c:v>-5.8981965714285716E-4</c:v>
                </c:pt>
                <c:pt idx="12">
                  <c:v>-6.2802862857142862E-4</c:v>
                </c:pt>
                <c:pt idx="13">
                  <c:v>-6.7961274285714289E-4</c:v>
                </c:pt>
                <c:pt idx="14">
                  <c:v>-7.6706560000000014E-4</c:v>
                </c:pt>
                <c:pt idx="15">
                  <c:v>-9.6394508571428573E-4</c:v>
                </c:pt>
                <c:pt idx="16">
                  <c:v>-1.4137288571428573E-3</c:v>
                </c:pt>
                <c:pt idx="17">
                  <c:v>-2.2145592571428574E-3</c:v>
                </c:pt>
                <c:pt idx="18">
                  <c:v>-3.505241085714286E-3</c:v>
                </c:pt>
                <c:pt idx="19">
                  <c:v>-5.0682833714285717E-3</c:v>
                </c:pt>
                <c:pt idx="20">
                  <c:v>-6.5951834285714293E-3</c:v>
                </c:pt>
                <c:pt idx="21">
                  <c:v>-7.6842982857142856E-3</c:v>
                </c:pt>
                <c:pt idx="22">
                  <c:v>-8.5483737142857154E-3</c:v>
                </c:pt>
                <c:pt idx="23">
                  <c:v>-9.1112971428571436E-3</c:v>
                </c:pt>
                <c:pt idx="24">
                  <c:v>-9.4835811428571441E-3</c:v>
                </c:pt>
                <c:pt idx="25">
                  <c:v>-1.0088114857142857E-2</c:v>
                </c:pt>
                <c:pt idx="26">
                  <c:v>-1.028188342857143E-2</c:v>
                </c:pt>
                <c:pt idx="27">
                  <c:v>-1.0456755428571428E-2</c:v>
                </c:pt>
                <c:pt idx="28">
                  <c:v>-1.0466368571428573E-2</c:v>
                </c:pt>
                <c:pt idx="29">
                  <c:v>-1.0536541142857144E-2</c:v>
                </c:pt>
                <c:pt idx="30">
                  <c:v>-1.0580144000000001E-2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39907192"/>
        <c:axId val="43990562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399071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905624"/>
        <c:crossesAt val="-8.0000000000000019E-3"/>
        <c:crossBetween val="midCat"/>
      </c:valAx>
      <c:valAx>
        <c:axId val="4399056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90719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31480.640098913249</c:v>
                </c:pt>
                <c:pt idx="1">
                  <c:v>31292.259078304567</c:v>
                </c:pt>
                <c:pt idx="2">
                  <c:v>30672.568629740854</c:v>
                </c:pt>
                <c:pt idx="3">
                  <c:v>30220.600018788577</c:v>
                </c:pt>
                <c:pt idx="4">
                  <c:v>29795.52100107502</c:v>
                </c:pt>
                <c:pt idx="5">
                  <c:v>29329.558144340641</c:v>
                </c:pt>
                <c:pt idx="6">
                  <c:v>28837.00776134057</c:v>
                </c:pt>
                <c:pt idx="7">
                  <c:v>28271.10816653608</c:v>
                </c:pt>
                <c:pt idx="8">
                  <c:v>27633.32915517396</c:v>
                </c:pt>
                <c:pt idx="9">
                  <c:v>26996.698164974259</c:v>
                </c:pt>
                <c:pt idx="10">
                  <c:v>26357.481460411112</c:v>
                </c:pt>
                <c:pt idx="11">
                  <c:v>25740.632270533515</c:v>
                </c:pt>
                <c:pt idx="12">
                  <c:v>24907.510939627879</c:v>
                </c:pt>
                <c:pt idx="13">
                  <c:v>24008.860065086232</c:v>
                </c:pt>
                <c:pt idx="14">
                  <c:v>23163.16253461437</c:v>
                </c:pt>
                <c:pt idx="15">
                  <c:v>22481.223906605439</c:v>
                </c:pt>
                <c:pt idx="16">
                  <c:v>21773.927605448269</c:v>
                </c:pt>
                <c:pt idx="17">
                  <c:v>21087.066981296954</c:v>
                </c:pt>
                <c:pt idx="18">
                  <c:v>20347.013549064694</c:v>
                </c:pt>
                <c:pt idx="19">
                  <c:v>19576.943810412493</c:v>
                </c:pt>
                <c:pt idx="20">
                  <c:v>18103.790749641561</c:v>
                </c:pt>
                <c:pt idx="21">
                  <c:v>15302.712576320093</c:v>
                </c:pt>
                <c:pt idx="22">
                  <c:v>12048.939349081869</c:v>
                </c:pt>
                <c:pt idx="23">
                  <c:v>9429.6022803903543</c:v>
                </c:pt>
                <c:pt idx="24">
                  <c:v>7338.6936269861963</c:v>
                </c:pt>
                <c:pt idx="25">
                  <c:v>5569.9607117251235</c:v>
                </c:pt>
                <c:pt idx="26">
                  <c:v>3970.3448364735204</c:v>
                </c:pt>
                <c:pt idx="27">
                  <c:v>2770.1984269388659</c:v>
                </c:pt>
                <c:pt idx="28">
                  <c:v>1931.547309901501</c:v>
                </c:pt>
                <c:pt idx="29">
                  <c:v>1497.7676842500314</c:v>
                </c:pt>
                <c:pt idx="30">
                  <c:v>1257.1579881937778</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30878.465887235372</c:v>
                </c:pt>
                <c:pt idx="1">
                  <c:v>30173.044305684456</c:v>
                </c:pt>
                <c:pt idx="2">
                  <c:v>29736.834284252152</c:v>
                </c:pt>
                <c:pt idx="3">
                  <c:v>29298.085180951497</c:v>
                </c:pt>
                <c:pt idx="4">
                  <c:v>28828.952307275773</c:v>
                </c:pt>
                <c:pt idx="5">
                  <c:v>28309.659663536291</c:v>
                </c:pt>
                <c:pt idx="6">
                  <c:v>27741.591733589026</c:v>
                </c:pt>
                <c:pt idx="7">
                  <c:v>27070.818204033123</c:v>
                </c:pt>
                <c:pt idx="8">
                  <c:v>26465.621905743457</c:v>
                </c:pt>
                <c:pt idx="9">
                  <c:v>25828.07692610817</c:v>
                </c:pt>
                <c:pt idx="10">
                  <c:v>25127.272506935918</c:v>
                </c:pt>
                <c:pt idx="11">
                  <c:v>24286.795692466159</c:v>
                </c:pt>
                <c:pt idx="12">
                  <c:v>23403.671664300084</c:v>
                </c:pt>
                <c:pt idx="13">
                  <c:v>22640.42259603702</c:v>
                </c:pt>
                <c:pt idx="14">
                  <c:v>21960.061750187804</c:v>
                </c:pt>
                <c:pt idx="15">
                  <c:v>21272.592100599177</c:v>
                </c:pt>
                <c:pt idx="16">
                  <c:v>20566.577236529185</c:v>
                </c:pt>
                <c:pt idx="17">
                  <c:v>19830.969878343232</c:v>
                </c:pt>
                <c:pt idx="18">
                  <c:v>18713.790486283193</c:v>
                </c:pt>
                <c:pt idx="19">
                  <c:v>16304.055163233405</c:v>
                </c:pt>
                <c:pt idx="20">
                  <c:v>13092.540319413096</c:v>
                </c:pt>
                <c:pt idx="21">
                  <c:v>10335.186028623857</c:v>
                </c:pt>
                <c:pt idx="22">
                  <c:v>8197.7292290035639</c:v>
                </c:pt>
                <c:pt idx="23">
                  <c:v>6405.6673244859958</c:v>
                </c:pt>
                <c:pt idx="24">
                  <c:v>4790.708194240824</c:v>
                </c:pt>
                <c:pt idx="25">
                  <c:v>3379.2640978505115</c:v>
                </c:pt>
                <c:pt idx="26">
                  <c:v>2356.5496837698847</c:v>
                </c:pt>
                <c:pt idx="27">
                  <c:v>1701.5123430622245</c:v>
                </c:pt>
                <c:pt idx="28">
                  <c:v>1375.0981820101952</c:v>
                </c:pt>
                <c:pt idx="29">
                  <c:v>1202.8335459141151</c:v>
                </c:pt>
                <c:pt idx="30">
                  <c:v>1118.9460065712183</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29999.946685809031</c:v>
                </c:pt>
                <c:pt idx="1">
                  <c:v>29496.430367279601</c:v>
                </c:pt>
                <c:pt idx="2">
                  <c:v>29052.245366698105</c:v>
                </c:pt>
                <c:pt idx="3">
                  <c:v>28584.467288678825</c:v>
                </c:pt>
                <c:pt idx="4">
                  <c:v>28060.619918422162</c:v>
                </c:pt>
                <c:pt idx="5">
                  <c:v>27494.777092143577</c:v>
                </c:pt>
                <c:pt idx="6">
                  <c:v>26818.544425800024</c:v>
                </c:pt>
                <c:pt idx="7">
                  <c:v>26225.207606610977</c:v>
                </c:pt>
                <c:pt idx="8">
                  <c:v>25588.132253504406</c:v>
                </c:pt>
                <c:pt idx="9">
                  <c:v>24876.504856185158</c:v>
                </c:pt>
                <c:pt idx="10">
                  <c:v>24031.636289671351</c:v>
                </c:pt>
                <c:pt idx="11">
                  <c:v>23159.055879665437</c:v>
                </c:pt>
                <c:pt idx="12">
                  <c:v>22419.614759531887</c:v>
                </c:pt>
                <c:pt idx="13">
                  <c:v>21739.628150741388</c:v>
                </c:pt>
                <c:pt idx="14">
                  <c:v>21060.942195066949</c:v>
                </c:pt>
                <c:pt idx="15">
                  <c:v>20355.086457531841</c:v>
                </c:pt>
                <c:pt idx="16">
                  <c:v>19644.288630187701</c:v>
                </c:pt>
                <c:pt idx="17">
                  <c:v>18602.958627296397</c:v>
                </c:pt>
                <c:pt idx="18">
                  <c:v>16457.278363014269</c:v>
                </c:pt>
                <c:pt idx="19">
                  <c:v>13260.358423699518</c:v>
                </c:pt>
                <c:pt idx="20">
                  <c:v>10416.794396407478</c:v>
                </c:pt>
                <c:pt idx="21">
                  <c:v>8194.0642853841819</c:v>
                </c:pt>
                <c:pt idx="22">
                  <c:v>6350.3770073677797</c:v>
                </c:pt>
                <c:pt idx="23">
                  <c:v>4702.1835758262832</c:v>
                </c:pt>
                <c:pt idx="24">
                  <c:v>3303.3971305522173</c:v>
                </c:pt>
                <c:pt idx="25">
                  <c:v>2297.0515269741904</c:v>
                </c:pt>
                <c:pt idx="26">
                  <c:v>1673.1401254855093</c:v>
                </c:pt>
                <c:pt idx="27">
                  <c:v>1357.6914032609575</c:v>
                </c:pt>
                <c:pt idx="28">
                  <c:v>1197.054452570582</c:v>
                </c:pt>
                <c:pt idx="29">
                  <c:v>1113.2908993494691</c:v>
                </c:pt>
                <c:pt idx="30">
                  <c:v>1071.8506837274263</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29383.660592593882</c:v>
                </c:pt>
                <c:pt idx="1">
                  <c:v>28874.362353018976</c:v>
                </c:pt>
                <c:pt idx="2">
                  <c:v>28404.113272682163</c:v>
                </c:pt>
                <c:pt idx="3">
                  <c:v>27886.648137396591</c:v>
                </c:pt>
                <c:pt idx="4">
                  <c:v>27325.05112595137</c:v>
                </c:pt>
                <c:pt idx="5">
                  <c:v>26657.046976205856</c:v>
                </c:pt>
                <c:pt idx="6">
                  <c:v>26064.255300065783</c:v>
                </c:pt>
                <c:pt idx="7">
                  <c:v>25432.620870674291</c:v>
                </c:pt>
                <c:pt idx="8">
                  <c:v>24732.475874883068</c:v>
                </c:pt>
                <c:pt idx="9">
                  <c:v>23897.672732651627</c:v>
                </c:pt>
                <c:pt idx="10">
                  <c:v>23029.090794914468</c:v>
                </c:pt>
                <c:pt idx="11">
                  <c:v>22286.897525303651</c:v>
                </c:pt>
                <c:pt idx="12">
                  <c:v>21613.94808589037</c:v>
                </c:pt>
                <c:pt idx="13">
                  <c:v>20938.997747813366</c:v>
                </c:pt>
                <c:pt idx="14">
                  <c:v>20242.711498943983</c:v>
                </c:pt>
                <c:pt idx="15">
                  <c:v>19548.024648651623</c:v>
                </c:pt>
                <c:pt idx="16">
                  <c:v>18640.720573138031</c:v>
                </c:pt>
                <c:pt idx="17">
                  <c:v>16878.522668241734</c:v>
                </c:pt>
                <c:pt idx="18">
                  <c:v>13857.093458018669</c:v>
                </c:pt>
                <c:pt idx="19">
                  <c:v>10857.454098251519</c:v>
                </c:pt>
                <c:pt idx="20">
                  <c:v>8478.2147185877038</c:v>
                </c:pt>
                <c:pt idx="21">
                  <c:v>6535.1049218563885</c:v>
                </c:pt>
                <c:pt idx="22">
                  <c:v>4830.4986311194953</c:v>
                </c:pt>
                <c:pt idx="23">
                  <c:v>3384.614759763429</c:v>
                </c:pt>
                <c:pt idx="24">
                  <c:v>2348.4622839305662</c:v>
                </c:pt>
                <c:pt idx="25">
                  <c:v>1698.8519837834383</c:v>
                </c:pt>
                <c:pt idx="26">
                  <c:v>1372.7849232758351</c:v>
                </c:pt>
                <c:pt idx="27">
                  <c:v>1203.9246015731924</c:v>
                </c:pt>
                <c:pt idx="28">
                  <c:v>1118.4204681938156</c:v>
                </c:pt>
                <c:pt idx="29">
                  <c:v>1075.493101295594</c:v>
                </c:pt>
                <c:pt idx="30">
                  <c:v>1035.294245710347</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28618.44365151913</c:v>
                </c:pt>
                <c:pt idx="1">
                  <c:v>28051.591139948217</c:v>
                </c:pt>
                <c:pt idx="2">
                  <c:v>27511.699035595466</c:v>
                </c:pt>
                <c:pt idx="3">
                  <c:v>26905.826562828006</c:v>
                </c:pt>
                <c:pt idx="4">
                  <c:v>26299.328071704411</c:v>
                </c:pt>
                <c:pt idx="5">
                  <c:v>25663.234773606862</c:v>
                </c:pt>
                <c:pt idx="6">
                  <c:v>25089.33487786146</c:v>
                </c:pt>
                <c:pt idx="7">
                  <c:v>24326.616323637743</c:v>
                </c:pt>
                <c:pt idx="8">
                  <c:v>23476.044206061986</c:v>
                </c:pt>
                <c:pt idx="9">
                  <c:v>22628.420033542818</c:v>
                </c:pt>
                <c:pt idx="10">
                  <c:v>21934.572104378283</c:v>
                </c:pt>
                <c:pt idx="11">
                  <c:v>21257.681189784882</c:v>
                </c:pt>
                <c:pt idx="12">
                  <c:v>20596.183967280733</c:v>
                </c:pt>
                <c:pt idx="13">
                  <c:v>19893.942776426389</c:v>
                </c:pt>
                <c:pt idx="14">
                  <c:v>19226.017235388372</c:v>
                </c:pt>
                <c:pt idx="15">
                  <c:v>18337.634346879531</c:v>
                </c:pt>
                <c:pt idx="16">
                  <c:v>16887.124050400827</c:v>
                </c:pt>
                <c:pt idx="17">
                  <c:v>14118.795545721701</c:v>
                </c:pt>
                <c:pt idx="18">
                  <c:v>11018.50321504183</c:v>
                </c:pt>
                <c:pt idx="19">
                  <c:v>8451.2463294426198</c:v>
                </c:pt>
                <c:pt idx="20">
                  <c:v>6385.151072127067</c:v>
                </c:pt>
                <c:pt idx="21">
                  <c:v>4603.6168802687898</c:v>
                </c:pt>
                <c:pt idx="22">
                  <c:v>3194.5015727809041</c:v>
                </c:pt>
                <c:pt idx="23">
                  <c:v>2202.2766985496346</c:v>
                </c:pt>
                <c:pt idx="24">
                  <c:v>1630.4562519705228</c:v>
                </c:pt>
                <c:pt idx="25">
                  <c:v>1330.8521179941092</c:v>
                </c:pt>
                <c:pt idx="26">
                  <c:v>1189.5333841184786</c:v>
                </c:pt>
                <c:pt idx="27">
                  <c:v>1104.7428124012242</c:v>
                </c:pt>
                <c:pt idx="28">
                  <c:v>1068.7919054220547</c:v>
                </c:pt>
                <c:pt idx="29">
                  <c:v>1031.115227715906</c:v>
                </c:pt>
                <c:pt idx="30">
                  <c:v>988.07868945759549</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26900.86219107953</c:v>
                </c:pt>
                <c:pt idx="1">
                  <c:v>26169.321551815046</c:v>
                </c:pt>
                <c:pt idx="2">
                  <c:v>25564.926440211086</c:v>
                </c:pt>
                <c:pt idx="3">
                  <c:v>24947.566274385907</c:v>
                </c:pt>
                <c:pt idx="4">
                  <c:v>24282.950152542715</c:v>
                </c:pt>
                <c:pt idx="5">
                  <c:v>23479.724405996851</c:v>
                </c:pt>
                <c:pt idx="6">
                  <c:v>22623.842981118192</c:v>
                </c:pt>
                <c:pt idx="7">
                  <c:v>21871.427575698352</c:v>
                </c:pt>
                <c:pt idx="8">
                  <c:v>21220.009139639824</c:v>
                </c:pt>
                <c:pt idx="9">
                  <c:v>20555.569592073076</c:v>
                </c:pt>
                <c:pt idx="10">
                  <c:v>19886.513689148745</c:v>
                </c:pt>
                <c:pt idx="11">
                  <c:v>19211.618413960798</c:v>
                </c:pt>
                <c:pt idx="12">
                  <c:v>18493.939192667691</c:v>
                </c:pt>
                <c:pt idx="13">
                  <c:v>17620.069319366423</c:v>
                </c:pt>
                <c:pt idx="14">
                  <c:v>16616.896687245979</c:v>
                </c:pt>
                <c:pt idx="15">
                  <c:v>15046.948629287466</c:v>
                </c:pt>
                <c:pt idx="16">
                  <c:v>12238.518800742644</c:v>
                </c:pt>
                <c:pt idx="17">
                  <c:v>9002.0464995310685</c:v>
                </c:pt>
                <c:pt idx="18">
                  <c:v>6299.4148599524888</c:v>
                </c:pt>
                <c:pt idx="19">
                  <c:v>4210.2625317622196</c:v>
                </c:pt>
                <c:pt idx="20">
                  <c:v>2806.9505484925726</c:v>
                </c:pt>
                <c:pt idx="21">
                  <c:v>1932.9251555032763</c:v>
                </c:pt>
                <c:pt idx="22">
                  <c:v>1502.9979225992142</c:v>
                </c:pt>
                <c:pt idx="23">
                  <c:v>1272.2989475034187</c:v>
                </c:pt>
                <c:pt idx="24">
                  <c:v>1164.8859443530655</c:v>
                </c:pt>
                <c:pt idx="25">
                  <c:v>1088.8471933003668</c:v>
                </c:pt>
                <c:pt idx="26">
                  <c:v>1050.1554230026043</c:v>
                </c:pt>
                <c:pt idx="27">
                  <c:v>1019.453740568014</c:v>
                </c:pt>
                <c:pt idx="28">
                  <c:v>963.00529851018121</c:v>
                </c:pt>
                <c:pt idx="29">
                  <c:v>960.05069945453749</c:v>
                </c:pt>
                <c:pt idx="30">
                  <c:v>949.67879963638688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25117.194677462641</c:v>
                </c:pt>
                <c:pt idx="1">
                  <c:v>24352.366215057835</c:v>
                </c:pt>
                <c:pt idx="2">
                  <c:v>23600.404001155854</c:v>
                </c:pt>
                <c:pt idx="3">
                  <c:v>22755.828336532693</c:v>
                </c:pt>
                <c:pt idx="4">
                  <c:v>21940.230774368156</c:v>
                </c:pt>
                <c:pt idx="5">
                  <c:v>21284.454819366129</c:v>
                </c:pt>
                <c:pt idx="6">
                  <c:v>20620.060538141159</c:v>
                </c:pt>
                <c:pt idx="7">
                  <c:v>19977.343865556446</c:v>
                </c:pt>
                <c:pt idx="8">
                  <c:v>19289.623993311725</c:v>
                </c:pt>
                <c:pt idx="9">
                  <c:v>18647.782976803352</c:v>
                </c:pt>
                <c:pt idx="10">
                  <c:v>17826.827064375098</c:v>
                </c:pt>
                <c:pt idx="11">
                  <c:v>16954.334903724568</c:v>
                </c:pt>
                <c:pt idx="12">
                  <c:v>15922.841006065146</c:v>
                </c:pt>
                <c:pt idx="13">
                  <c:v>14714.26206336163</c:v>
                </c:pt>
                <c:pt idx="14">
                  <c:v>13036.6946451516</c:v>
                </c:pt>
                <c:pt idx="15">
                  <c:v>10374.034940579602</c:v>
                </c:pt>
                <c:pt idx="16">
                  <c:v>7073.4921689368193</c:v>
                </c:pt>
                <c:pt idx="17">
                  <c:v>4515.5711989850433</c:v>
                </c:pt>
                <c:pt idx="18">
                  <c:v>2852.8708170046552</c:v>
                </c:pt>
                <c:pt idx="19">
                  <c:v>1973.0546354951243</c:v>
                </c:pt>
                <c:pt idx="20">
                  <c:v>1516.2580553375271</c:v>
                </c:pt>
                <c:pt idx="21">
                  <c:v>1301.3550005718525</c:v>
                </c:pt>
                <c:pt idx="22">
                  <c:v>1169.8131520956299</c:v>
                </c:pt>
                <c:pt idx="23">
                  <c:v>1097.5385659372946</c:v>
                </c:pt>
                <c:pt idx="24">
                  <c:v>1054.4539925755591</c:v>
                </c:pt>
                <c:pt idx="25">
                  <c:v>991.26547839803118</c:v>
                </c:pt>
                <c:pt idx="26">
                  <c:v>972.58445589957489</c:v>
                </c:pt>
                <c:pt idx="27">
                  <c:v>956.31958386217809</c:v>
                </c:pt>
                <c:pt idx="28">
                  <c:v>955.44122412221554</c:v>
                </c:pt>
                <c:pt idx="29">
                  <c:v>949.07805744004781</c:v>
                </c:pt>
                <c:pt idx="30">
                  <c:v>945.16671984804736</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39908368"/>
        <c:axId val="43991072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3990836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910720"/>
        <c:crosses val="autoZero"/>
        <c:crossBetween val="midCat"/>
      </c:valAx>
      <c:valAx>
        <c:axId val="43991072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908368"/>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36512.309937517843</c:v>
                </c:pt>
                <c:pt idx="1">
                  <c:v>36610.57382827648</c:v>
                </c:pt>
                <c:pt idx="2">
                  <c:v>36951.279568968181</c:v>
                </c:pt>
                <c:pt idx="3">
                  <c:v>37215.952432993952</c:v>
                </c:pt>
                <c:pt idx="4">
                  <c:v>37490.368188835579</c:v>
                </c:pt>
                <c:pt idx="5">
                  <c:v>37836.258940978238</c:v>
                </c:pt>
                <c:pt idx="6">
                  <c:v>38252.851083355687</c:v>
                </c:pt>
                <c:pt idx="7">
                  <c:v>38813.753225395143</c:v>
                </c:pt>
                <c:pt idx="8">
                  <c:v>39375.916474455924</c:v>
                </c:pt>
                <c:pt idx="9">
                  <c:v>40380.83139009236</c:v>
                </c:pt>
                <c:pt idx="10">
                  <c:v>41249.50745141707</c:v>
                </c:pt>
                <c:pt idx="11">
                  <c:v>42652.687114413609</c:v>
                </c:pt>
                <c:pt idx="12">
                  <c:v>44483.118491309542</c:v>
                </c:pt>
                <c:pt idx="13">
                  <c:v>47428.273679676793</c:v>
                </c:pt>
                <c:pt idx="14">
                  <c:v>51289.058156457933</c:v>
                </c:pt>
                <c:pt idx="15">
                  <c:v>55562.619945805782</c:v>
                </c:pt>
                <c:pt idx="16">
                  <c:v>61665.255060885051</c:v>
                </c:pt>
                <c:pt idx="17">
                  <c:v>70272.962674375391</c:v>
                </c:pt>
                <c:pt idx="18">
                  <c:v>84700.077991831757</c:v>
                </c:pt>
                <c:pt idx="19">
                  <c:v>107212.65476912535</c:v>
                </c:pt>
                <c:pt idx="20">
                  <c:v>143939.45001969935</c:v>
                </c:pt>
                <c:pt idx="21">
                  <c:v>111668.9881054026</c:v>
                </c:pt>
                <c:pt idx="22">
                  <c:v>58458.094598826036</c:v>
                </c:pt>
                <c:pt idx="23">
                  <c:v>33372.30837553781</c:v>
                </c:pt>
                <c:pt idx="24">
                  <c:v>21233.601895930122</c:v>
                </c:pt>
                <c:pt idx="25">
                  <c:v>13689.337461098799</c:v>
                </c:pt>
                <c:pt idx="26">
                  <c:v>8396.4313151766983</c:v>
                </c:pt>
                <c:pt idx="27">
                  <c:v>5147.5408755925846</c:v>
                </c:pt>
                <c:pt idx="28">
                  <c:v>3272.6492527690871</c:v>
                </c:pt>
                <c:pt idx="29">
                  <c:v>2365.557333823856</c:v>
                </c:pt>
                <c:pt idx="30">
                  <c:v>1898.1488471489934</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36299.179580462805</c:v>
                </c:pt>
                <c:pt idx="1">
                  <c:v>36699.448711367004</c:v>
                </c:pt>
                <c:pt idx="2">
                  <c:v>36952.248636182238</c:v>
                </c:pt>
                <c:pt idx="3">
                  <c:v>37240.32428278539</c:v>
                </c:pt>
                <c:pt idx="4">
                  <c:v>37593.431761530461</c:v>
                </c:pt>
                <c:pt idx="5">
                  <c:v>38044.404559415321</c:v>
                </c:pt>
                <c:pt idx="6">
                  <c:v>38620.878018516763</c:v>
                </c:pt>
                <c:pt idx="7">
                  <c:v>39241.146193966451</c:v>
                </c:pt>
                <c:pt idx="8">
                  <c:v>40234.327482181536</c:v>
                </c:pt>
                <c:pt idx="9">
                  <c:v>41142.122240439152</c:v>
                </c:pt>
                <c:pt idx="10">
                  <c:v>42572.326003011323</c:v>
                </c:pt>
                <c:pt idx="11">
                  <c:v>44790.844034825786</c:v>
                </c:pt>
                <c:pt idx="12">
                  <c:v>47965.25101202567</c:v>
                </c:pt>
                <c:pt idx="13">
                  <c:v>51758.433630086693</c:v>
                </c:pt>
                <c:pt idx="14">
                  <c:v>56351.844688906232</c:v>
                </c:pt>
                <c:pt idx="15">
                  <c:v>62836.484888256178</c:v>
                </c:pt>
                <c:pt idx="16">
                  <c:v>72617.835197599168</c:v>
                </c:pt>
                <c:pt idx="17">
                  <c:v>87667.778594674644</c:v>
                </c:pt>
                <c:pt idx="18">
                  <c:v>108467.1368438135</c:v>
                </c:pt>
                <c:pt idx="19">
                  <c:v>101435.40958285246</c:v>
                </c:pt>
                <c:pt idx="20">
                  <c:v>60197.654699373015</c:v>
                </c:pt>
                <c:pt idx="21">
                  <c:v>35592.744482087299</c:v>
                </c:pt>
                <c:pt idx="22">
                  <c:v>23196.038763417302</c:v>
                </c:pt>
                <c:pt idx="23">
                  <c:v>15600.918867376864</c:v>
                </c:pt>
                <c:pt idx="24">
                  <c:v>10221.308262041164</c:v>
                </c:pt>
                <c:pt idx="25">
                  <c:v>6359.4486089142256</c:v>
                </c:pt>
                <c:pt idx="26">
                  <c:v>4028.3826490239189</c:v>
                </c:pt>
                <c:pt idx="27">
                  <c:v>2717.1210267500423</c:v>
                </c:pt>
                <c:pt idx="28">
                  <c:v>2090.6826802924697</c:v>
                </c:pt>
                <c:pt idx="29">
                  <c:v>1769.7999913633751</c:v>
                </c:pt>
                <c:pt idx="30">
                  <c:v>1610.7927755041981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36358.36373983293</c:v>
                </c:pt>
                <c:pt idx="1">
                  <c:v>36686.239718917139</c:v>
                </c:pt>
                <c:pt idx="2">
                  <c:v>36987.044642982437</c:v>
                </c:pt>
                <c:pt idx="3">
                  <c:v>37341.858031419586</c:v>
                </c:pt>
                <c:pt idx="4">
                  <c:v>37797.91016866592</c:v>
                </c:pt>
                <c:pt idx="5">
                  <c:v>38370.8920780728</c:v>
                </c:pt>
                <c:pt idx="6">
                  <c:v>39005.017226510136</c:v>
                </c:pt>
                <c:pt idx="7">
                  <c:v>39971.994022108353</c:v>
                </c:pt>
                <c:pt idx="8">
                  <c:v>40882.751585795231</c:v>
                </c:pt>
                <c:pt idx="9">
                  <c:v>42332.923381303306</c:v>
                </c:pt>
                <c:pt idx="10">
                  <c:v>44570.076027890333</c:v>
                </c:pt>
                <c:pt idx="11">
                  <c:v>47723.544650734701</c:v>
                </c:pt>
                <c:pt idx="12">
                  <c:v>51405.936198888216</c:v>
                </c:pt>
                <c:pt idx="13">
                  <c:v>55992.32233276176</c:v>
                </c:pt>
                <c:pt idx="14">
                  <c:v>62396.526503031571</c:v>
                </c:pt>
                <c:pt idx="15">
                  <c:v>72220.935313936774</c:v>
                </c:pt>
                <c:pt idx="16">
                  <c:v>87241.046762945829</c:v>
                </c:pt>
                <c:pt idx="17">
                  <c:v>112091.19380836448</c:v>
                </c:pt>
                <c:pt idx="18">
                  <c:v>114124.34153515651</c:v>
                </c:pt>
                <c:pt idx="19">
                  <c:v>68394.010154204807</c:v>
                </c:pt>
                <c:pt idx="20">
                  <c:v>38740.564182156799</c:v>
                </c:pt>
                <c:pt idx="21">
                  <c:v>24493.378949802292</c:v>
                </c:pt>
                <c:pt idx="22">
                  <c:v>16120.446077614522</c:v>
                </c:pt>
                <c:pt idx="23">
                  <c:v>10360.516368135783</c:v>
                </c:pt>
                <c:pt idx="24">
                  <c:v>6352.5044658106381</c:v>
                </c:pt>
                <c:pt idx="25">
                  <c:v>3985.2275131089514</c:v>
                </c:pt>
                <c:pt idx="26">
                  <c:v>2695.276643194657</c:v>
                </c:pt>
                <c:pt idx="27">
                  <c:v>2075.7860717174367</c:v>
                </c:pt>
                <c:pt idx="28">
                  <c:v>1766.2399047530398</c:v>
                </c:pt>
                <c:pt idx="29">
                  <c:v>1606.2351441606138</c:v>
                </c:pt>
                <c:pt idx="30">
                  <c:v>1575.8044324046975</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36325.416364517048</c:v>
                </c:pt>
                <c:pt idx="1">
                  <c:v>36687.481046985231</c:v>
                </c:pt>
                <c:pt idx="2">
                  <c:v>37040.477685853191</c:v>
                </c:pt>
                <c:pt idx="3">
                  <c:v>37480.564185723189</c:v>
                </c:pt>
                <c:pt idx="4">
                  <c:v>38034.596355781418</c:v>
                </c:pt>
                <c:pt idx="5">
                  <c:v>38647.942158297199</c:v>
                </c:pt>
                <c:pt idx="6">
                  <c:v>39581.880536953788</c:v>
                </c:pt>
                <c:pt idx="7">
                  <c:v>40457.622409102529</c:v>
                </c:pt>
                <c:pt idx="8">
                  <c:v>41836.102883344225</c:v>
                </c:pt>
                <c:pt idx="9">
                  <c:v>43963.932893854777</c:v>
                </c:pt>
                <c:pt idx="10">
                  <c:v>46976.092551170099</c:v>
                </c:pt>
                <c:pt idx="11">
                  <c:v>50517.80461052616</c:v>
                </c:pt>
                <c:pt idx="12">
                  <c:v>54855.510428800502</c:v>
                </c:pt>
                <c:pt idx="13">
                  <c:v>60907.942517520132</c:v>
                </c:pt>
                <c:pt idx="14">
                  <c:v>70062.571481338528</c:v>
                </c:pt>
                <c:pt idx="15">
                  <c:v>84208.71905738597</c:v>
                </c:pt>
                <c:pt idx="16">
                  <c:v>109958.55693405851</c:v>
                </c:pt>
                <c:pt idx="17">
                  <c:v>131119.14309519043</c:v>
                </c:pt>
                <c:pt idx="18">
                  <c:v>85831.596837512931</c:v>
                </c:pt>
                <c:pt idx="19">
                  <c:v>45978.388580965024</c:v>
                </c:pt>
                <c:pt idx="20">
                  <c:v>27679.005904232457</c:v>
                </c:pt>
                <c:pt idx="21">
                  <c:v>17754.300167590423</c:v>
                </c:pt>
                <c:pt idx="22">
                  <c:v>11239.628231633958</c:v>
                </c:pt>
                <c:pt idx="23">
                  <c:v>6780.3904753259076</c:v>
                </c:pt>
                <c:pt idx="24">
                  <c:v>4190.4405323928358</c:v>
                </c:pt>
                <c:pt idx="25">
                  <c:v>2788.2784343615817</c:v>
                </c:pt>
                <c:pt idx="26">
                  <c:v>2123.3255636604308</c:v>
                </c:pt>
                <c:pt idx="27">
                  <c:v>1789.6066070394293</c:v>
                </c:pt>
                <c:pt idx="28">
                  <c:v>1620.7625048541847</c:v>
                </c:pt>
                <c:pt idx="29">
                  <c:v>1589.3581085744822</c:v>
                </c:pt>
                <c:pt idx="30">
                  <c:v>1466.3593780712374</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36308.296107474693</c:v>
                </c:pt>
                <c:pt idx="1">
                  <c:v>36761.739457116491</c:v>
                </c:pt>
                <c:pt idx="2">
                  <c:v>37230.23477152027</c:v>
                </c:pt>
                <c:pt idx="3">
                  <c:v>37716.299204306764</c:v>
                </c:pt>
                <c:pt idx="4">
                  <c:v>38516.394272123573</c:v>
                </c:pt>
                <c:pt idx="5">
                  <c:v>39264.482457549166</c:v>
                </c:pt>
                <c:pt idx="6">
                  <c:v>40357.830513393368</c:v>
                </c:pt>
                <c:pt idx="7">
                  <c:v>41736.08570178465</c:v>
                </c:pt>
                <c:pt idx="8">
                  <c:v>43978.725655859154</c:v>
                </c:pt>
                <c:pt idx="9">
                  <c:v>47046.030804343041</c:v>
                </c:pt>
                <c:pt idx="10">
                  <c:v>50479.692654247083</c:v>
                </c:pt>
                <c:pt idx="11">
                  <c:v>54990.08984312298</c:v>
                </c:pt>
                <c:pt idx="12">
                  <c:v>61164.375379262776</c:v>
                </c:pt>
                <c:pt idx="13">
                  <c:v>70891.060936983718</c:v>
                </c:pt>
                <c:pt idx="14">
                  <c:v>85635.911727872503</c:v>
                </c:pt>
                <c:pt idx="15">
                  <c:v>119026.41291323678</c:v>
                </c:pt>
                <c:pt idx="16">
                  <c:v>173369.63198085185</c:v>
                </c:pt>
                <c:pt idx="17">
                  <c:v>130628.38523460364</c:v>
                </c:pt>
                <c:pt idx="18">
                  <c:v>60723.229626384789</c:v>
                </c:pt>
                <c:pt idx="19">
                  <c:v>32891.493444086351</c:v>
                </c:pt>
                <c:pt idx="20">
                  <c:v>19687.06122462291</c:v>
                </c:pt>
                <c:pt idx="21">
                  <c:v>11791.37460274017</c:v>
                </c:pt>
                <c:pt idx="22">
                  <c:v>6807.7075853850884</c:v>
                </c:pt>
                <c:pt idx="23">
                  <c:v>4093.4015046080817</c:v>
                </c:pt>
                <c:pt idx="24">
                  <c:v>2737.1778701390231</c:v>
                </c:pt>
                <c:pt idx="25">
                  <c:v>2087.4169172282668</c:v>
                </c:pt>
                <c:pt idx="26">
                  <c:v>1779.8514912256878</c:v>
                </c:pt>
                <c:pt idx="27">
                  <c:v>1609.4758284873408</c:v>
                </c:pt>
                <c:pt idx="28">
                  <c:v>1578.2927353151501</c:v>
                </c:pt>
                <c:pt idx="29">
                  <c:v>1463.3272301717411</c:v>
                </c:pt>
                <c:pt idx="30">
                  <c:v>1425.6932274455485</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36730.628964166252</c:v>
                </c:pt>
                <c:pt idx="1">
                  <c:v>37467.217790171519</c:v>
                </c:pt>
                <c:pt idx="2">
                  <c:v>38316.058702479007</c:v>
                </c:pt>
                <c:pt idx="3">
                  <c:v>39112.809724562008</c:v>
                </c:pt>
                <c:pt idx="4">
                  <c:v>40291.478223423001</c:v>
                </c:pt>
                <c:pt idx="5">
                  <c:v>42108.179956694046</c:v>
                </c:pt>
                <c:pt idx="6">
                  <c:v>44711.836556826791</c:v>
                </c:pt>
                <c:pt idx="7">
                  <c:v>47846.378457034145</c:v>
                </c:pt>
                <c:pt idx="8">
                  <c:v>51484.872258824078</c:v>
                </c:pt>
                <c:pt idx="9">
                  <c:v>56557.358744199089</c:v>
                </c:pt>
                <c:pt idx="10">
                  <c:v>63876.903148452388</c:v>
                </c:pt>
                <c:pt idx="11">
                  <c:v>75271.400713022202</c:v>
                </c:pt>
                <c:pt idx="12">
                  <c:v>96376.788966608874</c:v>
                </c:pt>
                <c:pt idx="13">
                  <c:v>160943.82609826379</c:v>
                </c:pt>
                <c:pt idx="14">
                  <c:v>1080963.5523797481</c:v>
                </c:pt>
                <c:pt idx="15">
                  <c:v>-199161.38263066887</c:v>
                </c:pt>
                <c:pt idx="16">
                  <c:v>-145321.22134929974</c:v>
                </c:pt>
                <c:pt idx="17">
                  <c:v>-1015796.5063565745</c:v>
                </c:pt>
                <c:pt idx="18">
                  <c:v>77509.491590884703</c:v>
                </c:pt>
                <c:pt idx="19">
                  <c:v>23516.669287095461</c:v>
                </c:pt>
                <c:pt idx="20">
                  <c:v>9377.7192036505076</c:v>
                </c:pt>
                <c:pt idx="21">
                  <c:v>4631.7484707554549</c:v>
                </c:pt>
                <c:pt idx="22">
                  <c:v>2894.8174529768339</c:v>
                </c:pt>
                <c:pt idx="23">
                  <c:v>2151.8715170883579</c:v>
                </c:pt>
                <c:pt idx="24">
                  <c:v>1829.6415140515619</c:v>
                </c:pt>
                <c:pt idx="25">
                  <c:v>1636.8617525270804</c:v>
                </c:pt>
                <c:pt idx="26">
                  <c:v>1526.3552001944799</c:v>
                </c:pt>
                <c:pt idx="27">
                  <c:v>1499.092997339136</c:v>
                </c:pt>
                <c:pt idx="28">
                  <c:v>1371.7010824116753</c:v>
                </c:pt>
                <c:pt idx="29">
                  <c:v>1380.5625191129011</c:v>
                </c:pt>
                <c:pt idx="30">
                  <c:v>1334.2372600164617</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37797.204821109102</c:v>
                </c:pt>
                <c:pt idx="1">
                  <c:v>38969.811000425005</c:v>
                </c:pt>
                <c:pt idx="2">
                  <c:v>40428.993668981318</c:v>
                </c:pt>
                <c:pt idx="3">
                  <c:v>42572.527957439939</c:v>
                </c:pt>
                <c:pt idx="4">
                  <c:v>45392.44269781241</c:v>
                </c:pt>
                <c:pt idx="5">
                  <c:v>48453.596544344859</c:v>
                </c:pt>
                <c:pt idx="6">
                  <c:v>52590.237484890778</c:v>
                </c:pt>
                <c:pt idx="7">
                  <c:v>58155.882289702677</c:v>
                </c:pt>
                <c:pt idx="8">
                  <c:v>66920.728343792769</c:v>
                </c:pt>
                <c:pt idx="9">
                  <c:v>79977.412550640627</c:v>
                </c:pt>
                <c:pt idx="10">
                  <c:v>112789.72296137114</c:v>
                </c:pt>
                <c:pt idx="11">
                  <c:v>237907.63093484289</c:v>
                </c:pt>
                <c:pt idx="12">
                  <c:v>-396474.23393248365</c:v>
                </c:pt>
                <c:pt idx="13">
                  <c:v>-81593.252321957276</c:v>
                </c:pt>
                <c:pt idx="14">
                  <c:v>-36702.49207404445</c:v>
                </c:pt>
                <c:pt idx="15">
                  <c:v>-21885.492452218914</c:v>
                </c:pt>
                <c:pt idx="16">
                  <c:v>-15681.108968026225</c:v>
                </c:pt>
                <c:pt idx="17">
                  <c:v>-14556.422147887421</c:v>
                </c:pt>
                <c:pt idx="18">
                  <c:v>-26590.220542328079</c:v>
                </c:pt>
                <c:pt idx="19">
                  <c:v>14669.904104932601</c:v>
                </c:pt>
                <c:pt idx="20">
                  <c:v>4576.4426490144579</c:v>
                </c:pt>
                <c:pt idx="21">
                  <c:v>2723.4473377726486</c:v>
                </c:pt>
                <c:pt idx="22">
                  <c:v>2064.0595872064814</c:v>
                </c:pt>
                <c:pt idx="23">
                  <c:v>1754.2256840813566</c:v>
                </c:pt>
                <c:pt idx="24">
                  <c:v>1594.2557525849165</c:v>
                </c:pt>
                <c:pt idx="25">
                  <c:v>1464.4689456514832</c:v>
                </c:pt>
                <c:pt idx="26">
                  <c:v>1436.6844383710725</c:v>
                </c:pt>
                <c:pt idx="27">
                  <c:v>1364.5517829467524</c:v>
                </c:pt>
                <c:pt idx="28">
                  <c:v>1361.7314251663213</c:v>
                </c:pt>
                <c:pt idx="29">
                  <c:v>1333.6605450428303</c:v>
                </c:pt>
                <c:pt idx="30">
                  <c:v>1316.3534272051288</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39911504"/>
        <c:axId val="43990601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399115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906016"/>
        <c:crosses val="autoZero"/>
        <c:crossBetween val="midCat"/>
        <c:majorUnit val="10000"/>
      </c:valAx>
      <c:valAx>
        <c:axId val="439906016"/>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911504"/>
        <c:crosses val="max"/>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0.35630124857075646</c:v>
                </c:pt>
                <c:pt idx="1">
                  <c:v>0.35754452968932648</c:v>
                </c:pt>
                <c:pt idx="2">
                  <c:v>0.36165310562298819</c:v>
                </c:pt>
                <c:pt idx="3">
                  <c:v>0.36466108374180073</c:v>
                </c:pt>
                <c:pt idx="4">
                  <c:v>0.36754144046190884</c:v>
                </c:pt>
                <c:pt idx="5">
                  <c:v>0.370804888550193</c:v>
                </c:pt>
                <c:pt idx="6">
                  <c:v>0.37435791518518591</c:v>
                </c:pt>
                <c:pt idx="7">
                  <c:v>0.37860356266689338</c:v>
                </c:pt>
                <c:pt idx="8">
                  <c:v>0.3830362497801571</c:v>
                </c:pt>
                <c:pt idx="9">
                  <c:v>0.3885746147548032</c:v>
                </c:pt>
                <c:pt idx="10">
                  <c:v>0.39350385378760994</c:v>
                </c:pt>
                <c:pt idx="11">
                  <c:v>0.3994176998294558</c:v>
                </c:pt>
                <c:pt idx="12">
                  <c:v>0.40667803957849036</c:v>
                </c:pt>
                <c:pt idx="13">
                  <c:v>0.41563098618052757</c:v>
                </c:pt>
                <c:pt idx="14">
                  <c:v>0.42473000620666873</c:v>
                </c:pt>
                <c:pt idx="15">
                  <c:v>0.43256490326130231</c:v>
                </c:pt>
                <c:pt idx="16">
                  <c:v>0.44115019988714382</c:v>
                </c:pt>
                <c:pt idx="17">
                  <c:v>0.44998771889219014</c:v>
                </c:pt>
                <c:pt idx="18">
                  <c:v>0.45996262334999088</c:v>
                </c:pt>
                <c:pt idx="19">
                  <c:v>0.46956680183483623</c:v>
                </c:pt>
                <c:pt idx="20">
                  <c:v>0.47903772414122292</c:v>
                </c:pt>
                <c:pt idx="21">
                  <c:v>0.47716060529136328</c:v>
                </c:pt>
                <c:pt idx="22">
                  <c:v>0.46564792999221977</c:v>
                </c:pt>
                <c:pt idx="23">
                  <c:v>0.45290705208702148</c:v>
                </c:pt>
                <c:pt idx="24">
                  <c:v>0.44239716791845213</c:v>
                </c:pt>
                <c:pt idx="25">
                  <c:v>0.43218614210325657</c:v>
                </c:pt>
                <c:pt idx="26">
                  <c:v>0.42118983475560917</c:v>
                </c:pt>
                <c:pt idx="27">
                  <c:v>0.41030673694844755</c:v>
                </c:pt>
                <c:pt idx="28">
                  <c:v>0.40163181973202289</c:v>
                </c:pt>
                <c:pt idx="29">
                  <c:v>0.39447393905626088</c:v>
                </c:pt>
                <c:pt idx="30">
                  <c:v>0.38961543680816352</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0.35822238847580368</c:v>
                </c:pt>
                <c:pt idx="1">
                  <c:v>0.36297230900756061</c:v>
                </c:pt>
                <c:pt idx="2">
                  <c:v>0.36587720016252284</c:v>
                </c:pt>
                <c:pt idx="3">
                  <c:v>0.36887831159186607</c:v>
                </c:pt>
                <c:pt idx="4">
                  <c:v>0.37218976402514115</c:v>
                </c:pt>
                <c:pt idx="5">
                  <c:v>0.37597974879010976</c:v>
                </c:pt>
                <c:pt idx="6">
                  <c:v>0.38028240528223994</c:v>
                </c:pt>
                <c:pt idx="7">
                  <c:v>0.38502366848042691</c:v>
                </c:pt>
                <c:pt idx="8">
                  <c:v>0.39036881537925455</c:v>
                </c:pt>
                <c:pt idx="9">
                  <c:v>0.39537050464903906</c:v>
                </c:pt>
                <c:pt idx="10">
                  <c:v>0.40162908291974087</c:v>
                </c:pt>
                <c:pt idx="11">
                  <c:v>0.40962886792375586</c:v>
                </c:pt>
                <c:pt idx="12">
                  <c:v>0.41867837941529656</c:v>
                </c:pt>
                <c:pt idx="13">
                  <c:v>0.42709586628964896</c:v>
                </c:pt>
                <c:pt idx="14">
                  <c:v>0.43505074568715052</c:v>
                </c:pt>
                <c:pt idx="15">
                  <c:v>0.4435768562950097</c:v>
                </c:pt>
                <c:pt idx="16">
                  <c:v>0.45279723137673222</c:v>
                </c:pt>
                <c:pt idx="17">
                  <c:v>0.46229901453678091</c:v>
                </c:pt>
                <c:pt idx="18">
                  <c:v>0.47124506858203208</c:v>
                </c:pt>
                <c:pt idx="19">
                  <c:v>0.47321110509258563</c:v>
                </c:pt>
                <c:pt idx="20">
                  <c:v>0.46375124472651186</c:v>
                </c:pt>
                <c:pt idx="21">
                  <c:v>0.45160443427908353</c:v>
                </c:pt>
                <c:pt idx="22">
                  <c:v>0.44109820996726762</c:v>
                </c:pt>
                <c:pt idx="23">
                  <c:v>0.43156741408481064</c:v>
                </c:pt>
                <c:pt idx="24">
                  <c:v>0.42188364295087255</c:v>
                </c:pt>
                <c:pt idx="25">
                  <c:v>0.41143718306244093</c:v>
                </c:pt>
                <c:pt idx="26">
                  <c:v>0.40250224101141935</c:v>
                </c:pt>
                <c:pt idx="27">
                  <c:v>0.39563019544640299</c:v>
                </c:pt>
                <c:pt idx="28">
                  <c:v>0.39037885447878123</c:v>
                </c:pt>
                <c:pt idx="29">
                  <c:v>0.38672603761404833</c:v>
                </c:pt>
                <c:pt idx="30">
                  <c:v>0.38422408895096449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0.36248030439214479</c:v>
                </c:pt>
                <c:pt idx="1">
                  <c:v>0.36599684880364075</c:v>
                </c:pt>
                <c:pt idx="2">
                  <c:v>0.3690881917928967</c:v>
                </c:pt>
                <c:pt idx="3">
                  <c:v>0.37241990268834624</c:v>
                </c:pt>
                <c:pt idx="4">
                  <c:v>0.37626908563107048</c:v>
                </c:pt>
                <c:pt idx="5">
                  <c:v>0.38057450321022734</c:v>
                </c:pt>
                <c:pt idx="6">
                  <c:v>0.38540557799671754</c:v>
                </c:pt>
                <c:pt idx="7">
                  <c:v>0.39065174151638138</c:v>
                </c:pt>
                <c:pt idx="8">
                  <c:v>0.39568489048571837</c:v>
                </c:pt>
                <c:pt idx="9">
                  <c:v>0.40206005606197565</c:v>
                </c:pt>
                <c:pt idx="10">
                  <c:v>0.41013538517549597</c:v>
                </c:pt>
                <c:pt idx="11">
                  <c:v>0.41912078880855963</c:v>
                </c:pt>
                <c:pt idx="12">
                  <c:v>0.42731184885992224</c:v>
                </c:pt>
                <c:pt idx="13">
                  <c:v>0.43528985390311487</c:v>
                </c:pt>
                <c:pt idx="14">
                  <c:v>0.44374435198182682</c:v>
                </c:pt>
                <c:pt idx="15">
                  <c:v>0.4530258865404922</c:v>
                </c:pt>
                <c:pt idx="16">
                  <c:v>0.4624712423049252</c:v>
                </c:pt>
                <c:pt idx="17">
                  <c:v>0.472339547834149</c:v>
                </c:pt>
                <c:pt idx="18">
                  <c:v>0.47596586591192652</c:v>
                </c:pt>
                <c:pt idx="19">
                  <c:v>0.467686355394276</c:v>
                </c:pt>
                <c:pt idx="20">
                  <c:v>0.45518567072905775</c:v>
                </c:pt>
                <c:pt idx="21">
                  <c:v>0.44424299792624622</c:v>
                </c:pt>
                <c:pt idx="22">
                  <c:v>0.43434448632508005</c:v>
                </c:pt>
                <c:pt idx="23">
                  <c:v>0.4243573162967042</c:v>
                </c:pt>
                <c:pt idx="24">
                  <c:v>0.41333084590675495</c:v>
                </c:pt>
                <c:pt idx="25">
                  <c:v>0.40393473900723353</c:v>
                </c:pt>
                <c:pt idx="26">
                  <c:v>0.39653875112040632</c:v>
                </c:pt>
                <c:pt idx="27">
                  <c:v>0.39098977798021606</c:v>
                </c:pt>
                <c:pt idx="28">
                  <c:v>0.3870430484038202</c:v>
                </c:pt>
                <c:pt idx="29">
                  <c:v>0.38448236617193715</c:v>
                </c:pt>
                <c:pt idx="30">
                  <c:v>0.38663454871196923</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0.36518318974545844</c:v>
                </c:pt>
                <c:pt idx="1">
                  <c:v>0.36882736050098436</c:v>
                </c:pt>
                <c:pt idx="2">
                  <c:v>0.37219336319227825</c:v>
                </c:pt>
                <c:pt idx="3">
                  <c:v>0.37599507129787302</c:v>
                </c:pt>
                <c:pt idx="4">
                  <c:v>0.38026229738162298</c:v>
                </c:pt>
                <c:pt idx="5">
                  <c:v>0.38504326712911008</c:v>
                </c:pt>
                <c:pt idx="6">
                  <c:v>0.3902517391523288</c:v>
                </c:pt>
                <c:pt idx="7">
                  <c:v>0.3952293809495166</c:v>
                </c:pt>
                <c:pt idx="8">
                  <c:v>0.40147076260964087</c:v>
                </c:pt>
                <c:pt idx="9">
                  <c:v>0.40940425041002942</c:v>
                </c:pt>
                <c:pt idx="10">
                  <c:v>0.41829499665235975</c:v>
                </c:pt>
                <c:pt idx="11">
                  <c:v>0.42647180633597898</c:v>
                </c:pt>
                <c:pt idx="12">
                  <c:v>0.43433066882756743</c:v>
                </c:pt>
                <c:pt idx="13">
                  <c:v>0.44270315473281591</c:v>
                </c:pt>
                <c:pt idx="14">
                  <c:v>0.45184611157581306</c:v>
                </c:pt>
                <c:pt idx="15">
                  <c:v>0.46131037089059196</c:v>
                </c:pt>
                <c:pt idx="16">
                  <c:v>0.47174583907960166</c:v>
                </c:pt>
                <c:pt idx="17">
                  <c:v>0.4785455651633464</c:v>
                </c:pt>
                <c:pt idx="18">
                  <c:v>0.47309247804501914</c:v>
                </c:pt>
                <c:pt idx="19">
                  <c:v>0.46064290770314031</c:v>
                </c:pt>
                <c:pt idx="20">
                  <c:v>0.4489491858443076</c:v>
                </c:pt>
                <c:pt idx="21">
                  <c:v>0.4386523747282936</c:v>
                </c:pt>
                <c:pt idx="22">
                  <c:v>0.42837102005556782</c:v>
                </c:pt>
                <c:pt idx="23">
                  <c:v>0.41680383865599463</c:v>
                </c:pt>
                <c:pt idx="24">
                  <c:v>0.40659445525370808</c:v>
                </c:pt>
                <c:pt idx="25">
                  <c:v>0.39845275356724935</c:v>
                </c:pt>
                <c:pt idx="26">
                  <c:v>0.39224568708238411</c:v>
                </c:pt>
                <c:pt idx="27">
                  <c:v>0.38787809596090866</c:v>
                </c:pt>
                <c:pt idx="28">
                  <c:v>0.38499029882085894</c:v>
                </c:pt>
                <c:pt idx="29">
                  <c:v>0.38721934392954199</c:v>
                </c:pt>
                <c:pt idx="30">
                  <c:v>0.38232827263758129</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0.36863221026765319</c:v>
                </c:pt>
                <c:pt idx="1">
                  <c:v>0.37282252529303772</c:v>
                </c:pt>
                <c:pt idx="2">
                  <c:v>0.37683979967521414</c:v>
                </c:pt>
                <c:pt idx="3">
                  <c:v>0.38110433627523177</c:v>
                </c:pt>
                <c:pt idx="4">
                  <c:v>0.38619855445668116</c:v>
                </c:pt>
                <c:pt idx="5">
                  <c:v>0.39106679808589229</c:v>
                </c:pt>
                <c:pt idx="6">
                  <c:v>0.3963879931160027</c:v>
                </c:pt>
                <c:pt idx="7">
                  <c:v>0.40285538315908109</c:v>
                </c:pt>
                <c:pt idx="8">
                  <c:v>0.41103257368208007</c:v>
                </c:pt>
                <c:pt idx="9">
                  <c:v>0.41983588680183309</c:v>
                </c:pt>
                <c:pt idx="10">
                  <c:v>0.42757955080202326</c:v>
                </c:pt>
                <c:pt idx="11">
                  <c:v>0.43557117518681004</c:v>
                </c:pt>
                <c:pt idx="12">
                  <c:v>0.44387750538454862</c:v>
                </c:pt>
                <c:pt idx="13">
                  <c:v>0.45322884034206029</c:v>
                </c:pt>
                <c:pt idx="14">
                  <c:v>0.46258186383207356</c:v>
                </c:pt>
                <c:pt idx="15">
                  <c:v>0.47432273798443014</c:v>
                </c:pt>
                <c:pt idx="16">
                  <c:v>0.48376578041431351</c:v>
                </c:pt>
                <c:pt idx="17">
                  <c:v>0.48198605466394245</c:v>
                </c:pt>
                <c:pt idx="18">
                  <c:v>0.4697575834848377</c:v>
                </c:pt>
                <c:pt idx="19">
                  <c:v>0.45717612952718178</c:v>
                </c:pt>
                <c:pt idx="20">
                  <c:v>0.44594460629687532</c:v>
                </c:pt>
                <c:pt idx="21">
                  <c:v>0.434929598465433</c:v>
                </c:pt>
                <c:pt idx="22">
                  <c:v>0.42179203907937823</c:v>
                </c:pt>
                <c:pt idx="23">
                  <c:v>0.41033224666289325</c:v>
                </c:pt>
                <c:pt idx="24">
                  <c:v>0.4007215747188721</c:v>
                </c:pt>
                <c:pt idx="25">
                  <c:v>0.39374011271937204</c:v>
                </c:pt>
                <c:pt idx="26">
                  <c:v>0.38861117627110647</c:v>
                </c:pt>
                <c:pt idx="27">
                  <c:v>0.38560014458873937</c:v>
                </c:pt>
                <c:pt idx="28">
                  <c:v>0.3871362832437798</c:v>
                </c:pt>
                <c:pt idx="29">
                  <c:v>0.38256041819676806</c:v>
                </c:pt>
                <c:pt idx="30">
                  <c:v>0.38449143307545414</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0.37793628483137087</c:v>
                </c:pt>
                <c:pt idx="1">
                  <c:v>0.38359013961497546</c:v>
                </c:pt>
                <c:pt idx="2">
                  <c:v>0.38879803357507531</c:v>
                </c:pt>
                <c:pt idx="3">
                  <c:v>0.39369396518229266</c:v>
                </c:pt>
                <c:pt idx="4">
                  <c:v>0.39955299390320337</c:v>
                </c:pt>
                <c:pt idx="5">
                  <c:v>0.40706586214307822</c:v>
                </c:pt>
                <c:pt idx="6">
                  <c:v>0.41566795758745645</c:v>
                </c:pt>
                <c:pt idx="7">
                  <c:v>0.42381371282768104</c:v>
                </c:pt>
                <c:pt idx="8">
                  <c:v>0.4313066531046153</c:v>
                </c:pt>
                <c:pt idx="9">
                  <c:v>0.43942559657284386</c:v>
                </c:pt>
                <c:pt idx="10">
                  <c:v>0.44811240393904789</c:v>
                </c:pt>
                <c:pt idx="11">
                  <c:v>0.45746144788065762</c:v>
                </c:pt>
                <c:pt idx="12">
                  <c:v>0.46801799238356173</c:v>
                </c:pt>
                <c:pt idx="13">
                  <c:v>0.48175339625577546</c:v>
                </c:pt>
                <c:pt idx="14">
                  <c:v>0.49743794989654311</c:v>
                </c:pt>
                <c:pt idx="15">
                  <c:v>0.51259192288395838</c:v>
                </c:pt>
                <c:pt idx="16">
                  <c:v>0.51403616838971011</c:v>
                </c:pt>
                <c:pt idx="17">
                  <c:v>0.5014770094934039</c:v>
                </c:pt>
                <c:pt idx="18">
                  <c:v>0.48645453021159774</c:v>
                </c:pt>
                <c:pt idx="19">
                  <c:v>0.4701611476781099</c:v>
                </c:pt>
                <c:pt idx="20">
                  <c:v>0.45011312652299118</c:v>
                </c:pt>
                <c:pt idx="21">
                  <c:v>0.4304465269178715</c:v>
                </c:pt>
                <c:pt idx="22">
                  <c:v>0.4134661657131648</c:v>
                </c:pt>
                <c:pt idx="23">
                  <c:v>0.40145795280992319</c:v>
                </c:pt>
                <c:pt idx="24">
                  <c:v>0.39388759715980831</c:v>
                </c:pt>
                <c:pt idx="25">
                  <c:v>0.38913264548056237</c:v>
                </c:pt>
                <c:pt idx="26">
                  <c:v>0.38533081696091021</c:v>
                </c:pt>
                <c:pt idx="27">
                  <c:v>0.38665882832958254</c:v>
                </c:pt>
                <c:pt idx="28">
                  <c:v>0.38299135639461379</c:v>
                </c:pt>
                <c:pt idx="29">
                  <c:v>0.38409909171523421</c:v>
                </c:pt>
                <c:pt idx="30">
                  <c:v>0.3813705742729408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0.38924580183314195</c:v>
                </c:pt>
                <c:pt idx="1">
                  <c:v>0.39584943836485698</c:v>
                </c:pt>
                <c:pt idx="2">
                  <c:v>0.40270842012381908</c:v>
                </c:pt>
                <c:pt idx="3">
                  <c:v>0.41091348721691345</c:v>
                </c:pt>
                <c:pt idx="4">
                  <c:v>0.4194424245153569</c:v>
                </c:pt>
                <c:pt idx="5">
                  <c:v>0.42678749588145798</c:v>
                </c:pt>
                <c:pt idx="6">
                  <c:v>0.43465181142518666</c:v>
                </c:pt>
                <c:pt idx="7">
                  <c:v>0.44274771218601872</c:v>
                </c:pt>
                <c:pt idx="8">
                  <c:v>0.45195902059370185</c:v>
                </c:pt>
                <c:pt idx="9">
                  <c:v>0.46113948013135203</c:v>
                </c:pt>
                <c:pt idx="10">
                  <c:v>0.47365772549082252</c:v>
                </c:pt>
                <c:pt idx="11">
                  <c:v>0.4881226067745259</c:v>
                </c:pt>
                <c:pt idx="12">
                  <c:v>0.50669351651940164</c:v>
                </c:pt>
                <c:pt idx="13">
                  <c:v>0.53005612524039958</c:v>
                </c:pt>
                <c:pt idx="14">
                  <c:v>0.55919986131936705</c:v>
                </c:pt>
                <c:pt idx="15">
                  <c:v>0.57900237233431018</c:v>
                </c:pt>
                <c:pt idx="16">
                  <c:v>0.57518061151754496</c:v>
                </c:pt>
                <c:pt idx="17">
                  <c:v>0.55170193555701907</c:v>
                </c:pt>
                <c:pt idx="18">
                  <c:v>0.51788170461933092</c:v>
                </c:pt>
                <c:pt idx="19">
                  <c:v>0.47758387260768681</c:v>
                </c:pt>
                <c:pt idx="20">
                  <c:v>0.44478032496615921</c:v>
                </c:pt>
                <c:pt idx="21">
                  <c:v>0.42036104495683302</c:v>
                </c:pt>
                <c:pt idx="22">
                  <c:v>0.4055410706691478</c:v>
                </c:pt>
                <c:pt idx="23">
                  <c:v>0.39572430960120469</c:v>
                </c:pt>
                <c:pt idx="24">
                  <c:v>0.38976528275906863</c:v>
                </c:pt>
                <c:pt idx="25">
                  <c:v>0.38718715165869028</c:v>
                </c:pt>
                <c:pt idx="26">
                  <c:v>0.38717257249588954</c:v>
                </c:pt>
                <c:pt idx="27">
                  <c:v>0.38319490743974016</c:v>
                </c:pt>
                <c:pt idx="28">
                  <c:v>0.38306049116776481</c:v>
                </c:pt>
                <c:pt idx="29">
                  <c:v>0.38139434968818992</c:v>
                </c:pt>
                <c:pt idx="30">
                  <c:v>0.38033017319991108</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44359248"/>
        <c:axId val="44435454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43592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4354544"/>
        <c:crosses val="autoZero"/>
        <c:crossBetween val="midCat"/>
        <c:majorUnit val="10000"/>
      </c:valAx>
      <c:valAx>
        <c:axId val="444354544"/>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layout/>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4359248"/>
        <c:crosses val="max"/>
        <c:crossBetween val="midCat"/>
        <c:majorUnit val="0.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44359640"/>
        <c:axId val="4443525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435964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2584"/>
        <c:crosses val="autoZero"/>
        <c:crossBetween val="midCat"/>
        <c:majorUnit val="10000"/>
      </c:valAx>
      <c:valAx>
        <c:axId val="444352584"/>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9640"/>
        <c:crosses val="autoZero"/>
        <c:crossBetween val="midCat"/>
        <c:majorUnit val="10"/>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5.5221207601096741E-3</c:v>
                </c:pt>
                <c:pt idx="1">
                  <c:v>7.2884914913218576E-3</c:v>
                </c:pt>
                <c:pt idx="2">
                  <c:v>1.966556382027002E-3</c:v>
                </c:pt>
                <c:pt idx="3">
                  <c:v>3.272412533526238E-4</c:v>
                </c:pt>
                <c:pt idx="4">
                  <c:v>4.5458146816980493E-5</c:v>
                </c:pt>
                <c:pt idx="5">
                  <c:v>3.6104947728719743E-6</c:v>
                </c:pt>
                <c:pt idx="6">
                  <c:v>5.5078997483869108E-6</c:v>
                </c:pt>
                <c:pt idx="7">
                  <c:v>1.4326247244507645E-5</c:v>
                </c:pt>
                <c:pt idx="8">
                  <c:v>3.138548523753916E-5</c:v>
                </c:pt>
                <c:pt idx="9">
                  <c:v>6.4133416504381322E-5</c:v>
                </c:pt>
                <c:pt idx="10">
                  <c:v>1.1328840646643725E-4</c:v>
                </c:pt>
                <c:pt idx="11">
                  <c:v>1.6812670780776999E-4</c:v>
                </c:pt>
                <c:pt idx="12">
                  <c:v>2.1253386736290708E-4</c:v>
                </c:pt>
                <c:pt idx="13">
                  <c:v>2.3107741891979102E-4</c:v>
                </c:pt>
                <c:pt idx="14">
                  <c:v>2.1569814801209749E-4</c:v>
                </c:pt>
                <c:pt idx="15">
                  <c:v>1.7277256160819665E-4</c:v>
                </c:pt>
                <c:pt idx="16">
                  <c:v>1.2153745817099794E-4</c:v>
                </c:pt>
                <c:pt idx="17">
                  <c:v>7.8573587628883874E-5</c:v>
                </c:pt>
                <c:pt idx="18">
                  <c:v>4.960520293903033E-5</c:v>
                </c:pt>
                <c:pt idx="19">
                  <c:v>3.2190311254597056E-5</c:v>
                </c:pt>
                <c:pt idx="20">
                  <c:v>2.3187887797330392E-5</c:v>
                </c:pt>
                <c:pt idx="21">
                  <c:v>1.6558423594752726E-5</c:v>
                </c:pt>
                <c:pt idx="22">
                  <c:v>1.8175201828365975E-5</c:v>
                </c:pt>
                <c:pt idx="23">
                  <c:v>3.6293676918163774E-5</c:v>
                </c:pt>
                <c:pt idx="24">
                  <c:v>5.5822411970537886E-5</c:v>
                </c:pt>
                <c:pt idx="25">
                  <c:v>8.0255216316588431E-5</c:v>
                </c:pt>
                <c:pt idx="26">
                  <c:v>1.35044979902216E-4</c:v>
                </c:pt>
                <c:pt idx="27">
                  <c:v>2.1450705234553409E-4</c:v>
                </c:pt>
                <c:pt idx="28">
                  <c:v>2.8399003934073181E-4</c:v>
                </c:pt>
                <c:pt idx="29">
                  <c:v>3.5714816847385363E-4</c:v>
                </c:pt>
                <c:pt idx="30">
                  <c:v>2.1230431670608501E-4</c:v>
                </c:pt>
              </c:numCache>
            </c:numRef>
          </c:yVal>
          <c:smooth val="1"/>
        </c:ser>
        <c:dLbls>
          <c:showLegendKey val="0"/>
          <c:showVal val="0"/>
          <c:showCatName val="0"/>
          <c:showSerName val="0"/>
          <c:showPercent val="0"/>
          <c:showBubbleSize val="0"/>
        </c:dLbls>
        <c:axId val="444354936"/>
        <c:axId val="444355328"/>
      </c:scatterChart>
      <c:valAx>
        <c:axId val="44435493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5328"/>
        <c:crossesAt val="-1.5000000000000005E-3"/>
        <c:crossBetween val="midCat"/>
      </c:valAx>
      <c:valAx>
        <c:axId val="444355328"/>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4936"/>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10702.373384730843</c:v>
                </c:pt>
                <c:pt idx="1">
                  <c:v>10623.988728096943</c:v>
                </c:pt>
                <c:pt idx="2">
                  <c:v>10329.540917068865</c:v>
                </c:pt>
                <c:pt idx="3">
                  <c:v>10136.582020156831</c:v>
                </c:pt>
                <c:pt idx="4">
                  <c:v>9898.0494619026958</c:v>
                </c:pt>
                <c:pt idx="5">
                  <c:v>9623.2167810140036</c:v>
                </c:pt>
                <c:pt idx="6">
                  <c:v>9373.9853457270656</c:v>
                </c:pt>
                <c:pt idx="7">
                  <c:v>9114.005504726334</c:v>
                </c:pt>
                <c:pt idx="8">
                  <c:v>8824.0342843772232</c:v>
                </c:pt>
                <c:pt idx="9">
                  <c:v>8477.3903889891135</c:v>
                </c:pt>
                <c:pt idx="10">
                  <c:v>8119.5025640911599</c:v>
                </c:pt>
                <c:pt idx="11">
                  <c:v>7810.5821663001343</c:v>
                </c:pt>
                <c:pt idx="12">
                  <c:v>7536.1080438784738</c:v>
                </c:pt>
                <c:pt idx="13">
                  <c:v>7255.1859159606447</c:v>
                </c:pt>
                <c:pt idx="14">
                  <c:v>6972.8732449299187</c:v>
                </c:pt>
                <c:pt idx="15">
                  <c:v>6687.3703477678255</c:v>
                </c:pt>
                <c:pt idx="16">
                  <c:v>6333.6296335629158</c:v>
                </c:pt>
                <c:pt idx="17">
                  <c:v>5707.364338243191</c:v>
                </c:pt>
                <c:pt idx="18">
                  <c:v>4703.6357351925508</c:v>
                </c:pt>
                <c:pt idx="19">
                  <c:v>3716.5499302281391</c:v>
                </c:pt>
                <c:pt idx="20">
                  <c:v>2925.710367661693</c:v>
                </c:pt>
                <c:pt idx="21">
                  <c:v>2271.2216048908504</c:v>
                </c:pt>
                <c:pt idx="22">
                  <c:v>1690.9424647313006</c:v>
                </c:pt>
                <c:pt idx="23">
                  <c:v>1194.4109083087446</c:v>
                </c:pt>
                <c:pt idx="24">
                  <c:v>834.85093090888802</c:v>
                </c:pt>
                <c:pt idx="25">
                  <c:v>607.35539249245767</c:v>
                </c:pt>
                <c:pt idx="26">
                  <c:v>493.07759532925223</c:v>
                </c:pt>
                <c:pt idx="27">
                  <c:v>433.63547373456254</c:v>
                </c:pt>
                <c:pt idx="28">
                  <c:v>403.87939519108511</c:v>
                </c:pt>
                <c:pt idx="29">
                  <c:v>387.50504583464982</c:v>
                </c:pt>
                <c:pt idx="30">
                  <c:v>374.55431667180528</c:v>
                </c:pt>
              </c:numCache>
            </c:numRef>
          </c:yVal>
          <c:smooth val="1"/>
        </c:ser>
        <c:dLbls>
          <c:showLegendKey val="0"/>
          <c:showVal val="0"/>
          <c:showCatName val="0"/>
          <c:showSerName val="0"/>
          <c:showPercent val="0"/>
          <c:showBubbleSize val="0"/>
        </c:dLbls>
        <c:axId val="444358856"/>
        <c:axId val="444360032"/>
      </c:scatterChart>
      <c:valAx>
        <c:axId val="44435885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60032"/>
        <c:crosses val="autoZero"/>
        <c:crossBetween val="midCat"/>
      </c:valAx>
      <c:valAx>
        <c:axId val="4443600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8856"/>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1.9051544931632133E-2</c:v>
                </c:pt>
                <c:pt idx="11">
                  <c:v>2.095767688329906E-2</c:v>
                </c:pt>
                <c:pt idx="12">
                  <c:v>1.8148685041833493E-2</c:v>
                </c:pt>
                <c:pt idx="13">
                  <c:v>1.8310697382584513E-2</c:v>
                </c:pt>
                <c:pt idx="14">
                  <c:v>1.879714604182792E-2</c:v>
                </c:pt>
                <c:pt idx="15">
                  <c:v>1.9970208342937387E-2</c:v>
                </c:pt>
                <c:pt idx="16">
                  <c:v>1.8315486413731999E-2</c:v>
                </c:pt>
                <c:pt idx="17">
                  <c:v>1.9693614711335013E-2</c:v>
                </c:pt>
                <c:pt idx="18">
                  <c:v>1.6693973961358216E-2</c:v>
                </c:pt>
                <c:pt idx="19">
                  <c:v>1.6568842291439619E-2</c:v>
                </c:pt>
                <c:pt idx="20">
                  <c:v>1.2809447574191027E-3</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5.5253962916558012E-3</c:v>
                </c:pt>
                <c:pt idx="1">
                  <c:v>7.2616725052395709E-3</c:v>
                </c:pt>
                <c:pt idx="2">
                  <c:v>2.0050192603657232E-3</c:v>
                </c:pt>
                <c:pt idx="3">
                  <c:v>2.9615747742348743E-4</c:v>
                </c:pt>
                <c:pt idx="4">
                  <c:v>8.8110768029547981E-5</c:v>
                </c:pt>
                <c:pt idx="5">
                  <c:v>4.4288583694107201E-5</c:v>
                </c:pt>
                <c:pt idx="6">
                  <c:v>4.0037009564328174E-5</c:v>
                </c:pt>
                <c:pt idx="7">
                  <c:v>6.6734709563348496E-5</c:v>
                </c:pt>
                <c:pt idx="8">
                  <c:v>3.0927570267719599E-5</c:v>
                </c:pt>
                <c:pt idx="9">
                  <c:v>1.4170977691963977E-4</c:v>
                </c:pt>
                <c:pt idx="10">
                  <c:v>3.7438700492395138E-5</c:v>
                </c:pt>
                <c:pt idx="11">
                  <c:v>2.3083554830870371E-4</c:v>
                </c:pt>
                <c:pt idx="12">
                  <c:v>1.507707965891011E-4</c:v>
                </c:pt>
                <c:pt idx="13">
                  <c:v>2.9779300546640963E-4</c:v>
                </c:pt>
                <c:pt idx="14">
                  <c:v>1.5243794730831399E-4</c:v>
                </c:pt>
                <c:pt idx="15">
                  <c:v>2.4405821622200052E-4</c:v>
                </c:pt>
                <c:pt idx="16">
                  <c:v>1.6329386085520808E-5</c:v>
                </c:pt>
                <c:pt idx="17">
                  <c:v>3.2133451977599655E-4</c:v>
                </c:pt>
                <c:pt idx="18">
                  <c:v>2.620561807617962E-4</c:v>
                </c:pt>
                <c:pt idx="19">
                  <c:v>3.4065303873319786E-4</c:v>
                </c:pt>
                <c:pt idx="20">
                  <c:v>3.1503772817763131E-4</c:v>
                </c:pt>
                <c:pt idx="21">
                  <c:v>3.1430075045702914E-4</c:v>
                </c:pt>
                <c:pt idx="22">
                  <c:v>6.4485070352048209E-4</c:v>
                </c:pt>
                <c:pt idx="23">
                  <c:v>5.8512848344950393E-4</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1.4126674800893016E-2</c:v>
                </c:pt>
                <c:pt idx="11">
                  <c:v>1.5322067512645213E-2</c:v>
                </c:pt>
                <c:pt idx="12">
                  <c:v>1.4493842350104161E-2</c:v>
                </c:pt>
                <c:pt idx="13">
                  <c:v>1.6104438425960575E-2</c:v>
                </c:pt>
                <c:pt idx="14">
                  <c:v>1.4498446487959706E-2</c:v>
                </c:pt>
                <c:pt idx="15">
                  <c:v>1.4029777948137154E-2</c:v>
                </c:pt>
                <c:pt idx="16">
                  <c:v>7.0326662737609505E-3</c:v>
                </c:pt>
                <c:pt idx="17">
                  <c:v>2.5028653441778612E-2</c:v>
                </c:pt>
                <c:pt idx="18">
                  <c:v>2.0711132811219453E-2</c:v>
                </c:pt>
                <c:pt idx="19">
                  <c:v>4.651638350553669E-3</c:v>
                </c:pt>
                <c:pt idx="20">
                  <c:v>1.6757221690899039E-2</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9.8125686094334377E-2</c:v>
                </c:pt>
                <c:pt idx="11">
                  <c:v>0.10049752722812649</c:v>
                </c:pt>
                <c:pt idx="12">
                  <c:v>5.4912770541616848E-2</c:v>
                </c:pt>
                <c:pt idx="13">
                  <c:v>5.0521219357433193E-2</c:v>
                </c:pt>
                <c:pt idx="14">
                  <c:v>0.13615644174529723</c:v>
                </c:pt>
                <c:pt idx="15">
                  <c:v>0.13673100968408086</c:v>
                </c:pt>
                <c:pt idx="16">
                  <c:v>1.461787050755878E-2</c:v>
                </c:pt>
                <c:pt idx="17">
                  <c:v>9.4684319026850122E-2</c:v>
                </c:pt>
                <c:pt idx="18">
                  <c:v>0.20754040950135819</c:v>
                </c:pt>
                <c:pt idx="19">
                  <c:v>0.17638992039890253</c:v>
                </c:pt>
                <c:pt idx="20">
                  <c:v>0.11678322144243065</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44353368"/>
        <c:axId val="444356112"/>
      </c:scatterChart>
      <c:valAx>
        <c:axId val="4443533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6112"/>
        <c:crossesAt val="1.0000000000000005E-9"/>
        <c:crossBetween val="midCat"/>
      </c:valAx>
      <c:valAx>
        <c:axId val="4443561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3368"/>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-8.2939414517803574</c:v>
                </c:pt>
                <c:pt idx="1">
                  <c:v>-4.5727647050286402</c:v>
                </c:pt>
                <c:pt idx="2">
                  <c:v>-2.0775796047571524</c:v>
                </c:pt>
                <c:pt idx="3">
                  <c:v>0</c:v>
                </c:pt>
                <c:pt idx="4">
                  <c:v>2.446530242291018</c:v>
                </c:pt>
                <c:pt idx="5">
                  <c:v>7.1711458088301363</c:v>
                </c:pt>
                <c:pt idx="6">
                  <c:v>11.837918255932872</c:v>
                </c:pt>
              </c:numCache>
            </c:numRef>
          </c:yVal>
          <c:smooth val="0"/>
        </c:ser>
        <c:dLbls>
          <c:showLegendKey val="0"/>
          <c:showVal val="0"/>
          <c:showCatName val="0"/>
          <c:showSerName val="0"/>
          <c:showPercent val="0"/>
          <c:showBubbleSize val="0"/>
        </c:dLbls>
        <c:axId val="444353760"/>
        <c:axId val="444358072"/>
      </c:scatterChart>
      <c:valAx>
        <c:axId val="4443537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8072"/>
        <c:crossesAt val="-100"/>
        <c:crossBetween val="midCat"/>
      </c:valAx>
      <c:valAx>
        <c:axId val="444358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376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0"/>
        </c:ser>
        <c:dLbls>
          <c:showLegendKey val="0"/>
          <c:showVal val="0"/>
          <c:showCatName val="0"/>
          <c:showSerName val="0"/>
          <c:showPercent val="0"/>
          <c:showBubbleSize val="0"/>
        </c:dLbls>
        <c:axId val="444354152"/>
        <c:axId val="439907976"/>
      </c:scatterChart>
      <c:valAx>
        <c:axId val="44435415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907976"/>
        <c:crosses val="autoZero"/>
        <c:crossBetween val="midCat"/>
      </c:valAx>
      <c:valAx>
        <c:axId val="439907976"/>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4152"/>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2.5002704854355948E-19</c:v>
                </c:pt>
                <c:pt idx="1">
                  <c:v>2.5002704854355945E-18</c:v>
                </c:pt>
                <c:pt idx="2">
                  <c:v>2.5002704854355948E-17</c:v>
                </c:pt>
                <c:pt idx="3">
                  <c:v>2.5002704854355947E-16</c:v>
                </c:pt>
                <c:pt idx="4">
                  <c:v>2.5002704854355946E-15</c:v>
                </c:pt>
                <c:pt idx="5">
                  <c:v>2.5002704854355946E-14</c:v>
                </c:pt>
                <c:pt idx="6">
                  <c:v>2.5002704854355947E-13</c:v>
                </c:pt>
                <c:pt idx="7">
                  <c:v>2.5002704854355948E-12</c:v>
                </c:pt>
                <c:pt idx="8">
                  <c:v>2.5002704854355946E-11</c:v>
                </c:pt>
                <c:pt idx="9">
                  <c:v>2.5002704854355942E-10</c:v>
                </c:pt>
                <c:pt idx="10">
                  <c:v>2.5002704854355946E-9</c:v>
                </c:pt>
                <c:pt idx="11">
                  <c:v>2.5002704854355948E-8</c:v>
                </c:pt>
                <c:pt idx="12">
                  <c:v>2.5002704854355947E-7</c:v>
                </c:pt>
                <c:pt idx="13">
                  <c:v>2.5002704854355947E-6</c:v>
                </c:pt>
                <c:pt idx="14">
                  <c:v>2.5002704854355948E-5</c:v>
                </c:pt>
                <c:pt idx="15">
                  <c:v>2.5002704854355947E-4</c:v>
                </c:pt>
                <c:pt idx="16">
                  <c:v>2.5002704854355947E-3</c:v>
                </c:pt>
                <c:pt idx="17">
                  <c:v>2.5002704854355944E-2</c:v>
                </c:pt>
                <c:pt idx="18">
                  <c:v>0.25002704854355945</c:v>
                </c:pt>
                <c:pt idx="19">
                  <c:v>2.5002704854355944</c:v>
                </c:pt>
                <c:pt idx="20">
                  <c:v>25.002704854355947</c:v>
                </c:pt>
                <c:pt idx="21">
                  <c:v>250.02704854355946</c:v>
                </c:pt>
                <c:pt idx="22">
                  <c:v>2500.2704854355948</c:v>
                </c:pt>
                <c:pt idx="23">
                  <c:v>25002.704854355947</c:v>
                </c:pt>
                <c:pt idx="24">
                  <c:v>250027.04854355945</c:v>
                </c:pt>
                <c:pt idx="25">
                  <c:v>2500270.4854355948</c:v>
                </c:pt>
                <c:pt idx="26">
                  <c:v>25002704.854355946</c:v>
                </c:pt>
                <c:pt idx="27">
                  <c:v>250027048.54355946</c:v>
                </c:pt>
                <c:pt idx="28">
                  <c:v>2500270485.4355946</c:v>
                </c:pt>
                <c:pt idx="29">
                  <c:v>25002704854.355946</c:v>
                </c:pt>
                <c:pt idx="30">
                  <c:v>250027048543.55945</c:v>
                </c:pt>
              </c:numCache>
            </c:numRef>
          </c:xVal>
          <c:yVal>
            <c:numRef>
              <c:f>'Mastercurve bestimmen'!$J$404:$J$434</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1.0329362563858773E-17</c:v>
                </c:pt>
                <c:pt idx="1">
                  <c:v>1.0329362563858772E-16</c:v>
                </c:pt>
                <c:pt idx="2">
                  <c:v>1.0329362563858772E-15</c:v>
                </c:pt>
                <c:pt idx="3">
                  <c:v>1.0329362563858773E-14</c:v>
                </c:pt>
                <c:pt idx="4">
                  <c:v>1.0329362563858772E-13</c:v>
                </c:pt>
                <c:pt idx="5">
                  <c:v>1.0329362563858772E-12</c:v>
                </c:pt>
                <c:pt idx="6">
                  <c:v>1.0329362563858773E-11</c:v>
                </c:pt>
                <c:pt idx="7">
                  <c:v>1.0329362563858773E-10</c:v>
                </c:pt>
                <c:pt idx="8">
                  <c:v>1.0329362563858771E-9</c:v>
                </c:pt>
                <c:pt idx="9">
                  <c:v>1.0329362563858773E-8</c:v>
                </c:pt>
                <c:pt idx="10">
                  <c:v>1.0329362563858774E-7</c:v>
                </c:pt>
                <c:pt idx="11">
                  <c:v>1.0329362563858774E-6</c:v>
                </c:pt>
                <c:pt idx="12">
                  <c:v>1.0329362563858773E-5</c:v>
                </c:pt>
                <c:pt idx="13">
                  <c:v>1.0329362563858773E-4</c:v>
                </c:pt>
                <c:pt idx="14">
                  <c:v>1.0329362563858773E-3</c:v>
                </c:pt>
                <c:pt idx="15">
                  <c:v>1.0329362563858772E-2</c:v>
                </c:pt>
                <c:pt idx="16">
                  <c:v>0.10329362563858772</c:v>
                </c:pt>
                <c:pt idx="17">
                  <c:v>1.0329362563858773</c:v>
                </c:pt>
                <c:pt idx="18">
                  <c:v>10.329362563858773</c:v>
                </c:pt>
                <c:pt idx="19">
                  <c:v>103.29362563858773</c:v>
                </c:pt>
                <c:pt idx="20">
                  <c:v>1032.9362563858772</c:v>
                </c:pt>
                <c:pt idx="21">
                  <c:v>10329.362563858773</c:v>
                </c:pt>
                <c:pt idx="22">
                  <c:v>103293.62563858772</c:v>
                </c:pt>
                <c:pt idx="23">
                  <c:v>1032936.2563858773</c:v>
                </c:pt>
                <c:pt idx="24">
                  <c:v>10329362.563858774</c:v>
                </c:pt>
                <c:pt idx="25">
                  <c:v>103293625.63858773</c:v>
                </c:pt>
                <c:pt idx="26">
                  <c:v>1032936256.3858773</c:v>
                </c:pt>
                <c:pt idx="27">
                  <c:v>10329362563.858772</c:v>
                </c:pt>
                <c:pt idx="28">
                  <c:v>103293625638.58772</c:v>
                </c:pt>
                <c:pt idx="29">
                  <c:v>1032936256385.8773</c:v>
                </c:pt>
                <c:pt idx="30">
                  <c:v>10329362563858.773</c:v>
                </c:pt>
              </c:numCache>
            </c:numRef>
          </c:xVal>
          <c:yVal>
            <c:numRef>
              <c:f>'Mastercurve bestimmen'!$K$404:$K$434</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1.2523295892544582E-16</c:v>
                </c:pt>
                <c:pt idx="1">
                  <c:v>1.2523295892544581E-15</c:v>
                </c:pt>
                <c:pt idx="2">
                  <c:v>1.2523295892544581E-14</c:v>
                </c:pt>
                <c:pt idx="3">
                  <c:v>1.2523295892544579E-13</c:v>
                </c:pt>
                <c:pt idx="4">
                  <c:v>1.2523295892544579E-12</c:v>
                </c:pt>
                <c:pt idx="5">
                  <c:v>1.2523295892544581E-11</c:v>
                </c:pt>
                <c:pt idx="6">
                  <c:v>1.2523295892544582E-10</c:v>
                </c:pt>
                <c:pt idx="7">
                  <c:v>1.252329589254458E-9</c:v>
                </c:pt>
                <c:pt idx="8">
                  <c:v>1.2523295892544581E-8</c:v>
                </c:pt>
                <c:pt idx="9">
                  <c:v>1.2523295892544581E-7</c:v>
                </c:pt>
                <c:pt idx="10">
                  <c:v>1.2523295892544582E-6</c:v>
                </c:pt>
                <c:pt idx="11">
                  <c:v>1.252329589254458E-5</c:v>
                </c:pt>
                <c:pt idx="12">
                  <c:v>1.252329589254458E-4</c:v>
                </c:pt>
                <c:pt idx="13">
                  <c:v>1.2523295892544581E-3</c:v>
                </c:pt>
                <c:pt idx="14">
                  <c:v>1.2523295892544582E-2</c:v>
                </c:pt>
                <c:pt idx="15">
                  <c:v>0.12523295892544581</c:v>
                </c:pt>
                <c:pt idx="16">
                  <c:v>1.2523295892544581</c:v>
                </c:pt>
                <c:pt idx="17">
                  <c:v>12.52329589254458</c:v>
                </c:pt>
                <c:pt idx="18">
                  <c:v>125.2329589254458</c:v>
                </c:pt>
                <c:pt idx="19">
                  <c:v>1252.3295892544581</c:v>
                </c:pt>
                <c:pt idx="20">
                  <c:v>12523.29589254458</c:v>
                </c:pt>
                <c:pt idx="21">
                  <c:v>125232.9589254458</c:v>
                </c:pt>
                <c:pt idx="22">
                  <c:v>1252329.589254458</c:v>
                </c:pt>
                <c:pt idx="23">
                  <c:v>12523295.892544581</c:v>
                </c:pt>
                <c:pt idx="24">
                  <c:v>125232958.92544581</c:v>
                </c:pt>
                <c:pt idx="25">
                  <c:v>1252329589.254458</c:v>
                </c:pt>
                <c:pt idx="26">
                  <c:v>12523295892.54458</c:v>
                </c:pt>
                <c:pt idx="27">
                  <c:v>125232958925.4458</c:v>
                </c:pt>
                <c:pt idx="28">
                  <c:v>1252329589254.458</c:v>
                </c:pt>
                <c:pt idx="29">
                  <c:v>12523295892544.58</c:v>
                </c:pt>
                <c:pt idx="30">
                  <c:v>125232958925445.8</c:v>
                </c:pt>
              </c:numCache>
            </c:numRef>
          </c:xVal>
          <c:yVal>
            <c:numRef>
              <c:f>'Mastercurve bestimmen'!$L$404:$L$434</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1.1548207640569057E-14</c:v>
                </c:pt>
                <c:pt idx="1">
                  <c:v>1.1548207640569057E-13</c:v>
                </c:pt>
                <c:pt idx="2">
                  <c:v>1.1548207640569057E-12</c:v>
                </c:pt>
                <c:pt idx="3">
                  <c:v>1.1548207640569056E-11</c:v>
                </c:pt>
                <c:pt idx="4">
                  <c:v>1.1548207640569056E-10</c:v>
                </c:pt>
                <c:pt idx="5">
                  <c:v>1.1548207640569057E-9</c:v>
                </c:pt>
                <c:pt idx="6">
                  <c:v>1.1548207640569057E-8</c:v>
                </c:pt>
                <c:pt idx="7">
                  <c:v>1.1548207640569057E-7</c:v>
                </c:pt>
                <c:pt idx="8">
                  <c:v>1.1548207640569057E-6</c:v>
                </c:pt>
                <c:pt idx="9">
                  <c:v>1.1548207640569056E-5</c:v>
                </c:pt>
                <c:pt idx="10">
                  <c:v>1.1548207640569057E-4</c:v>
                </c:pt>
                <c:pt idx="11">
                  <c:v>1.1548207640569056E-3</c:v>
                </c:pt>
                <c:pt idx="12">
                  <c:v>1.1548207640569057E-2</c:v>
                </c:pt>
                <c:pt idx="13">
                  <c:v>0.11548207640569057</c:v>
                </c:pt>
                <c:pt idx="14">
                  <c:v>1.1548207640569057</c:v>
                </c:pt>
                <c:pt idx="15">
                  <c:v>11.548207640569057</c:v>
                </c:pt>
                <c:pt idx="16">
                  <c:v>115.48207640569056</c:v>
                </c:pt>
                <c:pt idx="17">
                  <c:v>1154.8207640569055</c:v>
                </c:pt>
                <c:pt idx="18">
                  <c:v>11548.207640569057</c:v>
                </c:pt>
                <c:pt idx="19">
                  <c:v>115482.07640569056</c:v>
                </c:pt>
                <c:pt idx="20">
                  <c:v>1154820.7640569056</c:v>
                </c:pt>
                <c:pt idx="21">
                  <c:v>11548207.640569057</c:v>
                </c:pt>
                <c:pt idx="22">
                  <c:v>115482076.40569057</c:v>
                </c:pt>
                <c:pt idx="23">
                  <c:v>1154820764.0569057</c:v>
                </c:pt>
                <c:pt idx="24">
                  <c:v>11548207640.569057</c:v>
                </c:pt>
                <c:pt idx="25">
                  <c:v>115482076405.69057</c:v>
                </c:pt>
                <c:pt idx="26">
                  <c:v>1154820764056.9058</c:v>
                </c:pt>
                <c:pt idx="27">
                  <c:v>11548207640569.057</c:v>
                </c:pt>
                <c:pt idx="28">
                  <c:v>115482076405690.56</c:v>
                </c:pt>
                <c:pt idx="29">
                  <c:v>1154820764056905.7</c:v>
                </c:pt>
                <c:pt idx="30">
                  <c:v>1.1548207640569056E+16</c:v>
                </c:pt>
              </c:numCache>
            </c:numRef>
          </c:xVal>
          <c:yVal>
            <c:numRef>
              <c:f>'Mastercurve bestimmen'!$N$404:$N$434</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1.3013348298223226E-12</c:v>
                </c:pt>
                <c:pt idx="1">
                  <c:v>1.3013348298223225E-11</c:v>
                </c:pt>
                <c:pt idx="2">
                  <c:v>1.3013348298223226E-10</c:v>
                </c:pt>
                <c:pt idx="3">
                  <c:v>1.3013348298223225E-9</c:v>
                </c:pt>
                <c:pt idx="4">
                  <c:v>1.3013348298223225E-8</c:v>
                </c:pt>
                <c:pt idx="5">
                  <c:v>1.3013348298223226E-7</c:v>
                </c:pt>
                <c:pt idx="6">
                  <c:v>1.3013348298223226E-6</c:v>
                </c:pt>
                <c:pt idx="7">
                  <c:v>1.3013348298223225E-5</c:v>
                </c:pt>
                <c:pt idx="8">
                  <c:v>1.3013348298223225E-4</c:v>
                </c:pt>
                <c:pt idx="9">
                  <c:v>1.3013348298223225E-3</c:v>
                </c:pt>
                <c:pt idx="10">
                  <c:v>1.3013348298223227E-2</c:v>
                </c:pt>
                <c:pt idx="11">
                  <c:v>0.13013348298223226</c:v>
                </c:pt>
                <c:pt idx="12">
                  <c:v>1.3013348298223226</c:v>
                </c:pt>
                <c:pt idx="13">
                  <c:v>13.013348298223226</c:v>
                </c:pt>
                <c:pt idx="14">
                  <c:v>130.13348298223227</c:v>
                </c:pt>
                <c:pt idx="15">
                  <c:v>1301.3348298223225</c:v>
                </c:pt>
                <c:pt idx="16">
                  <c:v>13013.348298223225</c:v>
                </c:pt>
                <c:pt idx="17">
                  <c:v>130133.48298223225</c:v>
                </c:pt>
                <c:pt idx="18">
                  <c:v>1301334.8298223226</c:v>
                </c:pt>
                <c:pt idx="19">
                  <c:v>13013348.298223225</c:v>
                </c:pt>
                <c:pt idx="20">
                  <c:v>130133482.98223226</c:v>
                </c:pt>
                <c:pt idx="21">
                  <c:v>1301334829.8223226</c:v>
                </c:pt>
                <c:pt idx="22">
                  <c:v>13013348298.223225</c:v>
                </c:pt>
                <c:pt idx="23">
                  <c:v>130133482982.23225</c:v>
                </c:pt>
                <c:pt idx="24">
                  <c:v>1301334829822.3225</c:v>
                </c:pt>
                <c:pt idx="25">
                  <c:v>13013348298223.225</c:v>
                </c:pt>
                <c:pt idx="26">
                  <c:v>130133482982232.25</c:v>
                </c:pt>
                <c:pt idx="27">
                  <c:v>1301334829822322.5</c:v>
                </c:pt>
                <c:pt idx="28">
                  <c:v>1.3013348298223226E+16</c:v>
                </c:pt>
                <c:pt idx="29">
                  <c:v>1.3013348298223226E+17</c:v>
                </c:pt>
                <c:pt idx="30">
                  <c:v>1.3013348298223224E+18</c:v>
                </c:pt>
              </c:numCache>
            </c:numRef>
          </c:xVal>
          <c:yVal>
            <c:numRef>
              <c:f>'Mastercurve bestimmen'!$O$404:$O$434</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1.3840206684880857E-10</c:v>
                </c:pt>
                <c:pt idx="1">
                  <c:v>1.3840206684880855E-9</c:v>
                </c:pt>
                <c:pt idx="2">
                  <c:v>1.3840206684880856E-8</c:v>
                </c:pt>
                <c:pt idx="3">
                  <c:v>1.3840206684880854E-7</c:v>
                </c:pt>
                <c:pt idx="4">
                  <c:v>1.3840206684880854E-6</c:v>
                </c:pt>
                <c:pt idx="5">
                  <c:v>1.3840206684880856E-5</c:v>
                </c:pt>
                <c:pt idx="6">
                  <c:v>1.3840206684880856E-4</c:v>
                </c:pt>
                <c:pt idx="7">
                  <c:v>1.3840206684880855E-3</c:v>
                </c:pt>
                <c:pt idx="8">
                  <c:v>1.3840206684880854E-2</c:v>
                </c:pt>
                <c:pt idx="9">
                  <c:v>0.13840206684880854</c:v>
                </c:pt>
                <c:pt idx="10">
                  <c:v>1.3840206684880856</c:v>
                </c:pt>
                <c:pt idx="11">
                  <c:v>13.840206684880856</c:v>
                </c:pt>
                <c:pt idx="12">
                  <c:v>138.40206684880854</c:v>
                </c:pt>
                <c:pt idx="13">
                  <c:v>1384.0206684880857</c:v>
                </c:pt>
                <c:pt idx="14">
                  <c:v>13840.206684880855</c:v>
                </c:pt>
                <c:pt idx="15">
                  <c:v>138402.06684880855</c:v>
                </c:pt>
                <c:pt idx="16">
                  <c:v>1384020.6684880855</c:v>
                </c:pt>
                <c:pt idx="17">
                  <c:v>13840206.684880855</c:v>
                </c:pt>
                <c:pt idx="18">
                  <c:v>138402066.84880856</c:v>
                </c:pt>
                <c:pt idx="19">
                  <c:v>1384020668.4880855</c:v>
                </c:pt>
                <c:pt idx="20">
                  <c:v>13840206684.880856</c:v>
                </c:pt>
                <c:pt idx="21">
                  <c:v>138402066848.80856</c:v>
                </c:pt>
                <c:pt idx="22">
                  <c:v>1384020668488.0854</c:v>
                </c:pt>
                <c:pt idx="23">
                  <c:v>13840206684880.855</c:v>
                </c:pt>
                <c:pt idx="24">
                  <c:v>138402066848808.55</c:v>
                </c:pt>
                <c:pt idx="25">
                  <c:v>1384020668488085.5</c:v>
                </c:pt>
                <c:pt idx="26">
                  <c:v>1.3840206684880856E+16</c:v>
                </c:pt>
                <c:pt idx="27">
                  <c:v>1.3840206684880856E+17</c:v>
                </c:pt>
                <c:pt idx="28">
                  <c:v>1.3840206684880855E+18</c:v>
                </c:pt>
                <c:pt idx="29">
                  <c:v>1.3840206684880855E+19</c:v>
                </c:pt>
                <c:pt idx="30">
                  <c:v>1.3840206684880855E+20</c:v>
                </c:pt>
              </c:numCache>
            </c:numRef>
          </c:xVal>
          <c:yVal>
            <c:numRef>
              <c:f>'Mastercurve bestimmen'!$P$404:$P$434</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1"/>
        </c:ser>
        <c:dLbls>
          <c:showLegendKey val="0"/>
          <c:showVal val="0"/>
          <c:showCatName val="0"/>
          <c:showSerName val="0"/>
          <c:showPercent val="0"/>
          <c:showBubbleSize val="0"/>
        </c:dLbls>
        <c:axId val="445816392"/>
        <c:axId val="445815216"/>
      </c:scatterChart>
      <c:valAx>
        <c:axId val="44581639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815216"/>
        <c:crosses val="autoZero"/>
        <c:crossBetween val="midCat"/>
      </c:valAx>
      <c:valAx>
        <c:axId val="445815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816392"/>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2.5002704854355948E-19</c:v>
                </c:pt>
                <c:pt idx="1">
                  <c:v>2.5002704854355945E-18</c:v>
                </c:pt>
                <c:pt idx="2">
                  <c:v>2.5002704854355948E-17</c:v>
                </c:pt>
                <c:pt idx="3">
                  <c:v>2.5002704854355947E-16</c:v>
                </c:pt>
                <c:pt idx="4">
                  <c:v>2.5002704854355946E-15</c:v>
                </c:pt>
                <c:pt idx="5">
                  <c:v>2.5002704854355946E-14</c:v>
                </c:pt>
                <c:pt idx="6">
                  <c:v>2.5002704854355947E-13</c:v>
                </c:pt>
                <c:pt idx="7">
                  <c:v>2.5002704854355948E-12</c:v>
                </c:pt>
                <c:pt idx="8">
                  <c:v>2.5002704854355946E-11</c:v>
                </c:pt>
                <c:pt idx="9">
                  <c:v>2.5002704854355942E-10</c:v>
                </c:pt>
                <c:pt idx="10">
                  <c:v>2.5002704854355946E-9</c:v>
                </c:pt>
                <c:pt idx="11">
                  <c:v>2.5002704854355948E-8</c:v>
                </c:pt>
                <c:pt idx="12">
                  <c:v>2.5002704854355947E-7</c:v>
                </c:pt>
                <c:pt idx="13">
                  <c:v>2.5002704854355947E-6</c:v>
                </c:pt>
                <c:pt idx="14">
                  <c:v>2.5002704854355948E-5</c:v>
                </c:pt>
                <c:pt idx="15">
                  <c:v>2.5002704854355947E-4</c:v>
                </c:pt>
                <c:pt idx="16">
                  <c:v>2.5002704854355947E-3</c:v>
                </c:pt>
                <c:pt idx="17">
                  <c:v>2.5002704854355944E-2</c:v>
                </c:pt>
                <c:pt idx="18">
                  <c:v>0.25002704854355945</c:v>
                </c:pt>
                <c:pt idx="19">
                  <c:v>2.5002704854355944</c:v>
                </c:pt>
                <c:pt idx="20">
                  <c:v>25.002704854355947</c:v>
                </c:pt>
                <c:pt idx="21">
                  <c:v>250.02704854355946</c:v>
                </c:pt>
                <c:pt idx="22">
                  <c:v>2500.2704854355948</c:v>
                </c:pt>
                <c:pt idx="23">
                  <c:v>25002.704854355947</c:v>
                </c:pt>
                <c:pt idx="24">
                  <c:v>250027.04854355945</c:v>
                </c:pt>
                <c:pt idx="25">
                  <c:v>2500270.4854355948</c:v>
                </c:pt>
                <c:pt idx="26">
                  <c:v>25002704.854355946</c:v>
                </c:pt>
                <c:pt idx="27">
                  <c:v>250027048.54355946</c:v>
                </c:pt>
                <c:pt idx="28">
                  <c:v>2500270485.4355946</c:v>
                </c:pt>
                <c:pt idx="29">
                  <c:v>25002704854.355946</c:v>
                </c:pt>
                <c:pt idx="30">
                  <c:v>250027048543.55945</c:v>
                </c:pt>
              </c:numCache>
            </c:numRef>
          </c:xVal>
          <c:yVal>
            <c:numRef>
              <c:f>'Mastercurve bestimmen'!$J$404:$J$434</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1.0329362563858773E-17</c:v>
                </c:pt>
                <c:pt idx="1">
                  <c:v>1.0329362563858772E-16</c:v>
                </c:pt>
                <c:pt idx="2">
                  <c:v>1.0329362563858772E-15</c:v>
                </c:pt>
                <c:pt idx="3">
                  <c:v>1.0329362563858773E-14</c:v>
                </c:pt>
                <c:pt idx="4">
                  <c:v>1.0329362563858772E-13</c:v>
                </c:pt>
                <c:pt idx="5">
                  <c:v>1.0329362563858772E-12</c:v>
                </c:pt>
                <c:pt idx="6">
                  <c:v>1.0329362563858773E-11</c:v>
                </c:pt>
                <c:pt idx="7">
                  <c:v>1.0329362563858773E-10</c:v>
                </c:pt>
                <c:pt idx="8">
                  <c:v>1.0329362563858771E-9</c:v>
                </c:pt>
                <c:pt idx="9">
                  <c:v>1.0329362563858773E-8</c:v>
                </c:pt>
                <c:pt idx="10">
                  <c:v>1.0329362563858774E-7</c:v>
                </c:pt>
                <c:pt idx="11">
                  <c:v>1.0329362563858774E-6</c:v>
                </c:pt>
                <c:pt idx="12">
                  <c:v>1.0329362563858773E-5</c:v>
                </c:pt>
                <c:pt idx="13">
                  <c:v>1.0329362563858773E-4</c:v>
                </c:pt>
                <c:pt idx="14">
                  <c:v>1.0329362563858773E-3</c:v>
                </c:pt>
                <c:pt idx="15">
                  <c:v>1.0329362563858772E-2</c:v>
                </c:pt>
                <c:pt idx="16">
                  <c:v>0.10329362563858772</c:v>
                </c:pt>
                <c:pt idx="17">
                  <c:v>1.0329362563858773</c:v>
                </c:pt>
                <c:pt idx="18">
                  <c:v>10.329362563858773</c:v>
                </c:pt>
                <c:pt idx="19">
                  <c:v>103.29362563858773</c:v>
                </c:pt>
                <c:pt idx="20">
                  <c:v>1032.9362563858772</c:v>
                </c:pt>
                <c:pt idx="21">
                  <c:v>10329.362563858773</c:v>
                </c:pt>
                <c:pt idx="22">
                  <c:v>103293.62563858772</c:v>
                </c:pt>
                <c:pt idx="23">
                  <c:v>1032936.2563858773</c:v>
                </c:pt>
                <c:pt idx="24">
                  <c:v>10329362.563858774</c:v>
                </c:pt>
                <c:pt idx="25">
                  <c:v>103293625.63858773</c:v>
                </c:pt>
                <c:pt idx="26">
                  <c:v>1032936256.3858773</c:v>
                </c:pt>
                <c:pt idx="27">
                  <c:v>10329362563.858772</c:v>
                </c:pt>
                <c:pt idx="28">
                  <c:v>103293625638.58772</c:v>
                </c:pt>
                <c:pt idx="29">
                  <c:v>1032936256385.8773</c:v>
                </c:pt>
                <c:pt idx="30">
                  <c:v>10329362563858.773</c:v>
                </c:pt>
              </c:numCache>
            </c:numRef>
          </c:xVal>
          <c:yVal>
            <c:numRef>
              <c:f>'Mastercurve bestimmen'!$K$404:$K$434</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1.2523295892544582E-16</c:v>
                </c:pt>
                <c:pt idx="1">
                  <c:v>1.2523295892544581E-15</c:v>
                </c:pt>
                <c:pt idx="2">
                  <c:v>1.2523295892544581E-14</c:v>
                </c:pt>
                <c:pt idx="3">
                  <c:v>1.2523295892544579E-13</c:v>
                </c:pt>
                <c:pt idx="4">
                  <c:v>1.2523295892544579E-12</c:v>
                </c:pt>
                <c:pt idx="5">
                  <c:v>1.2523295892544581E-11</c:v>
                </c:pt>
                <c:pt idx="6">
                  <c:v>1.2523295892544582E-10</c:v>
                </c:pt>
                <c:pt idx="7">
                  <c:v>1.252329589254458E-9</c:v>
                </c:pt>
                <c:pt idx="8">
                  <c:v>1.2523295892544581E-8</c:v>
                </c:pt>
                <c:pt idx="9">
                  <c:v>1.2523295892544581E-7</c:v>
                </c:pt>
                <c:pt idx="10">
                  <c:v>1.2523295892544582E-6</c:v>
                </c:pt>
                <c:pt idx="11">
                  <c:v>1.252329589254458E-5</c:v>
                </c:pt>
                <c:pt idx="12">
                  <c:v>1.252329589254458E-4</c:v>
                </c:pt>
                <c:pt idx="13">
                  <c:v>1.2523295892544581E-3</c:v>
                </c:pt>
                <c:pt idx="14">
                  <c:v>1.2523295892544582E-2</c:v>
                </c:pt>
                <c:pt idx="15">
                  <c:v>0.12523295892544581</c:v>
                </c:pt>
                <c:pt idx="16">
                  <c:v>1.2523295892544581</c:v>
                </c:pt>
                <c:pt idx="17">
                  <c:v>12.52329589254458</c:v>
                </c:pt>
                <c:pt idx="18">
                  <c:v>125.2329589254458</c:v>
                </c:pt>
                <c:pt idx="19">
                  <c:v>1252.3295892544581</c:v>
                </c:pt>
                <c:pt idx="20">
                  <c:v>12523.29589254458</c:v>
                </c:pt>
                <c:pt idx="21">
                  <c:v>125232.9589254458</c:v>
                </c:pt>
                <c:pt idx="22">
                  <c:v>1252329.589254458</c:v>
                </c:pt>
                <c:pt idx="23">
                  <c:v>12523295.892544581</c:v>
                </c:pt>
                <c:pt idx="24">
                  <c:v>125232958.92544581</c:v>
                </c:pt>
                <c:pt idx="25">
                  <c:v>1252329589.254458</c:v>
                </c:pt>
                <c:pt idx="26">
                  <c:v>12523295892.54458</c:v>
                </c:pt>
                <c:pt idx="27">
                  <c:v>125232958925.4458</c:v>
                </c:pt>
                <c:pt idx="28">
                  <c:v>1252329589254.458</c:v>
                </c:pt>
                <c:pt idx="29">
                  <c:v>12523295892544.58</c:v>
                </c:pt>
                <c:pt idx="30">
                  <c:v>125232958925445.8</c:v>
                </c:pt>
              </c:numCache>
            </c:numRef>
          </c:xVal>
          <c:yVal>
            <c:numRef>
              <c:f>'Mastercurve bestimmen'!$L$404:$L$434</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1.1548207640569057E-14</c:v>
                </c:pt>
                <c:pt idx="1">
                  <c:v>1.1548207640569057E-13</c:v>
                </c:pt>
                <c:pt idx="2">
                  <c:v>1.1548207640569057E-12</c:v>
                </c:pt>
                <c:pt idx="3">
                  <c:v>1.1548207640569056E-11</c:v>
                </c:pt>
                <c:pt idx="4">
                  <c:v>1.1548207640569056E-10</c:v>
                </c:pt>
                <c:pt idx="5">
                  <c:v>1.1548207640569057E-9</c:v>
                </c:pt>
                <c:pt idx="6">
                  <c:v>1.1548207640569057E-8</c:v>
                </c:pt>
                <c:pt idx="7">
                  <c:v>1.1548207640569057E-7</c:v>
                </c:pt>
                <c:pt idx="8">
                  <c:v>1.1548207640569057E-6</c:v>
                </c:pt>
                <c:pt idx="9">
                  <c:v>1.1548207640569056E-5</c:v>
                </c:pt>
                <c:pt idx="10">
                  <c:v>1.1548207640569057E-4</c:v>
                </c:pt>
                <c:pt idx="11">
                  <c:v>1.1548207640569056E-3</c:v>
                </c:pt>
                <c:pt idx="12">
                  <c:v>1.1548207640569057E-2</c:v>
                </c:pt>
                <c:pt idx="13">
                  <c:v>0.11548207640569057</c:v>
                </c:pt>
                <c:pt idx="14">
                  <c:v>1.1548207640569057</c:v>
                </c:pt>
                <c:pt idx="15">
                  <c:v>11.548207640569057</c:v>
                </c:pt>
                <c:pt idx="16">
                  <c:v>115.48207640569056</c:v>
                </c:pt>
                <c:pt idx="17">
                  <c:v>1154.8207640569055</c:v>
                </c:pt>
                <c:pt idx="18">
                  <c:v>11548.207640569057</c:v>
                </c:pt>
                <c:pt idx="19">
                  <c:v>115482.07640569056</c:v>
                </c:pt>
                <c:pt idx="20">
                  <c:v>1154820.7640569056</c:v>
                </c:pt>
                <c:pt idx="21">
                  <c:v>11548207.640569057</c:v>
                </c:pt>
                <c:pt idx="22">
                  <c:v>115482076.40569057</c:v>
                </c:pt>
                <c:pt idx="23">
                  <c:v>1154820764.0569057</c:v>
                </c:pt>
                <c:pt idx="24">
                  <c:v>11548207640.569057</c:v>
                </c:pt>
                <c:pt idx="25">
                  <c:v>115482076405.69057</c:v>
                </c:pt>
                <c:pt idx="26">
                  <c:v>1154820764056.9058</c:v>
                </c:pt>
                <c:pt idx="27">
                  <c:v>11548207640569.057</c:v>
                </c:pt>
                <c:pt idx="28">
                  <c:v>115482076405690.56</c:v>
                </c:pt>
                <c:pt idx="29">
                  <c:v>1154820764056905.7</c:v>
                </c:pt>
                <c:pt idx="30">
                  <c:v>1.1548207640569056E+16</c:v>
                </c:pt>
              </c:numCache>
            </c:numRef>
          </c:xVal>
          <c:yVal>
            <c:numRef>
              <c:f>'Mastercurve bestimmen'!$N$404:$N$434</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1.3013348298223226E-12</c:v>
                </c:pt>
                <c:pt idx="1">
                  <c:v>1.3013348298223225E-11</c:v>
                </c:pt>
                <c:pt idx="2">
                  <c:v>1.3013348298223226E-10</c:v>
                </c:pt>
                <c:pt idx="3">
                  <c:v>1.3013348298223225E-9</c:v>
                </c:pt>
                <c:pt idx="4">
                  <c:v>1.3013348298223225E-8</c:v>
                </c:pt>
                <c:pt idx="5">
                  <c:v>1.3013348298223226E-7</c:v>
                </c:pt>
                <c:pt idx="6">
                  <c:v>1.3013348298223226E-6</c:v>
                </c:pt>
                <c:pt idx="7">
                  <c:v>1.3013348298223225E-5</c:v>
                </c:pt>
                <c:pt idx="8">
                  <c:v>1.3013348298223225E-4</c:v>
                </c:pt>
                <c:pt idx="9">
                  <c:v>1.3013348298223225E-3</c:v>
                </c:pt>
                <c:pt idx="10">
                  <c:v>1.3013348298223227E-2</c:v>
                </c:pt>
                <c:pt idx="11">
                  <c:v>0.13013348298223226</c:v>
                </c:pt>
                <c:pt idx="12">
                  <c:v>1.3013348298223226</c:v>
                </c:pt>
                <c:pt idx="13">
                  <c:v>13.013348298223226</c:v>
                </c:pt>
                <c:pt idx="14">
                  <c:v>130.13348298223227</c:v>
                </c:pt>
                <c:pt idx="15">
                  <c:v>1301.3348298223225</c:v>
                </c:pt>
                <c:pt idx="16">
                  <c:v>13013.348298223225</c:v>
                </c:pt>
                <c:pt idx="17">
                  <c:v>130133.48298223225</c:v>
                </c:pt>
                <c:pt idx="18">
                  <c:v>1301334.8298223226</c:v>
                </c:pt>
                <c:pt idx="19">
                  <c:v>13013348.298223225</c:v>
                </c:pt>
                <c:pt idx="20">
                  <c:v>130133482.98223226</c:v>
                </c:pt>
                <c:pt idx="21">
                  <c:v>1301334829.8223226</c:v>
                </c:pt>
                <c:pt idx="22">
                  <c:v>13013348298.223225</c:v>
                </c:pt>
                <c:pt idx="23">
                  <c:v>130133482982.23225</c:v>
                </c:pt>
                <c:pt idx="24">
                  <c:v>1301334829822.3225</c:v>
                </c:pt>
                <c:pt idx="25">
                  <c:v>13013348298223.225</c:v>
                </c:pt>
                <c:pt idx="26">
                  <c:v>130133482982232.25</c:v>
                </c:pt>
                <c:pt idx="27">
                  <c:v>1301334829822322.5</c:v>
                </c:pt>
                <c:pt idx="28">
                  <c:v>1.3013348298223226E+16</c:v>
                </c:pt>
                <c:pt idx="29">
                  <c:v>1.3013348298223226E+17</c:v>
                </c:pt>
                <c:pt idx="30">
                  <c:v>1.3013348298223224E+18</c:v>
                </c:pt>
              </c:numCache>
            </c:numRef>
          </c:xVal>
          <c:yVal>
            <c:numRef>
              <c:f>'Mastercurve bestimmen'!$O$404:$O$434</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1.3840206684880857E-10</c:v>
                </c:pt>
                <c:pt idx="1">
                  <c:v>1.3840206684880855E-9</c:v>
                </c:pt>
                <c:pt idx="2">
                  <c:v>1.3840206684880856E-8</c:v>
                </c:pt>
                <c:pt idx="3">
                  <c:v>1.3840206684880854E-7</c:v>
                </c:pt>
                <c:pt idx="4">
                  <c:v>1.3840206684880854E-6</c:v>
                </c:pt>
                <c:pt idx="5">
                  <c:v>1.3840206684880856E-5</c:v>
                </c:pt>
                <c:pt idx="6">
                  <c:v>1.3840206684880856E-4</c:v>
                </c:pt>
                <c:pt idx="7">
                  <c:v>1.3840206684880855E-3</c:v>
                </c:pt>
                <c:pt idx="8">
                  <c:v>1.3840206684880854E-2</c:v>
                </c:pt>
                <c:pt idx="9">
                  <c:v>0.13840206684880854</c:v>
                </c:pt>
                <c:pt idx="10">
                  <c:v>1.3840206684880856</c:v>
                </c:pt>
                <c:pt idx="11">
                  <c:v>13.840206684880856</c:v>
                </c:pt>
                <c:pt idx="12">
                  <c:v>138.40206684880854</c:v>
                </c:pt>
                <c:pt idx="13">
                  <c:v>1384.0206684880857</c:v>
                </c:pt>
                <c:pt idx="14">
                  <c:v>13840.206684880855</c:v>
                </c:pt>
                <c:pt idx="15">
                  <c:v>138402.06684880855</c:v>
                </c:pt>
                <c:pt idx="16">
                  <c:v>1384020.6684880855</c:v>
                </c:pt>
                <c:pt idx="17">
                  <c:v>13840206.684880855</c:v>
                </c:pt>
                <c:pt idx="18">
                  <c:v>138402066.84880856</c:v>
                </c:pt>
                <c:pt idx="19">
                  <c:v>1384020668.4880855</c:v>
                </c:pt>
                <c:pt idx="20">
                  <c:v>13840206684.880856</c:v>
                </c:pt>
                <c:pt idx="21">
                  <c:v>138402066848.80856</c:v>
                </c:pt>
                <c:pt idx="22">
                  <c:v>1384020668488.0854</c:v>
                </c:pt>
                <c:pt idx="23">
                  <c:v>13840206684880.855</c:v>
                </c:pt>
                <c:pt idx="24">
                  <c:v>138402066848808.55</c:v>
                </c:pt>
                <c:pt idx="25">
                  <c:v>1384020668488085.5</c:v>
                </c:pt>
                <c:pt idx="26">
                  <c:v>1.3840206684880856E+16</c:v>
                </c:pt>
                <c:pt idx="27">
                  <c:v>1.3840206684880856E+17</c:v>
                </c:pt>
                <c:pt idx="28">
                  <c:v>1.3840206684880855E+18</c:v>
                </c:pt>
                <c:pt idx="29">
                  <c:v>1.3840206684880855E+19</c:v>
                </c:pt>
                <c:pt idx="30">
                  <c:v>1.3840206684880855E+20</c:v>
                </c:pt>
              </c:numCache>
            </c:numRef>
          </c:xVal>
          <c:yVal>
            <c:numRef>
              <c:f>'Mastercurve bestimmen'!$P$404:$P$434</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1"/>
        </c:ser>
        <c:dLbls>
          <c:showLegendKey val="0"/>
          <c:showVal val="0"/>
          <c:showCatName val="0"/>
          <c:showSerName val="0"/>
          <c:showPercent val="0"/>
          <c:showBubbleSize val="0"/>
        </c:dLbls>
        <c:axId val="445816000"/>
        <c:axId val="445817176"/>
      </c:scatterChart>
      <c:valAx>
        <c:axId val="44581600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817176"/>
        <c:crosses val="autoZero"/>
        <c:crossBetween val="midCat"/>
      </c:valAx>
      <c:valAx>
        <c:axId val="445817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816000"/>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-8.2939414517803574</c:v>
                </c:pt>
                <c:pt idx="1">
                  <c:v>-8.2268435930639505</c:v>
                </c:pt>
                <c:pt idx="2">
                  <c:v>-8.1596484301826209</c:v>
                </c:pt>
                <c:pt idx="3">
                  <c:v>-8.092258658971442</c:v>
                </c:pt>
                <c:pt idx="4">
                  <c:v>-8.0245769752654894</c:v>
                </c:pt>
                <c:pt idx="5">
                  <c:v>-7.9565060748998402</c:v>
                </c:pt>
                <c:pt idx="6">
                  <c:v>-7.8879486537095662</c:v>
                </c:pt>
                <c:pt idx="7">
                  <c:v>-7.8188074075297456</c:v>
                </c:pt>
                <c:pt idx="8">
                  <c:v>-7.7489850321954528</c:v>
                </c:pt>
                <c:pt idx="9">
                  <c:v>-7.678384223541765</c:v>
                </c:pt>
                <c:pt idx="10">
                  <c:v>-7.6069076774037558</c:v>
                </c:pt>
                <c:pt idx="11">
                  <c:v>-7.5344580896165008</c:v>
                </c:pt>
                <c:pt idx="12">
                  <c:v>-7.4609381560150769</c:v>
                </c:pt>
                <c:pt idx="13">
                  <c:v>-7.386250572434558</c:v>
                </c:pt>
                <c:pt idx="14">
                  <c:v>-7.3102980347100202</c:v>
                </c:pt>
                <c:pt idx="15">
                  <c:v>-7.2329832386765389</c:v>
                </c:pt>
                <c:pt idx="16">
                  <c:v>-7.1542088801691897</c:v>
                </c:pt>
                <c:pt idx="17">
                  <c:v>-7.0738776550230469</c:v>
                </c:pt>
                <c:pt idx="18">
                  <c:v>-6.9918922590731878</c:v>
                </c:pt>
                <c:pt idx="19">
                  <c:v>-6.9081553881546878</c:v>
                </c:pt>
                <c:pt idx="20">
                  <c:v>-6.8225697381026222</c:v>
                </c:pt>
                <c:pt idx="21">
                  <c:v>-6.7350380047520648</c:v>
                </c:pt>
                <c:pt idx="22">
                  <c:v>-6.6454628839380927</c:v>
                </c:pt>
                <c:pt idx="23">
                  <c:v>-6.5537470714957813</c:v>
                </c:pt>
                <c:pt idx="24">
                  <c:v>-6.459793263260206</c:v>
                </c:pt>
                <c:pt idx="25">
                  <c:v>-6.3635041550664404</c:v>
                </c:pt>
                <c:pt idx="26">
                  <c:v>-6.2647824427495635</c:v>
                </c:pt>
                <c:pt idx="27">
                  <c:v>-6.1635308221446472</c:v>
                </c:pt>
                <c:pt idx="28">
                  <c:v>-6.0596519890867686</c:v>
                </c:pt>
                <c:pt idx="29">
                  <c:v>-5.9530486394110032</c:v>
                </c:pt>
                <c:pt idx="30">
                  <c:v>-5.8436234689524271</c:v>
                </c:pt>
                <c:pt idx="31">
                  <c:v>-5.731279173546115</c:v>
                </c:pt>
                <c:pt idx="32">
                  <c:v>-5.6159184490271423</c:v>
                </c:pt>
                <c:pt idx="33">
                  <c:v>-5.4974439912305852</c:v>
                </c:pt>
                <c:pt idx="34">
                  <c:v>-5.3757584959915174</c:v>
                </c:pt>
                <c:pt idx="35">
                  <c:v>-5.2507646591450161</c:v>
                </c:pt>
                <c:pt idx="36">
                  <c:v>-5.1223651765261566</c:v>
                </c:pt>
                <c:pt idx="37">
                  <c:v>-4.9904627439700135</c:v>
                </c:pt>
                <c:pt idx="38">
                  <c:v>-4.8549600573116622</c:v>
                </c:pt>
                <c:pt idx="39">
                  <c:v>-4.7157598123861799</c:v>
                </c:pt>
                <c:pt idx="40">
                  <c:v>-4.5727647050286402</c:v>
                </c:pt>
                <c:pt idx="41">
                  <c:v>-4.4950428380138359</c:v>
                </c:pt>
                <c:pt idx="42">
                  <c:v>-4.4136655396152014</c:v>
                </c:pt>
                <c:pt idx="43">
                  <c:v>-4.3288695450458885</c:v>
                </c:pt>
                <c:pt idx="44">
                  <c:v>-4.2408915895190473</c:v>
                </c:pt>
                <c:pt idx="45">
                  <c:v>-4.1499684082478296</c:v>
                </c:pt>
                <c:pt idx="46">
                  <c:v>-4.0563367364453864</c:v>
                </c:pt>
                <c:pt idx="47">
                  <c:v>-3.9602333093248689</c:v>
                </c:pt>
                <c:pt idx="48">
                  <c:v>-3.8618948620994287</c:v>
                </c:pt>
                <c:pt idx="49">
                  <c:v>-3.7615581299822156</c:v>
                </c:pt>
                <c:pt idx="50">
                  <c:v>-3.659459848186382</c:v>
                </c:pt>
                <c:pt idx="51">
                  <c:v>-3.5558367519250789</c:v>
                </c:pt>
                <c:pt idx="52">
                  <c:v>-3.4509255764114566</c:v>
                </c:pt>
                <c:pt idx="53">
                  <c:v>-3.3449630568586675</c:v>
                </c:pt>
                <c:pt idx="54">
                  <c:v>-3.2381859284798615</c:v>
                </c:pt>
                <c:pt idx="55">
                  <c:v>-3.1308309264881906</c:v>
                </c:pt>
                <c:pt idx="56">
                  <c:v>-3.0231347860968061</c:v>
                </c:pt>
                <c:pt idx="57">
                  <c:v>-2.9153342425188584</c:v>
                </c:pt>
                <c:pt idx="58">
                  <c:v>-2.807666030967499</c:v>
                </c:pt>
                <c:pt idx="59">
                  <c:v>-2.7003668866558792</c:v>
                </c:pt>
                <c:pt idx="60">
                  <c:v>-2.59367354479715</c:v>
                </c:pt>
                <c:pt idx="61">
                  <c:v>-2.4878227406044626</c:v>
                </c:pt>
                <c:pt idx="62">
                  <c:v>-2.3830512092909677</c:v>
                </c:pt>
                <c:pt idx="63">
                  <c:v>-2.279595686069817</c:v>
                </c:pt>
                <c:pt idx="64">
                  <c:v>-2.1776929061541614</c:v>
                </c:pt>
                <c:pt idx="65">
                  <c:v>-2.0775796047571524</c:v>
                </c:pt>
                <c:pt idx="66">
                  <c:v>-1.9794381952943818</c:v>
                </c:pt>
                <c:pt idx="67">
                  <c:v>-1.883233803991206</c:v>
                </c:pt>
                <c:pt idx="68">
                  <c:v>-1.7888772352754221</c:v>
                </c:pt>
                <c:pt idx="69">
                  <c:v>-1.6962792935748277</c:v>
                </c:pt>
                <c:pt idx="70">
                  <c:v>-1.6053507833172196</c:v>
                </c:pt>
                <c:pt idx="71">
                  <c:v>-1.5160025089303952</c:v>
                </c:pt>
                <c:pt idx="72">
                  <c:v>-1.4281452748421517</c:v>
                </c:pt>
                <c:pt idx="73">
                  <c:v>-1.3416898854802868</c:v>
                </c:pt>
                <c:pt idx="74">
                  <c:v>-1.2565471452725974</c:v>
                </c:pt>
                <c:pt idx="75">
                  <c:v>-1.1726278586468808</c:v>
                </c:pt>
                <c:pt idx="76">
                  <c:v>-1.0898428300309342</c:v>
                </c:pt>
                <c:pt idx="77">
                  <c:v>-1.0081028638525549</c:v>
                </c:pt>
                <c:pt idx="78">
                  <c:v>-0.9273187645395401</c:v>
                </c:pt>
                <c:pt idx="79">
                  <c:v>-0.84740133651968719</c:v>
                </c:pt>
                <c:pt idx="80">
                  <c:v>-0.76826138422079338</c:v>
                </c:pt>
                <c:pt idx="81">
                  <c:v>-0.68980971207065567</c:v>
                </c:pt>
                <c:pt idx="82">
                  <c:v>-0.61195712449707174</c:v>
                </c:pt>
                <c:pt idx="83">
                  <c:v>-0.5346144259278387</c:v>
                </c:pt>
                <c:pt idx="84">
                  <c:v>-0.45769242079075367</c:v>
                </c:pt>
                <c:pt idx="85">
                  <c:v>-0.38110191351361405</c:v>
                </c:pt>
                <c:pt idx="86">
                  <c:v>-0.30475370852421696</c:v>
                </c:pt>
                <c:pt idx="87">
                  <c:v>-0.22855861025035978</c:v>
                </c:pt>
                <c:pt idx="88">
                  <c:v>-0.15242742311983976</c:v>
                </c:pt>
                <c:pt idx="89">
                  <c:v>-7.6270951560454048E-2</c:v>
                </c:pt>
                <c:pt idx="90">
                  <c:v>0</c:v>
                </c:pt>
                <c:pt idx="91">
                  <c:v>7.6462136706201278E-2</c:v>
                </c:pt>
                <c:pt idx="92">
                  <c:v>0.15314220199273307</c:v>
                </c:pt>
                <c:pt idx="93">
                  <c:v>0.2300544488666548</c:v>
                </c:pt>
                <c:pt idx="94">
                  <c:v>0.30721313033502584</c:v>
                </c:pt>
                <c:pt idx="95">
                  <c:v>0.38463249940490568</c:v>
                </c:pt>
                <c:pt idx="96">
                  <c:v>0.46232680908335366</c:v>
                </c:pt>
                <c:pt idx="97">
                  <c:v>0.5403103123774291</c:v>
                </c:pt>
                <c:pt idx="98">
                  <c:v>0.61859726229419176</c:v>
                </c:pt>
                <c:pt idx="99">
                  <c:v>0.69720191184070068</c:v>
                </c:pt>
                <c:pt idx="100">
                  <c:v>0.77613851402401535</c:v>
                </c:pt>
                <c:pt idx="101">
                  <c:v>0.85542132185119524</c:v>
                </c:pt>
                <c:pt idx="102">
                  <c:v>0.93506458832929984</c:v>
                </c:pt>
                <c:pt idx="103">
                  <c:v>1.0150825664653884</c:v>
                </c:pt>
                <c:pt idx="104">
                  <c:v>1.0954895092665202</c:v>
                </c:pt>
                <c:pt idx="105">
                  <c:v>1.1762996697397552</c:v>
                </c:pt>
                <c:pt idx="106">
                  <c:v>1.2575273008921524</c:v>
                </c:pt>
                <c:pt idx="107">
                  <c:v>1.3391866557307712</c:v>
                </c:pt>
                <c:pt idx="108">
                  <c:v>1.421291987262671</c:v>
                </c:pt>
                <c:pt idx="109">
                  <c:v>1.5038575484949113</c:v>
                </c:pt>
                <c:pt idx="110">
                  <c:v>1.5868975924345514</c:v>
                </c:pt>
                <c:pt idx="111">
                  <c:v>1.6704263720886512</c:v>
                </c:pt>
                <c:pt idx="112">
                  <c:v>1.7544581404642692</c:v>
                </c:pt>
                <c:pt idx="113">
                  <c:v>1.8390071505684655</c:v>
                </c:pt>
                <c:pt idx="114">
                  <c:v>1.9240876554082995</c:v>
                </c:pt>
                <c:pt idx="115">
                  <c:v>2.0097139079908306</c:v>
                </c:pt>
                <c:pt idx="116">
                  <c:v>2.0959001613231178</c:v>
                </c:pt>
                <c:pt idx="117">
                  <c:v>2.1826606684122205</c:v>
                </c:pt>
                <c:pt idx="118">
                  <c:v>2.2700096822651985</c:v>
                </c:pt>
                <c:pt idx="119">
                  <c:v>2.3579614558891113</c:v>
                </c:pt>
                <c:pt idx="120">
                  <c:v>2.446530242291018</c:v>
                </c:pt>
                <c:pt idx="121">
                  <c:v>2.5357288601783212</c:v>
                </c:pt>
                <c:pt idx="122">
                  <c:v>2.6255643910597954</c:v>
                </c:pt>
                <c:pt idx="123">
                  <c:v>2.7160424821445588</c:v>
                </c:pt>
                <c:pt idx="124">
                  <c:v>2.8071687806417285</c:v>
                </c:pt>
                <c:pt idx="125">
                  <c:v>2.8989489337604231</c:v>
                </c:pt>
                <c:pt idx="126">
                  <c:v>2.9913885887097598</c:v>
                </c:pt>
                <c:pt idx="127">
                  <c:v>3.0844933926988558</c:v>
                </c:pt>
                <c:pt idx="128">
                  <c:v>3.1782689929368306</c:v>
                </c:pt>
                <c:pt idx="129">
                  <c:v>3.2727210366328001</c:v>
                </c:pt>
                <c:pt idx="130">
                  <c:v>3.3678551709958833</c:v>
                </c:pt>
                <c:pt idx="131">
                  <c:v>3.4636770432351973</c:v>
                </c:pt>
                <c:pt idx="132">
                  <c:v>3.5601923005598599</c:v>
                </c:pt>
                <c:pt idx="133">
                  <c:v>3.6574065901789892</c:v>
                </c:pt>
                <c:pt idx="134">
                  <c:v>3.7553255593017028</c:v>
                </c:pt>
                <c:pt idx="135">
                  <c:v>3.8539548551371183</c:v>
                </c:pt>
                <c:pt idx="136">
                  <c:v>3.953300124894354</c:v>
                </c:pt>
                <c:pt idx="137">
                  <c:v>4.053367015782527</c:v>
                </c:pt>
                <c:pt idx="138">
                  <c:v>4.1541611750107554</c:v>
                </c:pt>
                <c:pt idx="139">
                  <c:v>4.2556882497881574</c:v>
                </c:pt>
                <c:pt idx="140">
                  <c:v>4.3579538873238493</c:v>
                </c:pt>
                <c:pt idx="141">
                  <c:v>4.4609637348269509</c:v>
                </c:pt>
                <c:pt idx="142">
                  <c:v>4.5647234395065777</c:v>
                </c:pt>
                <c:pt idx="143">
                  <c:v>4.6692386485718496</c:v>
                </c:pt>
                <c:pt idx="144">
                  <c:v>4.774515009231882</c:v>
                </c:pt>
                <c:pt idx="145">
                  <c:v>4.8805581686957957</c:v>
                </c:pt>
                <c:pt idx="146">
                  <c:v>4.9873737741727062</c:v>
                </c:pt>
                <c:pt idx="147">
                  <c:v>5.0949674728717316</c:v>
                </c:pt>
                <c:pt idx="148">
                  <c:v>5.2033449120019899</c:v>
                </c:pt>
                <c:pt idx="149">
                  <c:v>5.3125117387725993</c:v>
                </c:pt>
                <c:pt idx="150">
                  <c:v>5.422473600392677</c:v>
                </c:pt>
                <c:pt idx="151">
                  <c:v>5.5332361440713411</c:v>
                </c:pt>
                <c:pt idx="152">
                  <c:v>5.6448050170177089</c:v>
                </c:pt>
                <c:pt idx="153">
                  <c:v>5.7571858664408992</c:v>
                </c:pt>
                <c:pt idx="154">
                  <c:v>5.8703843395500286</c:v>
                </c:pt>
                <c:pt idx="155">
                  <c:v>5.9844060835542141</c:v>
                </c:pt>
                <c:pt idx="156">
                  <c:v>6.0992567456625757</c:v>
                </c:pt>
                <c:pt idx="157">
                  <c:v>6.2149419730842306</c:v>
                </c:pt>
                <c:pt idx="158">
                  <c:v>6.3314674130282951</c:v>
                </c:pt>
                <c:pt idx="159">
                  <c:v>6.4488387127038882</c:v>
                </c:pt>
                <c:pt idx="160">
                  <c:v>6.5670615193201272</c:v>
                </c:pt>
                <c:pt idx="161">
                  <c:v>6.686141480086131</c:v>
                </c:pt>
                <c:pt idx="162">
                  <c:v>6.806084242211015</c:v>
                </c:pt>
                <c:pt idx="163">
                  <c:v>6.9268954529038993</c:v>
                </c:pt>
                <c:pt idx="164">
                  <c:v>7.0485807593739001</c:v>
                </c:pt>
                <c:pt idx="165">
                  <c:v>7.1711458088301363</c:v>
                </c:pt>
                <c:pt idx="166">
                  <c:v>7.294591091136418</c:v>
                </c:pt>
                <c:pt idx="167">
                  <c:v>7.418896466775327</c:v>
                </c:pt>
                <c:pt idx="168">
                  <c:v>7.5440366388841413</c:v>
                </c:pt>
                <c:pt idx="169">
                  <c:v>7.6699863106001347</c:v>
                </c:pt>
                <c:pt idx="170">
                  <c:v>7.7967201850605825</c:v>
                </c:pt>
                <c:pt idx="171">
                  <c:v>7.924212965402762</c:v>
                </c:pt>
                <c:pt idx="172">
                  <c:v>8.0524393547639477</c:v>
                </c:pt>
                <c:pt idx="173">
                  <c:v>8.1813740562814168</c:v>
                </c:pt>
                <c:pt idx="174">
                  <c:v>8.3109917730924412</c:v>
                </c:pt>
                <c:pt idx="175">
                  <c:v>8.4412672083343008</c:v>
                </c:pt>
                <c:pt idx="176">
                  <c:v>8.5721750651442683</c:v>
                </c:pt>
                <c:pt idx="177">
                  <c:v>8.7036900466596201</c:v>
                </c:pt>
                <c:pt idx="178">
                  <c:v>8.8357868560176342</c:v>
                </c:pt>
                <c:pt idx="179">
                  <c:v>8.9684401963555835</c:v>
                </c:pt>
                <c:pt idx="180">
                  <c:v>9.1016247708107443</c:v>
                </c:pt>
                <c:pt idx="181">
                  <c:v>9.2353152825203928</c:v>
                </c:pt>
                <c:pt idx="182">
                  <c:v>9.3694864346218036</c:v>
                </c:pt>
                <c:pt idx="183">
                  <c:v>9.5041129302522513</c:v>
                </c:pt>
                <c:pt idx="184">
                  <c:v>9.6391694725490158</c:v>
                </c:pt>
                <c:pt idx="185">
                  <c:v>9.7746307646493698</c:v>
                </c:pt>
                <c:pt idx="186">
                  <c:v>9.910471509690586</c:v>
                </c:pt>
                <c:pt idx="187">
                  <c:v>10.046666410809946</c:v>
                </c:pt>
                <c:pt idx="188">
                  <c:v>10.183190171144723</c:v>
                </c:pt>
                <c:pt idx="189">
                  <c:v>10.320017493832191</c:v>
                </c:pt>
                <c:pt idx="190">
                  <c:v>10.457123082009627</c:v>
                </c:pt>
                <c:pt idx="191">
                  <c:v>10.594481638814308</c:v>
                </c:pt>
                <c:pt idx="192">
                  <c:v>10.732067867383508</c:v>
                </c:pt>
                <c:pt idx="193">
                  <c:v>10.869856470854502</c:v>
                </c:pt>
                <c:pt idx="194">
                  <c:v>11.007822152364566</c:v>
                </c:pt>
                <c:pt idx="195">
                  <c:v>11.145939615050978</c:v>
                </c:pt>
                <c:pt idx="196">
                  <c:v>11.284183562051011</c:v>
                </c:pt>
                <c:pt idx="197">
                  <c:v>11.42252869650194</c:v>
                </c:pt>
                <c:pt idx="198">
                  <c:v>11.560949721541045</c:v>
                </c:pt>
                <c:pt idx="199">
                  <c:v>11.699421340305596</c:v>
                </c:pt>
                <c:pt idx="200">
                  <c:v>11.837918255932873</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-8.2939414517803574</c:v>
                </c:pt>
                <c:pt idx="1">
                  <c:v>-4.5727647050286402</c:v>
                </c:pt>
                <c:pt idx="2">
                  <c:v>-2.0775796047571524</c:v>
                </c:pt>
                <c:pt idx="3">
                  <c:v>0</c:v>
                </c:pt>
                <c:pt idx="4">
                  <c:v>2.446530242291018</c:v>
                </c:pt>
                <c:pt idx="5">
                  <c:v>7.1711458088301363</c:v>
                </c:pt>
                <c:pt idx="6">
                  <c:v>11.837918255932872</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pt idx="181">
                  <c:v>91</c:v>
                </c:pt>
                <c:pt idx="182">
                  <c:v>92</c:v>
                </c:pt>
                <c:pt idx="183">
                  <c:v>93</c:v>
                </c:pt>
                <c:pt idx="184">
                  <c:v>94</c:v>
                </c:pt>
                <c:pt idx="185">
                  <c:v>95</c:v>
                </c:pt>
                <c:pt idx="186">
                  <c:v>96</c:v>
                </c:pt>
                <c:pt idx="187">
                  <c:v>97</c:v>
                </c:pt>
                <c:pt idx="188">
                  <c:v>98</c:v>
                </c:pt>
                <c:pt idx="189">
                  <c:v>99</c:v>
                </c:pt>
                <c:pt idx="190">
                  <c:v>100</c:v>
                </c:pt>
                <c:pt idx="191">
                  <c:v>101</c:v>
                </c:pt>
                <c:pt idx="192">
                  <c:v>102</c:v>
                </c:pt>
                <c:pt idx="193">
                  <c:v>103</c:v>
                </c:pt>
                <c:pt idx="194">
                  <c:v>104</c:v>
                </c:pt>
                <c:pt idx="195">
                  <c:v>105</c:v>
                </c:pt>
                <c:pt idx="196">
                  <c:v>106</c:v>
                </c:pt>
                <c:pt idx="197">
                  <c:v>107</c:v>
                </c:pt>
                <c:pt idx="198">
                  <c:v>108</c:v>
                </c:pt>
                <c:pt idx="199">
                  <c:v>109</c:v>
                </c:pt>
                <c:pt idx="200">
                  <c:v>110</c:v>
                </c:pt>
              </c:numCache>
            </c:numRef>
          </c:xVal>
          <c:yVal>
            <c:numRef>
              <c:f>'Shiftfunktion bestimmen'!$F$222:$F$422</c:f>
              <c:numCache>
                <c:formatCode>General</c:formatCode>
                <c:ptCount val="201"/>
                <c:pt idx="0">
                  <c:v>-8.2726238661702531</c:v>
                </c:pt>
                <c:pt idx="1">
                  <c:v>-8.2116022921399558</c:v>
                </c:pt>
                <c:pt idx="2">
                  <c:v>-8.1504774820525796</c:v>
                </c:pt>
                <c:pt idx="3">
                  <c:v>-8.0889277394618144</c:v>
                </c:pt>
                <c:pt idx="4">
                  <c:v>-8.0266668110546302</c:v>
                </c:pt>
                <c:pt idx="5">
                  <c:v>-7.9634418222492354</c:v>
                </c:pt>
                <c:pt idx="6">
                  <c:v>-7.899031287100633</c:v>
                </c:pt>
                <c:pt idx="7">
                  <c:v>-7.8332431909206273</c:v>
                </c:pt>
                <c:pt idx="8">
                  <c:v>-7.7659131440348332</c:v>
                </c:pt>
                <c:pt idx="9">
                  <c:v>-7.6969026051151861</c:v>
                </c:pt>
                <c:pt idx="10">
                  <c:v>-7.6260971725422833</c:v>
                </c:pt>
                <c:pt idx="11">
                  <c:v>-7.5534049422677692</c:v>
                </c:pt>
                <c:pt idx="12">
                  <c:v>-7.4787549306628005</c:v>
                </c:pt>
                <c:pt idx="13">
                  <c:v>-7.4020955608544963</c:v>
                </c:pt>
                <c:pt idx="14">
                  <c:v>-7.3233932110682023</c:v>
                </c:pt>
                <c:pt idx="15">
                  <c:v>-7.2426308235091339</c:v>
                </c:pt>
                <c:pt idx="16">
                  <c:v>-7.1598065723329478</c:v>
                </c:pt>
                <c:pt idx="17">
                  <c:v>-7.074932589270567</c:v>
                </c:pt>
                <c:pt idx="18">
                  <c:v>-6.9880337454885018</c:v>
                </c:pt>
                <c:pt idx="19">
                  <c:v>-6.8991464882817022</c:v>
                </c:pt>
                <c:pt idx="20">
                  <c:v>-6.8083177312119156</c:v>
                </c:pt>
                <c:pt idx="21">
                  <c:v>-6.7156037963203357</c:v>
                </c:pt>
                <c:pt idx="22">
                  <c:v>-6.6210694070591591</c:v>
                </c:pt>
                <c:pt idx="23">
                  <c:v>-6.5247867306026404</c:v>
                </c:pt>
                <c:pt idx="24">
                  <c:v>-6.4268344682139373</c:v>
                </c:pt>
                <c:pt idx="25">
                  <c:v>-6.3272969923600391</c:v>
                </c:pt>
                <c:pt idx="26">
                  <c:v>-6.2262635292828543</c:v>
                </c:pt>
                <c:pt idx="27">
                  <c:v>-6.1238273857503955</c:v>
                </c:pt>
                <c:pt idx="28">
                  <c:v>-6.0200852187279024</c:v>
                </c:pt>
                <c:pt idx="29">
                  <c:v>-5.9151363467245659</c:v>
                </c:pt>
                <c:pt idx="30">
                  <c:v>-5.8090821015873813</c:v>
                </c:pt>
                <c:pt idx="31">
                  <c:v>-5.7020252195295278</c:v>
                </c:pt>
                <c:pt idx="32">
                  <c:v>-5.5940692701965355</c:v>
                </c:pt>
                <c:pt idx="33">
                  <c:v>-5.4853181225893515</c:v>
                </c:pt>
                <c:pt idx="34">
                  <c:v>-5.3758754466792569</c:v>
                </c:pt>
                <c:pt idx="35">
                  <c:v>-5.2658442495655171</c:v>
                </c:pt>
                <c:pt idx="36">
                  <c:v>-5.1553264450423999</c:v>
                </c:pt>
                <c:pt idx="37">
                  <c:v>-5.0444224554581583</c:v>
                </c:pt>
                <c:pt idx="38">
                  <c:v>-4.933230844764374</c:v>
                </c:pt>
                <c:pt idx="39">
                  <c:v>-4.8218479816699329</c:v>
                </c:pt>
                <c:pt idx="40">
                  <c:v>-4.7103677318297725</c:v>
                </c:pt>
                <c:pt idx="41">
                  <c:v>-4.5988811780143939</c:v>
                </c:pt>
                <c:pt idx="42">
                  <c:v>-4.4874763672219835</c:v>
                </c:pt>
                <c:pt idx="43">
                  <c:v>-4.3762380837108612</c:v>
                </c:pt>
                <c:pt idx="44">
                  <c:v>-4.2652476469458387</c:v>
                </c:pt>
                <c:pt idx="45">
                  <c:v>-4.1545827334678975</c:v>
                </c:pt>
                <c:pt idx="46">
                  <c:v>-4.0443172217124994</c:v>
                </c:pt>
                <c:pt idx="47">
                  <c:v>-3.9345210588176691</c:v>
                </c:pt>
                <c:pt idx="48">
                  <c:v>-3.8252601484788769</c:v>
                </c:pt>
                <c:pt idx="49">
                  <c:v>-3.716596258923567</c:v>
                </c:pt>
                <c:pt idx="50">
                  <c:v>-3.6085869500940944</c:v>
                </c:pt>
                <c:pt idx="51">
                  <c:v>-3.5012855191436332</c:v>
                </c:pt>
                <c:pt idx="52">
                  <c:v>-3.3947409633655372</c:v>
                </c:pt>
                <c:pt idx="53">
                  <c:v>-3.2889979596924372</c:v>
                </c:pt>
                <c:pt idx="54">
                  <c:v>-3.1840968599172603</c:v>
                </c:pt>
                <c:pt idx="55">
                  <c:v>-3.0800737008042147</c:v>
                </c:pt>
                <c:pt idx="56">
                  <c:v>-2.9769602282735921</c:v>
                </c:pt>
                <c:pt idx="57">
                  <c:v>-2.8747839348601918</c:v>
                </c:pt>
                <c:pt idx="58">
                  <c:v>-2.7735681096609333</c:v>
                </c:pt>
                <c:pt idx="59">
                  <c:v>-2.6733319000031508</c:v>
                </c:pt>
                <c:pt idx="60">
                  <c:v>-2.5740903840808986</c:v>
                </c:pt>
                <c:pt idx="61">
                  <c:v>-2.4758546538224513</c:v>
                </c:pt>
                <c:pt idx="62">
                  <c:v>-2.3786319072680517</c:v>
                </c:pt>
                <c:pt idx="63">
                  <c:v>-2.2824255497528272</c:v>
                </c:pt>
                <c:pt idx="64">
                  <c:v>-2.1872353032056298</c:v>
                </c:pt>
                <c:pt idx="65">
                  <c:v>-2.0930573228904379</c:v>
                </c:pt>
                <c:pt idx="66">
                  <c:v>-1.9998843209328112</c:v>
                </c:pt>
                <c:pt idx="67">
                  <c:v>-1.9077056959897534</c:v>
                </c:pt>
                <c:pt idx="68">
                  <c:v>-1.8165076684371737</c:v>
                </c:pt>
                <c:pt idx="69">
                  <c:v>-1.726273420465041</c:v>
                </c:pt>
                <c:pt idx="70">
                  <c:v>-1.6369832404861506</c:v>
                </c:pt>
                <c:pt idx="71">
                  <c:v>-1.5486146712802855</c:v>
                </c:pt>
                <c:pt idx="72">
                  <c:v>-1.4611426613114347</c:v>
                </c:pt>
                <c:pt idx="73">
                  <c:v>-1.3745397186715751</c:v>
                </c:pt>
                <c:pt idx="74">
                  <c:v>-1.2887760671203763</c:v>
                </c:pt>
                <c:pt idx="75">
                  <c:v>-1.2038198037060768</c:v>
                </c:pt>
                <c:pt idx="76">
                  <c:v>-1.1196370574685999</c:v>
                </c:pt>
                <c:pt idx="77">
                  <c:v>-1.0361921487418755</c:v>
                </c:pt>
                <c:pt idx="78">
                  <c:v>-0.95344774858816739</c:v>
                </c:pt>
                <c:pt idx="79">
                  <c:v>-0.87136503791307851</c:v>
                </c:pt>
                <c:pt idx="80">
                  <c:v>-0.789903865825763</c:v>
                </c:pt>
                <c:pt idx="81">
                  <c:v>-0.7090229068247329</c:v>
                </c:pt>
                <c:pt idx="82">
                  <c:v>-0.62867981640550852</c:v>
                </c:pt>
                <c:pt idx="83">
                  <c:v>-0.54883138470222281</c:v>
                </c:pt>
                <c:pt idx="84">
                  <c:v>-0.46943368779114508</c:v>
                </c:pt>
                <c:pt idx="85">
                  <c:v>-0.3904422362999565</c:v>
                </c:pt>
                <c:pt idx="86">
                  <c:v>-0.31181212098246142</c:v>
                </c:pt>
                <c:pt idx="87">
                  <c:v>-0.23349815493428633</c:v>
                </c:pt>
                <c:pt idx="88">
                  <c:v>-0.15545501214097318</c:v>
                </c:pt>
                <c:pt idx="89">
                  <c:v>-7.7637362065734641E-2</c:v>
                </c:pt>
                <c:pt idx="90">
                  <c:v>0</c:v>
                </c:pt>
                <c:pt idx="91">
                  <c:v>7.7502027084260502E-2</c:v>
                </c:pt>
                <c:pt idx="92">
                  <c:v>0.1549132994255854</c:v>
                </c:pt>
                <c:pt idx="93">
                  <c:v>0.23227790833673845</c:v>
                </c:pt>
                <c:pt idx="94">
                  <c:v>0.3096393452545228</c:v>
                </c:pt>
                <c:pt idx="95">
                  <c:v>0.38704039617326808</c:v>
                </c:pt>
                <c:pt idx="96">
                  <c:v>0.46452304164370012</c:v>
                </c:pt>
                <c:pt idx="97">
                  <c:v>0.54212836250304774</c:v>
                </c:pt>
                <c:pt idx="98">
                  <c:v>0.61989645148637917</c:v>
                </c:pt>
                <c:pt idx="99">
                  <c:v>0.69786633085330285</c:v>
                </c:pt>
                <c:pt idx="100">
                  <c:v>0.77607587614829987</c:v>
                </c:pt>
                <c:pt idx="101">
                  <c:v>0.85456174619710812</c:v>
                </c:pt>
                <c:pt idx="102">
                  <c:v>0.93335931942570927</c:v>
                </c:pt>
                <c:pt idx="103">
                  <c:v>1.012502636572608</c:v>
                </c:pt>
                <c:pt idx="104">
                  <c:v>1.0920243498492435</c:v>
                </c:pt>
                <c:pt idx="105">
                  <c:v>1.1719556785874989</c:v>
                </c:pt>
                <c:pt idx="106">
                  <c:v>1.2523263713974351</c:v>
                </c:pt>
                <c:pt idx="107">
                  <c:v>1.3331646748424815</c:v>
                </c:pt>
                <c:pt idx="108">
                  <c:v>1.4144973086235049</c:v>
                </c:pt>
                <c:pt idx="109">
                  <c:v>1.4963494472472656</c:v>
                </c:pt>
                <c:pt idx="110">
                  <c:v>1.5787447081389503</c:v>
                </c:pt>
                <c:pt idx="111">
                  <c:v>1.6617051461425878</c:v>
                </c:pt>
                <c:pt idx="112">
                  <c:v>1.7452512543373087</c:v>
                </c:pt>
                <c:pt idx="113">
                  <c:v>1.8294019710815368</c:v>
                </c:pt>
                <c:pt idx="114">
                  <c:v>1.9141746931813513</c:v>
                </c:pt>
                <c:pt idx="115">
                  <c:v>1.9995852950633892</c:v>
                </c:pt>
                <c:pt idx="116">
                  <c:v>2.0856481538168126</c:v>
                </c:pt>
                <c:pt idx="117">
                  <c:v>2.1723761799529813</c:v>
                </c:pt>
                <c:pt idx="118">
                  <c:v>2.2597808537156401</c:v>
                </c:pt>
                <c:pt idx="119">
                  <c:v>2.3478722667585448</c:v>
                </c:pt>
                <c:pt idx="120">
                  <c:v>2.4366591689916079</c:v>
                </c:pt>
                <c:pt idx="121">
                  <c:v>2.5261490203807786</c:v>
                </c:pt>
                <c:pt idx="122">
                  <c:v>2.6163480474710057</c:v>
                </c:pt>
                <c:pt idx="123">
                  <c:v>2.7072613043857956</c:v>
                </c:pt>
                <c:pt idx="124">
                  <c:v>2.7988927380409763</c:v>
                </c:pt>
                <c:pt idx="125">
                  <c:v>2.8912452572944649</c:v>
                </c:pt>
                <c:pt idx="126">
                  <c:v>2.9843208057379478</c:v>
                </c:pt>
                <c:pt idx="127">
                  <c:v>3.0781204378205183</c:v>
                </c:pt>
                <c:pt idx="128">
                  <c:v>3.1726443979784804</c:v>
                </c:pt>
                <c:pt idx="129">
                  <c:v>3.2678922024296604</c:v>
                </c:pt>
                <c:pt idx="130">
                  <c:v>3.3638627232746727</c:v>
                </c:pt>
                <c:pt idx="131">
                  <c:v>3.4605542745317992</c:v>
                </c:pt>
                <c:pt idx="132">
                  <c:v>3.5579646997161976</c:v>
                </c:pt>
                <c:pt idx="133">
                  <c:v>3.6560914605583639</c:v>
                </c:pt>
                <c:pt idx="134">
                  <c:v>3.754931726440867</c:v>
                </c:pt>
                <c:pt idx="135">
                  <c:v>3.8544824641165469</c:v>
                </c:pt>
                <c:pt idx="136">
                  <c:v>3.954740527255479</c:v>
                </c:pt>
                <c:pt idx="137">
                  <c:v>4.0557027453521783</c:v>
                </c:pt>
                <c:pt idx="138">
                  <c:v>4.1573660115086151</c:v>
                </c:pt>
                <c:pt idx="139">
                  <c:v>4.2597273685928139</c:v>
                </c:pt>
                <c:pt idx="140">
                  <c:v>4.3627840932568711</c:v>
                </c:pt>
                <c:pt idx="141">
                  <c:v>4.4665337772824518</c:v>
                </c:pt>
                <c:pt idx="142">
                  <c:v>4.5709744057058899</c:v>
                </c:pt>
                <c:pt idx="143">
                  <c:v>4.6761044311592004</c:v>
                </c:pt>
                <c:pt idx="144">
                  <c:v>4.781922843847453</c:v>
                </c:pt>
                <c:pt idx="145">
                  <c:v>4.8884292365670587</c:v>
                </c:pt>
                <c:pt idx="146">
                  <c:v>4.9956238641537114</c:v>
                </c:pt>
                <c:pt idx="147">
                  <c:v>5.1035076967328337</c:v>
                </c:pt>
                <c:pt idx="148">
                  <c:v>5.2120824661295222</c:v>
                </c:pt>
                <c:pt idx="149">
                  <c:v>5.3213507047791264</c:v>
                </c:pt>
                <c:pt idx="150">
                  <c:v>5.4313157764637543</c:v>
                </c:pt>
                <c:pt idx="151">
                  <c:v>5.5419818981841118</c:v>
                </c:pt>
                <c:pt idx="152">
                  <c:v>5.6533541524602233</c:v>
                </c:pt>
                <c:pt idx="153">
                  <c:v>5.7654384893387682</c:v>
                </c:pt>
                <c:pt idx="154">
                  <c:v>5.8782417173688346</c:v>
                </c:pt>
                <c:pt idx="155">
                  <c:v>5.9917714827920685</c:v>
                </c:pt>
                <c:pt idx="156">
                  <c:v>6.106036236177391</c:v>
                </c:pt>
                <c:pt idx="157">
                  <c:v>6.2210451857144555</c:v>
                </c:pt>
                <c:pt idx="158">
                  <c:v>6.3368082363643294</c:v>
                </c:pt>
                <c:pt idx="159">
                  <c:v>6.4533359140498741</c:v>
                </c:pt>
                <c:pt idx="160">
                  <c:v>6.5706392740525521</c:v>
                </c:pt>
                <c:pt idx="161">
                  <c:v>6.6887297927664315</c:v>
                </c:pt>
                <c:pt idx="162">
                  <c:v>6.8076192419443986</c:v>
                </c:pt>
                <c:pt idx="163">
                  <c:v>6.9273195445556404</c:v>
                </c:pt>
                <c:pt idx="164">
                  <c:v>7.0478426113576491</c:v>
                </c:pt>
                <c:pt idx="165">
                  <c:v>7.1692001572701232</c:v>
                </c:pt>
                <c:pt idx="166">
                  <c:v>7.2914034966223067</c:v>
                </c:pt>
                <c:pt idx="167">
                  <c:v>7.4144633163293854</c:v>
                </c:pt>
                <c:pt idx="168">
                  <c:v>7.5383894260377904</c:v>
                </c:pt>
                <c:pt idx="169">
                  <c:v>7.6631904842633016</c:v>
                </c:pt>
                <c:pt idx="170">
                  <c:v>7.7888736995300549</c:v>
                </c:pt>
                <c:pt idx="171">
                  <c:v>7.9154445055026859</c:v>
                </c:pt>
                <c:pt idx="172">
                  <c:v>8.0429062090879384</c:v>
                </c:pt>
                <c:pt idx="173">
                  <c:v>8.1712596104662634</c:v>
                </c:pt>
                <c:pt idx="174">
                  <c:v>8.3005025939980381</c:v>
                </c:pt>
                <c:pt idx="175">
                  <c:v>8.430629688933184</c:v>
                </c:pt>
                <c:pt idx="176">
                  <c:v>8.5616315988371259</c:v>
                </c:pt>
                <c:pt idx="177">
                  <c:v>8.6934946986301114</c:v>
                </c:pt>
                <c:pt idx="178">
                  <c:v>8.8262004981211408</c:v>
                </c:pt>
                <c:pt idx="179">
                  <c:v>8.9597250709017917</c:v>
                </c:pt>
                <c:pt idx="180">
                  <c:v>9.0940384474494884</c:v>
                </c:pt>
                <c:pt idx="181">
                  <c:v>9.2291039712737888</c:v>
                </c:pt>
                <c:pt idx="182">
                  <c:v>9.3648776169234331</c:v>
                </c:pt>
                <c:pt idx="183">
                  <c:v>9.5013072686561291</c:v>
                </c:pt>
                <c:pt idx="184">
                  <c:v>9.6383319585570355</c:v>
                </c:pt>
                <c:pt idx="185">
                  <c:v>9.775881062876195</c:v>
                </c:pt>
                <c:pt idx="186">
                  <c:v>9.913873455339159</c:v>
                </c:pt>
                <c:pt idx="187">
                  <c:v>10.052216616169355</c:v>
                </c:pt>
                <c:pt idx="188">
                  <c:v>10.19080569554473</c:v>
                </c:pt>
                <c:pt idx="189">
                  <c:v>10.329522530195446</c:v>
                </c:pt>
                <c:pt idx="190">
                  <c:v>10.468234611833489</c:v>
                </c:pt>
                <c:pt idx="191">
                  <c:v>10.606794006089258</c:v>
                </c:pt>
                <c:pt idx="192">
                  <c:v>10.745036220614189</c:v>
                </c:pt>
                <c:pt idx="193">
                  <c:v>10.88277902099292</c:v>
                </c:pt>
                <c:pt idx="194">
                  <c:v>11.019821193092152</c:v>
                </c:pt>
                <c:pt idx="195">
                  <c:v>11.155941250458079</c:v>
                </c:pt>
                <c:pt idx="196">
                  <c:v>11.290896085357916</c:v>
                </c:pt>
                <c:pt idx="197">
                  <c:v>11.424419562045445</c:v>
                </c:pt>
                <c:pt idx="198">
                  <c:v>11.556221050814628</c:v>
                </c:pt>
                <c:pt idx="199">
                  <c:v>11.685983901389346</c:v>
                </c:pt>
                <c:pt idx="200">
                  <c:v>11.813363854181608</c:v>
                </c:pt>
              </c:numCache>
            </c:numRef>
          </c:yVal>
          <c:smooth val="1"/>
        </c:ser>
        <c:dLbls>
          <c:showLegendKey val="0"/>
          <c:showVal val="0"/>
          <c:showCatName val="0"/>
          <c:showSerName val="0"/>
          <c:showPercent val="0"/>
          <c:showBubbleSize val="0"/>
        </c:dLbls>
        <c:axId val="445819920"/>
        <c:axId val="445816784"/>
      </c:scatterChart>
      <c:valAx>
        <c:axId val="445819920"/>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816784"/>
        <c:crossesAt val="-1000"/>
        <c:crossBetween val="midCat"/>
      </c:valAx>
      <c:valAx>
        <c:axId val="445816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819920"/>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abSelected="1"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151</v>
      </c>
    </row>
    <row r="22" spans="1:2" s="11" customFormat="1" x14ac:dyDescent="0.25">
      <c r="A22" s="61" t="s">
        <v>156</v>
      </c>
      <c r="B22" s="99">
        <f>CTE!N8-0.5</f>
        <v>161</v>
      </c>
    </row>
    <row r="23" spans="1:2" s="11" customFormat="1" x14ac:dyDescent="0.25">
      <c r="A23" s="61" t="s">
        <v>157</v>
      </c>
      <c r="B23" s="99">
        <f>CTE!N9</f>
        <v>180.5</v>
      </c>
    </row>
    <row r="24" spans="1:2" s="11" customFormat="1" x14ac:dyDescent="0.25"/>
    <row r="25" spans="1:2" s="11" customFormat="1" x14ac:dyDescent="0.25">
      <c r="A25" s="61" t="s">
        <v>146</v>
      </c>
      <c r="B25" s="53">
        <f>CTE!O5</f>
        <v>1.9566746857142857E-5</v>
      </c>
    </row>
    <row r="26" spans="1:2" s="11" customFormat="1" x14ac:dyDescent="0.25">
      <c r="A26" s="61" t="s">
        <v>147</v>
      </c>
      <c r="B26" s="53">
        <f>CTE!O6</f>
        <v>2.1190465714285718E-5</v>
      </c>
    </row>
    <row r="27" spans="1:2" s="11" customFormat="1" x14ac:dyDescent="0.25">
      <c r="A27" s="61" t="s">
        <v>148</v>
      </c>
      <c r="B27" s="53">
        <f>CTE!O8</f>
        <v>5.3153978285714289E-5</v>
      </c>
    </row>
    <row r="28" spans="1:2" s="11" customFormat="1" x14ac:dyDescent="0.25">
      <c r="A28" s="61" t="s">
        <v>149</v>
      </c>
      <c r="B28" s="53">
        <f>CTE!O9</f>
        <v>5.310945314285715E-5</v>
      </c>
    </row>
    <row r="29" spans="1:2" s="11" customFormat="1" x14ac:dyDescent="0.25">
      <c r="A29" s="61"/>
    </row>
    <row r="30" spans="1:2" s="11" customFormat="1" x14ac:dyDescent="0.25">
      <c r="A30" s="61" t="s">
        <v>150</v>
      </c>
      <c r="B30" s="52">
        <f>CTE!P5</f>
        <v>1.9838334999999999E-5</v>
      </c>
    </row>
    <row r="31" spans="1:2" s="11" customFormat="1" x14ac:dyDescent="0.25">
      <c r="A31" s="61" t="s">
        <v>151</v>
      </c>
      <c r="B31" s="52">
        <f>CTE!P6</f>
        <v>2.1019518444444445E-5</v>
      </c>
    </row>
    <row r="32" spans="1:2" s="11" customFormat="1" x14ac:dyDescent="0.25">
      <c r="A32" s="61" t="s">
        <v>152</v>
      </c>
      <c r="B32" s="52">
        <f>CTE!P8</f>
        <v>4.2214975555555561E-5</v>
      </c>
    </row>
    <row r="33" spans="1:2" s="11" customFormat="1" x14ac:dyDescent="0.25">
      <c r="A33" s="61" t="s">
        <v>153</v>
      </c>
      <c r="B33" s="52">
        <f>CTE!P9</f>
        <v>4.2465003333333332E-5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323.14999999999998</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7.7562229513781805E-2</v>
      </c>
      <c r="D59" s="55">
        <v>1</v>
      </c>
    </row>
    <row r="60" spans="1:4" s="11" customFormat="1" x14ac:dyDescent="0.25">
      <c r="A60" s="54">
        <v>2</v>
      </c>
      <c r="B60" s="56">
        <f>'Shiftfunktion bestimmen'!N2</f>
        <v>-6.7651930201528238E-5</v>
      </c>
      <c r="D60" s="55">
        <v>2</v>
      </c>
    </row>
    <row r="61" spans="1:4" s="11" customFormat="1" x14ac:dyDescent="0.25">
      <c r="A61" s="54">
        <v>3</v>
      </c>
      <c r="B61" s="56">
        <f>'Shiftfunktion bestimmen'!N3</f>
        <v>7.4660503085432684E-6</v>
      </c>
      <c r="D61" s="55">
        <v>3</v>
      </c>
    </row>
    <row r="62" spans="1:4" s="11" customFormat="1" x14ac:dyDescent="0.25">
      <c r="A62" s="54">
        <v>4</v>
      </c>
      <c r="B62" s="56">
        <f>'Shiftfunktion bestimmen'!N4</f>
        <v>-1.5567447143458268E-8</v>
      </c>
      <c r="D62" s="55">
        <v>4</v>
      </c>
    </row>
    <row r="63" spans="1:4" s="11" customFormat="1" x14ac:dyDescent="0.25">
      <c r="A63" s="54">
        <v>5</v>
      </c>
      <c r="B63" s="56">
        <f>'Shiftfunktion bestimmen'!N5</f>
        <v>-9.8913670445838329E-10</v>
      </c>
      <c r="D63" s="55">
        <v>5</v>
      </c>
    </row>
    <row r="64" spans="1:4" s="11" customFormat="1" x14ac:dyDescent="0.25">
      <c r="A64" s="54">
        <v>6</v>
      </c>
      <c r="B64" s="56">
        <f>'Shiftfunktion bestimmen'!N6</f>
        <v>6.9119879224358693E-12</v>
      </c>
      <c r="D64" s="55">
        <v>6</v>
      </c>
    </row>
    <row r="65" spans="1:5" s="11" customFormat="1" x14ac:dyDescent="0.25">
      <c r="A65" s="54">
        <v>7</v>
      </c>
      <c r="B65" s="56">
        <f>'Shiftfunktion bestimmen'!N7</f>
        <v>4.3921111589846697E-14</v>
      </c>
      <c r="D65" s="55">
        <v>7</v>
      </c>
    </row>
    <row r="66" spans="1:5" x14ac:dyDescent="0.25">
      <c r="A66" s="54">
        <v>8</v>
      </c>
      <c r="B66" s="56">
        <f>'Shiftfunktion bestimmen'!N8</f>
        <v>-3.9335066685635537E-16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6.0818814685214426E-2</v>
      </c>
      <c r="D74" s="51">
        <v>1</v>
      </c>
      <c r="E74" s="56">
        <f>'Mastercurve bestimmen'!A18</f>
        <v>1.0000000000000001E-20</v>
      </c>
    </row>
    <row r="75" spans="1:5" x14ac:dyDescent="0.25">
      <c r="A75" s="50">
        <f>A74+1</f>
        <v>2</v>
      </c>
      <c r="B75" s="56">
        <f>'Mastercurve bestimmen'!C19</f>
        <v>3.2502922737788244E-2</v>
      </c>
      <c r="D75" s="51">
        <v>2</v>
      </c>
      <c r="E75" s="56">
        <f>'Mastercurve bestimmen'!A19</f>
        <v>3.9038946506297401E-14</v>
      </c>
    </row>
    <row r="76" spans="1:5" x14ac:dyDescent="0.25">
      <c r="A76" s="50">
        <f t="shared" ref="A76:A104" si="0">A75+1</f>
        <v>3</v>
      </c>
      <c r="B76" s="56">
        <f>'Mastercurve bestimmen'!C20</f>
        <v>1.4783428778769918E-2</v>
      </c>
      <c r="D76" s="51">
        <v>3</v>
      </c>
      <c r="E76" s="56">
        <f>'Mastercurve bestimmen'!A20</f>
        <v>4.3276437088188502E-13</v>
      </c>
    </row>
    <row r="77" spans="1:5" x14ac:dyDescent="0.25">
      <c r="A77" s="50">
        <f t="shared" si="0"/>
        <v>4</v>
      </c>
      <c r="B77" s="56">
        <f>'Mastercurve bestimmen'!C21</f>
        <v>2.1843297489483837E-2</v>
      </c>
      <c r="D77" s="51">
        <v>4</v>
      </c>
      <c r="E77" s="56">
        <f>'Mastercurve bestimmen'!A21</f>
        <v>4.7973886968128502E-12</v>
      </c>
    </row>
    <row r="78" spans="1:5" x14ac:dyDescent="0.25">
      <c r="A78" s="50">
        <f t="shared" si="0"/>
        <v>5</v>
      </c>
      <c r="B78" s="56">
        <f>'Mastercurve bestimmen'!C22</f>
        <v>2.6598405322694214E-2</v>
      </c>
      <c r="D78" s="51">
        <v>5</v>
      </c>
      <c r="E78" s="56">
        <f>'Mastercurve bestimmen'!A22</f>
        <v>5.31812225239524E-11</v>
      </c>
    </row>
    <row r="79" spans="1:5" x14ac:dyDescent="0.25">
      <c r="A79" s="50">
        <f t="shared" si="0"/>
        <v>6</v>
      </c>
      <c r="B79" s="56">
        <f>'Mastercurve bestimmen'!C23</f>
        <v>2.1793095916779019E-2</v>
      </c>
      <c r="D79" s="51">
        <v>6</v>
      </c>
      <c r="E79" s="56">
        <f>'Mastercurve bestimmen'!A23</f>
        <v>5.8953789402578301E-10</v>
      </c>
    </row>
    <row r="80" spans="1:5" x14ac:dyDescent="0.25">
      <c r="A80" s="50">
        <f t="shared" si="0"/>
        <v>7</v>
      </c>
      <c r="B80" s="56">
        <f>'Mastercurve bestimmen'!C24</f>
        <v>2.3921660763558773E-2</v>
      </c>
      <c r="D80" s="51">
        <v>7</v>
      </c>
      <c r="E80" s="56">
        <f>'Mastercurve bestimmen'!A24</f>
        <v>6.5352940755699598E-9</v>
      </c>
    </row>
    <row r="81" spans="1:5" x14ac:dyDescent="0.25">
      <c r="A81" s="50">
        <f t="shared" si="0"/>
        <v>8</v>
      </c>
      <c r="B81" s="56">
        <f>'Mastercurve bestimmen'!C25</f>
        <v>2.6315529169812158E-2</v>
      </c>
      <c r="D81" s="51">
        <v>8</v>
      </c>
      <c r="E81" s="56">
        <f>'Mastercurve bestimmen'!A25</f>
        <v>7.2446689325643296E-8</v>
      </c>
    </row>
    <row r="82" spans="1:5" x14ac:dyDescent="0.25">
      <c r="A82" s="50">
        <f t="shared" si="0"/>
        <v>9</v>
      </c>
      <c r="B82" s="56">
        <f>'Mastercurve bestimmen'!C26</f>
        <v>3.4157201972414897E-2</v>
      </c>
      <c r="D82" s="51">
        <f>A82</f>
        <v>9</v>
      </c>
      <c r="E82" s="56">
        <f>'Mastercurve bestimmen'!A26</f>
        <v>8.03104303120212E-7</v>
      </c>
    </row>
    <row r="83" spans="1:5" x14ac:dyDescent="0.25">
      <c r="A83" s="50">
        <f t="shared" si="0"/>
        <v>10</v>
      </c>
      <c r="B83" s="56">
        <f>'Mastercurve bestimmen'!C27</f>
        <v>3.3563265451217059E-2</v>
      </c>
      <c r="C83" s="11"/>
      <c r="D83" s="51">
        <f t="shared" ref="D83:D104" si="1">A83</f>
        <v>10</v>
      </c>
      <c r="E83" s="56">
        <f>'Mastercurve bestimmen'!A27</f>
        <v>8.9027742702096099E-6</v>
      </c>
    </row>
    <row r="84" spans="1:5" x14ac:dyDescent="0.25">
      <c r="A84" s="50">
        <f t="shared" si="0"/>
        <v>11</v>
      </c>
      <c r="B84" s="56">
        <f>'Mastercurve bestimmen'!C28</f>
        <v>2.5958709058904409E-2</v>
      </c>
      <c r="C84" s="11"/>
      <c r="D84" s="51">
        <f t="shared" si="1"/>
        <v>11</v>
      </c>
      <c r="E84" s="56">
        <f>'Mastercurve bestimmen'!A28</f>
        <v>9.86912775817142E-5</v>
      </c>
    </row>
    <row r="85" spans="1:5" x14ac:dyDescent="0.25">
      <c r="A85" s="50">
        <f t="shared" si="0"/>
        <v>12</v>
      </c>
      <c r="B85" s="56">
        <f>'Mastercurve bestimmen'!C29</f>
        <v>2.4505487924861576E-2</v>
      </c>
      <c r="C85" s="11"/>
      <c r="D85" s="51">
        <f t="shared" si="1"/>
        <v>12</v>
      </c>
      <c r="E85" s="56">
        <f>'Mastercurve bestimmen'!A29</f>
        <v>1.0940374286813801E-3</v>
      </c>
    </row>
    <row r="86" spans="1:5" x14ac:dyDescent="0.25">
      <c r="A86" s="50">
        <f t="shared" si="0"/>
        <v>13</v>
      </c>
      <c r="B86" s="56">
        <f>'Mastercurve bestimmen'!C30</f>
        <v>2.7040912958719819E-2</v>
      </c>
      <c r="C86" s="11"/>
      <c r="D86" s="51">
        <f t="shared" si="1"/>
        <v>13</v>
      </c>
      <c r="E86" s="56">
        <f>'Mastercurve bestimmen'!A30</f>
        <v>1.2127899493091E-2</v>
      </c>
    </row>
    <row r="87" spans="1:5" x14ac:dyDescent="0.25">
      <c r="A87" s="50">
        <f t="shared" si="0"/>
        <v>14</v>
      </c>
      <c r="B87" s="56">
        <f>'Mastercurve bestimmen'!C31</f>
        <v>2.4600371351709248E-2</v>
      </c>
      <c r="C87" s="11"/>
      <c r="D87" s="51">
        <f t="shared" si="1"/>
        <v>14</v>
      </c>
      <c r="E87" s="56">
        <f>'Mastercurve bestimmen'!A31</f>
        <v>0.13444324870292301</v>
      </c>
    </row>
    <row r="88" spans="1:5" x14ac:dyDescent="0.25">
      <c r="A88" s="50">
        <f t="shared" si="0"/>
        <v>15</v>
      </c>
      <c r="B88" s="56">
        <f>'Mastercurve bestimmen'!C32</f>
        <v>2.6294191463797297E-2</v>
      </c>
      <c r="C88" s="11"/>
      <c r="D88" s="51">
        <f t="shared" si="1"/>
        <v>15</v>
      </c>
      <c r="E88" s="56">
        <f>'Mastercurve bestimmen'!A32</f>
        <v>1.49036419143257</v>
      </c>
    </row>
    <row r="89" spans="1:5" x14ac:dyDescent="0.25">
      <c r="A89" s="50">
        <f t="shared" si="0"/>
        <v>16</v>
      </c>
      <c r="B89" s="56">
        <f>'Mastercurve bestimmen'!C33</f>
        <v>3.2623262585065489E-2</v>
      </c>
      <c r="C89" s="11"/>
      <c r="D89" s="51">
        <f t="shared" si="1"/>
        <v>16</v>
      </c>
      <c r="E89" s="56">
        <f>'Mastercurve bestimmen'!A33</f>
        <v>16.521360830937301</v>
      </c>
    </row>
    <row r="90" spans="1:5" x14ac:dyDescent="0.25">
      <c r="A90" s="50">
        <f t="shared" si="0"/>
        <v>17</v>
      </c>
      <c r="B90" s="56">
        <f>'Mastercurve bestimmen'!C34</f>
        <v>8.8496332073838405E-2</v>
      </c>
      <c r="C90" s="11"/>
      <c r="D90" s="51">
        <f t="shared" si="1"/>
        <v>17</v>
      </c>
      <c r="E90" s="56">
        <f>'Mastercurve bestimmen'!A34</f>
        <v>183.146753843879</v>
      </c>
    </row>
    <row r="91" spans="1:5" x14ac:dyDescent="0.25">
      <c r="A91" s="50">
        <f t="shared" si="0"/>
        <v>18</v>
      </c>
      <c r="B91" s="56">
        <f>'Mastercurve bestimmen'!C35</f>
        <v>9.9309249865316016E-2</v>
      </c>
      <c r="C91" s="11"/>
      <c r="D91" s="51">
        <f t="shared" si="1"/>
        <v>18</v>
      </c>
      <c r="E91" s="56">
        <f>'Mastercurve bestimmen'!A35</f>
        <v>2030.26456396616</v>
      </c>
    </row>
    <row r="92" spans="1:5" x14ac:dyDescent="0.25">
      <c r="A92" s="50">
        <f t="shared" si="0"/>
        <v>19</v>
      </c>
      <c r="B92" s="56">
        <f>'Mastercurve bestimmen'!C36</f>
        <v>7.4938076557470937E-2</v>
      </c>
      <c r="C92" s="11"/>
      <c r="D92" s="51">
        <f t="shared" si="1"/>
        <v>19</v>
      </c>
      <c r="E92" s="56">
        <f>'Mastercurve bestimmen'!A36</f>
        <v>22506.400540467101</v>
      </c>
    </row>
    <row r="93" spans="1:5" x14ac:dyDescent="0.25">
      <c r="A93" s="50">
        <f t="shared" si="0"/>
        <v>20</v>
      </c>
      <c r="B93" s="56">
        <f>'Mastercurve bestimmen'!C37</f>
        <v>6.9322857874701022E-2</v>
      </c>
      <c r="C93" s="11"/>
      <c r="D93" s="51">
        <f t="shared" si="1"/>
        <v>20</v>
      </c>
      <c r="E93" s="56">
        <f>'Mastercurve bestimmen'!A37</f>
        <v>249493.62476110301</v>
      </c>
    </row>
    <row r="94" spans="1:5" x14ac:dyDescent="0.25">
      <c r="A94" s="50">
        <f t="shared" si="0"/>
        <v>21</v>
      </c>
      <c r="B94" s="56">
        <f>'Mastercurve bestimmen'!C38</f>
        <v>2.2465875921068256E-2</v>
      </c>
      <c r="C94" s="11"/>
      <c r="D94" s="51">
        <f t="shared" si="1"/>
        <v>21</v>
      </c>
      <c r="E94" s="56">
        <f>'Mastercurve bestimmen'!A38</f>
        <v>2765749.6224023802</v>
      </c>
    </row>
    <row r="95" spans="1:5" x14ac:dyDescent="0.25">
      <c r="A95" s="50">
        <f t="shared" si="0"/>
        <v>22</v>
      </c>
      <c r="B95" s="56">
        <f>'Mastercurve bestimmen'!C39</f>
        <v>5.8329528880761261E-2</v>
      </c>
      <c r="C95" s="11"/>
      <c r="D95" s="51">
        <f t="shared" si="1"/>
        <v>22</v>
      </c>
      <c r="E95" s="56">
        <f>'Mastercurve bestimmen'!A39</f>
        <v>10000000</v>
      </c>
    </row>
    <row r="96" spans="1:5" x14ac:dyDescent="0.25">
      <c r="A96" s="50">
        <f t="shared" si="0"/>
        <v>23</v>
      </c>
      <c r="B96" s="56">
        <f>'Mastercurve bestimmen'!C40</f>
        <v>3.4551716494444183E-2</v>
      </c>
      <c r="C96" s="11"/>
      <c r="D96" s="51">
        <f t="shared" si="1"/>
        <v>23</v>
      </c>
      <c r="E96" s="56">
        <f>'Mastercurve bestimmen'!A40</f>
        <v>100000000</v>
      </c>
    </row>
    <row r="97" spans="1:5" x14ac:dyDescent="0.25">
      <c r="A97" s="50">
        <f t="shared" si="0"/>
        <v>24</v>
      </c>
      <c r="B97" s="56">
        <f>'Mastercurve bestimmen'!C41</f>
        <v>3.2785105338059839E-2</v>
      </c>
      <c r="C97" s="11"/>
      <c r="D97" s="51">
        <f t="shared" si="1"/>
        <v>24</v>
      </c>
      <c r="E97" s="56">
        <f>'Mastercurve bestimmen'!A41</f>
        <v>1000000000</v>
      </c>
    </row>
    <row r="98" spans="1:5" x14ac:dyDescent="0.25">
      <c r="A98" s="50">
        <f t="shared" si="0"/>
        <v>25</v>
      </c>
      <c r="B98" s="56">
        <f>'Mastercurve bestimmen'!C42</f>
        <v>1.3184627495592977E-2</v>
      </c>
      <c r="C98" s="11"/>
      <c r="D98" s="51">
        <f t="shared" si="1"/>
        <v>25</v>
      </c>
      <c r="E98" s="56">
        <f>'Mastercurve bestimmen'!A42</f>
        <v>10000000000</v>
      </c>
    </row>
    <row r="99" spans="1:5" x14ac:dyDescent="0.25">
      <c r="A99" s="50">
        <f t="shared" si="0"/>
        <v>26</v>
      </c>
      <c r="B99" s="56">
        <f>'Mastercurve bestimmen'!C43</f>
        <v>9.0966723550024858E-3</v>
      </c>
      <c r="C99" s="11"/>
      <c r="D99" s="51">
        <f t="shared" si="1"/>
        <v>26</v>
      </c>
      <c r="E99" s="56">
        <f>'Mastercurve bestimmen'!A43</f>
        <v>100000000000</v>
      </c>
    </row>
    <row r="100" spans="1:5" x14ac:dyDescent="0.25">
      <c r="A100" s="50">
        <f t="shared" si="0"/>
        <v>27</v>
      </c>
      <c r="B100" s="56">
        <f>'Mastercurve bestimmen'!C44</f>
        <v>3.0393849329234364E-3</v>
      </c>
      <c r="C100" s="11"/>
      <c r="D100" s="51">
        <f t="shared" si="1"/>
        <v>27</v>
      </c>
      <c r="E100" s="56">
        <f>'Mastercurve bestimmen'!A44</f>
        <v>1000000000000</v>
      </c>
    </row>
    <row r="101" spans="1:5" x14ac:dyDescent="0.25">
      <c r="A101" s="50">
        <f t="shared" si="0"/>
        <v>28</v>
      </c>
      <c r="B101" s="56">
        <f>'Mastercurve bestimmen'!C45</f>
        <v>2.6495422897411186E-3</v>
      </c>
      <c r="C101" s="11"/>
      <c r="D101" s="51">
        <f t="shared" si="1"/>
        <v>28</v>
      </c>
      <c r="E101" s="56">
        <f>'Mastercurve bestimmen'!A45</f>
        <v>10000000000000</v>
      </c>
    </row>
    <row r="102" spans="1:5" x14ac:dyDescent="0.25">
      <c r="A102" s="50">
        <f t="shared" si="0"/>
        <v>29</v>
      </c>
      <c r="B102" s="56">
        <f>'Mastercurve bestimmen'!C46</f>
        <v>6.8554497859674352E-4</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1.0364161747734975E-2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30950.077000000001</v>
      </c>
    </row>
    <row r="108" spans="1:5" s="11" customFormat="1" x14ac:dyDescent="0.25">
      <c r="A108" s="61" t="str">
        <f>STUTT!B3</f>
        <v>mp,PRXY,MatID,</v>
      </c>
      <c r="B108" s="52">
        <f>STUTT!C3</f>
        <v>0.34430355000000001</v>
      </c>
    </row>
    <row r="109" spans="1:5" s="11" customFormat="1" x14ac:dyDescent="0.25">
      <c r="A109" s="61" t="str">
        <f>STUTT!B4</f>
        <v>mp,ey,MatID,</v>
      </c>
      <c r="B109" s="52">
        <f>STUTT!C4</f>
        <v>32732.228999999999</v>
      </c>
    </row>
    <row r="110" spans="1:5" s="11" customFormat="1" x14ac:dyDescent="0.25">
      <c r="A110" s="61" t="str">
        <f>STUTT!B5</f>
        <v>mp,PRYZ,MatID,</v>
      </c>
      <c r="B110" s="52">
        <f>STUTT!C5</f>
        <v>0.36416230999999999</v>
      </c>
    </row>
    <row r="111" spans="1:5" s="11" customFormat="1" x14ac:dyDescent="0.25">
      <c r="A111" s="61" t="str">
        <f>STUTT!B6</f>
        <v>mp,ez,MatID,</v>
      </c>
      <c r="B111" s="52">
        <f>STUTT!C6</f>
        <v>30950.077000000001</v>
      </c>
    </row>
    <row r="112" spans="1:5" s="11" customFormat="1" x14ac:dyDescent="0.25">
      <c r="A112" s="61" t="str">
        <f>STUTT!B7</f>
        <v>mp,PRXZ,MatID,</v>
      </c>
      <c r="B112" s="52">
        <f>STUTT!C7</f>
        <v>0.35675860999999998</v>
      </c>
    </row>
    <row r="113" spans="1:4" s="11" customFormat="1" x14ac:dyDescent="0.25">
      <c r="A113" s="61" t="str">
        <f>STUTT!B8</f>
        <v>MP,GXZ,</v>
      </c>
      <c r="B113" s="52" t="str">
        <f>STUTT!C8</f>
        <v>MatID,</v>
      </c>
      <c r="C113" s="112">
        <f>STUTT!D8</f>
        <v>11405.888999999999</v>
      </c>
      <c r="D113" s="112"/>
    </row>
    <row r="114" spans="1:4" s="11" customFormat="1" x14ac:dyDescent="0.25">
      <c r="A114" s="61" t="str">
        <f>STUTT!B9</f>
        <v>MP,GXY,</v>
      </c>
      <c r="B114" s="52" t="str">
        <f>STUTT!C9</f>
        <v>MatID,</v>
      </c>
      <c r="C114" s="112">
        <f>STUTT!D9</f>
        <v>11852.276</v>
      </c>
      <c r="D114" s="112"/>
    </row>
    <row r="115" spans="1:4" x14ac:dyDescent="0.25">
      <c r="A115" s="61" t="str">
        <f>STUTT!B10</f>
        <v>MP,GYZ,</v>
      </c>
      <c r="B115" s="52" t="str">
        <f>STUTT!C10</f>
        <v>MatID,</v>
      </c>
      <c r="C115" s="112">
        <f>STUTT!D10</f>
        <v>11852.276</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2.367E-7</v>
      </c>
      <c r="C3" s="3">
        <v>-3.157E-7</v>
      </c>
      <c r="D3" s="3">
        <v>2.367E-7</v>
      </c>
      <c r="E3" s="3">
        <v>-1.0000000000000001E-5</v>
      </c>
      <c r="F3" s="3">
        <v>-1.0000000000000001E-5</v>
      </c>
      <c r="G3" s="3">
        <v>-1.0000000000000001E-5</v>
      </c>
      <c r="H3" s="3">
        <v>-1.7133474E-6</v>
      </c>
      <c r="I3" s="3">
        <v>-8.9191822000000001E-7</v>
      </c>
      <c r="J3" s="3">
        <v>-1.7133474E-6</v>
      </c>
      <c r="L3" s="48">
        <f>ABS(H3/(-0.5)/$L$1)</f>
        <v>1.9581113142857145E-5</v>
      </c>
      <c r="R3">
        <f>ABS(I3/(-0.5)/$R$1)</f>
        <v>1.9820404888888889E-5</v>
      </c>
    </row>
    <row r="4" spans="1:18" x14ac:dyDescent="0.25">
      <c r="A4">
        <v>-39</v>
      </c>
      <c r="B4" s="3">
        <v>-2.368E-7</v>
      </c>
      <c r="C4" s="3">
        <v>3.1580000000000001E-7</v>
      </c>
      <c r="D4" s="3">
        <v>-2.368E-7</v>
      </c>
      <c r="E4" s="3">
        <v>1.0000000000000001E-5</v>
      </c>
      <c r="F4" s="3">
        <v>1.0000000000000001E-5</v>
      </c>
      <c r="G4" s="3">
        <v>1.0000000000000001E-5</v>
      </c>
      <c r="H4" s="3">
        <v>1.713317E-6</v>
      </c>
      <c r="I4" s="3">
        <v>8.9193782999999999E-7</v>
      </c>
      <c r="J4" s="3">
        <v>1.713317E-6</v>
      </c>
      <c r="L4" s="48">
        <f t="shared" ref="L4:L14" si="0">ABS(H4/(-0.5)/$L$1)</f>
        <v>1.9580765714285715E-5</v>
      </c>
      <c r="N4" s="39" t="s">
        <v>27</v>
      </c>
      <c r="O4" s="39" t="s">
        <v>130</v>
      </c>
      <c r="P4" s="85" t="s">
        <v>131</v>
      </c>
      <c r="R4" s="11">
        <f t="shared" ref="R4:R14" si="1">ABS(I4/(-0.5)/$R$1)</f>
        <v>1.9820840666666667E-5</v>
      </c>
    </row>
    <row r="5" spans="1:18" x14ac:dyDescent="0.25">
      <c r="A5">
        <v>0</v>
      </c>
      <c r="B5" s="3">
        <v>2.3949999999999999E-7</v>
      </c>
      <c r="C5" s="3">
        <v>-3.2210000000000001E-7</v>
      </c>
      <c r="D5" s="3">
        <v>2.3949999999999999E-7</v>
      </c>
      <c r="E5" s="3">
        <v>-1.0000000000000001E-5</v>
      </c>
      <c r="F5" s="3">
        <v>-1.0000000000000001E-5</v>
      </c>
      <c r="G5" s="3">
        <v>-1.0000000000000001E-5</v>
      </c>
      <c r="H5" s="3">
        <v>-1.7121061999999999E-6</v>
      </c>
      <c r="I5" s="3">
        <v>-8.9271494999999996E-7</v>
      </c>
      <c r="J5" s="3">
        <v>-1.7121061999999999E-6</v>
      </c>
      <c r="L5" s="48">
        <f t="shared" si="0"/>
        <v>1.9566928000000001E-5</v>
      </c>
      <c r="M5" s="48"/>
      <c r="N5" s="10">
        <f>(INDEX(A:A,ROW(A2)*2+1)+INDEX(A:A,ROW(A2)*2+2))/2</f>
        <v>0.5</v>
      </c>
      <c r="O5" s="89">
        <f>(INDEX(L:L,ROW(L2)*2+1)+INDEX(L:L,ROW(L2)*2+2))/2</f>
        <v>1.9566746857142857E-5</v>
      </c>
      <c r="P5" s="89">
        <f>(INDEX(R:R,ROW(M2)*2+1)+INDEX(R:R,ROW(R2)*2+2))/2</f>
        <v>1.9838334999999999E-5</v>
      </c>
      <c r="R5" s="11">
        <f t="shared" si="1"/>
        <v>1.983811E-5</v>
      </c>
    </row>
    <row r="6" spans="1:18" x14ac:dyDescent="0.25">
      <c r="A6">
        <v>1</v>
      </c>
      <c r="B6" s="3">
        <v>-2.396E-7</v>
      </c>
      <c r="C6" s="3">
        <v>3.2230000000000002E-7</v>
      </c>
      <c r="D6" s="3">
        <v>-2.396E-7</v>
      </c>
      <c r="E6" s="3">
        <v>1.0000000000000001E-5</v>
      </c>
      <c r="F6" s="3">
        <v>1.0000000000000001E-5</v>
      </c>
      <c r="G6" s="3">
        <v>1.0000000000000001E-5</v>
      </c>
      <c r="H6" s="3">
        <v>1.7120744999999999E-6</v>
      </c>
      <c r="I6" s="3">
        <v>8.9273520000000004E-7</v>
      </c>
      <c r="J6" s="3">
        <v>1.7120744999999999E-6</v>
      </c>
      <c r="L6" s="48">
        <f t="shared" si="0"/>
        <v>1.9566565714285714E-5</v>
      </c>
      <c r="M6" s="49"/>
      <c r="N6" s="10">
        <f>(INDEX(A:A,ROW(A3)*2+1)+INDEX(A:A,ROW(A3)*2+2))/2</f>
        <v>151.5</v>
      </c>
      <c r="O6" s="89">
        <f t="shared" ref="O6:O7" si="2">(INDEX(L:L,ROW(L3)*2+1)+INDEX(L:L,ROW(L3)*2+2))/2</f>
        <v>2.1190465714285718E-5</v>
      </c>
      <c r="P6" s="89">
        <f t="shared" ref="P6:P9" si="3">(INDEX(R:R,ROW(M3)*2+1)+INDEX(R:R,ROW(R3)*2+2))/2</f>
        <v>2.1019518444444445E-5</v>
      </c>
      <c r="R6" s="11">
        <f t="shared" si="1"/>
        <v>1.9838560000000001E-5</v>
      </c>
    </row>
    <row r="7" spans="1:18" x14ac:dyDescent="0.25">
      <c r="A7">
        <v>151</v>
      </c>
      <c r="B7" s="3">
        <v>1.9250000000000001E-7</v>
      </c>
      <c r="C7" s="3">
        <v>8.252E-8</v>
      </c>
      <c r="D7" s="3">
        <v>1.9250000000000001E-7</v>
      </c>
      <c r="E7" s="3">
        <v>-1.0689999999999999E-5</v>
      </c>
      <c r="F7" s="3">
        <v>-1.0689999999999999E-5</v>
      </c>
      <c r="G7" s="3">
        <v>-1.0689999999999999E-5</v>
      </c>
      <c r="H7" s="3">
        <v>-1.7805354E-6</v>
      </c>
      <c r="I7" s="3">
        <v>-9.2090522999999996E-7</v>
      </c>
      <c r="J7" s="3">
        <v>-1.7805354E-6</v>
      </c>
      <c r="L7" s="48">
        <f t="shared" si="0"/>
        <v>2.0348976000000002E-5</v>
      </c>
      <c r="M7" s="48"/>
      <c r="N7" s="10">
        <f>(INDEX(A:A,ROW(A4)*2+1)+INDEX(A:A,ROW(A4)*2+2))/2</f>
        <v>156.5</v>
      </c>
      <c r="O7" s="89">
        <f t="shared" si="2"/>
        <v>3.8018201714285711E-5</v>
      </c>
      <c r="P7" s="89">
        <f t="shared" si="3"/>
        <v>3.2143815555555557E-5</v>
      </c>
      <c r="R7" s="11">
        <f t="shared" si="1"/>
        <v>2.0464560666666667E-5</v>
      </c>
    </row>
    <row r="8" spans="1:18" x14ac:dyDescent="0.25">
      <c r="A8">
        <v>152</v>
      </c>
      <c r="B8" s="3">
        <v>-7.673E-8</v>
      </c>
      <c r="C8" s="3">
        <v>-9.414E-7</v>
      </c>
      <c r="D8" s="3">
        <v>-7.673E-8</v>
      </c>
      <c r="E8" s="3">
        <v>1.206E-5</v>
      </c>
      <c r="F8" s="3">
        <v>1.206E-5</v>
      </c>
      <c r="G8" s="3">
        <v>1.206E-5</v>
      </c>
      <c r="H8" s="3">
        <v>1.9277960999999998E-6</v>
      </c>
      <c r="I8" s="3">
        <v>9.7085143000000009E-7</v>
      </c>
      <c r="J8" s="3">
        <v>1.9277960999999998E-6</v>
      </c>
      <c r="L8" s="48">
        <f t="shared" si="0"/>
        <v>2.2031955428571429E-5</v>
      </c>
      <c r="M8" s="49"/>
      <c r="N8" s="10">
        <f>(INDEX(A:A,ROW(A5)*2+1)+INDEX(A:A,ROW(A5)*2+2))/2</f>
        <v>161.5</v>
      </c>
      <c r="O8" s="89">
        <f t="shared" ref="O8:O9" si="4">(INDEX(L:L,ROW(L5)*2+1)+INDEX(L:L,ROW(L5)*2+2))/2</f>
        <v>5.3153978285714289E-5</v>
      </c>
      <c r="P8" s="89">
        <f t="shared" si="3"/>
        <v>4.2214975555555561E-5</v>
      </c>
      <c r="R8" s="11">
        <f t="shared" si="1"/>
        <v>2.1574476222222224E-5</v>
      </c>
    </row>
    <row r="9" spans="1:18" x14ac:dyDescent="0.25">
      <c r="A9">
        <v>156</v>
      </c>
      <c r="B9" s="3">
        <v>-9.64E-7</v>
      </c>
      <c r="C9" s="3">
        <v>8.6619999999999994E-6</v>
      </c>
      <c r="D9" s="3">
        <v>-9.64E-7</v>
      </c>
      <c r="E9" s="3">
        <v>-2.444E-5</v>
      </c>
      <c r="F9" s="3">
        <v>-2.444E-5</v>
      </c>
      <c r="G9" s="3">
        <v>-2.444E-5</v>
      </c>
      <c r="H9" s="3">
        <v>-3.2530239999999998E-6</v>
      </c>
      <c r="I9" s="3">
        <v>-1.4212904999999999E-6</v>
      </c>
      <c r="J9" s="3">
        <v>-3.2530239999999998E-6</v>
      </c>
      <c r="L9" s="48">
        <f t="shared" si="0"/>
        <v>3.7177417142857142E-5</v>
      </c>
      <c r="M9" s="48"/>
      <c r="N9" s="10">
        <f>(INDEX(A:A,ROW(A6)*2+1)+INDEX(A:A,ROW(A6)*2+2))/2</f>
        <v>180.5</v>
      </c>
      <c r="O9" s="89">
        <f t="shared" si="4"/>
        <v>5.310945314285715E-5</v>
      </c>
      <c r="P9" s="89">
        <f t="shared" si="3"/>
        <v>4.2465003333333332E-5</v>
      </c>
      <c r="R9" s="11">
        <f t="shared" si="1"/>
        <v>3.1584233333333335E-5</v>
      </c>
    </row>
    <row r="10" spans="1:18" x14ac:dyDescent="0.25">
      <c r="A10">
        <v>157</v>
      </c>
      <c r="B10" s="3">
        <v>1.079E-6</v>
      </c>
      <c r="C10" s="3">
        <v>-9.5170000000000005E-6</v>
      </c>
      <c r="D10" s="3">
        <v>1.079E-6</v>
      </c>
      <c r="E10" s="3">
        <v>2.5809999999999999E-5</v>
      </c>
      <c r="F10" s="3">
        <v>2.5809999999999999E-5</v>
      </c>
      <c r="G10" s="3">
        <v>2.5809999999999999E-5</v>
      </c>
      <c r="H10" s="3">
        <v>3.4001612999999999E-6</v>
      </c>
      <c r="I10" s="3">
        <v>1.4716529000000001E-6</v>
      </c>
      <c r="J10" s="3">
        <v>3.4001612999999999E-6</v>
      </c>
      <c r="L10" s="48">
        <f t="shared" si="0"/>
        <v>3.8858986285714286E-5</v>
      </c>
      <c r="M10" s="49"/>
      <c r="N10" s="10"/>
      <c r="O10" s="3"/>
      <c r="R10" s="11">
        <f t="shared" si="1"/>
        <v>3.270339777777778E-5</v>
      </c>
    </row>
    <row r="11" spans="1:18" x14ac:dyDescent="0.25">
      <c r="A11">
        <v>161</v>
      </c>
      <c r="B11" s="3">
        <v>-2.058E-6</v>
      </c>
      <c r="C11" s="3">
        <v>1.679E-5</v>
      </c>
      <c r="D11" s="3">
        <v>-2.058E-6</v>
      </c>
      <c r="E11" s="3">
        <v>-3.7499999999999997E-5</v>
      </c>
      <c r="F11" s="3">
        <v>-3.7499999999999997E-5</v>
      </c>
      <c r="G11" s="3">
        <v>-3.7499999999999997E-5</v>
      </c>
      <c r="H11" s="3">
        <v>-4.6510748000000003E-6</v>
      </c>
      <c r="I11" s="3">
        <v>-1.8993824000000001E-6</v>
      </c>
      <c r="J11" s="3">
        <v>-4.6510748000000003E-6</v>
      </c>
      <c r="L11" s="48">
        <f t="shared" si="0"/>
        <v>5.3155140571428577E-5</v>
      </c>
      <c r="M11" s="48"/>
      <c r="N11" s="10"/>
      <c r="O11" s="3"/>
      <c r="R11" s="11">
        <f t="shared" si="1"/>
        <v>4.2208497777777784E-5</v>
      </c>
    </row>
    <row r="12" spans="1:18" x14ac:dyDescent="0.25">
      <c r="A12">
        <v>162</v>
      </c>
      <c r="B12" s="3">
        <v>2.057E-6</v>
      </c>
      <c r="C12" s="3">
        <v>-1.6779999999999999E-5</v>
      </c>
      <c r="D12" s="3">
        <v>2.057E-6</v>
      </c>
      <c r="E12" s="3">
        <v>3.7499999999999997E-5</v>
      </c>
      <c r="F12" s="3">
        <v>3.7499999999999997E-5</v>
      </c>
      <c r="G12" s="3">
        <v>3.7499999999999997E-5</v>
      </c>
      <c r="H12" s="3">
        <v>4.6508714000000002E-6</v>
      </c>
      <c r="I12" s="3">
        <v>1.8999654000000001E-6</v>
      </c>
      <c r="J12" s="3">
        <v>4.6508714000000002E-6</v>
      </c>
      <c r="L12" s="48">
        <f t="shared" si="0"/>
        <v>5.3152816000000008E-5</v>
      </c>
      <c r="M12" s="49"/>
      <c r="N12" s="10"/>
      <c r="O12" s="3"/>
      <c r="R12" s="11">
        <f t="shared" si="1"/>
        <v>4.2221453333333337E-5</v>
      </c>
    </row>
    <row r="13" spans="1:18" x14ac:dyDescent="0.25">
      <c r="A13">
        <v>180</v>
      </c>
      <c r="B13" s="3">
        <v>-2.0360000000000001E-6</v>
      </c>
      <c r="C13" s="3">
        <v>1.6670000000000001E-5</v>
      </c>
      <c r="D13" s="3">
        <v>-2.0360000000000001E-6</v>
      </c>
      <c r="E13" s="3">
        <v>-3.7499999999999997E-5</v>
      </c>
      <c r="F13" s="3">
        <v>-3.7499999999999997E-5</v>
      </c>
      <c r="G13" s="3">
        <v>-3.7499999999999997E-5</v>
      </c>
      <c r="H13" s="3">
        <v>-4.6471805000000002E-6</v>
      </c>
      <c r="I13" s="3">
        <v>-1.9106244E-6</v>
      </c>
      <c r="J13" s="3">
        <v>-4.6471805000000002E-6</v>
      </c>
      <c r="L13" s="48">
        <f t="shared" si="0"/>
        <v>5.3110634285714288E-5</v>
      </c>
      <c r="M13" s="48"/>
      <c r="N13" s="10"/>
      <c r="O13" s="3"/>
      <c r="R13" s="11">
        <f t="shared" si="1"/>
        <v>4.2458320000000001E-5</v>
      </c>
    </row>
    <row r="14" spans="1:18" x14ac:dyDescent="0.25">
      <c r="A14" s="11">
        <v>181</v>
      </c>
      <c r="B14" s="3">
        <v>2.035E-6</v>
      </c>
      <c r="C14" s="3">
        <v>-1.6670000000000001E-5</v>
      </c>
      <c r="D14" s="3">
        <v>2.035E-6</v>
      </c>
      <c r="E14" s="3">
        <v>3.7499999999999997E-5</v>
      </c>
      <c r="F14" s="3">
        <v>3.7499999999999997E-5</v>
      </c>
      <c r="G14" s="3">
        <v>3.7499999999999997E-5</v>
      </c>
      <c r="H14" s="3">
        <v>4.6469738000000004E-6</v>
      </c>
      <c r="I14" s="3">
        <v>1.9112258999999999E-6</v>
      </c>
      <c r="J14" s="3">
        <v>4.6469738000000004E-6</v>
      </c>
      <c r="L14" s="48">
        <f t="shared" si="0"/>
        <v>5.3108272000000005E-5</v>
      </c>
      <c r="M14" s="49"/>
      <c r="N14" s="10"/>
      <c r="O14" s="3"/>
      <c r="R14" s="11">
        <f t="shared" si="1"/>
        <v>4.247168666666667E-5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30950.077000000001</v>
      </c>
    </row>
    <row r="3" spans="2:4" x14ac:dyDescent="0.25">
      <c r="B3" t="s">
        <v>118</v>
      </c>
      <c r="C3" s="3">
        <v>0.34430355000000001</v>
      </c>
    </row>
    <row r="4" spans="2:4" x14ac:dyDescent="0.25">
      <c r="B4" t="s">
        <v>119</v>
      </c>
      <c r="C4" s="3">
        <v>32732.228999999999</v>
      </c>
    </row>
    <row r="5" spans="2:4" x14ac:dyDescent="0.25">
      <c r="B5" t="s">
        <v>120</v>
      </c>
      <c r="C5" s="3">
        <v>0.36416230999999999</v>
      </c>
    </row>
    <row r="6" spans="2:4" x14ac:dyDescent="0.25">
      <c r="B6" t="s">
        <v>121</v>
      </c>
      <c r="C6" s="3">
        <v>30950.077000000001</v>
      </c>
    </row>
    <row r="7" spans="2:4" x14ac:dyDescent="0.25">
      <c r="B7" t="s">
        <v>122</v>
      </c>
      <c r="C7" s="3">
        <v>0.35675860999999998</v>
      </c>
    </row>
    <row r="8" spans="2:4" x14ac:dyDescent="0.25">
      <c r="B8" t="s">
        <v>123</v>
      </c>
      <c r="C8" t="s">
        <v>124</v>
      </c>
      <c r="D8" s="3">
        <v>11405.888999999999</v>
      </c>
    </row>
    <row r="9" spans="2:4" x14ac:dyDescent="0.25">
      <c r="B9" t="s">
        <v>125</v>
      </c>
      <c r="C9" t="s">
        <v>124</v>
      </c>
      <c r="D9" s="3">
        <v>11852.276</v>
      </c>
    </row>
    <row r="10" spans="2:4" x14ac:dyDescent="0.25">
      <c r="B10" t="s">
        <v>126</v>
      </c>
      <c r="C10" t="s">
        <v>124</v>
      </c>
      <c r="D10" s="3">
        <v>11852.276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-3.1765554857142859E-4</v>
      </c>
      <c r="C3" s="2">
        <f>IF('Modell einstellen'!$B$2="Ja",creep_res0!O3,creep_res0!C3)</f>
        <v>-3.2385028571428571E-4</v>
      </c>
      <c r="D3" s="2">
        <f>IF('Modell einstellen'!$B$2="Ja",creep_res25!O3,creep_res25!C3)</f>
        <v>-3.3333392571428572E-4</v>
      </c>
      <c r="E3" s="2">
        <f>IF('Modell einstellen'!$B$2="Ja",creep_res50!O3,creep_res50!C3)</f>
        <v>-3.403251942857143E-4</v>
      </c>
      <c r="F3" s="2">
        <f>IF('Modell einstellen'!$B$2="Ja",creep_res80!O3,creep_res80!C3)</f>
        <v>-3.4942501142857146E-4</v>
      </c>
      <c r="G3" s="2">
        <f>IF('Modell einstellen'!$B$2="Ja",creep_res125!O3,creep_res125!C3)</f>
        <v>-3.7173529714285713E-4</v>
      </c>
      <c r="H3" s="2">
        <f>IF('Modell einstellen'!$B$2="Ja",creep_res160!O3,creep_res160!C3)</f>
        <v>-3.9813363428571429E-4</v>
      </c>
      <c r="M3" s="9">
        <f>-10</f>
        <v>-10</v>
      </c>
      <c r="N3" s="2">
        <f t="shared" ref="N3:N33" si="4">A3</f>
        <v>1.0000000000000001E-15</v>
      </c>
      <c r="O3" s="2">
        <f t="shared" ref="O3:O33" si="5">$M$3/B3</f>
        <v>31480.640098913249</v>
      </c>
      <c r="P3" s="2">
        <f t="shared" ref="P3:P33" si="6">$M$3/C3</f>
        <v>30878.465887235372</v>
      </c>
      <c r="Q3" s="2">
        <f t="shared" ref="Q3:Q33" si="7">$M$3/D3</f>
        <v>29999.946685809031</v>
      </c>
      <c r="R3" s="2">
        <f>$M$3/E3</f>
        <v>29383.660592593882</v>
      </c>
      <c r="S3" s="2">
        <f t="shared" ref="S3:S33" si="8">$M$3/F3</f>
        <v>28618.44365151913</v>
      </c>
      <c r="T3" s="2">
        <f t="shared" ref="T3:T33" si="9">$M$3/G3</f>
        <v>26900.86219107953</v>
      </c>
      <c r="U3" s="2">
        <f t="shared" ref="U3:U33" si="10">$M$3/H3</f>
        <v>25117.194677462641</v>
      </c>
      <c r="W3" s="2">
        <v>18599.275035544593</v>
      </c>
      <c r="Z3" s="2">
        <v>1.0000000000000001E-15</v>
      </c>
      <c r="AA3" s="3">
        <f>IF('Modell einstellen'!$B$2="Ja",'creep_res-40'!P3,'creep_res-40'!L3)</f>
        <v>0.35630124857075646</v>
      </c>
      <c r="AB3" s="2">
        <f>IF('Modell einstellen'!$B$2="Ja",creep_res0!P3,creep_res0!L3)</f>
        <v>0.35822238847580368</v>
      </c>
      <c r="AC3" s="2">
        <f>IF('Modell einstellen'!$B$2="Ja",creep_res25!P3,creep_res25!L3)</f>
        <v>0.36248030439214479</v>
      </c>
      <c r="AD3" s="2">
        <f>IF('Modell einstellen'!$B$2="Ja",creep_res50!P3,creep_res50!L3)</f>
        <v>0.36518318974545844</v>
      </c>
      <c r="AE3" s="2">
        <f>IF('Modell einstellen'!$B$2="Ja",creep_res80!P3,creep_res80!L3)</f>
        <v>0.36863221026765319</v>
      </c>
      <c r="AF3" s="2">
        <f>IF('Modell einstellen'!$B$2="Ja",creep_res125!P3,creep_res125!L3)</f>
        <v>0.37793628483137087</v>
      </c>
      <c r="AG3" s="2">
        <f>IF('Modell einstellen'!$B$2="Ja",creep_res160!P3,creep_res160!L3)</f>
        <v>0.38924580183314195</v>
      </c>
      <c r="AL3" s="2">
        <f t="shared" ref="AL3:AL33" si="11">Z3</f>
        <v>1.0000000000000001E-15</v>
      </c>
      <c r="AM3" s="2">
        <f t="shared" ref="AM3:AM33" si="12">O3/(2*(1+AA3))</f>
        <v>11605.327404987251</v>
      </c>
      <c r="AN3" s="2">
        <f t="shared" ref="AN3:AN33" si="13">P3/(2*(1+AB3))</f>
        <v>11367.234905429283</v>
      </c>
      <c r="AO3" s="2">
        <f t="shared" ref="AO3:AO33" si="14">Q3/(2*(1+AC3))</f>
        <v>11009.313892134818</v>
      </c>
      <c r="AP3" s="2">
        <f t="shared" ref="AP3:AP33" si="15">R3/(2*(1+AD3))</f>
        <v>10761.801351389528</v>
      </c>
      <c r="AQ3" s="2">
        <f t="shared" ref="AQ3:AQ33" si="16">S3/(2*(1+AE3))</f>
        <v>10455.125722169887</v>
      </c>
      <c r="AR3" s="2">
        <f t="shared" ref="AR3:AR33" si="17">T3/(2*(1+AF3))</f>
        <v>9761.2866745763949</v>
      </c>
      <c r="AS3" s="2">
        <f t="shared" ref="AS3:AS33" si="18">U3/(2*(1+AG3))</f>
        <v>9039.8670430819093</v>
      </c>
      <c r="AX3" s="2">
        <f>AL3</f>
        <v>1.0000000000000001E-15</v>
      </c>
      <c r="AY3" s="37">
        <f t="shared" ref="AY3:AY33" si="19">O3/(3*(1-(2*AA3)))</f>
        <v>36512.309937517843</v>
      </c>
      <c r="AZ3" s="37">
        <f t="shared" ref="AZ3:AZ33" si="20">P3/(3*(1-(2*AB3)))</f>
        <v>36299.179580462805</v>
      </c>
      <c r="BA3" s="37">
        <f t="shared" ref="BA3:BA33" si="21">Q3/(3*(1-(2*AC3)))</f>
        <v>36358.36373983293</v>
      </c>
      <c r="BB3" s="37">
        <f t="shared" ref="BB3:BB33" si="22">R3/(3*(1-(2*AD3)))</f>
        <v>36325.416364517048</v>
      </c>
      <c r="BC3" s="37">
        <f t="shared" ref="BC3:BC33" si="23">S3/(3*(1-(2*AE3)))</f>
        <v>36308.296107474693</v>
      </c>
      <c r="BD3" s="37">
        <f t="shared" ref="BD3:BD33" si="24">T3/(3*(1-(2*AF3)))</f>
        <v>36730.628964166252</v>
      </c>
      <c r="BE3" s="37">
        <f t="shared" ref="BE3:BE33" si="25">U3/(3*(1-(2*AG3)))</f>
        <v>37797.204821109102</v>
      </c>
    </row>
    <row r="4" spans="1:308" x14ac:dyDescent="0.25">
      <c r="A4" s="2">
        <f>'creep_res-40'!A4</f>
        <v>1E-14</v>
      </c>
      <c r="B4" s="3">
        <f>'creep_res-40'!O4</f>
        <v>-3.1956785142857146E-4</v>
      </c>
      <c r="C4" s="2">
        <f>IF('Modell einstellen'!$B$2="Ja",creep_res0!O4,creep_res0!C4)</f>
        <v>-3.3142164571428574E-4</v>
      </c>
      <c r="D4" s="2">
        <f>IF('Modell einstellen'!$B$2="Ja",creep_res25!O4,creep_res25!C4)</f>
        <v>-3.3902407428571435E-4</v>
      </c>
      <c r="E4" s="2">
        <f>IF('Modell einstellen'!$B$2="Ja",creep_res50!O4,creep_res50!C4)</f>
        <v>-3.4632799428571432E-4</v>
      </c>
      <c r="F4" s="2">
        <f>IF('Modell einstellen'!$B$2="Ja",creep_res80!O4,creep_res80!C4)</f>
        <v>-3.5648601714285716E-4</v>
      </c>
      <c r="G4" s="2">
        <f>IF('Modell einstellen'!$B$2="Ja",creep_res125!O4,creep_res125!C4)</f>
        <v>-3.8212683428571429E-4</v>
      </c>
      <c r="H4" s="2">
        <f>IF('Modell einstellen'!$B$2="Ja",creep_res160!O4,creep_res160!C4)</f>
        <v>-4.1063771428571428E-4</v>
      </c>
      <c r="M4" s="9">
        <f t="shared" ref="M4:M32" si="26">M3</f>
        <v>-10</v>
      </c>
      <c r="N4" s="2">
        <f t="shared" si="4"/>
        <v>1E-14</v>
      </c>
      <c r="O4" s="2">
        <f t="shared" si="5"/>
        <v>31292.259078304567</v>
      </c>
      <c r="P4" s="2">
        <f t="shared" si="6"/>
        <v>30173.044305684456</v>
      </c>
      <c r="Q4" s="2">
        <f t="shared" si="7"/>
        <v>29496.430367279601</v>
      </c>
      <c r="R4" s="2">
        <f t="shared" ref="R4:R33" si="27">$M$3/E4</f>
        <v>28874.362353018976</v>
      </c>
      <c r="S4" s="2">
        <f t="shared" si="8"/>
        <v>28051.591139948217</v>
      </c>
      <c r="T4" s="2">
        <f t="shared" si="9"/>
        <v>26169.321551815046</v>
      </c>
      <c r="U4" s="2">
        <f t="shared" si="10"/>
        <v>24352.366215057835</v>
      </c>
      <c r="Z4" s="2">
        <v>1E-14</v>
      </c>
      <c r="AA4" s="3">
        <f>IF('Modell einstellen'!$B$2="Ja",'creep_res-40'!P4,'creep_res-40'!L4)</f>
        <v>0.35754452968932648</v>
      </c>
      <c r="AB4" s="2">
        <f>IF('Modell einstellen'!$B$2="Ja",creep_res0!P4,creep_res0!L4)</f>
        <v>0.36297230900756061</v>
      </c>
      <c r="AC4" s="2">
        <f>IF('Modell einstellen'!$B$2="Ja",creep_res25!P4,creep_res25!L4)</f>
        <v>0.36599684880364075</v>
      </c>
      <c r="AD4" s="2">
        <f>IF('Modell einstellen'!$B$2="Ja",creep_res50!P4,creep_res50!L4)</f>
        <v>0.36882736050098436</v>
      </c>
      <c r="AE4" s="2">
        <f>IF('Modell einstellen'!$B$2="Ja",creep_res80!P4,creep_res80!L4)</f>
        <v>0.37282252529303772</v>
      </c>
      <c r="AF4" s="2">
        <f>IF('Modell einstellen'!$B$2="Ja",creep_res125!P4,creep_res125!L4)</f>
        <v>0.38359013961497546</v>
      </c>
      <c r="AG4" s="2">
        <f>IF('Modell einstellen'!$B$2="Ja",creep_res160!P4,creep_res160!L4)</f>
        <v>0.39584943836485698</v>
      </c>
      <c r="AL4" s="2">
        <f t="shared" si="11"/>
        <v>1E-14</v>
      </c>
      <c r="AM4" s="2">
        <f t="shared" si="12"/>
        <v>11525.315889809444</v>
      </c>
      <c r="AN4" s="2">
        <f t="shared" si="13"/>
        <v>11068.839809245561</v>
      </c>
      <c r="AO4" s="2">
        <f t="shared" si="14"/>
        <v>10796.668525667899</v>
      </c>
      <c r="AP4" s="2">
        <f t="shared" si="15"/>
        <v>10547.11616169445</v>
      </c>
      <c r="AQ4" s="2">
        <f t="shared" si="16"/>
        <v>10216.758037955571</v>
      </c>
      <c r="AR4" s="2">
        <f t="shared" si="17"/>
        <v>9457.0352890406648</v>
      </c>
      <c r="AS4" s="2">
        <f t="shared" si="18"/>
        <v>8723.1350121775959</v>
      </c>
      <c r="AX4" s="2">
        <f t="shared" ref="AX4:AX32" si="28">AL4</f>
        <v>1E-14</v>
      </c>
      <c r="AY4" s="37">
        <f t="shared" si="19"/>
        <v>36610.57382827648</v>
      </c>
      <c r="AZ4" s="37">
        <f t="shared" si="20"/>
        <v>36699.448711367004</v>
      </c>
      <c r="BA4" s="37">
        <f t="shared" si="21"/>
        <v>36686.239718917139</v>
      </c>
      <c r="BB4" s="37">
        <f t="shared" si="22"/>
        <v>36687.481046985231</v>
      </c>
      <c r="BC4" s="37">
        <f t="shared" si="23"/>
        <v>36761.739457116491</v>
      </c>
      <c r="BD4" s="37">
        <f t="shared" si="24"/>
        <v>37467.217790171519</v>
      </c>
      <c r="BE4" s="37">
        <f t="shared" si="25"/>
        <v>38969.811000425005</v>
      </c>
      <c r="BF4" s="5"/>
      <c r="BG4" s="5"/>
    </row>
    <row r="5" spans="1:308" x14ac:dyDescent="0.25">
      <c r="A5" s="2">
        <f>'creep_res-40'!A5</f>
        <v>1E-13</v>
      </c>
      <c r="B5" s="3">
        <f>'creep_res-40'!O5</f>
        <v>-3.2602421142857144E-4</v>
      </c>
      <c r="C5" s="2">
        <f>IF('Modell einstellen'!$B$2="Ja",creep_res0!O5,creep_res0!C5)</f>
        <v>-3.362832742857143E-4</v>
      </c>
      <c r="D5" s="2">
        <f>IF('Modell einstellen'!$B$2="Ja",creep_res25!O5,creep_res25!C5)</f>
        <v>-3.4420747428571429E-4</v>
      </c>
      <c r="E5" s="2">
        <f>IF('Modell einstellen'!$B$2="Ja",creep_res50!O5,creep_res50!C5)</f>
        <v>-3.5206168571428573E-4</v>
      </c>
      <c r="F5" s="2">
        <f>IF('Modell einstellen'!$B$2="Ja",creep_res80!O5,creep_res80!C5)</f>
        <v>-3.6348173142857149E-4</v>
      </c>
      <c r="G5" s="2">
        <f>IF('Modell einstellen'!$B$2="Ja",creep_res125!O5,creep_res125!C5)</f>
        <v>-3.9116091428571429E-4</v>
      </c>
      <c r="H5" s="2">
        <f>IF('Modell einstellen'!$B$2="Ja",creep_res160!O5,creep_res160!C5)</f>
        <v>-4.2372155999999999E-4</v>
      </c>
      <c r="M5" s="9">
        <f t="shared" si="26"/>
        <v>-10</v>
      </c>
      <c r="N5" s="2">
        <f t="shared" si="4"/>
        <v>1E-13</v>
      </c>
      <c r="O5" s="2">
        <f t="shared" si="5"/>
        <v>30672.568629740854</v>
      </c>
      <c r="P5" s="2">
        <f t="shared" si="6"/>
        <v>29736.834284252152</v>
      </c>
      <c r="Q5" s="2">
        <f t="shared" si="7"/>
        <v>29052.245366698105</v>
      </c>
      <c r="R5" s="2">
        <f t="shared" si="27"/>
        <v>28404.113272682163</v>
      </c>
      <c r="S5" s="2">
        <f t="shared" si="8"/>
        <v>27511.699035595466</v>
      </c>
      <c r="T5" s="2">
        <f t="shared" si="9"/>
        <v>25564.926440211086</v>
      </c>
      <c r="U5" s="2">
        <f t="shared" si="10"/>
        <v>23600.404001155854</v>
      </c>
      <c r="Z5" s="2">
        <v>1E-13</v>
      </c>
      <c r="AA5" s="3">
        <f>IF('Modell einstellen'!$B$2="Ja",'creep_res-40'!P5,'creep_res-40'!L5)</f>
        <v>0.36165310562298819</v>
      </c>
      <c r="AB5" s="2">
        <f>IF('Modell einstellen'!$B$2="Ja",creep_res0!P5,creep_res0!L5)</f>
        <v>0.36587720016252284</v>
      </c>
      <c r="AC5" s="2">
        <f>IF('Modell einstellen'!$B$2="Ja",creep_res25!P5,creep_res25!L5)</f>
        <v>0.3690881917928967</v>
      </c>
      <c r="AD5" s="2">
        <f>IF('Modell einstellen'!$B$2="Ja",creep_res50!P5,creep_res50!L5)</f>
        <v>0.37219336319227825</v>
      </c>
      <c r="AE5" s="2">
        <f>IF('Modell einstellen'!$B$2="Ja",creep_res80!P5,creep_res80!L5)</f>
        <v>0.37683979967521414</v>
      </c>
      <c r="AF5" s="2">
        <f>IF('Modell einstellen'!$B$2="Ja",creep_res125!P5,creep_res125!L5)</f>
        <v>0.38879803357507531</v>
      </c>
      <c r="AG5" s="2">
        <f>IF('Modell einstellen'!$B$2="Ja",creep_res160!P5,creep_res160!L5)</f>
        <v>0.40270842012381908</v>
      </c>
      <c r="AL5" s="2">
        <f t="shared" si="11"/>
        <v>1E-13</v>
      </c>
      <c r="AM5" s="2">
        <f t="shared" si="12"/>
        <v>11262.989267632682</v>
      </c>
      <c r="AN5" s="2">
        <f t="shared" si="13"/>
        <v>10885.617784934777</v>
      </c>
      <c r="AO5" s="2">
        <f t="shared" si="14"/>
        <v>10610.07082701246</v>
      </c>
      <c r="AP5" s="2">
        <f t="shared" si="15"/>
        <v>10349.894568285434</v>
      </c>
      <c r="AQ5" s="2">
        <f t="shared" si="16"/>
        <v>9990.8860283110862</v>
      </c>
      <c r="AR5" s="2">
        <f t="shared" si="17"/>
        <v>9203.9756041421206</v>
      </c>
      <c r="AS5" s="2">
        <f t="shared" si="18"/>
        <v>8412.4411255307823</v>
      </c>
      <c r="AX5" s="2">
        <f t="shared" si="28"/>
        <v>1E-13</v>
      </c>
      <c r="AY5" s="37">
        <f t="shared" si="19"/>
        <v>36951.279568968181</v>
      </c>
      <c r="AZ5" s="37">
        <f t="shared" si="20"/>
        <v>36952.248636182238</v>
      </c>
      <c r="BA5" s="37">
        <f t="shared" si="21"/>
        <v>36987.044642982437</v>
      </c>
      <c r="BB5" s="37">
        <f t="shared" si="22"/>
        <v>37040.477685853191</v>
      </c>
      <c r="BC5" s="37">
        <f t="shared" si="23"/>
        <v>37230.23477152027</v>
      </c>
      <c r="BD5" s="37">
        <f t="shared" si="24"/>
        <v>38316.058702479007</v>
      </c>
      <c r="BE5" s="37">
        <f t="shared" si="25"/>
        <v>40428.993668981318</v>
      </c>
    </row>
    <row r="6" spans="1:308" x14ac:dyDescent="0.25">
      <c r="A6" s="2">
        <f>'creep_res-40'!A6</f>
        <v>9.9999999999999998E-13</v>
      </c>
      <c r="B6" s="3">
        <f>'creep_res-40'!O6</f>
        <v>-3.3090011428571432E-4</v>
      </c>
      <c r="C6" s="2">
        <f>IF('Modell einstellen'!$B$2="Ja",creep_res0!O6,creep_res0!C6)</f>
        <v>-3.4131923428571434E-4</v>
      </c>
      <c r="D6" s="2">
        <f>IF('Modell einstellen'!$B$2="Ja",creep_res25!O6,creep_res25!C6)</f>
        <v>-3.4984034857142864E-4</v>
      </c>
      <c r="E6" s="2">
        <f>IF('Modell einstellen'!$B$2="Ja",creep_res50!O6,creep_res50!C6)</f>
        <v>-3.5859454857142857E-4</v>
      </c>
      <c r="F6" s="2">
        <f>IF('Modell einstellen'!$B$2="Ja",creep_res80!O6,creep_res80!C6)</f>
        <v>-3.7166670857142863E-4</v>
      </c>
      <c r="G6" s="2">
        <f>IF('Modell einstellen'!$B$2="Ja",creep_res125!O6,creep_res125!C6)</f>
        <v>-4.0084070285714289E-4</v>
      </c>
      <c r="H6" s="2">
        <f>IF('Modell einstellen'!$B$2="Ja",creep_res160!O6,creep_res160!C6)</f>
        <v>-4.3944785714285716E-4</v>
      </c>
      <c r="M6" s="9">
        <f t="shared" si="26"/>
        <v>-10</v>
      </c>
      <c r="N6" s="2">
        <f t="shared" si="4"/>
        <v>9.9999999999999998E-13</v>
      </c>
      <c r="O6" s="2">
        <f t="shared" si="5"/>
        <v>30220.600018788577</v>
      </c>
      <c r="P6" s="2">
        <f t="shared" si="6"/>
        <v>29298.085180951497</v>
      </c>
      <c r="Q6" s="2">
        <f t="shared" si="7"/>
        <v>28584.467288678825</v>
      </c>
      <c r="R6" s="2">
        <f t="shared" si="27"/>
        <v>27886.648137396591</v>
      </c>
      <c r="S6" s="2">
        <f t="shared" si="8"/>
        <v>26905.826562828006</v>
      </c>
      <c r="T6" s="2">
        <f t="shared" si="9"/>
        <v>24947.566274385907</v>
      </c>
      <c r="U6" s="2">
        <f t="shared" si="10"/>
        <v>22755.828336532693</v>
      </c>
      <c r="Z6" s="2">
        <v>9.9999999999999998E-13</v>
      </c>
      <c r="AA6" s="3">
        <f>IF('Modell einstellen'!$B$2="Ja",'creep_res-40'!P6,'creep_res-40'!L6)</f>
        <v>0.36466108374180073</v>
      </c>
      <c r="AB6" s="2">
        <f>IF('Modell einstellen'!$B$2="Ja",creep_res0!P6,creep_res0!L6)</f>
        <v>0.36887831159186607</v>
      </c>
      <c r="AC6" s="2">
        <f>IF('Modell einstellen'!$B$2="Ja",creep_res25!P6,creep_res25!L6)</f>
        <v>0.37241990268834624</v>
      </c>
      <c r="AD6" s="2">
        <f>IF('Modell einstellen'!$B$2="Ja",creep_res50!P6,creep_res50!L6)</f>
        <v>0.37599507129787302</v>
      </c>
      <c r="AE6" s="2">
        <f>IF('Modell einstellen'!$B$2="Ja",creep_res80!P6,creep_res80!L6)</f>
        <v>0.38110433627523177</v>
      </c>
      <c r="AF6" s="2">
        <f>IF('Modell einstellen'!$B$2="Ja",creep_res125!P6,creep_res125!L6)</f>
        <v>0.39369396518229266</v>
      </c>
      <c r="AG6" s="2">
        <f>IF('Modell einstellen'!$B$2="Ja",creep_res160!P6,creep_res160!L6)</f>
        <v>0.41091348721691345</v>
      </c>
      <c r="AL6" s="2">
        <f t="shared" si="11"/>
        <v>9.9999999999999998E-13</v>
      </c>
      <c r="AM6" s="2">
        <f t="shared" si="12"/>
        <v>11072.566067439215</v>
      </c>
      <c r="AN6" s="2">
        <f t="shared" si="13"/>
        <v>10701.493672903915</v>
      </c>
      <c r="AO6" s="2">
        <f t="shared" si="14"/>
        <v>10413.892727978708</v>
      </c>
      <c r="AP6" s="2">
        <f t="shared" si="15"/>
        <v>10133.265997491257</v>
      </c>
      <c r="AQ6" s="2">
        <f t="shared" si="16"/>
        <v>9740.6929571272121</v>
      </c>
      <c r="AR6" s="2">
        <f t="shared" si="17"/>
        <v>8950.159395690147</v>
      </c>
      <c r="AS6" s="2">
        <f t="shared" si="18"/>
        <v>8064.2181617455262</v>
      </c>
      <c r="AX6" s="2">
        <f t="shared" si="28"/>
        <v>9.9999999999999998E-13</v>
      </c>
      <c r="AY6" s="37">
        <f t="shared" si="19"/>
        <v>37215.952432993952</v>
      </c>
      <c r="AZ6" s="37">
        <f t="shared" si="20"/>
        <v>37240.32428278539</v>
      </c>
      <c r="BA6" s="37">
        <f t="shared" si="21"/>
        <v>37341.858031419586</v>
      </c>
      <c r="BB6" s="37">
        <f t="shared" si="22"/>
        <v>37480.564185723189</v>
      </c>
      <c r="BC6" s="37">
        <f t="shared" si="23"/>
        <v>37716.299204306764</v>
      </c>
      <c r="BD6" s="37">
        <f t="shared" si="24"/>
        <v>39112.809724562008</v>
      </c>
      <c r="BE6" s="37">
        <f t="shared" si="25"/>
        <v>42572.527957439939</v>
      </c>
    </row>
    <row r="7" spans="1:308" x14ac:dyDescent="0.25">
      <c r="A7" s="2">
        <f>'creep_res-40'!A7</f>
        <v>9.9999999999999994E-12</v>
      </c>
      <c r="B7" s="3">
        <f>'creep_res-40'!O7</f>
        <v>-3.3562091428571432E-4</v>
      </c>
      <c r="C7" s="2">
        <f>IF('Modell einstellen'!$B$2="Ja",creep_res0!O7,creep_res0!C7)</f>
        <v>-3.4687351428571431E-4</v>
      </c>
      <c r="D7" s="2">
        <f>IF('Modell einstellen'!$B$2="Ja",creep_res25!O7,creep_res25!C7)</f>
        <v>-3.5637131428571434E-4</v>
      </c>
      <c r="E7" s="2">
        <f>IF('Modell einstellen'!$B$2="Ja",creep_res50!O7,creep_res50!C7)</f>
        <v>-3.6596454857142861E-4</v>
      </c>
      <c r="F7" s="2">
        <f>IF('Modell einstellen'!$B$2="Ja",creep_res80!O7,creep_res80!C7)</f>
        <v>-3.8023785142857143E-4</v>
      </c>
      <c r="G7" s="2">
        <f>IF('Modell einstellen'!$B$2="Ja",creep_res125!O7,creep_res125!C7)</f>
        <v>-4.1181157714285721E-4</v>
      </c>
      <c r="H7" s="2">
        <f>IF('Modell einstellen'!$B$2="Ja",creep_res160!O7,creep_res160!C7)</f>
        <v>-4.5578372000000007E-4</v>
      </c>
      <c r="M7" s="9">
        <f t="shared" si="26"/>
        <v>-10</v>
      </c>
      <c r="N7" s="2">
        <f t="shared" si="4"/>
        <v>9.9999999999999994E-12</v>
      </c>
      <c r="O7" s="2">
        <f t="shared" si="5"/>
        <v>29795.52100107502</v>
      </c>
      <c r="P7" s="2">
        <f t="shared" si="6"/>
        <v>28828.952307275773</v>
      </c>
      <c r="Q7" s="2">
        <f t="shared" si="7"/>
        <v>28060.619918422162</v>
      </c>
      <c r="R7" s="2">
        <f t="shared" si="27"/>
        <v>27325.05112595137</v>
      </c>
      <c r="S7" s="2">
        <f t="shared" si="8"/>
        <v>26299.328071704411</v>
      </c>
      <c r="T7" s="2">
        <f t="shared" si="9"/>
        <v>24282.950152542715</v>
      </c>
      <c r="U7" s="2">
        <f t="shared" si="10"/>
        <v>21940.230774368156</v>
      </c>
      <c r="Z7" s="2">
        <v>9.9999999999999994E-12</v>
      </c>
      <c r="AA7" s="3">
        <f>IF('Modell einstellen'!$B$2="Ja",'creep_res-40'!P7,'creep_res-40'!L7)</f>
        <v>0.36754144046190884</v>
      </c>
      <c r="AB7" s="2">
        <f>IF('Modell einstellen'!$B$2="Ja",creep_res0!P7,creep_res0!L7)</f>
        <v>0.37218976402514115</v>
      </c>
      <c r="AC7" s="2">
        <f>IF('Modell einstellen'!$B$2="Ja",creep_res25!P7,creep_res25!L7)</f>
        <v>0.37626908563107048</v>
      </c>
      <c r="AD7" s="2">
        <f>IF('Modell einstellen'!$B$2="Ja",creep_res50!P7,creep_res50!L7)</f>
        <v>0.38026229738162298</v>
      </c>
      <c r="AE7" s="2">
        <f>IF('Modell einstellen'!$B$2="Ja",creep_res80!P7,creep_res80!L7)</f>
        <v>0.38619855445668116</v>
      </c>
      <c r="AF7" s="2">
        <f>IF('Modell einstellen'!$B$2="Ja",creep_res125!P7,creep_res125!L7)</f>
        <v>0.39955299390320337</v>
      </c>
      <c r="AG7" s="2">
        <f>IF('Modell einstellen'!$B$2="Ja",creep_res160!P7,creep_res160!L7)</f>
        <v>0.4194424245153569</v>
      </c>
      <c r="AL7" s="2">
        <f t="shared" si="11"/>
        <v>9.9999999999999994E-12</v>
      </c>
      <c r="AM7" s="2">
        <f t="shared" si="12"/>
        <v>10893.827462738938</v>
      </c>
      <c r="AN7" s="2">
        <f t="shared" si="13"/>
        <v>10504.725025316387</v>
      </c>
      <c r="AO7" s="2">
        <f t="shared" si="14"/>
        <v>10194.452600653791</v>
      </c>
      <c r="AP7" s="2">
        <f t="shared" si="15"/>
        <v>9898.4994293430227</v>
      </c>
      <c r="AQ7" s="2">
        <f t="shared" si="16"/>
        <v>9486.1331326421696</v>
      </c>
      <c r="AR7" s="2">
        <f t="shared" si="17"/>
        <v>8675.2521191856285</v>
      </c>
      <c r="AS7" s="2">
        <f t="shared" si="18"/>
        <v>7728.4680221740073</v>
      </c>
      <c r="AX7" s="2">
        <f t="shared" si="28"/>
        <v>9.9999999999999994E-12</v>
      </c>
      <c r="AY7" s="37">
        <f t="shared" si="19"/>
        <v>37490.368188835579</v>
      </c>
      <c r="AZ7" s="37">
        <f t="shared" si="20"/>
        <v>37593.431761530461</v>
      </c>
      <c r="BA7" s="37">
        <f t="shared" si="21"/>
        <v>37797.91016866592</v>
      </c>
      <c r="BB7" s="37">
        <f t="shared" si="22"/>
        <v>38034.596355781418</v>
      </c>
      <c r="BC7" s="37">
        <f t="shared" si="23"/>
        <v>38516.394272123573</v>
      </c>
      <c r="BD7" s="37">
        <f t="shared" si="24"/>
        <v>40291.478223423001</v>
      </c>
      <c r="BE7" s="37">
        <f t="shared" si="25"/>
        <v>45392.44269781241</v>
      </c>
    </row>
    <row r="8" spans="1:308" x14ac:dyDescent="0.25">
      <c r="A8" s="2">
        <f>'creep_res-40'!A8</f>
        <v>1E-10</v>
      </c>
      <c r="B8" s="3">
        <f>'creep_res-40'!O8</f>
        <v>-3.4095297142857148E-4</v>
      </c>
      <c r="C8" s="2">
        <f>IF('Modell einstellen'!$B$2="Ja",creep_res0!O8,creep_res0!C8)</f>
        <v>-3.5323632000000007E-4</v>
      </c>
      <c r="D8" s="2">
        <f>IF('Modell einstellen'!$B$2="Ja",creep_res25!O8,creep_res25!C8)</f>
        <v>-3.6370544000000001E-4</v>
      </c>
      <c r="E8" s="2">
        <f>IF('Modell einstellen'!$B$2="Ja",creep_res50!O8,creep_res50!C8)</f>
        <v>-3.7513532571428575E-4</v>
      </c>
      <c r="F8" s="2">
        <f>IF('Modell einstellen'!$B$2="Ja",creep_res80!O8,creep_res80!C8)</f>
        <v>-3.8966249142857143E-4</v>
      </c>
      <c r="G8" s="2">
        <f>IF('Modell einstellen'!$B$2="Ja",creep_res125!O8,creep_res125!C8)</f>
        <v>-4.2589937714285713E-4</v>
      </c>
      <c r="H8" s="2">
        <f>IF('Modell einstellen'!$B$2="Ja",creep_res160!O8,creep_res160!C8)</f>
        <v>-4.6982645714285716E-4</v>
      </c>
      <c r="M8" s="9">
        <f t="shared" si="26"/>
        <v>-10</v>
      </c>
      <c r="N8" s="2">
        <f t="shared" si="4"/>
        <v>1E-10</v>
      </c>
      <c r="O8" s="2">
        <f t="shared" si="5"/>
        <v>29329.558144340641</v>
      </c>
      <c r="P8" s="2">
        <f t="shared" si="6"/>
        <v>28309.659663536291</v>
      </c>
      <c r="Q8" s="2">
        <f t="shared" si="7"/>
        <v>27494.777092143577</v>
      </c>
      <c r="R8" s="2">
        <f t="shared" si="27"/>
        <v>26657.046976205856</v>
      </c>
      <c r="S8" s="2">
        <f t="shared" si="8"/>
        <v>25663.234773606862</v>
      </c>
      <c r="T8" s="2">
        <f t="shared" si="9"/>
        <v>23479.724405996851</v>
      </c>
      <c r="U8" s="2">
        <f t="shared" si="10"/>
        <v>21284.454819366129</v>
      </c>
      <c r="Z8" s="2">
        <v>1E-10</v>
      </c>
      <c r="AA8" s="3">
        <f>IF('Modell einstellen'!$B$2="Ja",'creep_res-40'!P8,'creep_res-40'!L8)</f>
        <v>0.370804888550193</v>
      </c>
      <c r="AB8" s="2">
        <f>IF('Modell einstellen'!$B$2="Ja",creep_res0!P8,creep_res0!L8)</f>
        <v>0.37597974879010976</v>
      </c>
      <c r="AC8" s="2">
        <f>IF('Modell einstellen'!$B$2="Ja",creep_res25!P8,creep_res25!L8)</f>
        <v>0.38057450321022734</v>
      </c>
      <c r="AD8" s="2">
        <f>IF('Modell einstellen'!$B$2="Ja",creep_res50!P8,creep_res50!L8)</f>
        <v>0.38504326712911008</v>
      </c>
      <c r="AE8" s="2">
        <f>IF('Modell einstellen'!$B$2="Ja",creep_res80!P8,creep_res80!L8)</f>
        <v>0.39106679808589229</v>
      </c>
      <c r="AF8" s="2">
        <f>IF('Modell einstellen'!$B$2="Ja",creep_res125!P8,creep_res125!L8)</f>
        <v>0.40706586214307822</v>
      </c>
      <c r="AG8" s="2">
        <f>IF('Modell einstellen'!$B$2="Ja",creep_res160!P8,creep_res160!L8)</f>
        <v>0.42678749588145798</v>
      </c>
      <c r="AL8" s="2">
        <f t="shared" si="11"/>
        <v>1E-10</v>
      </c>
      <c r="AM8" s="2">
        <f t="shared" si="12"/>
        <v>10697.933159313619</v>
      </c>
      <c r="AN8" s="2">
        <f t="shared" si="13"/>
        <v>10287.091684462941</v>
      </c>
      <c r="AO8" s="2">
        <f t="shared" si="14"/>
        <v>9957.7302884452874</v>
      </c>
      <c r="AP8" s="2">
        <f t="shared" si="15"/>
        <v>9623.1820365655622</v>
      </c>
      <c r="AQ8" s="2">
        <f t="shared" si="16"/>
        <v>9224.2999433670138</v>
      </c>
      <c r="AR8" s="2">
        <f t="shared" si="17"/>
        <v>8343.5058150850455</v>
      </c>
      <c r="AS8" s="2">
        <f t="shared" si="18"/>
        <v>7458.8734765357476</v>
      </c>
      <c r="AX8" s="2">
        <f t="shared" si="28"/>
        <v>1E-10</v>
      </c>
      <c r="AY8" s="37">
        <f t="shared" si="19"/>
        <v>37836.258940978238</v>
      </c>
      <c r="AZ8" s="37">
        <f t="shared" si="20"/>
        <v>38044.404559415321</v>
      </c>
      <c r="BA8" s="37">
        <f t="shared" si="21"/>
        <v>38370.8920780728</v>
      </c>
      <c r="BB8" s="37">
        <f t="shared" si="22"/>
        <v>38647.942158297199</v>
      </c>
      <c r="BC8" s="37">
        <f t="shared" si="23"/>
        <v>39264.482457549166</v>
      </c>
      <c r="BD8" s="37">
        <f t="shared" si="24"/>
        <v>42108.179956694046</v>
      </c>
      <c r="BE8" s="37">
        <f t="shared" si="25"/>
        <v>48453.596544344859</v>
      </c>
    </row>
    <row r="9" spans="1:308" x14ac:dyDescent="0.25">
      <c r="A9" s="2">
        <f>'creep_res-40'!A9</f>
        <v>1.0000000000000001E-9</v>
      </c>
      <c r="B9" s="3">
        <f>'creep_res-40'!O9</f>
        <v>-3.4677661714285719E-4</v>
      </c>
      <c r="C9" s="2">
        <f>IF('Modell einstellen'!$B$2="Ja",creep_res0!O9,creep_res0!C9)</f>
        <v>-3.604695828571429E-4</v>
      </c>
      <c r="D9" s="2">
        <f>IF('Modell einstellen'!$B$2="Ja",creep_res25!O9,creep_res25!C9)</f>
        <v>-3.7287631428571427E-4</v>
      </c>
      <c r="E9" s="2">
        <f>IF('Modell einstellen'!$B$2="Ja",creep_res50!O9,creep_res50!C9)</f>
        <v>-3.8366720571428569E-4</v>
      </c>
      <c r="F9" s="2">
        <f>IF('Modell einstellen'!$B$2="Ja",creep_res80!O9,creep_res80!C9)</f>
        <v>-3.9857573142857144E-4</v>
      </c>
      <c r="G9" s="2">
        <f>IF('Modell einstellen'!$B$2="Ja",creep_res125!O9,creep_res125!C9)</f>
        <v>-4.420115542857143E-4</v>
      </c>
      <c r="H9" s="2">
        <f>IF('Modell einstellen'!$B$2="Ja",creep_res160!O9,creep_res160!C9)</f>
        <v>-4.8496462857142863E-4</v>
      </c>
      <c r="M9" s="9">
        <f t="shared" si="26"/>
        <v>-10</v>
      </c>
      <c r="N9" s="2">
        <f t="shared" si="4"/>
        <v>1.0000000000000001E-9</v>
      </c>
      <c r="O9" s="2">
        <f t="shared" si="5"/>
        <v>28837.00776134057</v>
      </c>
      <c r="P9" s="2">
        <f t="shared" si="6"/>
        <v>27741.591733589026</v>
      </c>
      <c r="Q9" s="2">
        <f t="shared" si="7"/>
        <v>26818.544425800024</v>
      </c>
      <c r="R9" s="2">
        <f t="shared" si="27"/>
        <v>26064.255300065783</v>
      </c>
      <c r="S9" s="2">
        <f t="shared" si="8"/>
        <v>25089.33487786146</v>
      </c>
      <c r="T9" s="2">
        <f t="shared" si="9"/>
        <v>22623.842981118192</v>
      </c>
      <c r="U9" s="2">
        <f t="shared" si="10"/>
        <v>20620.060538141159</v>
      </c>
      <c r="Z9" s="2">
        <v>1.0000000000000001E-9</v>
      </c>
      <c r="AA9" s="3">
        <f>IF('Modell einstellen'!$B$2="Ja",'creep_res-40'!P9,'creep_res-40'!L9)</f>
        <v>0.37435791518518591</v>
      </c>
      <c r="AB9" s="2">
        <f>IF('Modell einstellen'!$B$2="Ja",creep_res0!P9,creep_res0!L9)</f>
        <v>0.38028240528223994</v>
      </c>
      <c r="AC9" s="2">
        <f>IF('Modell einstellen'!$B$2="Ja",creep_res25!P9,creep_res25!L9)</f>
        <v>0.38540557799671754</v>
      </c>
      <c r="AD9" s="2">
        <f>IF('Modell einstellen'!$B$2="Ja",creep_res50!P9,creep_res50!L9)</f>
        <v>0.3902517391523288</v>
      </c>
      <c r="AE9" s="2">
        <f>IF('Modell einstellen'!$B$2="Ja",creep_res80!P9,creep_res80!L9)</f>
        <v>0.3963879931160027</v>
      </c>
      <c r="AF9" s="2">
        <f>IF('Modell einstellen'!$B$2="Ja",creep_res125!P9,creep_res125!L9)</f>
        <v>0.41566795758745645</v>
      </c>
      <c r="AG9" s="2">
        <f>IF('Modell einstellen'!$B$2="Ja",creep_res160!P9,creep_res160!L9)</f>
        <v>0.43465181142518666</v>
      </c>
      <c r="AL9" s="2">
        <f t="shared" si="11"/>
        <v>1.0000000000000001E-9</v>
      </c>
      <c r="AM9" s="2">
        <f t="shared" si="12"/>
        <v>10491.083669953241</v>
      </c>
      <c r="AN9" s="2">
        <f t="shared" si="13"/>
        <v>10049.244860118473</v>
      </c>
      <c r="AO9" s="2">
        <f t="shared" si="14"/>
        <v>9678.9506451169946</v>
      </c>
      <c r="AP9" s="2">
        <f t="shared" si="15"/>
        <v>9373.9337150399151</v>
      </c>
      <c r="AQ9" s="2">
        <f t="shared" si="16"/>
        <v>8983.6546151744242</v>
      </c>
      <c r="AR9" s="2">
        <f t="shared" si="17"/>
        <v>7990.5188430178014</v>
      </c>
      <c r="AS9" s="2">
        <f t="shared" si="18"/>
        <v>7186.4338001487413</v>
      </c>
      <c r="AX9" s="2">
        <f t="shared" si="28"/>
        <v>1.0000000000000001E-9</v>
      </c>
      <c r="AY9" s="37">
        <f t="shared" si="19"/>
        <v>38252.851083355687</v>
      </c>
      <c r="AZ9" s="37">
        <f t="shared" si="20"/>
        <v>38620.878018516763</v>
      </c>
      <c r="BA9" s="37">
        <f t="shared" si="21"/>
        <v>39005.017226510136</v>
      </c>
      <c r="BB9" s="37">
        <f t="shared" si="22"/>
        <v>39581.880536953788</v>
      </c>
      <c r="BC9" s="37">
        <f t="shared" si="23"/>
        <v>40357.830513393368</v>
      </c>
      <c r="BD9" s="37">
        <f t="shared" si="24"/>
        <v>44711.836556826791</v>
      </c>
      <c r="BE9" s="37">
        <f t="shared" si="25"/>
        <v>52590.237484890778</v>
      </c>
    </row>
    <row r="10" spans="1:308" x14ac:dyDescent="0.25">
      <c r="A10" s="2">
        <f>'creep_res-40'!A10</f>
        <v>1E-8</v>
      </c>
      <c r="B10" s="3">
        <f>'creep_res-40'!O10</f>
        <v>-3.5371800571428575E-4</v>
      </c>
      <c r="C10" s="2">
        <f>IF('Modell einstellen'!$B$2="Ja",creep_res0!O10,creep_res0!C10)</f>
        <v>-3.6940146857142862E-4</v>
      </c>
      <c r="D10" s="2">
        <f>IF('Modell einstellen'!$B$2="Ja",creep_res25!O10,creep_res25!C10)</f>
        <v>-3.8131252000000001E-4</v>
      </c>
      <c r="E10" s="2">
        <f>IF('Modell einstellen'!$B$2="Ja",creep_res50!O10,creep_res50!C10)</f>
        <v>-3.9319581142857146E-4</v>
      </c>
      <c r="F10" s="2">
        <f>IF('Modell einstellen'!$B$2="Ja",creep_res80!O10,creep_res80!C10)</f>
        <v>-4.1107237714285716E-4</v>
      </c>
      <c r="G10" s="2">
        <f>IF('Modell einstellen'!$B$2="Ja",creep_res125!O10,creep_res125!C10)</f>
        <v>-4.5721752571428574E-4</v>
      </c>
      <c r="H10" s="2">
        <f>IF('Modell einstellen'!$B$2="Ja",creep_res160!O10,creep_res160!C10)</f>
        <v>-5.0056704571428581E-4</v>
      </c>
      <c r="M10" s="9">
        <f t="shared" si="26"/>
        <v>-10</v>
      </c>
      <c r="N10" s="2">
        <f t="shared" si="4"/>
        <v>1E-8</v>
      </c>
      <c r="O10" s="2">
        <f t="shared" si="5"/>
        <v>28271.10816653608</v>
      </c>
      <c r="P10" s="2">
        <f t="shared" si="6"/>
        <v>27070.818204033123</v>
      </c>
      <c r="Q10" s="2">
        <f t="shared" si="7"/>
        <v>26225.207606610977</v>
      </c>
      <c r="R10" s="2">
        <f t="shared" si="27"/>
        <v>25432.620870674291</v>
      </c>
      <c r="S10" s="2">
        <f t="shared" si="8"/>
        <v>24326.616323637743</v>
      </c>
      <c r="T10" s="2">
        <f t="shared" si="9"/>
        <v>21871.427575698352</v>
      </c>
      <c r="U10" s="2">
        <f t="shared" si="10"/>
        <v>19977.343865556446</v>
      </c>
      <c r="Z10" s="2">
        <v>1E-8</v>
      </c>
      <c r="AA10" s="3">
        <f>IF('Modell einstellen'!$B$2="Ja",'creep_res-40'!P10,'creep_res-40'!L10)</f>
        <v>0.37860356266689338</v>
      </c>
      <c r="AB10" s="2">
        <f>IF('Modell einstellen'!$B$2="Ja",creep_res0!P10,creep_res0!L10)</f>
        <v>0.38502366848042691</v>
      </c>
      <c r="AC10" s="2">
        <f>IF('Modell einstellen'!$B$2="Ja",creep_res25!P10,creep_res25!L10)</f>
        <v>0.39065174151638138</v>
      </c>
      <c r="AD10" s="2">
        <f>IF('Modell einstellen'!$B$2="Ja",creep_res50!P10,creep_res50!L10)</f>
        <v>0.3952293809495166</v>
      </c>
      <c r="AE10" s="2">
        <f>IF('Modell einstellen'!$B$2="Ja",creep_res80!P10,creep_res80!L10)</f>
        <v>0.40285538315908109</v>
      </c>
      <c r="AF10" s="2">
        <f>IF('Modell einstellen'!$B$2="Ja",creep_res125!P10,creep_res125!L10)</f>
        <v>0.42381371282768104</v>
      </c>
      <c r="AG10" s="2">
        <f>IF('Modell einstellen'!$B$2="Ja",creep_res160!P10,creep_res160!L10)</f>
        <v>0.44274771218601872</v>
      </c>
      <c r="AL10" s="2">
        <f t="shared" si="11"/>
        <v>1E-8</v>
      </c>
      <c r="AM10" s="2">
        <f t="shared" si="12"/>
        <v>10253.530794540358</v>
      </c>
      <c r="AN10" s="2">
        <f t="shared" si="13"/>
        <v>9772.6915503667024</v>
      </c>
      <c r="AO10" s="2">
        <f t="shared" si="14"/>
        <v>9429.10680786792</v>
      </c>
      <c r="AP10" s="2">
        <f t="shared" si="15"/>
        <v>9114.1360760931802</v>
      </c>
      <c r="AQ10" s="2">
        <f t="shared" si="16"/>
        <v>8670.3934759322055</v>
      </c>
      <c r="AR10" s="2">
        <f t="shared" si="17"/>
        <v>7680.5790598342728</v>
      </c>
      <c r="AS10" s="2">
        <f t="shared" si="18"/>
        <v>6923.3670228065112</v>
      </c>
      <c r="AX10" s="2">
        <f t="shared" si="28"/>
        <v>1E-8</v>
      </c>
      <c r="AY10" s="37">
        <f t="shared" si="19"/>
        <v>38813.753225395143</v>
      </c>
      <c r="AZ10" s="37">
        <f t="shared" si="20"/>
        <v>39241.146193966451</v>
      </c>
      <c r="BA10" s="37">
        <f t="shared" si="21"/>
        <v>39971.994022108353</v>
      </c>
      <c r="BB10" s="37">
        <f t="shared" si="22"/>
        <v>40457.622409102529</v>
      </c>
      <c r="BC10" s="37">
        <f t="shared" si="23"/>
        <v>41736.08570178465</v>
      </c>
      <c r="BD10" s="37">
        <f t="shared" si="24"/>
        <v>47846.378457034145</v>
      </c>
      <c r="BE10" s="37">
        <f t="shared" si="25"/>
        <v>58155.882289702677</v>
      </c>
    </row>
    <row r="11" spans="1:308" x14ac:dyDescent="0.25">
      <c r="A11" s="2">
        <f>'creep_res-40'!A11</f>
        <v>9.9999999999999995E-8</v>
      </c>
      <c r="B11" s="3">
        <f>'creep_res-40'!O11</f>
        <v>-3.6188184000000005E-4</v>
      </c>
      <c r="C11" s="2">
        <f>IF('Modell einstellen'!$B$2="Ja",creep_res0!O11,creep_res0!C11)</f>
        <v>-3.778486685714286E-4</v>
      </c>
      <c r="D11" s="2">
        <f>IF('Modell einstellen'!$B$2="Ja",creep_res25!O11,creep_res25!C11)</f>
        <v>-3.9080617142857142E-4</v>
      </c>
      <c r="E11" s="2">
        <f>IF('Modell einstellen'!$B$2="Ja",creep_res50!O11,creep_res50!C11)</f>
        <v>-4.0432668571428575E-4</v>
      </c>
      <c r="F11" s="2">
        <f>IF('Modell einstellen'!$B$2="Ja",creep_res80!O11,creep_res80!C11)</f>
        <v>-4.2596614285714284E-4</v>
      </c>
      <c r="G11" s="2">
        <f>IF('Modell einstellen'!$B$2="Ja",creep_res125!O11,creep_res125!C11)</f>
        <v>-4.7125333142857142E-4</v>
      </c>
      <c r="H11" s="2">
        <f>IF('Modell einstellen'!$B$2="Ja",creep_res160!O11,creep_res160!C11)</f>
        <v>-5.1841342285714287E-4</v>
      </c>
      <c r="M11" s="9">
        <f t="shared" si="26"/>
        <v>-10</v>
      </c>
      <c r="N11" s="2">
        <f t="shared" si="4"/>
        <v>9.9999999999999995E-8</v>
      </c>
      <c r="O11" s="2">
        <f t="shared" si="5"/>
        <v>27633.32915517396</v>
      </c>
      <c r="P11" s="2">
        <f t="shared" si="6"/>
        <v>26465.621905743457</v>
      </c>
      <c r="Q11" s="2">
        <f t="shared" si="7"/>
        <v>25588.132253504406</v>
      </c>
      <c r="R11" s="2">
        <f t="shared" si="27"/>
        <v>24732.475874883068</v>
      </c>
      <c r="S11" s="2">
        <f t="shared" si="8"/>
        <v>23476.044206061986</v>
      </c>
      <c r="T11" s="2">
        <f t="shared" si="9"/>
        <v>21220.009139639824</v>
      </c>
      <c r="U11" s="2">
        <f t="shared" si="10"/>
        <v>19289.623993311725</v>
      </c>
      <c r="Z11" s="2">
        <v>9.9999999999999995E-8</v>
      </c>
      <c r="AA11" s="3">
        <f>IF('Modell einstellen'!$B$2="Ja",'creep_res-40'!P11,'creep_res-40'!L11)</f>
        <v>0.3830362497801571</v>
      </c>
      <c r="AB11" s="2">
        <f>IF('Modell einstellen'!$B$2="Ja",creep_res0!P11,creep_res0!L11)</f>
        <v>0.39036881537925455</v>
      </c>
      <c r="AC11" s="2">
        <f>IF('Modell einstellen'!$B$2="Ja",creep_res25!P11,creep_res25!L11)</f>
        <v>0.39568489048571837</v>
      </c>
      <c r="AD11" s="2">
        <f>IF('Modell einstellen'!$B$2="Ja",creep_res50!P11,creep_res50!L11)</f>
        <v>0.40147076260964087</v>
      </c>
      <c r="AE11" s="2">
        <f>IF('Modell einstellen'!$B$2="Ja",creep_res80!P11,creep_res80!L11)</f>
        <v>0.41103257368208007</v>
      </c>
      <c r="AF11" s="2">
        <f>IF('Modell einstellen'!$B$2="Ja",creep_res125!P11,creep_res125!L11)</f>
        <v>0.4313066531046153</v>
      </c>
      <c r="AG11" s="2">
        <f>IF('Modell einstellen'!$B$2="Ja",creep_res160!P11,creep_res160!L11)</f>
        <v>0.45195902059370185</v>
      </c>
      <c r="AL11" s="2">
        <f t="shared" si="11"/>
        <v>9.9999999999999995E-8</v>
      </c>
      <c r="AM11" s="2">
        <f t="shared" si="12"/>
        <v>9990.0957619753135</v>
      </c>
      <c r="AN11" s="2">
        <f t="shared" si="13"/>
        <v>9517.4825603824975</v>
      </c>
      <c r="AO11" s="2">
        <f t="shared" si="14"/>
        <v>9166.8729911518094</v>
      </c>
      <c r="AP11" s="2">
        <f t="shared" si="15"/>
        <v>8823.7573464712859</v>
      </c>
      <c r="AQ11" s="2">
        <f t="shared" si="16"/>
        <v>8318.7463719570296</v>
      </c>
      <c r="AR11" s="2">
        <f t="shared" si="17"/>
        <v>7412.8102086341796</v>
      </c>
      <c r="AS11" s="2">
        <f t="shared" si="18"/>
        <v>6642.6199774647403</v>
      </c>
      <c r="AX11" s="2">
        <f t="shared" si="28"/>
        <v>9.9999999999999995E-8</v>
      </c>
      <c r="AY11" s="37">
        <f t="shared" si="19"/>
        <v>39375.916474455924</v>
      </c>
      <c r="AZ11" s="37">
        <f t="shared" si="20"/>
        <v>40234.327482181536</v>
      </c>
      <c r="BA11" s="37">
        <f t="shared" si="21"/>
        <v>40882.751585795231</v>
      </c>
      <c r="BB11" s="37">
        <f t="shared" si="22"/>
        <v>41836.102883344225</v>
      </c>
      <c r="BC11" s="37">
        <f t="shared" si="23"/>
        <v>43978.725655859154</v>
      </c>
      <c r="BD11" s="37">
        <f t="shared" si="24"/>
        <v>51484.872258824078</v>
      </c>
      <c r="BE11" s="37">
        <f t="shared" si="25"/>
        <v>66920.728343792769</v>
      </c>
    </row>
    <row r="12" spans="1:308" x14ac:dyDescent="0.25">
      <c r="A12" s="2">
        <f>'creep_res-40'!A12</f>
        <v>9.9999999999999995E-7</v>
      </c>
      <c r="B12" s="3">
        <f>'creep_res-40'!O12</f>
        <v>-3.704156685714286E-4</v>
      </c>
      <c r="C12" s="2">
        <f>IF('Modell einstellen'!$B$2="Ja",creep_res0!O12,creep_res0!C12)</f>
        <v>-3.8717555428571435E-4</v>
      </c>
      <c r="D12" s="2">
        <f>IF('Modell einstellen'!$B$2="Ja",creep_res25!O12,creep_res25!C12)</f>
        <v>-4.0198573142857146E-4</v>
      </c>
      <c r="E12" s="2">
        <f>IF('Modell einstellen'!$B$2="Ja",creep_res50!O12,creep_res50!C12)</f>
        <v>-4.1845078857142859E-4</v>
      </c>
      <c r="F12" s="2">
        <f>IF('Modell einstellen'!$B$2="Ja",creep_res80!O12,creep_res80!C12)</f>
        <v>-4.4192214857142857E-4</v>
      </c>
      <c r="G12" s="2">
        <f>IF('Modell einstellen'!$B$2="Ja",creep_res125!O12,creep_res125!C12)</f>
        <v>-4.8648615428571431E-4</v>
      </c>
      <c r="H12" s="2">
        <f>IF('Modell einstellen'!$B$2="Ja",creep_res160!O12,creep_res160!C12)</f>
        <v>-5.3625677714285716E-4</v>
      </c>
      <c r="M12" s="9">
        <f t="shared" si="26"/>
        <v>-10</v>
      </c>
      <c r="N12" s="2">
        <f t="shared" si="4"/>
        <v>9.9999999999999995E-7</v>
      </c>
      <c r="O12" s="2">
        <f t="shared" si="5"/>
        <v>26996.698164974259</v>
      </c>
      <c r="P12" s="2">
        <f t="shared" si="6"/>
        <v>25828.07692610817</v>
      </c>
      <c r="Q12" s="2">
        <f t="shared" si="7"/>
        <v>24876.504856185158</v>
      </c>
      <c r="R12" s="2">
        <f t="shared" si="27"/>
        <v>23897.672732651627</v>
      </c>
      <c r="S12" s="2">
        <f t="shared" si="8"/>
        <v>22628.420033542818</v>
      </c>
      <c r="T12" s="2">
        <f t="shared" si="9"/>
        <v>20555.569592073076</v>
      </c>
      <c r="U12" s="2">
        <f t="shared" si="10"/>
        <v>18647.782976803352</v>
      </c>
      <c r="Z12" s="2">
        <v>9.9999999999999995E-7</v>
      </c>
      <c r="AA12" s="3">
        <f>IF('Modell einstellen'!$B$2="Ja",'creep_res-40'!P12,'creep_res-40'!L12)</f>
        <v>0.3885746147548032</v>
      </c>
      <c r="AB12" s="2">
        <f>IF('Modell einstellen'!$B$2="Ja",creep_res0!P12,creep_res0!L12)</f>
        <v>0.39537050464903906</v>
      </c>
      <c r="AC12" s="2">
        <f>IF('Modell einstellen'!$B$2="Ja",creep_res25!P12,creep_res25!L12)</f>
        <v>0.40206005606197565</v>
      </c>
      <c r="AD12" s="2">
        <f>IF('Modell einstellen'!$B$2="Ja",creep_res50!P12,creep_res50!L12)</f>
        <v>0.40940425041002942</v>
      </c>
      <c r="AE12" s="2">
        <f>IF('Modell einstellen'!$B$2="Ja",creep_res80!P12,creep_res80!L12)</f>
        <v>0.41983588680183309</v>
      </c>
      <c r="AF12" s="2">
        <f>IF('Modell einstellen'!$B$2="Ja",creep_res125!P12,creep_res125!L12)</f>
        <v>0.43942559657284386</v>
      </c>
      <c r="AG12" s="2">
        <f>IF('Modell einstellen'!$B$2="Ja",creep_res160!P12,creep_res160!L12)</f>
        <v>0.46113948013135203</v>
      </c>
      <c r="AL12" s="2">
        <f t="shared" si="11"/>
        <v>9.9999999999999995E-7</v>
      </c>
      <c r="AM12" s="2">
        <f t="shared" si="12"/>
        <v>9721.0109842535821</v>
      </c>
      <c r="AN12" s="2">
        <f t="shared" si="13"/>
        <v>9254.9171850971579</v>
      </c>
      <c r="AO12" s="2">
        <f t="shared" si="14"/>
        <v>8871.4120157080979</v>
      </c>
      <c r="AP12" s="2">
        <f t="shared" si="15"/>
        <v>8477.9341078683501</v>
      </c>
      <c r="AQ12" s="2">
        <f t="shared" si="16"/>
        <v>7968.6744939632144</v>
      </c>
      <c r="AR12" s="2">
        <f t="shared" si="17"/>
        <v>7140.1987157287695</v>
      </c>
      <c r="AS12" s="2">
        <f t="shared" si="18"/>
        <v>6381.2467017614817</v>
      </c>
      <c r="AX12" s="2">
        <f t="shared" si="28"/>
        <v>9.9999999999999995E-7</v>
      </c>
      <c r="AY12" s="37">
        <f t="shared" si="19"/>
        <v>40380.83139009236</v>
      </c>
      <c r="AZ12" s="37">
        <f t="shared" si="20"/>
        <v>41142.122240439152</v>
      </c>
      <c r="BA12" s="37">
        <f t="shared" si="21"/>
        <v>42332.923381303306</v>
      </c>
      <c r="BB12" s="37">
        <f t="shared" si="22"/>
        <v>43963.932893854777</v>
      </c>
      <c r="BC12" s="37">
        <f t="shared" si="23"/>
        <v>47046.030804343041</v>
      </c>
      <c r="BD12" s="37">
        <f t="shared" si="24"/>
        <v>56557.358744199089</v>
      </c>
      <c r="BE12" s="37">
        <f t="shared" si="25"/>
        <v>79977.412550640627</v>
      </c>
    </row>
    <row r="13" spans="1:308" x14ac:dyDescent="0.25">
      <c r="A13" s="2">
        <f>'creep_res-40'!A13</f>
        <v>1.0000000000000001E-5</v>
      </c>
      <c r="B13" s="3">
        <f>'creep_res-40'!O13</f>
        <v>-3.7939892000000004E-4</v>
      </c>
      <c r="C13" s="2">
        <f>IF('Modell einstellen'!$B$2="Ja",creep_res0!O13,creep_res0!C13)</f>
        <v>-3.9797395428571429E-4</v>
      </c>
      <c r="D13" s="2">
        <f>IF('Modell einstellen'!$B$2="Ja",creep_res25!O13,creep_res25!C13)</f>
        <v>-4.1611814857142864E-4</v>
      </c>
      <c r="E13" s="2">
        <f>IF('Modell einstellen'!$B$2="Ja",creep_res50!O13,creep_res50!C13)</f>
        <v>-4.3423338285714292E-4</v>
      </c>
      <c r="F13" s="2">
        <f>IF('Modell einstellen'!$B$2="Ja",creep_res80!O13,creep_res80!C13)</f>
        <v>-4.5590130285714283E-4</v>
      </c>
      <c r="G13" s="2">
        <f>IF('Modell einstellen'!$B$2="Ja",creep_res125!O13,creep_res125!C13)</f>
        <v>-5.028533485714286E-4</v>
      </c>
      <c r="H13" s="2">
        <f>IF('Modell einstellen'!$B$2="Ja",creep_res160!O13,creep_res160!C13)</f>
        <v>-5.6095232E-4</v>
      </c>
      <c r="M13" s="9">
        <f t="shared" si="26"/>
        <v>-10</v>
      </c>
      <c r="N13" s="2">
        <f t="shared" si="4"/>
        <v>1.0000000000000001E-5</v>
      </c>
      <c r="O13" s="2">
        <f t="shared" si="5"/>
        <v>26357.481460411112</v>
      </c>
      <c r="P13" s="2">
        <f t="shared" si="6"/>
        <v>25127.272506935918</v>
      </c>
      <c r="Q13" s="2">
        <f t="shared" si="7"/>
        <v>24031.636289671351</v>
      </c>
      <c r="R13" s="2">
        <f t="shared" si="27"/>
        <v>23029.090794914468</v>
      </c>
      <c r="S13" s="2">
        <f t="shared" si="8"/>
        <v>21934.572104378283</v>
      </c>
      <c r="T13" s="2">
        <f t="shared" si="9"/>
        <v>19886.513689148745</v>
      </c>
      <c r="U13" s="2">
        <f t="shared" si="10"/>
        <v>17826.827064375098</v>
      </c>
      <c r="Z13" s="2">
        <v>1.0000000000000001E-5</v>
      </c>
      <c r="AA13" s="3">
        <f>IF('Modell einstellen'!$B$2="Ja",'creep_res-40'!P13,'creep_res-40'!L13)</f>
        <v>0.39350385378760994</v>
      </c>
      <c r="AB13" s="2">
        <f>IF('Modell einstellen'!$B$2="Ja",creep_res0!P13,creep_res0!L13)</f>
        <v>0.40162908291974087</v>
      </c>
      <c r="AC13" s="2">
        <f>IF('Modell einstellen'!$B$2="Ja",creep_res25!P13,creep_res25!L13)</f>
        <v>0.41013538517549597</v>
      </c>
      <c r="AD13" s="2">
        <f>IF('Modell einstellen'!$B$2="Ja",creep_res50!P13,creep_res50!L13)</f>
        <v>0.41829499665235975</v>
      </c>
      <c r="AE13" s="2">
        <f>IF('Modell einstellen'!$B$2="Ja",creep_res80!P13,creep_res80!L13)</f>
        <v>0.42757955080202326</v>
      </c>
      <c r="AF13" s="2">
        <f>IF('Modell einstellen'!$B$2="Ja",creep_res125!P13,creep_res125!L13)</f>
        <v>0.44811240393904789</v>
      </c>
      <c r="AG13" s="2">
        <f>IF('Modell einstellen'!$B$2="Ja",creep_res160!P13,creep_res160!L13)</f>
        <v>0.47365772549082252</v>
      </c>
      <c r="AL13" s="2">
        <f t="shared" si="11"/>
        <v>1.0000000000000001E-5</v>
      </c>
      <c r="AM13" s="2">
        <f t="shared" si="12"/>
        <v>9457.2689514888043</v>
      </c>
      <c r="AN13" s="2">
        <f t="shared" si="13"/>
        <v>8963.5955807199589</v>
      </c>
      <c r="AO13" s="2">
        <f t="shared" si="14"/>
        <v>8521.038668453999</v>
      </c>
      <c r="AP13" s="2">
        <f t="shared" si="15"/>
        <v>8118.5828227804013</v>
      </c>
      <c r="AQ13" s="2">
        <f t="shared" si="16"/>
        <v>7682.4342615636733</v>
      </c>
      <c r="AR13" s="2">
        <f t="shared" si="17"/>
        <v>6866.3570711275343</v>
      </c>
      <c r="AS13" s="2">
        <f t="shared" si="18"/>
        <v>6048.4964574924006</v>
      </c>
      <c r="AX13" s="2">
        <f t="shared" si="28"/>
        <v>1.0000000000000001E-5</v>
      </c>
      <c r="AY13" s="37">
        <f t="shared" si="19"/>
        <v>41249.50745141707</v>
      </c>
      <c r="AZ13" s="37">
        <f t="shared" si="20"/>
        <v>42572.326003011323</v>
      </c>
      <c r="BA13" s="37">
        <f t="shared" si="21"/>
        <v>44570.076027890333</v>
      </c>
      <c r="BB13" s="37">
        <f t="shared" si="22"/>
        <v>46976.092551170099</v>
      </c>
      <c r="BC13" s="37">
        <f t="shared" si="23"/>
        <v>50479.692654247083</v>
      </c>
      <c r="BD13" s="37">
        <f t="shared" si="24"/>
        <v>63876.903148452388</v>
      </c>
      <c r="BE13" s="37">
        <f t="shared" si="25"/>
        <v>112789.72296137114</v>
      </c>
    </row>
    <row r="14" spans="1:308" x14ac:dyDescent="0.25">
      <c r="A14" s="2">
        <f>'creep_res-40'!A14</f>
        <v>1E-4</v>
      </c>
      <c r="B14" s="3">
        <f>'creep_res-40'!O14</f>
        <v>-3.8849084571428573E-4</v>
      </c>
      <c r="C14" s="2">
        <f>IF('Modell einstellen'!$B$2="Ja",creep_res0!O14,creep_res0!C14)</f>
        <v>-4.1174637142857144E-4</v>
      </c>
      <c r="D14" s="2">
        <f>IF('Modell einstellen'!$B$2="Ja",creep_res25!O14,creep_res25!C14)</f>
        <v>-4.3179653142857147E-4</v>
      </c>
      <c r="E14" s="2">
        <f>IF('Modell einstellen'!$B$2="Ja",creep_res50!O14,creep_res50!C14)</f>
        <v>-4.4869412571428574E-4</v>
      </c>
      <c r="F14" s="2">
        <f>IF('Modell einstellen'!$B$2="Ja",creep_res80!O14,creep_res80!C14)</f>
        <v>-4.7041819428571432E-4</v>
      </c>
      <c r="G14" s="2">
        <f>IF('Modell einstellen'!$B$2="Ja",creep_res125!O14,creep_res125!C14)</f>
        <v>-5.2051835428571435E-4</v>
      </c>
      <c r="H14" s="2">
        <f>IF('Modell einstellen'!$B$2="Ja",creep_res160!O14,creep_res160!C14)</f>
        <v>-5.8981965714285716E-4</v>
      </c>
      <c r="M14" s="9">
        <f t="shared" si="26"/>
        <v>-10</v>
      </c>
      <c r="N14" s="2">
        <f t="shared" si="4"/>
        <v>1E-4</v>
      </c>
      <c r="O14" s="2">
        <f t="shared" si="5"/>
        <v>25740.632270533515</v>
      </c>
      <c r="P14" s="2">
        <f t="shared" si="6"/>
        <v>24286.795692466159</v>
      </c>
      <c r="Q14" s="2">
        <f t="shared" si="7"/>
        <v>23159.055879665437</v>
      </c>
      <c r="R14" s="2">
        <f t="shared" si="27"/>
        <v>22286.897525303651</v>
      </c>
      <c r="S14" s="2">
        <f t="shared" si="8"/>
        <v>21257.681189784882</v>
      </c>
      <c r="T14" s="2">
        <f t="shared" si="9"/>
        <v>19211.618413960798</v>
      </c>
      <c r="U14" s="2">
        <f t="shared" si="10"/>
        <v>16954.334903724568</v>
      </c>
      <c r="Z14" s="2">
        <v>1E-4</v>
      </c>
      <c r="AA14" s="3">
        <f>IF('Modell einstellen'!$B$2="Ja",'creep_res-40'!P14,'creep_res-40'!L14)</f>
        <v>0.3994176998294558</v>
      </c>
      <c r="AB14" s="2">
        <f>IF('Modell einstellen'!$B$2="Ja",creep_res0!P14,creep_res0!L14)</f>
        <v>0.40962886792375586</v>
      </c>
      <c r="AC14" s="2">
        <f>IF('Modell einstellen'!$B$2="Ja",creep_res25!P14,creep_res25!L14)</f>
        <v>0.41912078880855963</v>
      </c>
      <c r="AD14" s="2">
        <f>IF('Modell einstellen'!$B$2="Ja",creep_res50!P14,creep_res50!L14)</f>
        <v>0.42647180633597898</v>
      </c>
      <c r="AE14" s="2">
        <f>IF('Modell einstellen'!$B$2="Ja",creep_res80!P14,creep_res80!L14)</f>
        <v>0.43557117518681004</v>
      </c>
      <c r="AF14" s="2">
        <f>IF('Modell einstellen'!$B$2="Ja",creep_res125!P14,creep_res125!L14)</f>
        <v>0.45746144788065762</v>
      </c>
      <c r="AG14" s="2">
        <f>IF('Modell einstellen'!$B$2="Ja",creep_res160!P14,creep_res160!L14)</f>
        <v>0.4881226067745259</v>
      </c>
      <c r="AL14" s="2">
        <f t="shared" si="11"/>
        <v>1E-4</v>
      </c>
      <c r="AM14" s="2">
        <f t="shared" si="12"/>
        <v>9196.9082117763955</v>
      </c>
      <c r="AN14" s="2">
        <f t="shared" si="13"/>
        <v>8614.6063850970258</v>
      </c>
      <c r="AO14" s="2">
        <f t="shared" si="14"/>
        <v>8159.6492921187164</v>
      </c>
      <c r="AP14" s="2">
        <f t="shared" si="15"/>
        <v>7811.8955545814642</v>
      </c>
      <c r="AQ14" s="2">
        <f t="shared" si="16"/>
        <v>7403.9105678680935</v>
      </c>
      <c r="AR14" s="2">
        <f t="shared" si="17"/>
        <v>6590.7809918049779</v>
      </c>
      <c r="AS14" s="2">
        <f t="shared" si="18"/>
        <v>5696.5517580815231</v>
      </c>
      <c r="AX14" s="2">
        <f t="shared" si="28"/>
        <v>1E-4</v>
      </c>
      <c r="AY14" s="37">
        <f t="shared" si="19"/>
        <v>42652.687114413609</v>
      </c>
      <c r="AZ14" s="37">
        <f t="shared" si="20"/>
        <v>44790.844034825786</v>
      </c>
      <c r="BA14" s="37">
        <f t="shared" si="21"/>
        <v>47723.544650734701</v>
      </c>
      <c r="BB14" s="37">
        <f t="shared" si="22"/>
        <v>50517.80461052616</v>
      </c>
      <c r="BC14" s="37">
        <f t="shared" si="23"/>
        <v>54990.08984312298</v>
      </c>
      <c r="BD14" s="37">
        <f t="shared" si="24"/>
        <v>75271.400713022202</v>
      </c>
      <c r="BE14" s="37">
        <f t="shared" si="25"/>
        <v>237907.63093484289</v>
      </c>
    </row>
    <row r="15" spans="1:308" x14ac:dyDescent="0.25">
      <c r="A15" s="2">
        <f>'creep_res-40'!A15</f>
        <v>1E-3</v>
      </c>
      <c r="B15" s="3">
        <f>'creep_res-40'!O15</f>
        <v>-4.0148532E-4</v>
      </c>
      <c r="C15" s="2">
        <f>IF('Modell einstellen'!$B$2="Ja",creep_res0!O15,creep_res0!C15)</f>
        <v>-4.2728338285714294E-4</v>
      </c>
      <c r="D15" s="2">
        <f>IF('Modell einstellen'!$B$2="Ja",creep_res25!O15,creep_res25!C15)</f>
        <v>-4.4603799428571429E-4</v>
      </c>
      <c r="E15" s="2">
        <f>IF('Modell einstellen'!$B$2="Ja",creep_res50!O15,creep_res50!C15)</f>
        <v>-4.6266420000000007E-4</v>
      </c>
      <c r="F15" s="2">
        <f>IF('Modell einstellen'!$B$2="Ja",creep_res80!O15,creep_res80!C15)</f>
        <v>-4.8552683428571436E-4</v>
      </c>
      <c r="G15" s="2">
        <f>IF('Modell einstellen'!$B$2="Ja",creep_res125!O15,creep_res125!C15)</f>
        <v>-5.4071768571428572E-4</v>
      </c>
      <c r="H15" s="2">
        <f>IF('Modell einstellen'!$B$2="Ja",creep_res160!O15,creep_res160!C15)</f>
        <v>-6.2802862857142862E-4</v>
      </c>
      <c r="M15" s="9">
        <f t="shared" si="26"/>
        <v>-10</v>
      </c>
      <c r="N15" s="2">
        <f t="shared" si="4"/>
        <v>1E-3</v>
      </c>
      <c r="O15" s="2">
        <f t="shared" si="5"/>
        <v>24907.510939627879</v>
      </c>
      <c r="P15" s="2">
        <f t="shared" si="6"/>
        <v>23403.671664300084</v>
      </c>
      <c r="Q15" s="2">
        <f t="shared" si="7"/>
        <v>22419.614759531887</v>
      </c>
      <c r="R15" s="2">
        <f t="shared" si="27"/>
        <v>21613.94808589037</v>
      </c>
      <c r="S15" s="2">
        <f t="shared" si="8"/>
        <v>20596.183967280733</v>
      </c>
      <c r="T15" s="2">
        <f t="shared" si="9"/>
        <v>18493.939192667691</v>
      </c>
      <c r="U15" s="2">
        <f t="shared" si="10"/>
        <v>15922.841006065146</v>
      </c>
      <c r="Z15" s="2">
        <v>1E-3</v>
      </c>
      <c r="AA15" s="3">
        <f>IF('Modell einstellen'!$B$2="Ja",'creep_res-40'!P15,'creep_res-40'!L15)</f>
        <v>0.40667803957849036</v>
      </c>
      <c r="AB15" s="2">
        <f>IF('Modell einstellen'!$B$2="Ja",creep_res0!P15,creep_res0!L15)</f>
        <v>0.41867837941529656</v>
      </c>
      <c r="AC15" s="2">
        <f>IF('Modell einstellen'!$B$2="Ja",creep_res25!P15,creep_res25!L15)</f>
        <v>0.42731184885992224</v>
      </c>
      <c r="AD15" s="2">
        <f>IF('Modell einstellen'!$B$2="Ja",creep_res50!P15,creep_res50!L15)</f>
        <v>0.43433066882756743</v>
      </c>
      <c r="AE15" s="2">
        <f>IF('Modell einstellen'!$B$2="Ja",creep_res80!P15,creep_res80!L15)</f>
        <v>0.44387750538454862</v>
      </c>
      <c r="AF15" s="2">
        <f>IF('Modell einstellen'!$B$2="Ja",creep_res125!P15,creep_res125!L15)</f>
        <v>0.46801799238356173</v>
      </c>
      <c r="AG15" s="2">
        <f>IF('Modell einstellen'!$B$2="Ja",creep_res160!P15,creep_res160!L15)</f>
        <v>0.50669351651940164</v>
      </c>
      <c r="AL15" s="2">
        <f t="shared" si="11"/>
        <v>1E-3</v>
      </c>
      <c r="AM15" s="2">
        <f t="shared" si="12"/>
        <v>8853.3090866661241</v>
      </c>
      <c r="AN15" s="2">
        <f t="shared" si="13"/>
        <v>8248.4064055257641</v>
      </c>
      <c r="AO15" s="2">
        <f t="shared" si="14"/>
        <v>7853.7898979258625</v>
      </c>
      <c r="AP15" s="2">
        <f t="shared" si="15"/>
        <v>7534.5067060295696</v>
      </c>
      <c r="AQ15" s="2">
        <f t="shared" si="16"/>
        <v>7132.2476769922887</v>
      </c>
      <c r="AR15" s="2">
        <f t="shared" si="17"/>
        <v>6298.9484082003064</v>
      </c>
      <c r="AS15" s="2">
        <f t="shared" si="18"/>
        <v>5284.0344872686346</v>
      </c>
      <c r="AX15" s="2">
        <f t="shared" si="28"/>
        <v>1E-3</v>
      </c>
      <c r="AY15" s="37">
        <f t="shared" si="19"/>
        <v>44483.118491309542</v>
      </c>
      <c r="AZ15" s="37">
        <f t="shared" si="20"/>
        <v>47965.25101202567</v>
      </c>
      <c r="BA15" s="37">
        <f t="shared" si="21"/>
        <v>51405.936198888216</v>
      </c>
      <c r="BB15" s="37">
        <f t="shared" si="22"/>
        <v>54855.510428800502</v>
      </c>
      <c r="BC15" s="37">
        <f t="shared" si="23"/>
        <v>61164.375379262776</v>
      </c>
      <c r="BD15" s="37">
        <f t="shared" si="24"/>
        <v>96376.788966608874</v>
      </c>
      <c r="BE15" s="37">
        <f t="shared" si="25"/>
        <v>-396474.23393248365</v>
      </c>
    </row>
    <row r="16" spans="1:308" x14ac:dyDescent="0.25">
      <c r="A16" s="2">
        <f>'creep_res-40'!A16</f>
        <v>0.01</v>
      </c>
      <c r="B16" s="3">
        <f>'creep_res-40'!O16</f>
        <v>-4.165129028571429E-4</v>
      </c>
      <c r="C16" s="2">
        <f>IF('Modell einstellen'!$B$2="Ja",creep_res0!O16,creep_res0!C16)</f>
        <v>-4.4168786857142855E-4</v>
      </c>
      <c r="D16" s="2">
        <f>IF('Modell einstellen'!$B$2="Ja",creep_res25!O16,creep_res25!C16)</f>
        <v>-4.5998946857142857E-4</v>
      </c>
      <c r="E16" s="2">
        <f>IF('Modell einstellen'!$B$2="Ja",creep_res50!O16,creep_res50!C16)</f>
        <v>-4.775777771428572E-4</v>
      </c>
      <c r="F16" s="2">
        <f>IF('Modell einstellen'!$B$2="Ja",creep_res80!O16,creep_res80!C16)</f>
        <v>-5.0266556571428576E-4</v>
      </c>
      <c r="G16" s="2">
        <f>IF('Modell einstellen'!$B$2="Ja",creep_res125!O16,creep_res125!C16)</f>
        <v>-5.6753465714285724E-4</v>
      </c>
      <c r="H16" s="2">
        <f>IF('Modell einstellen'!$B$2="Ja",creep_res160!O16,creep_res160!C16)</f>
        <v>-6.7961274285714289E-4</v>
      </c>
      <c r="M16" s="9">
        <f t="shared" si="26"/>
        <v>-10</v>
      </c>
      <c r="N16" s="2">
        <f t="shared" si="4"/>
        <v>0.01</v>
      </c>
      <c r="O16" s="2">
        <f t="shared" si="5"/>
        <v>24008.860065086232</v>
      </c>
      <c r="P16" s="2">
        <f t="shared" si="6"/>
        <v>22640.42259603702</v>
      </c>
      <c r="Q16" s="2">
        <f t="shared" si="7"/>
        <v>21739.628150741388</v>
      </c>
      <c r="R16" s="2">
        <f t="shared" si="27"/>
        <v>20938.997747813366</v>
      </c>
      <c r="S16" s="2">
        <f t="shared" si="8"/>
        <v>19893.942776426389</v>
      </c>
      <c r="T16" s="2">
        <f t="shared" si="9"/>
        <v>17620.069319366423</v>
      </c>
      <c r="U16" s="2">
        <f t="shared" si="10"/>
        <v>14714.26206336163</v>
      </c>
      <c r="Z16" s="2">
        <v>0.01</v>
      </c>
      <c r="AA16" s="3">
        <f>IF('Modell einstellen'!$B$2="Ja",'creep_res-40'!P16,'creep_res-40'!L16)</f>
        <v>0.41563098618052757</v>
      </c>
      <c r="AB16" s="2">
        <f>IF('Modell einstellen'!$B$2="Ja",creep_res0!P16,creep_res0!L16)</f>
        <v>0.42709586628964896</v>
      </c>
      <c r="AC16" s="2">
        <f>IF('Modell einstellen'!$B$2="Ja",creep_res25!P16,creep_res25!L16)</f>
        <v>0.43528985390311487</v>
      </c>
      <c r="AD16" s="2">
        <f>IF('Modell einstellen'!$B$2="Ja",creep_res50!P16,creep_res50!L16)</f>
        <v>0.44270315473281591</v>
      </c>
      <c r="AE16" s="2">
        <f>IF('Modell einstellen'!$B$2="Ja",creep_res80!P16,creep_res80!L16)</f>
        <v>0.45322884034206029</v>
      </c>
      <c r="AF16" s="2">
        <f>IF('Modell einstellen'!$B$2="Ja",creep_res125!P16,creep_res125!L16)</f>
        <v>0.48175339625577546</v>
      </c>
      <c r="AG16" s="2">
        <f>IF('Modell einstellen'!$B$2="Ja",creep_res160!P16,creep_res160!L16)</f>
        <v>0.53005612524039958</v>
      </c>
      <c r="AL16" s="2">
        <f t="shared" si="11"/>
        <v>0.01</v>
      </c>
      <c r="AM16" s="2">
        <f t="shared" si="12"/>
        <v>8479.914716286281</v>
      </c>
      <c r="AN16" s="2">
        <f t="shared" si="13"/>
        <v>7932.3411730217404</v>
      </c>
      <c r="AO16" s="2">
        <f t="shared" si="14"/>
        <v>7573.2536155058961</v>
      </c>
      <c r="AP16" s="2">
        <f t="shared" si="15"/>
        <v>7256.8628130889483</v>
      </c>
      <c r="AQ16" s="2">
        <f t="shared" si="16"/>
        <v>6844.7384968439528</v>
      </c>
      <c r="AR16" s="2">
        <f t="shared" si="17"/>
        <v>5945.6821100901007</v>
      </c>
      <c r="AS16" s="2">
        <f t="shared" si="18"/>
        <v>4808.4059861038604</v>
      </c>
      <c r="AX16" s="2">
        <f t="shared" si="28"/>
        <v>0.01</v>
      </c>
      <c r="AY16" s="37">
        <f t="shared" si="19"/>
        <v>47428.273679676793</v>
      </c>
      <c r="AZ16" s="37">
        <f t="shared" si="20"/>
        <v>51758.433630086693</v>
      </c>
      <c r="BA16" s="37">
        <f t="shared" si="21"/>
        <v>55992.32233276176</v>
      </c>
      <c r="BB16" s="37">
        <f t="shared" si="22"/>
        <v>60907.942517520132</v>
      </c>
      <c r="BC16" s="37">
        <f t="shared" si="23"/>
        <v>70891.060936983718</v>
      </c>
      <c r="BD16" s="37">
        <f t="shared" si="24"/>
        <v>160943.82609826379</v>
      </c>
      <c r="BE16" s="37">
        <f t="shared" si="25"/>
        <v>-81593.252321957276</v>
      </c>
    </row>
    <row r="17" spans="1:57" x14ac:dyDescent="0.25">
      <c r="A17" s="2">
        <f>'creep_res-40'!A17</f>
        <v>0.1</v>
      </c>
      <c r="B17" s="3">
        <f>'creep_res-40'!O17</f>
        <v>-4.3171997714285714E-4</v>
      </c>
      <c r="C17" s="2">
        <f>IF('Modell einstellen'!$B$2="Ja",creep_res0!O17,creep_res0!C17)</f>
        <v>-4.5537212571428577E-4</v>
      </c>
      <c r="D17" s="2">
        <f>IF('Modell einstellen'!$B$2="Ja",creep_res25!O17,creep_res25!C17)</f>
        <v>-4.7481256571428577E-4</v>
      </c>
      <c r="E17" s="2">
        <f>IF('Modell einstellen'!$B$2="Ja",creep_res50!O17,creep_res50!C17)</f>
        <v>-4.940049657142857E-4</v>
      </c>
      <c r="F17" s="2">
        <f>IF('Modell einstellen'!$B$2="Ja",creep_res80!O17,creep_res80!C17)</f>
        <v>-5.2012852571428571E-4</v>
      </c>
      <c r="G17" s="2">
        <f>IF('Modell einstellen'!$B$2="Ja",creep_res125!O17,creep_res125!C17)</f>
        <v>-6.0179708571428576E-4</v>
      </c>
      <c r="H17" s="2">
        <f>IF('Modell einstellen'!$B$2="Ja",creep_res160!O17,creep_res160!C17)</f>
        <v>-7.6706560000000014E-4</v>
      </c>
      <c r="M17" s="9">
        <f t="shared" si="26"/>
        <v>-10</v>
      </c>
      <c r="N17" s="2">
        <f t="shared" si="4"/>
        <v>0.1</v>
      </c>
      <c r="O17" s="2">
        <f t="shared" si="5"/>
        <v>23163.16253461437</v>
      </c>
      <c r="P17" s="2">
        <f t="shared" si="6"/>
        <v>21960.061750187804</v>
      </c>
      <c r="Q17" s="2">
        <f t="shared" si="7"/>
        <v>21060.942195066949</v>
      </c>
      <c r="R17" s="2">
        <f t="shared" si="27"/>
        <v>20242.711498943983</v>
      </c>
      <c r="S17" s="2">
        <f t="shared" si="8"/>
        <v>19226.017235388372</v>
      </c>
      <c r="T17" s="2">
        <f t="shared" si="9"/>
        <v>16616.896687245979</v>
      </c>
      <c r="U17" s="2">
        <f t="shared" si="10"/>
        <v>13036.6946451516</v>
      </c>
      <c r="Z17" s="2">
        <v>0.1</v>
      </c>
      <c r="AA17" s="3">
        <f>IF('Modell einstellen'!$B$2="Ja",'creep_res-40'!P17,'creep_res-40'!L17)</f>
        <v>0.42473000620666873</v>
      </c>
      <c r="AB17" s="2">
        <f>IF('Modell einstellen'!$B$2="Ja",creep_res0!P17,creep_res0!L17)</f>
        <v>0.43505074568715052</v>
      </c>
      <c r="AC17" s="2">
        <f>IF('Modell einstellen'!$B$2="Ja",creep_res25!P17,creep_res25!L17)</f>
        <v>0.44374435198182682</v>
      </c>
      <c r="AD17" s="2">
        <f>IF('Modell einstellen'!$B$2="Ja",creep_res50!P17,creep_res50!L17)</f>
        <v>0.45184611157581306</v>
      </c>
      <c r="AE17" s="2">
        <f>IF('Modell einstellen'!$B$2="Ja",creep_res80!P17,creep_res80!L17)</f>
        <v>0.46258186383207356</v>
      </c>
      <c r="AF17" s="2">
        <f>IF('Modell einstellen'!$B$2="Ja",creep_res125!P17,creep_res125!L17)</f>
        <v>0.49743794989654311</v>
      </c>
      <c r="AG17" s="2">
        <f>IF('Modell einstellen'!$B$2="Ja",creep_res160!P17,creep_res160!L17)</f>
        <v>0.55919986131936705</v>
      </c>
      <c r="AL17" s="2">
        <f t="shared" si="11"/>
        <v>0.1</v>
      </c>
      <c r="AM17" s="2">
        <f t="shared" si="12"/>
        <v>8128.965640404419</v>
      </c>
      <c r="AN17" s="2">
        <f t="shared" si="13"/>
        <v>7651.3188875674869</v>
      </c>
      <c r="AO17" s="2">
        <f t="shared" si="14"/>
        <v>7293.8613287583112</v>
      </c>
      <c r="AP17" s="2">
        <f t="shared" si="15"/>
        <v>6971.3695334324493</v>
      </c>
      <c r="AQ17" s="2">
        <f t="shared" si="16"/>
        <v>6572.6294407257219</v>
      </c>
      <c r="AR17" s="2">
        <f t="shared" si="17"/>
        <v>5548.4424875147679</v>
      </c>
      <c r="AS17" s="2">
        <f t="shared" si="18"/>
        <v>4180.5720256158129</v>
      </c>
      <c r="AX17" s="2">
        <f t="shared" si="28"/>
        <v>0.1</v>
      </c>
      <c r="AY17" s="37">
        <f t="shared" si="19"/>
        <v>51289.058156457933</v>
      </c>
      <c r="AZ17" s="37">
        <f t="shared" si="20"/>
        <v>56351.844688906232</v>
      </c>
      <c r="BA17" s="37">
        <f t="shared" si="21"/>
        <v>62396.526503031571</v>
      </c>
      <c r="BB17" s="37">
        <f t="shared" si="22"/>
        <v>70062.571481338528</v>
      </c>
      <c r="BC17" s="37">
        <f t="shared" si="23"/>
        <v>85635.911727872503</v>
      </c>
      <c r="BD17" s="37">
        <f t="shared" si="24"/>
        <v>1080963.5523797481</v>
      </c>
      <c r="BE17" s="37">
        <f t="shared" si="25"/>
        <v>-36702.49207404445</v>
      </c>
    </row>
    <row r="18" spans="1:57" x14ac:dyDescent="0.25">
      <c r="A18" s="2">
        <f>'creep_res-40'!A18</f>
        <v>1</v>
      </c>
      <c r="B18" s="3">
        <f>'creep_res-40'!O18</f>
        <v>-4.4481564000000003E-4</v>
      </c>
      <c r="C18" s="2">
        <f>IF('Modell einstellen'!$B$2="Ja",creep_res0!O18,creep_res0!C18)</f>
        <v>-4.7008845714285722E-4</v>
      </c>
      <c r="D18" s="2">
        <f>IF('Modell einstellen'!$B$2="Ja",creep_res25!O18,creep_res25!C18)</f>
        <v>-4.9127769714285715E-4</v>
      </c>
      <c r="E18" s="2">
        <f>IF('Modell einstellen'!$B$2="Ja",creep_res50!O18,creep_res50!C18)</f>
        <v>-5.1156064000000003E-4</v>
      </c>
      <c r="F18" s="2">
        <f>IF('Modell einstellen'!$B$2="Ja",creep_res80!O18,creep_res80!C18)</f>
        <v>-5.4532661142857146E-4</v>
      </c>
      <c r="G18" s="2">
        <f>IF('Modell einstellen'!$B$2="Ja",creep_res125!O18,creep_res125!C18)</f>
        <v>-6.6458657142857145E-4</v>
      </c>
      <c r="H18" s="2">
        <f>IF('Modell einstellen'!$B$2="Ja",creep_res160!O18,creep_res160!C18)</f>
        <v>-9.6394508571428573E-4</v>
      </c>
      <c r="M18" s="9">
        <f t="shared" si="26"/>
        <v>-10</v>
      </c>
      <c r="N18" s="2">
        <f t="shared" si="4"/>
        <v>1</v>
      </c>
      <c r="O18" s="2">
        <f t="shared" si="5"/>
        <v>22481.223906605439</v>
      </c>
      <c r="P18" s="2">
        <f t="shared" si="6"/>
        <v>21272.592100599177</v>
      </c>
      <c r="Q18" s="2">
        <f t="shared" si="7"/>
        <v>20355.086457531841</v>
      </c>
      <c r="R18" s="2">
        <f t="shared" si="27"/>
        <v>19548.024648651623</v>
      </c>
      <c r="S18" s="2">
        <f t="shared" si="8"/>
        <v>18337.634346879531</v>
      </c>
      <c r="T18" s="2">
        <f t="shared" si="9"/>
        <v>15046.948629287466</v>
      </c>
      <c r="U18" s="2">
        <f t="shared" si="10"/>
        <v>10374.034940579602</v>
      </c>
      <c r="Z18" s="2">
        <v>1</v>
      </c>
      <c r="AA18" s="3">
        <f>IF('Modell einstellen'!$B$2="Ja",'creep_res-40'!P18,'creep_res-40'!L18)</f>
        <v>0.43256490326130231</v>
      </c>
      <c r="AB18" s="2">
        <f>IF('Modell einstellen'!$B$2="Ja",creep_res0!P18,creep_res0!L18)</f>
        <v>0.4435768562950097</v>
      </c>
      <c r="AC18" s="2">
        <f>IF('Modell einstellen'!$B$2="Ja",creep_res25!P18,creep_res25!L18)</f>
        <v>0.4530258865404922</v>
      </c>
      <c r="AD18" s="2">
        <f>IF('Modell einstellen'!$B$2="Ja",creep_res50!P18,creep_res50!L18)</f>
        <v>0.46131037089059196</v>
      </c>
      <c r="AE18" s="2">
        <f>IF('Modell einstellen'!$B$2="Ja",creep_res80!P18,creep_res80!L18)</f>
        <v>0.47432273798443014</v>
      </c>
      <c r="AF18" s="2">
        <f>IF('Modell einstellen'!$B$2="Ja",creep_res125!P18,creep_res125!L18)</f>
        <v>0.51259192288395838</v>
      </c>
      <c r="AG18" s="2">
        <f>IF('Modell einstellen'!$B$2="Ja",creep_res160!P18,creep_res160!L18)</f>
        <v>0.57900237233431018</v>
      </c>
      <c r="AL18" s="2">
        <f t="shared" si="11"/>
        <v>1</v>
      </c>
      <c r="AM18" s="2">
        <f t="shared" si="12"/>
        <v>7846.4940246078413</v>
      </c>
      <c r="AN18" s="2">
        <f t="shared" si="13"/>
        <v>7368.015082756323</v>
      </c>
      <c r="AO18" s="2">
        <f t="shared" si="14"/>
        <v>7004.3784649959834</v>
      </c>
      <c r="AP18" s="2">
        <f t="shared" si="15"/>
        <v>6688.5259415281262</v>
      </c>
      <c r="AQ18" s="2">
        <f t="shared" si="16"/>
        <v>6219.0027578185491</v>
      </c>
      <c r="AR18" s="2">
        <f t="shared" si="17"/>
        <v>4973.8956031837224</v>
      </c>
      <c r="AS18" s="2">
        <f t="shared" si="18"/>
        <v>3284.9966289927738</v>
      </c>
      <c r="AX18" s="2">
        <f t="shared" si="28"/>
        <v>1</v>
      </c>
      <c r="AY18" s="37">
        <f t="shared" si="19"/>
        <v>55562.619945805782</v>
      </c>
      <c r="AZ18" s="37">
        <f t="shared" si="20"/>
        <v>62836.484888256178</v>
      </c>
      <c r="BA18" s="37">
        <f t="shared" si="21"/>
        <v>72220.935313936774</v>
      </c>
      <c r="BB18" s="37">
        <f t="shared" si="22"/>
        <v>84208.71905738597</v>
      </c>
      <c r="BC18" s="37">
        <f t="shared" si="23"/>
        <v>119026.41291323678</v>
      </c>
      <c r="BD18" s="37">
        <f t="shared" si="24"/>
        <v>-199161.38263066887</v>
      </c>
      <c r="BE18" s="37">
        <f t="shared" si="25"/>
        <v>-21885.492452218914</v>
      </c>
    </row>
    <row r="19" spans="1:57" x14ac:dyDescent="0.25">
      <c r="A19" s="2">
        <f>'creep_res-40'!A19</f>
        <v>10</v>
      </c>
      <c r="B19" s="3">
        <f>'creep_res-40'!O19</f>
        <v>-4.5926486857142857E-4</v>
      </c>
      <c r="C19" s="2">
        <f>IF('Modell einstellen'!$B$2="Ja",creep_res0!O19,creep_res0!C19)</f>
        <v>-4.8622577714285719E-4</v>
      </c>
      <c r="D19" s="2">
        <f>IF('Modell einstellen'!$B$2="Ja",creep_res25!O19,creep_res25!C19)</f>
        <v>-5.0905381142857145E-4</v>
      </c>
      <c r="E19" s="2">
        <f>IF('Modell einstellen'!$B$2="Ja",creep_res50!O19,creep_res50!C19)</f>
        <v>-5.3645994857142863E-4</v>
      </c>
      <c r="F19" s="2">
        <f>IF('Modell einstellen'!$B$2="Ja",creep_res80!O19,creep_res80!C19)</f>
        <v>-5.9216714285714289E-4</v>
      </c>
      <c r="G19" s="2">
        <f>IF('Modell einstellen'!$B$2="Ja",creep_res125!O19,creep_res125!C19)</f>
        <v>-8.1709234285714302E-4</v>
      </c>
      <c r="H19" s="2">
        <f>IF('Modell einstellen'!$B$2="Ja",creep_res160!O19,creep_res160!C19)</f>
        <v>-1.4137288571428573E-3</v>
      </c>
      <c r="M19" s="9">
        <f t="shared" si="26"/>
        <v>-10</v>
      </c>
      <c r="N19" s="2">
        <f t="shared" si="4"/>
        <v>10</v>
      </c>
      <c r="O19" s="2">
        <f t="shared" si="5"/>
        <v>21773.927605448269</v>
      </c>
      <c r="P19" s="2">
        <f t="shared" si="6"/>
        <v>20566.577236529185</v>
      </c>
      <c r="Q19" s="2">
        <f t="shared" si="7"/>
        <v>19644.288630187701</v>
      </c>
      <c r="R19" s="2">
        <f t="shared" si="27"/>
        <v>18640.720573138031</v>
      </c>
      <c r="S19" s="2">
        <f t="shared" si="8"/>
        <v>16887.124050400827</v>
      </c>
      <c r="T19" s="2">
        <f t="shared" si="9"/>
        <v>12238.518800742644</v>
      </c>
      <c r="U19" s="2">
        <f t="shared" si="10"/>
        <v>7073.4921689368193</v>
      </c>
      <c r="Z19" s="2">
        <v>10</v>
      </c>
      <c r="AA19" s="3">
        <f>IF('Modell einstellen'!$B$2="Ja",'creep_res-40'!P19,'creep_res-40'!L19)</f>
        <v>0.44115019988714382</v>
      </c>
      <c r="AB19" s="2">
        <f>IF('Modell einstellen'!$B$2="Ja",creep_res0!P19,creep_res0!L19)</f>
        <v>0.45279723137673222</v>
      </c>
      <c r="AC19" s="2">
        <f>IF('Modell einstellen'!$B$2="Ja",creep_res25!P19,creep_res25!L19)</f>
        <v>0.4624712423049252</v>
      </c>
      <c r="AD19" s="2">
        <f>IF('Modell einstellen'!$B$2="Ja",creep_res50!P19,creep_res50!L19)</f>
        <v>0.47174583907960166</v>
      </c>
      <c r="AE19" s="2">
        <f>IF('Modell einstellen'!$B$2="Ja",creep_res80!P19,creep_res80!L19)</f>
        <v>0.48376578041431351</v>
      </c>
      <c r="AF19" s="2">
        <f>IF('Modell einstellen'!$B$2="Ja",creep_res125!P19,creep_res125!L19)</f>
        <v>0.51403616838971011</v>
      </c>
      <c r="AG19" s="2">
        <f>IF('Modell einstellen'!$B$2="Ja",creep_res160!P19,creep_res160!L19)</f>
        <v>0.57518061151754496</v>
      </c>
      <c r="AL19" s="2">
        <f t="shared" si="11"/>
        <v>10</v>
      </c>
      <c r="AM19" s="2">
        <f t="shared" si="12"/>
        <v>7554.3574872186746</v>
      </c>
      <c r="AN19" s="2">
        <f t="shared" si="13"/>
        <v>7078.2683200185556</v>
      </c>
      <c r="AO19" s="2">
        <f t="shared" si="14"/>
        <v>6716.1281746734903</v>
      </c>
      <c r="AP19" s="2">
        <f t="shared" si="15"/>
        <v>6332.8599538611707</v>
      </c>
      <c r="AQ19" s="2">
        <f t="shared" si="16"/>
        <v>5690.6299745251627</v>
      </c>
      <c r="AR19" s="2">
        <f t="shared" si="17"/>
        <v>4041.6864062630743</v>
      </c>
      <c r="AS19" s="2">
        <f t="shared" si="18"/>
        <v>2245.2955925232422</v>
      </c>
      <c r="AX19" s="2">
        <f t="shared" si="28"/>
        <v>10</v>
      </c>
      <c r="AY19" s="37">
        <f t="shared" si="19"/>
        <v>61665.255060885051</v>
      </c>
      <c r="AZ19" s="37">
        <f t="shared" si="20"/>
        <v>72617.835197599168</v>
      </c>
      <c r="BA19" s="37">
        <f t="shared" si="21"/>
        <v>87241.046762945829</v>
      </c>
      <c r="BB19" s="37">
        <f t="shared" si="22"/>
        <v>109958.55693405851</v>
      </c>
      <c r="BC19" s="37">
        <f t="shared" si="23"/>
        <v>173369.63198085185</v>
      </c>
      <c r="BD19" s="37">
        <f t="shared" si="24"/>
        <v>-145321.22134929974</v>
      </c>
      <c r="BE19" s="37">
        <f t="shared" si="25"/>
        <v>-15681.108968026225</v>
      </c>
    </row>
    <row r="20" spans="1:57" x14ac:dyDescent="0.25">
      <c r="A20" s="2">
        <f>'creep_res-40'!A20</f>
        <v>100</v>
      </c>
      <c r="B20" s="3">
        <f>'creep_res-40'!O20</f>
        <v>-4.7422432E-4</v>
      </c>
      <c r="C20" s="2">
        <f>IF('Modell einstellen'!$B$2="Ja",creep_res0!O20,creep_res0!C20)</f>
        <v>-5.042617714285714E-4</v>
      </c>
      <c r="D20" s="2">
        <f>IF('Modell einstellen'!$B$2="Ja",creep_res25!O20,creep_res25!C20)</f>
        <v>-5.3754890285714289E-4</v>
      </c>
      <c r="E20" s="2">
        <f>IF('Modell einstellen'!$B$2="Ja",creep_res50!O20,creep_res50!C20)</f>
        <v>-5.9246891428571438E-4</v>
      </c>
      <c r="F20" s="2">
        <f>IF('Modell einstellen'!$B$2="Ja",creep_res80!O20,creep_res80!C20)</f>
        <v>-7.0827571428571431E-4</v>
      </c>
      <c r="G20" s="2">
        <f>IF('Modell einstellen'!$B$2="Ja",creep_res125!O20,creep_res125!C20)</f>
        <v>-1.1108585142857144E-3</v>
      </c>
      <c r="H20" s="2">
        <f>IF('Modell einstellen'!$B$2="Ja",creep_res160!O20,creep_res160!C20)</f>
        <v>-2.2145592571428574E-3</v>
      </c>
      <c r="M20" s="9">
        <f t="shared" si="26"/>
        <v>-10</v>
      </c>
      <c r="N20" s="2">
        <f t="shared" si="4"/>
        <v>100</v>
      </c>
      <c r="O20" s="2">
        <f t="shared" si="5"/>
        <v>21087.066981296954</v>
      </c>
      <c r="P20" s="2">
        <f t="shared" si="6"/>
        <v>19830.969878343232</v>
      </c>
      <c r="Q20" s="2">
        <f t="shared" si="7"/>
        <v>18602.958627296397</v>
      </c>
      <c r="R20" s="2">
        <f t="shared" si="27"/>
        <v>16878.522668241734</v>
      </c>
      <c r="S20" s="2">
        <f t="shared" si="8"/>
        <v>14118.795545721701</v>
      </c>
      <c r="T20" s="2">
        <f t="shared" si="9"/>
        <v>9002.0464995310685</v>
      </c>
      <c r="U20" s="2">
        <f t="shared" si="10"/>
        <v>4515.5711989850433</v>
      </c>
      <c r="Z20" s="2">
        <v>100</v>
      </c>
      <c r="AA20" s="3">
        <f>IF('Modell einstellen'!$B$2="Ja",'creep_res-40'!P20,'creep_res-40'!L20)</f>
        <v>0.44998771889219014</v>
      </c>
      <c r="AB20" s="2">
        <f>IF('Modell einstellen'!$B$2="Ja",creep_res0!P20,creep_res0!L20)</f>
        <v>0.46229901453678091</v>
      </c>
      <c r="AC20" s="2">
        <f>IF('Modell einstellen'!$B$2="Ja",creep_res25!P20,creep_res25!L20)</f>
        <v>0.472339547834149</v>
      </c>
      <c r="AD20" s="2">
        <f>IF('Modell einstellen'!$B$2="Ja",creep_res50!P20,creep_res50!L20)</f>
        <v>0.4785455651633464</v>
      </c>
      <c r="AE20" s="2">
        <f>IF('Modell einstellen'!$B$2="Ja",creep_res80!P20,creep_res80!L20)</f>
        <v>0.48198605466394245</v>
      </c>
      <c r="AF20" s="2">
        <f>IF('Modell einstellen'!$B$2="Ja",creep_res125!P20,creep_res125!L20)</f>
        <v>0.5014770094934039</v>
      </c>
      <c r="AG20" s="2">
        <f>IF('Modell einstellen'!$B$2="Ja",creep_res160!P20,creep_res160!L20)</f>
        <v>0.55170193555701907</v>
      </c>
      <c r="AL20" s="2">
        <f t="shared" si="11"/>
        <v>100</v>
      </c>
      <c r="AM20" s="2">
        <f t="shared" si="12"/>
        <v>7271.4639946770558</v>
      </c>
      <c r="AN20" s="2">
        <f t="shared" si="13"/>
        <v>6780.7506129740432</v>
      </c>
      <c r="AO20" s="2">
        <f t="shared" si="14"/>
        <v>6317.4824905918776</v>
      </c>
      <c r="AP20" s="2">
        <f t="shared" si="15"/>
        <v>5707.8128215740962</v>
      </c>
      <c r="AQ20" s="2">
        <f t="shared" si="16"/>
        <v>4763.4711208275512</v>
      </c>
      <c r="AR20" s="2">
        <f t="shared" si="17"/>
        <v>2997.7303823547541</v>
      </c>
      <c r="AS20" s="2">
        <f t="shared" si="18"/>
        <v>1455.0382053123094</v>
      </c>
      <c r="AX20" s="2">
        <f t="shared" si="28"/>
        <v>100</v>
      </c>
      <c r="AY20" s="37">
        <f t="shared" si="19"/>
        <v>70272.962674375391</v>
      </c>
      <c r="AZ20" s="37">
        <f t="shared" si="20"/>
        <v>87667.778594674644</v>
      </c>
      <c r="BA20" s="37">
        <f t="shared" si="21"/>
        <v>112091.19380836448</v>
      </c>
      <c r="BB20" s="37">
        <f t="shared" si="22"/>
        <v>131119.14309519043</v>
      </c>
      <c r="BC20" s="37">
        <f t="shared" si="23"/>
        <v>130628.38523460364</v>
      </c>
      <c r="BD20" s="37">
        <f t="shared" si="24"/>
        <v>-1015796.5063565745</v>
      </c>
      <c r="BE20" s="37">
        <f t="shared" si="25"/>
        <v>-14556.422147887421</v>
      </c>
    </row>
    <row r="21" spans="1:57" x14ac:dyDescent="0.25">
      <c r="A21" s="2">
        <f>'creep_res-40'!A21</f>
        <v>1000</v>
      </c>
      <c r="B21" s="3">
        <f>'creep_res-40'!O21</f>
        <v>-4.9147261714285718E-4</v>
      </c>
      <c r="C21" s="2">
        <f>IF('Modell einstellen'!$B$2="Ja",creep_res0!O21,creep_res0!C21)</f>
        <v>-5.3436528571428575E-4</v>
      </c>
      <c r="D21" s="2">
        <f>IF('Modell einstellen'!$B$2="Ja",creep_res25!O21,creep_res25!C21)</f>
        <v>-6.0763388571428577E-4</v>
      </c>
      <c r="E21" s="2">
        <f>IF('Modell einstellen'!$B$2="Ja",creep_res50!O21,creep_res50!C21)</f>
        <v>-7.2165205714285711E-4</v>
      </c>
      <c r="F21" s="2">
        <f>IF('Modell einstellen'!$B$2="Ja",creep_res80!O21,creep_res80!C21)</f>
        <v>-9.0756428571428581E-4</v>
      </c>
      <c r="G21" s="2">
        <f>IF('Modell einstellen'!$B$2="Ja",creep_res125!O21,creep_res125!C21)</f>
        <v>-1.5874490285714285E-3</v>
      </c>
      <c r="H21" s="2">
        <f>IF('Modell einstellen'!$B$2="Ja",creep_res160!O21,creep_res160!C21)</f>
        <v>-3.505241085714286E-3</v>
      </c>
      <c r="M21" s="9">
        <f t="shared" si="26"/>
        <v>-10</v>
      </c>
      <c r="N21" s="2">
        <f t="shared" si="4"/>
        <v>1000</v>
      </c>
      <c r="O21" s="2">
        <f t="shared" si="5"/>
        <v>20347.013549064694</v>
      </c>
      <c r="P21" s="2">
        <f t="shared" si="6"/>
        <v>18713.790486283193</v>
      </c>
      <c r="Q21" s="2">
        <f t="shared" si="7"/>
        <v>16457.278363014269</v>
      </c>
      <c r="R21" s="2">
        <f t="shared" si="27"/>
        <v>13857.093458018669</v>
      </c>
      <c r="S21" s="2">
        <f t="shared" si="8"/>
        <v>11018.50321504183</v>
      </c>
      <c r="T21" s="2">
        <f t="shared" si="9"/>
        <v>6299.4148599524888</v>
      </c>
      <c r="U21" s="2">
        <f t="shared" si="10"/>
        <v>2852.8708170046552</v>
      </c>
      <c r="Z21" s="2">
        <v>1000</v>
      </c>
      <c r="AA21" s="3">
        <f>IF('Modell einstellen'!$B$2="Ja",'creep_res-40'!P21,'creep_res-40'!L21)</f>
        <v>0.45996262334999088</v>
      </c>
      <c r="AB21" s="2">
        <f>IF('Modell einstellen'!$B$2="Ja",creep_res0!P21,creep_res0!L21)</f>
        <v>0.47124506858203208</v>
      </c>
      <c r="AC21" s="2">
        <f>IF('Modell einstellen'!$B$2="Ja",creep_res25!P21,creep_res25!L21)</f>
        <v>0.47596586591192652</v>
      </c>
      <c r="AD21" s="2">
        <f>IF('Modell einstellen'!$B$2="Ja",creep_res50!P21,creep_res50!L21)</f>
        <v>0.47309247804501914</v>
      </c>
      <c r="AE21" s="2">
        <f>IF('Modell einstellen'!$B$2="Ja",creep_res80!P21,creep_res80!L21)</f>
        <v>0.4697575834848377</v>
      </c>
      <c r="AF21" s="2">
        <f>IF('Modell einstellen'!$B$2="Ja",creep_res125!P21,creep_res125!L21)</f>
        <v>0.48645453021159774</v>
      </c>
      <c r="AG21" s="2">
        <f>IF('Modell einstellen'!$B$2="Ja",creep_res160!P21,creep_res160!L21)</f>
        <v>0.51788170461933092</v>
      </c>
      <c r="AL21" s="2">
        <f t="shared" si="11"/>
        <v>1000</v>
      </c>
      <c r="AM21" s="2">
        <f t="shared" si="12"/>
        <v>6968.3337174677063</v>
      </c>
      <c r="AN21" s="2">
        <f t="shared" si="13"/>
        <v>6359.8481605512916</v>
      </c>
      <c r="AO21" s="2">
        <f t="shared" si="14"/>
        <v>5575.0877249610812</v>
      </c>
      <c r="AP21" s="2">
        <f t="shared" si="15"/>
        <v>4703.4024219609055</v>
      </c>
      <c r="AQ21" s="2">
        <f t="shared" si="16"/>
        <v>3748.4083561986595</v>
      </c>
      <c r="AR21" s="2">
        <f t="shared" si="17"/>
        <v>2118.9396419195423</v>
      </c>
      <c r="AS21" s="2">
        <f t="shared" si="18"/>
        <v>939.75400333325899</v>
      </c>
      <c r="AX21" s="2">
        <f t="shared" si="28"/>
        <v>1000</v>
      </c>
      <c r="AY21" s="37">
        <f t="shared" si="19"/>
        <v>84700.077991831757</v>
      </c>
      <c r="AZ21" s="37">
        <f t="shared" si="20"/>
        <v>108467.1368438135</v>
      </c>
      <c r="BA21" s="37">
        <f t="shared" si="21"/>
        <v>114124.34153515651</v>
      </c>
      <c r="BB21" s="37">
        <f t="shared" si="22"/>
        <v>85831.596837512931</v>
      </c>
      <c r="BC21" s="37">
        <f t="shared" si="23"/>
        <v>60723.229626384789</v>
      </c>
      <c r="BD21" s="37">
        <f t="shared" si="24"/>
        <v>77509.491590884703</v>
      </c>
      <c r="BE21" s="37">
        <f t="shared" si="25"/>
        <v>-26590.220542328079</v>
      </c>
    </row>
    <row r="22" spans="1:57" x14ac:dyDescent="0.25">
      <c r="A22" s="2">
        <f>'creep_res-40'!A22</f>
        <v>10000</v>
      </c>
      <c r="B22" s="3">
        <f>'creep_res-40'!O22</f>
        <v>-5.1080495999999997E-4</v>
      </c>
      <c r="C22" s="2">
        <f>IF('Modell einstellen'!$B$2="Ja",creep_res0!O22,creep_res0!C22)</f>
        <v>-6.1334434285714289E-4</v>
      </c>
      <c r="D22" s="2">
        <f>IF('Modell einstellen'!$B$2="Ja",creep_res25!O22,creep_res25!C22)</f>
        <v>-7.5412742857142862E-4</v>
      </c>
      <c r="E22" s="2">
        <f>IF('Modell einstellen'!$B$2="Ja",creep_res50!O22,creep_res50!C22)</f>
        <v>-9.2102622857142874E-4</v>
      </c>
      <c r="F22" s="2">
        <f>IF('Modell einstellen'!$B$2="Ja",creep_res80!O22,creep_res80!C22)</f>
        <v>-1.1832574285714286E-3</v>
      </c>
      <c r="G22" s="2">
        <f>IF('Modell einstellen'!$B$2="Ja",creep_res125!O22,creep_res125!C22)</f>
        <v>-2.3751488000000004E-3</v>
      </c>
      <c r="H22" s="2">
        <f>IF('Modell einstellen'!$B$2="Ja",creep_res160!O22,creep_res160!C22)</f>
        <v>-5.0682833714285717E-3</v>
      </c>
      <c r="M22" s="9">
        <f t="shared" si="26"/>
        <v>-10</v>
      </c>
      <c r="N22" s="2">
        <f t="shared" si="4"/>
        <v>10000</v>
      </c>
      <c r="O22" s="2">
        <f t="shared" si="5"/>
        <v>19576.943810412493</v>
      </c>
      <c r="P22" s="2">
        <f t="shared" si="6"/>
        <v>16304.055163233405</v>
      </c>
      <c r="Q22" s="2">
        <f t="shared" si="7"/>
        <v>13260.358423699518</v>
      </c>
      <c r="R22" s="2">
        <f t="shared" si="27"/>
        <v>10857.454098251519</v>
      </c>
      <c r="S22" s="2">
        <f t="shared" si="8"/>
        <v>8451.2463294426198</v>
      </c>
      <c r="T22" s="2">
        <f t="shared" si="9"/>
        <v>4210.2625317622196</v>
      </c>
      <c r="U22" s="2">
        <f t="shared" si="10"/>
        <v>1973.0546354951243</v>
      </c>
      <c r="Z22" s="2">
        <v>10000</v>
      </c>
      <c r="AA22" s="3">
        <f>IF('Modell einstellen'!$B$2="Ja",'creep_res-40'!P22,'creep_res-40'!L22)</f>
        <v>0.46956680183483623</v>
      </c>
      <c r="AB22" s="2">
        <f>IF('Modell einstellen'!$B$2="Ja",creep_res0!P22,creep_res0!L22)</f>
        <v>0.47321110509258563</v>
      </c>
      <c r="AC22" s="2">
        <f>IF('Modell einstellen'!$B$2="Ja",creep_res25!P22,creep_res25!L22)</f>
        <v>0.467686355394276</v>
      </c>
      <c r="AD22" s="2">
        <f>IF('Modell einstellen'!$B$2="Ja",creep_res50!P22,creep_res50!L22)</f>
        <v>0.46064290770314031</v>
      </c>
      <c r="AE22" s="2">
        <f>IF('Modell einstellen'!$B$2="Ja",creep_res80!P22,creep_res80!L22)</f>
        <v>0.45717612952718178</v>
      </c>
      <c r="AF22" s="2">
        <f>IF('Modell einstellen'!$B$2="Ja",creep_res125!P22,creep_res125!L22)</f>
        <v>0.4701611476781099</v>
      </c>
      <c r="AG22" s="2">
        <f>IF('Modell einstellen'!$B$2="Ja",creep_res160!P22,creep_res160!L22)</f>
        <v>0.47758387260768681</v>
      </c>
      <c r="AL22" s="2">
        <f t="shared" si="11"/>
        <v>10000</v>
      </c>
      <c r="AM22" s="2">
        <f t="shared" si="12"/>
        <v>6660.7873102364538</v>
      </c>
      <c r="AN22" s="2">
        <f t="shared" si="13"/>
        <v>5533.5094566127227</v>
      </c>
      <c r="AO22" s="2">
        <f t="shared" si="14"/>
        <v>4517.4360226770941</v>
      </c>
      <c r="AP22" s="2">
        <f t="shared" si="15"/>
        <v>3716.6695709784594</v>
      </c>
      <c r="AQ22" s="2">
        <f t="shared" si="16"/>
        <v>2899.8712503562774</v>
      </c>
      <c r="AR22" s="2">
        <f t="shared" si="17"/>
        <v>1431.9051140793895</v>
      </c>
      <c r="AS22" s="2">
        <f t="shared" si="18"/>
        <v>667.66248335298053</v>
      </c>
      <c r="AX22" s="2">
        <f t="shared" si="28"/>
        <v>10000</v>
      </c>
      <c r="AY22" s="37">
        <f t="shared" si="19"/>
        <v>107212.65476912535</v>
      </c>
      <c r="AZ22" s="37">
        <f t="shared" si="20"/>
        <v>101435.40958285246</v>
      </c>
      <c r="BA22" s="37">
        <f t="shared" si="21"/>
        <v>68394.010154204807</v>
      </c>
      <c r="BB22" s="37">
        <f t="shared" si="22"/>
        <v>45978.388580965024</v>
      </c>
      <c r="BC22" s="37">
        <f t="shared" si="23"/>
        <v>32891.493444086351</v>
      </c>
      <c r="BD22" s="37">
        <f t="shared" si="24"/>
        <v>23516.669287095461</v>
      </c>
      <c r="BE22" s="37">
        <f t="shared" si="25"/>
        <v>14669.904104932601</v>
      </c>
    </row>
    <row r="23" spans="1:57" x14ac:dyDescent="0.25">
      <c r="A23" s="2">
        <f>'creep_res-40'!A23</f>
        <v>100000</v>
      </c>
      <c r="B23" s="3">
        <f>'creep_res-40'!O23</f>
        <v>-5.5237050285714281E-4</v>
      </c>
      <c r="C23" s="2">
        <f>IF('Modell einstellen'!$B$2="Ja",creep_res0!O23,creep_res0!C23)</f>
        <v>-7.6379371428571426E-4</v>
      </c>
      <c r="D23" s="2">
        <f>IF('Modell einstellen'!$B$2="Ja",creep_res25!O23,creep_res25!C23)</f>
        <v>-9.5998822857142866E-4</v>
      </c>
      <c r="E23" s="2">
        <f>IF('Modell einstellen'!$B$2="Ja",creep_res50!O23,creep_res50!C23)</f>
        <v>-1.1794936000000002E-3</v>
      </c>
      <c r="F23" s="2">
        <f>IF('Modell einstellen'!$B$2="Ja",creep_res80!O23,creep_res80!C23)</f>
        <v>-1.5661336571428574E-3</v>
      </c>
      <c r="G23" s="2">
        <f>IF('Modell einstellen'!$B$2="Ja",creep_res125!O23,creep_res125!C23)</f>
        <v>-3.5625850285714291E-3</v>
      </c>
      <c r="H23" s="2">
        <f>IF('Modell einstellen'!$B$2="Ja",creep_res160!O23,creep_res160!C23)</f>
        <v>-6.5951834285714293E-3</v>
      </c>
      <c r="M23" s="9">
        <f t="shared" si="26"/>
        <v>-10</v>
      </c>
      <c r="N23" s="2">
        <f t="shared" si="4"/>
        <v>100000</v>
      </c>
      <c r="O23" s="2">
        <f t="shared" si="5"/>
        <v>18103.790749641561</v>
      </c>
      <c r="P23" s="2">
        <f t="shared" si="6"/>
        <v>13092.540319413096</v>
      </c>
      <c r="Q23" s="2">
        <f t="shared" si="7"/>
        <v>10416.794396407478</v>
      </c>
      <c r="R23" s="2">
        <f t="shared" si="27"/>
        <v>8478.2147185877038</v>
      </c>
      <c r="S23" s="2">
        <f t="shared" si="8"/>
        <v>6385.151072127067</v>
      </c>
      <c r="T23" s="2">
        <f t="shared" si="9"/>
        <v>2806.9505484925726</v>
      </c>
      <c r="U23" s="2">
        <f t="shared" si="10"/>
        <v>1516.2580553375271</v>
      </c>
      <c r="Z23" s="2">
        <v>100000</v>
      </c>
      <c r="AA23" s="3">
        <f>IF('Modell einstellen'!$B$2="Ja",'creep_res-40'!P23,'creep_res-40'!L23)</f>
        <v>0.47903772414122292</v>
      </c>
      <c r="AB23" s="2">
        <f>IF('Modell einstellen'!$B$2="Ja",creep_res0!P23,creep_res0!L23)</f>
        <v>0.46375124472651186</v>
      </c>
      <c r="AC23" s="2">
        <f>IF('Modell einstellen'!$B$2="Ja",creep_res25!P23,creep_res25!L23)</f>
        <v>0.45518567072905775</v>
      </c>
      <c r="AD23" s="2">
        <f>IF('Modell einstellen'!$B$2="Ja",creep_res50!P23,creep_res50!L23)</f>
        <v>0.4489491858443076</v>
      </c>
      <c r="AE23" s="2">
        <f>IF('Modell einstellen'!$B$2="Ja",creep_res80!P23,creep_res80!L23)</f>
        <v>0.44594460629687532</v>
      </c>
      <c r="AF23" s="2">
        <f>IF('Modell einstellen'!$B$2="Ja",creep_res125!P23,creep_res125!L23)</f>
        <v>0.45011312652299118</v>
      </c>
      <c r="AG23" s="2">
        <f>IF('Modell einstellen'!$B$2="Ja",creep_res160!P23,creep_res160!L23)</f>
        <v>0.44478032496615921</v>
      </c>
      <c r="AL23" s="2">
        <f t="shared" si="11"/>
        <v>100000</v>
      </c>
      <c r="AM23" s="2">
        <f t="shared" si="12"/>
        <v>6120.1247453486039</v>
      </c>
      <c r="AN23" s="2">
        <f t="shared" si="13"/>
        <v>4472.2559132167689</v>
      </c>
      <c r="AO23" s="2">
        <f t="shared" si="14"/>
        <v>3579.1976948167016</v>
      </c>
      <c r="AP23" s="2">
        <f t="shared" si="15"/>
        <v>2925.6425281910142</v>
      </c>
      <c r="AQ23" s="2">
        <f t="shared" si="16"/>
        <v>2207.9514817928284</v>
      </c>
      <c r="AR23" s="2">
        <f t="shared" si="17"/>
        <v>967.83847313448518</v>
      </c>
      <c r="AS23" s="2">
        <f t="shared" si="18"/>
        <v>524.73653922891083</v>
      </c>
      <c r="AX23" s="2">
        <f t="shared" si="28"/>
        <v>100000</v>
      </c>
      <c r="AY23" s="37">
        <f t="shared" si="19"/>
        <v>143939.45001969935</v>
      </c>
      <c r="AZ23" s="37">
        <f t="shared" si="20"/>
        <v>60197.654699373015</v>
      </c>
      <c r="BA23" s="37">
        <f t="shared" si="21"/>
        <v>38740.564182156799</v>
      </c>
      <c r="BB23" s="37">
        <f t="shared" si="22"/>
        <v>27679.005904232457</v>
      </c>
      <c r="BC23" s="37">
        <f t="shared" si="23"/>
        <v>19687.06122462291</v>
      </c>
      <c r="BD23" s="37">
        <f t="shared" si="24"/>
        <v>9377.7192036505076</v>
      </c>
      <c r="BE23" s="37">
        <f t="shared" si="25"/>
        <v>4576.4426490144579</v>
      </c>
    </row>
    <row r="24" spans="1:57" x14ac:dyDescent="0.25">
      <c r="A24" s="2">
        <f>'creep_res-40'!A24</f>
        <v>1000000</v>
      </c>
      <c r="B24" s="3">
        <f>'creep_res-40'!O24</f>
        <v>-6.5347891428571428E-4</v>
      </c>
      <c r="C24" s="2">
        <f>IF('Modell einstellen'!$B$2="Ja",creep_res0!O24,creep_res0!C24)</f>
        <v>-9.6756845714285724E-4</v>
      </c>
      <c r="D24" s="2">
        <f>IF('Modell einstellen'!$B$2="Ja",creep_res25!O24,creep_res25!C24)</f>
        <v>-1.2203956E-3</v>
      </c>
      <c r="E24" s="2">
        <f>IF('Modell einstellen'!$B$2="Ja",creep_res50!O24,creep_res50!C24)</f>
        <v>-1.5301973142857145E-3</v>
      </c>
      <c r="F24" s="2">
        <f>IF('Modell einstellen'!$B$2="Ja",creep_res80!O24,creep_res80!C24)</f>
        <v>-2.1722050857142859E-3</v>
      </c>
      <c r="G24" s="2">
        <f>IF('Modell einstellen'!$B$2="Ja",creep_res125!O24,creep_res125!C24)</f>
        <v>-5.1735060571428577E-3</v>
      </c>
      <c r="H24" s="2">
        <f>IF('Modell einstellen'!$B$2="Ja",creep_res160!O24,creep_res160!C24)</f>
        <v>-7.6842982857142856E-3</v>
      </c>
      <c r="M24" s="9">
        <f t="shared" si="26"/>
        <v>-10</v>
      </c>
      <c r="N24" s="2">
        <f t="shared" si="4"/>
        <v>1000000</v>
      </c>
      <c r="O24" s="2">
        <f t="shared" si="5"/>
        <v>15302.712576320093</v>
      </c>
      <c r="P24" s="2">
        <f t="shared" si="6"/>
        <v>10335.186028623857</v>
      </c>
      <c r="Q24" s="2">
        <f t="shared" si="7"/>
        <v>8194.0642853841819</v>
      </c>
      <c r="R24" s="2">
        <f t="shared" si="27"/>
        <v>6535.1049218563885</v>
      </c>
      <c r="S24" s="2">
        <f t="shared" si="8"/>
        <v>4603.6168802687898</v>
      </c>
      <c r="T24" s="2">
        <f t="shared" si="9"/>
        <v>1932.9251555032763</v>
      </c>
      <c r="U24" s="2">
        <f t="shared" si="10"/>
        <v>1301.3550005718525</v>
      </c>
      <c r="Z24" s="2">
        <v>1000000</v>
      </c>
      <c r="AA24" s="3">
        <f>IF('Modell einstellen'!$B$2="Ja",'creep_res-40'!P24,'creep_res-40'!L24)</f>
        <v>0.47716060529136328</v>
      </c>
      <c r="AB24" s="2">
        <f>IF('Modell einstellen'!$B$2="Ja",creep_res0!P24,creep_res0!L24)</f>
        <v>0.45160443427908353</v>
      </c>
      <c r="AC24" s="2">
        <f>IF('Modell einstellen'!$B$2="Ja",creep_res25!P24,creep_res25!L24)</f>
        <v>0.44424299792624622</v>
      </c>
      <c r="AD24" s="2">
        <f>IF('Modell einstellen'!$B$2="Ja",creep_res50!P24,creep_res50!L24)</f>
        <v>0.4386523747282936</v>
      </c>
      <c r="AE24" s="2">
        <f>IF('Modell einstellen'!$B$2="Ja",creep_res80!P24,creep_res80!L24)</f>
        <v>0.434929598465433</v>
      </c>
      <c r="AF24" s="2">
        <f>IF('Modell einstellen'!$B$2="Ja",creep_res125!P24,creep_res125!L24)</f>
        <v>0.4304465269178715</v>
      </c>
      <c r="AG24" s="2">
        <f>IF('Modell einstellen'!$B$2="Ja",creep_res160!P24,creep_res160!L24)</f>
        <v>0.42036104495683302</v>
      </c>
      <c r="AL24" s="2">
        <f t="shared" si="11"/>
        <v>1000000</v>
      </c>
      <c r="AM24" s="2">
        <f t="shared" si="12"/>
        <v>5179.772775385416</v>
      </c>
      <c r="AN24" s="2">
        <f t="shared" si="13"/>
        <v>3559.9181790033126</v>
      </c>
      <c r="AO24" s="2">
        <f t="shared" si="14"/>
        <v>2836.8024969308635</v>
      </c>
      <c r="AP24" s="2">
        <f t="shared" si="15"/>
        <v>2271.2592133629987</v>
      </c>
      <c r="AQ24" s="2">
        <f t="shared" si="16"/>
        <v>1604.1263924000411</v>
      </c>
      <c r="AR24" s="2">
        <f t="shared" si="17"/>
        <v>675.63698437161315</v>
      </c>
      <c r="AS24" s="2">
        <f t="shared" si="18"/>
        <v>458.1071148045329</v>
      </c>
      <c r="AX24" s="2">
        <f t="shared" si="28"/>
        <v>1000000</v>
      </c>
      <c r="AY24" s="37">
        <f t="shared" si="19"/>
        <v>111668.9881054026</v>
      </c>
      <c r="AZ24" s="37">
        <f t="shared" si="20"/>
        <v>35592.744482087299</v>
      </c>
      <c r="BA24" s="37">
        <f t="shared" si="21"/>
        <v>24493.378949802292</v>
      </c>
      <c r="BB24" s="37">
        <f t="shared" si="22"/>
        <v>17754.300167590423</v>
      </c>
      <c r="BC24" s="37">
        <f t="shared" si="23"/>
        <v>11791.37460274017</v>
      </c>
      <c r="BD24" s="37">
        <f t="shared" si="24"/>
        <v>4631.7484707554549</v>
      </c>
      <c r="BE24" s="37">
        <f t="shared" si="25"/>
        <v>2723.4473377726486</v>
      </c>
    </row>
    <row r="25" spans="1:57" x14ac:dyDescent="0.25">
      <c r="A25" s="2">
        <f>'creep_res-40'!A25</f>
        <v>10000000</v>
      </c>
      <c r="B25" s="3">
        <f>'creep_res-40'!O25</f>
        <v>-8.2994857142857151E-4</v>
      </c>
      <c r="C25" s="2">
        <f>IF('Modell einstellen'!$B$2="Ja",creep_res0!O25,creep_res0!C25)</f>
        <v>-1.2198500000000002E-3</v>
      </c>
      <c r="D25" s="2">
        <f>IF('Modell einstellen'!$B$2="Ja",creep_res25!O25,creep_res25!C25)</f>
        <v>-1.5747096571428571E-3</v>
      </c>
      <c r="E25" s="2">
        <f>IF('Modell einstellen'!$B$2="Ja",creep_res50!O25,creep_res50!C25)</f>
        <v>-2.0701796571428576E-3</v>
      </c>
      <c r="F25" s="2">
        <f>IF('Modell einstellen'!$B$2="Ja",creep_res80!O25,creep_res80!C25)</f>
        <v>-3.1303788000000003E-3</v>
      </c>
      <c r="G25" s="2">
        <f>IF('Modell einstellen'!$B$2="Ja",creep_res125!O25,creep_res125!C25)</f>
        <v>-6.6533691428571429E-3</v>
      </c>
      <c r="H25" s="2">
        <f>IF('Modell einstellen'!$B$2="Ja",creep_res160!O25,creep_res160!C25)</f>
        <v>-8.5483737142857154E-3</v>
      </c>
      <c r="M25" s="9">
        <f t="shared" si="26"/>
        <v>-10</v>
      </c>
      <c r="N25" s="2">
        <f t="shared" si="4"/>
        <v>10000000</v>
      </c>
      <c r="O25" s="2">
        <f t="shared" si="5"/>
        <v>12048.939349081869</v>
      </c>
      <c r="P25" s="2">
        <f t="shared" si="6"/>
        <v>8197.7292290035639</v>
      </c>
      <c r="Q25" s="2">
        <f t="shared" si="7"/>
        <v>6350.3770073677797</v>
      </c>
      <c r="R25" s="2">
        <f t="shared" si="27"/>
        <v>4830.4986311194953</v>
      </c>
      <c r="S25" s="2">
        <f t="shared" si="8"/>
        <v>3194.5015727809041</v>
      </c>
      <c r="T25" s="2">
        <f t="shared" si="9"/>
        <v>1502.9979225992142</v>
      </c>
      <c r="U25" s="2">
        <f t="shared" si="10"/>
        <v>1169.8131520956299</v>
      </c>
      <c r="Z25" s="2">
        <v>10000000</v>
      </c>
      <c r="AA25" s="3">
        <f>IF('Modell einstellen'!$B$2="Ja",'creep_res-40'!P25,'creep_res-40'!L25)</f>
        <v>0.46564792999221977</v>
      </c>
      <c r="AB25" s="2">
        <f>IF('Modell einstellen'!$B$2="Ja",creep_res0!P25,creep_res0!L25)</f>
        <v>0.44109820996726762</v>
      </c>
      <c r="AC25" s="2">
        <f>IF('Modell einstellen'!$B$2="Ja",creep_res25!P25,creep_res25!L25)</f>
        <v>0.43434448632508005</v>
      </c>
      <c r="AD25" s="2">
        <f>IF('Modell einstellen'!$B$2="Ja",creep_res50!P25,creep_res50!L25)</f>
        <v>0.42837102005556782</v>
      </c>
      <c r="AE25" s="2">
        <f>IF('Modell einstellen'!$B$2="Ja",creep_res80!P25,creep_res80!L25)</f>
        <v>0.42179203907937823</v>
      </c>
      <c r="AF25" s="2">
        <f>IF('Modell einstellen'!$B$2="Ja",creep_res125!P25,creep_res125!L25)</f>
        <v>0.4134661657131648</v>
      </c>
      <c r="AG25" s="2">
        <f>IF('Modell einstellen'!$B$2="Ja",creep_res160!P25,creep_res160!L25)</f>
        <v>0.4055410706691478</v>
      </c>
      <c r="AL25" s="2">
        <f t="shared" si="11"/>
        <v>10000000</v>
      </c>
      <c r="AM25" s="2">
        <f t="shared" si="12"/>
        <v>4110.4480491252179</v>
      </c>
      <c r="AN25" s="2">
        <f t="shared" si="13"/>
        <v>2844.2645935941323</v>
      </c>
      <c r="AO25" s="2">
        <f t="shared" si="14"/>
        <v>2213.6861360404496</v>
      </c>
      <c r="AP25" s="2">
        <f t="shared" si="15"/>
        <v>1690.9117320692962</v>
      </c>
      <c r="AQ25" s="2">
        <f t="shared" si="16"/>
        <v>1123.4067588567204</v>
      </c>
      <c r="AR25" s="2">
        <f t="shared" si="17"/>
        <v>531.67099399258564</v>
      </c>
      <c r="AS25" s="2">
        <f t="shared" si="18"/>
        <v>416.14335450856197</v>
      </c>
      <c r="AX25" s="2">
        <f t="shared" si="28"/>
        <v>10000000</v>
      </c>
      <c r="AY25" s="37">
        <f t="shared" si="19"/>
        <v>58458.094598826036</v>
      </c>
      <c r="AZ25" s="37">
        <f t="shared" si="20"/>
        <v>23196.038763417302</v>
      </c>
      <c r="BA25" s="37">
        <f t="shared" si="21"/>
        <v>16120.446077614522</v>
      </c>
      <c r="BB25" s="37">
        <f t="shared" si="22"/>
        <v>11239.628231633958</v>
      </c>
      <c r="BC25" s="37">
        <f t="shared" si="23"/>
        <v>6807.7075853850884</v>
      </c>
      <c r="BD25" s="37">
        <f t="shared" si="24"/>
        <v>2894.8174529768339</v>
      </c>
      <c r="BE25" s="37">
        <f t="shared" si="25"/>
        <v>2064.0595872064814</v>
      </c>
    </row>
    <row r="26" spans="1:57" x14ac:dyDescent="0.25">
      <c r="A26" s="2">
        <f>'creep_res-40'!A26</f>
        <v>100000000</v>
      </c>
      <c r="B26" s="3">
        <f>'creep_res-40'!O26</f>
        <v>-1.0604901142857144E-3</v>
      </c>
      <c r="C26" s="2">
        <f>IF('Modell einstellen'!$B$2="Ja",creep_res0!O26,creep_res0!C26)</f>
        <v>-1.5611176000000001E-3</v>
      </c>
      <c r="D26" s="2">
        <f>IF('Modell einstellen'!$B$2="Ja",creep_res25!O26,creep_res25!C26)</f>
        <v>-2.126671542857143E-3</v>
      </c>
      <c r="E26" s="2">
        <f>IF('Modell einstellen'!$B$2="Ja",creep_res50!O26,creep_res50!C26)</f>
        <v>-2.9545460000000002E-3</v>
      </c>
      <c r="F26" s="2">
        <f>IF('Modell einstellen'!$B$2="Ja",creep_res80!O26,creep_res80!C26)</f>
        <v>-4.5407554857142861E-3</v>
      </c>
      <c r="G26" s="2">
        <f>IF('Modell einstellen'!$B$2="Ja",creep_res125!O26,creep_res125!C26)</f>
        <v>-7.8597879999999995E-3</v>
      </c>
      <c r="H26" s="2">
        <f>IF('Modell einstellen'!$B$2="Ja",creep_res160!O26,creep_res160!C26)</f>
        <v>-9.1112971428571436E-3</v>
      </c>
      <c r="M26" s="9">
        <f t="shared" si="26"/>
        <v>-10</v>
      </c>
      <c r="N26" s="2">
        <f t="shared" si="4"/>
        <v>100000000</v>
      </c>
      <c r="O26" s="2">
        <f t="shared" si="5"/>
        <v>9429.6022803903543</v>
      </c>
      <c r="P26" s="2">
        <f t="shared" si="6"/>
        <v>6405.6673244859958</v>
      </c>
      <c r="Q26" s="2">
        <f t="shared" si="7"/>
        <v>4702.1835758262832</v>
      </c>
      <c r="R26" s="2">
        <f t="shared" si="27"/>
        <v>3384.614759763429</v>
      </c>
      <c r="S26" s="2">
        <f t="shared" si="8"/>
        <v>2202.2766985496346</v>
      </c>
      <c r="T26" s="2">
        <f t="shared" si="9"/>
        <v>1272.2989475034187</v>
      </c>
      <c r="U26" s="2">
        <f t="shared" si="10"/>
        <v>1097.5385659372946</v>
      </c>
      <c r="Z26" s="2">
        <v>100000000</v>
      </c>
      <c r="AA26" s="3">
        <f>IF('Modell einstellen'!$B$2="Ja",'creep_res-40'!P26,'creep_res-40'!L26)</f>
        <v>0.45290705208702148</v>
      </c>
      <c r="AB26" s="2">
        <f>IF('Modell einstellen'!$B$2="Ja",creep_res0!P26,creep_res0!L26)</f>
        <v>0.43156741408481064</v>
      </c>
      <c r="AC26" s="2">
        <f>IF('Modell einstellen'!$B$2="Ja",creep_res25!P26,creep_res25!L26)</f>
        <v>0.4243573162967042</v>
      </c>
      <c r="AD26" s="2">
        <f>IF('Modell einstellen'!$B$2="Ja",creep_res50!P26,creep_res50!L26)</f>
        <v>0.41680383865599463</v>
      </c>
      <c r="AE26" s="2">
        <f>IF('Modell einstellen'!$B$2="Ja",creep_res80!P26,creep_res80!L26)</f>
        <v>0.41033224666289325</v>
      </c>
      <c r="AF26" s="2">
        <f>IF('Modell einstellen'!$B$2="Ja",creep_res125!P26,creep_res125!L26)</f>
        <v>0.40145795280992319</v>
      </c>
      <c r="AG26" s="2">
        <f>IF('Modell einstellen'!$B$2="Ja",creep_res160!P26,creep_res160!L26)</f>
        <v>0.39572430960120469</v>
      </c>
      <c r="AL26" s="2">
        <f t="shared" si="11"/>
        <v>100000000</v>
      </c>
      <c r="AM26" s="2">
        <f t="shared" si="12"/>
        <v>3245.0810486621449</v>
      </c>
      <c r="AN26" s="2">
        <f t="shared" si="13"/>
        <v>2237.2915384432267</v>
      </c>
      <c r="AO26" s="2">
        <f t="shared" si="14"/>
        <v>1650.6334197278006</v>
      </c>
      <c r="AP26" s="2">
        <f t="shared" si="15"/>
        <v>1194.4542594457305</v>
      </c>
      <c r="AQ26" s="2">
        <f t="shared" si="16"/>
        <v>780.76520754617513</v>
      </c>
      <c r="AR26" s="2">
        <f t="shared" si="17"/>
        <v>453.91977153237434</v>
      </c>
      <c r="AS26" s="2">
        <f t="shared" si="18"/>
        <v>393.17885286775953</v>
      </c>
      <c r="AX26" s="2">
        <f t="shared" si="28"/>
        <v>100000000</v>
      </c>
      <c r="AY26" s="37">
        <f t="shared" si="19"/>
        <v>33372.30837553781</v>
      </c>
      <c r="AZ26" s="37">
        <f t="shared" si="20"/>
        <v>15600.918867376864</v>
      </c>
      <c r="BA26" s="37">
        <f t="shared" si="21"/>
        <v>10360.516368135783</v>
      </c>
      <c r="BB26" s="37">
        <f t="shared" si="22"/>
        <v>6780.3904753259076</v>
      </c>
      <c r="BC26" s="37">
        <f t="shared" si="23"/>
        <v>4093.4015046080817</v>
      </c>
      <c r="BD26" s="37">
        <f t="shared" si="24"/>
        <v>2151.8715170883579</v>
      </c>
      <c r="BE26" s="37">
        <f t="shared" si="25"/>
        <v>1754.2256840813566</v>
      </c>
    </row>
    <row r="27" spans="1:57" x14ac:dyDescent="0.25">
      <c r="A27" s="2">
        <f>'creep_res-40'!A27</f>
        <v>1000000000</v>
      </c>
      <c r="B27" s="3">
        <f>'creep_res-40'!O27</f>
        <v>-1.3626403428571429E-3</v>
      </c>
      <c r="C27" s="2">
        <f>IF('Modell einstellen'!$B$2="Ja",creep_res0!O27,creep_res0!C27)</f>
        <v>-2.0873740571428572E-3</v>
      </c>
      <c r="D27" s="2">
        <f>IF('Modell einstellen'!$B$2="Ja",creep_res25!O27,creep_res25!C27)</f>
        <v>-3.0271867428571433E-3</v>
      </c>
      <c r="E27" s="2">
        <f>IF('Modell einstellen'!$B$2="Ja",creep_res50!O27,creep_res50!C27)</f>
        <v>-4.2581054285714291E-3</v>
      </c>
      <c r="F27" s="2">
        <f>IF('Modell einstellen'!$B$2="Ja",creep_res80!O27,creep_res80!C27)</f>
        <v>-6.1332525714285716E-3</v>
      </c>
      <c r="G27" s="2">
        <f>IF('Modell einstellen'!$B$2="Ja",creep_res125!O27,creep_res125!C27)</f>
        <v>-8.5845314285714295E-3</v>
      </c>
      <c r="H27" s="2">
        <f>IF('Modell einstellen'!$B$2="Ja",creep_res160!O27,creep_res160!C27)</f>
        <v>-9.4835811428571441E-3</v>
      </c>
      <c r="M27" s="9">
        <f t="shared" si="26"/>
        <v>-10</v>
      </c>
      <c r="N27" s="2">
        <f t="shared" si="4"/>
        <v>1000000000</v>
      </c>
      <c r="O27" s="2">
        <f t="shared" si="5"/>
        <v>7338.6936269861963</v>
      </c>
      <c r="P27" s="2">
        <f t="shared" si="6"/>
        <v>4790.708194240824</v>
      </c>
      <c r="Q27" s="2">
        <f t="shared" si="7"/>
        <v>3303.3971305522173</v>
      </c>
      <c r="R27" s="2">
        <f t="shared" si="27"/>
        <v>2348.4622839305662</v>
      </c>
      <c r="S27" s="2">
        <f t="shared" si="8"/>
        <v>1630.4562519705228</v>
      </c>
      <c r="T27" s="2">
        <f t="shared" si="9"/>
        <v>1164.8859443530655</v>
      </c>
      <c r="U27" s="2">
        <f t="shared" si="10"/>
        <v>1054.4539925755591</v>
      </c>
      <c r="Z27" s="2">
        <v>1000000000</v>
      </c>
      <c r="AA27" s="3">
        <f>IF('Modell einstellen'!$B$2="Ja",'creep_res-40'!P27,'creep_res-40'!L27)</f>
        <v>0.44239716791845213</v>
      </c>
      <c r="AB27" s="2">
        <f>IF('Modell einstellen'!$B$2="Ja",creep_res0!P27,creep_res0!L27)</f>
        <v>0.42188364295087255</v>
      </c>
      <c r="AC27" s="2">
        <f>IF('Modell einstellen'!$B$2="Ja",creep_res25!P27,creep_res25!L27)</f>
        <v>0.41333084590675495</v>
      </c>
      <c r="AD27" s="2">
        <f>IF('Modell einstellen'!$B$2="Ja",creep_res50!P27,creep_res50!L27)</f>
        <v>0.40659445525370808</v>
      </c>
      <c r="AE27" s="2">
        <f>IF('Modell einstellen'!$B$2="Ja",creep_res80!P27,creep_res80!L27)</f>
        <v>0.4007215747188721</v>
      </c>
      <c r="AF27" s="2">
        <f>IF('Modell einstellen'!$B$2="Ja",creep_res125!P27,creep_res125!L27)</f>
        <v>0.39388759715980831</v>
      </c>
      <c r="AG27" s="2">
        <f>IF('Modell einstellen'!$B$2="Ja",creep_res160!P27,creep_res160!L27)</f>
        <v>0.38976528275906863</v>
      </c>
      <c r="AL27" s="2">
        <f t="shared" si="11"/>
        <v>1000000000</v>
      </c>
      <c r="AM27" s="2">
        <f t="shared" si="12"/>
        <v>2543.9226414929772</v>
      </c>
      <c r="AN27" s="2">
        <f t="shared" si="13"/>
        <v>1684.6343995836892</v>
      </c>
      <c r="AO27" s="2">
        <f t="shared" si="14"/>
        <v>1168.6567020451771</v>
      </c>
      <c r="AP27" s="2">
        <f t="shared" si="15"/>
        <v>834.8043301176574</v>
      </c>
      <c r="AQ27" s="2">
        <f t="shared" si="16"/>
        <v>582.0058323502866</v>
      </c>
      <c r="AR27" s="2">
        <f t="shared" si="17"/>
        <v>417.85505040960345</v>
      </c>
      <c r="AS27" s="2">
        <f t="shared" si="18"/>
        <v>379.36405724647841</v>
      </c>
      <c r="AX27" s="2">
        <f t="shared" si="28"/>
        <v>1000000000</v>
      </c>
      <c r="AY27" s="37">
        <f t="shared" si="19"/>
        <v>21233.601895930122</v>
      </c>
      <c r="AZ27" s="37">
        <f t="shared" si="20"/>
        <v>10221.308262041164</v>
      </c>
      <c r="BA27" s="37">
        <f t="shared" si="21"/>
        <v>6352.5044658106381</v>
      </c>
      <c r="BB27" s="37">
        <f t="shared" si="22"/>
        <v>4190.4405323928358</v>
      </c>
      <c r="BC27" s="37">
        <f t="shared" si="23"/>
        <v>2737.1778701390231</v>
      </c>
      <c r="BD27" s="37">
        <f t="shared" si="24"/>
        <v>1829.6415140515619</v>
      </c>
      <c r="BE27" s="37">
        <f t="shared" si="25"/>
        <v>1594.2557525849165</v>
      </c>
    </row>
    <row r="28" spans="1:57" x14ac:dyDescent="0.25">
      <c r="A28" s="2">
        <f>'creep_res-40'!A28</f>
        <v>10000000000</v>
      </c>
      <c r="B28" s="3">
        <f>'creep_res-40'!O28</f>
        <v>-1.7953448000000002E-3</v>
      </c>
      <c r="C28" s="2">
        <f>IF('Modell einstellen'!$B$2="Ja",creep_res0!O28,creep_res0!C28)</f>
        <v>-2.9592241714285717E-3</v>
      </c>
      <c r="D28" s="2">
        <f>IF('Modell einstellen'!$B$2="Ja",creep_res25!O28,creep_res25!C28)</f>
        <v>-4.3534069142857146E-3</v>
      </c>
      <c r="E28" s="2">
        <f>IF('Modell einstellen'!$B$2="Ja",creep_res50!O28,creep_res50!C28)</f>
        <v>-5.8863280000000006E-3</v>
      </c>
      <c r="F28" s="2">
        <f>IF('Modell einstellen'!$B$2="Ja",creep_res80!O28,creep_res80!C28)</f>
        <v>-7.5139828571428573E-3</v>
      </c>
      <c r="G28" s="2">
        <f>IF('Modell einstellen'!$B$2="Ja",creep_res125!O28,creep_res125!C28)</f>
        <v>-9.184025142857143E-3</v>
      </c>
      <c r="H28" s="2">
        <f>IF('Modell einstellen'!$B$2="Ja",creep_res160!O28,creep_res160!C28)</f>
        <v>-1.0088114857142857E-2</v>
      </c>
      <c r="M28" s="9">
        <f t="shared" si="26"/>
        <v>-10</v>
      </c>
      <c r="N28" s="2">
        <f t="shared" si="4"/>
        <v>10000000000</v>
      </c>
      <c r="O28" s="2">
        <f t="shared" si="5"/>
        <v>5569.9607117251235</v>
      </c>
      <c r="P28" s="2">
        <f t="shared" si="6"/>
        <v>3379.2640978505115</v>
      </c>
      <c r="Q28" s="2">
        <f t="shared" si="7"/>
        <v>2297.0515269741904</v>
      </c>
      <c r="R28" s="2">
        <f t="shared" si="27"/>
        <v>1698.8519837834383</v>
      </c>
      <c r="S28" s="2">
        <f t="shared" si="8"/>
        <v>1330.8521179941092</v>
      </c>
      <c r="T28" s="2">
        <f t="shared" si="9"/>
        <v>1088.8471933003668</v>
      </c>
      <c r="U28" s="2">
        <f t="shared" si="10"/>
        <v>991.26547839803118</v>
      </c>
      <c r="Z28" s="2">
        <v>10000000000</v>
      </c>
      <c r="AA28" s="3">
        <f>IF('Modell einstellen'!$B$2="Ja",'creep_res-40'!P28,'creep_res-40'!L28)</f>
        <v>0.43218614210325657</v>
      </c>
      <c r="AB28" s="2">
        <f>IF('Modell einstellen'!$B$2="Ja",creep_res0!P28,creep_res0!L28)</f>
        <v>0.41143718306244093</v>
      </c>
      <c r="AC28" s="2">
        <f>IF('Modell einstellen'!$B$2="Ja",creep_res25!P28,creep_res25!L28)</f>
        <v>0.40393473900723353</v>
      </c>
      <c r="AD28" s="2">
        <f>IF('Modell einstellen'!$B$2="Ja",creep_res50!P28,creep_res50!L28)</f>
        <v>0.39845275356724935</v>
      </c>
      <c r="AE28" s="2">
        <f>IF('Modell einstellen'!$B$2="Ja",creep_res80!P28,creep_res80!L28)</f>
        <v>0.39374011271937204</v>
      </c>
      <c r="AF28" s="2">
        <f>IF('Modell einstellen'!$B$2="Ja",creep_res125!P28,creep_res125!L28)</f>
        <v>0.38913264548056237</v>
      </c>
      <c r="AG28" s="2">
        <f>IF('Modell einstellen'!$B$2="Ja",creep_res160!P28,creep_res160!L28)</f>
        <v>0.38718715165869028</v>
      </c>
      <c r="AL28" s="2">
        <f t="shared" si="11"/>
        <v>10000000000</v>
      </c>
      <c r="AM28" s="2">
        <f t="shared" si="12"/>
        <v>1944.565914995268</v>
      </c>
      <c r="AN28" s="2">
        <f t="shared" si="13"/>
        <v>1197.1004230306633</v>
      </c>
      <c r="AO28" s="2">
        <f t="shared" si="14"/>
        <v>818.07631905971209</v>
      </c>
      <c r="AP28" s="2">
        <f t="shared" si="15"/>
        <v>607.40413984309237</v>
      </c>
      <c r="AQ28" s="2">
        <f t="shared" si="16"/>
        <v>477.43912435634792</v>
      </c>
      <c r="AR28" s="2">
        <f t="shared" si="17"/>
        <v>391.91620643386665</v>
      </c>
      <c r="AS28" s="2">
        <f t="shared" si="18"/>
        <v>357.29334618358928</v>
      </c>
      <c r="AX28" s="2">
        <f t="shared" si="28"/>
        <v>10000000000</v>
      </c>
      <c r="AY28" s="37">
        <f t="shared" si="19"/>
        <v>13689.337461098799</v>
      </c>
      <c r="AZ28" s="37">
        <f t="shared" si="20"/>
        <v>6359.4486089142256</v>
      </c>
      <c r="BA28" s="37">
        <f t="shared" si="21"/>
        <v>3985.2275131089514</v>
      </c>
      <c r="BB28" s="37">
        <f t="shared" si="22"/>
        <v>2788.2784343615817</v>
      </c>
      <c r="BC28" s="37">
        <f t="shared" si="23"/>
        <v>2087.4169172282668</v>
      </c>
      <c r="BD28" s="37">
        <f t="shared" si="24"/>
        <v>1636.8617525270804</v>
      </c>
      <c r="BE28" s="37">
        <f t="shared" si="25"/>
        <v>1464.4689456514832</v>
      </c>
    </row>
    <row r="29" spans="1:57" x14ac:dyDescent="0.25">
      <c r="A29" s="2">
        <f>'creep_res-40'!A29</f>
        <v>100000000000</v>
      </c>
      <c r="B29" s="3">
        <f>'creep_res-40'!O29</f>
        <v>-2.5186729142857144E-3</v>
      </c>
      <c r="C29" s="2">
        <f>IF('Modell einstellen'!$B$2="Ja",creep_res0!O29,creep_res0!C29)</f>
        <v>-4.2434921142857143E-3</v>
      </c>
      <c r="D29" s="2">
        <f>IF('Modell einstellen'!$B$2="Ja",creep_res25!O29,creep_res25!C29)</f>
        <v>-5.9767857142857149E-3</v>
      </c>
      <c r="E29" s="2">
        <f>IF('Modell einstellen'!$B$2="Ja",creep_res50!O29,creep_res50!C29)</f>
        <v>-7.2844622857142858E-3</v>
      </c>
      <c r="F29" s="2">
        <f>IF('Modell einstellen'!$B$2="Ja",creep_res80!O29,creep_res80!C29)</f>
        <v>-8.4066577142857153E-3</v>
      </c>
      <c r="G29" s="2">
        <f>IF('Modell einstellen'!$B$2="Ja",creep_res125!O29,creep_res125!C29)</f>
        <v>-9.5224000000000003E-3</v>
      </c>
      <c r="H29" s="2">
        <f>IF('Modell einstellen'!$B$2="Ja",creep_res160!O29,creep_res160!C29)</f>
        <v>-1.028188342857143E-2</v>
      </c>
      <c r="M29" s="9">
        <f t="shared" si="26"/>
        <v>-10</v>
      </c>
      <c r="N29" s="2">
        <f t="shared" si="4"/>
        <v>100000000000</v>
      </c>
      <c r="O29" s="2">
        <f t="shared" si="5"/>
        <v>3970.3448364735204</v>
      </c>
      <c r="P29" s="2">
        <f t="shared" si="6"/>
        <v>2356.5496837698847</v>
      </c>
      <c r="Q29" s="2">
        <f t="shared" si="7"/>
        <v>1673.1401254855093</v>
      </c>
      <c r="R29" s="2">
        <f t="shared" si="27"/>
        <v>1372.7849232758351</v>
      </c>
      <c r="S29" s="2">
        <f t="shared" si="8"/>
        <v>1189.5333841184786</v>
      </c>
      <c r="T29" s="2">
        <f t="shared" si="9"/>
        <v>1050.1554230026043</v>
      </c>
      <c r="U29" s="2">
        <f t="shared" si="10"/>
        <v>972.58445589957489</v>
      </c>
      <c r="Z29" s="2">
        <v>100000000000</v>
      </c>
      <c r="AA29" s="3">
        <f>IF('Modell einstellen'!$B$2="Ja",'creep_res-40'!P29,'creep_res-40'!L29)</f>
        <v>0.42118983475560917</v>
      </c>
      <c r="AB29" s="2">
        <f>IF('Modell einstellen'!$B$2="Ja",creep_res0!P29,creep_res0!L29)</f>
        <v>0.40250224101141935</v>
      </c>
      <c r="AC29" s="2">
        <f>IF('Modell einstellen'!$B$2="Ja",creep_res25!P29,creep_res25!L29)</f>
        <v>0.39653875112040632</v>
      </c>
      <c r="AD29" s="2">
        <f>IF('Modell einstellen'!$B$2="Ja",creep_res50!P29,creep_res50!L29)</f>
        <v>0.39224568708238411</v>
      </c>
      <c r="AE29" s="2">
        <f>IF('Modell einstellen'!$B$2="Ja",creep_res80!P29,creep_res80!L29)</f>
        <v>0.38861117627110647</v>
      </c>
      <c r="AF29" s="2">
        <f>IF('Modell einstellen'!$B$2="Ja",creep_res125!P29,creep_res125!L29)</f>
        <v>0.38533081696091021</v>
      </c>
      <c r="AG29" s="2">
        <f>IF('Modell einstellen'!$B$2="Ja",creep_res160!P29,creep_res160!L29)</f>
        <v>0.38717257249588954</v>
      </c>
      <c r="AL29" s="2">
        <f t="shared" si="11"/>
        <v>100000000000</v>
      </c>
      <c r="AM29" s="2">
        <f t="shared" si="12"/>
        <v>1396.8383179282553</v>
      </c>
      <c r="AN29" s="2">
        <f t="shared" si="13"/>
        <v>840.12332203849121</v>
      </c>
      <c r="AO29" s="2">
        <f t="shared" si="14"/>
        <v>599.03104161742488</v>
      </c>
      <c r="AP29" s="2">
        <f t="shared" si="15"/>
        <v>493.01101666641495</v>
      </c>
      <c r="AQ29" s="2">
        <f t="shared" si="16"/>
        <v>428.31766172038903</v>
      </c>
      <c r="AR29" s="2">
        <f t="shared" si="17"/>
        <v>379.02694798430821</v>
      </c>
      <c r="AS29" s="2">
        <f t="shared" si="18"/>
        <v>350.56361233759071</v>
      </c>
      <c r="AX29" s="2">
        <f t="shared" si="28"/>
        <v>100000000000</v>
      </c>
      <c r="AY29" s="37">
        <f t="shared" si="19"/>
        <v>8396.4313151766983</v>
      </c>
      <c r="AZ29" s="37">
        <f t="shared" si="20"/>
        <v>4028.3826490239189</v>
      </c>
      <c r="BA29" s="37">
        <f t="shared" si="21"/>
        <v>2695.276643194657</v>
      </c>
      <c r="BB29" s="37">
        <f t="shared" si="22"/>
        <v>2123.3255636604308</v>
      </c>
      <c r="BC29" s="37">
        <f t="shared" si="23"/>
        <v>1779.8514912256878</v>
      </c>
      <c r="BD29" s="37">
        <f t="shared" si="24"/>
        <v>1526.3552001944799</v>
      </c>
      <c r="BE29" s="37">
        <f t="shared" si="25"/>
        <v>1436.6844383710725</v>
      </c>
    </row>
    <row r="30" spans="1:57" x14ac:dyDescent="0.25">
      <c r="A30" s="2">
        <f>'creep_res-40'!A30</f>
        <v>1000000000000</v>
      </c>
      <c r="B30" s="3">
        <f>'creep_res-40'!O30</f>
        <v>-3.6098497142857144E-3</v>
      </c>
      <c r="C30" s="2">
        <f>IF('Modell einstellen'!$B$2="Ja",creep_res0!O30,creep_res0!C30)</f>
        <v>-5.8771245714285712E-3</v>
      </c>
      <c r="D30" s="2">
        <f>IF('Modell einstellen'!$B$2="Ja",creep_res25!O30,creep_res25!C30)</f>
        <v>-7.3654439999999996E-3</v>
      </c>
      <c r="E30" s="2">
        <f>IF('Modell einstellen'!$B$2="Ja",creep_res50!O30,creep_res50!C30)</f>
        <v>-8.3061679999999992E-3</v>
      </c>
      <c r="F30" s="2">
        <f>IF('Modell einstellen'!$B$2="Ja",creep_res80!O30,creep_res80!C30)</f>
        <v>-9.0518805714285711E-3</v>
      </c>
      <c r="G30" s="2">
        <f>IF('Modell einstellen'!$B$2="Ja",creep_res125!O30,creep_res125!C30)</f>
        <v>-9.8091748571428571E-3</v>
      </c>
      <c r="H30" s="2">
        <f>IF('Modell einstellen'!$B$2="Ja",creep_res160!O30,creep_res160!C30)</f>
        <v>-1.0456755428571428E-2</v>
      </c>
      <c r="M30" s="9">
        <f t="shared" si="26"/>
        <v>-10</v>
      </c>
      <c r="N30" s="2">
        <f t="shared" si="4"/>
        <v>1000000000000</v>
      </c>
      <c r="O30" s="2">
        <f t="shared" si="5"/>
        <v>2770.1984269388659</v>
      </c>
      <c r="P30" s="2">
        <f t="shared" si="6"/>
        <v>1701.5123430622245</v>
      </c>
      <c r="Q30" s="2">
        <f t="shared" si="7"/>
        <v>1357.6914032609575</v>
      </c>
      <c r="R30" s="2">
        <f t="shared" si="27"/>
        <v>1203.9246015731924</v>
      </c>
      <c r="S30" s="2">
        <f t="shared" si="8"/>
        <v>1104.7428124012242</v>
      </c>
      <c r="T30" s="2">
        <f t="shared" si="9"/>
        <v>1019.453740568014</v>
      </c>
      <c r="U30" s="2">
        <f t="shared" si="10"/>
        <v>956.31958386217809</v>
      </c>
      <c r="Z30" s="2">
        <v>1000000000000</v>
      </c>
      <c r="AA30" s="3">
        <f>IF('Modell einstellen'!$B$2="Ja",'creep_res-40'!P30,'creep_res-40'!L30)</f>
        <v>0.41030673694844755</v>
      </c>
      <c r="AB30" s="2">
        <f>IF('Modell einstellen'!$B$2="Ja",creep_res0!P30,creep_res0!L30)</f>
        <v>0.39563019544640299</v>
      </c>
      <c r="AC30" s="2">
        <f>IF('Modell einstellen'!$B$2="Ja",creep_res25!P30,creep_res25!L30)</f>
        <v>0.39098977798021606</v>
      </c>
      <c r="AD30" s="2">
        <f>IF('Modell einstellen'!$B$2="Ja",creep_res50!P30,creep_res50!L30)</f>
        <v>0.38787809596090866</v>
      </c>
      <c r="AE30" s="2">
        <f>IF('Modell einstellen'!$B$2="Ja",creep_res80!P30,creep_res80!L30)</f>
        <v>0.38560014458873937</v>
      </c>
      <c r="AF30" s="2">
        <f>IF('Modell einstellen'!$B$2="Ja",creep_res125!P30,creep_res125!L30)</f>
        <v>0.38665882832958254</v>
      </c>
      <c r="AG30" s="2">
        <f>IF('Modell einstellen'!$B$2="Ja",creep_res160!P30,creep_res160!L30)</f>
        <v>0.38319490743974016</v>
      </c>
      <c r="AL30" s="2">
        <f t="shared" si="11"/>
        <v>1000000000000</v>
      </c>
      <c r="AM30" s="2">
        <f t="shared" si="12"/>
        <v>982.12621210790121</v>
      </c>
      <c r="AN30" s="2">
        <f t="shared" si="13"/>
        <v>609.58567269963044</v>
      </c>
      <c r="AO30" s="2">
        <f t="shared" si="14"/>
        <v>488.03069035934635</v>
      </c>
      <c r="AP30" s="2">
        <f t="shared" si="15"/>
        <v>433.7285115590953</v>
      </c>
      <c r="AQ30" s="2">
        <f t="shared" si="16"/>
        <v>398.6513774250231</v>
      </c>
      <c r="AR30" s="2">
        <f t="shared" si="17"/>
        <v>367.59357086994629</v>
      </c>
      <c r="AS30" s="2">
        <f t="shared" si="18"/>
        <v>345.69227327199394</v>
      </c>
      <c r="AX30" s="2">
        <f t="shared" si="28"/>
        <v>1000000000000</v>
      </c>
      <c r="AY30" s="37">
        <f t="shared" si="19"/>
        <v>5147.5408755925846</v>
      </c>
      <c r="AZ30" s="37">
        <f t="shared" si="20"/>
        <v>2717.1210267500423</v>
      </c>
      <c r="BA30" s="37">
        <f t="shared" si="21"/>
        <v>2075.7860717174367</v>
      </c>
      <c r="BB30" s="37">
        <f t="shared" si="22"/>
        <v>1789.6066070394293</v>
      </c>
      <c r="BC30" s="37">
        <f t="shared" si="23"/>
        <v>1609.4758284873408</v>
      </c>
      <c r="BD30" s="37">
        <f t="shared" si="24"/>
        <v>1499.092997339136</v>
      </c>
      <c r="BE30" s="37">
        <f t="shared" si="25"/>
        <v>1364.5517829467524</v>
      </c>
    </row>
    <row r="31" spans="1:57" x14ac:dyDescent="0.25">
      <c r="A31" s="2">
        <f>'creep_res-40'!A31</f>
        <v>10000000000000</v>
      </c>
      <c r="B31" s="3">
        <f>'creep_res-40'!O31</f>
        <v>-5.1771965142857149E-3</v>
      </c>
      <c r="C31" s="2">
        <f>IF('Modell einstellen'!$B$2="Ja",creep_res0!O31,creep_res0!C31)</f>
        <v>-7.2722080000000014E-3</v>
      </c>
      <c r="D31" s="2">
        <f>IF('Modell einstellen'!$B$2="Ja",creep_res25!O31,creep_res25!C31)</f>
        <v>-8.3538388571428573E-3</v>
      </c>
      <c r="E31" s="2">
        <f>IF('Modell einstellen'!$B$2="Ja",creep_res50!O31,creep_res50!C31)</f>
        <v>-8.9411811428571422E-3</v>
      </c>
      <c r="F31" s="2">
        <f>IF('Modell einstellen'!$B$2="Ja",creep_res80!O31,creep_res80!C31)</f>
        <v>-9.3563582857142859E-3</v>
      </c>
      <c r="G31" s="2">
        <f>IF('Modell einstellen'!$B$2="Ja",creep_res125!O31,creep_res125!C31)</f>
        <v>-1.0384158857142858E-2</v>
      </c>
      <c r="H31" s="2">
        <f>IF('Modell einstellen'!$B$2="Ja",creep_res160!O31,creep_res160!C31)</f>
        <v>-1.0466368571428573E-2</v>
      </c>
      <c r="M31" s="9">
        <f t="shared" si="26"/>
        <v>-10</v>
      </c>
      <c r="N31" s="2">
        <f t="shared" si="4"/>
        <v>10000000000000</v>
      </c>
      <c r="O31" s="2">
        <f t="shared" si="5"/>
        <v>1931.547309901501</v>
      </c>
      <c r="P31" s="2">
        <f t="shared" si="6"/>
        <v>1375.0981820101952</v>
      </c>
      <c r="Q31" s="2">
        <f t="shared" si="7"/>
        <v>1197.054452570582</v>
      </c>
      <c r="R31" s="2">
        <f t="shared" si="27"/>
        <v>1118.4204681938156</v>
      </c>
      <c r="S31" s="2">
        <f t="shared" si="8"/>
        <v>1068.7919054220547</v>
      </c>
      <c r="T31" s="2">
        <f t="shared" si="9"/>
        <v>963.00529851018121</v>
      </c>
      <c r="U31" s="2">
        <f t="shared" si="10"/>
        <v>955.44122412221554</v>
      </c>
      <c r="Z31" s="2">
        <v>10000000000000</v>
      </c>
      <c r="AA31" s="3">
        <f>IF('Modell einstellen'!$B$2="Ja",'creep_res-40'!P31,'creep_res-40'!L31)</f>
        <v>0.40163181973202289</v>
      </c>
      <c r="AB31" s="2">
        <f>IF('Modell einstellen'!$B$2="Ja",creep_res0!P31,creep_res0!L31)</f>
        <v>0.39037885447878123</v>
      </c>
      <c r="AC31" s="2">
        <f>IF('Modell einstellen'!$B$2="Ja",creep_res25!P31,creep_res25!L31)</f>
        <v>0.3870430484038202</v>
      </c>
      <c r="AD31" s="2">
        <f>IF('Modell einstellen'!$B$2="Ja",creep_res50!P31,creep_res50!L31)</f>
        <v>0.38499029882085894</v>
      </c>
      <c r="AE31" s="2">
        <f>IF('Modell einstellen'!$B$2="Ja",creep_res80!P31,creep_res80!L31)</f>
        <v>0.3871362832437798</v>
      </c>
      <c r="AF31" s="2">
        <f>IF('Modell einstellen'!$B$2="Ja",creep_res125!P31,creep_res125!L31)</f>
        <v>0.38299135639461379</v>
      </c>
      <c r="AG31" s="2">
        <f>IF('Modell einstellen'!$B$2="Ja",creep_res160!P31,creep_res160!L31)</f>
        <v>0.38306049116776481</v>
      </c>
      <c r="AL31" s="2">
        <f t="shared" si="11"/>
        <v>10000000000000</v>
      </c>
      <c r="AM31" s="2">
        <f t="shared" si="12"/>
        <v>689.03519551617785</v>
      </c>
      <c r="AN31" s="2">
        <f t="shared" si="13"/>
        <v>494.5048529689002</v>
      </c>
      <c r="AO31" s="2">
        <f t="shared" si="14"/>
        <v>431.51308603872349</v>
      </c>
      <c r="AP31" s="2">
        <f t="shared" si="15"/>
        <v>403.76473002951963</v>
      </c>
      <c r="AQ31" s="2">
        <f t="shared" si="16"/>
        <v>385.25122525189607</v>
      </c>
      <c r="AR31" s="2">
        <f t="shared" si="17"/>
        <v>348.16027376363564</v>
      </c>
      <c r="AS31" s="2">
        <f t="shared" si="18"/>
        <v>345.40832820533547</v>
      </c>
      <c r="AX31" s="2">
        <f t="shared" si="28"/>
        <v>10000000000000</v>
      </c>
      <c r="AY31" s="37">
        <f t="shared" si="19"/>
        <v>3272.6492527690871</v>
      </c>
      <c r="AZ31" s="37">
        <f t="shared" si="20"/>
        <v>2090.6826802924697</v>
      </c>
      <c r="BA31" s="37">
        <f t="shared" si="21"/>
        <v>1766.2399047530398</v>
      </c>
      <c r="BB31" s="37">
        <f t="shared" si="22"/>
        <v>1620.7625048541847</v>
      </c>
      <c r="BC31" s="37">
        <f t="shared" si="23"/>
        <v>1578.2927353151501</v>
      </c>
      <c r="BD31" s="37">
        <f t="shared" si="24"/>
        <v>1371.7010824116753</v>
      </c>
      <c r="BE31" s="37">
        <f t="shared" si="25"/>
        <v>1361.7314251663213</v>
      </c>
    </row>
    <row r="32" spans="1:57" x14ac:dyDescent="0.25">
      <c r="A32" s="2">
        <f>'creep_res-40'!A32</f>
        <v>100000000000000</v>
      </c>
      <c r="B32" s="3">
        <f>'creep_res-40'!O32</f>
        <v>-6.6766028571428569E-3</v>
      </c>
      <c r="C32" s="2">
        <f>IF('Modell einstellen'!$B$2="Ja",creep_res0!O32,creep_res0!C32)</f>
        <v>-8.3137022857142865E-3</v>
      </c>
      <c r="D32" s="2">
        <f>IF('Modell einstellen'!$B$2="Ja",creep_res25!O32,creep_res25!C32)</f>
        <v>-8.9823782857142865E-3</v>
      </c>
      <c r="E32" s="2">
        <f>IF('Modell einstellen'!$B$2="Ja",creep_res50!O32,creep_res50!C32)</f>
        <v>-9.2980605714285732E-3</v>
      </c>
      <c r="F32" s="2">
        <f>IF('Modell einstellen'!$B$2="Ja",creep_res80!O32,creep_res80!C32)</f>
        <v>-9.698237142857143E-3</v>
      </c>
      <c r="G32" s="2">
        <f>IF('Modell einstellen'!$B$2="Ja",creep_res125!O32,creep_res125!C32)</f>
        <v>-1.0416116571428572E-2</v>
      </c>
      <c r="H32" s="2">
        <f>IF('Modell einstellen'!$B$2="Ja",creep_res160!O32,creep_res160!C32)</f>
        <v>-1.0536541142857144E-2</v>
      </c>
      <c r="M32" s="9">
        <f t="shared" si="26"/>
        <v>-10</v>
      </c>
      <c r="N32" s="2">
        <f t="shared" si="4"/>
        <v>100000000000000</v>
      </c>
      <c r="O32" s="2">
        <f t="shared" si="5"/>
        <v>1497.7676842500314</v>
      </c>
      <c r="P32" s="2">
        <f t="shared" si="6"/>
        <v>1202.8335459141151</v>
      </c>
      <c r="Q32" s="2">
        <f t="shared" si="7"/>
        <v>1113.2908993494691</v>
      </c>
      <c r="R32" s="2">
        <f t="shared" si="27"/>
        <v>1075.493101295594</v>
      </c>
      <c r="S32" s="2">
        <f t="shared" si="8"/>
        <v>1031.115227715906</v>
      </c>
      <c r="T32" s="2">
        <f t="shared" si="9"/>
        <v>960.05069945453749</v>
      </c>
      <c r="U32" s="2">
        <f t="shared" si="10"/>
        <v>949.07805744004781</v>
      </c>
      <c r="Z32" s="2">
        <v>100000000000000</v>
      </c>
      <c r="AA32" s="3">
        <f>IF('Modell einstellen'!$B$2="Ja",'creep_res-40'!P32,'creep_res-40'!L32)</f>
        <v>0.39447393905626088</v>
      </c>
      <c r="AB32" s="2">
        <f>IF('Modell einstellen'!$B$2="Ja",creep_res0!P32,creep_res0!L32)</f>
        <v>0.38672603761404833</v>
      </c>
      <c r="AC32" s="2">
        <f>IF('Modell einstellen'!$B$2="Ja",creep_res25!P32,creep_res25!L32)</f>
        <v>0.38448236617193715</v>
      </c>
      <c r="AD32" s="2">
        <f>IF('Modell einstellen'!$B$2="Ja",creep_res50!P32,creep_res50!L32)</f>
        <v>0.38721934392954199</v>
      </c>
      <c r="AE32" s="2">
        <f>IF('Modell einstellen'!$B$2="Ja",creep_res80!P32,creep_res80!L32)</f>
        <v>0.38256041819676806</v>
      </c>
      <c r="AF32" s="2">
        <f>IF('Modell einstellen'!$B$2="Ja",creep_res125!P32,creep_res125!L32)</f>
        <v>0.38409909171523421</v>
      </c>
      <c r="AG32" s="2">
        <f>IF('Modell einstellen'!$B$2="Ja",creep_res160!P32,creep_res160!L32)</f>
        <v>0.38139434968818992</v>
      </c>
      <c r="AL32" s="2">
        <f t="shared" si="11"/>
        <v>100000000000000</v>
      </c>
      <c r="AM32" s="2">
        <f t="shared" si="12"/>
        <v>537.03681449352746</v>
      </c>
      <c r="AN32" s="2">
        <f t="shared" si="13"/>
        <v>433.69545003412065</v>
      </c>
      <c r="AO32" s="2">
        <f t="shared" si="14"/>
        <v>402.06033913876905</v>
      </c>
      <c r="AP32" s="2">
        <f t="shared" si="15"/>
        <v>387.64349199783766</v>
      </c>
      <c r="AQ32" s="2">
        <f t="shared" si="16"/>
        <v>372.90060316523403</v>
      </c>
      <c r="AR32" s="2">
        <f t="shared" si="17"/>
        <v>346.81429429478277</v>
      </c>
      <c r="AS32" s="2">
        <f t="shared" si="18"/>
        <v>343.52176757284224</v>
      </c>
      <c r="AX32" s="2">
        <f t="shared" si="28"/>
        <v>100000000000000</v>
      </c>
      <c r="AY32" s="37">
        <f t="shared" si="19"/>
        <v>2365.557333823856</v>
      </c>
      <c r="AZ32" s="37">
        <f t="shared" si="20"/>
        <v>1769.7999913633751</v>
      </c>
      <c r="BA32" s="37">
        <f t="shared" si="21"/>
        <v>1606.2351441606138</v>
      </c>
      <c r="BB32" s="37">
        <f t="shared" si="22"/>
        <v>1589.3581085744822</v>
      </c>
      <c r="BC32" s="37">
        <f t="shared" si="23"/>
        <v>1463.3272301717411</v>
      </c>
      <c r="BD32" s="37">
        <f t="shared" si="24"/>
        <v>1380.5625191129011</v>
      </c>
      <c r="BE32" s="37">
        <f t="shared" si="25"/>
        <v>1333.6605450428303</v>
      </c>
    </row>
    <row r="33" spans="1:60" x14ac:dyDescent="0.25">
      <c r="A33" s="2">
        <f>'creep_res-40'!A33</f>
        <v>1000000000000000</v>
      </c>
      <c r="B33" s="3">
        <f>'creep_res-40'!O33</f>
        <v>-7.9544497142857145E-3</v>
      </c>
      <c r="C33" s="2">
        <f>IF('Modell einstellen'!$B$2="Ja",creep_res0!O33,creep_res0!C33)</f>
        <v>-8.936981714285714E-3</v>
      </c>
      <c r="D33" s="2">
        <f>IF('Modell einstellen'!$B$2="Ja",creep_res25!O33,creep_res25!C33)</f>
        <v>-9.3296577142857155E-3</v>
      </c>
      <c r="E33" s="2">
        <f>IF('Modell einstellen'!$B$2="Ja",creep_res50!O33,creep_res50!C33)</f>
        <v>-9.6590897142857148E-3</v>
      </c>
      <c r="F33" s="2">
        <f>IF('Modell einstellen'!$B$2="Ja",creep_res80!O33,creep_res80!C33)</f>
        <v>-1.012065142857143E-2</v>
      </c>
      <c r="G33" s="2">
        <f>IF('Modell einstellen'!$B$2="Ja",creep_res125!O33,creep_res125!C33)</f>
        <v>-1.0529876000000001E-2</v>
      </c>
      <c r="H33" s="2">
        <f>IF('Modell einstellen'!$B$2="Ja",creep_res160!O33,creep_res160!C33)</f>
        <v>-1.0580144000000001E-2</v>
      </c>
      <c r="M33" s="9">
        <f>M31</f>
        <v>-10</v>
      </c>
      <c r="N33" s="2">
        <f t="shared" si="4"/>
        <v>1000000000000000</v>
      </c>
      <c r="O33" s="2">
        <f t="shared" si="5"/>
        <v>1257.1579881937778</v>
      </c>
      <c r="P33" s="2">
        <f t="shared" si="6"/>
        <v>1118.9460065712183</v>
      </c>
      <c r="Q33" s="2">
        <f t="shared" si="7"/>
        <v>1071.8506837274263</v>
      </c>
      <c r="R33" s="2">
        <f t="shared" si="27"/>
        <v>1035.294245710347</v>
      </c>
      <c r="S33" s="2">
        <f t="shared" si="8"/>
        <v>988.07868945759549</v>
      </c>
      <c r="T33" s="2">
        <f t="shared" si="9"/>
        <v>949.67879963638688</v>
      </c>
      <c r="U33" s="2">
        <f t="shared" si="10"/>
        <v>945.16671984804736</v>
      </c>
      <c r="Z33" s="2">
        <v>1000000000000000</v>
      </c>
      <c r="AA33" s="3">
        <f>IF('Modell einstellen'!$B$2="Ja",'creep_res-40'!P33,'creep_res-40'!L33)</f>
        <v>0.38961543680816352</v>
      </c>
      <c r="AB33" s="2">
        <f>IF('Modell einstellen'!$B$2="Ja",creep_res0!P33,creep_res0!L33)</f>
        <v>0.38422408895096449</v>
      </c>
      <c r="AC33" s="2">
        <f>IF('Modell einstellen'!$B$2="Ja",creep_res25!P33,creep_res25!L33)</f>
        <v>0.38663454871196923</v>
      </c>
      <c r="AD33" s="2">
        <f>IF('Modell einstellen'!$B$2="Ja",creep_res50!P33,creep_res50!L33)</f>
        <v>0.38232827263758129</v>
      </c>
      <c r="AE33" s="2">
        <f>IF('Modell einstellen'!$B$2="Ja",creep_res80!P33,creep_res80!L33)</f>
        <v>0.38449143307545414</v>
      </c>
      <c r="AF33" s="2">
        <f>IF('Modell einstellen'!$B$2="Ja",creep_res125!P33,creep_res125!L33)</f>
        <v>0.3813705742729408</v>
      </c>
      <c r="AG33" s="2">
        <f>IF('Modell einstellen'!$B$2="Ja",creep_res160!P33,creep_res160!L33)</f>
        <v>0.38033017319991108</v>
      </c>
      <c r="AL33" s="2">
        <f t="shared" si="11"/>
        <v>1000000000000000</v>
      </c>
      <c r="AM33" s="2">
        <f t="shared" si="12"/>
        <v>452.34025000519932</v>
      </c>
      <c r="AN33" s="2">
        <f t="shared" si="13"/>
        <v>404.17805740514621</v>
      </c>
      <c r="AO33" s="2">
        <f t="shared" si="14"/>
        <v>386.49357349528668</v>
      </c>
      <c r="AP33" s="2">
        <f t="shared" si="15"/>
        <v>374.47481405228427</v>
      </c>
      <c r="AQ33" s="2">
        <f t="shared" si="16"/>
        <v>356.83813776395743</v>
      </c>
      <c r="AR33" s="2">
        <f t="shared" si="17"/>
        <v>343.74512434370951</v>
      </c>
      <c r="AS33" s="2">
        <f t="shared" si="18"/>
        <v>342.36979608181048</v>
      </c>
      <c r="AX33" s="2">
        <f>AL33</f>
        <v>1000000000000000</v>
      </c>
      <c r="AY33" s="37">
        <f t="shared" si="19"/>
        <v>1898.1488471489934</v>
      </c>
      <c r="AZ33" s="37">
        <f t="shared" si="20"/>
        <v>1610.7927755041981</v>
      </c>
      <c r="BA33" s="37">
        <f t="shared" si="21"/>
        <v>1575.8044324046975</v>
      </c>
      <c r="BB33" s="37">
        <f t="shared" si="22"/>
        <v>1466.3593780712374</v>
      </c>
      <c r="BC33" s="37">
        <f t="shared" si="23"/>
        <v>1425.6932274455485</v>
      </c>
      <c r="BD33" s="37">
        <f t="shared" si="24"/>
        <v>1334.2372600164617</v>
      </c>
      <c r="BE33" s="37">
        <f t="shared" si="25"/>
        <v>1316.3534272051288</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0" zoomScale="120" zoomScaleNormal="120" zoomScaleSheetLayoutView="110" workbookViewId="0">
      <selection activeCell="C68" sqref="C68"/>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50</v>
      </c>
      <c r="D2" s="11">
        <f>1</f>
        <v>1</v>
      </c>
      <c r="E2" s="11">
        <f>D2+1</f>
        <v>2</v>
      </c>
      <c r="F2" s="11">
        <f t="shared" ref="F2:J2" si="0">E2+1</f>
        <v>3</v>
      </c>
      <c r="G2" s="11">
        <f t="shared" si="0"/>
        <v>4</v>
      </c>
      <c r="H2" s="11">
        <f t="shared" si="0"/>
        <v>5</v>
      </c>
      <c r="I2" s="11">
        <f t="shared" si="0"/>
        <v>6</v>
      </c>
      <c r="J2" s="11">
        <f t="shared" si="0"/>
        <v>7</v>
      </c>
    </row>
    <row r="3" spans="1:36" x14ac:dyDescent="0.25">
      <c r="A3" s="11" t="s">
        <v>110</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10761.801351389528</v>
      </c>
      <c r="G16" s="26">
        <f>INDEX(Comparison!$AM$3:$AS$33,G14,$B$3)</f>
        <v>10547.11616169445</v>
      </c>
      <c r="H16" s="26">
        <f>INDEX(Comparison!$AM$3:$AS$33,H14,$B$3)</f>
        <v>10349.894568285434</v>
      </c>
      <c r="I16" s="26">
        <f>INDEX(Comparison!$AM$3:$AS$33,I14,$B$3)</f>
        <v>10133.265997491257</v>
      </c>
      <c r="J16" s="26">
        <f>INDEX(Comparison!$AM$3:$AS$33,J14,$B$3)</f>
        <v>9898.4994293430227</v>
      </c>
      <c r="K16" s="26">
        <f>INDEX(Comparison!$AM$3:$AS$33,K14,$B$3)</f>
        <v>9623.1820365655622</v>
      </c>
      <c r="L16" s="26">
        <f>INDEX(Comparison!$AM$3:$AS$33,L14,$B$3)</f>
        <v>9373.9337150399151</v>
      </c>
      <c r="M16" s="26">
        <f>INDEX(Comparison!$AM$3:$AS$33,M14,$B$3)</f>
        <v>9114.1360760931802</v>
      </c>
      <c r="N16" s="26">
        <f>INDEX(Comparison!$AM$3:$AS$33,N14,$B$3)</f>
        <v>8823.7573464712859</v>
      </c>
      <c r="O16" s="26">
        <f>INDEX(Comparison!$AM$3:$AS$33,O14,$B$3)</f>
        <v>8477.9341078683501</v>
      </c>
      <c r="P16" s="26">
        <f>INDEX(Comparison!$AM$3:$AS$33,P14,$B$3)</f>
        <v>8118.5828227804013</v>
      </c>
      <c r="Q16" s="26">
        <f>INDEX(Comparison!$AM$3:$AS$33,Q14,$B$3)</f>
        <v>7811.8955545814642</v>
      </c>
      <c r="R16" s="26">
        <f>INDEX(Comparison!$AM$3:$AS$33,R14,$B$3)</f>
        <v>7534.5067060295696</v>
      </c>
      <c r="S16" s="26">
        <f>INDEX(Comparison!$AM$3:$AS$33,S14,$B$3)</f>
        <v>7256.8628130889483</v>
      </c>
      <c r="T16" s="26">
        <f>INDEX(Comparison!$AM$3:$AS$33,T14,$B$3)</f>
        <v>6971.3695334324493</v>
      </c>
      <c r="U16" s="26">
        <f>INDEX(Comparison!$AM$3:$AS$33,U14,$B$3)</f>
        <v>6688.5259415281262</v>
      </c>
      <c r="V16" s="26">
        <f>INDEX(Comparison!$AM$3:$AS$33,V14,$B$3)</f>
        <v>6332.8599538611707</v>
      </c>
      <c r="W16" s="26">
        <f>INDEX(Comparison!$AM$3:$AS$33,W14,$B$3)</f>
        <v>5707.8128215740962</v>
      </c>
      <c r="X16" s="26">
        <f>INDEX(Comparison!$AM$3:$AS$33,X14,$B$3)</f>
        <v>4703.4024219609055</v>
      </c>
      <c r="Y16" s="26">
        <f>INDEX(Comparison!$AM$3:$AS$33,Y14,$B$3)</f>
        <v>3716.6695709784594</v>
      </c>
      <c r="Z16" s="26">
        <f>INDEX(Comparison!$AM$3:$AS$33,Z14,$B$3)</f>
        <v>2925.6425281910142</v>
      </c>
      <c r="AA16" s="26">
        <f>INDEX(Comparison!$AM$3:$AS$33,AA14,$B$3)</f>
        <v>2271.2592133629987</v>
      </c>
      <c r="AB16" s="26">
        <f>INDEX(Comparison!$AM$3:$AS$33,AB14,$B$3)</f>
        <v>1690.9117320692962</v>
      </c>
      <c r="AC16" s="26">
        <f>INDEX(Comparison!$AM$3:$AS$33,AC14,$B$3)</f>
        <v>1194.4542594457305</v>
      </c>
      <c r="AD16" s="26">
        <f>INDEX(Comparison!$AM$3:$AS$33,AD14,$B$3)</f>
        <v>834.8043301176574</v>
      </c>
      <c r="AE16" s="26">
        <f>INDEX(Comparison!$AM$3:$AS$33,AE14,$B$3)</f>
        <v>607.40413984309237</v>
      </c>
      <c r="AF16" s="26">
        <f>INDEX(Comparison!$AM$3:$AS$33,AF14,$B$3)</f>
        <v>493.01101666641495</v>
      </c>
      <c r="AG16" s="26">
        <f>INDEX(Comparison!$AM$3:$AS$33,AG14,$B$3)</f>
        <v>433.7285115590953</v>
      </c>
      <c r="AH16" s="26">
        <f>INDEX(Comparison!$AM$3:$AS$33,AH14,$B$3)</f>
        <v>403.76473002951963</v>
      </c>
      <c r="AI16" s="26">
        <f>INDEX(Comparison!$AM$3:$AS$33,AI14,$B$3)</f>
        <v>387.64349199783766</v>
      </c>
      <c r="AJ16" s="26">
        <f>INDEX(Comparison!$AM$3:$AS$33,AJ14,$B$3)</f>
        <v>374.47481405228427</v>
      </c>
    </row>
    <row r="17" spans="1:36" x14ac:dyDescent="0.25">
      <c r="A17" s="14" t="s">
        <v>20</v>
      </c>
      <c r="B17" s="105">
        <v>2.2620467532297888E-2</v>
      </c>
      <c r="C17" s="18">
        <f t="shared" ref="C17:C48" si="3">ABS(B17/$B$49)</f>
        <v>2.3460765563958083E-2</v>
      </c>
      <c r="D17" s="66"/>
      <c r="E17" s="65" t="s">
        <v>22</v>
      </c>
      <c r="F17" s="27">
        <f>($C$17+SUM(F18:F48))*$B$51</f>
        <v>10702.373384730843</v>
      </c>
      <c r="G17" s="27">
        <f t="shared" ref="G17:M17" si="4">($C$17+SUM(G18:G48))*$B$51</f>
        <v>10623.988728096943</v>
      </c>
      <c r="H17" s="27">
        <f t="shared" si="4"/>
        <v>10329.540917068865</v>
      </c>
      <c r="I17" s="27">
        <f t="shared" si="4"/>
        <v>10136.582020156831</v>
      </c>
      <c r="J17" s="27">
        <f t="shared" si="4"/>
        <v>9898.0494619026958</v>
      </c>
      <c r="K17" s="27">
        <f t="shared" si="4"/>
        <v>9623.2167810140036</v>
      </c>
      <c r="L17" s="27">
        <f t="shared" si="4"/>
        <v>9373.9853457270656</v>
      </c>
      <c r="M17" s="27">
        <f t="shared" si="4"/>
        <v>9114.005504726334</v>
      </c>
      <c r="N17" s="27">
        <f t="shared" ref="N17" si="5">($C$17+SUM(N18:N48))*$B$51</f>
        <v>8824.0342843772232</v>
      </c>
      <c r="O17" s="27">
        <f t="shared" ref="O17" si="6">($C$17+SUM(O18:O48))*$B$51</f>
        <v>8477.3903889891135</v>
      </c>
      <c r="P17" s="27">
        <f t="shared" ref="P17" si="7">($C$17+SUM(P18:P48))*$B$51</f>
        <v>8119.5025640911599</v>
      </c>
      <c r="Q17" s="27">
        <f t="shared" ref="Q17" si="8">($C$17+SUM(Q18:Q48))*$B$51</f>
        <v>7810.5821663001343</v>
      </c>
      <c r="R17" s="27">
        <f t="shared" ref="R17" si="9">($C$17+SUM(R18:R48))*$B$51</f>
        <v>7536.1080438784738</v>
      </c>
      <c r="S17" s="27">
        <f t="shared" ref="S17:T17" si="10">($C$17+SUM(S18:S48))*$B$51</f>
        <v>7255.1859159606447</v>
      </c>
      <c r="T17" s="27">
        <f t="shared" si="10"/>
        <v>6972.8732449299187</v>
      </c>
      <c r="U17" s="27">
        <f t="shared" ref="U17" si="11">($C$17+SUM(U18:U48))*$B$51</f>
        <v>6687.3703477678255</v>
      </c>
      <c r="V17" s="27">
        <f t="shared" ref="V17" si="12">($C$17+SUM(V18:V48))*$B$51</f>
        <v>6333.6296335629158</v>
      </c>
      <c r="W17" s="27">
        <f t="shared" ref="W17" si="13">($C$17+SUM(W18:W48))*$B$51</f>
        <v>5707.364338243191</v>
      </c>
      <c r="X17" s="27">
        <f t="shared" ref="X17" si="14">($C$17+SUM(X18:X48))*$B$51</f>
        <v>4703.6357351925508</v>
      </c>
      <c r="Y17" s="27">
        <f t="shared" ref="Y17" si="15">($C$17+SUM(Y18:Y48))*$B$51</f>
        <v>3716.5499302281391</v>
      </c>
      <c r="Z17" s="27">
        <f t="shared" ref="Z17:AA17" si="16">($C$17+SUM(Z18:Z48))*$B$51</f>
        <v>2925.710367661693</v>
      </c>
      <c r="AA17" s="27">
        <f t="shared" si="16"/>
        <v>2271.2216048908504</v>
      </c>
      <c r="AB17" s="27">
        <f t="shared" ref="AB17" si="17">($C$17+SUM(AB18:AB48))*$B$51</f>
        <v>1690.9424647313006</v>
      </c>
      <c r="AC17" s="27">
        <f t="shared" ref="AC17" si="18">($C$17+SUM(AC18:AC48))*$B$51</f>
        <v>1194.4109083087446</v>
      </c>
      <c r="AD17" s="27">
        <f t="shared" ref="AD17" si="19">($C$17+SUM(AD18:AD48))*$B$51</f>
        <v>834.85093090888802</v>
      </c>
      <c r="AE17" s="27">
        <f t="shared" ref="AE17" si="20">($C$17+SUM(AE18:AE48))*$B$51</f>
        <v>607.35539249245767</v>
      </c>
      <c r="AF17" s="27">
        <f t="shared" ref="AF17" si="21">($C$17+SUM(AF18:AF48))*$B$51</f>
        <v>493.07759532925223</v>
      </c>
      <c r="AG17" s="27">
        <f t="shared" ref="AG17:AH17" si="22">($C$17+SUM(AG18:AG48))*$B$51</f>
        <v>433.63547373456254</v>
      </c>
      <c r="AH17" s="27">
        <f t="shared" si="22"/>
        <v>403.87939519108511</v>
      </c>
      <c r="AI17" s="27">
        <f t="shared" ref="AI17" si="23">($C$17+SUM(AI18:AI48))*$B$51</f>
        <v>387.50504583464982</v>
      </c>
      <c r="AJ17" s="27">
        <f t="shared" ref="AJ17" si="24">($C$17+SUM(AJ18:AJ48))*$B$51</f>
        <v>374.55431667180528</v>
      </c>
    </row>
    <row r="18" spans="1:36" x14ac:dyDescent="0.25">
      <c r="A18" s="3">
        <f>0.000000000000001/10^5</f>
        <v>1.0000000000000001E-20</v>
      </c>
      <c r="B18" s="106">
        <v>5.8640457370805039E-2</v>
      </c>
      <c r="C18" s="18">
        <f t="shared" si="3"/>
        <v>6.0818814685214426E-2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3.1338760301344755E-2</v>
      </c>
      <c r="C19" s="18">
        <f t="shared" si="3"/>
        <v>3.2502922737788244E-2</v>
      </c>
      <c r="D19" s="17"/>
      <c r="F19" s="3">
        <f t="shared" si="25"/>
        <v>3.1680918841314229E-2</v>
      </c>
      <c r="G19" s="3">
        <f t="shared" si="25"/>
        <v>2.5157990564796947E-2</v>
      </c>
      <c r="H19" s="3">
        <f t="shared" si="25"/>
        <v>2.5087521612582944E-3</v>
      </c>
      <c r="I19" s="3">
        <f t="shared" si="25"/>
        <v>2.4393597685365805E-13</v>
      </c>
      <c r="J19" s="3">
        <f t="shared" si="25"/>
        <v>1.8427093069831908E-113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1.4253928321074995E-2</v>
      </c>
      <c r="C20" s="18">
        <f t="shared" si="3"/>
        <v>1.4783428778769918E-2</v>
      </c>
      <c r="D20" s="17"/>
      <c r="F20" s="3">
        <f t="shared" si="25"/>
        <v>1.4749307758898567E-2</v>
      </c>
      <c r="G20" s="3">
        <f t="shared" si="25"/>
        <v>1.4445740754937517E-2</v>
      </c>
      <c r="H20" s="3">
        <f t="shared" si="25"/>
        <v>1.1733338678298391E-2</v>
      </c>
      <c r="I20" s="3">
        <f t="shared" si="25"/>
        <v>1.4663562872734492E-3</v>
      </c>
      <c r="J20" s="3">
        <f t="shared" si="25"/>
        <v>1.362757233876528E-12</v>
      </c>
      <c r="K20" s="3">
        <f t="shared" si="25"/>
        <v>6.5495038270006584E-103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2.106093257324345E-2</v>
      </c>
      <c r="C21" s="18">
        <f t="shared" si="3"/>
        <v>2.1843297489483837E-2</v>
      </c>
      <c r="D21" s="17"/>
      <c r="F21" s="3">
        <f t="shared" si="25"/>
        <v>2.1838744800000875E-2</v>
      </c>
      <c r="G21" s="3">
        <f t="shared" si="25"/>
        <v>2.1797813271175734E-2</v>
      </c>
      <c r="H21" s="3">
        <f t="shared" si="25"/>
        <v>2.1392693749256966E-2</v>
      </c>
      <c r="I21" s="3">
        <f t="shared" si="25"/>
        <v>1.773335608368895E-2</v>
      </c>
      <c r="J21" s="3">
        <f t="shared" si="25"/>
        <v>2.7167241423661707E-3</v>
      </c>
      <c r="K21" s="3">
        <f t="shared" si="25"/>
        <v>1.9346019286273299E-11</v>
      </c>
      <c r="L21" s="3">
        <f t="shared" si="25"/>
        <v>6.487126378501781E-93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2.5645725940726539E-2</v>
      </c>
      <c r="C22" s="18">
        <f t="shared" si="3"/>
        <v>2.6598405322694214E-2</v>
      </c>
      <c r="D22" s="17"/>
      <c r="F22" s="3">
        <f t="shared" si="25"/>
        <v>2.6597905180839841E-2</v>
      </c>
      <c r="G22" s="3">
        <f t="shared" si="25"/>
        <v>2.6593404327326972E-2</v>
      </c>
      <c r="H22" s="3">
        <f t="shared" si="25"/>
        <v>2.6548437660424296E-2</v>
      </c>
      <c r="I22" s="3">
        <f t="shared" si="25"/>
        <v>2.6102931716004994E-2</v>
      </c>
      <c r="J22" s="3">
        <f t="shared" si="25"/>
        <v>2.203902993767998E-2</v>
      </c>
      <c r="K22" s="3">
        <f t="shared" si="25"/>
        <v>4.0571806960065038E-3</v>
      </c>
      <c r="L22" s="3">
        <f t="shared" si="25"/>
        <v>1.8136066791243492E-10</v>
      </c>
      <c r="M22" s="3">
        <f t="shared" si="25"/>
        <v>5.7773764573371934E-84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2.1012529078381196E-2</v>
      </c>
      <c r="C23" s="18">
        <f t="shared" si="3"/>
        <v>2.1793095916779019E-2</v>
      </c>
      <c r="D23" s="17"/>
      <c r="F23" s="3">
        <f t="shared" si="25"/>
        <v>2.1793058950406452E-2</v>
      </c>
      <c r="G23" s="3">
        <f t="shared" si="25"/>
        <v>2.1792726255875004E-2</v>
      </c>
      <c r="H23" s="3">
        <f t="shared" si="25"/>
        <v>2.1789399589889451E-2</v>
      </c>
      <c r="I23" s="3">
        <f t="shared" si="25"/>
        <v>2.1756160847156321E-2</v>
      </c>
      <c r="J23" s="3">
        <f t="shared" si="25"/>
        <v>2.1426549427288551E-2</v>
      </c>
      <c r="K23" s="3">
        <f t="shared" si="25"/>
        <v>1.8392975734403245E-2</v>
      </c>
      <c r="L23" s="3">
        <f t="shared" si="25"/>
        <v>3.9962219988429505E-3</v>
      </c>
      <c r="M23" s="3">
        <f t="shared" si="25"/>
        <v>9.3675428773841808E-10</v>
      </c>
      <c r="N23" s="3">
        <f t="shared" si="25"/>
        <v>4.6923081352227402E-76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2.3064854774049959E-2</v>
      </c>
      <c r="C24" s="18">
        <f t="shared" si="3"/>
        <v>2.3921660763558773E-2</v>
      </c>
      <c r="D24" s="17"/>
      <c r="F24" s="3">
        <f t="shared" si="25"/>
        <v>2.3921657103178895E-2</v>
      </c>
      <c r="G24" s="3">
        <f t="shared" si="25"/>
        <v>2.3921624159785194E-2</v>
      </c>
      <c r="H24" s="3">
        <f t="shared" si="25"/>
        <v>2.3921294728343388E-2</v>
      </c>
      <c r="I24" s="3">
        <f t="shared" si="25"/>
        <v>2.3918000663433171E-2</v>
      </c>
      <c r="J24" s="3">
        <f t="shared" si="25"/>
        <v>2.3885084952405218E-2</v>
      </c>
      <c r="K24" s="3">
        <f t="shared" si="25"/>
        <v>2.3558408989248884E-2</v>
      </c>
      <c r="L24" s="3">
        <f t="shared" si="25"/>
        <v>2.0527573970380342E-2</v>
      </c>
      <c r="M24" s="3">
        <f t="shared" si="25"/>
        <v>5.1791001835028525E-3</v>
      </c>
      <c r="N24" s="3">
        <f t="shared" si="25"/>
        <v>5.4127899537098036E-9</v>
      </c>
      <c r="O24" s="3">
        <f t="shared" si="25"/>
        <v>8.4156913308988446E-69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2.5372981608727415E-2</v>
      </c>
      <c r="C25" s="18">
        <f t="shared" si="3"/>
        <v>2.6315529169812158E-2</v>
      </c>
      <c r="D25" s="17"/>
      <c r="F25" s="3">
        <f t="shared" si="25"/>
        <v>2.6315528806572244E-2</v>
      </c>
      <c r="G25" s="3">
        <f t="shared" si="25"/>
        <v>2.6315525537413273E-2</v>
      </c>
      <c r="H25" s="3">
        <f t="shared" si="25"/>
        <v>2.6315492845845872E-2</v>
      </c>
      <c r="I25" s="3">
        <f t="shared" si="25"/>
        <v>2.6315165932405512E-2</v>
      </c>
      <c r="J25" s="3">
        <f t="shared" si="25"/>
        <v>2.631189702135945E-2</v>
      </c>
      <c r="K25" s="3">
        <f t="shared" si="25"/>
        <v>2.6279230236386047E-2</v>
      </c>
      <c r="L25" s="3">
        <f t="shared" si="25"/>
        <v>2.5954784707514153E-2</v>
      </c>
      <c r="M25" s="3">
        <f t="shared" si="25"/>
        <v>2.2922677287931553E-2</v>
      </c>
      <c r="N25" s="3">
        <f t="shared" si="25"/>
        <v>6.6182693117721268E-3</v>
      </c>
      <c r="O25" s="3">
        <f t="shared" si="25"/>
        <v>2.6640071618464529E-8</v>
      </c>
      <c r="P25" s="3">
        <f t="shared" si="25"/>
        <v>2.9747119136549483E-62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3.2933787949279425E-2</v>
      </c>
      <c r="C26" s="18">
        <f t="shared" si="3"/>
        <v>3.4157201972414897E-2</v>
      </c>
      <c r="D26" s="17"/>
      <c r="F26" s="3">
        <f t="shared" si="25"/>
        <v>3.4157201929883432E-2</v>
      </c>
      <c r="G26" s="3">
        <f t="shared" si="25"/>
        <v>3.4157201547100259E-2</v>
      </c>
      <c r="H26" s="3">
        <f t="shared" si="25"/>
        <v>3.4157197719268735E-2</v>
      </c>
      <c r="I26" s="3">
        <f t="shared" si="25"/>
        <v>3.4157159440977108E-2</v>
      </c>
      <c r="J26" s="3">
        <f t="shared" si="25"/>
        <v>3.4156776660420135E-2</v>
      </c>
      <c r="K26" s="3">
        <f t="shared" si="25"/>
        <v>3.4152949090771156E-2</v>
      </c>
      <c r="L26" s="3">
        <f t="shared" si="25"/>
        <v>3.4114696976573905E-2</v>
      </c>
      <c r="M26" s="3">
        <f t="shared" si="25"/>
        <v>3.3734524314910509E-2</v>
      </c>
      <c r="N26" s="3">
        <f t="shared" si="25"/>
        <v>3.0158193030504973E-2</v>
      </c>
      <c r="O26" s="3">
        <f t="shared" si="25"/>
        <v>9.8336008638000572E-3</v>
      </c>
      <c r="P26" s="3">
        <f t="shared" si="25"/>
        <v>1.3359345375799671E-7</v>
      </c>
      <c r="Q26" s="3">
        <f t="shared" si="25"/>
        <v>2.8609560581918308E-56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3.2361124548446439E-2</v>
      </c>
      <c r="C27" s="18">
        <f t="shared" si="3"/>
        <v>3.3563265451217059E-2</v>
      </c>
      <c r="D27" s="17"/>
      <c r="F27" s="3">
        <f t="shared" si="25"/>
        <v>3.3563265447447081E-2</v>
      </c>
      <c r="G27" s="3">
        <f t="shared" si="25"/>
        <v>3.3563265413517278E-2</v>
      </c>
      <c r="H27" s="3">
        <f t="shared" si="25"/>
        <v>3.3563265074219237E-2</v>
      </c>
      <c r="I27" s="3">
        <f t="shared" si="25"/>
        <v>3.3563261681239014E-2</v>
      </c>
      <c r="J27" s="3">
        <f t="shared" si="25"/>
        <v>3.3563227751455628E-2</v>
      </c>
      <c r="K27" s="3">
        <f t="shared" si="25"/>
        <v>3.3562888455508373E-2</v>
      </c>
      <c r="L27" s="3">
        <f t="shared" si="25"/>
        <v>3.3559495684679794E-2</v>
      </c>
      <c r="M27" s="3">
        <f t="shared" si="25"/>
        <v>3.3525586833746249E-2</v>
      </c>
      <c r="N27" s="3">
        <f t="shared" si="25"/>
        <v>3.3188377025247309E-2</v>
      </c>
      <c r="O27" s="3">
        <f t="shared" si="25"/>
        <v>2.9997307916386929E-2</v>
      </c>
      <c r="P27" s="3">
        <f t="shared" si="25"/>
        <v>1.0915532844091809E-2</v>
      </c>
      <c r="Q27" s="3">
        <f t="shared" si="25"/>
        <v>4.44295114225146E-7</v>
      </c>
      <c r="R27" s="3">
        <f t="shared" si="25"/>
        <v>5.5454590766183952E-51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2.5028941781397161E-2</v>
      </c>
      <c r="C28" s="18">
        <f t="shared" si="3"/>
        <v>2.5958709058904409E-2</v>
      </c>
      <c r="D28" s="17"/>
      <c r="F28" s="3">
        <f t="shared" si="25"/>
        <v>2.595870905864138E-2</v>
      </c>
      <c r="G28" s="3">
        <f t="shared" si="25"/>
        <v>2.5958709056274114E-2</v>
      </c>
      <c r="H28" s="3">
        <f t="shared" si="25"/>
        <v>2.5958709032601467E-2</v>
      </c>
      <c r="I28" s="3">
        <f t="shared" si="25"/>
        <v>2.5958708795874995E-2</v>
      </c>
      <c r="J28" s="3">
        <f t="shared" si="25"/>
        <v>2.5958706428610385E-2</v>
      </c>
      <c r="K28" s="3">
        <f t="shared" si="25"/>
        <v>2.5958682755976185E-2</v>
      </c>
      <c r="L28" s="3">
        <f t="shared" si="25"/>
        <v>2.5958446030821473E-2</v>
      </c>
      <c r="M28" s="3">
        <f t="shared" si="25"/>
        <v>2.5956078898003436E-2</v>
      </c>
      <c r="N28" s="3">
        <f t="shared" si="25"/>
        <v>2.5932419438722445E-2</v>
      </c>
      <c r="O28" s="3">
        <f t="shared" si="25"/>
        <v>2.5697007740847502E-2</v>
      </c>
      <c r="P28" s="3">
        <f t="shared" si="25"/>
        <v>2.3457284479241093E-2</v>
      </c>
      <c r="Q28" s="3">
        <f t="shared" si="25"/>
        <v>9.4238752717430551E-3</v>
      </c>
      <c r="R28" s="3">
        <f t="shared" si="25"/>
        <v>1.0321610724710268E-6</v>
      </c>
      <c r="S28" s="3">
        <f t="shared" si="25"/>
        <v>2.5640526543327075E-46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2.3627770903565028E-2</v>
      </c>
      <c r="C29" s="18">
        <f t="shared" si="3"/>
        <v>2.4505487924861576E-2</v>
      </c>
      <c r="D29" s="17"/>
      <c r="F29" s="3">
        <f t="shared" si="25"/>
        <v>2.4505487924839177E-2</v>
      </c>
      <c r="G29" s="3">
        <f t="shared" si="25"/>
        <v>2.4505487924637585E-2</v>
      </c>
      <c r="H29" s="3">
        <f t="shared" si="25"/>
        <v>2.4505487922621663E-2</v>
      </c>
      <c r="I29" s="3">
        <f t="shared" si="25"/>
        <v>2.4505487902462444E-2</v>
      </c>
      <c r="J29" s="3">
        <f t="shared" si="25"/>
        <v>2.4505487700870264E-2</v>
      </c>
      <c r="K29" s="3">
        <f t="shared" si="25"/>
        <v>2.4505485684948557E-2</v>
      </c>
      <c r="L29" s="3">
        <f t="shared" si="25"/>
        <v>2.4505465525740594E-2</v>
      </c>
      <c r="M29" s="3">
        <f t="shared" si="25"/>
        <v>2.4505263934573061E-2</v>
      </c>
      <c r="N29" s="3">
        <f t="shared" si="25"/>
        <v>2.450324811410556E-2</v>
      </c>
      <c r="O29" s="3">
        <f t="shared" si="25"/>
        <v>2.4483099027435739E-2</v>
      </c>
      <c r="P29" s="3">
        <f t="shared" si="25"/>
        <v>2.4282517192038867E-2</v>
      </c>
      <c r="Q29" s="3">
        <f t="shared" si="25"/>
        <v>2.2364894917531752E-2</v>
      </c>
      <c r="R29" s="3">
        <f t="shared" si="25"/>
        <v>9.8242279931274028E-3</v>
      </c>
      <c r="S29" s="3">
        <f t="shared" si="25"/>
        <v>2.6279321007348958E-6</v>
      </c>
      <c r="T29" s="3">
        <f t="shared" si="25"/>
        <v>4.9291406703350472E-42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2.6072384209239682E-2</v>
      </c>
      <c r="C30" s="18">
        <f t="shared" si="3"/>
        <v>2.7040912958719819E-2</v>
      </c>
      <c r="D30" s="17"/>
      <c r="F30" s="3">
        <f t="shared" si="25"/>
        <v>2.7040912958717588E-2</v>
      </c>
      <c r="G30" s="3">
        <f t="shared" si="25"/>
        <v>2.7040912958697521E-2</v>
      </c>
      <c r="H30" s="3">
        <f t="shared" si="25"/>
        <v>2.7040912958496855E-2</v>
      </c>
      <c r="I30" s="3">
        <f t="shared" si="25"/>
        <v>2.7040912956490176E-2</v>
      </c>
      <c r="J30" s="3">
        <f t="shared" si="25"/>
        <v>2.7040912936423366E-2</v>
      </c>
      <c r="K30" s="3">
        <f t="shared" si="25"/>
        <v>2.7040912735755301E-2</v>
      </c>
      <c r="L30" s="3">
        <f t="shared" si="25"/>
        <v>2.7040910729074705E-2</v>
      </c>
      <c r="M30" s="3">
        <f t="shared" si="25"/>
        <v>2.7040890662276953E-2</v>
      </c>
      <c r="N30" s="3">
        <f t="shared" si="25"/>
        <v>2.7040689995118477E-2</v>
      </c>
      <c r="O30" s="3">
        <f t="shared" si="25"/>
        <v>2.7038683405433847E-2</v>
      </c>
      <c r="P30" s="3">
        <f t="shared" si="25"/>
        <v>2.7018625696352969E-2</v>
      </c>
      <c r="Q30" s="3">
        <f t="shared" si="25"/>
        <v>2.6818865138399626E-2</v>
      </c>
      <c r="R30" s="3">
        <f t="shared" si="25"/>
        <v>2.4900714670822905E-2</v>
      </c>
      <c r="S30" s="3">
        <f t="shared" si="25"/>
        <v>1.1855666300850066E-2</v>
      </c>
      <c r="T30" s="3">
        <f t="shared" si="25"/>
        <v>7.0968808851593216E-6</v>
      </c>
      <c r="U30" s="3">
        <f t="shared" si="25"/>
        <v>4.1925959302625867E-38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2.3719255875379344E-2</v>
      </c>
      <c r="C31" s="18">
        <f t="shared" si="3"/>
        <v>2.4600371351709248E-2</v>
      </c>
      <c r="D31" s="17"/>
      <c r="F31" s="3">
        <f t="shared" si="25"/>
        <v>2.4600371351709064E-2</v>
      </c>
      <c r="G31" s="3">
        <f t="shared" si="25"/>
        <v>2.4600371351707419E-2</v>
      </c>
      <c r="H31" s="3">
        <f t="shared" si="25"/>
        <v>2.460037135169095E-2</v>
      </c>
      <c r="I31" s="3">
        <f t="shared" si="25"/>
        <v>2.4600371351526269E-2</v>
      </c>
      <c r="J31" s="3">
        <f t="shared" si="25"/>
        <v>2.4600371349879451E-2</v>
      </c>
      <c r="K31" s="3">
        <f t="shared" si="25"/>
        <v>2.4600371333411288E-2</v>
      </c>
      <c r="L31" s="3">
        <f t="shared" si="25"/>
        <v>2.4600371168729651E-2</v>
      </c>
      <c r="M31" s="3">
        <f t="shared" si="25"/>
        <v>2.4600369521913353E-2</v>
      </c>
      <c r="N31" s="3">
        <f t="shared" si="25"/>
        <v>2.4600353053756439E-2</v>
      </c>
      <c r="O31" s="3">
        <f t="shared" si="25"/>
        <v>2.4600188372793614E-2</v>
      </c>
      <c r="P31" s="3">
        <f t="shared" si="25"/>
        <v>2.4598541623797005E-2</v>
      </c>
      <c r="Q31" s="3">
        <f t="shared" si="25"/>
        <v>2.4582080195494939E-2</v>
      </c>
      <c r="R31" s="3">
        <f t="shared" si="25"/>
        <v>2.4418070580155871E-2</v>
      </c>
      <c r="S31" s="3">
        <f t="shared" si="25"/>
        <v>2.2836969945262787E-2</v>
      </c>
      <c r="T31" s="3">
        <f t="shared" si="25"/>
        <v>1.1692566174146751E-2</v>
      </c>
      <c r="U31" s="3">
        <f t="shared" si="25"/>
        <v>1.4475160834355456E-5</v>
      </c>
      <c r="V31" s="3">
        <f t="shared" si="26"/>
        <v>1.2239368541146775E-34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2.5352408158777238E-2</v>
      </c>
      <c r="C32" s="18">
        <f t="shared" si="3"/>
        <v>2.6294191463797297E-2</v>
      </c>
      <c r="D32" s="17"/>
      <c r="F32" s="3">
        <f t="shared" si="25"/>
        <v>2.629419146379728E-2</v>
      </c>
      <c r="G32" s="3">
        <f t="shared" si="25"/>
        <v>2.6294191463797124E-2</v>
      </c>
      <c r="H32" s="3">
        <f t="shared" si="25"/>
        <v>2.6294191463795535E-2</v>
      </c>
      <c r="I32" s="3">
        <f t="shared" si="25"/>
        <v>2.6294191463779652E-2</v>
      </c>
      <c r="J32" s="3">
        <f t="shared" si="25"/>
        <v>2.6294191463620869E-2</v>
      </c>
      <c r="K32" s="3">
        <f t="shared" si="25"/>
        <v>2.6294191462033017E-2</v>
      </c>
      <c r="L32" s="3">
        <f t="shared" si="25"/>
        <v>2.62941914461545E-2</v>
      </c>
      <c r="M32" s="3">
        <f t="shared" si="25"/>
        <v>2.6294191287369338E-2</v>
      </c>
      <c r="N32" s="3">
        <f t="shared" si="25"/>
        <v>2.6294189699517752E-2</v>
      </c>
      <c r="O32" s="3">
        <f t="shared" si="25"/>
        <v>2.6294173821007169E-2</v>
      </c>
      <c r="P32" s="3">
        <f t="shared" si="25"/>
        <v>2.6294015036428729E-2</v>
      </c>
      <c r="Q32" s="3">
        <f t="shared" si="25"/>
        <v>2.6292427243380913E-2</v>
      </c>
      <c r="R32" s="3">
        <f t="shared" si="25"/>
        <v>2.6276554585382257E-2</v>
      </c>
      <c r="S32" s="3">
        <f t="shared" si="25"/>
        <v>2.6118354077189456E-2</v>
      </c>
      <c r="T32" s="3">
        <f t="shared" si="25"/>
        <v>2.4587799489829257E-2</v>
      </c>
      <c r="U32" s="3">
        <f t="shared" si="25"/>
        <v>1.3441825086786253E-2</v>
      </c>
      <c r="V32" s="3">
        <f t="shared" si="26"/>
        <v>3.205117897251836E-5</v>
      </c>
      <c r="W32" s="3">
        <f t="shared" si="26"/>
        <v>1.9041523976340249E-31</v>
      </c>
      <c r="X32" s="3">
        <f t="shared" si="26"/>
        <v>1.0429864121053973E-293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3.1454789916864144E-2</v>
      </c>
      <c r="C33" s="18">
        <f t="shared" si="3"/>
        <v>3.2623262585065489E-2</v>
      </c>
      <c r="D33" s="17"/>
      <c r="F33" s="3">
        <f t="shared" si="25"/>
        <v>3.2623262585065482E-2</v>
      </c>
      <c r="G33" s="3">
        <f t="shared" si="25"/>
        <v>3.2623262585065468E-2</v>
      </c>
      <c r="H33" s="3">
        <f t="shared" si="25"/>
        <v>3.2623262585065288E-2</v>
      </c>
      <c r="I33" s="3">
        <f t="shared" si="25"/>
        <v>3.2623262585063519E-2</v>
      </c>
      <c r="J33" s="3">
        <f t="shared" si="25"/>
        <v>3.2623262585045741E-2</v>
      </c>
      <c r="K33" s="3">
        <f t="shared" si="25"/>
        <v>3.2623262584868029E-2</v>
      </c>
      <c r="L33" s="3">
        <f t="shared" si="25"/>
        <v>3.2623262583090881E-2</v>
      </c>
      <c r="M33" s="3">
        <f t="shared" si="25"/>
        <v>3.2623262565319375E-2</v>
      </c>
      <c r="N33" s="3">
        <f t="shared" si="25"/>
        <v>3.2623262387604379E-2</v>
      </c>
      <c r="O33" s="3">
        <f t="shared" si="25"/>
        <v>3.2623260610454445E-2</v>
      </c>
      <c r="P33" s="3">
        <f t="shared" si="25"/>
        <v>3.2623242838960405E-2</v>
      </c>
      <c r="Q33" s="3">
        <f t="shared" si="25"/>
        <v>3.2623065124552465E-2</v>
      </c>
      <c r="R33" s="3">
        <f t="shared" si="25"/>
        <v>3.2621288033717492E-2</v>
      </c>
      <c r="S33" s="3">
        <f t="shared" si="25"/>
        <v>3.2603522448732325E-2</v>
      </c>
      <c r="T33" s="3">
        <f t="shared" si="25"/>
        <v>3.2426397863936821E-2</v>
      </c>
      <c r="U33" s="3">
        <f t="shared" ref="P33:AE48" si="27">$C33*EXP(-U$15/$A33)</f>
        <v>3.070722314240646E-2</v>
      </c>
      <c r="V33" s="3">
        <f t="shared" si="27"/>
        <v>1.78097951124047E-2</v>
      </c>
      <c r="W33" s="3">
        <f t="shared" si="27"/>
        <v>7.6708361603828435E-5</v>
      </c>
      <c r="X33" s="3">
        <f t="shared" si="27"/>
        <v>1.6853128903843841E-28</v>
      </c>
      <c r="Y33" s="3">
        <f t="shared" si="27"/>
        <v>4.4163033794393757E-265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8.5326644646202404E-2</v>
      </c>
      <c r="C34" s="18">
        <f t="shared" si="3"/>
        <v>8.8496332073838405E-2</v>
      </c>
      <c r="D34" s="17"/>
      <c r="F34" s="3">
        <f t="shared" ref="F34:O48" si="28">$C34*EXP(-F$15/$A34)</f>
        <v>8.8496332073838405E-2</v>
      </c>
      <c r="G34" s="3">
        <f t="shared" si="28"/>
        <v>8.8496332073838405E-2</v>
      </c>
      <c r="H34" s="3">
        <f t="shared" si="28"/>
        <v>8.8496332073838349E-2</v>
      </c>
      <c r="I34" s="3">
        <f t="shared" si="28"/>
        <v>8.8496332073837919E-2</v>
      </c>
      <c r="J34" s="3">
        <f t="shared" si="28"/>
        <v>8.8496332073833575E-2</v>
      </c>
      <c r="K34" s="3">
        <f t="shared" si="28"/>
        <v>8.8496332073790082E-2</v>
      </c>
      <c r="L34" s="3">
        <f t="shared" si="28"/>
        <v>8.8496332073355208E-2</v>
      </c>
      <c r="M34" s="3">
        <f t="shared" si="28"/>
        <v>8.8496332069006423E-2</v>
      </c>
      <c r="N34" s="3">
        <f t="shared" si="28"/>
        <v>8.8496332025518501E-2</v>
      </c>
      <c r="O34" s="3">
        <f t="shared" si="28"/>
        <v>8.8496331590639382E-2</v>
      </c>
      <c r="P34" s="3">
        <f t="shared" si="27"/>
        <v>8.8496327241848333E-2</v>
      </c>
      <c r="Q34" s="3">
        <f t="shared" si="27"/>
        <v>8.8496283753949537E-2</v>
      </c>
      <c r="R34" s="3">
        <f t="shared" si="27"/>
        <v>8.8495848876137012E-2</v>
      </c>
      <c r="S34" s="3">
        <f t="shared" si="27"/>
        <v>8.8491500215546331E-2</v>
      </c>
      <c r="T34" s="3">
        <f t="shared" si="27"/>
        <v>8.8448025360963314E-2</v>
      </c>
      <c r="U34" s="3">
        <f t="shared" si="27"/>
        <v>8.8014449813677981E-2</v>
      </c>
      <c r="V34" s="3">
        <f t="shared" si="27"/>
        <v>8.379388917681585E-2</v>
      </c>
      <c r="W34" s="3">
        <f t="shared" si="27"/>
        <v>5.1262058705657053E-2</v>
      </c>
      <c r="X34" s="3">
        <f t="shared" si="27"/>
        <v>3.7638559993056976E-4</v>
      </c>
      <c r="Y34" s="3">
        <f t="shared" si="27"/>
        <v>1.7139674019743414E-25</v>
      </c>
      <c r="Z34" s="3">
        <f t="shared" si="27"/>
        <v>6.5720088713824536E-239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9.5752274413684724E-2</v>
      </c>
      <c r="C35" s="18">
        <f t="shared" si="3"/>
        <v>9.9309249865316016E-2</v>
      </c>
      <c r="D35" s="17"/>
      <c r="F35" s="3">
        <f t="shared" si="28"/>
        <v>9.9309249865316016E-2</v>
      </c>
      <c r="G35" s="3">
        <f t="shared" si="28"/>
        <v>9.9309249865316016E-2</v>
      </c>
      <c r="H35" s="3">
        <f t="shared" si="28"/>
        <v>9.9309249865316016E-2</v>
      </c>
      <c r="I35" s="3">
        <f t="shared" si="28"/>
        <v>9.9309249865315974E-2</v>
      </c>
      <c r="J35" s="3">
        <f t="shared" si="28"/>
        <v>9.930924986531553E-2</v>
      </c>
      <c r="K35" s="3">
        <f t="shared" si="28"/>
        <v>9.9309249865311117E-2</v>
      </c>
      <c r="L35" s="3">
        <f t="shared" si="28"/>
        <v>9.930924986526711E-2</v>
      </c>
      <c r="M35" s="3">
        <f t="shared" si="28"/>
        <v>9.9309249864826865E-2</v>
      </c>
      <c r="N35" s="3">
        <f t="shared" si="28"/>
        <v>9.9309249860424567E-2</v>
      </c>
      <c r="O35" s="3">
        <f t="shared" si="28"/>
        <v>9.9309249816401574E-2</v>
      </c>
      <c r="P35" s="3">
        <f t="shared" si="27"/>
        <v>9.9309249376171638E-2</v>
      </c>
      <c r="Q35" s="3">
        <f t="shared" si="27"/>
        <v>9.9309244973872349E-2</v>
      </c>
      <c r="R35" s="3">
        <f t="shared" si="27"/>
        <v>9.9309200950890186E-2</v>
      </c>
      <c r="S35" s="3">
        <f t="shared" si="27"/>
        <v>9.9308760722141995E-2</v>
      </c>
      <c r="T35" s="3">
        <f t="shared" si="27"/>
        <v>9.930435854199067E-2</v>
      </c>
      <c r="U35" s="3">
        <f t="shared" si="27"/>
        <v>9.9260347471793783E-2</v>
      </c>
      <c r="V35" s="3">
        <f t="shared" si="27"/>
        <v>9.8821308143412848E-2</v>
      </c>
      <c r="W35" s="3">
        <f t="shared" si="27"/>
        <v>9.4536315614340255E-2</v>
      </c>
      <c r="X35" s="3">
        <f t="shared" si="27"/>
        <v>6.0684728228222823E-2</v>
      </c>
      <c r="Y35" s="3">
        <f t="shared" si="27"/>
        <v>7.2091954548860696E-4</v>
      </c>
      <c r="Z35" s="3">
        <f t="shared" si="27"/>
        <v>4.0360885807632441E-23</v>
      </c>
      <c r="AA35" s="3">
        <f t="shared" si="27"/>
        <v>1.2209547788250156E-215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7.2254007358792144E-2</v>
      </c>
      <c r="C36" s="18">
        <f t="shared" si="3"/>
        <v>7.4938076557470937E-2</v>
      </c>
      <c r="D36" s="17"/>
      <c r="F36" s="3">
        <f t="shared" si="28"/>
        <v>7.4938076557470937E-2</v>
      </c>
      <c r="G36" s="3">
        <f t="shared" si="28"/>
        <v>7.4938076557470937E-2</v>
      </c>
      <c r="H36" s="3">
        <f t="shared" si="28"/>
        <v>7.4938076557470937E-2</v>
      </c>
      <c r="I36" s="3">
        <f t="shared" si="28"/>
        <v>7.4938076557470937E-2</v>
      </c>
      <c r="J36" s="3">
        <f t="shared" si="28"/>
        <v>7.4938076557470909E-2</v>
      </c>
      <c r="K36" s="3">
        <f t="shared" si="28"/>
        <v>7.4938076557470604E-2</v>
      </c>
      <c r="L36" s="3">
        <f t="shared" si="28"/>
        <v>7.4938076557467606E-2</v>
      </c>
      <c r="M36" s="3">
        <f t="shared" si="28"/>
        <v>7.4938076557437644E-2</v>
      </c>
      <c r="N36" s="3">
        <f t="shared" si="28"/>
        <v>7.4938076557137967E-2</v>
      </c>
      <c r="O36" s="3">
        <f t="shared" si="28"/>
        <v>7.4938076554141309E-2</v>
      </c>
      <c r="P36" s="3">
        <f t="shared" si="27"/>
        <v>7.4938076524174599E-2</v>
      </c>
      <c r="Q36" s="3">
        <f t="shared" si="27"/>
        <v>7.4938076224507544E-2</v>
      </c>
      <c r="R36" s="3">
        <f t="shared" si="27"/>
        <v>7.4938073227837007E-2</v>
      </c>
      <c r="S36" s="3">
        <f t="shared" si="27"/>
        <v>7.4938043261138287E-2</v>
      </c>
      <c r="T36" s="3">
        <f t="shared" si="27"/>
        <v>7.4937743594810202E-2</v>
      </c>
      <c r="U36" s="3">
        <f t="shared" si="27"/>
        <v>7.4934746997436213E-2</v>
      </c>
      <c r="V36" s="3">
        <f t="shared" si="27"/>
        <v>7.4904787613413376E-2</v>
      </c>
      <c r="W36" s="3">
        <f t="shared" si="27"/>
        <v>7.4605851770932652E-2</v>
      </c>
      <c r="X36" s="3">
        <f t="shared" si="27"/>
        <v>7.1681329886995021E-2</v>
      </c>
      <c r="Y36" s="3">
        <f t="shared" si="27"/>
        <v>4.8054898525086633E-2</v>
      </c>
      <c r="Z36" s="3">
        <f t="shared" si="27"/>
        <v>8.811579597875573E-4</v>
      </c>
      <c r="AA36" s="3">
        <f t="shared" si="27"/>
        <v>3.7862981616541829E-21</v>
      </c>
      <c r="AB36" s="3">
        <f t="shared" si="27"/>
        <v>8.1250347956873394E-195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6.6839909871049291E-2</v>
      </c>
      <c r="C37" s="18">
        <f t="shared" si="3"/>
        <v>6.9322857874701022E-2</v>
      </c>
      <c r="D37" s="17"/>
      <c r="F37" s="3">
        <f t="shared" si="28"/>
        <v>6.9322857874701022E-2</v>
      </c>
      <c r="G37" s="3">
        <f t="shared" si="28"/>
        <v>6.9322857874701022E-2</v>
      </c>
      <c r="H37" s="3">
        <f t="shared" si="28"/>
        <v>6.9322857874701022E-2</v>
      </c>
      <c r="I37" s="3">
        <f t="shared" si="28"/>
        <v>6.9322857874701022E-2</v>
      </c>
      <c r="J37" s="3">
        <f t="shared" si="28"/>
        <v>6.9322857874701022E-2</v>
      </c>
      <c r="K37" s="3">
        <f t="shared" si="28"/>
        <v>6.9322857874700994E-2</v>
      </c>
      <c r="L37" s="3">
        <f t="shared" si="28"/>
        <v>6.9322857874700744E-2</v>
      </c>
      <c r="M37" s="3">
        <f t="shared" si="28"/>
        <v>6.9322857874698246E-2</v>
      </c>
      <c r="N37" s="3">
        <f t="shared" si="28"/>
        <v>6.9322857874673238E-2</v>
      </c>
      <c r="O37" s="3">
        <f t="shared" si="28"/>
        <v>6.932285787442316E-2</v>
      </c>
      <c r="P37" s="3">
        <f t="shared" si="27"/>
        <v>6.932285787192248E-2</v>
      </c>
      <c r="Q37" s="3">
        <f t="shared" si="27"/>
        <v>6.9322857846915595E-2</v>
      </c>
      <c r="R37" s="3">
        <f t="shared" si="27"/>
        <v>6.9322857596846796E-2</v>
      </c>
      <c r="S37" s="3">
        <f t="shared" si="27"/>
        <v>6.932285509615882E-2</v>
      </c>
      <c r="T37" s="3">
        <f t="shared" si="27"/>
        <v>6.932283008928404E-2</v>
      </c>
      <c r="U37" s="3">
        <f t="shared" si="27"/>
        <v>6.9322580021032365E-2</v>
      </c>
      <c r="V37" s="3">
        <f t="shared" si="27"/>
        <v>6.9320079388128938E-2</v>
      </c>
      <c r="W37" s="3">
        <f t="shared" si="27"/>
        <v>6.929507801977057E-2</v>
      </c>
      <c r="X37" s="3">
        <f t="shared" si="27"/>
        <v>6.9045559742316021E-2</v>
      </c>
      <c r="Y37" s="3">
        <f t="shared" si="27"/>
        <v>6.6599262692048203E-2</v>
      </c>
      <c r="Z37" s="3">
        <f t="shared" si="27"/>
        <v>4.6430791381306444E-2</v>
      </c>
      <c r="AA37" s="3">
        <f t="shared" si="27"/>
        <v>1.2594262291093358E-3</v>
      </c>
      <c r="AB37" s="3">
        <f t="shared" si="27"/>
        <v>2.7154337513638066E-19</v>
      </c>
      <c r="AC37" s="3">
        <f t="shared" si="27"/>
        <v>5.8952739508541253E-176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2.1661212012529931E-2</v>
      </c>
      <c r="C38" s="18">
        <f t="shared" si="3"/>
        <v>2.2465875921068256E-2</v>
      </c>
      <c r="D38" s="17"/>
      <c r="F38" s="3">
        <f t="shared" si="28"/>
        <v>2.2465875921068256E-2</v>
      </c>
      <c r="G38" s="3">
        <f t="shared" si="28"/>
        <v>2.2465875921068256E-2</v>
      </c>
      <c r="H38" s="3">
        <f t="shared" si="28"/>
        <v>2.2465875921068256E-2</v>
      </c>
      <c r="I38" s="3">
        <f t="shared" si="28"/>
        <v>2.2465875921068256E-2</v>
      </c>
      <c r="J38" s="3">
        <f t="shared" si="28"/>
        <v>2.2465875921068256E-2</v>
      </c>
      <c r="K38" s="3">
        <f t="shared" si="28"/>
        <v>2.2465875921068256E-2</v>
      </c>
      <c r="L38" s="3">
        <f t="shared" si="28"/>
        <v>2.2465875921068249E-2</v>
      </c>
      <c r="M38" s="3">
        <f t="shared" si="28"/>
        <v>2.2465875921068173E-2</v>
      </c>
      <c r="N38" s="3">
        <f t="shared" si="28"/>
        <v>2.2465875921067444E-2</v>
      </c>
      <c r="O38" s="3">
        <f t="shared" si="28"/>
        <v>2.2465875921060134E-2</v>
      </c>
      <c r="P38" s="3">
        <f t="shared" si="27"/>
        <v>2.2465875920987026E-2</v>
      </c>
      <c r="Q38" s="3">
        <f t="shared" si="27"/>
        <v>2.2465875920255968E-2</v>
      </c>
      <c r="R38" s="3">
        <f t="shared" si="27"/>
        <v>2.2465875912945368E-2</v>
      </c>
      <c r="S38" s="3">
        <f t="shared" si="27"/>
        <v>2.2465875839839368E-2</v>
      </c>
      <c r="T38" s="3">
        <f t="shared" si="27"/>
        <v>2.2465875108779416E-2</v>
      </c>
      <c r="U38" s="3">
        <f t="shared" si="27"/>
        <v>2.2465867798181181E-2</v>
      </c>
      <c r="V38" s="3">
        <f t="shared" si="27"/>
        <v>2.2465794692329673E-2</v>
      </c>
      <c r="W38" s="3">
        <f t="shared" si="27"/>
        <v>2.2465063646898549E-2</v>
      </c>
      <c r="X38" s="3">
        <f t="shared" si="27"/>
        <v>2.2457754500826776E-2</v>
      </c>
      <c r="Y38" s="3">
        <f t="shared" si="27"/>
        <v>2.2384793706677689E-2</v>
      </c>
      <c r="Z38" s="3">
        <f t="shared" si="27"/>
        <v>2.1668096457731829E-2</v>
      </c>
      <c r="AA38" s="3">
        <f t="shared" si="27"/>
        <v>1.5649389457408902E-2</v>
      </c>
      <c r="AB38" s="3">
        <f t="shared" si="27"/>
        <v>6.0431556978022074E-4</v>
      </c>
      <c r="AC38" s="3">
        <f t="shared" si="27"/>
        <v>4.4558199478831679E-18</v>
      </c>
      <c r="AD38" s="3">
        <f t="shared" si="27"/>
        <v>2.1162459045174931E-159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5.6240330718299376E-2</v>
      </c>
      <c r="C39" s="18">
        <f t="shared" si="3"/>
        <v>5.8329528880761261E-2</v>
      </c>
      <c r="D39" s="17"/>
      <c r="F39" s="3">
        <f t="shared" si="28"/>
        <v>5.8329528880761261E-2</v>
      </c>
      <c r="G39" s="3">
        <f t="shared" si="28"/>
        <v>5.8329528880761261E-2</v>
      </c>
      <c r="H39" s="3">
        <f t="shared" si="28"/>
        <v>5.8329528880761261E-2</v>
      </c>
      <c r="I39" s="3">
        <f t="shared" si="28"/>
        <v>5.8329528880761261E-2</v>
      </c>
      <c r="J39" s="3">
        <f t="shared" si="28"/>
        <v>5.8329528880761261E-2</v>
      </c>
      <c r="K39" s="3">
        <f t="shared" si="28"/>
        <v>5.8329528880761261E-2</v>
      </c>
      <c r="L39" s="3">
        <f t="shared" si="28"/>
        <v>5.8329528880761254E-2</v>
      </c>
      <c r="M39" s="3">
        <f t="shared" si="28"/>
        <v>5.8329528880761206E-2</v>
      </c>
      <c r="N39" s="3">
        <f t="shared" si="28"/>
        <v>5.8329528880760678E-2</v>
      </c>
      <c r="O39" s="3">
        <f t="shared" si="28"/>
        <v>5.8329528880755425E-2</v>
      </c>
      <c r="P39" s="3">
        <f t="shared" si="27"/>
        <v>5.8329528880702933E-2</v>
      </c>
      <c r="Q39" s="3">
        <f t="shared" si="27"/>
        <v>5.8329528880177964E-2</v>
      </c>
      <c r="R39" s="3">
        <f t="shared" si="27"/>
        <v>5.8329528874928309E-2</v>
      </c>
      <c r="S39" s="3">
        <f t="shared" si="27"/>
        <v>5.8329528822431732E-2</v>
      </c>
      <c r="T39" s="3">
        <f t="shared" si="27"/>
        <v>5.8329528297465974E-2</v>
      </c>
      <c r="U39" s="3">
        <f t="shared" si="27"/>
        <v>5.8329523047808668E-2</v>
      </c>
      <c r="V39" s="3">
        <f t="shared" si="27"/>
        <v>5.8329470551261545E-2</v>
      </c>
      <c r="W39" s="3">
        <f t="shared" si="27"/>
        <v>5.8328945588388921E-2</v>
      </c>
      <c r="X39" s="3">
        <f t="shared" si="27"/>
        <v>5.8323696219511105E-2</v>
      </c>
      <c r="Y39" s="3">
        <f t="shared" si="27"/>
        <v>5.827122850692578E-2</v>
      </c>
      <c r="Z39" s="3">
        <f t="shared" si="27"/>
        <v>5.7749140371064989E-2</v>
      </c>
      <c r="AA39" s="3">
        <f t="shared" si="27"/>
        <v>5.277874030772195E-2</v>
      </c>
      <c r="AB39" s="3">
        <f t="shared" si="27"/>
        <v>2.1458234488447959E-2</v>
      </c>
      <c r="AC39" s="3">
        <f t="shared" si="27"/>
        <v>2.6481565142653931E-6</v>
      </c>
      <c r="AD39" s="3">
        <f t="shared" si="27"/>
        <v>2.169902790819335E-45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3.3314172080916346E-2</v>
      </c>
      <c r="C40" s="18">
        <f t="shared" si="3"/>
        <v>3.4551716494444183E-2</v>
      </c>
      <c r="D40" s="17"/>
      <c r="F40" s="3">
        <f t="shared" si="28"/>
        <v>3.4551716494444183E-2</v>
      </c>
      <c r="G40" s="3">
        <f t="shared" si="28"/>
        <v>3.4551716494444183E-2</v>
      </c>
      <c r="H40" s="3">
        <f t="shared" si="28"/>
        <v>3.4551716494444183E-2</v>
      </c>
      <c r="I40" s="3">
        <f t="shared" si="28"/>
        <v>3.4551716494444183E-2</v>
      </c>
      <c r="J40" s="3">
        <f t="shared" si="28"/>
        <v>3.4551716494444183E-2</v>
      </c>
      <c r="K40" s="3">
        <f t="shared" si="28"/>
        <v>3.4551716494444183E-2</v>
      </c>
      <c r="L40" s="3">
        <f t="shared" si="28"/>
        <v>3.4551716494444183E-2</v>
      </c>
      <c r="M40" s="3">
        <f t="shared" si="28"/>
        <v>3.4551716494444176E-2</v>
      </c>
      <c r="N40" s="3">
        <f t="shared" si="28"/>
        <v>3.4551716494444148E-2</v>
      </c>
      <c r="O40" s="3">
        <f t="shared" si="28"/>
        <v>3.4551716494443836E-2</v>
      </c>
      <c r="P40" s="3">
        <f t="shared" si="27"/>
        <v>3.4551716494440728E-2</v>
      </c>
      <c r="Q40" s="3">
        <f t="shared" si="27"/>
        <v>3.4551716494409634E-2</v>
      </c>
      <c r="R40" s="3">
        <f t="shared" si="27"/>
        <v>3.4551716494098668E-2</v>
      </c>
      <c r="S40" s="3">
        <f t="shared" si="27"/>
        <v>3.455171649098901E-2</v>
      </c>
      <c r="T40" s="3">
        <f t="shared" si="27"/>
        <v>3.4551716459892468E-2</v>
      </c>
      <c r="U40" s="3">
        <f t="shared" si="27"/>
        <v>3.455171614892702E-2</v>
      </c>
      <c r="V40" s="3">
        <f t="shared" si="27"/>
        <v>3.4551713039272708E-2</v>
      </c>
      <c r="W40" s="3">
        <f t="shared" si="27"/>
        <v>3.4551681942744966E-2</v>
      </c>
      <c r="X40" s="3">
        <f t="shared" si="27"/>
        <v>3.4551370979006818E-2</v>
      </c>
      <c r="Y40" s="3">
        <f t="shared" si="27"/>
        <v>3.4548261495547565E-2</v>
      </c>
      <c r="Z40" s="3">
        <f t="shared" si="27"/>
        <v>3.4517182048050807E-2</v>
      </c>
      <c r="AA40" s="3">
        <f t="shared" si="27"/>
        <v>3.4207921171072853E-2</v>
      </c>
      <c r="AB40" s="3">
        <f t="shared" si="27"/>
        <v>3.126368594154335E-2</v>
      </c>
      <c r="AC40" s="3">
        <f t="shared" si="27"/>
        <v>1.2710866155490233E-2</v>
      </c>
      <c r="AD40" s="3">
        <f t="shared" si="27"/>
        <v>1.5686455020210553E-6</v>
      </c>
      <c r="AE40" s="3">
        <f t="shared" si="27"/>
        <v>1.2853501046126467E-45</v>
      </c>
      <c r="AF40" s="3">
        <f t="shared" si="29"/>
        <v>0</v>
      </c>
      <c r="AG40" s="3">
        <f t="shared" si="29"/>
        <v>0</v>
      </c>
      <c r="AH40" s="3">
        <f t="shared" si="29"/>
        <v>0</v>
      </c>
      <c r="AI40" s="3">
        <f t="shared" si="29"/>
        <v>0</v>
      </c>
      <c r="AJ40" s="3">
        <f t="shared" si="29"/>
        <v>0</v>
      </c>
    </row>
    <row r="41" spans="1:36" x14ac:dyDescent="0.25">
      <c r="A41" s="3">
        <f t="shared" si="30"/>
        <v>1000000000</v>
      </c>
      <c r="B41" s="106">
        <v>3.1610835921819354E-2</v>
      </c>
      <c r="C41" s="18">
        <f t="shared" si="3"/>
        <v>3.2785105338059839E-2</v>
      </c>
      <c r="D41" s="17"/>
      <c r="F41" s="3">
        <f t="shared" si="28"/>
        <v>3.2785105338059839E-2</v>
      </c>
      <c r="G41" s="3">
        <f t="shared" si="28"/>
        <v>3.2785105338059839E-2</v>
      </c>
      <c r="H41" s="3">
        <f t="shared" si="28"/>
        <v>3.2785105338059839E-2</v>
      </c>
      <c r="I41" s="3">
        <f t="shared" si="28"/>
        <v>3.2785105338059839E-2</v>
      </c>
      <c r="J41" s="3">
        <f t="shared" si="28"/>
        <v>3.2785105338059839E-2</v>
      </c>
      <c r="K41" s="3">
        <f t="shared" si="28"/>
        <v>3.2785105338059839E-2</v>
      </c>
      <c r="L41" s="3">
        <f t="shared" si="28"/>
        <v>3.2785105338059839E-2</v>
      </c>
      <c r="M41" s="3">
        <f t="shared" si="28"/>
        <v>3.2785105338059839E-2</v>
      </c>
      <c r="N41" s="3">
        <f t="shared" si="28"/>
        <v>3.2785105338059832E-2</v>
      </c>
      <c r="O41" s="3">
        <f t="shared" si="28"/>
        <v>3.2785105338059804E-2</v>
      </c>
      <c r="P41" s="3">
        <f t="shared" si="27"/>
        <v>3.2785105338059513E-2</v>
      </c>
      <c r="Q41" s="3">
        <f t="shared" si="27"/>
        <v>3.2785105338056557E-2</v>
      </c>
      <c r="R41" s="3">
        <f t="shared" si="27"/>
        <v>3.2785105338027053E-2</v>
      </c>
      <c r="S41" s="3">
        <f t="shared" si="27"/>
        <v>3.278510533773199E-2</v>
      </c>
      <c r="T41" s="3">
        <f t="shared" si="27"/>
        <v>3.278510533478133E-2</v>
      </c>
      <c r="U41" s="3">
        <f t="shared" si="27"/>
        <v>3.2785105305274738E-2</v>
      </c>
      <c r="V41" s="3">
        <f t="shared" si="27"/>
        <v>3.2785105010208787E-2</v>
      </c>
      <c r="W41" s="3">
        <f t="shared" si="27"/>
        <v>3.2785102059549473E-2</v>
      </c>
      <c r="X41" s="3">
        <f t="shared" si="27"/>
        <v>3.2785072552970897E-2</v>
      </c>
      <c r="Y41" s="3">
        <f t="shared" si="27"/>
        <v>3.2784777488645708E-2</v>
      </c>
      <c r="Z41" s="3">
        <f t="shared" si="27"/>
        <v>3.2781826991446099E-2</v>
      </c>
      <c r="AA41" s="3">
        <f t="shared" si="27"/>
        <v>3.2752336619811633E-2</v>
      </c>
      <c r="AB41" s="3">
        <f t="shared" si="27"/>
        <v>3.2458888089395108E-2</v>
      </c>
      <c r="AC41" s="3">
        <f t="shared" si="27"/>
        <v>2.9665190064127017E-2</v>
      </c>
      <c r="AD41" s="3">
        <f t="shared" si="27"/>
        <v>1.2060966230512324E-2</v>
      </c>
      <c r="AE41" s="3">
        <f t="shared" si="27"/>
        <v>1.4884414796035838E-6</v>
      </c>
      <c r="AF41" s="3">
        <f t="shared" si="29"/>
        <v>1.2196308273942887E-45</v>
      </c>
      <c r="AG41" s="3">
        <f t="shared" si="29"/>
        <v>0</v>
      </c>
      <c r="AH41" s="3">
        <f t="shared" si="29"/>
        <v>0</v>
      </c>
      <c r="AI41" s="3">
        <f t="shared" si="29"/>
        <v>0</v>
      </c>
      <c r="AJ41" s="3">
        <f t="shared" si="29"/>
        <v>0</v>
      </c>
    </row>
    <row r="42" spans="1:36" x14ac:dyDescent="0.25">
      <c r="A42" s="3">
        <f t="shared" si="30"/>
        <v>10000000000</v>
      </c>
      <c r="B42" s="106">
        <v>1.2712391561837261E-2</v>
      </c>
      <c r="C42" s="18">
        <f t="shared" si="3"/>
        <v>1.3184627495592977E-2</v>
      </c>
      <c r="D42" s="17"/>
      <c r="F42" s="3">
        <f t="shared" si="28"/>
        <v>1.3184627495592977E-2</v>
      </c>
      <c r="G42" s="3">
        <f t="shared" si="28"/>
        <v>1.3184627495592977E-2</v>
      </c>
      <c r="H42" s="3">
        <f t="shared" si="28"/>
        <v>1.3184627495592977E-2</v>
      </c>
      <c r="I42" s="3">
        <f t="shared" si="28"/>
        <v>1.3184627495592977E-2</v>
      </c>
      <c r="J42" s="3">
        <f t="shared" si="28"/>
        <v>1.3184627495592977E-2</v>
      </c>
      <c r="K42" s="3">
        <f t="shared" si="28"/>
        <v>1.3184627495592977E-2</v>
      </c>
      <c r="L42" s="3">
        <f t="shared" si="28"/>
        <v>1.3184627495592977E-2</v>
      </c>
      <c r="M42" s="3">
        <f t="shared" si="28"/>
        <v>1.3184627495592977E-2</v>
      </c>
      <c r="N42" s="3">
        <f t="shared" si="28"/>
        <v>1.3184627495592977E-2</v>
      </c>
      <c r="O42" s="3">
        <f t="shared" si="28"/>
        <v>1.3184627495592975E-2</v>
      </c>
      <c r="P42" s="3">
        <f t="shared" si="27"/>
        <v>1.3184627495592963E-2</v>
      </c>
      <c r="Q42" s="3">
        <f t="shared" si="27"/>
        <v>1.3184627495592845E-2</v>
      </c>
      <c r="R42" s="3">
        <f t="shared" si="27"/>
        <v>1.3184627495591659E-2</v>
      </c>
      <c r="S42" s="3">
        <f t="shared" si="27"/>
        <v>1.3184627495579793E-2</v>
      </c>
      <c r="T42" s="3">
        <f t="shared" si="27"/>
        <v>1.3184627495461131E-2</v>
      </c>
      <c r="U42" s="3">
        <f t="shared" si="27"/>
        <v>1.3184627494274515E-2</v>
      </c>
      <c r="V42" s="3">
        <f t="shared" si="27"/>
        <v>1.318462748240835E-2</v>
      </c>
      <c r="W42" s="3">
        <f t="shared" si="27"/>
        <v>1.3184627363746704E-2</v>
      </c>
      <c r="X42" s="3">
        <f t="shared" si="27"/>
        <v>1.3184626177130294E-2</v>
      </c>
      <c r="Y42" s="3">
        <f t="shared" si="27"/>
        <v>1.3184614310972073E-2</v>
      </c>
      <c r="Z42" s="3">
        <f t="shared" si="27"/>
        <v>1.318449564997725E-2</v>
      </c>
      <c r="AA42" s="3">
        <f t="shared" si="27"/>
        <v>1.3183309098764358E-2</v>
      </c>
      <c r="AB42" s="3">
        <f t="shared" si="27"/>
        <v>1.3171449458214244E-2</v>
      </c>
      <c r="AC42" s="3">
        <f t="shared" si="27"/>
        <v>1.3053438260056538E-2</v>
      </c>
      <c r="AD42" s="3">
        <f t="shared" si="27"/>
        <v>1.1929944300878268E-2</v>
      </c>
      <c r="AE42" s="3">
        <f t="shared" si="27"/>
        <v>4.8503533951323782E-3</v>
      </c>
      <c r="AF42" s="3">
        <f t="shared" si="29"/>
        <v>5.9858116224444771E-7</v>
      </c>
      <c r="AG42" s="3">
        <f t="shared" si="29"/>
        <v>4.9047815999139194E-46</v>
      </c>
      <c r="AH42" s="3">
        <f t="shared" si="29"/>
        <v>0</v>
      </c>
      <c r="AI42" s="3">
        <f t="shared" si="29"/>
        <v>0</v>
      </c>
      <c r="AJ42" s="3">
        <f t="shared" si="29"/>
        <v>0</v>
      </c>
    </row>
    <row r="43" spans="1:36" x14ac:dyDescent="0.25">
      <c r="A43" s="3">
        <f t="shared" si="30"/>
        <v>100000000000</v>
      </c>
      <c r="B43" s="106">
        <v>8.7708553711650372E-3</v>
      </c>
      <c r="C43" s="18">
        <f t="shared" si="3"/>
        <v>9.0966723550024858E-3</v>
      </c>
      <c r="D43" s="17"/>
      <c r="F43" s="3">
        <f t="shared" si="28"/>
        <v>9.0966723550024858E-3</v>
      </c>
      <c r="G43" s="3">
        <f t="shared" si="28"/>
        <v>9.0966723550024858E-3</v>
      </c>
      <c r="H43" s="3">
        <f t="shared" si="28"/>
        <v>9.0966723550024858E-3</v>
      </c>
      <c r="I43" s="3">
        <f t="shared" si="28"/>
        <v>9.0966723550024858E-3</v>
      </c>
      <c r="J43" s="3">
        <f t="shared" si="28"/>
        <v>9.0966723550024858E-3</v>
      </c>
      <c r="K43" s="3">
        <f t="shared" si="28"/>
        <v>9.0966723550024858E-3</v>
      </c>
      <c r="L43" s="3">
        <f t="shared" si="28"/>
        <v>9.0966723550024858E-3</v>
      </c>
      <c r="M43" s="3">
        <f t="shared" si="28"/>
        <v>9.0966723550024858E-3</v>
      </c>
      <c r="N43" s="3">
        <f t="shared" si="28"/>
        <v>9.0966723550024858E-3</v>
      </c>
      <c r="O43" s="3">
        <f t="shared" si="28"/>
        <v>9.0966723550024858E-3</v>
      </c>
      <c r="P43" s="3">
        <f t="shared" si="27"/>
        <v>9.0966723550024841E-3</v>
      </c>
      <c r="Q43" s="3">
        <f t="shared" si="27"/>
        <v>9.0966723550024772E-3</v>
      </c>
      <c r="R43" s="3">
        <f t="shared" si="27"/>
        <v>9.0966723550023956E-3</v>
      </c>
      <c r="S43" s="3">
        <f t="shared" si="27"/>
        <v>9.0966723550015751E-3</v>
      </c>
      <c r="T43" s="3">
        <f t="shared" si="27"/>
        <v>9.0966723549933889E-3</v>
      </c>
      <c r="U43" s="3">
        <f t="shared" si="27"/>
        <v>9.0966723549115187E-3</v>
      </c>
      <c r="V43" s="3">
        <f t="shared" si="27"/>
        <v>9.0966723540928177E-3</v>
      </c>
      <c r="W43" s="3">
        <f t="shared" si="27"/>
        <v>9.0966723459058145E-3</v>
      </c>
      <c r="X43" s="3">
        <f t="shared" si="27"/>
        <v>9.0966722640357621E-3</v>
      </c>
      <c r="Y43" s="3">
        <f t="shared" si="27"/>
        <v>9.096671445335297E-3</v>
      </c>
      <c r="Z43" s="3">
        <f t="shared" si="27"/>
        <v>9.0966632583346797E-3</v>
      </c>
      <c r="AA43" s="3">
        <f t="shared" si="27"/>
        <v>9.0965813887337686E-3</v>
      </c>
      <c r="AB43" s="3">
        <f t="shared" si="27"/>
        <v>9.0957627332488317E-3</v>
      </c>
      <c r="AC43" s="3">
        <f t="shared" si="27"/>
        <v>9.0875802294679286E-3</v>
      </c>
      <c r="AD43" s="3">
        <f t="shared" si="27"/>
        <v>9.0061589527408639E-3</v>
      </c>
      <c r="AE43" s="3">
        <f t="shared" si="27"/>
        <v>8.2310095264195408E-3</v>
      </c>
      <c r="AF43" s="3">
        <f t="shared" si="29"/>
        <v>3.3464787424780226E-3</v>
      </c>
      <c r="AG43" s="3">
        <f t="shared" si="29"/>
        <v>4.1298828598945055E-7</v>
      </c>
      <c r="AH43" s="3">
        <f t="shared" si="29"/>
        <v>3.384031228957763E-46</v>
      </c>
      <c r="AI43" s="3">
        <f t="shared" si="29"/>
        <v>0</v>
      </c>
      <c r="AJ43" s="3">
        <f t="shared" si="29"/>
        <v>0</v>
      </c>
    </row>
    <row r="44" spans="1:36" x14ac:dyDescent="0.25">
      <c r="A44" s="3">
        <f t="shared" si="30"/>
        <v>1000000000000</v>
      </c>
      <c r="B44" s="106">
        <v>2.9305227915908953E-3</v>
      </c>
      <c r="C44" s="18">
        <f t="shared" si="3"/>
        <v>3.0393849329234364E-3</v>
      </c>
      <c r="D44" s="17"/>
      <c r="F44" s="3">
        <f t="shared" si="28"/>
        <v>3.0393849329234364E-3</v>
      </c>
      <c r="G44" s="3">
        <f t="shared" si="28"/>
        <v>3.0393849329234364E-3</v>
      </c>
      <c r="H44" s="3">
        <f t="shared" si="28"/>
        <v>3.0393849329234364E-3</v>
      </c>
      <c r="I44" s="3">
        <f t="shared" si="28"/>
        <v>3.0393849329234364E-3</v>
      </c>
      <c r="J44" s="3">
        <f t="shared" si="28"/>
        <v>3.0393849329234364E-3</v>
      </c>
      <c r="K44" s="3">
        <f t="shared" si="28"/>
        <v>3.0393849329234364E-3</v>
      </c>
      <c r="L44" s="3">
        <f t="shared" si="28"/>
        <v>3.0393849329234364E-3</v>
      </c>
      <c r="M44" s="3">
        <f t="shared" si="28"/>
        <v>3.0393849329234364E-3</v>
      </c>
      <c r="N44" s="3">
        <f t="shared" si="28"/>
        <v>3.0393849329234364E-3</v>
      </c>
      <c r="O44" s="3">
        <f t="shared" si="28"/>
        <v>3.0393849329234364E-3</v>
      </c>
      <c r="P44" s="3">
        <f t="shared" si="27"/>
        <v>3.0393849329234364E-3</v>
      </c>
      <c r="Q44" s="3">
        <f t="shared" si="27"/>
        <v>3.039384932923436E-3</v>
      </c>
      <c r="R44" s="3">
        <f t="shared" si="27"/>
        <v>3.0393849329234334E-3</v>
      </c>
      <c r="S44" s="3">
        <f t="shared" si="27"/>
        <v>3.0393849329234061E-3</v>
      </c>
      <c r="T44" s="3">
        <f t="shared" si="27"/>
        <v>3.0393849329231324E-3</v>
      </c>
      <c r="U44" s="3">
        <f t="shared" si="27"/>
        <v>3.0393849329203972E-3</v>
      </c>
      <c r="V44" s="3">
        <f t="shared" si="27"/>
        <v>3.0393849328930428E-3</v>
      </c>
      <c r="W44" s="3">
        <f t="shared" si="27"/>
        <v>3.0393849326194977E-3</v>
      </c>
      <c r="X44" s="3">
        <f t="shared" si="27"/>
        <v>3.0393849298840517E-3</v>
      </c>
      <c r="Y44" s="3">
        <f t="shared" si="27"/>
        <v>3.0393849025295871E-3</v>
      </c>
      <c r="Z44" s="3">
        <f t="shared" si="27"/>
        <v>3.0393846289849583E-3</v>
      </c>
      <c r="AA44" s="3">
        <f t="shared" si="27"/>
        <v>3.0393818935400231E-3</v>
      </c>
      <c r="AB44" s="3">
        <f t="shared" si="27"/>
        <v>3.0393545392260759E-3</v>
      </c>
      <c r="AC44" s="3">
        <f t="shared" si="27"/>
        <v>3.039081009626562E-3</v>
      </c>
      <c r="AD44" s="3">
        <f t="shared" si="27"/>
        <v>3.0363470671765421E-3</v>
      </c>
      <c r="AE44" s="3">
        <f t="shared" si="27"/>
        <v>3.0091425475405748E-3</v>
      </c>
      <c r="AF44" s="3">
        <f t="shared" si="29"/>
        <v>2.7501492151238401E-3</v>
      </c>
      <c r="AG44" s="3">
        <f t="shared" si="29"/>
        <v>1.1181272306287756E-3</v>
      </c>
      <c r="AH44" s="3">
        <f t="shared" si="29"/>
        <v>1.3798786247587876E-7</v>
      </c>
      <c r="AI44" s="3">
        <f t="shared" si="29"/>
        <v>1.1306742870848177E-46</v>
      </c>
      <c r="AJ44" s="3">
        <f t="shared" si="29"/>
        <v>0</v>
      </c>
    </row>
    <row r="45" spans="1:36" x14ac:dyDescent="0.25">
      <c r="A45" s="3">
        <f t="shared" si="30"/>
        <v>10000000000000</v>
      </c>
      <c r="B45" s="106">
        <v>2.5546432053612698E-3</v>
      </c>
      <c r="C45" s="18">
        <f t="shared" si="3"/>
        <v>2.6495422897411186E-3</v>
      </c>
      <c r="D45" s="17"/>
      <c r="F45" s="3">
        <f t="shared" si="28"/>
        <v>2.6495422897411186E-3</v>
      </c>
      <c r="G45" s="3">
        <f t="shared" si="28"/>
        <v>2.6495422897411186E-3</v>
      </c>
      <c r="H45" s="3">
        <f t="shared" si="28"/>
        <v>2.6495422897411186E-3</v>
      </c>
      <c r="I45" s="3">
        <f t="shared" si="28"/>
        <v>2.6495422897411186E-3</v>
      </c>
      <c r="J45" s="3">
        <f t="shared" si="28"/>
        <v>2.6495422897411186E-3</v>
      </c>
      <c r="K45" s="3">
        <f t="shared" si="28"/>
        <v>2.6495422897411186E-3</v>
      </c>
      <c r="L45" s="3">
        <f t="shared" si="28"/>
        <v>2.6495422897411186E-3</v>
      </c>
      <c r="M45" s="3">
        <f t="shared" si="28"/>
        <v>2.6495422897411186E-3</v>
      </c>
      <c r="N45" s="3">
        <f t="shared" si="28"/>
        <v>2.6495422897411186E-3</v>
      </c>
      <c r="O45" s="3">
        <f t="shared" si="28"/>
        <v>2.6495422897411186E-3</v>
      </c>
      <c r="P45" s="3">
        <f t="shared" si="27"/>
        <v>2.6495422897411186E-3</v>
      </c>
      <c r="Q45" s="3">
        <f t="shared" si="27"/>
        <v>2.6495422897411186E-3</v>
      </c>
      <c r="R45" s="3">
        <f t="shared" si="27"/>
        <v>2.6495422897411182E-3</v>
      </c>
      <c r="S45" s="3">
        <f t="shared" si="27"/>
        <v>2.649542289741116E-3</v>
      </c>
      <c r="T45" s="3">
        <f t="shared" si="27"/>
        <v>2.6495422897410922E-3</v>
      </c>
      <c r="U45" s="3">
        <f t="shared" si="27"/>
        <v>2.6495422897408537E-3</v>
      </c>
      <c r="V45" s="3">
        <f t="shared" si="27"/>
        <v>2.6495422897384693E-3</v>
      </c>
      <c r="W45" s="3">
        <f t="shared" si="27"/>
        <v>2.6495422897146233E-3</v>
      </c>
      <c r="X45" s="3">
        <f t="shared" si="27"/>
        <v>2.6495422894761643E-3</v>
      </c>
      <c r="Y45" s="3">
        <f t="shared" si="27"/>
        <v>2.6495422870915766E-3</v>
      </c>
      <c r="Z45" s="3">
        <f t="shared" si="27"/>
        <v>2.649542263245696E-3</v>
      </c>
      <c r="AA45" s="3">
        <f t="shared" si="27"/>
        <v>2.649542024786903E-3</v>
      </c>
      <c r="AB45" s="3">
        <f t="shared" si="27"/>
        <v>2.6495396402001535E-3</v>
      </c>
      <c r="AC45" s="3">
        <f t="shared" si="27"/>
        <v>2.6495157944506978E-3</v>
      </c>
      <c r="AD45" s="3">
        <f t="shared" si="27"/>
        <v>2.6492773487594144E-3</v>
      </c>
      <c r="AE45" s="3">
        <f t="shared" si="27"/>
        <v>2.6468940717810424E-3</v>
      </c>
      <c r="AF45" s="3">
        <f t="shared" si="29"/>
        <v>2.6231789034695846E-3</v>
      </c>
      <c r="AG45" s="3">
        <f t="shared" si="29"/>
        <v>2.397405004426438E-3</v>
      </c>
      <c r="AH45" s="3">
        <f t="shared" si="29"/>
        <v>9.7471213691006648E-4</v>
      </c>
      <c r="AI45" s="3">
        <f t="shared" si="29"/>
        <v>1.2028903385698009E-7</v>
      </c>
      <c r="AJ45" s="3">
        <f t="shared" si="29"/>
        <v>9.8564986195171724E-47</v>
      </c>
    </row>
    <row r="46" spans="1:36" x14ac:dyDescent="0.25">
      <c r="A46" s="3">
        <f t="shared" si="30"/>
        <v>100000000000000</v>
      </c>
      <c r="B46" s="106">
        <v>6.6099070330854245E-4</v>
      </c>
      <c r="C46" s="18">
        <f t="shared" si="3"/>
        <v>6.8554497859674352E-4</v>
      </c>
      <c r="D46" s="17"/>
      <c r="F46" s="3">
        <f t="shared" si="28"/>
        <v>6.8554497859674352E-4</v>
      </c>
      <c r="G46" s="3">
        <f t="shared" si="28"/>
        <v>6.8554497859674352E-4</v>
      </c>
      <c r="H46" s="3">
        <f t="shared" si="28"/>
        <v>6.8554497859674352E-4</v>
      </c>
      <c r="I46" s="3">
        <f t="shared" si="28"/>
        <v>6.8554497859674352E-4</v>
      </c>
      <c r="J46" s="3">
        <f t="shared" si="28"/>
        <v>6.8554497859674352E-4</v>
      </c>
      <c r="K46" s="3">
        <f t="shared" si="28"/>
        <v>6.8554497859674352E-4</v>
      </c>
      <c r="L46" s="3">
        <f t="shared" si="28"/>
        <v>6.8554497859674352E-4</v>
      </c>
      <c r="M46" s="3">
        <f t="shared" si="28"/>
        <v>6.8554497859674352E-4</v>
      </c>
      <c r="N46" s="3">
        <f t="shared" si="28"/>
        <v>6.8554497859674352E-4</v>
      </c>
      <c r="O46" s="3">
        <f t="shared" si="28"/>
        <v>6.8554497859674352E-4</v>
      </c>
      <c r="P46" s="3">
        <f t="shared" si="27"/>
        <v>6.8554497859674352E-4</v>
      </c>
      <c r="Q46" s="3">
        <f t="shared" si="27"/>
        <v>6.8554497859674352E-4</v>
      </c>
      <c r="R46" s="3">
        <f t="shared" si="27"/>
        <v>6.8554497859674352E-4</v>
      </c>
      <c r="S46" s="3">
        <f t="shared" si="27"/>
        <v>6.8554497859674342E-4</v>
      </c>
      <c r="T46" s="3">
        <f t="shared" si="27"/>
        <v>6.8554497859674287E-4</v>
      </c>
      <c r="U46" s="3">
        <f t="shared" si="27"/>
        <v>6.8554497859673669E-4</v>
      </c>
      <c r="V46" s="3">
        <f t="shared" si="27"/>
        <v>6.8554497859667489E-4</v>
      </c>
      <c r="W46" s="3">
        <f t="shared" si="27"/>
        <v>6.8554497859605798E-4</v>
      </c>
      <c r="X46" s="3">
        <f t="shared" si="27"/>
        <v>6.8554497858988811E-4</v>
      </c>
      <c r="Y46" s="3">
        <f t="shared" si="27"/>
        <v>6.8554497852818899E-4</v>
      </c>
      <c r="Z46" s="3">
        <f t="shared" si="27"/>
        <v>6.8554497791119859E-4</v>
      </c>
      <c r="AA46" s="3">
        <f t="shared" si="27"/>
        <v>6.8554497174129383E-4</v>
      </c>
      <c r="AB46" s="3">
        <f t="shared" si="27"/>
        <v>6.8554491004224909E-4</v>
      </c>
      <c r="AC46" s="3">
        <f t="shared" si="27"/>
        <v>6.8554429305210771E-4</v>
      </c>
      <c r="AD46" s="3">
        <f t="shared" si="27"/>
        <v>6.8553812318123471E-4</v>
      </c>
      <c r="AE46" s="3">
        <f t="shared" si="27"/>
        <v>6.8547642752649453E-4</v>
      </c>
      <c r="AF46" s="3">
        <f t="shared" si="29"/>
        <v>6.8485977627640721E-4</v>
      </c>
      <c r="AG46" s="3">
        <f t="shared" si="29"/>
        <v>6.7872369208728288E-4</v>
      </c>
      <c r="AH46" s="3">
        <f t="shared" si="29"/>
        <v>6.2030674838099459E-4</v>
      </c>
      <c r="AI46" s="3">
        <f t="shared" si="29"/>
        <v>2.521979036240584E-4</v>
      </c>
      <c r="AJ46" s="3">
        <f t="shared" si="29"/>
        <v>3.112369387731634E-8</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9.9929468914811415E-3</v>
      </c>
      <c r="C48" s="18">
        <f t="shared" si="3"/>
        <v>1.0364161747734975E-2</v>
      </c>
      <c r="D48" s="17"/>
      <c r="F48" s="3">
        <f t="shared" si="28"/>
        <v>1.0364161747734975E-2</v>
      </c>
      <c r="G48" s="3">
        <f t="shared" si="28"/>
        <v>1.0364161747734975E-2</v>
      </c>
      <c r="H48" s="3">
        <f t="shared" si="28"/>
        <v>1.0364161747734975E-2</v>
      </c>
      <c r="I48" s="3">
        <f t="shared" si="28"/>
        <v>1.0364161747734975E-2</v>
      </c>
      <c r="J48" s="3">
        <f t="shared" si="28"/>
        <v>1.0364161747734975E-2</v>
      </c>
      <c r="K48" s="3">
        <f t="shared" si="28"/>
        <v>1.0364161747734975E-2</v>
      </c>
      <c r="L48" s="3">
        <f t="shared" si="28"/>
        <v>1.0364161747734975E-2</v>
      </c>
      <c r="M48" s="3">
        <f t="shared" si="28"/>
        <v>1.0364161747734975E-2</v>
      </c>
      <c r="N48" s="3">
        <f t="shared" si="28"/>
        <v>1.0364161747734975E-2</v>
      </c>
      <c r="O48" s="3">
        <f t="shared" si="28"/>
        <v>1.0364161747734975E-2</v>
      </c>
      <c r="P48" s="3">
        <f t="shared" si="27"/>
        <v>1.0364161747734975E-2</v>
      </c>
      <c r="Q48" s="3">
        <f t="shared" si="27"/>
        <v>1.0364161747734975E-2</v>
      </c>
      <c r="R48" s="3">
        <f t="shared" si="27"/>
        <v>1.0364161747734975E-2</v>
      </c>
      <c r="S48" s="3">
        <f t="shared" si="27"/>
        <v>1.0364161747734975E-2</v>
      </c>
      <c r="T48" s="3">
        <f t="shared" si="27"/>
        <v>1.0364161747734975E-2</v>
      </c>
      <c r="U48" s="3">
        <f t="shared" si="27"/>
        <v>1.0364161747734973E-2</v>
      </c>
      <c r="V48" s="3">
        <f t="shared" si="27"/>
        <v>1.0364161747734964E-2</v>
      </c>
      <c r="W48" s="3">
        <f t="shared" si="27"/>
        <v>1.0364161747734871E-2</v>
      </c>
      <c r="X48" s="3">
        <f t="shared" si="27"/>
        <v>1.0364161747733937E-2</v>
      </c>
      <c r="Y48" s="3">
        <f t="shared" si="27"/>
        <v>1.0364161747724612E-2</v>
      </c>
      <c r="Z48" s="3">
        <f t="shared" si="27"/>
        <v>1.0364161747631334E-2</v>
      </c>
      <c r="AA48" s="3">
        <f t="shared" si="27"/>
        <v>1.0364161746698559E-2</v>
      </c>
      <c r="AB48" s="3">
        <f t="shared" si="27"/>
        <v>1.0364161737370814E-2</v>
      </c>
      <c r="AC48" s="3">
        <f t="shared" si="27"/>
        <v>1.0364161644093359E-2</v>
      </c>
      <c r="AD48" s="3">
        <f t="shared" si="27"/>
        <v>1.0364160711318852E-2</v>
      </c>
      <c r="AE48" s="3">
        <f t="shared" si="27"/>
        <v>1.0364151383578409E-2</v>
      </c>
      <c r="AF48" s="3">
        <f t="shared" si="29"/>
        <v>1.0364058106635704E-2</v>
      </c>
      <c r="AG48" s="3">
        <f t="shared" si="29"/>
        <v>1.0363125383379282E-2</v>
      </c>
      <c r="AH48" s="3">
        <f t="shared" si="29"/>
        <v>1.0353802766341185E-2</v>
      </c>
      <c r="AI48" s="3">
        <f t="shared" si="29"/>
        <v>1.0261036615294499E-2</v>
      </c>
      <c r="AJ48" s="3">
        <f t="shared" si="29"/>
        <v>9.3778813559275715E-3</v>
      </c>
    </row>
    <row r="49" spans="1:36" x14ac:dyDescent="0.25">
      <c r="B49" s="16">
        <f>SUM(B17:B48)</f>
        <v>0.96418283839163732</v>
      </c>
      <c r="C49" s="18">
        <f>SUM(C17:C48)</f>
        <v>1.0000000000000002</v>
      </c>
      <c r="F49" s="3">
        <f t="shared" ref="F49:AJ49" si="31">F16-F17</f>
        <v>59.427966658684454</v>
      </c>
      <c r="G49" s="3">
        <f t="shared" si="31"/>
        <v>-76.872566402493248</v>
      </c>
      <c r="H49" s="3">
        <f t="shared" si="31"/>
        <v>20.353651216568323</v>
      </c>
      <c r="I49" s="3">
        <f t="shared" si="31"/>
        <v>-3.3160226655745646</v>
      </c>
      <c r="J49" s="3">
        <f t="shared" si="31"/>
        <v>0.44996744032687275</v>
      </c>
      <c r="K49" s="3">
        <f t="shared" si="31"/>
        <v>-3.4744448441415443E-2</v>
      </c>
      <c r="L49" s="3">
        <f t="shared" si="31"/>
        <v>-5.1630687150463928E-2</v>
      </c>
      <c r="M49" s="3">
        <f t="shared" si="31"/>
        <v>0.13057136684619763</v>
      </c>
      <c r="N49" s="3">
        <f t="shared" si="31"/>
        <v>-0.27693790593730228</v>
      </c>
      <c r="O49" s="3">
        <f t="shared" si="31"/>
        <v>0.54371887923662143</v>
      </c>
      <c r="P49" s="3">
        <f t="shared" si="31"/>
        <v>-0.91974131075858168</v>
      </c>
      <c r="Q49" s="3">
        <f t="shared" si="31"/>
        <v>1.3133882813299351</v>
      </c>
      <c r="R49" s="3">
        <f t="shared" si="31"/>
        <v>-1.6013378489042225</v>
      </c>
      <c r="S49" s="3">
        <f t="shared" si="31"/>
        <v>1.676897128303608</v>
      </c>
      <c r="T49" s="3">
        <f t="shared" si="31"/>
        <v>-1.5037114974693395</v>
      </c>
      <c r="U49" s="3">
        <f t="shared" si="31"/>
        <v>1.1555937603006896</v>
      </c>
      <c r="V49" s="3">
        <f t="shared" si="31"/>
        <v>-0.76967970174518996</v>
      </c>
      <c r="W49" s="3">
        <f t="shared" si="31"/>
        <v>0.44848333090521919</v>
      </c>
      <c r="X49" s="3">
        <f t="shared" si="31"/>
        <v>-0.23331323164529749</v>
      </c>
      <c r="Y49" s="3">
        <f t="shared" si="31"/>
        <v>0.11964075032028632</v>
      </c>
      <c r="Z49" s="3">
        <f t="shared" si="31"/>
        <v>-6.7839470678791258E-2</v>
      </c>
      <c r="AA49" s="3">
        <f t="shared" si="31"/>
        <v>3.7608472148349392E-2</v>
      </c>
      <c r="AB49" s="3">
        <f t="shared" si="31"/>
        <v>-3.0732662004311351E-2</v>
      </c>
      <c r="AC49" s="3">
        <f t="shared" si="31"/>
        <v>4.3351136985847916E-2</v>
      </c>
      <c r="AD49" s="3">
        <f t="shared" si="31"/>
        <v>-4.6600791230616778E-2</v>
      </c>
      <c r="AE49" s="3">
        <f t="shared" si="31"/>
        <v>4.8747350634698705E-2</v>
      </c>
      <c r="AF49" s="3">
        <f t="shared" si="31"/>
        <v>-6.6578662837287084E-2</v>
      </c>
      <c r="AG49" s="3">
        <f t="shared" si="31"/>
        <v>9.303782453275744E-2</v>
      </c>
      <c r="AH49" s="3">
        <f t="shared" si="31"/>
        <v>-0.11466516156548323</v>
      </c>
      <c r="AI49" s="3">
        <f t="shared" si="31"/>
        <v>0.13844616318783665</v>
      </c>
      <c r="AJ49" s="3">
        <f t="shared" si="31"/>
        <v>-7.9502619521008455E-2</v>
      </c>
    </row>
    <row r="50" spans="1:36" x14ac:dyDescent="0.25">
      <c r="F50" s="57">
        <f t="shared" ref="F50:AJ50" si="32">F49/F17</f>
        <v>5.5527839033789259E-3</v>
      </c>
      <c r="G50" s="57">
        <f t="shared" si="32"/>
        <v>-7.2357537615971562E-3</v>
      </c>
      <c r="H50" s="57">
        <f t="shared" si="32"/>
        <v>1.9704313463665452E-3</v>
      </c>
      <c r="I50" s="57">
        <f t="shared" si="32"/>
        <v>-3.2713420154649523E-4</v>
      </c>
      <c r="J50" s="57">
        <f t="shared" si="32"/>
        <v>4.5460213354033471E-5</v>
      </c>
      <c r="K50" s="57">
        <f t="shared" si="32"/>
        <v>-3.6104817372465346E-6</v>
      </c>
      <c r="L50" s="57">
        <f t="shared" si="32"/>
        <v>-5.5078694115943642E-6</v>
      </c>
      <c r="M50" s="57">
        <f t="shared" si="32"/>
        <v>1.4326452488808136E-5</v>
      </c>
      <c r="N50" s="57">
        <f t="shared" si="32"/>
        <v>-3.1384500219770827E-5</v>
      </c>
      <c r="O50" s="57">
        <f t="shared" si="32"/>
        <v>6.4137529863297619E-5</v>
      </c>
      <c r="P50" s="57">
        <f t="shared" si="32"/>
        <v>-1.1327557365720606E-4</v>
      </c>
      <c r="Q50" s="57">
        <f t="shared" si="32"/>
        <v>1.6815497915081609E-4</v>
      </c>
      <c r="R50" s="57">
        <f t="shared" si="32"/>
        <v>-2.1248870631638273E-4</v>
      </c>
      <c r="S50" s="57">
        <f t="shared" si="32"/>
        <v>2.3113082803496613E-4</v>
      </c>
      <c r="T50" s="57">
        <f t="shared" si="32"/>
        <v>-2.1565163235438286E-4</v>
      </c>
      <c r="U50" s="57">
        <f t="shared" si="32"/>
        <v>1.7280241712445531E-4</v>
      </c>
      <c r="V50" s="57">
        <f t="shared" si="32"/>
        <v>-1.2152268861231389E-4</v>
      </c>
      <c r="W50" s="57">
        <f t="shared" si="32"/>
        <v>7.8579761922693172E-5</v>
      </c>
      <c r="X50" s="57">
        <f t="shared" si="32"/>
        <v>-4.9602742384927997E-5</v>
      </c>
      <c r="Y50" s="57">
        <f t="shared" si="32"/>
        <v>3.2191347504092915E-5</v>
      </c>
      <c r="Z50" s="57">
        <f t="shared" si="32"/>
        <v>-2.3187350131657222E-5</v>
      </c>
      <c r="AA50" s="57">
        <f t="shared" si="32"/>
        <v>1.6558697780684755E-5</v>
      </c>
      <c r="AB50" s="57">
        <f t="shared" si="32"/>
        <v>-1.8174871496408323E-5</v>
      </c>
      <c r="AC50" s="57">
        <f t="shared" si="32"/>
        <v>3.6294994196956906E-5</v>
      </c>
      <c r="AD50" s="57">
        <f t="shared" si="32"/>
        <v>-5.5819296002800513E-5</v>
      </c>
      <c r="AE50" s="57">
        <f t="shared" si="32"/>
        <v>8.0261657733291737E-5</v>
      </c>
      <c r="AF50" s="57">
        <f t="shared" si="32"/>
        <v>-1.3502674521812175E-4</v>
      </c>
      <c r="AG50" s="57">
        <f t="shared" si="32"/>
        <v>2.1455307549332983E-4</v>
      </c>
      <c r="AH50" s="57">
        <f t="shared" si="32"/>
        <v>-2.8390941189567831E-4</v>
      </c>
      <c r="AI50" s="57">
        <f t="shared" si="32"/>
        <v>3.5727576886034214E-4</v>
      </c>
      <c r="AJ50" s="57">
        <f t="shared" si="32"/>
        <v>-2.1225925315038037E-4</v>
      </c>
    </row>
    <row r="51" spans="1:36" x14ac:dyDescent="0.25">
      <c r="A51" s="13" t="s">
        <v>21</v>
      </c>
      <c r="B51" s="3">
        <f>STUTT!D8</f>
        <v>11405.888999999999</v>
      </c>
      <c r="E51" s="11" t="s">
        <v>24</v>
      </c>
      <c r="F51" s="20">
        <f t="shared" ref="F51:AJ51" si="33">(F16-F17)^2</f>
        <v>3531.6832211857113</v>
      </c>
      <c r="G51" s="20">
        <f t="shared" si="33"/>
        <v>5909.3914653057336</v>
      </c>
      <c r="H51" s="20">
        <f t="shared" si="33"/>
        <v>414.27111784571321</v>
      </c>
      <c r="I51" s="20">
        <f t="shared" si="33"/>
        <v>10.996006318604241</v>
      </c>
      <c r="J51" s="20">
        <f t="shared" si="33"/>
        <v>0.20247069735431777</v>
      </c>
      <c r="K51" s="20">
        <f t="shared" si="33"/>
        <v>1.2071766974981761E-3</v>
      </c>
      <c r="L51" s="20">
        <f t="shared" si="33"/>
        <v>2.6657278556290807E-3</v>
      </c>
      <c r="M51" s="20">
        <f t="shared" si="33"/>
        <v>1.704888184008432E-2</v>
      </c>
      <c r="N51" s="20">
        <f t="shared" si="33"/>
        <v>7.6694603744938084E-2</v>
      </c>
      <c r="O51" s="20">
        <f t="shared" si="33"/>
        <v>0.2956302196383277</v>
      </c>
      <c r="P51" s="20">
        <f t="shared" si="33"/>
        <v>0.84592407871591391</v>
      </c>
      <c r="Q51" s="20">
        <f t="shared" si="33"/>
        <v>1.7249887775348007</v>
      </c>
      <c r="R51" s="20">
        <f t="shared" si="33"/>
        <v>2.5642829063332027</v>
      </c>
      <c r="S51" s="20">
        <f t="shared" si="33"/>
        <v>2.8119839789128873</v>
      </c>
      <c r="T51" s="20">
        <f t="shared" si="33"/>
        <v>2.2611482676214836</v>
      </c>
      <c r="U51" s="20">
        <f t="shared" si="33"/>
        <v>1.3353969388458877</v>
      </c>
      <c r="V51" s="20">
        <f t="shared" si="33"/>
        <v>0.59240684327856452</v>
      </c>
      <c r="W51" s="20">
        <f t="shared" si="33"/>
        <v>0.20113729809984032</v>
      </c>
      <c r="X51" s="20">
        <f t="shared" si="33"/>
        <v>5.4435064060772247E-2</v>
      </c>
      <c r="Y51" s="20">
        <f t="shared" si="33"/>
        <v>1.431390913720109E-2</v>
      </c>
      <c r="Z51" s="20">
        <f t="shared" si="33"/>
        <v>4.6021937819785792E-3</v>
      </c>
      <c r="AA51" s="20">
        <f t="shared" si="33"/>
        <v>1.414397177333172E-3</v>
      </c>
      <c r="AB51" s="20">
        <f t="shared" si="33"/>
        <v>9.4449651387124261E-4</v>
      </c>
      <c r="AC51" s="20">
        <f t="shared" si="33"/>
        <v>1.879321077965751E-3</v>
      </c>
      <c r="AD51" s="20">
        <f t="shared" si="33"/>
        <v>2.1716337433195297E-3</v>
      </c>
      <c r="AE51" s="20">
        <f t="shared" si="33"/>
        <v>2.3763041939022602E-3</v>
      </c>
      <c r="AF51" s="20">
        <f t="shared" si="33"/>
        <v>4.4327183452011519E-3</v>
      </c>
      <c r="AG51" s="20">
        <f t="shared" si="33"/>
        <v>8.6560367937881626E-3</v>
      </c>
      <c r="AH51" s="20">
        <f t="shared" si="33"/>
        <v>1.3148099276838373E-2</v>
      </c>
      <c r="AI51" s="20">
        <f t="shared" si="33"/>
        <v>1.9167340101433096E-2</v>
      </c>
      <c r="AJ51" s="20">
        <f t="shared" si="33"/>
        <v>6.3206665107022348E-3</v>
      </c>
    </row>
    <row r="52" spans="1:36" x14ac:dyDescent="0.25">
      <c r="A52" s="13"/>
    </row>
    <row r="53" spans="1:36" x14ac:dyDescent="0.25">
      <c r="E53" s="119" t="s">
        <v>25</v>
      </c>
      <c r="F53" s="119"/>
      <c r="G53" s="104">
        <f>SUM(F51:AJ51)</f>
        <v>9879.4086592329531</v>
      </c>
      <c r="I53" s="3">
        <f>G53+C123</f>
        <v>9879.4086592329531</v>
      </c>
      <c r="K53" s="3">
        <f>SUM(Z51:AJ51)</f>
        <v>6.5113207516333552E-2</v>
      </c>
    </row>
    <row r="55" spans="1:36" x14ac:dyDescent="0.25">
      <c r="E55" s="30" t="s">
        <v>30</v>
      </c>
      <c r="F55" s="31">
        <f t="shared" ref="F55:AJ55" si="34">ABS(F17-F16)/F16</f>
        <v>5.5221207601096741E-3</v>
      </c>
      <c r="G55" s="31">
        <f t="shared" si="34"/>
        <v>7.2884914913218576E-3</v>
      </c>
      <c r="H55" s="31">
        <f t="shared" si="34"/>
        <v>1.966556382027002E-3</v>
      </c>
      <c r="I55" s="31">
        <f t="shared" si="34"/>
        <v>3.272412533526238E-4</v>
      </c>
      <c r="J55" s="31">
        <f t="shared" si="34"/>
        <v>4.5458146816980493E-5</v>
      </c>
      <c r="K55" s="31">
        <f t="shared" si="34"/>
        <v>3.6104947728719743E-6</v>
      </c>
      <c r="L55" s="31">
        <f t="shared" si="34"/>
        <v>5.5078997483869108E-6</v>
      </c>
      <c r="M55" s="31">
        <f t="shared" si="34"/>
        <v>1.4326247244507645E-5</v>
      </c>
      <c r="N55" s="31">
        <f t="shared" si="34"/>
        <v>3.138548523753916E-5</v>
      </c>
      <c r="O55" s="31">
        <f t="shared" si="34"/>
        <v>6.4133416504381322E-5</v>
      </c>
      <c r="P55" s="31">
        <f t="shared" si="34"/>
        <v>1.1328840646643725E-4</v>
      </c>
      <c r="Q55" s="31">
        <f t="shared" si="34"/>
        <v>1.6812670780776999E-4</v>
      </c>
      <c r="R55" s="31">
        <f t="shared" si="34"/>
        <v>2.1253386736290708E-4</v>
      </c>
      <c r="S55" s="31">
        <f t="shared" si="34"/>
        <v>2.3107741891979102E-4</v>
      </c>
      <c r="T55" s="31">
        <f t="shared" si="34"/>
        <v>2.1569814801209749E-4</v>
      </c>
      <c r="U55" s="31">
        <f t="shared" si="34"/>
        <v>1.7277256160819665E-4</v>
      </c>
      <c r="V55" s="31">
        <f t="shared" si="34"/>
        <v>1.2153745817099794E-4</v>
      </c>
      <c r="W55" s="31">
        <f t="shared" si="34"/>
        <v>7.8573587628883874E-5</v>
      </c>
      <c r="X55" s="31">
        <f t="shared" si="34"/>
        <v>4.960520293903033E-5</v>
      </c>
      <c r="Y55" s="31">
        <f t="shared" si="34"/>
        <v>3.2190311254597056E-5</v>
      </c>
      <c r="Z55" s="31">
        <f t="shared" si="34"/>
        <v>2.3187887797330392E-5</v>
      </c>
      <c r="AA55" s="31">
        <f t="shared" si="34"/>
        <v>1.6558423594752726E-5</v>
      </c>
      <c r="AB55" s="31">
        <f t="shared" si="34"/>
        <v>1.8175201828365975E-5</v>
      </c>
      <c r="AC55" s="31">
        <f t="shared" si="34"/>
        <v>3.6293676918163774E-5</v>
      </c>
      <c r="AD55" s="31">
        <f t="shared" si="34"/>
        <v>5.5822411970537886E-5</v>
      </c>
      <c r="AE55" s="31">
        <f t="shared" si="34"/>
        <v>8.0255216316588431E-5</v>
      </c>
      <c r="AF55" s="31">
        <f t="shared" si="34"/>
        <v>1.35044979902216E-4</v>
      </c>
      <c r="AG55" s="31">
        <f t="shared" si="34"/>
        <v>2.1450705234553409E-4</v>
      </c>
      <c r="AH55" s="31">
        <f t="shared" si="34"/>
        <v>2.8399003934073181E-4</v>
      </c>
      <c r="AI55" s="31">
        <f t="shared" si="34"/>
        <v>3.5714816847385363E-4</v>
      </c>
      <c r="AJ55" s="31">
        <f t="shared" si="34"/>
        <v>2.1230431670608501E-4</v>
      </c>
    </row>
    <row r="56" spans="1:36" x14ac:dyDescent="0.25">
      <c r="E56" s="13" t="s">
        <v>31</v>
      </c>
      <c r="F56" s="32">
        <f>AVERAGE(F55:AJ55)</f>
        <v>5.8379105233873194E-4</v>
      </c>
    </row>
    <row r="57" spans="1:36" x14ac:dyDescent="0.25">
      <c r="A57" s="42"/>
      <c r="B57" s="15"/>
      <c r="C57" s="15"/>
      <c r="D57" s="15"/>
      <c r="F57" s="60">
        <f>AVERAGE(S55:X55)</f>
        <v>1.4487739621316621E-4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20"/>
      <c r="D63" s="120"/>
      <c r="E63" s="120"/>
      <c r="F63" s="120"/>
      <c r="G63" s="120"/>
      <c r="H63" s="120"/>
      <c r="I63" s="120"/>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-8.2939414517803574</v>
      </c>
    </row>
    <row r="119" spans="1:14" x14ac:dyDescent="0.25">
      <c r="L119" s="11">
        <f>L118+1</f>
        <v>2</v>
      </c>
      <c r="M119" s="11">
        <f t="shared" ref="M119:M124" si="35">INDEX($B$125:$K$126,1,L119)</f>
        <v>0</v>
      </c>
      <c r="N119" s="11">
        <f t="shared" ref="N119:N124" si="36">IF(L119=$B$3,0,INDEX($B$125:$K$126,2,L119))</f>
        <v>-4.5727647050286402</v>
      </c>
    </row>
    <row r="120" spans="1:14" x14ac:dyDescent="0.25">
      <c r="L120" s="11">
        <f t="shared" ref="L120:L124" si="37">L119+1</f>
        <v>3</v>
      </c>
      <c r="M120" s="11">
        <f t="shared" si="35"/>
        <v>25</v>
      </c>
      <c r="N120" s="11">
        <f t="shared" si="36"/>
        <v>-2.0775796047571524</v>
      </c>
    </row>
    <row r="121" spans="1:14" x14ac:dyDescent="0.25">
      <c r="A121" s="103">
        <f>(A165+A204+A243+A282+A321+A360+A399)*10^9</f>
        <v>2899487250224204</v>
      </c>
      <c r="L121" s="11">
        <f t="shared" si="37"/>
        <v>4</v>
      </c>
      <c r="M121" s="11">
        <f t="shared" si="35"/>
        <v>50</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2.446530242291018</v>
      </c>
    </row>
    <row r="123" spans="1:14" x14ac:dyDescent="0.25">
      <c r="A123" s="119"/>
      <c r="B123" s="119"/>
      <c r="C123" s="3"/>
      <c r="D123" s="3"/>
      <c r="E123" s="3"/>
      <c r="F123" s="3"/>
      <c r="G123" s="3"/>
      <c r="H123" s="3"/>
      <c r="I123" s="3"/>
      <c r="J123" s="3"/>
      <c r="K123" s="3"/>
      <c r="L123" s="11">
        <f t="shared" si="37"/>
        <v>6</v>
      </c>
      <c r="M123" s="11">
        <f t="shared" si="35"/>
        <v>125</v>
      </c>
      <c r="N123" s="11">
        <f t="shared" si="36"/>
        <v>7.1711458088301363</v>
      </c>
    </row>
    <row r="124" spans="1:14" x14ac:dyDescent="0.25">
      <c r="B124" s="3"/>
      <c r="C124" s="3"/>
      <c r="D124" s="3"/>
      <c r="E124" s="3"/>
      <c r="F124" s="3"/>
      <c r="G124" s="3"/>
      <c r="H124" s="3"/>
      <c r="I124" s="3"/>
      <c r="J124" s="3"/>
      <c r="K124" s="3"/>
      <c r="L124" s="11">
        <f t="shared" si="37"/>
        <v>7</v>
      </c>
      <c r="M124" s="11">
        <f t="shared" si="35"/>
        <v>160</v>
      </c>
      <c r="N124" s="11">
        <f t="shared" si="36"/>
        <v>11.837918255932872</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-8.2939414517803574</v>
      </c>
      <c r="C126" s="107">
        <v>-4.5727647050286402</v>
      </c>
      <c r="D126" s="107">
        <v>-2.0775796047571524</v>
      </c>
      <c r="E126" s="107">
        <v>3.6265604497336041E-3</v>
      </c>
      <c r="F126" s="107">
        <v>2.446530242291018</v>
      </c>
      <c r="G126" s="107">
        <v>7.1711458088301363</v>
      </c>
      <c r="H126" s="107">
        <v>11.837918255932872</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11605.327404987251</v>
      </c>
      <c r="C130" s="26">
        <f>INDEX(Comparison!$AM$3:$AS$33,G14,$B$122)</f>
        <v>11525.315889809444</v>
      </c>
      <c r="D130" s="26">
        <f>INDEX(Comparison!$AM$3:$AS$33,H14,$B$122)</f>
        <v>11262.989267632682</v>
      </c>
      <c r="E130" s="26">
        <f>INDEX(Comparison!$AM$3:$AS$33,I14,$B$122)</f>
        <v>11072.566067439215</v>
      </c>
      <c r="F130" s="26">
        <f>INDEX(Comparison!$AM$3:$AS$33,J14,$B$122)</f>
        <v>10893.827462738938</v>
      </c>
      <c r="G130" s="26">
        <f>INDEX(Comparison!$AM$3:$AS$33,K14,$B$122)</f>
        <v>10697.933159313619</v>
      </c>
      <c r="H130" s="26">
        <f>INDEX(Comparison!$AM$3:$AS$33,L14,$B$122)</f>
        <v>10491.083669953241</v>
      </c>
      <c r="I130" s="26">
        <f>INDEX(Comparison!$AM$3:$AS$33,M14,$B$122)</f>
        <v>10253.530794540358</v>
      </c>
      <c r="J130" s="26">
        <f>INDEX(Comparison!$AM$3:$AS$33,N14,$B$122)</f>
        <v>9990.0957619753135</v>
      </c>
      <c r="K130" s="26">
        <f>INDEX(Comparison!$AM$3:$AS$33,O14,$B$122)</f>
        <v>9721.0109842535821</v>
      </c>
      <c r="L130" s="26">
        <f>INDEX(Comparison!$AM$3:$AS$33,P14,$B$122)</f>
        <v>9457.2689514888043</v>
      </c>
      <c r="M130" s="26">
        <f>INDEX(Comparison!$AM$3:$AS$33,Q14,$B$122)</f>
        <v>9196.9082117763955</v>
      </c>
      <c r="N130" s="26">
        <f>INDEX(Comparison!$AM$3:$AS$33,R14,$B$122)</f>
        <v>8853.3090866661241</v>
      </c>
      <c r="O130" s="26">
        <f>INDEX(Comparison!$AM$3:$AS$33,S14,$B$122)</f>
        <v>8479.914716286281</v>
      </c>
      <c r="P130" s="26">
        <f>INDEX(Comparison!$AM$3:$AS$33,T14,$B$122)</f>
        <v>8128.965640404419</v>
      </c>
      <c r="Q130" s="26">
        <f>INDEX(Comparison!$AM$3:$AS$33,U14,$B$122)</f>
        <v>7846.4940246078413</v>
      </c>
      <c r="R130" s="26">
        <f>INDEX(Comparison!$AM$3:$AS$33,V14,$B$122)</f>
        <v>7554.3574872186746</v>
      </c>
      <c r="S130" s="26">
        <f>INDEX(Comparison!$AM$3:$AS$33,W14,$B$122)</f>
        <v>7271.4639946770558</v>
      </c>
      <c r="T130" s="26">
        <f>INDEX(Comparison!$AM$3:$AS$33,X14,$B$122)</f>
        <v>6968.3337174677063</v>
      </c>
      <c r="U130" s="26">
        <f>INDEX(Comparison!$AM$3:$AS$33,Y14,$B$122)</f>
        <v>6660.7873102364538</v>
      </c>
      <c r="V130" s="26">
        <f>INDEX(Comparison!$AM$3:$AS$33,Z14,$B$122)</f>
        <v>6120.1247453486039</v>
      </c>
      <c r="W130" s="26">
        <f>INDEX(Comparison!$AM$3:$AS$33,AA14,$B$122)</f>
        <v>5179.772775385416</v>
      </c>
      <c r="X130" s="26">
        <f>INDEX(Comparison!$AM$3:$AS$33,AB14,$B$122)</f>
        <v>4110.4480491252179</v>
      </c>
      <c r="Y130" s="26">
        <f>INDEX(Comparison!$AM$3:$AS$33,AC14,$B$122)</f>
        <v>3245.0810486621449</v>
      </c>
      <c r="Z130" s="26">
        <f>INDEX(Comparison!$AM$3:$AS$33,AD14,$B$122)</f>
        <v>2543.9226414929772</v>
      </c>
      <c r="AA130" s="26">
        <f>INDEX(Comparison!$AM$3:$AS$33,AE14,$B$122)</f>
        <v>1944.565914995268</v>
      </c>
      <c r="AB130" s="26">
        <f>INDEX(Comparison!$AM$3:$AS$33,AF14,$B$122)</f>
        <v>1396.8383179282553</v>
      </c>
      <c r="AC130" s="26">
        <f>INDEX(Comparison!$AM$3:$AS$33,AG14,$B$122)</f>
        <v>982.12621210790121</v>
      </c>
      <c r="AD130" s="26">
        <f>INDEX(Comparison!$AM$3:$AS$33,AH14,$B$122)</f>
        <v>689.03519551617785</v>
      </c>
      <c r="AE130" s="26">
        <f>INDEX(Comparison!$AM$3:$AS$33,AI14,$B$122)</f>
        <v>537.03681449352746</v>
      </c>
      <c r="AF130" s="26">
        <f>INDEX(Comparison!$AM$3:$AS$33,AJ14,$B$122)</f>
        <v>452.34025000519932</v>
      </c>
    </row>
    <row r="131" spans="1:33" x14ac:dyDescent="0.25">
      <c r="A131" s="68" t="s">
        <v>22</v>
      </c>
      <c r="B131" s="27">
        <f>($C$17+SUM(B132:B162))*$B$51</f>
        <v>10712.193864333402</v>
      </c>
      <c r="C131" s="27">
        <f t="shared" ref="C131:AF131" si="40">($C$17+SUM(C132:C162))*$B$51</f>
        <v>10712.171488624901</v>
      </c>
      <c r="D131" s="27">
        <f t="shared" si="40"/>
        <v>10711.947799618678</v>
      </c>
      <c r="E131" s="27">
        <f t="shared" si="40"/>
        <v>10709.717693399325</v>
      </c>
      <c r="F131" s="27">
        <f t="shared" si="40"/>
        <v>10688.080816313215</v>
      </c>
      <c r="G131" s="27">
        <f t="shared" si="40"/>
        <v>10525.947830901086</v>
      </c>
      <c r="H131" s="27">
        <f t="shared" si="40"/>
        <v>10253.896870026547</v>
      </c>
      <c r="I131" s="27">
        <f t="shared" si="40"/>
        <v>10057.078879016975</v>
      </c>
      <c r="J131" s="27">
        <f t="shared" si="40"/>
        <v>9799.7962353863459</v>
      </c>
      <c r="K131" s="27">
        <f t="shared" si="40"/>
        <v>9525.76270653557</v>
      </c>
      <c r="L131" s="27">
        <f t="shared" si="40"/>
        <v>9277.0933671289858</v>
      </c>
      <c r="M131" s="27">
        <f t="shared" si="40"/>
        <v>9004.1623811486261</v>
      </c>
      <c r="N131" s="27">
        <f t="shared" si="40"/>
        <v>8692.6331684742181</v>
      </c>
      <c r="O131" s="27">
        <f t="shared" si="40"/>
        <v>8324.6415640862378</v>
      </c>
      <c r="P131" s="27">
        <f t="shared" si="40"/>
        <v>7976.1642860927359</v>
      </c>
      <c r="Q131" s="27">
        <f t="shared" si="40"/>
        <v>7689.7979041748094</v>
      </c>
      <c r="R131" s="27">
        <f t="shared" si="40"/>
        <v>7415.9957552970463</v>
      </c>
      <c r="S131" s="27">
        <f t="shared" si="40"/>
        <v>7128.2625843785409</v>
      </c>
      <c r="T131" s="27">
        <f t="shared" si="40"/>
        <v>6852.0045358342459</v>
      </c>
      <c r="U131" s="27">
        <f t="shared" si="40"/>
        <v>6550.4257757563237</v>
      </c>
      <c r="V131" s="27">
        <f t="shared" si="40"/>
        <v>6127.9642870559092</v>
      </c>
      <c r="W131" s="27">
        <f t="shared" si="40"/>
        <v>5296.5719093812259</v>
      </c>
      <c r="X131" s="27">
        <f t="shared" si="40"/>
        <v>4280.0771631926655</v>
      </c>
      <c r="Y131" s="27">
        <f t="shared" si="40"/>
        <v>3394.876956560197</v>
      </c>
      <c r="Z131" s="27">
        <f t="shared" si="40"/>
        <v>2652.8391906699208</v>
      </c>
      <c r="AA131" s="27">
        <f t="shared" si="40"/>
        <v>2091.8999411074133</v>
      </c>
      <c r="AB131" s="27">
        <f t="shared" si="40"/>
        <v>1438.4935442863371</v>
      </c>
      <c r="AC131" s="27">
        <f t="shared" si="40"/>
        <v>1032.2258467341987</v>
      </c>
      <c r="AD131" s="27">
        <f t="shared" si="40"/>
        <v>707.4107588509861</v>
      </c>
      <c r="AE131" s="27">
        <f t="shared" si="40"/>
        <v>550.71973839757152</v>
      </c>
      <c r="AF131" s="27">
        <f t="shared" si="40"/>
        <v>458.58664286088208</v>
      </c>
    </row>
    <row r="132" spans="1:33" x14ac:dyDescent="0.25">
      <c r="B132" s="3">
        <f t="shared" ref="B132:Z133" si="41">$C18*EXP(-B$129/$A18/EXP(-$B$126))</f>
        <v>8.4236672073051727E-13</v>
      </c>
      <c r="C132" s="3">
        <f t="shared" ref="C132:AF132" si="42">$C18*EXP(-C$129/$A18/EXP(-$B$126))</f>
        <v>1.58004859036981E-110</v>
      </c>
      <c r="D132" s="3">
        <f t="shared" si="42"/>
        <v>0</v>
      </c>
      <c r="E132" s="3">
        <f t="shared" si="42"/>
        <v>0</v>
      </c>
      <c r="F132" s="3">
        <f t="shared" si="42"/>
        <v>0</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3.2502714571724739E-2</v>
      </c>
      <c r="C133" s="3">
        <f t="shared" si="41"/>
        <v>3.250084113714647E-2</v>
      </c>
      <c r="D133" s="3">
        <f t="shared" si="41"/>
        <v>3.248211272942985E-2</v>
      </c>
      <c r="E133" s="3">
        <f t="shared" si="41"/>
        <v>3.2295421194397614E-2</v>
      </c>
      <c r="F133" s="3">
        <f t="shared" si="41"/>
        <v>3.0486515580982254E-2</v>
      </c>
      <c r="G133" s="3">
        <f t="shared" si="41"/>
        <v>1.7130741471538743E-2</v>
      </c>
      <c r="H133" s="3">
        <f t="shared" si="41"/>
        <v>5.3760075548458081E-5</v>
      </c>
      <c r="I133" s="3">
        <f t="shared" si="41"/>
        <v>4.9807754656018721E-30</v>
      </c>
      <c r="J133" s="3">
        <f t="shared" si="41"/>
        <v>2.3209613126850885E-280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1.478342023773409E-2</v>
      </c>
      <c r="C134" s="3">
        <f t="shared" si="44"/>
        <v>1.4783343368633683E-2</v>
      </c>
      <c r="D134" s="3">
        <f t="shared" si="44"/>
        <v>1.47825746996125E-2</v>
      </c>
      <c r="E134" s="3">
        <f t="shared" si="44"/>
        <v>1.4774890207265801E-2</v>
      </c>
      <c r="F134" s="3">
        <f t="shared" si="44"/>
        <v>1.4698264648055232E-2</v>
      </c>
      <c r="G134" s="3">
        <f t="shared" si="44"/>
        <v>1.3953529254931598E-2</v>
      </c>
      <c r="H134" s="3">
        <f t="shared" si="44"/>
        <v>8.295911535614384E-3</v>
      </c>
      <c r="I134" s="3">
        <f t="shared" si="44"/>
        <v>4.5778816647845526E-5</v>
      </c>
      <c r="J134" s="3">
        <f t="shared" si="44"/>
        <v>1.1985856180957584E-27</v>
      </c>
      <c r="K134" s="3">
        <f t="shared" si="44"/>
        <v>1.8143207282740642E-253</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2.184329635106971E-2</v>
      </c>
      <c r="C135" s="3">
        <f t="shared" si="47"/>
        <v>2.1843286105345246E-2</v>
      </c>
      <c r="D135" s="3">
        <f t="shared" si="47"/>
        <v>2.1843183648364944E-2</v>
      </c>
      <c r="E135" s="3">
        <f t="shared" si="47"/>
        <v>2.1842159104993396E-2</v>
      </c>
      <c r="F135" s="3">
        <f t="shared" si="47"/>
        <v>2.1831916313968639E-2</v>
      </c>
      <c r="G135" s="3">
        <f t="shared" si="47"/>
        <v>2.1729752214726498E-2</v>
      </c>
      <c r="H135" s="3">
        <f t="shared" si="47"/>
        <v>2.0734040164695218E-2</v>
      </c>
      <c r="I135" s="3">
        <f t="shared" si="47"/>
        <v>1.2971062431830535E-2</v>
      </c>
      <c r="J135" s="3">
        <f t="shared" si="47"/>
        <v>1.1909449616745042E-4</v>
      </c>
      <c r="K135" s="3">
        <f t="shared" si="47"/>
        <v>5.0705271142455952E-25</v>
      </c>
      <c r="L135" s="3">
        <f t="shared" si="47"/>
        <v>9.9235551797395212E-229</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2.6598405197644049E-2</v>
      </c>
      <c r="C136" s="3">
        <f t="shared" si="49"/>
        <v>2.6598404072192567E-2</v>
      </c>
      <c r="D136" s="3">
        <f t="shared" si="49"/>
        <v>2.6598392817680415E-2</v>
      </c>
      <c r="E136" s="3">
        <f t="shared" si="49"/>
        <v>2.6598280272820778E-2</v>
      </c>
      <c r="F136" s="3">
        <f t="shared" si="49"/>
        <v>2.6597154850415465E-2</v>
      </c>
      <c r="G136" s="3">
        <f t="shared" si="49"/>
        <v>2.6585903245058537E-2</v>
      </c>
      <c r="H136" s="3">
        <f t="shared" si="49"/>
        <v>2.6473648651598038E-2</v>
      </c>
      <c r="I136" s="3">
        <f t="shared" si="49"/>
        <v>2.5376843984938429E-2</v>
      </c>
      <c r="J136" s="3">
        <f t="shared" si="49"/>
        <v>1.6621709918950719E-2</v>
      </c>
      <c r="K136" s="3">
        <f t="shared" si="49"/>
        <v>2.4157755952623384E-4</v>
      </c>
      <c r="L136" s="3">
        <f t="shared" si="49"/>
        <v>1.0159340072307151E-22</v>
      </c>
      <c r="M136" s="3">
        <f t="shared" si="49"/>
        <v>1.7577397852501081E-206</v>
      </c>
      <c r="N136" s="3">
        <f t="shared" si="49"/>
        <v>0</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2.1793095907536416E-2</v>
      </c>
      <c r="C137" s="3">
        <f t="shared" si="51"/>
        <v>2.1793095824353011E-2</v>
      </c>
      <c r="D137" s="3">
        <f t="shared" si="51"/>
        <v>2.1793094992518951E-2</v>
      </c>
      <c r="E137" s="3">
        <f t="shared" si="51"/>
        <v>2.1793086674180111E-2</v>
      </c>
      <c r="F137" s="3">
        <f t="shared" si="51"/>
        <v>2.1793003490966339E-2</v>
      </c>
      <c r="G137" s="3">
        <f t="shared" si="51"/>
        <v>2.1792171676291251E-2</v>
      </c>
      <c r="H137" s="3">
        <f t="shared" si="51"/>
        <v>2.1783855275559642E-2</v>
      </c>
      <c r="I137" s="3">
        <f t="shared" si="51"/>
        <v>2.1700865623834453E-2</v>
      </c>
      <c r="J137" s="3">
        <f t="shared" si="51"/>
        <v>2.0888160921327156E-2</v>
      </c>
      <c r="K137" s="3">
        <f t="shared" si="51"/>
        <v>1.4260398881219783E-2</v>
      </c>
      <c r="L137" s="3">
        <f t="shared" si="51"/>
        <v>3.1365077271344299E-4</v>
      </c>
      <c r="M137" s="3">
        <f t="shared" si="51"/>
        <v>8.309851166282457E-21</v>
      </c>
      <c r="N137" s="3">
        <f t="shared" si="51"/>
        <v>1.4159961792241995E-186</v>
      </c>
      <c r="O137" s="3">
        <f t="shared" si="51"/>
        <v>0</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2.3921660762643578E-2</v>
      </c>
      <c r="C138" s="3">
        <f t="shared" si="53"/>
        <v>2.3921660754406833E-2</v>
      </c>
      <c r="D138" s="3">
        <f t="shared" si="53"/>
        <v>2.3921660672039366E-2</v>
      </c>
      <c r="E138" s="3">
        <f t="shared" si="53"/>
        <v>2.3921659848364744E-2</v>
      </c>
      <c r="F138" s="3">
        <f t="shared" si="53"/>
        <v>2.3921651611620048E-2</v>
      </c>
      <c r="G138" s="3">
        <f t="shared" si="53"/>
        <v>2.3921569244329085E-2</v>
      </c>
      <c r="H138" s="3">
        <f t="shared" si="53"/>
        <v>2.3920745587017726E-2</v>
      </c>
      <c r="I138" s="3">
        <f t="shared" si="53"/>
        <v>2.391251057353307E-2</v>
      </c>
      <c r="J138" s="3">
        <f t="shared" si="53"/>
        <v>2.3830316203066276E-2</v>
      </c>
      <c r="K138" s="3">
        <f t="shared" si="53"/>
        <v>2.3023752308496355E-2</v>
      </c>
      <c r="L138" s="3">
        <f t="shared" si="53"/>
        <v>1.631695435780766E-2</v>
      </c>
      <c r="M138" s="3">
        <f t="shared" si="53"/>
        <v>5.2151768652256611E-4</v>
      </c>
      <c r="N138" s="3">
        <f t="shared" si="53"/>
        <v>5.8018763542219327E-19</v>
      </c>
      <c r="O138" s="3">
        <f t="shared" si="53"/>
        <v>1.6848558337165725E-168</v>
      </c>
      <c r="P138" s="3">
        <f t="shared" si="53"/>
        <v>0</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2.6315529169721338E-2</v>
      </c>
      <c r="C139" s="3">
        <f t="shared" si="55"/>
        <v>2.6315529168903961E-2</v>
      </c>
      <c r="D139" s="3">
        <f t="shared" si="55"/>
        <v>2.6315529160730176E-2</v>
      </c>
      <c r="E139" s="3">
        <f t="shared" si="55"/>
        <v>2.6315529078992355E-2</v>
      </c>
      <c r="F139" s="3">
        <f t="shared" si="55"/>
        <v>2.6315528261614138E-2</v>
      </c>
      <c r="G139" s="3">
        <f t="shared" si="55"/>
        <v>2.6315520087833374E-2</v>
      </c>
      <c r="H139" s="3">
        <f t="shared" si="55"/>
        <v>2.6315438350165372E-2</v>
      </c>
      <c r="I139" s="3">
        <f t="shared" si="55"/>
        <v>2.6314620987448727E-2</v>
      </c>
      <c r="J139" s="3">
        <f t="shared" si="55"/>
        <v>2.6306448756461796E-2</v>
      </c>
      <c r="K139" s="3">
        <f t="shared" si="55"/>
        <v>2.6224865904221854E-2</v>
      </c>
      <c r="L139" s="3">
        <f t="shared" si="55"/>
        <v>2.5422824196616397E-2</v>
      </c>
      <c r="M139" s="3">
        <f t="shared" si="55"/>
        <v>1.8634981880255776E-2</v>
      </c>
      <c r="N139" s="3">
        <f t="shared" si="55"/>
        <v>8.3441245949131639E-4</v>
      </c>
      <c r="O139" s="3">
        <f t="shared" si="55"/>
        <v>2.7033285814513425E-17</v>
      </c>
      <c r="P139" s="3">
        <f t="shared" si="55"/>
        <v>3.4441288705488852E-152</v>
      </c>
      <c r="Q139" s="3">
        <f t="shared" si="55"/>
        <v>0</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3.4157201972404266E-2</v>
      </c>
      <c r="C140" s="3">
        <f t="shared" si="57"/>
        <v>3.4157201972308558E-2</v>
      </c>
      <c r="D140" s="3">
        <f t="shared" si="57"/>
        <v>3.4157201971351497E-2</v>
      </c>
      <c r="E140" s="3">
        <f t="shared" si="57"/>
        <v>3.4157201961780882E-2</v>
      </c>
      <c r="F140" s="3">
        <f t="shared" si="57"/>
        <v>3.4157201866074731E-2</v>
      </c>
      <c r="G140" s="3">
        <f t="shared" si="57"/>
        <v>3.4157200909013266E-2</v>
      </c>
      <c r="H140" s="3">
        <f t="shared" si="57"/>
        <v>3.4157191338400068E-2</v>
      </c>
      <c r="I140" s="3">
        <f t="shared" si="57"/>
        <v>3.4157095632415618E-2</v>
      </c>
      <c r="J140" s="3">
        <f t="shared" si="57"/>
        <v>3.41561385873198E-2</v>
      </c>
      <c r="K140" s="3">
        <f t="shared" si="57"/>
        <v>3.4146569611083297E-2</v>
      </c>
      <c r="L140" s="3">
        <f t="shared" si="57"/>
        <v>3.4051027168110232E-2</v>
      </c>
      <c r="M140" s="3">
        <f t="shared" si="57"/>
        <v>3.311018308730225E-2</v>
      </c>
      <c r="N140" s="3">
        <f t="shared" si="57"/>
        <v>2.5019304509750429E-2</v>
      </c>
      <c r="O140" s="3">
        <f t="shared" si="57"/>
        <v>1.5184893135374124E-3</v>
      </c>
      <c r="P140" s="3">
        <f t="shared" si="57"/>
        <v>1.0298567251365025E-15</v>
      </c>
      <c r="Q140" s="3">
        <f t="shared" si="57"/>
        <v>2.1204474010456413E-137</v>
      </c>
      <c r="R140" s="3">
        <f t="shared" si="57"/>
        <v>0</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3.3563265451216115E-2</v>
      </c>
      <c r="C141" s="3">
        <f t="shared" si="59"/>
        <v>3.3563265451207629E-2</v>
      </c>
      <c r="D141" s="3">
        <f t="shared" si="59"/>
        <v>3.3563265451122801E-2</v>
      </c>
      <c r="E141" s="3">
        <f t="shared" si="59"/>
        <v>3.3563265450274458E-2</v>
      </c>
      <c r="F141" s="3">
        <f t="shared" si="59"/>
        <v>3.3563265441791092E-2</v>
      </c>
      <c r="G141" s="3">
        <f t="shared" si="59"/>
        <v>3.3563265356957403E-2</v>
      </c>
      <c r="H141" s="3">
        <f t="shared" si="59"/>
        <v>3.3563264508620537E-2</v>
      </c>
      <c r="I141" s="3">
        <f t="shared" si="59"/>
        <v>3.3563256025253008E-2</v>
      </c>
      <c r="J141" s="3">
        <f t="shared" si="59"/>
        <v>3.3563171191695676E-2</v>
      </c>
      <c r="K141" s="3">
        <f t="shared" si="59"/>
        <v>3.3562322867915564E-2</v>
      </c>
      <c r="L141" s="3">
        <f t="shared" si="59"/>
        <v>3.3553840809321465E-2</v>
      </c>
      <c r="M141" s="3">
        <f t="shared" si="59"/>
        <v>3.3469138033876453E-2</v>
      </c>
      <c r="N141" s="3">
        <f t="shared" si="59"/>
        <v>3.2633781893239268E-2</v>
      </c>
      <c r="O141" s="3">
        <f t="shared" si="59"/>
        <v>2.5345227639383024E-2</v>
      </c>
      <c r="P141" s="3">
        <f t="shared" si="59"/>
        <v>2.0238768938636719E-3</v>
      </c>
      <c r="Q141" s="3">
        <f t="shared" si="59"/>
        <v>2.1333546163186163E-14</v>
      </c>
      <c r="R141" s="3">
        <f t="shared" si="59"/>
        <v>3.6128726168888039E-124</v>
      </c>
      <c r="S141" s="3">
        <f t="shared" si="59"/>
        <v>0</v>
      </c>
      <c r="T141" s="3">
        <f t="shared" si="59"/>
        <v>0</v>
      </c>
      <c r="U141" s="3">
        <f t="shared" si="59"/>
        <v>0</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2.5958709058904343E-2</v>
      </c>
      <c r="C142" s="3">
        <f t="shared" si="61"/>
        <v>2.5958709058903753E-2</v>
      </c>
      <c r="D142" s="3">
        <f t="shared" si="61"/>
        <v>2.5958709058897831E-2</v>
      </c>
      <c r="E142" s="3">
        <f t="shared" si="61"/>
        <v>2.5958709058838646E-2</v>
      </c>
      <c r="F142" s="3">
        <f t="shared" si="61"/>
        <v>2.5958709058246765E-2</v>
      </c>
      <c r="G142" s="3">
        <f t="shared" si="61"/>
        <v>2.5958709052327961E-2</v>
      </c>
      <c r="H142" s="3">
        <f t="shared" si="61"/>
        <v>2.5958708993139939E-2</v>
      </c>
      <c r="I142" s="3">
        <f t="shared" si="61"/>
        <v>2.5958708401259734E-2</v>
      </c>
      <c r="J142" s="3">
        <f t="shared" si="61"/>
        <v>2.59587024824584E-2</v>
      </c>
      <c r="K142" s="3">
        <f t="shared" si="61"/>
        <v>2.595864329451927E-2</v>
      </c>
      <c r="L142" s="3">
        <f t="shared" si="61"/>
        <v>2.595805142255039E-2</v>
      </c>
      <c r="M142" s="3">
        <f t="shared" si="61"/>
        <v>2.5952133445036961E-2</v>
      </c>
      <c r="N142" s="3">
        <f t="shared" si="61"/>
        <v>2.5893027824865515E-2</v>
      </c>
      <c r="O142" s="3">
        <f t="shared" si="61"/>
        <v>2.5309324939736526E-2</v>
      </c>
      <c r="P142" s="3">
        <f t="shared" si="61"/>
        <v>2.0149199540571608E-2</v>
      </c>
      <c r="Q142" s="3">
        <f t="shared" si="61"/>
        <v>2.0607730163606959E-3</v>
      </c>
      <c r="R142" s="3">
        <f t="shared" si="61"/>
        <v>2.5807965666507927E-13</v>
      </c>
      <c r="S142" s="3">
        <f t="shared" si="61"/>
        <v>2.4490063105890239E-112</v>
      </c>
      <c r="T142" s="3">
        <f t="shared" si="61"/>
        <v>0</v>
      </c>
      <c r="U142" s="3">
        <f t="shared" si="61"/>
        <v>0</v>
      </c>
      <c r="V142" s="3">
        <f t="shared" si="61"/>
        <v>0</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2.4505487924861569E-2</v>
      </c>
      <c r="C143" s="3">
        <f t="shared" si="63"/>
        <v>2.450548792486152E-2</v>
      </c>
      <c r="D143" s="3">
        <f t="shared" si="63"/>
        <v>2.4505487924861014E-2</v>
      </c>
      <c r="E143" s="3">
        <f t="shared" si="63"/>
        <v>2.4505487924855976E-2</v>
      </c>
      <c r="F143" s="3">
        <f t="shared" si="63"/>
        <v>2.4505487924805572E-2</v>
      </c>
      <c r="G143" s="3">
        <f t="shared" si="63"/>
        <v>2.4505487924301537E-2</v>
      </c>
      <c r="H143" s="3">
        <f t="shared" si="63"/>
        <v>2.4505487919261187E-2</v>
      </c>
      <c r="I143" s="3">
        <f t="shared" si="63"/>
        <v>2.450548786885769E-2</v>
      </c>
      <c r="J143" s="3">
        <f t="shared" si="63"/>
        <v>2.4505487364822713E-2</v>
      </c>
      <c r="K143" s="3">
        <f t="shared" si="63"/>
        <v>2.4505482324473547E-2</v>
      </c>
      <c r="L143" s="3">
        <f t="shared" si="63"/>
        <v>2.4505431921038878E-2</v>
      </c>
      <c r="M143" s="3">
        <f t="shared" si="63"/>
        <v>2.4504927892394088E-2</v>
      </c>
      <c r="N143" s="3">
        <f t="shared" si="63"/>
        <v>2.4499888176089394E-2</v>
      </c>
      <c r="O143" s="3">
        <f t="shared" si="63"/>
        <v>2.4449547983999481E-2</v>
      </c>
      <c r="P143" s="3">
        <f t="shared" si="63"/>
        <v>2.3951800039972358E-2</v>
      </c>
      <c r="Q143" s="3">
        <f t="shared" si="63"/>
        <v>1.9498957218717722E-2</v>
      </c>
      <c r="R143" s="3">
        <f t="shared" si="63"/>
        <v>2.4931228396744202E-3</v>
      </c>
      <c r="S143" s="3">
        <f t="shared" si="63"/>
        <v>2.9111634258593654E-12</v>
      </c>
      <c r="T143" s="3">
        <f t="shared" si="63"/>
        <v>1.3718154096685246E-101</v>
      </c>
      <c r="U143" s="3">
        <f t="shared" si="63"/>
        <v>0</v>
      </c>
      <c r="V143" s="3">
        <f t="shared" si="63"/>
        <v>0</v>
      </c>
      <c r="W143" s="3">
        <f t="shared" si="63"/>
        <v>0</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2.7040912958719819E-2</v>
      </c>
      <c r="C144" s="3">
        <f t="shared" si="65"/>
        <v>2.7040912958719812E-2</v>
      </c>
      <c r="D144" s="3">
        <f t="shared" si="65"/>
        <v>2.7040912958719764E-2</v>
      </c>
      <c r="E144" s="3">
        <f t="shared" si="65"/>
        <v>2.7040912958719261E-2</v>
      </c>
      <c r="F144" s="3">
        <f t="shared" si="65"/>
        <v>2.7040912958714244E-2</v>
      </c>
      <c r="G144" s="3">
        <f t="shared" si="65"/>
        <v>2.7040912958664072E-2</v>
      </c>
      <c r="H144" s="3">
        <f t="shared" si="65"/>
        <v>2.7040912958162348E-2</v>
      </c>
      <c r="I144" s="3">
        <f t="shared" si="65"/>
        <v>2.7040912953145105E-2</v>
      </c>
      <c r="J144" s="3">
        <f t="shared" si="65"/>
        <v>2.7040912902972659E-2</v>
      </c>
      <c r="K144" s="3">
        <f t="shared" si="65"/>
        <v>2.7040912401248215E-2</v>
      </c>
      <c r="L144" s="3">
        <f t="shared" si="65"/>
        <v>2.7040907384004293E-2</v>
      </c>
      <c r="M144" s="3">
        <f t="shared" si="65"/>
        <v>2.7040857211616278E-2</v>
      </c>
      <c r="N144" s="3">
        <f t="shared" si="65"/>
        <v>2.7040355492856102E-2</v>
      </c>
      <c r="O144" s="3">
        <f t="shared" si="65"/>
        <v>2.7035338817217553E-2</v>
      </c>
      <c r="P144" s="3">
        <f t="shared" si="65"/>
        <v>2.6985223222022438E-2</v>
      </c>
      <c r="Q144" s="3">
        <f t="shared" si="65"/>
        <v>2.6489148440174127E-2</v>
      </c>
      <c r="R144" s="3">
        <f t="shared" si="65"/>
        <v>2.2003299913873901E-2</v>
      </c>
      <c r="S144" s="3">
        <f t="shared" si="65"/>
        <v>3.441010771369333E-3</v>
      </c>
      <c r="T144" s="3">
        <f t="shared" si="65"/>
        <v>3.0107047580382063E-11</v>
      </c>
      <c r="U144" s="3">
        <f t="shared" si="65"/>
        <v>7.9157038422002504E-92</v>
      </c>
      <c r="V144" s="3">
        <f t="shared" si="65"/>
        <v>0</v>
      </c>
      <c r="W144" s="3">
        <f t="shared" si="65"/>
        <v>0</v>
      </c>
      <c r="X144" s="3">
        <f t="shared" si="65"/>
        <v>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2.4600371351709248E-2</v>
      </c>
      <c r="C145" s="3">
        <f t="shared" si="68"/>
        <v>2.4600371351709248E-2</v>
      </c>
      <c r="D145" s="3">
        <f t="shared" si="68"/>
        <v>2.4600371351709241E-2</v>
      </c>
      <c r="E145" s="3">
        <f t="shared" si="68"/>
        <v>2.4600371351709203E-2</v>
      </c>
      <c r="F145" s="3">
        <f t="shared" si="68"/>
        <v>2.460037135170879E-2</v>
      </c>
      <c r="G145" s="3">
        <f t="shared" si="68"/>
        <v>2.4600371351704672E-2</v>
      </c>
      <c r="H145" s="3">
        <f t="shared" si="68"/>
        <v>2.4600371351663496E-2</v>
      </c>
      <c r="I145" s="3">
        <f t="shared" si="68"/>
        <v>2.4600371351251749E-2</v>
      </c>
      <c r="J145" s="3">
        <f t="shared" si="68"/>
        <v>2.4600371347134262E-2</v>
      </c>
      <c r="K145" s="3">
        <f t="shared" si="68"/>
        <v>2.46003713059594E-2</v>
      </c>
      <c r="L145" s="3">
        <f t="shared" si="68"/>
        <v>2.4600370894210768E-2</v>
      </c>
      <c r="M145" s="3">
        <f t="shared" si="68"/>
        <v>2.4600366776724839E-2</v>
      </c>
      <c r="N145" s="3">
        <f t="shared" si="68"/>
        <v>2.4600325601903419E-2</v>
      </c>
      <c r="O145" s="3">
        <f t="shared" si="68"/>
        <v>2.4599913857479651E-2</v>
      </c>
      <c r="P145" s="3">
        <f t="shared" si="68"/>
        <v>2.4595796792256132E-2</v>
      </c>
      <c r="Q145" s="3">
        <f t="shared" si="68"/>
        <v>2.4554664017979448E-2</v>
      </c>
      <c r="R145" s="3">
        <f t="shared" si="68"/>
        <v>2.4147100718373591E-2</v>
      </c>
      <c r="S145" s="3">
        <f t="shared" si="68"/>
        <v>2.0425606869982918E-2</v>
      </c>
      <c r="T145" s="3">
        <f t="shared" si="68"/>
        <v>3.8306698306591579E-3</v>
      </c>
      <c r="U145" s="3">
        <f t="shared" si="68"/>
        <v>2.0619220654773158E-10</v>
      </c>
      <c r="V145" s="3">
        <f t="shared" si="68"/>
        <v>4.2096645995968956E-83</v>
      </c>
      <c r="W145" s="3">
        <f t="shared" si="68"/>
        <v>0</v>
      </c>
      <c r="X145" s="3">
        <f t="shared" si="68"/>
        <v>0</v>
      </c>
      <c r="Y145" s="3">
        <f t="shared" si="68"/>
        <v>0</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2.6294191463797297E-2</v>
      </c>
      <c r="C146" s="3">
        <f t="shared" si="70"/>
        <v>2.6294191463797297E-2</v>
      </c>
      <c r="D146" s="3">
        <f t="shared" si="70"/>
        <v>2.6294191463797297E-2</v>
      </c>
      <c r="E146" s="3">
        <f t="shared" si="70"/>
        <v>2.629419146379729E-2</v>
      </c>
      <c r="F146" s="3">
        <f t="shared" si="70"/>
        <v>2.6294191463797252E-2</v>
      </c>
      <c r="G146" s="3">
        <f t="shared" si="70"/>
        <v>2.6294191463796857E-2</v>
      </c>
      <c r="H146" s="3">
        <f t="shared" si="70"/>
        <v>2.6294191463792888E-2</v>
      </c>
      <c r="I146" s="3">
        <f t="shared" si="70"/>
        <v>2.6294191463753183E-2</v>
      </c>
      <c r="J146" s="3">
        <f t="shared" si="70"/>
        <v>2.6294191463356178E-2</v>
      </c>
      <c r="K146" s="3">
        <f t="shared" si="70"/>
        <v>2.6294191459386121E-2</v>
      </c>
      <c r="L146" s="3">
        <f t="shared" si="70"/>
        <v>2.6294191419685534E-2</v>
      </c>
      <c r="M146" s="3">
        <f t="shared" si="70"/>
        <v>2.6294191022679679E-2</v>
      </c>
      <c r="N146" s="3">
        <f t="shared" si="70"/>
        <v>2.6294187052621442E-2</v>
      </c>
      <c r="O146" s="3">
        <f t="shared" si="70"/>
        <v>2.6294147352072066E-2</v>
      </c>
      <c r="P146" s="3">
        <f t="shared" si="70"/>
        <v>2.6293750349875078E-2</v>
      </c>
      <c r="Q146" s="3">
        <f t="shared" si="70"/>
        <v>2.6289780657567874E-2</v>
      </c>
      <c r="R146" s="3">
        <f t="shared" si="70"/>
        <v>2.6250116682351721E-2</v>
      </c>
      <c r="S146" s="3">
        <f t="shared" si="70"/>
        <v>2.5856753383605283E-2</v>
      </c>
      <c r="T146" s="3">
        <f t="shared" si="70"/>
        <v>2.2233177933538389E-2</v>
      </c>
      <c r="U146" s="3">
        <f t="shared" si="70"/>
        <v>4.912211394299191E-3</v>
      </c>
      <c r="V146" s="3">
        <f t="shared" si="70"/>
        <v>1.361545292269308E-9</v>
      </c>
      <c r="W146" s="3">
        <f t="shared" si="70"/>
        <v>3.6440350032819661E-75</v>
      </c>
      <c r="X146" s="3">
        <f t="shared" si="70"/>
        <v>0</v>
      </c>
      <c r="Y146" s="3">
        <f t="shared" si="70"/>
        <v>0</v>
      </c>
      <c r="Z146" s="3">
        <f t="shared" si="70"/>
        <v>0</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3.2623262585065489E-2</v>
      </c>
      <c r="C147" s="3">
        <f t="shared" si="72"/>
        <v>3.2623262585065489E-2</v>
      </c>
      <c r="D147" s="3">
        <f t="shared" si="72"/>
        <v>3.2623262585065489E-2</v>
      </c>
      <c r="E147" s="3">
        <f t="shared" si="72"/>
        <v>3.2623262585065489E-2</v>
      </c>
      <c r="F147" s="3">
        <f t="shared" si="72"/>
        <v>3.2623262585065482E-2</v>
      </c>
      <c r="G147" s="3">
        <f t="shared" si="72"/>
        <v>3.2623262585065441E-2</v>
      </c>
      <c r="H147" s="3">
        <f t="shared" si="72"/>
        <v>3.2623262585064997E-2</v>
      </c>
      <c r="I147" s="3">
        <f t="shared" si="72"/>
        <v>3.2623262585060556E-2</v>
      </c>
      <c r="J147" s="3">
        <f t="shared" si="72"/>
        <v>3.2623262585016119E-2</v>
      </c>
      <c r="K147" s="3">
        <f t="shared" si="72"/>
        <v>3.262326258457178E-2</v>
      </c>
      <c r="L147" s="3">
        <f t="shared" si="72"/>
        <v>3.2623262580128425E-2</v>
      </c>
      <c r="M147" s="3">
        <f t="shared" si="72"/>
        <v>3.2623262535694871E-2</v>
      </c>
      <c r="N147" s="3">
        <f t="shared" si="72"/>
        <v>3.2623262091359302E-2</v>
      </c>
      <c r="O147" s="3">
        <f t="shared" si="72"/>
        <v>3.2623257648003993E-2</v>
      </c>
      <c r="P147" s="3">
        <f t="shared" si="72"/>
        <v>3.2623213214484158E-2</v>
      </c>
      <c r="Q147" s="3">
        <f t="shared" si="72"/>
        <v>3.2622768882614353E-2</v>
      </c>
      <c r="R147" s="3">
        <f t="shared" si="72"/>
        <v>3.2618325896754459E-2</v>
      </c>
      <c r="S147" s="3">
        <f t="shared" si="72"/>
        <v>3.2573929305206341E-2</v>
      </c>
      <c r="T147" s="3">
        <f t="shared" si="72"/>
        <v>3.2133273390854943E-2</v>
      </c>
      <c r="U147" s="3">
        <f t="shared" si="72"/>
        <v>2.804162417590958E-2</v>
      </c>
      <c r="V147" s="3">
        <f t="shared" si="72"/>
        <v>7.1826568475348278E-3</v>
      </c>
      <c r="W147" s="3">
        <f t="shared" si="72"/>
        <v>8.7318176692773323E-9</v>
      </c>
      <c r="X147" s="3">
        <f t="shared" si="72"/>
        <v>6.1560205304793727E-68</v>
      </c>
      <c r="Y147" s="3">
        <f t="shared" si="72"/>
        <v>0</v>
      </c>
      <c r="Z147" s="3">
        <f t="shared" si="72"/>
        <v>0</v>
      </c>
      <c r="AA147" s="3">
        <f t="shared" ref="AA147" si="73">$C33*EXP(-AA$129/$A33/EXP(-$B$126))</f>
        <v>0</v>
      </c>
      <c r="AB147" s="3">
        <f t="shared" si="67"/>
        <v>0</v>
      </c>
      <c r="AC147" s="3">
        <f t="shared" si="67"/>
        <v>0</v>
      </c>
      <c r="AD147" s="3">
        <f t="shared" si="67"/>
        <v>0</v>
      </c>
      <c r="AE147" s="3">
        <f t="shared" si="67"/>
        <v>0</v>
      </c>
      <c r="AF147" s="3">
        <f t="shared" si="67"/>
        <v>0</v>
      </c>
    </row>
    <row r="148" spans="1:32" x14ac:dyDescent="0.25">
      <c r="B148" s="3">
        <f t="shared" ref="B148:Z148" si="74">$C34*EXP(-B$129/$A34/EXP(-$B$126))</f>
        <v>8.8496332073838405E-2</v>
      </c>
      <c r="C148" s="3">
        <f t="shared" si="74"/>
        <v>8.8496332073838405E-2</v>
      </c>
      <c r="D148" s="3">
        <f t="shared" si="74"/>
        <v>8.8496332073838405E-2</v>
      </c>
      <c r="E148" s="3">
        <f t="shared" si="74"/>
        <v>8.8496332073838405E-2</v>
      </c>
      <c r="F148" s="3">
        <f t="shared" si="74"/>
        <v>8.8496332073838405E-2</v>
      </c>
      <c r="G148" s="3">
        <f t="shared" si="74"/>
        <v>8.8496332073838391E-2</v>
      </c>
      <c r="H148" s="3">
        <f t="shared" si="74"/>
        <v>8.8496332073838294E-2</v>
      </c>
      <c r="I148" s="3">
        <f t="shared" si="74"/>
        <v>8.8496332073837197E-2</v>
      </c>
      <c r="J148" s="3">
        <f t="shared" si="74"/>
        <v>8.8496332073826317E-2</v>
      </c>
      <c r="K148" s="3">
        <f t="shared" si="74"/>
        <v>8.8496332073717598E-2</v>
      </c>
      <c r="L148" s="3">
        <f t="shared" si="74"/>
        <v>8.8496332072630274E-2</v>
      </c>
      <c r="M148" s="3">
        <f t="shared" si="74"/>
        <v>8.8496332061757124E-2</v>
      </c>
      <c r="N148" s="3">
        <f t="shared" si="74"/>
        <v>8.8496331953025587E-2</v>
      </c>
      <c r="O148" s="3">
        <f t="shared" si="74"/>
        <v>8.8496330865710154E-2</v>
      </c>
      <c r="P148" s="3">
        <f t="shared" si="74"/>
        <v>8.8496319992556735E-2</v>
      </c>
      <c r="Q148" s="3">
        <f t="shared" si="74"/>
        <v>8.84962112610959E-2</v>
      </c>
      <c r="R148" s="3">
        <f t="shared" si="74"/>
        <v>8.8495123953835214E-2</v>
      </c>
      <c r="S148" s="3">
        <f t="shared" si="74"/>
        <v>8.8484251615956397E-2</v>
      </c>
      <c r="T148" s="3">
        <f t="shared" si="74"/>
        <v>8.8375601676576349E-2</v>
      </c>
      <c r="U148" s="3">
        <f t="shared" si="74"/>
        <v>8.7296412947285892E-2</v>
      </c>
      <c r="V148" s="3">
        <f t="shared" si="74"/>
        <v>7.7203421886631735E-2</v>
      </c>
      <c r="W148" s="3">
        <f t="shared" si="74"/>
        <v>2.2596338030327175E-2</v>
      </c>
      <c r="X148" s="3">
        <f t="shared" si="74"/>
        <v>1.0424451005395679E-7</v>
      </c>
      <c r="Y148" s="3">
        <f t="shared" si="74"/>
        <v>4.5520234229512346E-61</v>
      </c>
      <c r="Z148" s="3">
        <f t="shared" si="74"/>
        <v>0</v>
      </c>
      <c r="AA148" s="3">
        <f>$C34*EXP(-AA$129/$A34/EXP(-$B$126))</f>
        <v>0</v>
      </c>
      <c r="AB148" s="3">
        <f t="shared" si="67"/>
        <v>0</v>
      </c>
      <c r="AC148" s="3">
        <f t="shared" si="67"/>
        <v>0</v>
      </c>
      <c r="AD148" s="3">
        <f t="shared" si="67"/>
        <v>0</v>
      </c>
      <c r="AE148" s="3">
        <f t="shared" si="67"/>
        <v>0</v>
      </c>
      <c r="AF148" s="3">
        <f t="shared" si="67"/>
        <v>0</v>
      </c>
    </row>
    <row r="149" spans="1:32" x14ac:dyDescent="0.25">
      <c r="B149" s="3">
        <f t="shared" ref="B149:Z149" si="75">$C35*EXP(-B$129/$A35/EXP(-$B$126))</f>
        <v>9.9309249865316016E-2</v>
      </c>
      <c r="C149" s="3">
        <f t="shared" si="75"/>
        <v>9.9309249865316016E-2</v>
      </c>
      <c r="D149" s="3">
        <f t="shared" si="75"/>
        <v>9.9309249865316016E-2</v>
      </c>
      <c r="E149" s="3">
        <f t="shared" si="75"/>
        <v>9.9309249865316016E-2</v>
      </c>
      <c r="F149" s="3">
        <f t="shared" si="75"/>
        <v>9.9309249865316016E-2</v>
      </c>
      <c r="G149" s="3">
        <f t="shared" si="75"/>
        <v>9.9309249865316016E-2</v>
      </c>
      <c r="H149" s="3">
        <f t="shared" si="75"/>
        <v>9.9309249865316002E-2</v>
      </c>
      <c r="I149" s="3">
        <f t="shared" si="75"/>
        <v>9.9309249865315891E-2</v>
      </c>
      <c r="J149" s="3">
        <f t="shared" si="75"/>
        <v>9.9309249865314794E-2</v>
      </c>
      <c r="K149" s="3">
        <f t="shared" si="75"/>
        <v>9.9309249865303789E-2</v>
      </c>
      <c r="L149" s="3">
        <f t="shared" si="75"/>
        <v>9.9309249865193724E-2</v>
      </c>
      <c r="M149" s="3">
        <f t="shared" si="75"/>
        <v>9.9309249864093022E-2</v>
      </c>
      <c r="N149" s="3">
        <f t="shared" si="75"/>
        <v>9.930924985308609E-2</v>
      </c>
      <c r="O149" s="3">
        <f t="shared" si="75"/>
        <v>9.9309249743016692E-2</v>
      </c>
      <c r="P149" s="3">
        <f t="shared" si="75"/>
        <v>9.9309248642322767E-2</v>
      </c>
      <c r="Q149" s="3">
        <f t="shared" si="75"/>
        <v>9.930923763538424E-2</v>
      </c>
      <c r="R149" s="3">
        <f t="shared" si="75"/>
        <v>9.9309127566066011E-2</v>
      </c>
      <c r="S149" s="3">
        <f t="shared" si="75"/>
        <v>9.9308026879593489E-2</v>
      </c>
      <c r="T149" s="3">
        <f t="shared" si="75"/>
        <v>9.9297020685812351E-2</v>
      </c>
      <c r="U149" s="3">
        <f t="shared" si="75"/>
        <v>9.9187025814904656E-2</v>
      </c>
      <c r="V149" s="3">
        <f t="shared" si="75"/>
        <v>9.8093756374129412E-2</v>
      </c>
      <c r="W149" s="3">
        <f t="shared" si="75"/>
        <v>8.7802391071699765E-2</v>
      </c>
      <c r="X149" s="3">
        <f t="shared" si="75"/>
        <v>2.8983852876127862E-2</v>
      </c>
      <c r="Y149" s="3">
        <f t="shared" si="75"/>
        <v>4.4530118640156536E-7</v>
      </c>
      <c r="Z149" s="3">
        <f t="shared" si="75"/>
        <v>3.2631062046665249E-55</v>
      </c>
      <c r="AA149" s="3">
        <f t="shared" ref="AA149" si="76">$C35*EXP(-AA$129/$A35/EXP(-$B$126))</f>
        <v>0</v>
      </c>
      <c r="AB149" s="3">
        <f t="shared" si="67"/>
        <v>0</v>
      </c>
      <c r="AC149" s="3">
        <f t="shared" si="67"/>
        <v>0</v>
      </c>
      <c r="AD149" s="3">
        <f t="shared" si="67"/>
        <v>0</v>
      </c>
      <c r="AE149" s="3">
        <f t="shared" si="67"/>
        <v>0</v>
      </c>
      <c r="AF149" s="3">
        <f t="shared" si="67"/>
        <v>0</v>
      </c>
    </row>
    <row r="150" spans="1:32" x14ac:dyDescent="0.25">
      <c r="B150" s="3">
        <f t="shared" ref="B150:Z150" si="77">$C36*EXP(-B$129/$A36/EXP(-$B$126))</f>
        <v>7.4938076557470937E-2</v>
      </c>
      <c r="C150" s="3">
        <f t="shared" si="77"/>
        <v>7.4938076557470937E-2</v>
      </c>
      <c r="D150" s="3">
        <f t="shared" si="77"/>
        <v>7.4938076557470937E-2</v>
      </c>
      <c r="E150" s="3">
        <f t="shared" si="77"/>
        <v>7.4938076557470937E-2</v>
      </c>
      <c r="F150" s="3">
        <f t="shared" si="77"/>
        <v>7.4938076557470937E-2</v>
      </c>
      <c r="G150" s="3">
        <f t="shared" si="77"/>
        <v>7.4938076557470937E-2</v>
      </c>
      <c r="H150" s="3">
        <f t="shared" si="77"/>
        <v>7.4938076557470937E-2</v>
      </c>
      <c r="I150" s="3">
        <f t="shared" si="77"/>
        <v>7.4938076557470923E-2</v>
      </c>
      <c r="J150" s="3">
        <f t="shared" si="77"/>
        <v>7.4938076557470854E-2</v>
      </c>
      <c r="K150" s="3">
        <f t="shared" si="77"/>
        <v>7.4938076557470104E-2</v>
      </c>
      <c r="L150" s="3">
        <f t="shared" si="77"/>
        <v>7.493807655746261E-2</v>
      </c>
      <c r="M150" s="3">
        <f t="shared" si="77"/>
        <v>7.4938076557387684E-2</v>
      </c>
      <c r="N150" s="3">
        <f t="shared" si="77"/>
        <v>7.4938076556638436E-2</v>
      </c>
      <c r="O150" s="3">
        <f t="shared" si="77"/>
        <v>7.4938076549145943E-2</v>
      </c>
      <c r="P150" s="3">
        <f t="shared" si="77"/>
        <v>7.4938076474221071E-2</v>
      </c>
      <c r="Q150" s="3">
        <f t="shared" si="77"/>
        <v>7.4938075724972381E-2</v>
      </c>
      <c r="R150" s="3">
        <f t="shared" si="77"/>
        <v>7.4938068232485777E-2</v>
      </c>
      <c r="S150" s="3">
        <f t="shared" si="77"/>
        <v>7.4937993307660891E-2</v>
      </c>
      <c r="T150" s="3">
        <f t="shared" si="77"/>
        <v>7.4937244063532235E-2</v>
      </c>
      <c r="U150" s="3">
        <f t="shared" si="77"/>
        <v>7.4929752034242861E-2</v>
      </c>
      <c r="V150" s="3">
        <f t="shared" si="77"/>
        <v>7.4854872925835467E-2</v>
      </c>
      <c r="W150" s="3">
        <f t="shared" si="77"/>
        <v>7.4110185095475151E-2</v>
      </c>
      <c r="X150" s="3">
        <f t="shared" si="77"/>
        <v>6.7058850260505093E-2</v>
      </c>
      <c r="Y150" s="3">
        <f t="shared" si="77"/>
        <v>2.4673920117197878E-2</v>
      </c>
      <c r="Z150" s="3">
        <f t="shared" si="77"/>
        <v>1.1221700335859222E-6</v>
      </c>
      <c r="AA150" s="3">
        <f t="shared" ref="AA150" si="78">$C36*EXP(-AA$129/$A36/EXP(-$B$126))</f>
        <v>4.248775605122429E-50</v>
      </c>
      <c r="AB150" s="3">
        <f t="shared" si="67"/>
        <v>0</v>
      </c>
      <c r="AC150" s="3">
        <f t="shared" si="67"/>
        <v>0</v>
      </c>
      <c r="AD150" s="3">
        <f t="shared" si="67"/>
        <v>0</v>
      </c>
      <c r="AE150" s="3">
        <f t="shared" si="67"/>
        <v>0</v>
      </c>
      <c r="AF150" s="3">
        <f t="shared" si="67"/>
        <v>0</v>
      </c>
    </row>
    <row r="151" spans="1:32" x14ac:dyDescent="0.25">
      <c r="B151" s="3">
        <f t="shared" ref="B151:Z151" si="79">$C37*EXP(-B$129/$A37/EXP(-$B$126))</f>
        <v>6.9322857874701022E-2</v>
      </c>
      <c r="C151" s="3">
        <f t="shared" si="79"/>
        <v>6.9322857874701022E-2</v>
      </c>
      <c r="D151" s="3">
        <f t="shared" si="79"/>
        <v>6.9322857874701022E-2</v>
      </c>
      <c r="E151" s="3">
        <f t="shared" si="79"/>
        <v>6.9322857874701022E-2</v>
      </c>
      <c r="F151" s="3">
        <f t="shared" si="79"/>
        <v>6.9322857874701022E-2</v>
      </c>
      <c r="G151" s="3">
        <f t="shared" si="79"/>
        <v>6.9322857874701022E-2</v>
      </c>
      <c r="H151" s="3">
        <f t="shared" si="79"/>
        <v>6.9322857874701022E-2</v>
      </c>
      <c r="I151" s="3">
        <f t="shared" si="79"/>
        <v>6.9322857874701022E-2</v>
      </c>
      <c r="J151" s="3">
        <f t="shared" si="79"/>
        <v>6.9322857874701008E-2</v>
      </c>
      <c r="K151" s="3">
        <f t="shared" si="79"/>
        <v>6.9322857874700952E-2</v>
      </c>
      <c r="L151" s="3">
        <f t="shared" si="79"/>
        <v>6.9322857874700328E-2</v>
      </c>
      <c r="M151" s="3">
        <f t="shared" si="79"/>
        <v>6.9322857874694069E-2</v>
      </c>
      <c r="N151" s="3">
        <f t="shared" si="79"/>
        <v>6.9322857874631549E-2</v>
      </c>
      <c r="O151" s="3">
        <f t="shared" si="79"/>
        <v>6.9322857874006313E-2</v>
      </c>
      <c r="P151" s="3">
        <f t="shared" si="79"/>
        <v>6.9322857867753912E-2</v>
      </c>
      <c r="Q151" s="3">
        <f t="shared" si="79"/>
        <v>6.9322857805229954E-2</v>
      </c>
      <c r="R151" s="3">
        <f t="shared" si="79"/>
        <v>6.9322857179990302E-2</v>
      </c>
      <c r="S151" s="3">
        <f t="shared" si="79"/>
        <v>6.9322850927594173E-2</v>
      </c>
      <c r="T151" s="3">
        <f t="shared" si="79"/>
        <v>6.9322788403663904E-2</v>
      </c>
      <c r="U151" s="3">
        <f t="shared" si="79"/>
        <v>6.932216316746273E-2</v>
      </c>
      <c r="V151" s="3">
        <f t="shared" si="79"/>
        <v>6.931591111559475E-2</v>
      </c>
      <c r="W151" s="3">
        <f t="shared" si="79"/>
        <v>6.925342160095066E-2</v>
      </c>
      <c r="X151" s="3">
        <f t="shared" si="79"/>
        <v>6.8631616536576665E-2</v>
      </c>
      <c r="Y151" s="3">
        <f t="shared" si="79"/>
        <v>6.2712506201758056E-2</v>
      </c>
      <c r="Z151" s="3">
        <f t="shared" si="79"/>
        <v>2.544798755905562E-2</v>
      </c>
      <c r="AA151" s="3">
        <f t="shared" ref="AA151" si="80">$C37*EXP(-AA$129/$A37/EXP(-$B$126))</f>
        <v>3.0806780326391778E-6</v>
      </c>
      <c r="AB151" s="3">
        <f t="shared" si="67"/>
        <v>2.0824519607581232E-45</v>
      </c>
      <c r="AC151" s="3">
        <f t="shared" si="67"/>
        <v>0</v>
      </c>
      <c r="AD151" s="3">
        <f t="shared" si="67"/>
        <v>0</v>
      </c>
      <c r="AE151" s="3">
        <f t="shared" si="67"/>
        <v>0</v>
      </c>
      <c r="AF151" s="3">
        <f t="shared" si="67"/>
        <v>0</v>
      </c>
    </row>
    <row r="152" spans="1:32" x14ac:dyDescent="0.25">
      <c r="B152" s="3">
        <f t="shared" ref="B152:Z152" si="81">$C38*EXP(-B$129/$A38/EXP(-$B$126))</f>
        <v>2.2465875921068256E-2</v>
      </c>
      <c r="C152" s="3">
        <f t="shared" si="81"/>
        <v>2.2465875921068256E-2</v>
      </c>
      <c r="D152" s="3">
        <f t="shared" si="81"/>
        <v>2.2465875921068256E-2</v>
      </c>
      <c r="E152" s="3">
        <f t="shared" si="81"/>
        <v>2.2465875921068256E-2</v>
      </c>
      <c r="F152" s="3">
        <f t="shared" si="81"/>
        <v>2.2465875921068256E-2</v>
      </c>
      <c r="G152" s="3">
        <f t="shared" si="81"/>
        <v>2.2465875921068256E-2</v>
      </c>
      <c r="H152" s="3">
        <f t="shared" si="81"/>
        <v>2.2465875921068256E-2</v>
      </c>
      <c r="I152" s="3">
        <f t="shared" si="81"/>
        <v>2.2465875921068256E-2</v>
      </c>
      <c r="J152" s="3">
        <f t="shared" si="81"/>
        <v>2.2465875921068256E-2</v>
      </c>
      <c r="K152" s="3">
        <f t="shared" si="81"/>
        <v>2.2465875921068253E-2</v>
      </c>
      <c r="L152" s="3">
        <f t="shared" si="81"/>
        <v>2.2465875921068235E-2</v>
      </c>
      <c r="M152" s="3">
        <f t="shared" si="81"/>
        <v>2.2465875921068055E-2</v>
      </c>
      <c r="N152" s="3">
        <f t="shared" si="81"/>
        <v>2.2465875921066226E-2</v>
      </c>
      <c r="O152" s="3">
        <f t="shared" si="81"/>
        <v>2.2465875921047946E-2</v>
      </c>
      <c r="P152" s="3">
        <f t="shared" si="81"/>
        <v>2.2465875920865162E-2</v>
      </c>
      <c r="Q152" s="3">
        <f t="shared" si="81"/>
        <v>2.2465875919037315E-2</v>
      </c>
      <c r="R152" s="3">
        <f t="shared" si="81"/>
        <v>2.2465875900758839E-2</v>
      </c>
      <c r="S152" s="3">
        <f t="shared" si="81"/>
        <v>2.2465875717974072E-2</v>
      </c>
      <c r="T152" s="3">
        <f t="shared" si="81"/>
        <v>2.2465873890126498E-2</v>
      </c>
      <c r="U152" s="3">
        <f t="shared" si="81"/>
        <v>2.2465855611658953E-2</v>
      </c>
      <c r="V152" s="3">
        <f t="shared" si="81"/>
        <v>2.2465672827801441E-2</v>
      </c>
      <c r="W152" s="3">
        <f t="shared" si="81"/>
        <v>2.2463845071017171E-2</v>
      </c>
      <c r="X152" s="3">
        <f t="shared" si="81"/>
        <v>2.2445575679799337E-2</v>
      </c>
      <c r="Y152" s="3">
        <f t="shared" si="81"/>
        <v>2.2263696973997708E-2</v>
      </c>
      <c r="Z152" s="3">
        <f t="shared" si="81"/>
        <v>2.0524028985157122E-2</v>
      </c>
      <c r="AA152" s="3">
        <f t="shared" ref="AA152" si="82">$C38*EXP(-AA$129/$A38/EXP(-$B$126))</f>
        <v>9.0973727514119893E-3</v>
      </c>
      <c r="AB152" s="3">
        <f t="shared" si="67"/>
        <v>2.6634815512754374E-6</v>
      </c>
      <c r="AC152" s="3">
        <f t="shared" si="67"/>
        <v>1.2324994273874982E-41</v>
      </c>
      <c r="AD152" s="3">
        <f t="shared" si="67"/>
        <v>0</v>
      </c>
      <c r="AE152" s="3">
        <f t="shared" si="67"/>
        <v>0</v>
      </c>
      <c r="AF152" s="3">
        <f t="shared" si="67"/>
        <v>0</v>
      </c>
    </row>
    <row r="153" spans="1:32" x14ac:dyDescent="0.25">
      <c r="B153" s="3">
        <f t="shared" ref="B153:Z153" si="83">$C39*EXP(-B$129/$A39/EXP(-$B$126))</f>
        <v>5.8329528880761261E-2</v>
      </c>
      <c r="C153" s="3">
        <f t="shared" si="83"/>
        <v>5.8329528880761261E-2</v>
      </c>
      <c r="D153" s="3">
        <f t="shared" si="83"/>
        <v>5.8329528880761261E-2</v>
      </c>
      <c r="E153" s="3">
        <f t="shared" si="83"/>
        <v>5.8329528880761261E-2</v>
      </c>
      <c r="F153" s="3">
        <f t="shared" si="83"/>
        <v>5.8329528880761261E-2</v>
      </c>
      <c r="G153" s="3">
        <f t="shared" si="83"/>
        <v>5.8329528880761261E-2</v>
      </c>
      <c r="H153" s="3">
        <f t="shared" si="83"/>
        <v>5.8329528880761261E-2</v>
      </c>
      <c r="I153" s="3">
        <f t="shared" si="83"/>
        <v>5.8329528880761261E-2</v>
      </c>
      <c r="J153" s="3">
        <f t="shared" si="83"/>
        <v>5.8329528880761261E-2</v>
      </c>
      <c r="K153" s="3">
        <f t="shared" si="83"/>
        <v>5.8329528880761261E-2</v>
      </c>
      <c r="L153" s="3">
        <f t="shared" si="83"/>
        <v>5.8329528880761247E-2</v>
      </c>
      <c r="M153" s="3">
        <f t="shared" si="83"/>
        <v>5.8329528880761115E-2</v>
      </c>
      <c r="N153" s="3">
        <f t="shared" si="83"/>
        <v>5.8329528880759804E-2</v>
      </c>
      <c r="O153" s="3">
        <f t="shared" si="83"/>
        <v>5.8329528880746676E-2</v>
      </c>
      <c r="P153" s="3">
        <f t="shared" si="83"/>
        <v>5.8329528880615426E-2</v>
      </c>
      <c r="Q153" s="3">
        <f t="shared" si="83"/>
        <v>5.8329528879302865E-2</v>
      </c>
      <c r="R153" s="3">
        <f t="shared" si="83"/>
        <v>5.8329528866177302E-2</v>
      </c>
      <c r="S153" s="3">
        <f t="shared" si="83"/>
        <v>5.8329528734921664E-2</v>
      </c>
      <c r="T153" s="3">
        <f t="shared" si="83"/>
        <v>5.8329527422365281E-2</v>
      </c>
      <c r="U153" s="3">
        <f t="shared" si="83"/>
        <v>5.8329514296803137E-2</v>
      </c>
      <c r="V153" s="3">
        <f t="shared" si="83"/>
        <v>5.8329383041344086E-2</v>
      </c>
      <c r="W153" s="3">
        <f t="shared" si="83"/>
        <v>5.8328070502998132E-2</v>
      </c>
      <c r="X153" s="3">
        <f t="shared" si="83"/>
        <v>5.8314946743852562E-2</v>
      </c>
      <c r="Y153" s="3">
        <f t="shared" si="83"/>
        <v>5.8183871448640248E-2</v>
      </c>
      <c r="Z153" s="3">
        <f t="shared" si="83"/>
        <v>5.6889213804103486E-2</v>
      </c>
      <c r="AA153" s="3">
        <f t="shared" ref="AA153" si="84">$C39*EXP(-AA$129/$A39/EXP(-$B$126))</f>
        <v>4.542585404871357E-2</v>
      </c>
      <c r="AB153" s="3">
        <f t="shared" si="67"/>
        <v>4.7866843943781085E-3</v>
      </c>
      <c r="AC153" s="3">
        <f t="shared" si="67"/>
        <v>8.0788904254965638E-13</v>
      </c>
      <c r="AD153" s="3">
        <f t="shared" si="67"/>
        <v>1.5153779362849875E-110</v>
      </c>
      <c r="AE153" s="3">
        <f t="shared" si="67"/>
        <v>0</v>
      </c>
      <c r="AF153" s="3">
        <f t="shared" si="67"/>
        <v>0</v>
      </c>
    </row>
    <row r="154" spans="1:32" x14ac:dyDescent="0.25">
      <c r="B154" s="3">
        <f t="shared" ref="B154:Z154" si="85">$C40*EXP(-B$129/$A40/EXP(-$B$126))</f>
        <v>3.4551716494444183E-2</v>
      </c>
      <c r="C154" s="3">
        <f t="shared" si="85"/>
        <v>3.4551716494444183E-2</v>
      </c>
      <c r="D154" s="3">
        <f t="shared" si="85"/>
        <v>3.4551716494444183E-2</v>
      </c>
      <c r="E154" s="3">
        <f t="shared" si="85"/>
        <v>3.4551716494444183E-2</v>
      </c>
      <c r="F154" s="3">
        <f t="shared" si="85"/>
        <v>3.4551716494444183E-2</v>
      </c>
      <c r="G154" s="3">
        <f t="shared" si="85"/>
        <v>3.4551716494444183E-2</v>
      </c>
      <c r="H154" s="3">
        <f t="shared" si="85"/>
        <v>3.4551716494444183E-2</v>
      </c>
      <c r="I154" s="3">
        <f t="shared" si="85"/>
        <v>3.4551716494444183E-2</v>
      </c>
      <c r="J154" s="3">
        <f t="shared" si="85"/>
        <v>3.4551716494444183E-2</v>
      </c>
      <c r="K154" s="3">
        <f t="shared" si="85"/>
        <v>3.4551716494444183E-2</v>
      </c>
      <c r="L154" s="3">
        <f t="shared" si="85"/>
        <v>3.4551716494444183E-2</v>
      </c>
      <c r="M154" s="3">
        <f t="shared" si="85"/>
        <v>3.4551716494444176E-2</v>
      </c>
      <c r="N154" s="3">
        <f t="shared" si="85"/>
        <v>3.4551716494444093E-2</v>
      </c>
      <c r="O154" s="3">
        <f t="shared" si="85"/>
        <v>3.4551716494443323E-2</v>
      </c>
      <c r="P154" s="3">
        <f t="shared" si="85"/>
        <v>3.4551716494435544E-2</v>
      </c>
      <c r="Q154" s="3">
        <f t="shared" si="85"/>
        <v>3.4551716494357794E-2</v>
      </c>
      <c r="R154" s="3">
        <f t="shared" si="85"/>
        <v>3.4551716493580298E-2</v>
      </c>
      <c r="S154" s="3">
        <f t="shared" si="85"/>
        <v>3.4551716485805323E-2</v>
      </c>
      <c r="T154" s="3">
        <f t="shared" si="85"/>
        <v>3.4551716408055551E-2</v>
      </c>
      <c r="U154" s="3">
        <f t="shared" si="85"/>
        <v>3.4551715630557825E-2</v>
      </c>
      <c r="V154" s="3">
        <f t="shared" si="85"/>
        <v>3.4551707855581565E-2</v>
      </c>
      <c r="W154" s="3">
        <f t="shared" si="85"/>
        <v>3.4551630105915207E-2</v>
      </c>
      <c r="X154" s="3">
        <f t="shared" si="85"/>
        <v>3.4550852618874119E-2</v>
      </c>
      <c r="Y154" s="3">
        <f t="shared" si="85"/>
        <v>3.454307871063176E-2</v>
      </c>
      <c r="Z154" s="3">
        <f t="shared" si="85"/>
        <v>3.4465435765000232E-2</v>
      </c>
      <c r="AA154" s="3">
        <f t="shared" ref="AA154:AF154" si="86">$C40*EXP(-AA$129/$A40/EXP(-$B$126))</f>
        <v>3.3698540424857121E-2</v>
      </c>
      <c r="AB154" s="3">
        <f t="shared" si="86"/>
        <v>2.6908176025519554E-2</v>
      </c>
      <c r="AC154" s="3">
        <f t="shared" si="86"/>
        <v>2.8354105599073744E-3</v>
      </c>
      <c r="AD154" s="3">
        <f t="shared" si="86"/>
        <v>4.7855612230652687E-13</v>
      </c>
      <c r="AE154" s="3">
        <f t="shared" si="86"/>
        <v>8.9763983767961226E-111</v>
      </c>
      <c r="AF154" s="3">
        <f t="shared" si="86"/>
        <v>0</v>
      </c>
    </row>
    <row r="155" spans="1:32" x14ac:dyDescent="0.25">
      <c r="B155" s="3">
        <f t="shared" ref="B155:Z155" si="87">$C41*EXP(-B$129/$A41/EXP(-$B$126))</f>
        <v>3.2785105338059839E-2</v>
      </c>
      <c r="C155" s="3">
        <f t="shared" si="87"/>
        <v>3.2785105338059839E-2</v>
      </c>
      <c r="D155" s="3">
        <f t="shared" si="87"/>
        <v>3.2785105338059839E-2</v>
      </c>
      <c r="E155" s="3">
        <f t="shared" si="87"/>
        <v>3.2785105338059839E-2</v>
      </c>
      <c r="F155" s="3">
        <f t="shared" si="87"/>
        <v>3.2785105338059839E-2</v>
      </c>
      <c r="G155" s="3">
        <f t="shared" si="87"/>
        <v>3.2785105338059839E-2</v>
      </c>
      <c r="H155" s="3">
        <f t="shared" si="87"/>
        <v>3.2785105338059839E-2</v>
      </c>
      <c r="I155" s="3">
        <f t="shared" si="87"/>
        <v>3.2785105338059839E-2</v>
      </c>
      <c r="J155" s="3">
        <f t="shared" si="87"/>
        <v>3.2785105338059839E-2</v>
      </c>
      <c r="K155" s="3">
        <f t="shared" si="87"/>
        <v>3.2785105338059839E-2</v>
      </c>
      <c r="L155" s="3">
        <f t="shared" si="87"/>
        <v>3.2785105338059839E-2</v>
      </c>
      <c r="M155" s="3">
        <f t="shared" si="87"/>
        <v>3.2785105338059839E-2</v>
      </c>
      <c r="N155" s="3">
        <f t="shared" si="87"/>
        <v>3.2785105338059832E-2</v>
      </c>
      <c r="O155" s="3">
        <f t="shared" si="87"/>
        <v>3.2785105338059756E-2</v>
      </c>
      <c r="P155" s="3">
        <f t="shared" si="87"/>
        <v>3.278510533805902E-2</v>
      </c>
      <c r="Q155" s="3">
        <f t="shared" si="87"/>
        <v>3.2785105338051644E-2</v>
      </c>
      <c r="R155" s="3">
        <f t="shared" si="87"/>
        <v>3.278510533797787E-2</v>
      </c>
      <c r="S155" s="3">
        <f t="shared" si="87"/>
        <v>3.2785105337240127E-2</v>
      </c>
      <c r="T155" s="3">
        <f t="shared" si="87"/>
        <v>3.2785105329862681E-2</v>
      </c>
      <c r="U155" s="3">
        <f t="shared" si="87"/>
        <v>3.2785105256088208E-2</v>
      </c>
      <c r="V155" s="3">
        <f t="shared" si="87"/>
        <v>3.2785104518343537E-2</v>
      </c>
      <c r="W155" s="3">
        <f t="shared" si="87"/>
        <v>3.2785097140897737E-2</v>
      </c>
      <c r="X155" s="3">
        <f t="shared" si="87"/>
        <v>3.2785023366531073E-2</v>
      </c>
      <c r="Y155" s="3">
        <f t="shared" si="87"/>
        <v>3.2784285631994932E-2</v>
      </c>
      <c r="Z155" s="3">
        <f t="shared" si="87"/>
        <v>3.2776909199606824E-2</v>
      </c>
      <c r="AA155" s="3">
        <f t="shared" ref="AA155:AF155" si="88">$C41*EXP(-AA$129/$A41/EXP(-$B$126))</f>
        <v>3.2703236097094072E-2</v>
      </c>
      <c r="AB155" s="3">
        <f t="shared" si="88"/>
        <v>3.1975551713775453E-2</v>
      </c>
      <c r="AC155" s="3">
        <f t="shared" si="88"/>
        <v>2.553237508745964E-2</v>
      </c>
      <c r="AD155" s="3">
        <f t="shared" si="88"/>
        <v>2.6904375039705501E-3</v>
      </c>
      <c r="AE155" s="3">
        <f t="shared" si="88"/>
        <v>4.5408779857625195E-13</v>
      </c>
      <c r="AF155" s="3">
        <f t="shared" si="88"/>
        <v>8.5174398321707567E-111</v>
      </c>
    </row>
    <row r="156" spans="1:32" x14ac:dyDescent="0.25">
      <c r="B156" s="3">
        <f t="shared" ref="B156:Z156" si="89">$C42*EXP(-B$129/$A42/EXP(-$B$126))</f>
        <v>1.3184627495592977E-2</v>
      </c>
      <c r="C156" s="3">
        <f t="shared" si="89"/>
        <v>1.3184627495592977E-2</v>
      </c>
      <c r="D156" s="3">
        <f t="shared" si="89"/>
        <v>1.3184627495592977E-2</v>
      </c>
      <c r="E156" s="3">
        <f t="shared" si="89"/>
        <v>1.3184627495592977E-2</v>
      </c>
      <c r="F156" s="3">
        <f t="shared" si="89"/>
        <v>1.3184627495592977E-2</v>
      </c>
      <c r="G156" s="3">
        <f t="shared" si="89"/>
        <v>1.3184627495592977E-2</v>
      </c>
      <c r="H156" s="3">
        <f t="shared" si="89"/>
        <v>1.3184627495592977E-2</v>
      </c>
      <c r="I156" s="3">
        <f t="shared" si="89"/>
        <v>1.3184627495592977E-2</v>
      </c>
      <c r="J156" s="3">
        <f t="shared" si="89"/>
        <v>1.3184627495592977E-2</v>
      </c>
      <c r="K156" s="3">
        <f t="shared" si="89"/>
        <v>1.3184627495592977E-2</v>
      </c>
      <c r="L156" s="3">
        <f t="shared" si="89"/>
        <v>1.3184627495592977E-2</v>
      </c>
      <c r="M156" s="3">
        <f t="shared" si="89"/>
        <v>1.3184627495592977E-2</v>
      </c>
      <c r="N156" s="3">
        <f t="shared" si="89"/>
        <v>1.3184627495592977E-2</v>
      </c>
      <c r="O156" s="3">
        <f t="shared" si="89"/>
        <v>1.3184627495592974E-2</v>
      </c>
      <c r="P156" s="3">
        <f t="shared" si="89"/>
        <v>1.3184627495592944E-2</v>
      </c>
      <c r="Q156" s="3">
        <f t="shared" si="89"/>
        <v>1.3184627495592648E-2</v>
      </c>
      <c r="R156" s="3">
        <f t="shared" si="89"/>
        <v>1.3184627495589681E-2</v>
      </c>
      <c r="S156" s="3">
        <f t="shared" si="89"/>
        <v>1.3184627495560012E-2</v>
      </c>
      <c r="T156" s="3">
        <f t="shared" si="89"/>
        <v>1.3184627495263326E-2</v>
      </c>
      <c r="U156" s="3">
        <f t="shared" si="89"/>
        <v>1.3184627492296465E-2</v>
      </c>
      <c r="V156" s="3">
        <f t="shared" si="89"/>
        <v>1.3184627462627843E-2</v>
      </c>
      <c r="W156" s="3">
        <f t="shared" si="89"/>
        <v>1.3184627165941631E-2</v>
      </c>
      <c r="X156" s="3">
        <f t="shared" si="89"/>
        <v>1.318462419907989E-2</v>
      </c>
      <c r="Y156" s="3">
        <f t="shared" si="89"/>
        <v>1.3184594530499199E-2</v>
      </c>
      <c r="Z156" s="3">
        <f t="shared" si="89"/>
        <v>1.3184297848364144E-2</v>
      </c>
      <c r="AA156" s="3">
        <f t="shared" ref="AA156:AF156" si="90">$C42*EXP(-AA$129/$A42/EXP(-$B$126))</f>
        <v>1.3181331394168534E-2</v>
      </c>
      <c r="AB156" s="3">
        <f t="shared" si="90"/>
        <v>1.315170353715666E-2</v>
      </c>
      <c r="AC156" s="3">
        <f t="shared" si="90"/>
        <v>1.2859063100913242E-2</v>
      </c>
      <c r="AD156" s="3">
        <f t="shared" si="90"/>
        <v>1.0267920482022002E-2</v>
      </c>
      <c r="AE156" s="3">
        <f t="shared" si="90"/>
        <v>1.0819674338165127E-3</v>
      </c>
      <c r="AF156" s="3">
        <f t="shared" si="90"/>
        <v>1.8261275700619835E-13</v>
      </c>
    </row>
    <row r="157" spans="1:32" x14ac:dyDescent="0.25">
      <c r="B157" s="3">
        <f t="shared" ref="B157:Z157" si="91">$C43*EXP(-B$129/$A43/EXP(-$B$126))</f>
        <v>9.0966723550024858E-3</v>
      </c>
      <c r="C157" s="3">
        <f t="shared" si="91"/>
        <v>9.0966723550024858E-3</v>
      </c>
      <c r="D157" s="3">
        <f t="shared" si="91"/>
        <v>9.0966723550024858E-3</v>
      </c>
      <c r="E157" s="3">
        <f t="shared" si="91"/>
        <v>9.0966723550024858E-3</v>
      </c>
      <c r="F157" s="3">
        <f t="shared" si="91"/>
        <v>9.0966723550024858E-3</v>
      </c>
      <c r="G157" s="3">
        <f t="shared" si="91"/>
        <v>9.0966723550024858E-3</v>
      </c>
      <c r="H157" s="3">
        <f t="shared" si="91"/>
        <v>9.0966723550024858E-3</v>
      </c>
      <c r="I157" s="3">
        <f t="shared" si="91"/>
        <v>9.0966723550024858E-3</v>
      </c>
      <c r="J157" s="3">
        <f t="shared" si="91"/>
        <v>9.0966723550024858E-3</v>
      </c>
      <c r="K157" s="3">
        <f t="shared" si="91"/>
        <v>9.0966723550024858E-3</v>
      </c>
      <c r="L157" s="3">
        <f t="shared" si="91"/>
        <v>9.0966723550024858E-3</v>
      </c>
      <c r="M157" s="3">
        <f t="shared" si="91"/>
        <v>9.0966723550024858E-3</v>
      </c>
      <c r="N157" s="3">
        <f t="shared" si="91"/>
        <v>9.0966723550024858E-3</v>
      </c>
      <c r="O157" s="3">
        <f t="shared" si="91"/>
        <v>9.0966723550024858E-3</v>
      </c>
      <c r="P157" s="3">
        <f t="shared" si="91"/>
        <v>9.0966723550024841E-3</v>
      </c>
      <c r="Q157" s="3">
        <f t="shared" si="91"/>
        <v>9.0966723550024633E-3</v>
      </c>
      <c r="R157" s="3">
        <f t="shared" si="91"/>
        <v>9.0966723550022586E-3</v>
      </c>
      <c r="S157" s="3">
        <f t="shared" si="91"/>
        <v>9.0966723550002116E-3</v>
      </c>
      <c r="T157" s="3">
        <f t="shared" si="91"/>
        <v>9.0966723549797419E-3</v>
      </c>
      <c r="U157" s="3">
        <f t="shared" si="91"/>
        <v>9.0966723547750445E-3</v>
      </c>
      <c r="V157" s="3">
        <f t="shared" si="91"/>
        <v>9.0966723527280725E-3</v>
      </c>
      <c r="W157" s="3">
        <f t="shared" si="91"/>
        <v>9.0966723322583442E-3</v>
      </c>
      <c r="X157" s="3">
        <f t="shared" si="91"/>
        <v>9.0966721275610746E-3</v>
      </c>
      <c r="Y157" s="3">
        <f t="shared" si="91"/>
        <v>9.0966700805886289E-3</v>
      </c>
      <c r="Z157" s="3">
        <f t="shared" si="91"/>
        <v>9.0966496108895144E-3</v>
      </c>
      <c r="AA157" s="3">
        <f t="shared" ref="AA157:AF157" si="92">$C43*EXP(-AA$129/$A43/EXP(-$B$126))</f>
        <v>9.0964449164317382E-3</v>
      </c>
      <c r="AB157" s="3">
        <f t="shared" si="92"/>
        <v>9.0943982251708282E-3</v>
      </c>
      <c r="AC157" s="3">
        <f t="shared" si="92"/>
        <v>9.0739566231681952E-3</v>
      </c>
      <c r="AD157" s="3">
        <f t="shared" si="92"/>
        <v>8.8720507166705591E-3</v>
      </c>
      <c r="AE157" s="3">
        <f t="shared" si="92"/>
        <v>7.0843039307249321E-3</v>
      </c>
      <c r="AF157" s="3">
        <f t="shared" si="92"/>
        <v>7.4649839348904534E-4</v>
      </c>
    </row>
    <row r="158" spans="1:32" x14ac:dyDescent="0.25">
      <c r="B158" s="3">
        <f t="shared" ref="B158:Z158" si="93">$C44*EXP(-B$129/$A44/EXP(-$B$126))</f>
        <v>3.0393849329234364E-3</v>
      </c>
      <c r="C158" s="3">
        <f t="shared" si="93"/>
        <v>3.0393849329234364E-3</v>
      </c>
      <c r="D158" s="3">
        <f t="shared" si="93"/>
        <v>3.0393849329234364E-3</v>
      </c>
      <c r="E158" s="3">
        <f t="shared" si="93"/>
        <v>3.0393849329234364E-3</v>
      </c>
      <c r="F158" s="3">
        <f t="shared" si="93"/>
        <v>3.0393849329234364E-3</v>
      </c>
      <c r="G158" s="3">
        <f t="shared" si="93"/>
        <v>3.0393849329234364E-3</v>
      </c>
      <c r="H158" s="3">
        <f t="shared" si="93"/>
        <v>3.0393849329234364E-3</v>
      </c>
      <c r="I158" s="3">
        <f t="shared" si="93"/>
        <v>3.0393849329234364E-3</v>
      </c>
      <c r="J158" s="3">
        <f t="shared" si="93"/>
        <v>3.0393849329234364E-3</v>
      </c>
      <c r="K158" s="3">
        <f t="shared" si="93"/>
        <v>3.0393849329234364E-3</v>
      </c>
      <c r="L158" s="3">
        <f t="shared" si="93"/>
        <v>3.0393849329234364E-3</v>
      </c>
      <c r="M158" s="3">
        <f t="shared" si="93"/>
        <v>3.0393849329234364E-3</v>
      </c>
      <c r="N158" s="3">
        <f t="shared" si="93"/>
        <v>3.0393849329234364E-3</v>
      </c>
      <c r="O158" s="3">
        <f t="shared" si="93"/>
        <v>3.0393849329234364E-3</v>
      </c>
      <c r="P158" s="3">
        <f t="shared" si="93"/>
        <v>3.0393849329234364E-3</v>
      </c>
      <c r="Q158" s="3">
        <f t="shared" si="93"/>
        <v>3.0393849329234356E-3</v>
      </c>
      <c r="R158" s="3">
        <f t="shared" si="93"/>
        <v>3.0393849329234286E-3</v>
      </c>
      <c r="S158" s="3">
        <f t="shared" si="93"/>
        <v>3.0393849329233605E-3</v>
      </c>
      <c r="T158" s="3">
        <f t="shared" si="93"/>
        <v>3.0393849329226766E-3</v>
      </c>
      <c r="U158" s="3">
        <f t="shared" si="93"/>
        <v>3.0393849329158375E-3</v>
      </c>
      <c r="V158" s="3">
        <f t="shared" si="93"/>
        <v>3.0393849328474438E-3</v>
      </c>
      <c r="W158" s="3">
        <f t="shared" si="93"/>
        <v>3.0393849321635083E-3</v>
      </c>
      <c r="X158" s="3">
        <f t="shared" si="93"/>
        <v>3.0393849253241519E-3</v>
      </c>
      <c r="Y158" s="3">
        <f t="shared" si="93"/>
        <v>3.0393848569305929E-3</v>
      </c>
      <c r="Z158" s="3">
        <f t="shared" si="93"/>
        <v>3.039384172995087E-3</v>
      </c>
      <c r="AA158" s="3">
        <f t="shared" ref="AA158:AF158" si="94">$C44*EXP(-AA$129/$A44/EXP(-$B$126))</f>
        <v>3.0393773336484949E-3</v>
      </c>
      <c r="AB158" s="3">
        <f t="shared" si="94"/>
        <v>3.0393089410290252E-3</v>
      </c>
      <c r="AC158" s="3">
        <f t="shared" si="94"/>
        <v>3.0386250994726858E-3</v>
      </c>
      <c r="AD158" s="3">
        <f t="shared" si="94"/>
        <v>3.0317951407023828E-3</v>
      </c>
      <c r="AE158" s="3">
        <f t="shared" si="94"/>
        <v>2.9643342334465888E-3</v>
      </c>
      <c r="AF158" s="3">
        <f t="shared" si="94"/>
        <v>2.3670113407409572E-3</v>
      </c>
    </row>
    <row r="159" spans="1:32" x14ac:dyDescent="0.25">
      <c r="A159" s="11" t="s">
        <v>75</v>
      </c>
      <c r="B159" s="3">
        <f t="shared" ref="B159:Z159" si="95">$C45*EXP(-B$129/$A45/EXP(-$B$126))</f>
        <v>2.6495422897411186E-3</v>
      </c>
      <c r="C159" s="3">
        <f t="shared" si="95"/>
        <v>2.6495422897411186E-3</v>
      </c>
      <c r="D159" s="3">
        <f t="shared" si="95"/>
        <v>2.6495422897411186E-3</v>
      </c>
      <c r="E159" s="3">
        <f t="shared" si="95"/>
        <v>2.6495422897411186E-3</v>
      </c>
      <c r="F159" s="3">
        <f t="shared" si="95"/>
        <v>2.6495422897411186E-3</v>
      </c>
      <c r="G159" s="3">
        <f t="shared" si="95"/>
        <v>2.6495422897411186E-3</v>
      </c>
      <c r="H159" s="3">
        <f t="shared" si="95"/>
        <v>2.6495422897411186E-3</v>
      </c>
      <c r="I159" s="3">
        <f t="shared" si="95"/>
        <v>2.6495422897411186E-3</v>
      </c>
      <c r="J159" s="3">
        <f t="shared" si="95"/>
        <v>2.6495422897411186E-3</v>
      </c>
      <c r="K159" s="3">
        <f t="shared" si="95"/>
        <v>2.6495422897411186E-3</v>
      </c>
      <c r="L159" s="3">
        <f t="shared" si="95"/>
        <v>2.6495422897411186E-3</v>
      </c>
      <c r="M159" s="3">
        <f t="shared" si="95"/>
        <v>2.6495422897411186E-3</v>
      </c>
      <c r="N159" s="3">
        <f t="shared" si="95"/>
        <v>2.6495422897411186E-3</v>
      </c>
      <c r="O159" s="3">
        <f t="shared" si="95"/>
        <v>2.6495422897411186E-3</v>
      </c>
      <c r="P159" s="3">
        <f t="shared" si="95"/>
        <v>2.6495422897411186E-3</v>
      </c>
      <c r="Q159" s="3">
        <f t="shared" si="95"/>
        <v>2.6495422897411186E-3</v>
      </c>
      <c r="R159" s="3">
        <f t="shared" si="95"/>
        <v>2.6495422897411182E-3</v>
      </c>
      <c r="S159" s="3">
        <f t="shared" si="95"/>
        <v>2.6495422897411117E-3</v>
      </c>
      <c r="T159" s="3">
        <f t="shared" si="95"/>
        <v>2.6495422897410523E-3</v>
      </c>
      <c r="U159" s="3">
        <f t="shared" si="95"/>
        <v>2.6495422897404564E-3</v>
      </c>
      <c r="V159" s="3">
        <f t="shared" si="95"/>
        <v>2.6495422897344942E-3</v>
      </c>
      <c r="W159" s="3">
        <f t="shared" si="95"/>
        <v>2.649542289674873E-3</v>
      </c>
      <c r="X159" s="3">
        <f t="shared" si="95"/>
        <v>2.6495422890786616E-3</v>
      </c>
      <c r="Y159" s="3">
        <f t="shared" si="95"/>
        <v>2.6495422831165462E-3</v>
      </c>
      <c r="Z159" s="3">
        <f t="shared" si="95"/>
        <v>2.6495422234953953E-3</v>
      </c>
      <c r="AA159" s="3">
        <f t="shared" ref="AA159:AF159" si="96">$C45*EXP(-AA$129/$A45/EXP(-$B$126))</f>
        <v>2.6495416272839627E-3</v>
      </c>
      <c r="AB159" s="3">
        <f t="shared" si="96"/>
        <v>2.649535665177013E-3</v>
      </c>
      <c r="AC159" s="3">
        <f t="shared" si="96"/>
        <v>2.6494760448454034E-3</v>
      </c>
      <c r="AD159" s="3">
        <f t="shared" si="96"/>
        <v>2.6488799153116358E-3</v>
      </c>
      <c r="AE159" s="3">
        <f t="shared" si="96"/>
        <v>2.6429259920677972E-3</v>
      </c>
      <c r="AF159" s="3">
        <f t="shared" si="96"/>
        <v>2.5841178678508337E-3</v>
      </c>
    </row>
    <row r="160" spans="1:32" x14ac:dyDescent="0.25">
      <c r="B160" s="3">
        <f t="shared" ref="B160:Z160" si="97">$C46*EXP(-B$129/$A46/EXP(-$B$126))</f>
        <v>6.8554497859674352E-4</v>
      </c>
      <c r="C160" s="3">
        <f t="shared" si="97"/>
        <v>6.8554497859674352E-4</v>
      </c>
      <c r="D160" s="3">
        <f t="shared" si="97"/>
        <v>6.8554497859674352E-4</v>
      </c>
      <c r="E160" s="3">
        <f t="shared" si="97"/>
        <v>6.8554497859674352E-4</v>
      </c>
      <c r="F160" s="3">
        <f t="shared" si="97"/>
        <v>6.8554497859674352E-4</v>
      </c>
      <c r="G160" s="3">
        <f t="shared" si="97"/>
        <v>6.8554497859674352E-4</v>
      </c>
      <c r="H160" s="3">
        <f t="shared" si="97"/>
        <v>6.8554497859674352E-4</v>
      </c>
      <c r="I160" s="3">
        <f t="shared" si="97"/>
        <v>6.8554497859674352E-4</v>
      </c>
      <c r="J160" s="3">
        <f t="shared" si="97"/>
        <v>6.8554497859674352E-4</v>
      </c>
      <c r="K160" s="3">
        <f t="shared" si="97"/>
        <v>6.8554497859674352E-4</v>
      </c>
      <c r="L160" s="3">
        <f t="shared" si="97"/>
        <v>6.8554497859674352E-4</v>
      </c>
      <c r="M160" s="3">
        <f t="shared" si="97"/>
        <v>6.8554497859674352E-4</v>
      </c>
      <c r="N160" s="3">
        <f t="shared" si="97"/>
        <v>6.8554497859674352E-4</v>
      </c>
      <c r="O160" s="3">
        <f t="shared" si="97"/>
        <v>6.8554497859674352E-4</v>
      </c>
      <c r="P160" s="3">
        <f t="shared" si="97"/>
        <v>6.8554497859674352E-4</v>
      </c>
      <c r="Q160" s="3">
        <f t="shared" si="97"/>
        <v>6.8554497859674352E-4</v>
      </c>
      <c r="R160" s="3">
        <f t="shared" si="97"/>
        <v>6.8554497859674352E-4</v>
      </c>
      <c r="S160" s="3">
        <f t="shared" si="97"/>
        <v>6.8554497859674342E-4</v>
      </c>
      <c r="T160" s="3">
        <f t="shared" si="97"/>
        <v>6.8554497859674179E-4</v>
      </c>
      <c r="U160" s="3">
        <f t="shared" si="97"/>
        <v>6.8554497859672639E-4</v>
      </c>
      <c r="V160" s="3">
        <f t="shared" si="97"/>
        <v>6.8554497859657211E-4</v>
      </c>
      <c r="W160" s="3">
        <f t="shared" si="97"/>
        <v>6.8554497859502951E-4</v>
      </c>
      <c r="X160" s="3">
        <f t="shared" si="97"/>
        <v>6.8554497857960305E-4</v>
      </c>
      <c r="Y160" s="3">
        <f t="shared" si="97"/>
        <v>6.8554497842533875E-4</v>
      </c>
      <c r="Z160" s="3">
        <f t="shared" si="97"/>
        <v>6.8554497688269567E-4</v>
      </c>
      <c r="AA160" s="3">
        <f t="shared" ref="AA160:AF160" si="98">$C46*EXP(-AA$129/$A46/EXP(-$B$126))</f>
        <v>6.8554496145626493E-4</v>
      </c>
      <c r="AB160" s="3">
        <f t="shared" si="98"/>
        <v>6.8554480719197728E-4</v>
      </c>
      <c r="AC160" s="3">
        <f t="shared" si="98"/>
        <v>6.8554326455100983E-4</v>
      </c>
      <c r="AD160" s="3">
        <f t="shared" si="98"/>
        <v>6.8552783833225671E-4</v>
      </c>
      <c r="AE160" s="3">
        <f t="shared" si="98"/>
        <v>6.8537359523523195E-4</v>
      </c>
      <c r="AF160" s="3">
        <f t="shared" si="98"/>
        <v>6.8383307172724037E-4</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1.0364161747734975E-2</v>
      </c>
      <c r="C162" s="3">
        <f t="shared" si="101"/>
        <v>1.0364161747734975E-2</v>
      </c>
      <c r="D162" s="3">
        <f t="shared" si="101"/>
        <v>1.0364161747734975E-2</v>
      </c>
      <c r="E162" s="3">
        <f t="shared" si="101"/>
        <v>1.0364161747734975E-2</v>
      </c>
      <c r="F162" s="3">
        <f t="shared" si="101"/>
        <v>1.0364161747734975E-2</v>
      </c>
      <c r="G162" s="3">
        <f t="shared" si="101"/>
        <v>1.0364161747734975E-2</v>
      </c>
      <c r="H162" s="3">
        <f t="shared" si="101"/>
        <v>1.0364161747734975E-2</v>
      </c>
      <c r="I162" s="3">
        <f t="shared" si="101"/>
        <v>1.0364161747734975E-2</v>
      </c>
      <c r="J162" s="3">
        <f t="shared" si="101"/>
        <v>1.0364161747734975E-2</v>
      </c>
      <c r="K162" s="3">
        <f t="shared" si="101"/>
        <v>1.0364161747734975E-2</v>
      </c>
      <c r="L162" s="3">
        <f t="shared" si="101"/>
        <v>1.0364161747734975E-2</v>
      </c>
      <c r="M162" s="3">
        <f t="shared" si="101"/>
        <v>1.0364161747734975E-2</v>
      </c>
      <c r="N162" s="3">
        <f t="shared" si="101"/>
        <v>1.0364161747734975E-2</v>
      </c>
      <c r="O162" s="3">
        <f t="shared" si="101"/>
        <v>1.0364161747734975E-2</v>
      </c>
      <c r="P162" s="3">
        <f t="shared" si="101"/>
        <v>1.0364161747734975E-2</v>
      </c>
      <c r="Q162" s="3">
        <f t="shared" si="101"/>
        <v>1.0364161747734975E-2</v>
      </c>
      <c r="R162" s="3">
        <f t="shared" si="101"/>
        <v>1.0364161747734975E-2</v>
      </c>
      <c r="S162" s="3">
        <f t="shared" si="101"/>
        <v>1.0364161747734975E-2</v>
      </c>
      <c r="T162" s="3">
        <f t="shared" si="101"/>
        <v>1.0364161747734975E-2</v>
      </c>
      <c r="U162" s="3">
        <f t="shared" si="101"/>
        <v>1.0364161747734973E-2</v>
      </c>
      <c r="V162" s="3">
        <f t="shared" si="101"/>
        <v>1.0364161747734949E-2</v>
      </c>
      <c r="W162" s="3">
        <f t="shared" si="101"/>
        <v>1.0364161747734716E-2</v>
      </c>
      <c r="X162" s="3">
        <f t="shared" si="101"/>
        <v>1.0364161747732383E-2</v>
      </c>
      <c r="Y162" s="3">
        <f t="shared" si="101"/>
        <v>1.0364161747709062E-2</v>
      </c>
      <c r="Z162" s="3">
        <f t="shared" si="101"/>
        <v>1.0364161747475844E-2</v>
      </c>
      <c r="AA162" s="3">
        <f t="shared" ref="AA162:AF162" si="102">$C48*EXP(-AA$129/$A48/EXP(-$B$126))</f>
        <v>1.0364161745143655E-2</v>
      </c>
      <c r="AB162" s="3">
        <f t="shared" si="102"/>
        <v>1.0364161721821767E-2</v>
      </c>
      <c r="AC162" s="3">
        <f t="shared" si="102"/>
        <v>1.03641614886029E-2</v>
      </c>
      <c r="AD162" s="3">
        <f t="shared" si="102"/>
        <v>1.0364159156414527E-2</v>
      </c>
      <c r="AE162" s="3">
        <f t="shared" si="102"/>
        <v>1.0364135834559645E-2</v>
      </c>
      <c r="AF162" s="3">
        <f t="shared" si="102"/>
        <v>1.0363902618897207E-2</v>
      </c>
    </row>
    <row r="163" spans="1:34" x14ac:dyDescent="0.25">
      <c r="A163" s="79">
        <f>AVERAGE(B163:AF163)</f>
        <v>6.0577038954644667E-3</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1.9051544931632133E-2</v>
      </c>
      <c r="M163" s="80">
        <f t="shared" si="103"/>
        <v>2.095767688329906E-2</v>
      </c>
      <c r="N163" s="80">
        <f t="shared" si="103"/>
        <v>1.8148685041833493E-2</v>
      </c>
      <c r="O163" s="80">
        <f t="shared" si="103"/>
        <v>1.8310697382584513E-2</v>
      </c>
      <c r="P163" s="80">
        <f t="shared" si="103"/>
        <v>1.879714604182792E-2</v>
      </c>
      <c r="Q163" s="80">
        <f t="shared" si="103"/>
        <v>1.9970208342937387E-2</v>
      </c>
      <c r="R163" s="80">
        <f t="shared" si="103"/>
        <v>1.8315486413731999E-2</v>
      </c>
      <c r="S163" s="80">
        <f t="shared" si="103"/>
        <v>1.9693614711335013E-2</v>
      </c>
      <c r="T163" s="80">
        <f t="shared" si="103"/>
        <v>1.6693973961358216E-2</v>
      </c>
      <c r="U163" s="80">
        <f t="shared" si="103"/>
        <v>1.6568842291439619E-2</v>
      </c>
      <c r="V163" s="80">
        <f t="shared" si="103"/>
        <v>1.2809447574191027E-3</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797687.52144088084</v>
      </c>
      <c r="C164" s="21">
        <f t="shared" ref="C164:AF164" si="104">(C131-C130)^2</f>
        <v>661203.8171777695</v>
      </c>
      <c r="D164" s="21">
        <f t="shared" si="104"/>
        <v>303646.69947102841</v>
      </c>
      <c r="E164" s="21">
        <f t="shared" si="104"/>
        <v>131658.94254339169</v>
      </c>
      <c r="F164" s="21">
        <f t="shared" si="104"/>
        <v>42331.682515431537</v>
      </c>
      <c r="G164" s="21">
        <f t="shared" si="104"/>
        <v>29578.953189166798</v>
      </c>
      <c r="H164" s="21">
        <f t="shared" si="104"/>
        <v>56257.578059465675</v>
      </c>
      <c r="I164" s="21">
        <f t="shared" si="104"/>
        <v>38593.355112806377</v>
      </c>
      <c r="J164" s="21">
        <f t="shared" si="104"/>
        <v>36213.909819985201</v>
      </c>
      <c r="K164" s="21">
        <f t="shared" si="104"/>
        <v>38121.889951849982</v>
      </c>
      <c r="L164" s="21">
        <f t="shared" si="104"/>
        <v>32463.241199402059</v>
      </c>
      <c r="M164" s="21">
        <f t="shared" si="104"/>
        <v>37150.955224388796</v>
      </c>
      <c r="N164" s="21">
        <f t="shared" si="104"/>
        <v>25816.750686812076</v>
      </c>
      <c r="O164" s="21">
        <f t="shared" si="104"/>
        <v>24109.751794137755</v>
      </c>
      <c r="P164" s="21">
        <f t="shared" si="104"/>
        <v>23348.253879484517</v>
      </c>
      <c r="Q164" s="21">
        <f t="shared" si="104"/>
        <v>24553.674158763228</v>
      </c>
      <c r="R164" s="21">
        <f t="shared" si="104"/>
        <v>19143.968860352517</v>
      </c>
      <c r="S164" s="21">
        <f t="shared" si="104"/>
        <v>20506.643911483618</v>
      </c>
      <c r="T164" s="21">
        <f t="shared" si="104"/>
        <v>13532.478499510618</v>
      </c>
      <c r="U164" s="21">
        <f t="shared" si="104"/>
        <v>12179.668292808945</v>
      </c>
      <c r="V164" s="21">
        <f t="shared" si="104"/>
        <v>61.458414180577975</v>
      </c>
      <c r="W164" s="21">
        <f t="shared" si="104"/>
        <v>13642.037702171139</v>
      </c>
      <c r="X164" s="21">
        <f t="shared" si="104"/>
        <v>28774.03633930712</v>
      </c>
      <c r="Y164" s="21">
        <f t="shared" si="104"/>
        <v>22438.814023001698</v>
      </c>
      <c r="Z164" s="21">
        <f t="shared" si="104"/>
        <v>11862.814684613571</v>
      </c>
      <c r="AA164" s="21">
        <f t="shared" si="104"/>
        <v>21707.315250414296</v>
      </c>
      <c r="AB164" s="21">
        <f t="shared" si="104"/>
        <v>1735.1578829430321</v>
      </c>
      <c r="AC164" s="21">
        <f t="shared" si="104"/>
        <v>2509.9733896885105</v>
      </c>
      <c r="AD164" s="21">
        <f t="shared" si="104"/>
        <v>337.66132787154925</v>
      </c>
      <c r="AE164" s="21">
        <f t="shared" si="104"/>
        <v>187.22240656386035</v>
      </c>
      <c r="AF164" s="21">
        <f t="shared" si="104"/>
        <v>39.017423707524586</v>
      </c>
    </row>
    <row r="165" spans="1:34" x14ac:dyDescent="0.25">
      <c r="A165" s="71">
        <f>SUM(B165:AF165)</f>
        <v>232866.84492132472</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32463.241199402059</v>
      </c>
      <c r="M165" s="60">
        <f t="shared" si="105"/>
        <v>37150.955224388796</v>
      </c>
      <c r="N165" s="60">
        <f t="shared" si="105"/>
        <v>25816.750686812076</v>
      </c>
      <c r="O165" s="60">
        <f t="shared" si="105"/>
        <v>24109.751794137755</v>
      </c>
      <c r="P165" s="60">
        <f t="shared" si="105"/>
        <v>23348.253879484517</v>
      </c>
      <c r="Q165" s="60">
        <f t="shared" si="105"/>
        <v>24553.674158763228</v>
      </c>
      <c r="R165" s="60">
        <f t="shared" si="105"/>
        <v>19143.968860352517</v>
      </c>
      <c r="S165" s="60">
        <f t="shared" si="105"/>
        <v>20506.643911483618</v>
      </c>
      <c r="T165" s="60">
        <f t="shared" si="105"/>
        <v>13532.478499510618</v>
      </c>
      <c r="U165" s="60">
        <f t="shared" si="105"/>
        <v>12179.668292808945</v>
      </c>
      <c r="V165" s="60">
        <f t="shared" si="105"/>
        <v>61.458414180577975</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11367.234905429283</v>
      </c>
      <c r="C169" s="26">
        <f>INDEX(Comparison!$AM$3:$AS$33,G$14,$C$122)</f>
        <v>11068.839809245561</v>
      </c>
      <c r="D169" s="26">
        <f>INDEX(Comparison!$AM$3:$AS$33,H$14,$C$122)</f>
        <v>10885.617784934777</v>
      </c>
      <c r="E169" s="26">
        <f>INDEX(Comparison!$AM$3:$AS$33,I$14,$C$122)</f>
        <v>10701.493672903915</v>
      </c>
      <c r="F169" s="26">
        <f>INDEX(Comparison!$AM$3:$AS$33,J$14,$C$122)</f>
        <v>10504.725025316387</v>
      </c>
      <c r="G169" s="26">
        <f>INDEX(Comparison!$AM$3:$AS$33,K$14,$C$122)</f>
        <v>10287.091684462941</v>
      </c>
      <c r="H169" s="26">
        <f>INDEX(Comparison!$AM$3:$AS$33,L$14,$C$122)</f>
        <v>10049.244860118473</v>
      </c>
      <c r="I169" s="26">
        <f>INDEX(Comparison!$AM$3:$AS$33,M$14,$C$122)</f>
        <v>9772.6915503667024</v>
      </c>
      <c r="J169" s="26">
        <f>INDEX(Comparison!$AM$3:$AS$33,N$14,$C$122)</f>
        <v>9517.4825603824975</v>
      </c>
      <c r="K169" s="26">
        <f>INDEX(Comparison!$AM$3:$AS$33,O$14,$C$122)</f>
        <v>9254.9171850971579</v>
      </c>
      <c r="L169" s="26">
        <f>INDEX(Comparison!$AM$3:$AS$33,P$14,$C$122)</f>
        <v>8963.5955807199589</v>
      </c>
      <c r="M169" s="26">
        <f>INDEX(Comparison!$AM$3:$AS$33,Q$14,$C$122)</f>
        <v>8614.6063850970258</v>
      </c>
      <c r="N169" s="26">
        <f>INDEX(Comparison!$AM$3:$AS$33,R$14,$C$122)</f>
        <v>8248.4064055257641</v>
      </c>
      <c r="O169" s="26">
        <f>INDEX(Comparison!$AM$3:$AS$33,S$14,$C$122)</f>
        <v>7932.3411730217404</v>
      </c>
      <c r="P169" s="26">
        <f>INDEX(Comparison!$AM$3:$AS$33,T$14,$C$122)</f>
        <v>7651.3188875674869</v>
      </c>
      <c r="Q169" s="26">
        <f>INDEX(Comparison!$AM$3:$AS$33,U$14,$C$122)</f>
        <v>7368.015082756323</v>
      </c>
      <c r="R169" s="26">
        <f>INDEX(Comparison!$AM$3:$AS$33,V$14,$C$122)</f>
        <v>7078.2683200185556</v>
      </c>
      <c r="S169" s="26">
        <f>INDEX(Comparison!$AM$3:$AS$33,W$14,$C$122)</f>
        <v>6780.7506129740432</v>
      </c>
      <c r="T169" s="26">
        <f>INDEX(Comparison!$AM$3:$AS$33,X$14,$C$122)</f>
        <v>6359.8481605512916</v>
      </c>
      <c r="U169" s="26">
        <f>INDEX(Comparison!$AM$3:$AS$33,Y$14,$C$122)</f>
        <v>5533.5094566127227</v>
      </c>
      <c r="V169" s="26">
        <f>INDEX(Comparison!$AM$3:$AS$33,Z$14,$C$122)</f>
        <v>4472.2559132167689</v>
      </c>
      <c r="W169" s="26">
        <f>INDEX(Comparison!$AM$3:$AS$33,AA$14,$C$122)</f>
        <v>3559.9181790033126</v>
      </c>
      <c r="X169" s="26">
        <f>INDEX(Comparison!$AM$3:$AS$33,AB$14,$C$122)</f>
        <v>2844.2645935941323</v>
      </c>
      <c r="Y169" s="26">
        <f>INDEX(Comparison!$AM$3:$AS$33,AC$14,$C$122)</f>
        <v>2237.2915384432267</v>
      </c>
      <c r="Z169" s="26">
        <f>INDEX(Comparison!$AM$3:$AS$33,AD$14,$C$122)</f>
        <v>1684.6343995836892</v>
      </c>
      <c r="AA169" s="26">
        <f>INDEX(Comparison!$AM$3:$AS$33,AE$14,$C$122)</f>
        <v>1197.1004230306633</v>
      </c>
      <c r="AB169" s="26">
        <f>INDEX(Comparison!$AM$3:$AS$33,AF$14,$C$122)</f>
        <v>840.12332203849121</v>
      </c>
      <c r="AC169" s="26">
        <f>INDEX(Comparison!$AM$3:$AS$33,AG$14,$C$122)</f>
        <v>609.58567269963044</v>
      </c>
      <c r="AD169" s="26">
        <f>INDEX(Comparison!$AM$3:$AS$33,AH$14,$C$122)</f>
        <v>494.5048529689002</v>
      </c>
      <c r="AE169" s="26">
        <f>INDEX(Comparison!$AM$3:$AS$33,AI$14,$C$122)</f>
        <v>433.69545003412065</v>
      </c>
      <c r="AF169" s="26">
        <f>INDEX(Comparison!$AM$3:$AS$33,AJ$14,$C$122)</f>
        <v>404.17805740514621</v>
      </c>
      <c r="AG169" s="26"/>
      <c r="AH169" s="26"/>
    </row>
    <row r="170" spans="1:34" x14ac:dyDescent="0.25">
      <c r="A170" s="70" t="s">
        <v>22</v>
      </c>
      <c r="B170" s="27">
        <f>($C$17+SUM(B171:B201))*$B$51</f>
        <v>10712.093648277345</v>
      </c>
      <c r="C170" s="27">
        <f t="shared" ref="C170:AF170" si="106">($C$17+SUM(C171:C201))*$B$51</f>
        <v>10711.170498641044</v>
      </c>
      <c r="D170" s="27">
        <f t="shared" si="106"/>
        <v>10702.053935191849</v>
      </c>
      <c r="E170" s="27">
        <f t="shared" si="106"/>
        <v>10621.433535542914</v>
      </c>
      <c r="F170" s="27">
        <f t="shared" si="106"/>
        <v>10326.023388082289</v>
      </c>
      <c r="G170" s="27">
        <f t="shared" si="106"/>
        <v>10133.772753831852</v>
      </c>
      <c r="H170" s="27">
        <f t="shared" si="106"/>
        <v>9894.289699469944</v>
      </c>
      <c r="I170" s="27">
        <f t="shared" si="106"/>
        <v>9619.1182305732164</v>
      </c>
      <c r="J170" s="27">
        <f t="shared" si="106"/>
        <v>9370.1796332806189</v>
      </c>
      <c r="K170" s="27">
        <f t="shared" si="106"/>
        <v>9109.7432439580607</v>
      </c>
      <c r="L170" s="27">
        <f t="shared" si="106"/>
        <v>8819.1206045861309</v>
      </c>
      <c r="M170" s="27">
        <f t="shared" si="106"/>
        <v>8471.5129036941235</v>
      </c>
      <c r="N170" s="27">
        <f t="shared" si="106"/>
        <v>8113.9963104247518</v>
      </c>
      <c r="O170" s="27">
        <f t="shared" si="106"/>
        <v>7806.1951171423461</v>
      </c>
      <c r="P170" s="27">
        <f t="shared" si="106"/>
        <v>7531.9355096631416</v>
      </c>
      <c r="Q170" s="27">
        <f t="shared" si="106"/>
        <v>7250.8426006207956</v>
      </c>
      <c r="R170" s="27">
        <f t="shared" si="106"/>
        <v>6968.913574783438</v>
      </c>
      <c r="S170" s="27">
        <f t="shared" si="106"/>
        <v>6683.0856590664052</v>
      </c>
      <c r="T170" s="27">
        <f t="shared" si="106"/>
        <v>6327.6339480572806</v>
      </c>
      <c r="U170" s="27">
        <f t="shared" si="106"/>
        <v>5694.9020906644555</v>
      </c>
      <c r="V170" s="27">
        <f t="shared" si="106"/>
        <v>4690.4860708156739</v>
      </c>
      <c r="W170" s="27">
        <f t="shared" si="106"/>
        <v>3706.2999961989544</v>
      </c>
      <c r="X170" s="27">
        <f t="shared" si="106"/>
        <v>2916.871604164709</v>
      </c>
      <c r="Y170" s="27">
        <f t="shared" si="106"/>
        <v>2265.2112934622251</v>
      </c>
      <c r="Z170" s="27">
        <f t="shared" si="106"/>
        <v>1680.9390119605569</v>
      </c>
      <c r="AA170" s="27">
        <f t="shared" si="106"/>
        <v>1188.5399971761883</v>
      </c>
      <c r="AB170" s="27">
        <f t="shared" si="106"/>
        <v>829.90630036325706</v>
      </c>
      <c r="AC170" s="27">
        <f t="shared" si="106"/>
        <v>605.23715957644947</v>
      </c>
      <c r="AD170" s="27">
        <f t="shared" si="106"/>
        <v>491.72570138261455</v>
      </c>
      <c r="AE170" s="27">
        <f t="shared" si="106"/>
        <v>433.12809693700848</v>
      </c>
      <c r="AF170" s="27">
        <f t="shared" si="106"/>
        <v>403.49159642099715</v>
      </c>
      <c r="AG170" s="27"/>
      <c r="AH170" s="27"/>
    </row>
    <row r="171" spans="1:34" x14ac:dyDescent="0.25">
      <c r="B171" s="3">
        <f t="shared" ref="B171:AF171" si="107">$C18*EXP(-B$168/$A18/EXP(-$C$126))</f>
        <v>0</v>
      </c>
      <c r="C171" s="3">
        <f t="shared" si="107"/>
        <v>0</v>
      </c>
      <c r="D171" s="3">
        <f t="shared" si="107"/>
        <v>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3.2494323887381014E-2</v>
      </c>
      <c r="C172" s="3">
        <f t="shared" si="108"/>
        <v>3.2417036531100889E-2</v>
      </c>
      <c r="D172" s="3">
        <f t="shared" si="108"/>
        <v>3.1654201654634846E-2</v>
      </c>
      <c r="E172" s="3">
        <f t="shared" si="108"/>
        <v>2.4946631264688681E-2</v>
      </c>
      <c r="F172" s="3">
        <f t="shared" si="108"/>
        <v>2.3057771895584013E-3</v>
      </c>
      <c r="G172" s="3">
        <f t="shared" si="108"/>
        <v>1.0492322855034101E-13</v>
      </c>
      <c r="H172" s="3">
        <f t="shared" si="108"/>
        <v>3.9940612147419973E-117</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1.4783075927232929E-2</v>
      </c>
      <c r="C173" s="3">
        <f t="shared" si="109"/>
        <v>1.4779900642360334E-2</v>
      </c>
      <c r="D173" s="3">
        <f t="shared" si="109"/>
        <v>1.4748185280873112E-2</v>
      </c>
      <c r="E173" s="3">
        <f t="shared" si="109"/>
        <v>1.4434750764872089E-2</v>
      </c>
      <c r="F173" s="3">
        <f t="shared" si="109"/>
        <v>1.1644379091804453E-2</v>
      </c>
      <c r="G173" s="3">
        <f t="shared" si="109"/>
        <v>1.3588978064329154E-3</v>
      </c>
      <c r="H173" s="3">
        <f t="shared" si="109"/>
        <v>6.3663632613633412E-13</v>
      </c>
      <c r="I173" s="3">
        <f t="shared" si="109"/>
        <v>3.242930159941334E-106</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2.1843250458252739E-2</v>
      </c>
      <c r="C174" s="3">
        <f t="shared" si="110"/>
        <v>2.1842827181729724E-2</v>
      </c>
      <c r="D174" s="3">
        <f t="shared" si="110"/>
        <v>2.1838594867595096E-2</v>
      </c>
      <c r="E174" s="3">
        <f t="shared" si="110"/>
        <v>2.1796316803477121E-2</v>
      </c>
      <c r="F174" s="3">
        <f t="shared" si="110"/>
        <v>2.1378011732067683E-2</v>
      </c>
      <c r="G174" s="3">
        <f t="shared" si="110"/>
        <v>1.7612025496284392E-2</v>
      </c>
      <c r="H174" s="3">
        <f t="shared" si="110"/>
        <v>2.536467194846632E-3</v>
      </c>
      <c r="I174" s="3">
        <f t="shared" si="110"/>
        <v>9.7370789783348511E-12</v>
      </c>
      <c r="J174" s="3">
        <f t="shared" si="110"/>
        <v>6.7674198516708963E-96</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2.6598400156499596E-2</v>
      </c>
      <c r="C175" s="3">
        <f t="shared" si="111"/>
        <v>2.65983536607932E-2</v>
      </c>
      <c r="D175" s="3">
        <f t="shared" si="111"/>
        <v>2.6597888708199471E-2</v>
      </c>
      <c r="E175" s="3">
        <f t="shared" si="111"/>
        <v>2.6593239629257005E-2</v>
      </c>
      <c r="F175" s="3">
        <f t="shared" si="111"/>
        <v>2.6546793510418755E-2</v>
      </c>
      <c r="G175" s="3">
        <f t="shared" si="111"/>
        <v>2.6086770623043806E-2</v>
      </c>
      <c r="H175" s="3">
        <f t="shared" si="111"/>
        <v>2.1902959353857932E-2</v>
      </c>
      <c r="I175" s="3">
        <f t="shared" si="111"/>
        <v>3.8135335741937642E-3</v>
      </c>
      <c r="J175" s="3">
        <f t="shared" si="111"/>
        <v>9.7628214018625929E-11</v>
      </c>
      <c r="K175" s="3">
        <f t="shared" si="111"/>
        <v>1.1804648158308683E-86</v>
      </c>
      <c r="L175" s="3">
        <f t="shared" si="111"/>
        <v>0</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2.1793095534939633E-2</v>
      </c>
      <c r="C176" s="3">
        <f t="shared" si="112"/>
        <v>2.1793092098385466E-2</v>
      </c>
      <c r="D176" s="3">
        <f t="shared" si="112"/>
        <v>2.1793057732873593E-2</v>
      </c>
      <c r="E176" s="3">
        <f t="shared" si="112"/>
        <v>2.1792714080735354E-2</v>
      </c>
      <c r="F176" s="3">
        <f t="shared" si="112"/>
        <v>2.1789277857384388E-2</v>
      </c>
      <c r="G176" s="3">
        <f t="shared" si="112"/>
        <v>2.1754945409636989E-2</v>
      </c>
      <c r="H176" s="3">
        <f t="shared" si="112"/>
        <v>2.1414582202850318E-2</v>
      </c>
      <c r="I176" s="3">
        <f t="shared" si="112"/>
        <v>1.8290504512434837E-2</v>
      </c>
      <c r="J176" s="3">
        <f t="shared" si="112"/>
        <v>3.779083400874289E-3</v>
      </c>
      <c r="K176" s="3">
        <f t="shared" si="112"/>
        <v>5.3578973929646071E-10</v>
      </c>
      <c r="L176" s="3">
        <f t="shared" si="112"/>
        <v>1.7582213557684478E-78</v>
      </c>
      <c r="M176" s="3">
        <f t="shared" si="112"/>
        <v>0</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2.3921660725749378E-2</v>
      </c>
      <c r="C177" s="3">
        <f t="shared" si="113"/>
        <v>2.3921660385464838E-2</v>
      </c>
      <c r="D177" s="3">
        <f t="shared" si="113"/>
        <v>2.3921656982619693E-2</v>
      </c>
      <c r="E177" s="3">
        <f t="shared" si="113"/>
        <v>2.3921622954194876E-2</v>
      </c>
      <c r="F177" s="3">
        <f t="shared" si="113"/>
        <v>2.3921282672608964E-2</v>
      </c>
      <c r="G177" s="3">
        <f t="shared" si="113"/>
        <v>2.3917880122963548E-2</v>
      </c>
      <c r="H177" s="3">
        <f t="shared" si="113"/>
        <v>2.3883881233873906E-2</v>
      </c>
      <c r="I177" s="3">
        <f t="shared" si="113"/>
        <v>2.3546539128478497E-2</v>
      </c>
      <c r="J177" s="3">
        <f t="shared" si="113"/>
        <v>2.0424380357606894E-2</v>
      </c>
      <c r="K177" s="3">
        <f t="shared" si="113"/>
        <v>4.9245545266307783E-3</v>
      </c>
      <c r="L177" s="3">
        <f t="shared" si="113"/>
        <v>3.2699985436993475E-9</v>
      </c>
      <c r="M177" s="3">
        <f t="shared" si="113"/>
        <v>5.4494622290708556E-71</v>
      </c>
      <c r="N177" s="3">
        <f t="shared" si="113"/>
        <v>0</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2.6315529166060121E-2</v>
      </c>
      <c r="C178" s="3">
        <f t="shared" si="114"/>
        <v>2.6315529132291793E-2</v>
      </c>
      <c r="D178" s="3">
        <f t="shared" si="114"/>
        <v>2.6315528794608484E-2</v>
      </c>
      <c r="E178" s="3">
        <f t="shared" si="114"/>
        <v>2.6315525417775661E-2</v>
      </c>
      <c r="F178" s="3">
        <f t="shared" si="114"/>
        <v>2.6315491649471254E-2</v>
      </c>
      <c r="G178" s="3">
        <f t="shared" si="114"/>
        <v>2.6315153968810446E-2</v>
      </c>
      <c r="H178" s="3">
        <f t="shared" si="114"/>
        <v>2.6311777400514876E-2</v>
      </c>
      <c r="I178" s="3">
        <f t="shared" si="114"/>
        <v>2.6278035537500365E-2</v>
      </c>
      <c r="J178" s="3">
        <f t="shared" si="114"/>
        <v>2.5942987630780491E-2</v>
      </c>
      <c r="K178" s="3">
        <f t="shared" si="114"/>
        <v>2.2818701027400679E-2</v>
      </c>
      <c r="L178" s="3">
        <f t="shared" si="114"/>
        <v>6.3241216391973333E-3</v>
      </c>
      <c r="M178" s="3">
        <f t="shared" si="114"/>
        <v>1.690803657697694E-8</v>
      </c>
      <c r="N178" s="3">
        <f t="shared" si="114"/>
        <v>3.1551703999261267E-64</v>
      </c>
      <c r="O178" s="3">
        <f t="shared" si="114"/>
        <v>0</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3.4157201971975575E-2</v>
      </c>
      <c r="C179" s="3">
        <f t="shared" si="115"/>
        <v>3.4157201968021668E-2</v>
      </c>
      <c r="D179" s="3">
        <f t="shared" si="115"/>
        <v>3.4157201928482601E-2</v>
      </c>
      <c r="E179" s="3">
        <f t="shared" si="115"/>
        <v>3.4157201533091985E-2</v>
      </c>
      <c r="F179" s="3">
        <f t="shared" si="115"/>
        <v>3.4157197579186033E-2</v>
      </c>
      <c r="G179" s="3">
        <f t="shared" si="115"/>
        <v>3.4157158040151667E-2</v>
      </c>
      <c r="H179" s="3">
        <f t="shared" si="115"/>
        <v>3.4156762652325319E-2</v>
      </c>
      <c r="I179" s="3">
        <f t="shared" si="115"/>
        <v>3.4152809025778774E-2</v>
      </c>
      <c r="J179" s="3">
        <f t="shared" si="115"/>
        <v>3.4113297921231037E-2</v>
      </c>
      <c r="K179" s="3">
        <f t="shared" si="115"/>
        <v>3.3720692224441476E-2</v>
      </c>
      <c r="L179" s="3">
        <f t="shared" si="115"/>
        <v>3.0034763989058386E-2</v>
      </c>
      <c r="M179" s="3">
        <f t="shared" si="115"/>
        <v>9.4384710239468223E-3</v>
      </c>
      <c r="N179" s="3">
        <f t="shared" si="115"/>
        <v>8.8649416062329663E-8</v>
      </c>
      <c r="O179" s="3">
        <f t="shared" si="115"/>
        <v>4.7360709817247779E-58</v>
      </c>
      <c r="P179" s="3">
        <f t="shared" si="115"/>
        <v>0</v>
      </c>
      <c r="Q179" s="3">
        <f t="shared" si="115"/>
        <v>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3.3563265451178118E-2</v>
      </c>
      <c r="C180" s="3">
        <f t="shared" si="116"/>
        <v>3.3563265450827648E-2</v>
      </c>
      <c r="D180" s="3">
        <f t="shared" si="116"/>
        <v>3.356326544732291E-2</v>
      </c>
      <c r="E180" s="3">
        <f t="shared" si="116"/>
        <v>3.3563265412275584E-2</v>
      </c>
      <c r="F180" s="3">
        <f t="shared" si="116"/>
        <v>3.3563265061802336E-2</v>
      </c>
      <c r="G180" s="3">
        <f t="shared" si="116"/>
        <v>3.3563261557070054E-2</v>
      </c>
      <c r="H180" s="3">
        <f t="shared" si="116"/>
        <v>3.3563226509767348E-2</v>
      </c>
      <c r="I180" s="3">
        <f t="shared" si="116"/>
        <v>3.3562876038753083E-2</v>
      </c>
      <c r="J180" s="3">
        <f t="shared" si="116"/>
        <v>3.3559371529885355E-2</v>
      </c>
      <c r="K180" s="3">
        <f t="shared" si="116"/>
        <v>3.3524346560922486E-2</v>
      </c>
      <c r="L180" s="3">
        <f t="shared" si="116"/>
        <v>3.3176101090943697E-2</v>
      </c>
      <c r="M180" s="3">
        <f t="shared" si="116"/>
        <v>2.9886536411868631E-2</v>
      </c>
      <c r="N180" s="3">
        <f t="shared" si="116"/>
        <v>1.0519085867836063E-2</v>
      </c>
      <c r="O180" s="3">
        <f t="shared" si="116"/>
        <v>3.0690370615046765E-7</v>
      </c>
      <c r="P180" s="3">
        <f t="shared" si="116"/>
        <v>1.3716504800516965E-52</v>
      </c>
      <c r="Q180" s="3">
        <f t="shared" si="116"/>
        <v>0</v>
      </c>
      <c r="R180" s="3">
        <f t="shared" si="116"/>
        <v>0</v>
      </c>
      <c r="S180" s="3">
        <f t="shared" si="116"/>
        <v>0</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2.5958709058901693E-2</v>
      </c>
      <c r="C181" s="3">
        <f t="shared" si="117"/>
        <v>2.595870905887724E-2</v>
      </c>
      <c r="D181" s="3">
        <f t="shared" si="117"/>
        <v>2.5958709058632717E-2</v>
      </c>
      <c r="E181" s="3">
        <f t="shared" si="117"/>
        <v>2.5958709056187482E-2</v>
      </c>
      <c r="F181" s="3">
        <f t="shared" si="117"/>
        <v>2.5958709031735146E-2</v>
      </c>
      <c r="G181" s="3">
        <f t="shared" si="117"/>
        <v>2.5958708787211793E-2</v>
      </c>
      <c r="H181" s="3">
        <f t="shared" si="117"/>
        <v>2.5958706341978353E-2</v>
      </c>
      <c r="I181" s="3">
        <f t="shared" si="117"/>
        <v>2.5958681889656651E-2</v>
      </c>
      <c r="J181" s="3">
        <f t="shared" si="117"/>
        <v>2.5958437367706436E-2</v>
      </c>
      <c r="K181" s="3">
        <f t="shared" si="117"/>
        <v>2.5955992274882957E-2</v>
      </c>
      <c r="L181" s="3">
        <f t="shared" si="117"/>
        <v>2.5931554010100787E-2</v>
      </c>
      <c r="M181" s="3">
        <f t="shared" si="117"/>
        <v>2.5688433305058687E-2</v>
      </c>
      <c r="N181" s="3">
        <f t="shared" si="117"/>
        <v>2.3379130928485939E-2</v>
      </c>
      <c r="O181" s="3">
        <f t="shared" si="117"/>
        <v>9.1145621895786025E-3</v>
      </c>
      <c r="P181" s="3">
        <f t="shared" si="117"/>
        <v>7.3928229687950671E-7</v>
      </c>
      <c r="Q181" s="3">
        <f t="shared" si="117"/>
        <v>9.1107734361390629E-48</v>
      </c>
      <c r="R181" s="3">
        <f t="shared" si="117"/>
        <v>0</v>
      </c>
      <c r="S181" s="3">
        <f t="shared" si="117"/>
        <v>0</v>
      </c>
      <c r="T181" s="3">
        <f t="shared" si="117"/>
        <v>0</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2.4505487924861343E-2</v>
      </c>
      <c r="C182" s="3">
        <f t="shared" si="118"/>
        <v>2.4505487924859262E-2</v>
      </c>
      <c r="D182" s="3">
        <f t="shared" si="118"/>
        <v>2.4505487924838438E-2</v>
      </c>
      <c r="E182" s="3">
        <f t="shared" si="118"/>
        <v>2.4505487924630205E-2</v>
      </c>
      <c r="F182" s="3">
        <f t="shared" si="118"/>
        <v>2.4505487922547888E-2</v>
      </c>
      <c r="G182" s="3">
        <f t="shared" si="118"/>
        <v>2.4505487901724701E-2</v>
      </c>
      <c r="H182" s="3">
        <f t="shared" si="118"/>
        <v>2.4505487693492829E-2</v>
      </c>
      <c r="I182" s="3">
        <f t="shared" si="118"/>
        <v>2.4505485611174209E-2</v>
      </c>
      <c r="J182" s="3">
        <f t="shared" si="118"/>
        <v>2.4505464787997748E-2</v>
      </c>
      <c r="K182" s="3">
        <f t="shared" si="118"/>
        <v>2.4505256557206315E-2</v>
      </c>
      <c r="L182" s="3">
        <f t="shared" si="118"/>
        <v>2.4503174346606735E-2</v>
      </c>
      <c r="M182" s="3">
        <f t="shared" si="118"/>
        <v>2.448236196902483E-2</v>
      </c>
      <c r="N182" s="3">
        <f t="shared" si="118"/>
        <v>2.4275207982902735E-2</v>
      </c>
      <c r="O182" s="3">
        <f t="shared" si="118"/>
        <v>2.2297666118427175E-2</v>
      </c>
      <c r="P182" s="3">
        <f t="shared" si="118"/>
        <v>9.5328749098576443E-3</v>
      </c>
      <c r="Q182" s="3">
        <f t="shared" si="118"/>
        <v>1.9447722801650446E-6</v>
      </c>
      <c r="R182" s="3">
        <f t="shared" si="118"/>
        <v>2.4283840385632483E-43</v>
      </c>
      <c r="S182" s="3">
        <f t="shared" si="118"/>
        <v>0</v>
      </c>
      <c r="T182" s="3">
        <f t="shared" si="118"/>
        <v>0</v>
      </c>
      <c r="U182" s="3">
        <f t="shared" si="118"/>
        <v>0</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2.7040912958719795E-2</v>
      </c>
      <c r="C183" s="3">
        <f t="shared" si="119"/>
        <v>2.7040912958719587E-2</v>
      </c>
      <c r="D183" s="3">
        <f t="shared" si="119"/>
        <v>2.7040912958717515E-2</v>
      </c>
      <c r="E183" s="3">
        <f t="shared" si="119"/>
        <v>2.7040912958696789E-2</v>
      </c>
      <c r="F183" s="3">
        <f t="shared" si="119"/>
        <v>2.704091295848951E-2</v>
      </c>
      <c r="G183" s="3">
        <f t="shared" si="119"/>
        <v>2.7040912956416738E-2</v>
      </c>
      <c r="H183" s="3">
        <f t="shared" si="119"/>
        <v>2.7040912935689006E-2</v>
      </c>
      <c r="I183" s="3">
        <f t="shared" si="119"/>
        <v>2.7040912728411682E-2</v>
      </c>
      <c r="J183" s="3">
        <f t="shared" si="119"/>
        <v>2.7040910655638545E-2</v>
      </c>
      <c r="K183" s="3">
        <f t="shared" si="119"/>
        <v>2.7040889927915909E-2</v>
      </c>
      <c r="L183" s="3">
        <f t="shared" si="119"/>
        <v>2.7040682651563411E-2</v>
      </c>
      <c r="M183" s="3">
        <f t="shared" si="119"/>
        <v>2.7038609975422307E-2</v>
      </c>
      <c r="N183" s="3">
        <f t="shared" si="119"/>
        <v>2.7017891949919673E-2</v>
      </c>
      <c r="O183" s="3">
        <f t="shared" si="119"/>
        <v>2.6811582813154551E-2</v>
      </c>
      <c r="P183" s="3">
        <f t="shared" si="119"/>
        <v>2.483318247443447E-2</v>
      </c>
      <c r="Q183" s="3">
        <f t="shared" si="119"/>
        <v>1.1538029511534726E-2</v>
      </c>
      <c r="R183" s="3">
        <f t="shared" si="119"/>
        <v>5.4090911816558912E-6</v>
      </c>
      <c r="S183" s="3">
        <f t="shared" si="119"/>
        <v>2.7736449858541769E-39</v>
      </c>
      <c r="T183" s="3">
        <f t="shared" si="119"/>
        <v>0</v>
      </c>
      <c r="U183" s="3">
        <f t="shared" si="119"/>
        <v>0</v>
      </c>
      <c r="V183" s="3">
        <f t="shared" si="119"/>
        <v>0</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2.4600371351709244E-2</v>
      </c>
      <c r="C184" s="3">
        <f t="shared" si="120"/>
        <v>2.4600371351709227E-2</v>
      </c>
      <c r="D184" s="3">
        <f t="shared" si="120"/>
        <v>2.4600371351709061E-2</v>
      </c>
      <c r="E184" s="3">
        <f t="shared" si="120"/>
        <v>2.4600371351707357E-2</v>
      </c>
      <c r="F184" s="3">
        <f t="shared" si="120"/>
        <v>2.4600371351690346E-2</v>
      </c>
      <c r="G184" s="3">
        <f t="shared" si="120"/>
        <v>2.4600371351520243E-2</v>
      </c>
      <c r="H184" s="3">
        <f t="shared" si="120"/>
        <v>2.4600371349819187E-2</v>
      </c>
      <c r="I184" s="3">
        <f t="shared" si="120"/>
        <v>2.460037133280862E-2</v>
      </c>
      <c r="J184" s="3">
        <f t="shared" si="120"/>
        <v>2.4600371162702989E-2</v>
      </c>
      <c r="K184" s="3">
        <f t="shared" si="120"/>
        <v>2.4600369461646732E-2</v>
      </c>
      <c r="L184" s="3">
        <f t="shared" si="120"/>
        <v>2.4600352451090605E-2</v>
      </c>
      <c r="M184" s="3">
        <f t="shared" si="120"/>
        <v>2.4600182346176287E-2</v>
      </c>
      <c r="N184" s="3">
        <f t="shared" si="120"/>
        <v>2.459848136172442E-2</v>
      </c>
      <c r="O184" s="3">
        <f t="shared" si="120"/>
        <v>2.4581477984683835E-2</v>
      </c>
      <c r="P184" s="3">
        <f t="shared" si="120"/>
        <v>2.4412089310464034E-2</v>
      </c>
      <c r="Q184" s="3">
        <f t="shared" si="120"/>
        <v>2.2781091816719137E-2</v>
      </c>
      <c r="R184" s="3">
        <f t="shared" si="120"/>
        <v>1.1409598904927017E-2</v>
      </c>
      <c r="S184" s="3">
        <f t="shared" si="120"/>
        <v>1.1329971236319055E-5</v>
      </c>
      <c r="T184" s="3">
        <f t="shared" si="120"/>
        <v>1.0563628174111603E-35</v>
      </c>
      <c r="U184" s="3">
        <f t="shared" si="120"/>
        <v>0</v>
      </c>
      <c r="V184" s="3">
        <f t="shared" si="120"/>
        <v>0</v>
      </c>
      <c r="W184" s="3">
        <f t="shared" si="120"/>
        <v>0</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2.6294191463797297E-2</v>
      </c>
      <c r="C185" s="3">
        <f t="shared" si="121"/>
        <v>2.6294191463797294E-2</v>
      </c>
      <c r="D185" s="3">
        <f t="shared" si="121"/>
        <v>2.629419146379728E-2</v>
      </c>
      <c r="E185" s="3">
        <f t="shared" si="121"/>
        <v>2.6294191463797117E-2</v>
      </c>
      <c r="F185" s="3">
        <f t="shared" si="121"/>
        <v>2.6294191463795476E-2</v>
      </c>
      <c r="G185" s="3">
        <f t="shared" si="121"/>
        <v>2.6294191463779072E-2</v>
      </c>
      <c r="H185" s="3">
        <f t="shared" si="121"/>
        <v>2.6294191463615058E-2</v>
      </c>
      <c r="I185" s="3">
        <f t="shared" si="121"/>
        <v>2.6294191461974908E-2</v>
      </c>
      <c r="J185" s="3">
        <f t="shared" si="121"/>
        <v>2.6294191445573413E-2</v>
      </c>
      <c r="K185" s="3">
        <f t="shared" si="121"/>
        <v>2.6294191281558459E-2</v>
      </c>
      <c r="L185" s="3">
        <f t="shared" si="121"/>
        <v>2.6294189641408991E-2</v>
      </c>
      <c r="M185" s="3">
        <f t="shared" si="121"/>
        <v>2.6294173239919911E-2</v>
      </c>
      <c r="N185" s="3">
        <f t="shared" si="121"/>
        <v>2.6294009225591823E-2</v>
      </c>
      <c r="O185" s="3">
        <f t="shared" si="121"/>
        <v>2.6292369138578558E-2</v>
      </c>
      <c r="P185" s="3">
        <f t="shared" si="121"/>
        <v>2.6275973893910468E-2</v>
      </c>
      <c r="Q185" s="3">
        <f t="shared" si="121"/>
        <v>2.6112582697523416E-2</v>
      </c>
      <c r="R185" s="3">
        <f t="shared" si="121"/>
        <v>2.4533521757531977E-2</v>
      </c>
      <c r="S185" s="3">
        <f t="shared" si="121"/>
        <v>1.3148026253945616E-2</v>
      </c>
      <c r="T185" s="3">
        <f t="shared" si="121"/>
        <v>2.5696101399687406E-5</v>
      </c>
      <c r="U185" s="3">
        <f t="shared" si="121"/>
        <v>2.0889785714771918E-32</v>
      </c>
      <c r="V185" s="3">
        <f t="shared" si="121"/>
        <v>2.63391321857642E-303</v>
      </c>
      <c r="W185" s="3">
        <f t="shared" si="121"/>
        <v>0</v>
      </c>
      <c r="X185" s="3">
        <f t="shared" si="121"/>
        <v>0</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3.2623262585065489E-2</v>
      </c>
      <c r="C186" s="3">
        <f t="shared" si="122"/>
        <v>3.2623262585065489E-2</v>
      </c>
      <c r="D186" s="3">
        <f t="shared" si="122"/>
        <v>3.2623262585065482E-2</v>
      </c>
      <c r="E186" s="3">
        <f t="shared" si="122"/>
        <v>3.2623262585065468E-2</v>
      </c>
      <c r="F186" s="3">
        <f t="shared" si="122"/>
        <v>3.2623262585065288E-2</v>
      </c>
      <c r="G186" s="3">
        <f t="shared" si="122"/>
        <v>3.2623262585063449E-2</v>
      </c>
      <c r="H186" s="3">
        <f t="shared" si="122"/>
        <v>3.2623262585045096E-2</v>
      </c>
      <c r="I186" s="3">
        <f t="shared" si="122"/>
        <v>3.2623262584861527E-2</v>
      </c>
      <c r="J186" s="3">
        <f t="shared" si="122"/>
        <v>3.2623262583025843E-2</v>
      </c>
      <c r="K186" s="3">
        <f t="shared" si="122"/>
        <v>3.2623262564669013E-2</v>
      </c>
      <c r="L186" s="3">
        <f t="shared" si="122"/>
        <v>3.2623262381100748E-2</v>
      </c>
      <c r="M186" s="3">
        <f t="shared" si="122"/>
        <v>3.2623260545418149E-2</v>
      </c>
      <c r="N186" s="3">
        <f t="shared" si="122"/>
        <v>3.2623242188597829E-2</v>
      </c>
      <c r="O186" s="3">
        <f t="shared" si="122"/>
        <v>3.2623058620962715E-2</v>
      </c>
      <c r="P186" s="3">
        <f t="shared" si="122"/>
        <v>3.2621223001421042E-2</v>
      </c>
      <c r="Q186" s="3">
        <f t="shared" si="122"/>
        <v>3.2602872485765148E-2</v>
      </c>
      <c r="R186" s="3">
        <f t="shared" si="122"/>
        <v>3.2419934124566806E-2</v>
      </c>
      <c r="S186" s="3">
        <f t="shared" si="122"/>
        <v>3.0646067555286063E-2</v>
      </c>
      <c r="T186" s="3">
        <f t="shared" si="122"/>
        <v>1.7458262532424211E-2</v>
      </c>
      <c r="U186" s="3">
        <f t="shared" si="122"/>
        <v>6.2843978896464763E-5</v>
      </c>
      <c r="V186" s="3">
        <f t="shared" si="122"/>
        <v>2.2955682805300537E-29</v>
      </c>
      <c r="W186" s="3">
        <f t="shared" si="122"/>
        <v>9.7085780355828903E-274</v>
      </c>
      <c r="X186" s="3">
        <f t="shared" si="122"/>
        <v>0</v>
      </c>
      <c r="Y186" s="3">
        <f t="shared" si="122"/>
        <v>0</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8.8496332073838405E-2</v>
      </c>
      <c r="C187" s="3">
        <f t="shared" si="123"/>
        <v>8.8496332073838405E-2</v>
      </c>
      <c r="D187" s="3">
        <f t="shared" si="123"/>
        <v>8.8496332073838405E-2</v>
      </c>
      <c r="E187" s="3">
        <f t="shared" si="123"/>
        <v>8.8496332073838391E-2</v>
      </c>
      <c r="F187" s="3">
        <f t="shared" si="123"/>
        <v>8.8496332073838349E-2</v>
      </c>
      <c r="G187" s="3">
        <f t="shared" si="123"/>
        <v>8.8496332073837905E-2</v>
      </c>
      <c r="H187" s="3">
        <f t="shared" si="123"/>
        <v>8.8496332073833409E-2</v>
      </c>
      <c r="I187" s="3">
        <f t="shared" si="123"/>
        <v>8.84963320737885E-2</v>
      </c>
      <c r="J187" s="3">
        <f t="shared" si="123"/>
        <v>8.849633207333929E-2</v>
      </c>
      <c r="K187" s="3">
        <f t="shared" si="123"/>
        <v>8.8496332068847272E-2</v>
      </c>
      <c r="L187" s="3">
        <f t="shared" si="123"/>
        <v>8.8496332023927024E-2</v>
      </c>
      <c r="M187" s="3">
        <f t="shared" si="123"/>
        <v>8.8496331574724627E-2</v>
      </c>
      <c r="N187" s="3">
        <f t="shared" si="123"/>
        <v>8.8496327082700665E-2</v>
      </c>
      <c r="O187" s="3">
        <f t="shared" si="123"/>
        <v>8.8496282162473738E-2</v>
      </c>
      <c r="P187" s="3">
        <f t="shared" si="123"/>
        <v>8.849583296145852E-2</v>
      </c>
      <c r="Q187" s="3">
        <f t="shared" si="123"/>
        <v>8.8491341076710556E-2</v>
      </c>
      <c r="R187" s="3">
        <f t="shared" si="123"/>
        <v>8.8446434767308332E-2</v>
      </c>
      <c r="S187" s="3">
        <f t="shared" si="123"/>
        <v>8.7998623129446826E-2</v>
      </c>
      <c r="T187" s="3">
        <f t="shared" si="123"/>
        <v>8.3643333578771836E-2</v>
      </c>
      <c r="U187" s="3">
        <f t="shared" si="123"/>
        <v>5.0348425594429612E-2</v>
      </c>
      <c r="V187" s="3">
        <f t="shared" si="123"/>
        <v>3.1443545435941295E-4</v>
      </c>
      <c r="W187" s="3">
        <f t="shared" si="123"/>
        <v>2.8378383649176017E-26</v>
      </c>
      <c r="X187" s="3">
        <f t="shared" si="123"/>
        <v>1.0175344450893489E-246</v>
      </c>
      <c r="Y187" s="3">
        <f t="shared" si="123"/>
        <v>0</v>
      </c>
      <c r="Z187" s="3">
        <f t="shared" si="123"/>
        <v>0</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9.9309249865316016E-2</v>
      </c>
      <c r="C188" s="3">
        <f t="shared" si="124"/>
        <v>9.9309249865316016E-2</v>
      </c>
      <c r="D188" s="3">
        <f t="shared" si="124"/>
        <v>9.9309249865316016E-2</v>
      </c>
      <c r="E188" s="3">
        <f t="shared" si="124"/>
        <v>9.9309249865316016E-2</v>
      </c>
      <c r="F188" s="3">
        <f t="shared" si="124"/>
        <v>9.9309249865316016E-2</v>
      </c>
      <c r="G188" s="3">
        <f t="shared" si="124"/>
        <v>9.930924986531596E-2</v>
      </c>
      <c r="H188" s="3">
        <f t="shared" si="124"/>
        <v>9.9309249865315502E-2</v>
      </c>
      <c r="I188" s="3">
        <f t="shared" si="124"/>
        <v>9.9309249865310964E-2</v>
      </c>
      <c r="J188" s="3">
        <f t="shared" si="124"/>
        <v>9.9309249865265486E-2</v>
      </c>
      <c r="K188" s="3">
        <f t="shared" si="124"/>
        <v>9.9309249864810753E-2</v>
      </c>
      <c r="L188" s="3">
        <f t="shared" si="124"/>
        <v>9.930924986026346E-2</v>
      </c>
      <c r="M188" s="3">
        <f t="shared" si="124"/>
        <v>9.9309249814790529E-2</v>
      </c>
      <c r="N188" s="3">
        <f t="shared" si="124"/>
        <v>9.9309249360061053E-2</v>
      </c>
      <c r="O188" s="3">
        <f t="shared" si="124"/>
        <v>9.9309244812766512E-2</v>
      </c>
      <c r="P188" s="3">
        <f t="shared" si="124"/>
        <v>9.9309199339832538E-2</v>
      </c>
      <c r="Q188" s="3">
        <f t="shared" si="124"/>
        <v>9.9308744611637981E-2</v>
      </c>
      <c r="R188" s="3">
        <f t="shared" si="124"/>
        <v>9.9304197444209708E-2</v>
      </c>
      <c r="S188" s="3">
        <f t="shared" si="124"/>
        <v>9.9258737219714607E-2</v>
      </c>
      <c r="T188" s="3">
        <f t="shared" si="124"/>
        <v>9.8805278016079537E-2</v>
      </c>
      <c r="U188" s="3">
        <f t="shared" si="124"/>
        <v>9.4383077058657547E-2</v>
      </c>
      <c r="V188" s="3">
        <f t="shared" si="124"/>
        <v>5.970820389035196E-2</v>
      </c>
      <c r="W188" s="3">
        <f t="shared" si="124"/>
        <v>6.1296088070424766E-4</v>
      </c>
      <c r="X188" s="3">
        <f t="shared" si="124"/>
        <v>7.9693017870929329E-24</v>
      </c>
      <c r="Y188" s="3">
        <f t="shared" si="124"/>
        <v>1.0997536701250445E-222</v>
      </c>
      <c r="Z188" s="3">
        <f t="shared" si="124"/>
        <v>0</v>
      </c>
      <c r="AA188" s="3">
        <f t="shared" si="124"/>
        <v>0</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7.4938076557470937E-2</v>
      </c>
      <c r="C189" s="3">
        <f t="shared" si="125"/>
        <v>7.4938076557470937E-2</v>
      </c>
      <c r="D189" s="3">
        <f t="shared" si="125"/>
        <v>7.4938076557470937E-2</v>
      </c>
      <c r="E189" s="3">
        <f t="shared" si="125"/>
        <v>7.4938076557470937E-2</v>
      </c>
      <c r="F189" s="3">
        <f t="shared" si="125"/>
        <v>7.4938076557470937E-2</v>
      </c>
      <c r="G189" s="3">
        <f t="shared" si="125"/>
        <v>7.4938076557470937E-2</v>
      </c>
      <c r="H189" s="3">
        <f t="shared" si="125"/>
        <v>7.4938076557470909E-2</v>
      </c>
      <c r="I189" s="3">
        <f t="shared" si="125"/>
        <v>7.493807655747059E-2</v>
      </c>
      <c r="J189" s="3">
        <f t="shared" si="125"/>
        <v>7.4938076557467495E-2</v>
      </c>
      <c r="K189" s="3">
        <f t="shared" si="125"/>
        <v>7.4938076557436548E-2</v>
      </c>
      <c r="L189" s="3">
        <f t="shared" si="125"/>
        <v>7.4938076557127004E-2</v>
      </c>
      <c r="M189" s="3">
        <f t="shared" si="125"/>
        <v>7.4938076554031646E-2</v>
      </c>
      <c r="N189" s="3">
        <f t="shared" si="125"/>
        <v>7.4938076523077934E-2</v>
      </c>
      <c r="O189" s="3">
        <f t="shared" si="125"/>
        <v>7.4938076213540969E-2</v>
      </c>
      <c r="P189" s="3">
        <f t="shared" si="125"/>
        <v>7.4938073118171328E-2</v>
      </c>
      <c r="Q189" s="3">
        <f t="shared" si="125"/>
        <v>7.4938042164481994E-2</v>
      </c>
      <c r="R189" s="3">
        <f t="shared" si="125"/>
        <v>7.49377326282918E-2</v>
      </c>
      <c r="S189" s="3">
        <f t="shared" si="125"/>
        <v>7.4934637336709742E-2</v>
      </c>
      <c r="T189" s="3">
        <f t="shared" si="125"/>
        <v>7.4903691451797857E-2</v>
      </c>
      <c r="U189" s="3">
        <f t="shared" si="125"/>
        <v>7.4594934620196021E-2</v>
      </c>
      <c r="V189" s="3">
        <f t="shared" si="125"/>
        <v>7.1576506905831463E-2</v>
      </c>
      <c r="W189" s="3">
        <f t="shared" si="125"/>
        <v>4.7356775502135351E-2</v>
      </c>
      <c r="X189" s="3">
        <f t="shared" si="125"/>
        <v>7.611992679913155E-4</v>
      </c>
      <c r="Y189" s="3">
        <f t="shared" si="125"/>
        <v>8.7631600425339666E-22</v>
      </c>
      <c r="Z189" s="3">
        <f t="shared" si="125"/>
        <v>3.5833114467701039E-201</v>
      </c>
      <c r="AA189" s="3">
        <f t="shared" si="125"/>
        <v>0</v>
      </c>
      <c r="AB189" s="3">
        <f t="shared" si="125"/>
        <v>0</v>
      </c>
      <c r="AC189" s="3">
        <f t="shared" si="125"/>
        <v>0</v>
      </c>
      <c r="AD189" s="3">
        <f t="shared" si="125"/>
        <v>0</v>
      </c>
      <c r="AE189" s="3">
        <f t="shared" si="125"/>
        <v>0</v>
      </c>
      <c r="AF189" s="3">
        <f t="shared" si="125"/>
        <v>0</v>
      </c>
      <c r="AG189" s="3"/>
      <c r="AH189" s="3"/>
    </row>
    <row r="190" spans="2:34" x14ac:dyDescent="0.25">
      <c r="B190" s="3">
        <f t="shared" ref="B190:AF190" si="126">$C37*EXP(-B$168/$A37/EXP(-$C$126))</f>
        <v>6.9322857874701022E-2</v>
      </c>
      <c r="C190" s="3">
        <f t="shared" si="126"/>
        <v>6.9322857874701022E-2</v>
      </c>
      <c r="D190" s="3">
        <f t="shared" si="126"/>
        <v>6.9322857874701022E-2</v>
      </c>
      <c r="E190" s="3">
        <f t="shared" si="126"/>
        <v>6.9322857874701022E-2</v>
      </c>
      <c r="F190" s="3">
        <f t="shared" si="126"/>
        <v>6.9322857874701022E-2</v>
      </c>
      <c r="G190" s="3">
        <f t="shared" si="126"/>
        <v>6.9322857874701022E-2</v>
      </c>
      <c r="H190" s="3">
        <f t="shared" si="126"/>
        <v>6.9322857874701022E-2</v>
      </c>
      <c r="I190" s="3">
        <f t="shared" si="126"/>
        <v>6.9322857874700994E-2</v>
      </c>
      <c r="J190" s="3">
        <f t="shared" si="126"/>
        <v>6.932285787470073E-2</v>
      </c>
      <c r="K190" s="3">
        <f t="shared" si="126"/>
        <v>6.9322857874698149E-2</v>
      </c>
      <c r="L190" s="3">
        <f t="shared" si="126"/>
        <v>6.9322857874672322E-2</v>
      </c>
      <c r="M190" s="3">
        <f t="shared" si="126"/>
        <v>6.9322857874414015E-2</v>
      </c>
      <c r="N190" s="3">
        <f t="shared" si="126"/>
        <v>6.932285787183097E-2</v>
      </c>
      <c r="O190" s="3">
        <f t="shared" si="126"/>
        <v>6.9322857846000452E-2</v>
      </c>
      <c r="P190" s="3">
        <f t="shared" si="126"/>
        <v>6.9322857587695311E-2</v>
      </c>
      <c r="Q190" s="3">
        <f t="shared" si="126"/>
        <v>6.9322855004644038E-2</v>
      </c>
      <c r="R190" s="3">
        <f t="shared" si="126"/>
        <v>6.932282917413661E-2</v>
      </c>
      <c r="S190" s="3">
        <f t="shared" si="126"/>
        <v>6.9322570869591635E-2</v>
      </c>
      <c r="T190" s="3">
        <f t="shared" si="126"/>
        <v>6.9319987877077188E-2</v>
      </c>
      <c r="U190" s="3">
        <f t="shared" si="126"/>
        <v>6.9294163244736362E-2</v>
      </c>
      <c r="V190" s="3">
        <f t="shared" si="126"/>
        <v>6.9036445472715369E-2</v>
      </c>
      <c r="W190" s="3">
        <f t="shared" si="126"/>
        <v>6.6511401402449946E-2</v>
      </c>
      <c r="X190" s="3">
        <f t="shared" si="126"/>
        <v>4.5821875349742539E-2</v>
      </c>
      <c r="Y190" s="3">
        <f t="shared" si="126"/>
        <v>1.103673130651135E-3</v>
      </c>
      <c r="Z190" s="3">
        <f t="shared" si="126"/>
        <v>7.2529815058207868E-20</v>
      </c>
      <c r="AA190" s="3">
        <f t="shared" si="126"/>
        <v>1.0896262936781521E-181</v>
      </c>
      <c r="AB190" s="3">
        <f t="shared" si="126"/>
        <v>0</v>
      </c>
      <c r="AC190" s="3">
        <f t="shared" si="126"/>
        <v>0</v>
      </c>
      <c r="AD190" s="3">
        <f t="shared" si="126"/>
        <v>0</v>
      </c>
      <c r="AE190" s="3">
        <f t="shared" si="126"/>
        <v>0</v>
      </c>
      <c r="AF190" s="3">
        <f t="shared" si="126"/>
        <v>0</v>
      </c>
      <c r="AG190" s="3"/>
      <c r="AH190" s="3"/>
    </row>
    <row r="191" spans="2:34" x14ac:dyDescent="0.25">
      <c r="B191" s="3">
        <f t="shared" ref="B191:AF191" si="127">$C38*EXP(-B$168/$A38/EXP(-$C$126))</f>
        <v>2.2465875921068256E-2</v>
      </c>
      <c r="C191" s="3">
        <f t="shared" si="127"/>
        <v>2.2465875921068256E-2</v>
      </c>
      <c r="D191" s="3">
        <f t="shared" si="127"/>
        <v>2.2465875921068256E-2</v>
      </c>
      <c r="E191" s="3">
        <f t="shared" si="127"/>
        <v>2.2465875921068256E-2</v>
      </c>
      <c r="F191" s="3">
        <f t="shared" si="127"/>
        <v>2.2465875921068256E-2</v>
      </c>
      <c r="G191" s="3">
        <f t="shared" si="127"/>
        <v>2.2465875921068256E-2</v>
      </c>
      <c r="H191" s="3">
        <f t="shared" si="127"/>
        <v>2.2465875921068256E-2</v>
      </c>
      <c r="I191" s="3">
        <f t="shared" si="127"/>
        <v>2.2465875921068256E-2</v>
      </c>
      <c r="J191" s="3">
        <f t="shared" si="127"/>
        <v>2.2465875921068249E-2</v>
      </c>
      <c r="K191" s="3">
        <f t="shared" si="127"/>
        <v>2.2465875921068173E-2</v>
      </c>
      <c r="L191" s="3">
        <f t="shared" si="127"/>
        <v>2.2465875921067417E-2</v>
      </c>
      <c r="M191" s="3">
        <f t="shared" si="127"/>
        <v>2.2465875921059867E-2</v>
      </c>
      <c r="N191" s="3">
        <f t="shared" si="127"/>
        <v>2.2465875920984351E-2</v>
      </c>
      <c r="O191" s="3">
        <f t="shared" si="127"/>
        <v>2.2465875920229212E-2</v>
      </c>
      <c r="P191" s="3">
        <f t="shared" si="127"/>
        <v>2.2465875912677829E-2</v>
      </c>
      <c r="Q191" s="3">
        <f t="shared" si="127"/>
        <v>2.2465875837163998E-2</v>
      </c>
      <c r="R191" s="3">
        <f t="shared" si="127"/>
        <v>2.2465875082025664E-2</v>
      </c>
      <c r="S191" s="3">
        <f t="shared" si="127"/>
        <v>2.2465867530643741E-2</v>
      </c>
      <c r="T191" s="3">
        <f t="shared" si="127"/>
        <v>2.2465792016964109E-2</v>
      </c>
      <c r="U191" s="3">
        <f t="shared" si="127"/>
        <v>2.2465036894127821E-2</v>
      </c>
      <c r="V191" s="3">
        <f t="shared" si="127"/>
        <v>2.2457487061594436E-2</v>
      </c>
      <c r="W191" s="3">
        <f t="shared" si="127"/>
        <v>2.2382128145771427E-2</v>
      </c>
      <c r="X191" s="3">
        <f t="shared" si="127"/>
        <v>2.1642308107101892E-2</v>
      </c>
      <c r="Y191" s="3">
        <f t="shared" si="127"/>
        <v>1.5464132121552357E-2</v>
      </c>
      <c r="Z191" s="3">
        <f t="shared" si="127"/>
        <v>5.3646984075061922E-4</v>
      </c>
      <c r="AA191" s="3">
        <f t="shared" si="127"/>
        <v>1.3543874310038047E-18</v>
      </c>
      <c r="AB191" s="3">
        <f t="shared" si="127"/>
        <v>1.4246853032500196E-164</v>
      </c>
      <c r="AC191" s="3">
        <f t="shared" si="127"/>
        <v>0</v>
      </c>
      <c r="AD191" s="3">
        <f t="shared" si="127"/>
        <v>0</v>
      </c>
      <c r="AE191" s="3">
        <f t="shared" si="127"/>
        <v>0</v>
      </c>
      <c r="AF191" s="3">
        <f t="shared" si="127"/>
        <v>0</v>
      </c>
      <c r="AG191" s="3"/>
      <c r="AH191" s="3"/>
    </row>
    <row r="192" spans="2:34" x14ac:dyDescent="0.25">
      <c r="B192" s="3">
        <f t="shared" ref="B192:AF192" si="128">$C39*EXP(-B$168/$A39/EXP(-$C$126))</f>
        <v>5.8329528880761261E-2</v>
      </c>
      <c r="C192" s="3">
        <f t="shared" si="128"/>
        <v>5.8329528880761261E-2</v>
      </c>
      <c r="D192" s="3">
        <f t="shared" si="128"/>
        <v>5.8329528880761261E-2</v>
      </c>
      <c r="E192" s="3">
        <f t="shared" si="128"/>
        <v>5.8329528880761261E-2</v>
      </c>
      <c r="F192" s="3">
        <f t="shared" si="128"/>
        <v>5.8329528880761261E-2</v>
      </c>
      <c r="G192" s="3">
        <f t="shared" si="128"/>
        <v>5.8329528880761261E-2</v>
      </c>
      <c r="H192" s="3">
        <f t="shared" si="128"/>
        <v>5.8329528880761261E-2</v>
      </c>
      <c r="I192" s="3">
        <f t="shared" si="128"/>
        <v>5.8329528880761261E-2</v>
      </c>
      <c r="J192" s="3">
        <f t="shared" si="128"/>
        <v>5.8329528880761254E-2</v>
      </c>
      <c r="K192" s="3">
        <f t="shared" si="128"/>
        <v>5.8329528880761206E-2</v>
      </c>
      <c r="L192" s="3">
        <f t="shared" si="128"/>
        <v>5.8329528880760657E-2</v>
      </c>
      <c r="M192" s="3">
        <f t="shared" si="128"/>
        <v>5.8329528880755238E-2</v>
      </c>
      <c r="N192" s="3">
        <f t="shared" si="128"/>
        <v>5.8329528880701011E-2</v>
      </c>
      <c r="O192" s="3">
        <f t="shared" si="128"/>
        <v>5.832952888015875E-2</v>
      </c>
      <c r="P192" s="3">
        <f t="shared" si="128"/>
        <v>5.8329528874736192E-2</v>
      </c>
      <c r="Q192" s="3">
        <f t="shared" si="128"/>
        <v>5.8329528820510575E-2</v>
      </c>
      <c r="R192" s="3">
        <f t="shared" si="128"/>
        <v>5.8329528278254411E-2</v>
      </c>
      <c r="S192" s="3">
        <f t="shared" si="128"/>
        <v>5.8329522855693053E-2</v>
      </c>
      <c r="T192" s="3">
        <f t="shared" si="128"/>
        <v>5.8329468630107177E-2</v>
      </c>
      <c r="U192" s="3">
        <f t="shared" si="128"/>
        <v>5.8328926377021015E-2</v>
      </c>
      <c r="V192" s="3">
        <f t="shared" si="128"/>
        <v>5.8323504123406249E-2</v>
      </c>
      <c r="W192" s="3">
        <f t="shared" si="128"/>
        <v>5.8269309302409637E-2</v>
      </c>
      <c r="X192" s="3">
        <f t="shared" si="128"/>
        <v>5.7730123098092535E-2</v>
      </c>
      <c r="Y192" s="3">
        <f t="shared" si="128"/>
        <v>5.260519285253247E-2</v>
      </c>
      <c r="Z192" s="3">
        <f t="shared" si="128"/>
        <v>2.0762992754293087E-2</v>
      </c>
      <c r="AA192" s="3">
        <f t="shared" si="128"/>
        <v>1.9050365201264373E-6</v>
      </c>
      <c r="AB192" s="3">
        <f t="shared" si="128"/>
        <v>8.0544675858253101E-47</v>
      </c>
      <c r="AC192" s="3">
        <f t="shared" si="128"/>
        <v>0</v>
      </c>
      <c r="AD192" s="3">
        <f t="shared" si="128"/>
        <v>0</v>
      </c>
      <c r="AE192" s="3">
        <f t="shared" si="128"/>
        <v>0</v>
      </c>
      <c r="AF192" s="3">
        <f t="shared" si="128"/>
        <v>0</v>
      </c>
      <c r="AG192" s="3"/>
      <c r="AH192" s="3"/>
    </row>
    <row r="193" spans="1:34" x14ac:dyDescent="0.25">
      <c r="B193" s="3">
        <f t="shared" ref="B193:AF193" si="129">$C40*EXP(-B$168/$A40/EXP(-$C$126))</f>
        <v>3.4551716494444183E-2</v>
      </c>
      <c r="C193" s="3">
        <f t="shared" si="129"/>
        <v>3.4551716494444183E-2</v>
      </c>
      <c r="D193" s="3">
        <f t="shared" si="129"/>
        <v>3.4551716494444183E-2</v>
      </c>
      <c r="E193" s="3">
        <f t="shared" si="129"/>
        <v>3.4551716494444183E-2</v>
      </c>
      <c r="F193" s="3">
        <f t="shared" si="129"/>
        <v>3.4551716494444183E-2</v>
      </c>
      <c r="G193" s="3">
        <f t="shared" si="129"/>
        <v>3.4551716494444183E-2</v>
      </c>
      <c r="H193" s="3">
        <f t="shared" si="129"/>
        <v>3.4551716494444183E-2</v>
      </c>
      <c r="I193" s="3">
        <f t="shared" si="129"/>
        <v>3.4551716494444183E-2</v>
      </c>
      <c r="J193" s="3">
        <f t="shared" si="129"/>
        <v>3.4551716494444183E-2</v>
      </c>
      <c r="K193" s="3">
        <f t="shared" si="129"/>
        <v>3.4551716494444176E-2</v>
      </c>
      <c r="L193" s="3">
        <f t="shared" si="129"/>
        <v>3.4551716494444148E-2</v>
      </c>
      <c r="M193" s="3">
        <f t="shared" si="129"/>
        <v>3.4551716494443829E-2</v>
      </c>
      <c r="N193" s="3">
        <f t="shared" si="129"/>
        <v>3.4551716494440617E-2</v>
      </c>
      <c r="O193" s="3">
        <f t="shared" si="129"/>
        <v>3.455171649440849E-2</v>
      </c>
      <c r="P193" s="3">
        <f t="shared" si="129"/>
        <v>3.4551716494087281E-2</v>
      </c>
      <c r="Q193" s="3">
        <f t="shared" si="129"/>
        <v>3.4551716490875212E-2</v>
      </c>
      <c r="R193" s="3">
        <f t="shared" si="129"/>
        <v>3.4551716458754461E-2</v>
      </c>
      <c r="S193" s="3">
        <f t="shared" si="129"/>
        <v>3.4551716137546977E-2</v>
      </c>
      <c r="T193" s="3">
        <f t="shared" si="129"/>
        <v>3.4551712925472301E-2</v>
      </c>
      <c r="U193" s="3">
        <f t="shared" si="129"/>
        <v>3.4551680804741927E-2</v>
      </c>
      <c r="V193" s="3">
        <f t="shared" si="129"/>
        <v>3.455135959908056E-2</v>
      </c>
      <c r="W193" s="3">
        <f t="shared" si="129"/>
        <v>3.454814770669512E-2</v>
      </c>
      <c r="X193" s="3">
        <f t="shared" si="129"/>
        <v>3.4516045200015014E-2</v>
      </c>
      <c r="Y193" s="3">
        <f t="shared" si="129"/>
        <v>3.419665621768047E-2</v>
      </c>
      <c r="Z193" s="3">
        <f t="shared" si="129"/>
        <v>3.1160884451713094E-2</v>
      </c>
      <c r="AA193" s="3">
        <f t="shared" si="129"/>
        <v>1.2299037091299935E-2</v>
      </c>
      <c r="AB193" s="3">
        <f t="shared" si="129"/>
        <v>1.1284555698971406E-6</v>
      </c>
      <c r="AC193" s="3">
        <f t="shared" si="129"/>
        <v>4.7710942618450701E-47</v>
      </c>
      <c r="AD193" s="3">
        <f t="shared" si="129"/>
        <v>0</v>
      </c>
      <c r="AE193" s="3">
        <f t="shared" si="129"/>
        <v>0</v>
      </c>
      <c r="AF193" s="3">
        <f t="shared" si="129"/>
        <v>0</v>
      </c>
      <c r="AG193" s="3"/>
      <c r="AH193" s="3"/>
    </row>
    <row r="194" spans="1:34" x14ac:dyDescent="0.25">
      <c r="B194" s="3">
        <f t="shared" ref="B194:AF194" si="130">$C41*EXP(-B$168/$A41/EXP(-$C$126))</f>
        <v>3.2785105338059839E-2</v>
      </c>
      <c r="C194" s="3">
        <f t="shared" si="130"/>
        <v>3.2785105338059839E-2</v>
      </c>
      <c r="D194" s="3">
        <f t="shared" si="130"/>
        <v>3.2785105338059839E-2</v>
      </c>
      <c r="E194" s="3">
        <f t="shared" si="130"/>
        <v>3.2785105338059839E-2</v>
      </c>
      <c r="F194" s="3">
        <f t="shared" si="130"/>
        <v>3.2785105338059839E-2</v>
      </c>
      <c r="G194" s="3">
        <f t="shared" si="130"/>
        <v>3.2785105338059839E-2</v>
      </c>
      <c r="H194" s="3">
        <f t="shared" si="130"/>
        <v>3.2785105338059839E-2</v>
      </c>
      <c r="I194" s="3">
        <f t="shared" si="130"/>
        <v>3.2785105338059839E-2</v>
      </c>
      <c r="J194" s="3">
        <f t="shared" si="130"/>
        <v>3.2785105338059839E-2</v>
      </c>
      <c r="K194" s="3">
        <f t="shared" si="130"/>
        <v>3.2785105338059839E-2</v>
      </c>
      <c r="L194" s="3">
        <f t="shared" si="130"/>
        <v>3.2785105338059832E-2</v>
      </c>
      <c r="M194" s="3">
        <f t="shared" si="130"/>
        <v>3.2785105338059804E-2</v>
      </c>
      <c r="N194" s="3">
        <f t="shared" si="130"/>
        <v>3.2785105338059499E-2</v>
      </c>
      <c r="O194" s="3">
        <f t="shared" si="130"/>
        <v>3.2785105338056453E-2</v>
      </c>
      <c r="P194" s="3">
        <f t="shared" si="130"/>
        <v>3.278510533802597E-2</v>
      </c>
      <c r="Q194" s="3">
        <f t="shared" si="130"/>
        <v>3.2785105337721186E-2</v>
      </c>
      <c r="R194" s="3">
        <f t="shared" si="130"/>
        <v>3.2785105334673346E-2</v>
      </c>
      <c r="S194" s="3">
        <f t="shared" si="130"/>
        <v>3.2785105304194914E-2</v>
      </c>
      <c r="T194" s="3">
        <f t="shared" si="130"/>
        <v>3.2785104999410605E-2</v>
      </c>
      <c r="U194" s="3">
        <f t="shared" si="130"/>
        <v>3.2785101951567613E-2</v>
      </c>
      <c r="V194" s="3">
        <f t="shared" si="130"/>
        <v>3.2785071473153356E-2</v>
      </c>
      <c r="W194" s="3">
        <f t="shared" si="130"/>
        <v>3.2784766690569116E-2</v>
      </c>
      <c r="X194" s="3">
        <f t="shared" si="130"/>
        <v>3.2781719020558049E-2</v>
      </c>
      <c r="Y194" s="3">
        <f t="shared" si="130"/>
        <v>3.2751257898220108E-2</v>
      </c>
      <c r="Z194" s="3">
        <f t="shared" si="130"/>
        <v>3.2448199107165905E-2</v>
      </c>
      <c r="AA194" s="3">
        <f t="shared" si="130"/>
        <v>2.9567644760595244E-2</v>
      </c>
      <c r="AB194" s="3">
        <f t="shared" si="130"/>
        <v>1.1670193770541354E-2</v>
      </c>
      <c r="AC194" s="3">
        <f t="shared" si="130"/>
        <v>1.0707582280129857E-6</v>
      </c>
      <c r="AD194" s="3">
        <f t="shared" si="130"/>
        <v>4.5271507126876177E-47</v>
      </c>
      <c r="AE194" s="3">
        <f t="shared" si="130"/>
        <v>0</v>
      </c>
      <c r="AF194" s="3">
        <f t="shared" si="130"/>
        <v>0</v>
      </c>
      <c r="AG194" s="3"/>
      <c r="AH194" s="3"/>
    </row>
    <row r="195" spans="1:34" x14ac:dyDescent="0.25">
      <c r="B195" s="3">
        <f t="shared" ref="B195:AF195" si="131">$C42*EXP(-B$168/$A42/EXP(-$C$126))</f>
        <v>1.3184627495592977E-2</v>
      </c>
      <c r="C195" s="3">
        <f t="shared" si="131"/>
        <v>1.3184627495592977E-2</v>
      </c>
      <c r="D195" s="3">
        <f t="shared" si="131"/>
        <v>1.3184627495592977E-2</v>
      </c>
      <c r="E195" s="3">
        <f t="shared" si="131"/>
        <v>1.3184627495592977E-2</v>
      </c>
      <c r="F195" s="3">
        <f t="shared" si="131"/>
        <v>1.3184627495592977E-2</v>
      </c>
      <c r="G195" s="3">
        <f t="shared" si="131"/>
        <v>1.3184627495592977E-2</v>
      </c>
      <c r="H195" s="3">
        <f t="shared" si="131"/>
        <v>1.3184627495592977E-2</v>
      </c>
      <c r="I195" s="3">
        <f t="shared" si="131"/>
        <v>1.3184627495592977E-2</v>
      </c>
      <c r="J195" s="3">
        <f t="shared" si="131"/>
        <v>1.3184627495592977E-2</v>
      </c>
      <c r="K195" s="3">
        <f t="shared" si="131"/>
        <v>1.3184627495592977E-2</v>
      </c>
      <c r="L195" s="3">
        <f t="shared" si="131"/>
        <v>1.3184627495592977E-2</v>
      </c>
      <c r="M195" s="3">
        <f t="shared" si="131"/>
        <v>1.3184627495592975E-2</v>
      </c>
      <c r="N195" s="3">
        <f t="shared" si="131"/>
        <v>1.3184627495592963E-2</v>
      </c>
      <c r="O195" s="3">
        <f t="shared" si="131"/>
        <v>1.3184627495592842E-2</v>
      </c>
      <c r="P195" s="3">
        <f t="shared" si="131"/>
        <v>1.3184627495591615E-2</v>
      </c>
      <c r="Q195" s="3">
        <f t="shared" si="131"/>
        <v>1.3184627495579358E-2</v>
      </c>
      <c r="R195" s="3">
        <f t="shared" si="131"/>
        <v>1.3184627495456788E-2</v>
      </c>
      <c r="S195" s="3">
        <f t="shared" si="131"/>
        <v>1.3184627494231089E-2</v>
      </c>
      <c r="T195" s="3">
        <f t="shared" si="131"/>
        <v>1.3184627481974097E-2</v>
      </c>
      <c r="U195" s="3">
        <f t="shared" si="131"/>
        <v>1.3184627359404181E-2</v>
      </c>
      <c r="V195" s="3">
        <f t="shared" si="131"/>
        <v>1.3184626133705071E-2</v>
      </c>
      <c r="W195" s="3">
        <f t="shared" si="131"/>
        <v>1.3184613876720243E-2</v>
      </c>
      <c r="X195" s="3">
        <f t="shared" si="131"/>
        <v>1.3184491307498675E-2</v>
      </c>
      <c r="Y195" s="3">
        <f t="shared" si="131"/>
        <v>1.3183265677951016E-2</v>
      </c>
      <c r="Z195" s="3">
        <f t="shared" si="131"/>
        <v>1.317101564712201E-2</v>
      </c>
      <c r="AA195" s="3">
        <f t="shared" si="131"/>
        <v>1.304913965410283E-2</v>
      </c>
      <c r="AB195" s="3">
        <f t="shared" si="131"/>
        <v>1.1890716167317326E-2</v>
      </c>
      <c r="AC195" s="3">
        <f t="shared" si="131"/>
        <v>4.6932030896162736E-3</v>
      </c>
      <c r="AD195" s="3">
        <f t="shared" si="131"/>
        <v>4.3060860194350304E-7</v>
      </c>
      <c r="AE195" s="3">
        <f t="shared" si="131"/>
        <v>1.8206071064198318E-47</v>
      </c>
      <c r="AF195" s="3">
        <f t="shared" si="131"/>
        <v>0</v>
      </c>
      <c r="AG195" s="3"/>
      <c r="AH195" s="3"/>
    </row>
    <row r="196" spans="1:34" x14ac:dyDescent="0.25">
      <c r="B196" s="3">
        <f t="shared" ref="B196:AF196" si="132">$C43*EXP(-B$168/$A43/EXP(-$C$126))</f>
        <v>9.0966723550024858E-3</v>
      </c>
      <c r="C196" s="3">
        <f t="shared" si="132"/>
        <v>9.0966723550024858E-3</v>
      </c>
      <c r="D196" s="3">
        <f t="shared" si="132"/>
        <v>9.0966723550024858E-3</v>
      </c>
      <c r="E196" s="3">
        <f t="shared" si="132"/>
        <v>9.0966723550024858E-3</v>
      </c>
      <c r="F196" s="3">
        <f t="shared" si="132"/>
        <v>9.0966723550024858E-3</v>
      </c>
      <c r="G196" s="3">
        <f t="shared" si="132"/>
        <v>9.0966723550024858E-3</v>
      </c>
      <c r="H196" s="3">
        <f t="shared" si="132"/>
        <v>9.0966723550024858E-3</v>
      </c>
      <c r="I196" s="3">
        <f t="shared" si="132"/>
        <v>9.0966723550024858E-3</v>
      </c>
      <c r="J196" s="3">
        <f t="shared" si="132"/>
        <v>9.0966723550024858E-3</v>
      </c>
      <c r="K196" s="3">
        <f t="shared" si="132"/>
        <v>9.0966723550024858E-3</v>
      </c>
      <c r="L196" s="3">
        <f t="shared" si="132"/>
        <v>9.0966723550024858E-3</v>
      </c>
      <c r="M196" s="3">
        <f t="shared" si="132"/>
        <v>9.0966723550024858E-3</v>
      </c>
      <c r="N196" s="3">
        <f t="shared" si="132"/>
        <v>9.0966723550024841E-3</v>
      </c>
      <c r="O196" s="3">
        <f t="shared" si="132"/>
        <v>9.0966723550024772E-3</v>
      </c>
      <c r="P196" s="3">
        <f t="shared" si="132"/>
        <v>9.0966723550023922E-3</v>
      </c>
      <c r="Q196" s="3">
        <f t="shared" si="132"/>
        <v>9.0966723550015473E-3</v>
      </c>
      <c r="R196" s="3">
        <f t="shared" si="132"/>
        <v>9.0966723549930888E-3</v>
      </c>
      <c r="S196" s="3">
        <f t="shared" si="132"/>
        <v>9.0966723549085228E-3</v>
      </c>
      <c r="T196" s="3">
        <f t="shared" si="132"/>
        <v>9.0966723540628572E-3</v>
      </c>
      <c r="U196" s="3">
        <f t="shared" si="132"/>
        <v>9.0966723456062035E-3</v>
      </c>
      <c r="V196" s="3">
        <f t="shared" si="132"/>
        <v>9.0966722610396605E-3</v>
      </c>
      <c r="W196" s="3">
        <f t="shared" si="132"/>
        <v>9.0966714153742651E-3</v>
      </c>
      <c r="X196" s="3">
        <f t="shared" si="132"/>
        <v>9.0966629587246502E-3</v>
      </c>
      <c r="Y196" s="3">
        <f t="shared" si="132"/>
        <v>9.0965783926608926E-3</v>
      </c>
      <c r="Z196" s="3">
        <f t="shared" si="132"/>
        <v>9.0957327752608265E-3</v>
      </c>
      <c r="AA196" s="3">
        <f t="shared" si="132"/>
        <v>9.0872809235245985E-3</v>
      </c>
      <c r="AB196" s="3">
        <f t="shared" si="132"/>
        <v>9.0031931495767482E-3</v>
      </c>
      <c r="AC196" s="3">
        <f t="shared" si="132"/>
        <v>8.203944258309278E-3</v>
      </c>
      <c r="AD196" s="3">
        <f t="shared" si="132"/>
        <v>3.2380536208546497E-3</v>
      </c>
      <c r="AE196" s="3">
        <f t="shared" si="132"/>
        <v>2.9709640006401732E-7</v>
      </c>
      <c r="AF196" s="3">
        <f t="shared" si="132"/>
        <v>1.2561193966098852E-47</v>
      </c>
      <c r="AG196" s="3"/>
      <c r="AH196" s="3"/>
    </row>
    <row r="197" spans="1:34" x14ac:dyDescent="0.25">
      <c r="B197" s="3">
        <f t="shared" ref="B197:AF197" si="133">$C44*EXP(-B$168/$A44/EXP(-$C$126))</f>
        <v>3.0393849329234364E-3</v>
      </c>
      <c r="C197" s="3">
        <f t="shared" si="133"/>
        <v>3.0393849329234364E-3</v>
      </c>
      <c r="D197" s="3">
        <f t="shared" si="133"/>
        <v>3.0393849329234364E-3</v>
      </c>
      <c r="E197" s="3">
        <f t="shared" si="133"/>
        <v>3.0393849329234364E-3</v>
      </c>
      <c r="F197" s="3">
        <f t="shared" si="133"/>
        <v>3.0393849329234364E-3</v>
      </c>
      <c r="G197" s="3">
        <f t="shared" si="133"/>
        <v>3.0393849329234364E-3</v>
      </c>
      <c r="H197" s="3">
        <f t="shared" si="133"/>
        <v>3.0393849329234364E-3</v>
      </c>
      <c r="I197" s="3">
        <f t="shared" si="133"/>
        <v>3.0393849329234364E-3</v>
      </c>
      <c r="J197" s="3">
        <f t="shared" si="133"/>
        <v>3.0393849329234364E-3</v>
      </c>
      <c r="K197" s="3">
        <f t="shared" si="133"/>
        <v>3.0393849329234364E-3</v>
      </c>
      <c r="L197" s="3">
        <f t="shared" si="133"/>
        <v>3.0393849329234364E-3</v>
      </c>
      <c r="M197" s="3">
        <f t="shared" si="133"/>
        <v>3.0393849329234364E-3</v>
      </c>
      <c r="N197" s="3">
        <f t="shared" si="133"/>
        <v>3.0393849329234364E-3</v>
      </c>
      <c r="O197" s="3">
        <f t="shared" si="133"/>
        <v>3.039384932923436E-3</v>
      </c>
      <c r="P197" s="3">
        <f t="shared" si="133"/>
        <v>3.0393849329234334E-3</v>
      </c>
      <c r="Q197" s="3">
        <f t="shared" si="133"/>
        <v>3.0393849329234052E-3</v>
      </c>
      <c r="R197" s="3">
        <f t="shared" si="133"/>
        <v>3.0393849329231224E-3</v>
      </c>
      <c r="S197" s="3">
        <f t="shared" si="133"/>
        <v>3.039384932920297E-3</v>
      </c>
      <c r="T197" s="3">
        <f t="shared" si="133"/>
        <v>3.0393849328920414E-3</v>
      </c>
      <c r="U197" s="3">
        <f t="shared" si="133"/>
        <v>3.0393849326094875E-3</v>
      </c>
      <c r="V197" s="3">
        <f t="shared" si="133"/>
        <v>3.0393849297839456E-3</v>
      </c>
      <c r="W197" s="3">
        <f t="shared" si="133"/>
        <v>3.0393849015285276E-3</v>
      </c>
      <c r="X197" s="3">
        <f t="shared" si="133"/>
        <v>3.0393846189743631E-3</v>
      </c>
      <c r="Y197" s="3">
        <f t="shared" si="133"/>
        <v>3.0393817934341633E-3</v>
      </c>
      <c r="Z197" s="3">
        <f t="shared" si="133"/>
        <v>3.0393535381766372E-3</v>
      </c>
      <c r="AA197" s="3">
        <f t="shared" si="133"/>
        <v>3.0390710000479152E-3</v>
      </c>
      <c r="AB197" s="3">
        <f t="shared" si="133"/>
        <v>3.0362470629179527E-3</v>
      </c>
      <c r="AC197" s="3">
        <f t="shared" si="133"/>
        <v>3.0081516118336208E-3</v>
      </c>
      <c r="AD197" s="3">
        <f t="shared" si="133"/>
        <v>2.741106153563573E-3</v>
      </c>
      <c r="AE197" s="3">
        <f t="shared" si="133"/>
        <v>1.0819001721889664E-3</v>
      </c>
      <c r="AF197" s="3">
        <f t="shared" si="133"/>
        <v>9.9266004835690367E-8</v>
      </c>
      <c r="AG197" s="3"/>
      <c r="AH197" s="3"/>
    </row>
    <row r="198" spans="1:34" x14ac:dyDescent="0.25">
      <c r="B198" s="3">
        <f t="shared" ref="B198:AF198" si="134">$C45*EXP(-B$168/$A45/EXP(-$C$126))</f>
        <v>2.6495422897411186E-3</v>
      </c>
      <c r="C198" s="3">
        <f t="shared" si="134"/>
        <v>2.6495422897411186E-3</v>
      </c>
      <c r="D198" s="3">
        <f t="shared" si="134"/>
        <v>2.6495422897411186E-3</v>
      </c>
      <c r="E198" s="3">
        <f t="shared" si="134"/>
        <v>2.6495422897411186E-3</v>
      </c>
      <c r="F198" s="3">
        <f t="shared" si="134"/>
        <v>2.6495422897411186E-3</v>
      </c>
      <c r="G198" s="3">
        <f t="shared" si="134"/>
        <v>2.6495422897411186E-3</v>
      </c>
      <c r="H198" s="3">
        <f t="shared" si="134"/>
        <v>2.6495422897411186E-3</v>
      </c>
      <c r="I198" s="3">
        <f t="shared" si="134"/>
        <v>2.6495422897411186E-3</v>
      </c>
      <c r="J198" s="3">
        <f t="shared" si="134"/>
        <v>2.6495422897411186E-3</v>
      </c>
      <c r="K198" s="3">
        <f t="shared" si="134"/>
        <v>2.6495422897411186E-3</v>
      </c>
      <c r="L198" s="3">
        <f t="shared" si="134"/>
        <v>2.6495422897411186E-3</v>
      </c>
      <c r="M198" s="3">
        <f t="shared" si="134"/>
        <v>2.6495422897411186E-3</v>
      </c>
      <c r="N198" s="3">
        <f t="shared" si="134"/>
        <v>2.6495422897411186E-3</v>
      </c>
      <c r="O198" s="3">
        <f t="shared" si="134"/>
        <v>2.6495422897411186E-3</v>
      </c>
      <c r="P198" s="3">
        <f t="shared" si="134"/>
        <v>2.6495422897411182E-3</v>
      </c>
      <c r="Q198" s="3">
        <f t="shared" si="134"/>
        <v>2.649542289741116E-3</v>
      </c>
      <c r="R198" s="3">
        <f t="shared" si="134"/>
        <v>2.6495422897410913E-3</v>
      </c>
      <c r="S198" s="3">
        <f t="shared" si="134"/>
        <v>2.649542289740845E-3</v>
      </c>
      <c r="T198" s="3">
        <f t="shared" si="134"/>
        <v>2.6495422897383817E-3</v>
      </c>
      <c r="U198" s="3">
        <f t="shared" si="134"/>
        <v>2.6495422897137503E-3</v>
      </c>
      <c r="V198" s="3">
        <f t="shared" si="134"/>
        <v>2.6495422894674378E-3</v>
      </c>
      <c r="W198" s="3">
        <f t="shared" si="134"/>
        <v>2.6495422870043105E-3</v>
      </c>
      <c r="X198" s="3">
        <f t="shared" si="134"/>
        <v>2.649542262373036E-3</v>
      </c>
      <c r="Y198" s="3">
        <f t="shared" si="134"/>
        <v>2.6495420160603032E-3</v>
      </c>
      <c r="Z198" s="3">
        <f t="shared" si="134"/>
        <v>2.6495395529342381E-3</v>
      </c>
      <c r="AA198" s="3">
        <f t="shared" si="134"/>
        <v>2.6495149217995264E-3</v>
      </c>
      <c r="AB198" s="3">
        <f t="shared" si="134"/>
        <v>2.6492686230459844E-3</v>
      </c>
      <c r="AC198" s="3">
        <f t="shared" si="134"/>
        <v>2.6468068944349235E-3</v>
      </c>
      <c r="AD198" s="3">
        <f t="shared" si="134"/>
        <v>2.6223150688056865E-3</v>
      </c>
      <c r="AE198" s="3">
        <f t="shared" si="134"/>
        <v>2.3895218390619197E-3</v>
      </c>
      <c r="AF198" s="3">
        <f t="shared" si="134"/>
        <v>9.4313169366661259E-4</v>
      </c>
      <c r="AG198" s="3"/>
      <c r="AH198" s="3"/>
    </row>
    <row r="199" spans="1:34" x14ac:dyDescent="0.25">
      <c r="B199" s="3">
        <f t="shared" ref="B199:AF199" si="135">$C46*EXP(-B$168/$A46/EXP(-$C$126))</f>
        <v>6.8554497859674352E-4</v>
      </c>
      <c r="C199" s="3">
        <f t="shared" si="135"/>
        <v>6.8554497859674352E-4</v>
      </c>
      <c r="D199" s="3">
        <f t="shared" si="135"/>
        <v>6.8554497859674352E-4</v>
      </c>
      <c r="E199" s="3">
        <f t="shared" si="135"/>
        <v>6.8554497859674352E-4</v>
      </c>
      <c r="F199" s="3">
        <f t="shared" si="135"/>
        <v>6.8554497859674352E-4</v>
      </c>
      <c r="G199" s="3">
        <f t="shared" si="135"/>
        <v>6.8554497859674352E-4</v>
      </c>
      <c r="H199" s="3">
        <f t="shared" si="135"/>
        <v>6.8554497859674352E-4</v>
      </c>
      <c r="I199" s="3">
        <f t="shared" si="135"/>
        <v>6.8554497859674352E-4</v>
      </c>
      <c r="J199" s="3">
        <f t="shared" si="135"/>
        <v>6.8554497859674352E-4</v>
      </c>
      <c r="K199" s="3">
        <f t="shared" si="135"/>
        <v>6.8554497859674352E-4</v>
      </c>
      <c r="L199" s="3">
        <f t="shared" si="135"/>
        <v>6.8554497859674352E-4</v>
      </c>
      <c r="M199" s="3">
        <f t="shared" si="135"/>
        <v>6.8554497859674352E-4</v>
      </c>
      <c r="N199" s="3">
        <f t="shared" si="135"/>
        <v>6.8554497859674352E-4</v>
      </c>
      <c r="O199" s="3">
        <f t="shared" si="135"/>
        <v>6.8554497859674352E-4</v>
      </c>
      <c r="P199" s="3">
        <f t="shared" si="135"/>
        <v>6.8554497859674352E-4</v>
      </c>
      <c r="Q199" s="3">
        <f t="shared" si="135"/>
        <v>6.8554497859674342E-4</v>
      </c>
      <c r="R199" s="3">
        <f t="shared" si="135"/>
        <v>6.8554497859674287E-4</v>
      </c>
      <c r="S199" s="3">
        <f t="shared" si="135"/>
        <v>6.8554497859673648E-4</v>
      </c>
      <c r="T199" s="3">
        <f t="shared" si="135"/>
        <v>6.8554497859667273E-4</v>
      </c>
      <c r="U199" s="3">
        <f t="shared" si="135"/>
        <v>6.8554497859603543E-4</v>
      </c>
      <c r="V199" s="3">
        <f t="shared" si="135"/>
        <v>6.8554497858966227E-4</v>
      </c>
      <c r="W199" s="3">
        <f t="shared" si="135"/>
        <v>6.8554497852593114E-4</v>
      </c>
      <c r="X199" s="3">
        <f t="shared" si="135"/>
        <v>6.8554497788861921E-4</v>
      </c>
      <c r="Y199" s="3">
        <f t="shared" si="135"/>
        <v>6.8554497151550092E-4</v>
      </c>
      <c r="Z199" s="3">
        <f t="shared" si="135"/>
        <v>6.8554490778432076E-4</v>
      </c>
      <c r="AA199" s="3">
        <f t="shared" si="135"/>
        <v>6.8554427047284546E-4</v>
      </c>
      <c r="AB199" s="3">
        <f t="shared" si="135"/>
        <v>6.85537897390678E-4</v>
      </c>
      <c r="AC199" s="3">
        <f t="shared" si="135"/>
        <v>6.8547416982747613E-4</v>
      </c>
      <c r="AD199" s="3">
        <f t="shared" si="135"/>
        <v>6.8483721993069019E-4</v>
      </c>
      <c r="AE199" s="3">
        <f t="shared" si="135"/>
        <v>6.7850018272173473E-4</v>
      </c>
      <c r="AF199" s="3">
        <f t="shared" si="135"/>
        <v>6.1826705101438969E-4</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1.0364161747734975E-2</v>
      </c>
      <c r="C201" s="3">
        <f t="shared" si="137"/>
        <v>1.0364161747734975E-2</v>
      </c>
      <c r="D201" s="3">
        <f t="shared" si="137"/>
        <v>1.0364161747734975E-2</v>
      </c>
      <c r="E201" s="3">
        <f t="shared" si="137"/>
        <v>1.0364161747734975E-2</v>
      </c>
      <c r="F201" s="3">
        <f t="shared" si="137"/>
        <v>1.0364161747734975E-2</v>
      </c>
      <c r="G201" s="3">
        <f t="shared" si="137"/>
        <v>1.0364161747734975E-2</v>
      </c>
      <c r="H201" s="3">
        <f t="shared" si="137"/>
        <v>1.0364161747734975E-2</v>
      </c>
      <c r="I201" s="3">
        <f t="shared" si="137"/>
        <v>1.0364161747734975E-2</v>
      </c>
      <c r="J201" s="3">
        <f t="shared" si="137"/>
        <v>1.0364161747734975E-2</v>
      </c>
      <c r="K201" s="3">
        <f t="shared" si="137"/>
        <v>1.0364161747734975E-2</v>
      </c>
      <c r="L201" s="3">
        <f t="shared" si="137"/>
        <v>1.0364161747734975E-2</v>
      </c>
      <c r="M201" s="3">
        <f t="shared" si="137"/>
        <v>1.0364161747734975E-2</v>
      </c>
      <c r="N201" s="3">
        <f t="shared" si="137"/>
        <v>1.0364161747734975E-2</v>
      </c>
      <c r="O201" s="3">
        <f t="shared" si="137"/>
        <v>1.0364161747734975E-2</v>
      </c>
      <c r="P201" s="3">
        <f t="shared" si="137"/>
        <v>1.0364161747734975E-2</v>
      </c>
      <c r="Q201" s="3">
        <f t="shared" si="137"/>
        <v>1.0364161747734975E-2</v>
      </c>
      <c r="R201" s="3">
        <f t="shared" si="137"/>
        <v>1.0364161747734975E-2</v>
      </c>
      <c r="S201" s="3">
        <f t="shared" si="137"/>
        <v>1.0364161747734973E-2</v>
      </c>
      <c r="T201" s="3">
        <f t="shared" si="137"/>
        <v>1.0364161747734964E-2</v>
      </c>
      <c r="U201" s="3">
        <f t="shared" si="137"/>
        <v>1.0364161747734867E-2</v>
      </c>
      <c r="V201" s="3">
        <f t="shared" si="137"/>
        <v>1.0364161747733905E-2</v>
      </c>
      <c r="W201" s="3">
        <f t="shared" si="137"/>
        <v>1.036416174772427E-2</v>
      </c>
      <c r="X201" s="3">
        <f t="shared" si="137"/>
        <v>1.036416174762792E-2</v>
      </c>
      <c r="Y201" s="3">
        <f t="shared" si="137"/>
        <v>1.0364161746664423E-2</v>
      </c>
      <c r="Z201" s="3">
        <f t="shared" si="137"/>
        <v>1.0364161737029457E-2</v>
      </c>
      <c r="AA201" s="3">
        <f t="shared" si="137"/>
        <v>1.0364161640679791E-2</v>
      </c>
      <c r="AB201" s="3">
        <f t="shared" si="137"/>
        <v>1.0364160677183187E-2</v>
      </c>
      <c r="AC201" s="3">
        <f t="shared" si="137"/>
        <v>1.0364151042222066E-2</v>
      </c>
      <c r="AD201" s="3">
        <f t="shared" si="137"/>
        <v>1.0364054693103517E-2</v>
      </c>
      <c r="AE201" s="3">
        <f t="shared" si="137"/>
        <v>1.0363091251180035E-2</v>
      </c>
      <c r="AF201" s="3">
        <f t="shared" si="137"/>
        <v>1.0353461756454529E-2</v>
      </c>
      <c r="AG201" s="3"/>
      <c r="AH201" s="3"/>
    </row>
    <row r="202" spans="1:34" x14ac:dyDescent="0.25">
      <c r="A202" s="79">
        <f>AVERAGE(B202:AF202)</f>
        <v>6.7520366782857656E-3</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1.6117971279804633E-2</v>
      </c>
      <c r="M202" s="80">
        <f t="shared" si="138"/>
        <v>1.661056524305617E-2</v>
      </c>
      <c r="N202" s="80">
        <f t="shared" si="138"/>
        <v>1.6295280384216813E-2</v>
      </c>
      <c r="O202" s="80">
        <f t="shared" si="138"/>
        <v>1.5902752179699834E-2</v>
      </c>
      <c r="P202" s="80">
        <f t="shared" si="138"/>
        <v>1.5602980304262251E-2</v>
      </c>
      <c r="Q202" s="80">
        <f t="shared" si="138"/>
        <v>1.5902855900736562E-2</v>
      </c>
      <c r="R202" s="80">
        <f t="shared" si="138"/>
        <v>1.5449364207604805E-2</v>
      </c>
      <c r="S202" s="80">
        <f t="shared" si="138"/>
        <v>1.4403265874543349E-2</v>
      </c>
      <c r="T202" s="80">
        <f t="shared" si="138"/>
        <v>5.0652486790216987E-3</v>
      </c>
      <c r="U202" s="80">
        <f t="shared" si="138"/>
        <v>2.91664151506714E-2</v>
      </c>
      <c r="V202" s="80">
        <f t="shared" si="138"/>
        <v>4.8796437823241223E-2</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429210.06682262133</v>
      </c>
      <c r="C203" s="21">
        <f t="shared" ref="C203:AF203" si="139">(C170-C169)^2</f>
        <v>127927.33574831032</v>
      </c>
      <c r="D203" s="21">
        <f t="shared" si="139"/>
        <v>33695.686932444303</v>
      </c>
      <c r="E203" s="21">
        <f t="shared" si="139"/>
        <v>6409.6255942622956</v>
      </c>
      <c r="F203" s="21">
        <f t="shared" si="139"/>
        <v>31934.275150147376</v>
      </c>
      <c r="G203" s="21">
        <f t="shared" si="139"/>
        <v>23506.694489860598</v>
      </c>
      <c r="H203" s="21">
        <f t="shared" si="139"/>
        <v>24011.101811611516</v>
      </c>
      <c r="I203" s="21">
        <f t="shared" si="139"/>
        <v>23584.76455239232</v>
      </c>
      <c r="J203" s="21">
        <f t="shared" si="139"/>
        <v>21698.152332781359</v>
      </c>
      <c r="K203" s="21">
        <f t="shared" si="139"/>
        <v>21075.473185858064</v>
      </c>
      <c r="L203" s="21">
        <f t="shared" si="139"/>
        <v>20873.018728870178</v>
      </c>
      <c r="M203" s="21">
        <f t="shared" si="139"/>
        <v>20475.744420002775</v>
      </c>
      <c r="N203" s="21">
        <f t="shared" si="139"/>
        <v>18066.07366506317</v>
      </c>
      <c r="O203" s="21">
        <f t="shared" si="139"/>
        <v>15912.827413927251</v>
      </c>
      <c r="P203" s="21">
        <f t="shared" si="139"/>
        <v>14252.39091985171</v>
      </c>
      <c r="Q203" s="21">
        <f t="shared" si="139"/>
        <v>13729.390569800486</v>
      </c>
      <c r="R203" s="21">
        <f t="shared" si="139"/>
        <v>11958.460305437489</v>
      </c>
      <c r="S203" s="21">
        <f t="shared" si="139"/>
        <v>9538.4432217810427</v>
      </c>
      <c r="T203" s="21">
        <f t="shared" si="139"/>
        <v>1037.7554866092948</v>
      </c>
      <c r="U203" s="21">
        <f t="shared" si="139"/>
        <v>26047.582326156538</v>
      </c>
      <c r="V203" s="21">
        <f t="shared" si="139"/>
        <v>47624.401685642893</v>
      </c>
      <c r="W203" s="21">
        <f t="shared" si="139"/>
        <v>21427.636405498299</v>
      </c>
      <c r="X203" s="21">
        <f t="shared" si="139"/>
        <v>5271.777983995833</v>
      </c>
      <c r="Y203" s="21">
        <f t="shared" si="139"/>
        <v>779.51272032088241</v>
      </c>
      <c r="Z203" s="21">
        <f t="shared" si="139"/>
        <v>13.655889685199533</v>
      </c>
      <c r="AA203" s="21">
        <f t="shared" si="139"/>
        <v>73.280890809963054</v>
      </c>
      <c r="AB203" s="21">
        <f t="shared" si="139"/>
        <v>104.38753191220444</v>
      </c>
      <c r="AC203" s="21">
        <f t="shared" si="139"/>
        <v>18.909566382477067</v>
      </c>
      <c r="AD203" s="21">
        <f t="shared" si="139"/>
        <v>7.7236835395540444</v>
      </c>
      <c r="AE203" s="21">
        <f t="shared" si="139"/>
        <v>0.32188953680277704</v>
      </c>
      <c r="AF203" s="21">
        <f t="shared" si="139"/>
        <v>0.47122868275888302</v>
      </c>
      <c r="AG203" s="3"/>
      <c r="AH203" s="3"/>
    </row>
    <row r="204" spans="1:34" x14ac:dyDescent="0.25">
      <c r="A204" s="71">
        <f>SUM(B204:AF204)</f>
        <v>199516.08874314284</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20873.018728870178</v>
      </c>
      <c r="M204" s="60">
        <f t="shared" ref="M204" si="150">IF($A$64&lt;=M168,IF($B$64&gt;=M168,ABS(M203),0),0)</f>
        <v>20475.744420002775</v>
      </c>
      <c r="N204" s="60">
        <f t="shared" ref="N204" si="151">IF($A$64&lt;=N168,IF($B$64&gt;=N168,ABS(N203),0),0)</f>
        <v>18066.07366506317</v>
      </c>
      <c r="O204" s="60">
        <f t="shared" ref="O204" si="152">IF($A$64&lt;=O168,IF($B$64&gt;=O168,ABS(O203),0),0)</f>
        <v>15912.827413927251</v>
      </c>
      <c r="P204" s="60">
        <f t="shared" ref="P204" si="153">IF($A$64&lt;=P168,IF($B$64&gt;=P168,ABS(P203),0),0)</f>
        <v>14252.39091985171</v>
      </c>
      <c r="Q204" s="60">
        <f t="shared" ref="Q204" si="154">IF($A$64&lt;=Q168,IF($B$64&gt;=Q168,ABS(Q203),0),0)</f>
        <v>13729.390569800486</v>
      </c>
      <c r="R204" s="60">
        <f t="shared" ref="R204" si="155">IF($A$64&lt;=R168,IF($B$64&gt;=R168,ABS(R203),0),0)</f>
        <v>11958.460305437489</v>
      </c>
      <c r="S204" s="60">
        <f t="shared" ref="S204" si="156">IF($A$64&lt;=S168,IF($B$64&gt;=S168,ABS(S203),0),0)</f>
        <v>9538.4432217810427</v>
      </c>
      <c r="T204" s="60">
        <f t="shared" ref="T204" si="157">IF($A$64&lt;=T168,IF($B$64&gt;=T168,ABS(T203),0),0)</f>
        <v>1037.7554866092948</v>
      </c>
      <c r="U204" s="60">
        <f t="shared" ref="U204" si="158">IF($A$64&lt;=U168,IF($B$64&gt;=U168,ABS(U203),0),0)</f>
        <v>26047.582326156538</v>
      </c>
      <c r="V204" s="60">
        <f t="shared" ref="V204" si="159">IF($A$64&lt;=V168,IF($B$64&gt;=V168,ABS(V203),0),0)</f>
        <v>47624.401685642893</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11009.313892134818</v>
      </c>
      <c r="C208" s="26">
        <f>INDEX(Comparison!$AM$3:$AS$33,G$14,$D$122)</f>
        <v>10796.668525667899</v>
      </c>
      <c r="D208" s="26">
        <f>INDEX(Comparison!$AM$3:$AS$33,H$14,$D$122)</f>
        <v>10610.07082701246</v>
      </c>
      <c r="E208" s="26">
        <f>INDEX(Comparison!$AM$3:$AS$33,I$14,$D$122)</f>
        <v>10413.892727978708</v>
      </c>
      <c r="F208" s="26">
        <f>INDEX(Comparison!$AM$3:$AS$33,J$14,$D$122)</f>
        <v>10194.452600653791</v>
      </c>
      <c r="G208" s="26">
        <f>INDEX(Comparison!$AM$3:$AS$33,K$14,$D$122)</f>
        <v>9957.7302884452874</v>
      </c>
      <c r="H208" s="26">
        <f>INDEX(Comparison!$AM$3:$AS$33,L$14,$D$122)</f>
        <v>9678.9506451169946</v>
      </c>
      <c r="I208" s="26">
        <f>INDEX(Comparison!$AM$3:$AS$33,M$14,$D$122)</f>
        <v>9429.10680786792</v>
      </c>
      <c r="J208" s="26">
        <f>INDEX(Comparison!$AM$3:$AS$33,N$14,$D$122)</f>
        <v>9166.8729911518094</v>
      </c>
      <c r="K208" s="26">
        <f>INDEX(Comparison!$AM$3:$AS$33,O$14,$D$122)</f>
        <v>8871.4120157080979</v>
      </c>
      <c r="L208" s="26">
        <f>INDEX(Comparison!$AM$3:$AS$33,P$14,$D$122)</f>
        <v>8521.038668453999</v>
      </c>
      <c r="M208" s="26">
        <f>INDEX(Comparison!$AM$3:$AS$33,Q$14,$D$122)</f>
        <v>8159.6492921187164</v>
      </c>
      <c r="N208" s="26">
        <f>INDEX(Comparison!$AM$3:$AS$33,R$14,$D$122)</f>
        <v>7853.7898979258625</v>
      </c>
      <c r="O208" s="26">
        <f>INDEX(Comparison!$AM$3:$AS$33,S$14,$D$122)</f>
        <v>7573.2536155058961</v>
      </c>
      <c r="P208" s="26">
        <f>INDEX(Comparison!$AM$3:$AS$33,T$14,$D$122)</f>
        <v>7293.8613287583112</v>
      </c>
      <c r="Q208" s="26">
        <f>INDEX(Comparison!$AM$3:$AS$33,U$14,$D$122)</f>
        <v>7004.3784649959834</v>
      </c>
      <c r="R208" s="26">
        <f>INDEX(Comparison!$AM$3:$AS$33,V$14,$D$122)</f>
        <v>6716.1281746734903</v>
      </c>
      <c r="S208" s="26">
        <f>INDEX(Comparison!$AM$3:$AS$33,W$14,$D$122)</f>
        <v>6317.4824905918776</v>
      </c>
      <c r="T208" s="26">
        <f>INDEX(Comparison!$AM$3:$AS$33,X$14,$D$122)</f>
        <v>5575.0877249610812</v>
      </c>
      <c r="U208" s="26">
        <f>INDEX(Comparison!$AM$3:$AS$33,Y$14,$D$122)</f>
        <v>4517.4360226770941</v>
      </c>
      <c r="V208" s="26">
        <f>INDEX(Comparison!$AM$3:$AS$33,Z$14,$D$122)</f>
        <v>3579.1976948167016</v>
      </c>
      <c r="W208" s="26">
        <f>INDEX(Comparison!$AM$3:$AS$33,AA$14,$D$122)</f>
        <v>2836.8024969308635</v>
      </c>
      <c r="X208" s="26">
        <f>INDEX(Comparison!$AM$3:$AS$33,AB$14,$D$122)</f>
        <v>2213.6861360404496</v>
      </c>
      <c r="Y208" s="26">
        <f>INDEX(Comparison!$AM$3:$AS$33,AC$14,$D$122)</f>
        <v>1650.6334197278006</v>
      </c>
      <c r="Z208" s="26">
        <f>INDEX(Comparison!$AM$3:$AS$33,AD$14,$D$122)</f>
        <v>1168.6567020451771</v>
      </c>
      <c r="AA208" s="26">
        <f>INDEX(Comparison!$AM$3:$AS$33,AE$14,$D$122)</f>
        <v>818.07631905971209</v>
      </c>
      <c r="AB208" s="26">
        <f>INDEX(Comparison!$AM$3:$AS$33,AF$14,$D$122)</f>
        <v>599.03104161742488</v>
      </c>
      <c r="AC208" s="26">
        <f>INDEX(Comparison!$AM$3:$AS$33,AG$14,$D$122)</f>
        <v>488.03069035934635</v>
      </c>
      <c r="AD208" s="26">
        <f>INDEX(Comparison!$AM$3:$AS$33,AH$14,$D$122)</f>
        <v>431.51308603872349</v>
      </c>
      <c r="AE208" s="26">
        <f>INDEX(Comparison!$AM$3:$AS$33,AI$14,$D$122)</f>
        <v>402.06033913876905</v>
      </c>
      <c r="AF208" s="26">
        <f>INDEX(Comparison!$AM$3:$AS$33,AJ$14,$D$122)</f>
        <v>386.49357349528668</v>
      </c>
      <c r="AG208" s="26"/>
      <c r="AH208" s="26"/>
    </row>
    <row r="209" spans="1:34" x14ac:dyDescent="0.25">
      <c r="A209" s="70" t="s">
        <v>22</v>
      </c>
      <c r="B209" s="27">
        <f>($C$17+SUM(B210:B240))*$B$51</f>
        <v>10710.952944769642</v>
      </c>
      <c r="C209" s="27">
        <f t="shared" ref="C209:AF209" si="170">($C$17+SUM(C210:C240))*$B$51</f>
        <v>10699.932606054497</v>
      </c>
      <c r="D209" s="27">
        <f t="shared" si="170"/>
        <v>10604.924146364267</v>
      </c>
      <c r="E209" s="27">
        <f t="shared" si="170"/>
        <v>10306.903600878024</v>
      </c>
      <c r="F209" s="27">
        <f t="shared" si="170"/>
        <v>10117.301805872772</v>
      </c>
      <c r="G209" s="27">
        <f t="shared" si="170"/>
        <v>9872.5660890952931</v>
      </c>
      <c r="H209" s="27">
        <f t="shared" si="170"/>
        <v>9595.7914354949426</v>
      </c>
      <c r="I209" s="27">
        <f t="shared" si="170"/>
        <v>9348.0834317904773</v>
      </c>
      <c r="J209" s="27">
        <f t="shared" si="170"/>
        <v>9084.8114272353705</v>
      </c>
      <c r="K209" s="27">
        <f t="shared" si="170"/>
        <v>8790.0388595060103</v>
      </c>
      <c r="L209" s="27">
        <f t="shared" si="170"/>
        <v>8436.7679929464084</v>
      </c>
      <c r="M209" s="27">
        <f t="shared" si="170"/>
        <v>8081.3119018751577</v>
      </c>
      <c r="N209" s="27">
        <f t="shared" si="170"/>
        <v>7779.8171253619676</v>
      </c>
      <c r="O209" s="27">
        <f t="shared" si="170"/>
        <v>7506.588539605862</v>
      </c>
      <c r="P209" s="27">
        <f t="shared" si="170"/>
        <v>7224.3391595541707</v>
      </c>
      <c r="Q209" s="27">
        <f t="shared" si="170"/>
        <v>6944.5538674023201</v>
      </c>
      <c r="R209" s="27">
        <f t="shared" si="170"/>
        <v>6656.5096006301537</v>
      </c>
      <c r="S209" s="27">
        <f t="shared" si="170"/>
        <v>6289.9778621110536</v>
      </c>
      <c r="T209" s="27">
        <f t="shared" si="170"/>
        <v>5617.0711889395416</v>
      </c>
      <c r="U209" s="27">
        <f t="shared" si="170"/>
        <v>4609.5788192556356</v>
      </c>
      <c r="V209" s="27">
        <f t="shared" si="170"/>
        <v>3644.5132419766232</v>
      </c>
      <c r="W209" s="27">
        <f t="shared" si="170"/>
        <v>2863.9808080457283</v>
      </c>
      <c r="X209" s="27">
        <f t="shared" si="170"/>
        <v>2230.4360374094695</v>
      </c>
      <c r="Y209" s="27">
        <f t="shared" si="170"/>
        <v>1622.3767698472727</v>
      </c>
      <c r="Z209" s="27">
        <f t="shared" si="170"/>
        <v>1153.2179498756095</v>
      </c>
      <c r="AA209" s="27">
        <f t="shared" si="170"/>
        <v>800.49674917256573</v>
      </c>
      <c r="AB209" s="27">
        <f t="shared" si="170"/>
        <v>592.56858683689325</v>
      </c>
      <c r="AC209" s="27">
        <f t="shared" si="170"/>
        <v>483.69979523391208</v>
      </c>
      <c r="AD209" s="27">
        <f t="shared" si="170"/>
        <v>430.08318130955132</v>
      </c>
      <c r="AE209" s="27">
        <f t="shared" si="170"/>
        <v>401.19253931503988</v>
      </c>
      <c r="AF209" s="27">
        <f t="shared" si="170"/>
        <v>386.56733758037871</v>
      </c>
      <c r="AG209" s="27"/>
      <c r="AH209" s="27"/>
    </row>
    <row r="210" spans="1:34" x14ac:dyDescent="0.25">
      <c r="B210" s="3">
        <f t="shared" ref="B210:AF210" si="171">$C18*EXP(-B$207/$A18/EXP(-$D$126))</f>
        <v>0</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3.2398823735284243E-2</v>
      </c>
      <c r="C211" s="3">
        <f t="shared" si="172"/>
        <v>3.1476808467772059E-2</v>
      </c>
      <c r="D211" s="3">
        <f t="shared" si="172"/>
        <v>2.3583332544113478E-2</v>
      </c>
      <c r="E211" s="3">
        <f t="shared" si="172"/>
        <v>1.3144679759389388E-3</v>
      </c>
      <c r="F211" s="3">
        <f t="shared" si="172"/>
        <v>3.8036308411037988E-16</v>
      </c>
      <c r="G211" s="3">
        <f t="shared" si="172"/>
        <v>1.5656037827562231E-141</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1.4779151382558101E-2</v>
      </c>
      <c r="C212" s="3">
        <f t="shared" si="173"/>
        <v>1.4740710466150256E-2</v>
      </c>
      <c r="D212" s="3">
        <f t="shared" si="173"/>
        <v>1.4361757828190441E-2</v>
      </c>
      <c r="E212" s="3">
        <f t="shared" si="173"/>
        <v>1.1068771760020562E-2</v>
      </c>
      <c r="F212" s="3">
        <f t="shared" si="173"/>
        <v>8.1849826431617395E-4</v>
      </c>
      <c r="G212" s="3">
        <f t="shared" si="173"/>
        <v>4.0012995719891063E-15</v>
      </c>
      <c r="H212" s="3">
        <f t="shared" si="173"/>
        <v>3.1191345992141549E-128</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2.1842727290726519E-2</v>
      </c>
      <c r="C213" s="3">
        <f t="shared" si="174"/>
        <v>2.183759617166664E-2</v>
      </c>
      <c r="D213" s="3">
        <f t="shared" si="174"/>
        <v>2.1786351229252633E-2</v>
      </c>
      <c r="E213" s="3">
        <f t="shared" si="174"/>
        <v>2.1280469395704212E-2</v>
      </c>
      <c r="F213" s="3">
        <f t="shared" si="174"/>
        <v>1.6824734782623911E-2</v>
      </c>
      <c r="G213" s="3">
        <f t="shared" si="174"/>
        <v>1.6055301447184475E-3</v>
      </c>
      <c r="H213" s="3">
        <f t="shared" si="174"/>
        <v>1.005358226065333E-13</v>
      </c>
      <c r="I213" s="3">
        <f t="shared" si="174"/>
        <v>9.3184687362124083E-116</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2.6598342687934779E-2</v>
      </c>
      <c r="C214" s="3">
        <f t="shared" si="175"/>
        <v>2.6597778981737059E-2</v>
      </c>
      <c r="D214" s="3">
        <f t="shared" si="175"/>
        <v>2.6592142576791242E-2</v>
      </c>
      <c r="E214" s="3">
        <f t="shared" si="175"/>
        <v>2.6535844178979709E-2</v>
      </c>
      <c r="F214" s="3">
        <f t="shared" si="175"/>
        <v>2.5979374174690272E-2</v>
      </c>
      <c r="G214" s="3">
        <f t="shared" si="175"/>
        <v>2.1017761138017E-2</v>
      </c>
      <c r="H214" s="3">
        <f t="shared" si="175"/>
        <v>2.5244345926629785E-3</v>
      </c>
      <c r="I214" s="3">
        <f t="shared" si="175"/>
        <v>1.5773963421238227E-12</v>
      </c>
      <c r="J214" s="3">
        <f t="shared" si="175"/>
        <v>1.4312249414463227E-104</v>
      </c>
      <c r="K214" s="3">
        <f t="shared" si="175"/>
        <v>0</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2.1793091287367367E-2</v>
      </c>
      <c r="C215" s="3">
        <f t="shared" si="176"/>
        <v>2.1793049622706753E-2</v>
      </c>
      <c r="D215" s="3">
        <f t="shared" si="176"/>
        <v>2.179263298048164E-2</v>
      </c>
      <c r="E215" s="3">
        <f t="shared" si="176"/>
        <v>2.1788466996303352E-2</v>
      </c>
      <c r="F215" s="3">
        <f t="shared" si="176"/>
        <v>2.1746850930832933E-2</v>
      </c>
      <c r="G215" s="3">
        <f t="shared" si="176"/>
        <v>2.1335037098725172E-2</v>
      </c>
      <c r="H215" s="3">
        <f t="shared" si="176"/>
        <v>1.7622343041711525E-2</v>
      </c>
      <c r="I215" s="3">
        <f t="shared" si="176"/>
        <v>2.6047505491987276E-3</v>
      </c>
      <c r="J215" s="3">
        <f t="shared" si="176"/>
        <v>1.2965551962688942E-11</v>
      </c>
      <c r="K215" s="3">
        <f t="shared" si="176"/>
        <v>1.2107088803584274E-94</v>
      </c>
      <c r="L215" s="3">
        <f t="shared" si="176"/>
        <v>0</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2.3921660305158538E-2</v>
      </c>
      <c r="C216" s="3">
        <f t="shared" si="177"/>
        <v>2.3921656179556831E-2</v>
      </c>
      <c r="D216" s="3">
        <f t="shared" si="177"/>
        <v>2.3921614923578891E-2</v>
      </c>
      <c r="E216" s="3">
        <f t="shared" si="177"/>
        <v>2.3921202367712776E-2</v>
      </c>
      <c r="F216" s="3">
        <f t="shared" si="177"/>
        <v>2.3917077200356511E-2</v>
      </c>
      <c r="G216" s="3">
        <f t="shared" si="177"/>
        <v>2.3875864632323177E-2</v>
      </c>
      <c r="H216" s="3">
        <f t="shared" si="177"/>
        <v>2.34676246658648E-2</v>
      </c>
      <c r="I216" s="3">
        <f t="shared" si="177"/>
        <v>1.9750104167524842E-2</v>
      </c>
      <c r="J216" s="3">
        <f t="shared" si="177"/>
        <v>3.5202374583746237E-3</v>
      </c>
      <c r="K216" s="3">
        <f t="shared" si="177"/>
        <v>1.1391939064381764E-10</v>
      </c>
      <c r="L216" s="3">
        <f t="shared" si="177"/>
        <v>1.4350088743740483E-85</v>
      </c>
      <c r="M216" s="3">
        <f t="shared" si="177"/>
        <v>0</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2.6315529124322549E-2</v>
      </c>
      <c r="C217" s="3">
        <f t="shared" si="178"/>
        <v>2.6315528714916069E-2</v>
      </c>
      <c r="D217" s="3">
        <f t="shared" si="178"/>
        <v>2.6315524620851634E-2</v>
      </c>
      <c r="E217" s="3">
        <f t="shared" si="178"/>
        <v>2.6315483680242297E-2</v>
      </c>
      <c r="F217" s="3">
        <f t="shared" si="178"/>
        <v>2.6315074277652079E-2</v>
      </c>
      <c r="G217" s="3">
        <f t="shared" si="178"/>
        <v>2.631098060204351E-2</v>
      </c>
      <c r="H217" s="3">
        <f t="shared" si="178"/>
        <v>2.6270078855164865E-2</v>
      </c>
      <c r="I217" s="3">
        <f t="shared" si="178"/>
        <v>2.5864542238278984E-2</v>
      </c>
      <c r="J217" s="3">
        <f t="shared" si="178"/>
        <v>2.2138031301982206E-2</v>
      </c>
      <c r="K217" s="3">
        <f t="shared" si="178"/>
        <v>4.6717651661485372E-3</v>
      </c>
      <c r="L217" s="3">
        <f t="shared" si="178"/>
        <v>8.1827837437863794E-10</v>
      </c>
      <c r="M217" s="3">
        <f t="shared" si="178"/>
        <v>2.2238309460276467E-77</v>
      </c>
      <c r="N217" s="3">
        <f t="shared" si="178"/>
        <v>0</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3.4157201967088553E-2</v>
      </c>
      <c r="C218" s="3">
        <f t="shared" si="179"/>
        <v>3.4157201919151482E-2</v>
      </c>
      <c r="D218" s="3">
        <f t="shared" si="179"/>
        <v>3.4157201439780786E-2</v>
      </c>
      <c r="E218" s="3">
        <f t="shared" si="179"/>
        <v>3.4157196646074195E-2</v>
      </c>
      <c r="F218" s="3">
        <f t="shared" si="179"/>
        <v>3.4157148709045251E-2</v>
      </c>
      <c r="G218" s="3">
        <f t="shared" si="179"/>
        <v>3.4156669342455939E-2</v>
      </c>
      <c r="H218" s="3">
        <f t="shared" si="179"/>
        <v>3.4151876046559927E-2</v>
      </c>
      <c r="I218" s="3">
        <f t="shared" si="179"/>
        <v>3.4103980068104063E-2</v>
      </c>
      <c r="J218" s="3">
        <f t="shared" si="179"/>
        <v>3.3628699203078434E-2</v>
      </c>
      <c r="K218" s="3">
        <f t="shared" si="179"/>
        <v>2.9225375288211793E-2</v>
      </c>
      <c r="L218" s="3">
        <f t="shared" si="179"/>
        <v>7.1822476793714316E-3</v>
      </c>
      <c r="M218" s="3">
        <f t="shared" si="179"/>
        <v>5.77116095988672E-9</v>
      </c>
      <c r="N218" s="3">
        <f t="shared" si="179"/>
        <v>6.4757680034570083E-70</v>
      </c>
      <c r="O218" s="3">
        <f t="shared" si="179"/>
        <v>0</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3.3563265450744929E-2</v>
      </c>
      <c r="C219" s="3">
        <f t="shared" si="180"/>
        <v>3.3563265446495801E-2</v>
      </c>
      <c r="D219" s="3">
        <f t="shared" si="180"/>
        <v>3.3563265404004505E-2</v>
      </c>
      <c r="E219" s="3">
        <f t="shared" si="180"/>
        <v>3.3563264979091526E-2</v>
      </c>
      <c r="F219" s="3">
        <f t="shared" si="180"/>
        <v>3.3563260729962067E-2</v>
      </c>
      <c r="G219" s="3">
        <f t="shared" si="180"/>
        <v>3.3563218238697005E-2</v>
      </c>
      <c r="H219" s="3">
        <f t="shared" si="180"/>
        <v>3.3562793329005108E-2</v>
      </c>
      <c r="I219" s="3">
        <f t="shared" si="180"/>
        <v>3.3558544527939028E-2</v>
      </c>
      <c r="J219" s="3">
        <f t="shared" si="180"/>
        <v>3.3516086088717353E-2</v>
      </c>
      <c r="K219" s="3">
        <f t="shared" si="180"/>
        <v>3.3094445035278419E-2</v>
      </c>
      <c r="L219" s="3">
        <f t="shared" si="180"/>
        <v>2.9159035695657119E-2</v>
      </c>
      <c r="M219" s="3">
        <f t="shared" si="180"/>
        <v>8.221550059242971E-3</v>
      </c>
      <c r="N219" s="3">
        <f t="shared" si="180"/>
        <v>2.6107133181692656E-8</v>
      </c>
      <c r="O219" s="3">
        <f t="shared" si="180"/>
        <v>2.7215353308932764E-63</v>
      </c>
      <c r="P219" s="3">
        <f t="shared" si="180"/>
        <v>0</v>
      </c>
      <c r="Q219" s="3">
        <f t="shared" si="180"/>
        <v>0</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2.5958709058871467E-2</v>
      </c>
      <c r="C220" s="3">
        <f t="shared" si="181"/>
        <v>2.5958709058575009E-2</v>
      </c>
      <c r="D220" s="3">
        <f t="shared" si="181"/>
        <v>2.5958709055610416E-2</v>
      </c>
      <c r="E220" s="3">
        <f t="shared" si="181"/>
        <v>2.595870902596446E-2</v>
      </c>
      <c r="F220" s="3">
        <f t="shared" si="181"/>
        <v>2.5958708729504891E-2</v>
      </c>
      <c r="G220" s="3">
        <f t="shared" si="181"/>
        <v>2.5958705764909419E-2</v>
      </c>
      <c r="H220" s="3">
        <f t="shared" si="181"/>
        <v>2.5958676118973317E-2</v>
      </c>
      <c r="I220" s="3">
        <f t="shared" si="181"/>
        <v>2.5958379661474441E-2</v>
      </c>
      <c r="J220" s="3">
        <f t="shared" si="181"/>
        <v>2.595541527269014E-2</v>
      </c>
      <c r="K220" s="3">
        <f t="shared" si="181"/>
        <v>2.5925789997430441E-2</v>
      </c>
      <c r="L220" s="3">
        <f t="shared" si="181"/>
        <v>2.5631390662276397E-2</v>
      </c>
      <c r="M220" s="3">
        <f t="shared" si="181"/>
        <v>2.2865140869542E-2</v>
      </c>
      <c r="N220" s="3">
        <f t="shared" si="181"/>
        <v>7.2977838329096028E-3</v>
      </c>
      <c r="O220" s="3">
        <f t="shared" si="181"/>
        <v>8.0050146587535476E-8</v>
      </c>
      <c r="P220" s="3">
        <f t="shared" si="181"/>
        <v>2.0187079656773934E-57</v>
      </c>
      <c r="Q220" s="3">
        <f t="shared" si="181"/>
        <v>0</v>
      </c>
      <c r="R220" s="3">
        <f t="shared" si="181"/>
        <v>0</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2.4505487924858772E-2</v>
      </c>
      <c r="C221" s="3">
        <f t="shared" si="182"/>
        <v>2.4505487924833525E-2</v>
      </c>
      <c r="D221" s="3">
        <f t="shared" si="182"/>
        <v>2.4505487924581064E-2</v>
      </c>
      <c r="E221" s="3">
        <f t="shared" si="182"/>
        <v>2.4505487922056465E-2</v>
      </c>
      <c r="F221" s="3">
        <f t="shared" si="182"/>
        <v>2.4505487896810479E-2</v>
      </c>
      <c r="G221" s="3">
        <f t="shared" si="182"/>
        <v>2.4505487644350628E-2</v>
      </c>
      <c r="H221" s="3">
        <f t="shared" si="182"/>
        <v>2.4505485119752254E-2</v>
      </c>
      <c r="I221" s="3">
        <f t="shared" si="182"/>
        <v>2.4505459873782831E-2</v>
      </c>
      <c r="J221" s="3">
        <f t="shared" si="182"/>
        <v>2.4505207415519047E-2</v>
      </c>
      <c r="K221" s="3">
        <f t="shared" si="182"/>
        <v>2.4502682975923892E-2</v>
      </c>
      <c r="L221" s="3">
        <f t="shared" si="182"/>
        <v>2.4477452878787834E-2</v>
      </c>
      <c r="M221" s="3">
        <f t="shared" si="182"/>
        <v>2.4226576353533064E-2</v>
      </c>
      <c r="N221" s="3">
        <f t="shared" si="182"/>
        <v>2.1854972401810162E-2</v>
      </c>
      <c r="O221" s="3">
        <f t="shared" si="182"/>
        <v>7.8006795420923515E-3</v>
      </c>
      <c r="P221" s="3">
        <f t="shared" si="182"/>
        <v>2.6179068184108069E-7</v>
      </c>
      <c r="Q221" s="3">
        <f t="shared" si="182"/>
        <v>4.7442946711894621E-52</v>
      </c>
      <c r="R221" s="3">
        <f t="shared" si="182"/>
        <v>0</v>
      </c>
      <c r="S221" s="3">
        <f t="shared" si="182"/>
        <v>0</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2.7040912958719542E-2</v>
      </c>
      <c r="C222" s="3">
        <f t="shared" si="183"/>
        <v>2.7040912958717026E-2</v>
      </c>
      <c r="D222" s="3">
        <f t="shared" si="183"/>
        <v>2.7040912958691897E-2</v>
      </c>
      <c r="E222" s="3">
        <f t="shared" si="183"/>
        <v>2.7040912958440591E-2</v>
      </c>
      <c r="F222" s="3">
        <f t="shared" si="183"/>
        <v>2.704091295592757E-2</v>
      </c>
      <c r="G222" s="3">
        <f t="shared" si="183"/>
        <v>2.7040912930797311E-2</v>
      </c>
      <c r="H222" s="3">
        <f t="shared" si="183"/>
        <v>2.7040912679494752E-2</v>
      </c>
      <c r="I222" s="3">
        <f t="shared" si="183"/>
        <v>2.7040910166469298E-2</v>
      </c>
      <c r="J222" s="3">
        <f t="shared" si="183"/>
        <v>2.7040885036227591E-2</v>
      </c>
      <c r="K222" s="3">
        <f t="shared" si="183"/>
        <v>2.7040633735095004E-2</v>
      </c>
      <c r="L222" s="3">
        <f t="shared" si="183"/>
        <v>2.7038120852214562E-2</v>
      </c>
      <c r="M222" s="3">
        <f t="shared" si="183"/>
        <v>2.7013004863535004E-2</v>
      </c>
      <c r="N222" s="3">
        <f t="shared" si="183"/>
        <v>2.6763124585021659E-2</v>
      </c>
      <c r="O222" s="3">
        <f t="shared" si="183"/>
        <v>2.4387989859982119E-2</v>
      </c>
      <c r="P222" s="3">
        <f t="shared" si="183"/>
        <v>9.6287055455155767E-3</v>
      </c>
      <c r="Q222" s="3">
        <f t="shared" si="183"/>
        <v>8.8610850688940505E-7</v>
      </c>
      <c r="R222" s="3">
        <f t="shared" si="183"/>
        <v>3.8607964679729703E-47</v>
      </c>
      <c r="S222" s="3">
        <f t="shared" si="183"/>
        <v>0</v>
      </c>
      <c r="T222" s="3">
        <f t="shared" si="183"/>
        <v>0</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2.4600371351709227E-2</v>
      </c>
      <c r="C223" s="3">
        <f t="shared" si="184"/>
        <v>2.4600371351709019E-2</v>
      </c>
      <c r="D223" s="3">
        <f t="shared" si="184"/>
        <v>2.4600371351706958E-2</v>
      </c>
      <c r="E223" s="3">
        <f t="shared" si="184"/>
        <v>2.4600371351686332E-2</v>
      </c>
      <c r="F223" s="3">
        <f t="shared" si="184"/>
        <v>2.4600371351480098E-2</v>
      </c>
      <c r="G223" s="3">
        <f t="shared" si="184"/>
        <v>2.4600371349417741E-2</v>
      </c>
      <c r="H223" s="3">
        <f t="shared" si="184"/>
        <v>2.4600371328794172E-2</v>
      </c>
      <c r="I223" s="3">
        <f t="shared" si="184"/>
        <v>2.4600371122558487E-2</v>
      </c>
      <c r="J223" s="3">
        <f t="shared" si="184"/>
        <v>2.4600369060201729E-2</v>
      </c>
      <c r="K223" s="3">
        <f t="shared" si="184"/>
        <v>2.4600348436643674E-2</v>
      </c>
      <c r="L223" s="3">
        <f t="shared" si="184"/>
        <v>2.4600142202014025E-2</v>
      </c>
      <c r="M223" s="3">
        <f t="shared" si="184"/>
        <v>2.4598079950807324E-2</v>
      </c>
      <c r="N223" s="3">
        <f t="shared" si="184"/>
        <v>2.4577466944766063E-2</v>
      </c>
      <c r="O223" s="3">
        <f t="shared" si="184"/>
        <v>2.437228454488399E-2</v>
      </c>
      <c r="P223" s="3">
        <f t="shared" si="184"/>
        <v>2.241235183550512E-2</v>
      </c>
      <c r="Q223" s="3">
        <f t="shared" si="184"/>
        <v>9.6916862979652338E-3</v>
      </c>
      <c r="R223" s="3">
        <f t="shared" si="184"/>
        <v>2.2157385661937191E-6</v>
      </c>
      <c r="S223" s="3">
        <f t="shared" si="184"/>
        <v>8.6439093189098546E-43</v>
      </c>
      <c r="T223" s="3">
        <f t="shared" si="184"/>
        <v>0</v>
      </c>
      <c r="U223" s="3">
        <f t="shared" si="184"/>
        <v>0</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2.6294191463797294E-2</v>
      </c>
      <c r="C224" s="3">
        <f t="shared" si="185"/>
        <v>2.6294191463797273E-2</v>
      </c>
      <c r="D224" s="3">
        <f t="shared" si="185"/>
        <v>2.6294191463797075E-2</v>
      </c>
      <c r="E224" s="3">
        <f t="shared" si="185"/>
        <v>2.6294191463795087E-2</v>
      </c>
      <c r="F224" s="3">
        <f t="shared" si="185"/>
        <v>2.62941914637752E-2</v>
      </c>
      <c r="G224" s="3">
        <f t="shared" si="185"/>
        <v>2.6294191463576352E-2</v>
      </c>
      <c r="H224" s="3">
        <f t="shared" si="185"/>
        <v>2.6294191461587835E-2</v>
      </c>
      <c r="I224" s="3">
        <f t="shared" si="185"/>
        <v>2.62941914417027E-2</v>
      </c>
      <c r="J224" s="3">
        <f t="shared" si="185"/>
        <v>2.6294191242851345E-2</v>
      </c>
      <c r="K224" s="3">
        <f t="shared" si="185"/>
        <v>2.6294189254337838E-2</v>
      </c>
      <c r="L224" s="3">
        <f t="shared" si="185"/>
        <v>2.6294169369211057E-2</v>
      </c>
      <c r="M224" s="3">
        <f t="shared" si="185"/>
        <v>2.6293970518770325E-2</v>
      </c>
      <c r="N224" s="3">
        <f t="shared" si="185"/>
        <v>2.6291982097070836E-2</v>
      </c>
      <c r="O224" s="3">
        <f t="shared" si="185"/>
        <v>2.627210614854265E-2</v>
      </c>
      <c r="P224" s="3">
        <f t="shared" si="185"/>
        <v>2.6074171200965696E-2</v>
      </c>
      <c r="Q224" s="3">
        <f t="shared" si="185"/>
        <v>2.417501424841299E-2</v>
      </c>
      <c r="R224" s="3">
        <f t="shared" si="185"/>
        <v>1.1348252713641352E-2</v>
      </c>
      <c r="S224" s="3">
        <f t="shared" si="185"/>
        <v>5.8959201946472593E-6</v>
      </c>
      <c r="T224" s="3">
        <f t="shared" si="185"/>
        <v>8.4484604519159542E-39</v>
      </c>
      <c r="U224" s="3">
        <f t="shared" si="185"/>
        <v>0</v>
      </c>
      <c r="V224" s="3">
        <f t="shared" si="185"/>
        <v>0</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3.2623262585065489E-2</v>
      </c>
      <c r="C225" s="3">
        <f t="shared" si="186"/>
        <v>3.2623262585065482E-2</v>
      </c>
      <c r="D225" s="3">
        <f t="shared" si="186"/>
        <v>3.2623262585065461E-2</v>
      </c>
      <c r="E225" s="3">
        <f t="shared" si="186"/>
        <v>3.2623262585065246E-2</v>
      </c>
      <c r="F225" s="3">
        <f t="shared" si="186"/>
        <v>3.2623262585063012E-2</v>
      </c>
      <c r="G225" s="3">
        <f t="shared" si="186"/>
        <v>3.2623262585040759E-2</v>
      </c>
      <c r="H225" s="3">
        <f t="shared" si="186"/>
        <v>3.2623262584818201E-2</v>
      </c>
      <c r="I225" s="3">
        <f t="shared" si="186"/>
        <v>3.2623262582592627E-2</v>
      </c>
      <c r="J225" s="3">
        <f t="shared" si="186"/>
        <v>3.2623262560336846E-2</v>
      </c>
      <c r="K225" s="3">
        <f t="shared" si="186"/>
        <v>3.2623262337779096E-2</v>
      </c>
      <c r="L225" s="3">
        <f t="shared" si="186"/>
        <v>3.2623260112201666E-2</v>
      </c>
      <c r="M225" s="3">
        <f t="shared" si="186"/>
        <v>3.2623237856435706E-2</v>
      </c>
      <c r="N225" s="3">
        <f t="shared" si="186"/>
        <v>3.2623015299611161E-2</v>
      </c>
      <c r="O225" s="3">
        <f t="shared" si="186"/>
        <v>3.2620789814869974E-2</v>
      </c>
      <c r="P225" s="3">
        <f t="shared" si="186"/>
        <v>3.2598543315775518E-2</v>
      </c>
      <c r="Q225" s="3">
        <f t="shared" si="186"/>
        <v>3.2376911053164509E-2</v>
      </c>
      <c r="R225" s="3">
        <f t="shared" si="186"/>
        <v>3.0241797126223394E-2</v>
      </c>
      <c r="S225" s="3">
        <f t="shared" si="186"/>
        <v>1.5287252207980705E-2</v>
      </c>
      <c r="T225" s="3">
        <f t="shared" si="186"/>
        <v>1.6655120532970614E-5</v>
      </c>
      <c r="U225" s="3">
        <f t="shared" si="186"/>
        <v>3.9240205609365293E-35</v>
      </c>
      <c r="V225" s="3">
        <f t="shared" si="186"/>
        <v>0</v>
      </c>
      <c r="W225" s="3">
        <f t="shared" si="186"/>
        <v>0</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8.8496332073838405E-2</v>
      </c>
      <c r="C226" s="3">
        <f t="shared" si="187"/>
        <v>8.8496332073838405E-2</v>
      </c>
      <c r="D226" s="3">
        <f t="shared" si="187"/>
        <v>8.8496332073838391E-2</v>
      </c>
      <c r="E226" s="3">
        <f t="shared" si="187"/>
        <v>8.8496332073838349E-2</v>
      </c>
      <c r="F226" s="3">
        <f t="shared" si="187"/>
        <v>8.8496332073837794E-2</v>
      </c>
      <c r="G226" s="3">
        <f t="shared" si="187"/>
        <v>8.8496332073832354E-2</v>
      </c>
      <c r="H226" s="3">
        <f t="shared" si="187"/>
        <v>8.8496332073777897E-2</v>
      </c>
      <c r="I226" s="3">
        <f t="shared" si="187"/>
        <v>8.8496332073233278E-2</v>
      </c>
      <c r="J226" s="3">
        <f t="shared" si="187"/>
        <v>8.8496332067787162E-2</v>
      </c>
      <c r="K226" s="3">
        <f t="shared" si="187"/>
        <v>8.8496332013325962E-2</v>
      </c>
      <c r="L226" s="3">
        <f t="shared" si="187"/>
        <v>8.8496331468713968E-2</v>
      </c>
      <c r="M226" s="3">
        <f t="shared" si="187"/>
        <v>8.8496326022594302E-2</v>
      </c>
      <c r="N226" s="3">
        <f t="shared" si="187"/>
        <v>8.8496271561415998E-2</v>
      </c>
      <c r="O226" s="3">
        <f t="shared" si="187"/>
        <v>8.8495726951476339E-2</v>
      </c>
      <c r="P226" s="3">
        <f t="shared" si="187"/>
        <v>8.8490281036411808E-2</v>
      </c>
      <c r="Q226" s="3">
        <f t="shared" si="187"/>
        <v>8.8435840314773764E-2</v>
      </c>
      <c r="R226" s="3">
        <f t="shared" si="187"/>
        <v>8.7893271809724421E-2</v>
      </c>
      <c r="S226" s="3">
        <f t="shared" si="187"/>
        <v>8.2647339167563172E-2</v>
      </c>
      <c r="T226" s="3">
        <f t="shared" si="187"/>
        <v>4.4664381375301106E-2</v>
      </c>
      <c r="U226" s="3">
        <f t="shared" si="187"/>
        <v>9.4904279114255632E-5</v>
      </c>
      <c r="V226" s="3">
        <f t="shared" si="187"/>
        <v>1.7804529830176398E-31</v>
      </c>
      <c r="W226" s="3">
        <f t="shared" si="187"/>
        <v>9.6156281262096081E-299</v>
      </c>
      <c r="X226" s="3">
        <f t="shared" si="187"/>
        <v>0</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9.9309249865316016E-2</v>
      </c>
      <c r="C227" s="3">
        <f t="shared" si="188"/>
        <v>9.9309249865316016E-2</v>
      </c>
      <c r="D227" s="3">
        <f t="shared" si="188"/>
        <v>9.9309249865316016E-2</v>
      </c>
      <c r="E227" s="3">
        <f t="shared" si="188"/>
        <v>9.9309249865316002E-2</v>
      </c>
      <c r="F227" s="3">
        <f t="shared" si="188"/>
        <v>9.9309249865315946E-2</v>
      </c>
      <c r="G227" s="3">
        <f t="shared" si="188"/>
        <v>9.9309249865315405E-2</v>
      </c>
      <c r="H227" s="3">
        <f t="shared" si="188"/>
        <v>9.9309249865309882E-2</v>
      </c>
      <c r="I227" s="3">
        <f t="shared" si="188"/>
        <v>9.9309249865254759E-2</v>
      </c>
      <c r="J227" s="3">
        <f t="shared" si="188"/>
        <v>9.930924986470345E-2</v>
      </c>
      <c r="K227" s="3">
        <f t="shared" si="188"/>
        <v>9.9309249859190318E-2</v>
      </c>
      <c r="L227" s="3">
        <f t="shared" si="188"/>
        <v>9.9309249804059016E-2</v>
      </c>
      <c r="M227" s="3">
        <f t="shared" si="188"/>
        <v>9.9309249252746049E-2</v>
      </c>
      <c r="N227" s="3">
        <f t="shared" si="188"/>
        <v>9.9309243739616415E-2</v>
      </c>
      <c r="O227" s="3">
        <f t="shared" si="188"/>
        <v>9.9309188608337026E-2</v>
      </c>
      <c r="P227" s="3">
        <f t="shared" si="188"/>
        <v>9.9308637297226457E-2</v>
      </c>
      <c r="Q227" s="3">
        <f t="shared" si="188"/>
        <v>9.9303124354450018E-2</v>
      </c>
      <c r="R227" s="3">
        <f t="shared" si="188"/>
        <v>9.9248011756150584E-2</v>
      </c>
      <c r="S227" s="3">
        <f t="shared" si="188"/>
        <v>9.8698565267935967E-2</v>
      </c>
      <c r="T227" s="3">
        <f t="shared" si="188"/>
        <v>9.3368650731895764E-2</v>
      </c>
      <c r="U227" s="3">
        <f t="shared" si="188"/>
        <v>5.3592438183408198E-2</v>
      </c>
      <c r="V227" s="3">
        <f t="shared" si="188"/>
        <v>2.0803089800246934E-4</v>
      </c>
      <c r="W227" s="3">
        <f t="shared" si="188"/>
        <v>1.6157386908550082E-28</v>
      </c>
      <c r="X227" s="3">
        <f t="shared" si="188"/>
        <v>1.2906364764838168E-269</v>
      </c>
      <c r="Y227" s="3">
        <f t="shared" si="188"/>
        <v>0</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7.4938076557470937E-2</v>
      </c>
      <c r="C228" s="3">
        <f t="shared" si="189"/>
        <v>7.4938076557470937E-2</v>
      </c>
      <c r="D228" s="3">
        <f t="shared" si="189"/>
        <v>7.4938076557470937E-2</v>
      </c>
      <c r="E228" s="3">
        <f t="shared" si="189"/>
        <v>7.4938076557470937E-2</v>
      </c>
      <c r="F228" s="3">
        <f t="shared" si="189"/>
        <v>7.4938076557470923E-2</v>
      </c>
      <c r="G228" s="3">
        <f t="shared" si="189"/>
        <v>7.4938076557470895E-2</v>
      </c>
      <c r="H228" s="3">
        <f t="shared" si="189"/>
        <v>7.493807655747052E-2</v>
      </c>
      <c r="I228" s="3">
        <f t="shared" si="189"/>
        <v>7.4938076557466773E-2</v>
      </c>
      <c r="J228" s="3">
        <f t="shared" si="189"/>
        <v>7.4938076557429234E-2</v>
      </c>
      <c r="K228" s="3">
        <f t="shared" si="189"/>
        <v>7.4938076557053951E-2</v>
      </c>
      <c r="L228" s="3">
        <f t="shared" si="189"/>
        <v>7.4938076553301133E-2</v>
      </c>
      <c r="M228" s="3">
        <f t="shared" si="189"/>
        <v>7.4938076515772944E-2</v>
      </c>
      <c r="N228" s="3">
        <f t="shared" si="189"/>
        <v>7.4938076140491014E-2</v>
      </c>
      <c r="O228" s="3">
        <f t="shared" si="189"/>
        <v>7.4938072387671861E-2</v>
      </c>
      <c r="P228" s="3">
        <f t="shared" si="189"/>
        <v>7.4938034859490688E-2</v>
      </c>
      <c r="Q228" s="3">
        <f t="shared" si="189"/>
        <v>7.4937659578712526E-2</v>
      </c>
      <c r="R228" s="3">
        <f t="shared" si="189"/>
        <v>7.4933906874294229E-2</v>
      </c>
      <c r="S228" s="3">
        <f t="shared" si="189"/>
        <v>7.4896390164529675E-2</v>
      </c>
      <c r="T228" s="3">
        <f t="shared" si="189"/>
        <v>7.4522254596393958E-2</v>
      </c>
      <c r="U228" s="3">
        <f t="shared" si="189"/>
        <v>7.0882165856827925E-2</v>
      </c>
      <c r="V228" s="3">
        <f t="shared" si="189"/>
        <v>4.2958283154397064E-2</v>
      </c>
      <c r="W228" s="3">
        <f t="shared" si="189"/>
        <v>2.8717477295141328E-4</v>
      </c>
      <c r="X228" s="3">
        <f t="shared" si="189"/>
        <v>5.1184679392101734E-26</v>
      </c>
      <c r="Y228" s="3">
        <f t="shared" si="189"/>
        <v>1.6560635436840612E-243</v>
      </c>
      <c r="Z228" s="3">
        <f t="shared" si="189"/>
        <v>0</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6.9322857874701022E-2</v>
      </c>
      <c r="C229" s="3">
        <f t="shared" si="190"/>
        <v>6.9322857874701022E-2</v>
      </c>
      <c r="D229" s="3">
        <f t="shared" si="190"/>
        <v>6.9322857874701022E-2</v>
      </c>
      <c r="E229" s="3">
        <f t="shared" si="190"/>
        <v>6.9322857874701022E-2</v>
      </c>
      <c r="F229" s="3">
        <f t="shared" si="190"/>
        <v>6.9322857874701022E-2</v>
      </c>
      <c r="G229" s="3">
        <f t="shared" si="190"/>
        <v>6.9322857874701022E-2</v>
      </c>
      <c r="H229" s="3">
        <f t="shared" si="190"/>
        <v>6.932285787470098E-2</v>
      </c>
      <c r="I229" s="3">
        <f t="shared" si="190"/>
        <v>6.9322857874700675E-2</v>
      </c>
      <c r="J229" s="3">
        <f t="shared" si="190"/>
        <v>6.9322857874697538E-2</v>
      </c>
      <c r="K229" s="3">
        <f t="shared" si="190"/>
        <v>6.932285787466623E-2</v>
      </c>
      <c r="L229" s="3">
        <f t="shared" si="190"/>
        <v>6.932285787435305E-2</v>
      </c>
      <c r="M229" s="3">
        <f t="shared" si="190"/>
        <v>6.9322857871221374E-2</v>
      </c>
      <c r="N229" s="3">
        <f t="shared" si="190"/>
        <v>6.9322857839904523E-2</v>
      </c>
      <c r="O229" s="3">
        <f t="shared" si="190"/>
        <v>6.9322857526735962E-2</v>
      </c>
      <c r="P229" s="3">
        <f t="shared" si="190"/>
        <v>6.9322854395050426E-2</v>
      </c>
      <c r="Q229" s="3">
        <f t="shared" si="190"/>
        <v>6.932282307820295E-2</v>
      </c>
      <c r="R229" s="3">
        <f t="shared" si="190"/>
        <v>6.932250991050623E-2</v>
      </c>
      <c r="S229" s="3">
        <f t="shared" si="190"/>
        <v>6.9319378311348934E-2</v>
      </c>
      <c r="T229" s="3">
        <f t="shared" si="190"/>
        <v>6.928807009945874E-2</v>
      </c>
      <c r="U229" s="3">
        <f t="shared" si="190"/>
        <v>6.8975764650042543E-2</v>
      </c>
      <c r="V229" s="3">
        <f t="shared" si="190"/>
        <v>6.5929094448033812E-2</v>
      </c>
      <c r="W229" s="3">
        <f t="shared" si="190"/>
        <v>4.1964589617998892E-2</v>
      </c>
      <c r="X229" s="3">
        <f t="shared" si="190"/>
        <v>4.5808036626071336E-4</v>
      </c>
      <c r="Y229" s="3">
        <f t="shared" si="190"/>
        <v>1.1003444395605726E-23</v>
      </c>
      <c r="Z229" s="3">
        <f t="shared" si="190"/>
        <v>7.0371758786231159E-220</v>
      </c>
      <c r="AA229" s="3">
        <f t="shared" si="190"/>
        <v>0</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2.2465875921068256E-2</v>
      </c>
      <c r="C230" s="3">
        <f t="shared" si="191"/>
        <v>2.2465875921068256E-2</v>
      </c>
      <c r="D230" s="3">
        <f t="shared" si="191"/>
        <v>2.2465875921068256E-2</v>
      </c>
      <c r="E230" s="3">
        <f t="shared" si="191"/>
        <v>2.2465875921068256E-2</v>
      </c>
      <c r="F230" s="3">
        <f t="shared" si="191"/>
        <v>2.2465875921068256E-2</v>
      </c>
      <c r="G230" s="3">
        <f t="shared" si="191"/>
        <v>2.2465875921068256E-2</v>
      </c>
      <c r="H230" s="3">
        <f t="shared" si="191"/>
        <v>2.2465875921068256E-2</v>
      </c>
      <c r="I230" s="3">
        <f t="shared" si="191"/>
        <v>2.2465875921068246E-2</v>
      </c>
      <c r="J230" s="3">
        <f t="shared" si="191"/>
        <v>2.2465875921068156E-2</v>
      </c>
      <c r="K230" s="3">
        <f t="shared" si="191"/>
        <v>2.246587592106724E-2</v>
      </c>
      <c r="L230" s="3">
        <f t="shared" si="191"/>
        <v>2.2465875921058084E-2</v>
      </c>
      <c r="M230" s="3">
        <f t="shared" si="191"/>
        <v>2.2465875920966528E-2</v>
      </c>
      <c r="N230" s="3">
        <f t="shared" si="191"/>
        <v>2.2465875920051004E-2</v>
      </c>
      <c r="O230" s="3">
        <f t="shared" si="191"/>
        <v>2.2465875910895723E-2</v>
      </c>
      <c r="P230" s="3">
        <f t="shared" si="191"/>
        <v>2.246587581934292E-2</v>
      </c>
      <c r="Q230" s="3">
        <f t="shared" si="191"/>
        <v>2.2465874903814912E-2</v>
      </c>
      <c r="R230" s="3">
        <f t="shared" si="191"/>
        <v>2.2465865748536887E-2</v>
      </c>
      <c r="S230" s="3">
        <f t="shared" si="191"/>
        <v>2.2465774195961834E-2</v>
      </c>
      <c r="T230" s="3">
        <f t="shared" si="191"/>
        <v>2.2464858690731209E-2</v>
      </c>
      <c r="U230" s="3">
        <f t="shared" si="191"/>
        <v>2.2455705690106107E-2</v>
      </c>
      <c r="V230" s="3">
        <f t="shared" si="191"/>
        <v>2.2364380542949477E-2</v>
      </c>
      <c r="W230" s="3">
        <f t="shared" si="191"/>
        <v>2.1471309427988149E-2</v>
      </c>
      <c r="X230" s="3">
        <f t="shared" si="191"/>
        <v>1.4284830891653215E-2</v>
      </c>
      <c r="Y230" s="3">
        <f t="shared" si="191"/>
        <v>2.4268382469623914E-4</v>
      </c>
      <c r="Z230" s="3">
        <f t="shared" si="191"/>
        <v>4.8606920206777728E-22</v>
      </c>
      <c r="AA230" s="3">
        <f t="shared" si="191"/>
        <v>5.0497612070135584E-199</v>
      </c>
      <c r="AB230" s="3">
        <f t="shared" si="191"/>
        <v>0</v>
      </c>
      <c r="AC230" s="3">
        <f t="shared" si="191"/>
        <v>0</v>
      </c>
      <c r="AD230" s="3">
        <f t="shared" si="191"/>
        <v>0</v>
      </c>
      <c r="AE230" s="3">
        <f t="shared" si="191"/>
        <v>0</v>
      </c>
      <c r="AF230" s="3">
        <f t="shared" si="191"/>
        <v>0</v>
      </c>
      <c r="AG230" s="3"/>
      <c r="AH230" s="3"/>
    </row>
    <row r="231" spans="2:34" x14ac:dyDescent="0.25">
      <c r="B231" s="3">
        <f t="shared" ref="B231:AF231" si="192">$C39*EXP(-B$207/$A39/EXP(-$D$126))</f>
        <v>5.8329528880761261E-2</v>
      </c>
      <c r="C231" s="3">
        <f t="shared" si="192"/>
        <v>5.8329528880761261E-2</v>
      </c>
      <c r="D231" s="3">
        <f t="shared" si="192"/>
        <v>5.8329528880761261E-2</v>
      </c>
      <c r="E231" s="3">
        <f t="shared" si="192"/>
        <v>5.8329528880761261E-2</v>
      </c>
      <c r="F231" s="3">
        <f t="shared" si="192"/>
        <v>5.8329528880761261E-2</v>
      </c>
      <c r="G231" s="3">
        <f t="shared" si="192"/>
        <v>5.8329528880761261E-2</v>
      </c>
      <c r="H231" s="3">
        <f t="shared" si="192"/>
        <v>5.8329528880761261E-2</v>
      </c>
      <c r="I231" s="3">
        <f t="shared" si="192"/>
        <v>5.8329528880761254E-2</v>
      </c>
      <c r="J231" s="3">
        <f t="shared" si="192"/>
        <v>5.8329528880761192E-2</v>
      </c>
      <c r="K231" s="3">
        <f t="shared" si="192"/>
        <v>5.8329528880760532E-2</v>
      </c>
      <c r="L231" s="3">
        <f t="shared" si="192"/>
        <v>5.8329528880753954E-2</v>
      </c>
      <c r="M231" s="3">
        <f t="shared" si="192"/>
        <v>5.8329528880688215E-2</v>
      </c>
      <c r="N231" s="3">
        <f t="shared" si="192"/>
        <v>5.8329528880030783E-2</v>
      </c>
      <c r="O231" s="3">
        <f t="shared" si="192"/>
        <v>5.8329528873456486E-2</v>
      </c>
      <c r="P231" s="3">
        <f t="shared" si="192"/>
        <v>5.8329528807713464E-2</v>
      </c>
      <c r="Q231" s="3">
        <f t="shared" si="192"/>
        <v>5.8329528150283312E-2</v>
      </c>
      <c r="R231" s="3">
        <f t="shared" si="192"/>
        <v>5.8329521575982222E-2</v>
      </c>
      <c r="S231" s="3">
        <f t="shared" si="192"/>
        <v>5.8329455833012057E-2</v>
      </c>
      <c r="T231" s="3">
        <f t="shared" si="192"/>
        <v>5.8328798407385793E-2</v>
      </c>
      <c r="U231" s="3">
        <f t="shared" si="192"/>
        <v>5.8322224558647273E-2</v>
      </c>
      <c r="V231" s="3">
        <f t="shared" si="192"/>
        <v>5.8256526806686269E-2</v>
      </c>
      <c r="W231" s="3">
        <f t="shared" si="192"/>
        <v>5.7603605892862661E-2</v>
      </c>
      <c r="X231" s="3">
        <f t="shared" si="192"/>
        <v>5.1463638256052158E-2</v>
      </c>
      <c r="Y231" s="3">
        <f t="shared" si="192"/>
        <v>1.6672803761759059E-2</v>
      </c>
      <c r="Z231" s="3">
        <f t="shared" si="192"/>
        <v>2.1236853314574199E-7</v>
      </c>
      <c r="AA231" s="3">
        <f t="shared" si="192"/>
        <v>2.3872915178184301E-56</v>
      </c>
      <c r="AB231" s="3">
        <f t="shared" si="192"/>
        <v>0</v>
      </c>
      <c r="AC231" s="3">
        <f t="shared" si="192"/>
        <v>0</v>
      </c>
      <c r="AD231" s="3">
        <f t="shared" si="192"/>
        <v>0</v>
      </c>
      <c r="AE231" s="3">
        <f t="shared" si="192"/>
        <v>0</v>
      </c>
      <c r="AF231" s="3">
        <f t="shared" si="192"/>
        <v>0</v>
      </c>
      <c r="AG231" s="3"/>
      <c r="AH231" s="3"/>
    </row>
    <row r="232" spans="2:34" x14ac:dyDescent="0.25">
      <c r="B232" s="3">
        <f t="shared" ref="B232:AF232" si="193">$C40*EXP(-B$207/$A40/EXP(-$D$126))</f>
        <v>3.4551716494444183E-2</v>
      </c>
      <c r="C232" s="3">
        <f t="shared" si="193"/>
        <v>3.4551716494444183E-2</v>
      </c>
      <c r="D232" s="3">
        <f t="shared" si="193"/>
        <v>3.4551716494444183E-2</v>
      </c>
      <c r="E232" s="3">
        <f t="shared" si="193"/>
        <v>3.4551716494444183E-2</v>
      </c>
      <c r="F232" s="3">
        <f t="shared" si="193"/>
        <v>3.4551716494444183E-2</v>
      </c>
      <c r="G232" s="3">
        <f t="shared" si="193"/>
        <v>3.4551716494444183E-2</v>
      </c>
      <c r="H232" s="3">
        <f t="shared" si="193"/>
        <v>3.4551716494444183E-2</v>
      </c>
      <c r="I232" s="3">
        <f t="shared" si="193"/>
        <v>3.4551716494444183E-2</v>
      </c>
      <c r="J232" s="3">
        <f t="shared" si="193"/>
        <v>3.4551716494444176E-2</v>
      </c>
      <c r="K232" s="3">
        <f t="shared" si="193"/>
        <v>3.4551716494444142E-2</v>
      </c>
      <c r="L232" s="3">
        <f t="shared" si="193"/>
        <v>3.4551716494443753E-2</v>
      </c>
      <c r="M232" s="3">
        <f t="shared" si="193"/>
        <v>3.4551716494439853E-2</v>
      </c>
      <c r="N232" s="3">
        <f t="shared" si="193"/>
        <v>3.4551716494400912E-2</v>
      </c>
      <c r="O232" s="3">
        <f t="shared" si="193"/>
        <v>3.4551716494011481E-2</v>
      </c>
      <c r="P232" s="3">
        <f t="shared" si="193"/>
        <v>3.4551716490117172E-2</v>
      </c>
      <c r="Q232" s="3">
        <f t="shared" si="193"/>
        <v>3.4551716451174046E-2</v>
      </c>
      <c r="R232" s="3">
        <f t="shared" si="193"/>
        <v>3.4551716061742815E-2</v>
      </c>
      <c r="S232" s="3">
        <f t="shared" si="193"/>
        <v>3.4551712167430762E-2</v>
      </c>
      <c r="T232" s="3">
        <f t="shared" si="193"/>
        <v>3.4551673224334355E-2</v>
      </c>
      <c r="U232" s="3">
        <f t="shared" si="193"/>
        <v>3.4551283795784343E-2</v>
      </c>
      <c r="V232" s="3">
        <f t="shared" si="193"/>
        <v>3.4547389751682686E-2</v>
      </c>
      <c r="W232" s="3">
        <f t="shared" si="193"/>
        <v>3.4508473440448294E-2</v>
      </c>
      <c r="X232" s="3">
        <f t="shared" si="193"/>
        <v>3.4121713273846513E-2</v>
      </c>
      <c r="Y232" s="3">
        <f t="shared" si="193"/>
        <v>3.0484680279703628E-2</v>
      </c>
      <c r="Z232" s="3">
        <f t="shared" si="193"/>
        <v>9.8761982103683175E-3</v>
      </c>
      <c r="AA232" s="3">
        <f t="shared" si="193"/>
        <v>1.2579730181933341E-7</v>
      </c>
      <c r="AB232" s="3">
        <f t="shared" si="193"/>
        <v>1.4141211372008811E-56</v>
      </c>
      <c r="AC232" s="3">
        <f t="shared" si="193"/>
        <v>0</v>
      </c>
      <c r="AD232" s="3">
        <f t="shared" si="193"/>
        <v>0</v>
      </c>
      <c r="AE232" s="3">
        <f t="shared" si="193"/>
        <v>0</v>
      </c>
      <c r="AF232" s="3">
        <f t="shared" si="193"/>
        <v>0</v>
      </c>
      <c r="AG232" s="3"/>
      <c r="AH232" s="3"/>
    </row>
    <row r="233" spans="2:34" x14ac:dyDescent="0.25">
      <c r="B233" s="3">
        <f t="shared" ref="B233:AF233" si="194">$C41*EXP(-B$207/$A41/EXP(-$D$126))</f>
        <v>3.2785105338059839E-2</v>
      </c>
      <c r="C233" s="3">
        <f t="shared" si="194"/>
        <v>3.2785105338059839E-2</v>
      </c>
      <c r="D233" s="3">
        <f t="shared" si="194"/>
        <v>3.2785105338059839E-2</v>
      </c>
      <c r="E233" s="3">
        <f t="shared" si="194"/>
        <v>3.2785105338059839E-2</v>
      </c>
      <c r="F233" s="3">
        <f t="shared" si="194"/>
        <v>3.2785105338059839E-2</v>
      </c>
      <c r="G233" s="3">
        <f t="shared" si="194"/>
        <v>3.2785105338059839E-2</v>
      </c>
      <c r="H233" s="3">
        <f t="shared" si="194"/>
        <v>3.2785105338059839E-2</v>
      </c>
      <c r="I233" s="3">
        <f t="shared" si="194"/>
        <v>3.2785105338059839E-2</v>
      </c>
      <c r="J233" s="3">
        <f t="shared" si="194"/>
        <v>3.2785105338059839E-2</v>
      </c>
      <c r="K233" s="3">
        <f t="shared" si="194"/>
        <v>3.2785105338059832E-2</v>
      </c>
      <c r="L233" s="3">
        <f t="shared" si="194"/>
        <v>3.2785105338059797E-2</v>
      </c>
      <c r="M233" s="3">
        <f t="shared" si="194"/>
        <v>3.278510533805943E-2</v>
      </c>
      <c r="N233" s="3">
        <f t="shared" si="194"/>
        <v>3.2785105338055731E-2</v>
      </c>
      <c r="O233" s="3">
        <f t="shared" si="194"/>
        <v>3.2785105338018782E-2</v>
      </c>
      <c r="P233" s="3">
        <f t="shared" si="194"/>
        <v>3.2785105337649258E-2</v>
      </c>
      <c r="Q233" s="3">
        <f t="shared" si="194"/>
        <v>3.2785105333954061E-2</v>
      </c>
      <c r="R233" s="3">
        <f t="shared" si="194"/>
        <v>3.2785105297002085E-2</v>
      </c>
      <c r="S233" s="3">
        <f t="shared" si="194"/>
        <v>3.2785104927482267E-2</v>
      </c>
      <c r="T233" s="3">
        <f t="shared" si="194"/>
        <v>3.2785101232284342E-2</v>
      </c>
      <c r="U233" s="3">
        <f t="shared" si="194"/>
        <v>3.2785064280328048E-2</v>
      </c>
      <c r="V233" s="3">
        <f t="shared" si="194"/>
        <v>3.2784694763055705E-2</v>
      </c>
      <c r="W233" s="3">
        <f t="shared" si="194"/>
        <v>3.278099981938816E-2</v>
      </c>
      <c r="X233" s="3">
        <f t="shared" si="194"/>
        <v>3.2744073278751798E-2</v>
      </c>
      <c r="Y233" s="3">
        <f t="shared" si="194"/>
        <v>3.2377087956773833E-2</v>
      </c>
      <c r="Z233" s="3">
        <f t="shared" si="194"/>
        <v>2.8926014553513325E-2</v>
      </c>
      <c r="AA233" s="3">
        <f t="shared" si="194"/>
        <v>9.3712333718224457E-3</v>
      </c>
      <c r="AB233" s="3">
        <f t="shared" si="194"/>
        <v>1.1936535170557226E-7</v>
      </c>
      <c r="AC233" s="3">
        <f t="shared" si="194"/>
        <v>1.3418178645730306E-56</v>
      </c>
      <c r="AD233" s="3">
        <f t="shared" si="194"/>
        <v>0</v>
      </c>
      <c r="AE233" s="3">
        <f t="shared" si="194"/>
        <v>0</v>
      </c>
      <c r="AF233" s="3">
        <f t="shared" si="194"/>
        <v>0</v>
      </c>
      <c r="AG233" s="3"/>
      <c r="AH233" s="3"/>
    </row>
    <row r="234" spans="2:34" x14ac:dyDescent="0.25">
      <c r="B234" s="3">
        <f t="shared" ref="B234:AF234" si="195">$C42*EXP(-B$207/$A42/EXP(-$D$126))</f>
        <v>1.3184627495592977E-2</v>
      </c>
      <c r="C234" s="3">
        <f t="shared" si="195"/>
        <v>1.3184627495592977E-2</v>
      </c>
      <c r="D234" s="3">
        <f t="shared" si="195"/>
        <v>1.3184627495592977E-2</v>
      </c>
      <c r="E234" s="3">
        <f t="shared" si="195"/>
        <v>1.3184627495592977E-2</v>
      </c>
      <c r="F234" s="3">
        <f t="shared" si="195"/>
        <v>1.3184627495592977E-2</v>
      </c>
      <c r="G234" s="3">
        <f t="shared" si="195"/>
        <v>1.3184627495592977E-2</v>
      </c>
      <c r="H234" s="3">
        <f t="shared" si="195"/>
        <v>1.3184627495592977E-2</v>
      </c>
      <c r="I234" s="3">
        <f t="shared" si="195"/>
        <v>1.3184627495592977E-2</v>
      </c>
      <c r="J234" s="3">
        <f t="shared" si="195"/>
        <v>1.3184627495592977E-2</v>
      </c>
      <c r="K234" s="3">
        <f t="shared" si="195"/>
        <v>1.3184627495592977E-2</v>
      </c>
      <c r="L234" s="3">
        <f t="shared" si="195"/>
        <v>1.3184627495592975E-2</v>
      </c>
      <c r="M234" s="3">
        <f t="shared" si="195"/>
        <v>1.3184627495592962E-2</v>
      </c>
      <c r="N234" s="3">
        <f t="shared" si="195"/>
        <v>1.3184627495592812E-2</v>
      </c>
      <c r="O234" s="3">
        <f t="shared" si="195"/>
        <v>1.3184627495591326E-2</v>
      </c>
      <c r="P234" s="3">
        <f t="shared" si="195"/>
        <v>1.3184627495576466E-2</v>
      </c>
      <c r="Q234" s="3">
        <f t="shared" si="195"/>
        <v>1.3184627495427863E-2</v>
      </c>
      <c r="R234" s="3">
        <f t="shared" si="195"/>
        <v>1.3184627493941828E-2</v>
      </c>
      <c r="S234" s="3">
        <f t="shared" si="195"/>
        <v>1.3184627479081478E-2</v>
      </c>
      <c r="T234" s="3">
        <f t="shared" si="195"/>
        <v>1.3184627330477986E-2</v>
      </c>
      <c r="U234" s="3">
        <f t="shared" si="195"/>
        <v>1.3184625844443167E-2</v>
      </c>
      <c r="V234" s="3">
        <f t="shared" si="195"/>
        <v>1.3184610984104179E-2</v>
      </c>
      <c r="W234" s="3">
        <f t="shared" si="195"/>
        <v>1.3184462381635505E-2</v>
      </c>
      <c r="X234" s="3">
        <f t="shared" si="195"/>
        <v>1.3182976449064252E-2</v>
      </c>
      <c r="Y234" s="3">
        <f t="shared" si="195"/>
        <v>1.3168126331061852E-2</v>
      </c>
      <c r="Z234" s="3">
        <f t="shared" si="195"/>
        <v>1.3020542093746234E-2</v>
      </c>
      <c r="AA234" s="3">
        <f t="shared" si="195"/>
        <v>1.1632682673660237E-2</v>
      </c>
      <c r="AB234" s="3">
        <f t="shared" si="195"/>
        <v>3.7686693365085442E-3</v>
      </c>
      <c r="AC234" s="3">
        <f t="shared" si="195"/>
        <v>4.8003130747651523E-8</v>
      </c>
      <c r="AD234" s="3">
        <f t="shared" si="195"/>
        <v>5.3961603993352847E-57</v>
      </c>
      <c r="AE234" s="3">
        <f t="shared" si="195"/>
        <v>0</v>
      </c>
      <c r="AF234" s="3">
        <f t="shared" si="195"/>
        <v>0</v>
      </c>
      <c r="AG234" s="3"/>
      <c r="AH234" s="3"/>
    </row>
    <row r="235" spans="2:34" x14ac:dyDescent="0.25">
      <c r="B235" s="3">
        <f t="shared" ref="B235:AF235" si="196">$C43*EXP(-B$207/$A43/EXP(-$D$126))</f>
        <v>9.0966723550024858E-3</v>
      </c>
      <c r="C235" s="3">
        <f t="shared" si="196"/>
        <v>9.0966723550024858E-3</v>
      </c>
      <c r="D235" s="3">
        <f t="shared" si="196"/>
        <v>9.0966723550024858E-3</v>
      </c>
      <c r="E235" s="3">
        <f t="shared" si="196"/>
        <v>9.0966723550024858E-3</v>
      </c>
      <c r="F235" s="3">
        <f t="shared" si="196"/>
        <v>9.0966723550024858E-3</v>
      </c>
      <c r="G235" s="3">
        <f t="shared" si="196"/>
        <v>9.0966723550024858E-3</v>
      </c>
      <c r="H235" s="3">
        <f t="shared" si="196"/>
        <v>9.0966723550024858E-3</v>
      </c>
      <c r="I235" s="3">
        <f t="shared" si="196"/>
        <v>9.0966723550024858E-3</v>
      </c>
      <c r="J235" s="3">
        <f t="shared" si="196"/>
        <v>9.0966723550024858E-3</v>
      </c>
      <c r="K235" s="3">
        <f t="shared" si="196"/>
        <v>9.0966723550024858E-3</v>
      </c>
      <c r="L235" s="3">
        <f t="shared" si="196"/>
        <v>9.0966723550024858E-3</v>
      </c>
      <c r="M235" s="3">
        <f t="shared" si="196"/>
        <v>9.0966723550024841E-3</v>
      </c>
      <c r="N235" s="3">
        <f t="shared" si="196"/>
        <v>9.0966723550024754E-3</v>
      </c>
      <c r="O235" s="3">
        <f t="shared" si="196"/>
        <v>9.0966723550023713E-3</v>
      </c>
      <c r="P235" s="3">
        <f t="shared" si="196"/>
        <v>9.0966723550013461E-3</v>
      </c>
      <c r="Q235" s="3">
        <f t="shared" si="196"/>
        <v>9.0966723549910939E-3</v>
      </c>
      <c r="R235" s="3">
        <f t="shared" si="196"/>
        <v>9.0966723548885648E-3</v>
      </c>
      <c r="S235" s="3">
        <f t="shared" si="196"/>
        <v>9.0966723538632825E-3</v>
      </c>
      <c r="T235" s="3">
        <f t="shared" si="196"/>
        <v>9.0966723436104544E-3</v>
      </c>
      <c r="U235" s="3">
        <f t="shared" si="196"/>
        <v>9.0966722410821665E-3</v>
      </c>
      <c r="V235" s="3">
        <f t="shared" si="196"/>
        <v>9.0966712157993616E-3</v>
      </c>
      <c r="W235" s="3">
        <f t="shared" si="196"/>
        <v>9.0966609629776658E-3</v>
      </c>
      <c r="X235" s="3">
        <f t="shared" si="196"/>
        <v>9.0965584353962722E-3</v>
      </c>
      <c r="Y235" s="3">
        <f t="shared" si="196"/>
        <v>9.0955332231370083E-3</v>
      </c>
      <c r="Z235" s="3">
        <f t="shared" si="196"/>
        <v>9.0852874533611013E-3</v>
      </c>
      <c r="AA235" s="3">
        <f t="shared" si="196"/>
        <v>8.983462395954522E-3</v>
      </c>
      <c r="AB235" s="3">
        <f t="shared" si="196"/>
        <v>8.0259152507245173E-3</v>
      </c>
      <c r="AC235" s="3">
        <f t="shared" si="196"/>
        <v>2.6001758623838155E-3</v>
      </c>
      <c r="AD235" s="3">
        <f t="shared" si="196"/>
        <v>3.3119536564206303E-8</v>
      </c>
      <c r="AE235" s="3">
        <f t="shared" si="196"/>
        <v>3.7230557438350113E-57</v>
      </c>
      <c r="AF235" s="3">
        <f t="shared" si="196"/>
        <v>0</v>
      </c>
      <c r="AG235" s="3"/>
      <c r="AH235" s="3"/>
    </row>
    <row r="236" spans="2:34" x14ac:dyDescent="0.25">
      <c r="B236" s="3">
        <f t="shared" ref="B236:AF236" si="197">$C44*EXP(-B$207/$A44/EXP(-$D$126))</f>
        <v>3.0393849329234364E-3</v>
      </c>
      <c r="C236" s="3">
        <f t="shared" si="197"/>
        <v>3.0393849329234364E-3</v>
      </c>
      <c r="D236" s="3">
        <f t="shared" si="197"/>
        <v>3.0393849329234364E-3</v>
      </c>
      <c r="E236" s="3">
        <f t="shared" si="197"/>
        <v>3.0393849329234364E-3</v>
      </c>
      <c r="F236" s="3">
        <f t="shared" si="197"/>
        <v>3.0393849329234364E-3</v>
      </c>
      <c r="G236" s="3">
        <f t="shared" si="197"/>
        <v>3.0393849329234364E-3</v>
      </c>
      <c r="H236" s="3">
        <f t="shared" si="197"/>
        <v>3.0393849329234364E-3</v>
      </c>
      <c r="I236" s="3">
        <f t="shared" si="197"/>
        <v>3.0393849329234364E-3</v>
      </c>
      <c r="J236" s="3">
        <f t="shared" si="197"/>
        <v>3.0393849329234364E-3</v>
      </c>
      <c r="K236" s="3">
        <f t="shared" si="197"/>
        <v>3.0393849329234364E-3</v>
      </c>
      <c r="L236" s="3">
        <f t="shared" si="197"/>
        <v>3.0393849329234364E-3</v>
      </c>
      <c r="M236" s="3">
        <f t="shared" si="197"/>
        <v>3.0393849329234364E-3</v>
      </c>
      <c r="N236" s="3">
        <f t="shared" si="197"/>
        <v>3.039384932923436E-3</v>
      </c>
      <c r="O236" s="3">
        <f t="shared" si="197"/>
        <v>3.0393849329234325E-3</v>
      </c>
      <c r="P236" s="3">
        <f t="shared" si="197"/>
        <v>3.0393849329233983E-3</v>
      </c>
      <c r="Q236" s="3">
        <f t="shared" si="197"/>
        <v>3.0393849329230557E-3</v>
      </c>
      <c r="R236" s="3">
        <f t="shared" si="197"/>
        <v>3.03938493291963E-3</v>
      </c>
      <c r="S236" s="3">
        <f t="shared" si="197"/>
        <v>3.0393849328853731E-3</v>
      </c>
      <c r="T236" s="3">
        <f t="shared" si="197"/>
        <v>3.0393849325428051E-3</v>
      </c>
      <c r="U236" s="3">
        <f t="shared" si="197"/>
        <v>3.0393849291171248E-3</v>
      </c>
      <c r="V236" s="3">
        <f t="shared" si="197"/>
        <v>3.0393848948603195E-3</v>
      </c>
      <c r="W236" s="3">
        <f t="shared" si="197"/>
        <v>3.0393845522922918E-3</v>
      </c>
      <c r="X236" s="3">
        <f t="shared" si="197"/>
        <v>3.0393811266141353E-3</v>
      </c>
      <c r="Y236" s="3">
        <f t="shared" si="197"/>
        <v>3.0393468700449272E-3</v>
      </c>
      <c r="Z236" s="3">
        <f t="shared" si="197"/>
        <v>3.0390043255877617E-3</v>
      </c>
      <c r="AA236" s="3">
        <f t="shared" si="197"/>
        <v>3.0355810036225626E-3</v>
      </c>
      <c r="AB236" s="3">
        <f t="shared" si="197"/>
        <v>3.001559162096587E-3</v>
      </c>
      <c r="AC236" s="3">
        <f t="shared" si="197"/>
        <v>2.681623008281456E-3</v>
      </c>
      <c r="AD236" s="3">
        <f t="shared" si="197"/>
        <v>8.6877212134990774E-4</v>
      </c>
      <c r="AE236" s="3">
        <f t="shared" si="197"/>
        <v>1.1065916907878779E-8</v>
      </c>
      <c r="AF236" s="3">
        <f t="shared" si="197"/>
        <v>1.2439493356076908E-57</v>
      </c>
      <c r="AG236" s="3"/>
      <c r="AH236" s="3"/>
    </row>
    <row r="237" spans="2:34" x14ac:dyDescent="0.25">
      <c r="B237" s="3">
        <f t="shared" ref="B237:AF237" si="198">$C45*EXP(-B$207/$A45/EXP(-$D$126))</f>
        <v>2.6495422897411186E-3</v>
      </c>
      <c r="C237" s="3">
        <f t="shared" si="198"/>
        <v>2.6495422897411186E-3</v>
      </c>
      <c r="D237" s="3">
        <f t="shared" si="198"/>
        <v>2.6495422897411186E-3</v>
      </c>
      <c r="E237" s="3">
        <f t="shared" si="198"/>
        <v>2.6495422897411186E-3</v>
      </c>
      <c r="F237" s="3">
        <f t="shared" si="198"/>
        <v>2.6495422897411186E-3</v>
      </c>
      <c r="G237" s="3">
        <f t="shared" si="198"/>
        <v>2.6495422897411186E-3</v>
      </c>
      <c r="H237" s="3">
        <f t="shared" si="198"/>
        <v>2.6495422897411186E-3</v>
      </c>
      <c r="I237" s="3">
        <f t="shared" si="198"/>
        <v>2.6495422897411186E-3</v>
      </c>
      <c r="J237" s="3">
        <f t="shared" si="198"/>
        <v>2.6495422897411186E-3</v>
      </c>
      <c r="K237" s="3">
        <f t="shared" si="198"/>
        <v>2.6495422897411186E-3</v>
      </c>
      <c r="L237" s="3">
        <f t="shared" si="198"/>
        <v>2.6495422897411186E-3</v>
      </c>
      <c r="M237" s="3">
        <f t="shared" si="198"/>
        <v>2.6495422897411186E-3</v>
      </c>
      <c r="N237" s="3">
        <f t="shared" si="198"/>
        <v>2.6495422897411186E-3</v>
      </c>
      <c r="O237" s="3">
        <f t="shared" si="198"/>
        <v>2.6495422897411182E-3</v>
      </c>
      <c r="P237" s="3">
        <f t="shared" si="198"/>
        <v>2.6495422897411156E-3</v>
      </c>
      <c r="Q237" s="3">
        <f t="shared" si="198"/>
        <v>2.6495422897410852E-3</v>
      </c>
      <c r="R237" s="3">
        <f t="shared" si="198"/>
        <v>2.6495422897407869E-3</v>
      </c>
      <c r="S237" s="3">
        <f t="shared" si="198"/>
        <v>2.6495422897378005E-3</v>
      </c>
      <c r="T237" s="3">
        <f t="shared" si="198"/>
        <v>2.6495422897079377E-3</v>
      </c>
      <c r="U237" s="3">
        <f t="shared" si="198"/>
        <v>2.6495422894093085E-3</v>
      </c>
      <c r="V237" s="3">
        <f t="shared" si="198"/>
        <v>2.6495422864230185E-3</v>
      </c>
      <c r="W237" s="3">
        <f t="shared" si="198"/>
        <v>2.6495422565601169E-3</v>
      </c>
      <c r="X237" s="3">
        <f t="shared" si="198"/>
        <v>2.6495419579311186E-3</v>
      </c>
      <c r="Y237" s="3">
        <f t="shared" si="198"/>
        <v>2.6495389716429891E-3</v>
      </c>
      <c r="Z237" s="3">
        <f t="shared" si="198"/>
        <v>2.6495091089468116E-3</v>
      </c>
      <c r="AA237" s="3">
        <f t="shared" si="198"/>
        <v>2.6492105004962841E-3</v>
      </c>
      <c r="AB237" s="3">
        <f t="shared" si="198"/>
        <v>2.6462262663441887E-3</v>
      </c>
      <c r="AC237" s="3">
        <f t="shared" si="198"/>
        <v>2.6165681908166378E-3</v>
      </c>
      <c r="AD237" s="3">
        <f t="shared" si="198"/>
        <v>2.3376682198494982E-3</v>
      </c>
      <c r="AE237" s="3">
        <f t="shared" si="198"/>
        <v>7.5734022720532726E-4</v>
      </c>
      <c r="AF237" s="3">
        <f t="shared" si="198"/>
        <v>9.6465618765784252E-9</v>
      </c>
      <c r="AG237" s="3"/>
      <c r="AH237" s="3"/>
    </row>
    <row r="238" spans="2:34" x14ac:dyDescent="0.25">
      <c r="B238" s="3">
        <f t="shared" ref="B238:AF238" si="199">$C46*EXP(-B$207/$A46/EXP(-$D$126))</f>
        <v>6.8554497859674352E-4</v>
      </c>
      <c r="C238" s="3">
        <f t="shared" si="199"/>
        <v>6.8554497859674352E-4</v>
      </c>
      <c r="D238" s="3">
        <f t="shared" si="199"/>
        <v>6.8554497859674352E-4</v>
      </c>
      <c r="E238" s="3">
        <f t="shared" si="199"/>
        <v>6.8554497859674352E-4</v>
      </c>
      <c r="F238" s="3">
        <f t="shared" si="199"/>
        <v>6.8554497859674352E-4</v>
      </c>
      <c r="G238" s="3">
        <f t="shared" si="199"/>
        <v>6.8554497859674352E-4</v>
      </c>
      <c r="H238" s="3">
        <f t="shared" si="199"/>
        <v>6.8554497859674352E-4</v>
      </c>
      <c r="I238" s="3">
        <f t="shared" si="199"/>
        <v>6.8554497859674352E-4</v>
      </c>
      <c r="J238" s="3">
        <f t="shared" si="199"/>
        <v>6.8554497859674352E-4</v>
      </c>
      <c r="K238" s="3">
        <f t="shared" si="199"/>
        <v>6.8554497859674352E-4</v>
      </c>
      <c r="L238" s="3">
        <f t="shared" si="199"/>
        <v>6.8554497859674352E-4</v>
      </c>
      <c r="M238" s="3">
        <f t="shared" si="199"/>
        <v>6.8554497859674352E-4</v>
      </c>
      <c r="N238" s="3">
        <f t="shared" si="199"/>
        <v>6.8554497859674352E-4</v>
      </c>
      <c r="O238" s="3">
        <f t="shared" si="199"/>
        <v>6.8554497859674352E-4</v>
      </c>
      <c r="P238" s="3">
        <f t="shared" si="199"/>
        <v>6.8554497859674342E-4</v>
      </c>
      <c r="Q238" s="3">
        <f t="shared" si="199"/>
        <v>6.8554497859674266E-4</v>
      </c>
      <c r="R238" s="3">
        <f t="shared" si="199"/>
        <v>6.8554497859673496E-4</v>
      </c>
      <c r="S238" s="3">
        <f t="shared" si="199"/>
        <v>6.8554497859665765E-4</v>
      </c>
      <c r="T238" s="3">
        <f t="shared" si="199"/>
        <v>6.8554497859588494E-4</v>
      </c>
      <c r="U238" s="3">
        <f t="shared" si="199"/>
        <v>6.8554497858815827E-4</v>
      </c>
      <c r="V238" s="3">
        <f t="shared" si="199"/>
        <v>6.8554497851089076E-4</v>
      </c>
      <c r="W238" s="3">
        <f t="shared" si="199"/>
        <v>6.8554497773821532E-4</v>
      </c>
      <c r="X238" s="3">
        <f t="shared" si="199"/>
        <v>6.8554497001146097E-4</v>
      </c>
      <c r="Y238" s="3">
        <f t="shared" si="199"/>
        <v>6.8554489274392269E-4</v>
      </c>
      <c r="Z238" s="3">
        <f t="shared" si="199"/>
        <v>6.8554412006901968E-4</v>
      </c>
      <c r="AA238" s="3">
        <f t="shared" si="199"/>
        <v>6.855363933678867E-4</v>
      </c>
      <c r="AB238" s="3">
        <f t="shared" si="199"/>
        <v>6.8545913114617467E-4</v>
      </c>
      <c r="AC238" s="3">
        <f t="shared" si="199"/>
        <v>6.8468698769111552E-4</v>
      </c>
      <c r="AD238" s="3">
        <f t="shared" si="199"/>
        <v>6.7701323029102439E-4</v>
      </c>
      <c r="AE238" s="3">
        <f t="shared" si="199"/>
        <v>6.0485039848131509E-4</v>
      </c>
      <c r="AF238" s="3">
        <f t="shared" si="199"/>
        <v>1.9595489827062092E-4</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1.0364161747734975E-2</v>
      </c>
      <c r="C240" s="3">
        <f t="shared" si="201"/>
        <v>1.0364161747734975E-2</v>
      </c>
      <c r="D240" s="3">
        <f t="shared" si="201"/>
        <v>1.0364161747734975E-2</v>
      </c>
      <c r="E240" s="3">
        <f t="shared" si="201"/>
        <v>1.0364161747734975E-2</v>
      </c>
      <c r="F240" s="3">
        <f t="shared" si="201"/>
        <v>1.0364161747734975E-2</v>
      </c>
      <c r="G240" s="3">
        <f t="shared" si="201"/>
        <v>1.0364161747734975E-2</v>
      </c>
      <c r="H240" s="3">
        <f t="shared" si="201"/>
        <v>1.0364161747734975E-2</v>
      </c>
      <c r="I240" s="3">
        <f t="shared" si="201"/>
        <v>1.0364161747734975E-2</v>
      </c>
      <c r="J240" s="3">
        <f t="shared" si="201"/>
        <v>1.0364161747734975E-2</v>
      </c>
      <c r="K240" s="3">
        <f t="shared" si="201"/>
        <v>1.0364161747734975E-2</v>
      </c>
      <c r="L240" s="3">
        <f t="shared" si="201"/>
        <v>1.0364161747734975E-2</v>
      </c>
      <c r="M240" s="3">
        <f t="shared" si="201"/>
        <v>1.0364161747734975E-2</v>
      </c>
      <c r="N240" s="3">
        <f t="shared" si="201"/>
        <v>1.0364161747734975E-2</v>
      </c>
      <c r="O240" s="3">
        <f t="shared" si="201"/>
        <v>1.0364161747734975E-2</v>
      </c>
      <c r="P240" s="3">
        <f t="shared" si="201"/>
        <v>1.0364161747734975E-2</v>
      </c>
      <c r="Q240" s="3">
        <f t="shared" si="201"/>
        <v>1.0364161747734975E-2</v>
      </c>
      <c r="R240" s="3">
        <f t="shared" si="201"/>
        <v>1.0364161747734973E-2</v>
      </c>
      <c r="S240" s="3">
        <f t="shared" si="201"/>
        <v>1.0364161747734963E-2</v>
      </c>
      <c r="T240" s="3">
        <f t="shared" si="201"/>
        <v>1.0364161747734845E-2</v>
      </c>
      <c r="U240" s="3">
        <f t="shared" si="201"/>
        <v>1.0364161747733677E-2</v>
      </c>
      <c r="V240" s="3">
        <f t="shared" si="201"/>
        <v>1.0364161747721996E-2</v>
      </c>
      <c r="W240" s="3">
        <f t="shared" si="201"/>
        <v>1.0364161747605181E-2</v>
      </c>
      <c r="X240" s="3">
        <f t="shared" si="201"/>
        <v>1.0364161746437041E-2</v>
      </c>
      <c r="Y240" s="3">
        <f t="shared" si="201"/>
        <v>1.0364161734755628E-2</v>
      </c>
      <c r="Z240" s="3">
        <f t="shared" si="201"/>
        <v>1.0364161617941511E-2</v>
      </c>
      <c r="AA240" s="3">
        <f t="shared" si="201"/>
        <v>1.0364160449800413E-2</v>
      </c>
      <c r="AB240" s="3">
        <f t="shared" si="201"/>
        <v>1.0364148768396678E-2</v>
      </c>
      <c r="AC240" s="3">
        <f t="shared" si="201"/>
        <v>1.0364031955083447E-2</v>
      </c>
      <c r="AD240" s="3">
        <f t="shared" si="201"/>
        <v>1.0362863894361229E-2</v>
      </c>
      <c r="AE240" s="3">
        <f t="shared" si="201"/>
        <v>1.0351190525128668E-2</v>
      </c>
      <c r="AF240" s="3">
        <f t="shared" si="201"/>
        <v>1.0235177622415532E-2</v>
      </c>
      <c r="AG240" s="3"/>
      <c r="AH240" s="3"/>
    </row>
    <row r="241" spans="1:34" x14ac:dyDescent="0.25">
      <c r="A241" s="79">
        <f>AVERAGE(B241:AF241)</f>
        <v>3.7158507376129886E-3</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9.8897187052526415E-3</v>
      </c>
      <c r="M241" s="80">
        <f t="shared" si="202"/>
        <v>9.6005829955490424E-3</v>
      </c>
      <c r="N241" s="80">
        <f t="shared" si="202"/>
        <v>9.41873586196019E-3</v>
      </c>
      <c r="O241" s="80">
        <f t="shared" si="202"/>
        <v>8.8026995112827442E-3</v>
      </c>
      <c r="P241" s="80">
        <f t="shared" si="202"/>
        <v>9.5316000771810353E-3</v>
      </c>
      <c r="Q241" s="80">
        <f t="shared" si="202"/>
        <v>8.5410287140584556E-3</v>
      </c>
      <c r="R241" s="80">
        <f t="shared" si="202"/>
        <v>8.8769261831777059E-3</v>
      </c>
      <c r="S241" s="80">
        <f t="shared" si="202"/>
        <v>4.353732443546067E-3</v>
      </c>
      <c r="T241" s="80">
        <f t="shared" si="202"/>
        <v>7.5305476881538094E-3</v>
      </c>
      <c r="U241" s="80">
        <f t="shared" si="202"/>
        <v>2.03971447776999E-2</v>
      </c>
      <c r="V241" s="80">
        <f t="shared" si="202"/>
        <v>1.8248655908141044E-2</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89019.25491264525</v>
      </c>
      <c r="C242" s="21">
        <f t="shared" ref="C242:AF242" si="203">(C209-C208)^2</f>
        <v>9357.8381434505882</v>
      </c>
      <c r="D242" s="21">
        <f t="shared" si="203"/>
        <v>26.488321694485027</v>
      </c>
      <c r="E242" s="21">
        <f t="shared" si="203"/>
        <v>11446.673317766234</v>
      </c>
      <c r="F242" s="21">
        <f t="shared" si="203"/>
        <v>5952.2451353428633</v>
      </c>
      <c r="G242" s="21">
        <f t="shared" si="203"/>
        <v>7252.9408509255709</v>
      </c>
      <c r="H242" s="21">
        <f t="shared" si="203"/>
        <v>6915.4541449643866</v>
      </c>
      <c r="I242" s="21">
        <f t="shared" si="203"/>
        <v>6564.7874709867083</v>
      </c>
      <c r="J242" s="21">
        <f t="shared" si="203"/>
        <v>6734.100272411787</v>
      </c>
      <c r="K242" s="21">
        <f t="shared" si="203"/>
        <v>6621.5905502893411</v>
      </c>
      <c r="L242" s="21">
        <f t="shared" si="203"/>
        <v>7101.5467505056249</v>
      </c>
      <c r="M242" s="21">
        <f t="shared" si="203"/>
        <v>6136.7467101716102</v>
      </c>
      <c r="N242" s="21">
        <f t="shared" si="203"/>
        <v>5471.9710807897336</v>
      </c>
      <c r="O242" s="21">
        <f t="shared" si="203"/>
        <v>4444.2323447572971</v>
      </c>
      <c r="P242" s="21">
        <f t="shared" si="203"/>
        <v>4833.3320108491389</v>
      </c>
      <c r="Q242" s="21">
        <f t="shared" si="203"/>
        <v>3578.9824772437546</v>
      </c>
      <c r="R242" s="21">
        <f t="shared" si="203"/>
        <v>3554.3743709608079</v>
      </c>
      <c r="S242" s="21">
        <f t="shared" si="203"/>
        <v>756.50458786815841</v>
      </c>
      <c r="T242" s="21">
        <f t="shared" si="203"/>
        <v>1762.6112476306778</v>
      </c>
      <c r="U242" s="21">
        <f t="shared" si="203"/>
        <v>8490.2949613144774</v>
      </c>
      <c r="V242" s="21">
        <f t="shared" si="203"/>
        <v>4266.1207007999437</v>
      </c>
      <c r="W242" s="21">
        <f t="shared" si="203"/>
        <v>738.66059505638111</v>
      </c>
      <c r="X242" s="21">
        <f t="shared" si="203"/>
        <v>280.55919587189408</v>
      </c>
      <c r="Y242" s="21">
        <f t="shared" si="203"/>
        <v>798.43826247073753</v>
      </c>
      <c r="Z242" s="21">
        <f t="shared" si="203"/>
        <v>238.35506855332761</v>
      </c>
      <c r="AA242" s="21">
        <f t="shared" si="203"/>
        <v>309.04127741706316</v>
      </c>
      <c r="AB242" s="21">
        <f t="shared" si="203"/>
        <v>41.763321790416114</v>
      </c>
      <c r="AC242" s="21">
        <f t="shared" si="203"/>
        <v>18.756652587510299</v>
      </c>
      <c r="AD242" s="21">
        <f t="shared" si="203"/>
        <v>2.0446275345089222</v>
      </c>
      <c r="AE242" s="21">
        <f t="shared" si="203"/>
        <v>0.75307653406438158</v>
      </c>
      <c r="AF242" s="21">
        <f t="shared" si="203"/>
        <v>5.4411402494631989E-3</v>
      </c>
      <c r="AG242" s="3"/>
      <c r="AH242" s="3"/>
    </row>
    <row r="243" spans="1:34" x14ac:dyDescent="0.25">
      <c r="A243" s="71">
        <f>SUM(B243:AF243)</f>
        <v>50396.717242891231</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7101.5467505056249</v>
      </c>
      <c r="M243" s="60">
        <f t="shared" ref="M243" si="214">IF($A$64&lt;=M207,IF($B$64&gt;=M207,ABS(M242),0),0)</f>
        <v>6136.7467101716102</v>
      </c>
      <c r="N243" s="60">
        <f t="shared" ref="N243" si="215">IF($A$64&lt;=N207,IF($B$64&gt;=N207,ABS(N242),0),0)</f>
        <v>5471.9710807897336</v>
      </c>
      <c r="O243" s="60">
        <f t="shared" ref="O243" si="216">IF($A$64&lt;=O207,IF($B$64&gt;=O207,ABS(O242),0),0)</f>
        <v>4444.2323447572971</v>
      </c>
      <c r="P243" s="60">
        <f t="shared" ref="P243" si="217">IF($A$64&lt;=P207,IF($B$64&gt;=P207,ABS(P242),0),0)</f>
        <v>4833.3320108491389</v>
      </c>
      <c r="Q243" s="60">
        <f t="shared" ref="Q243" si="218">IF($A$64&lt;=Q207,IF($B$64&gt;=Q207,ABS(Q242),0),0)</f>
        <v>3578.9824772437546</v>
      </c>
      <c r="R243" s="60">
        <f t="shared" ref="R243" si="219">IF($A$64&lt;=R207,IF($B$64&gt;=R207,ABS(R242),0),0)</f>
        <v>3554.3743709608079</v>
      </c>
      <c r="S243" s="60">
        <f t="shared" ref="S243" si="220">IF($A$64&lt;=S207,IF($B$64&gt;=S207,ABS(S242),0),0)</f>
        <v>756.50458786815841</v>
      </c>
      <c r="T243" s="60">
        <f t="shared" ref="T243" si="221">IF($A$64&lt;=T207,IF($B$64&gt;=T207,ABS(T242),0),0)</f>
        <v>1762.6112476306778</v>
      </c>
      <c r="U243" s="60">
        <f t="shared" ref="U243" si="222">IF($A$64&lt;=U207,IF($B$64&gt;=U207,ABS(U242),0),0)</f>
        <v>8490.2949613144774</v>
      </c>
      <c r="V243" s="60">
        <f t="shared" ref="V243" si="223">IF($A$64&lt;=V207,IF($B$64&gt;=V207,ABS(V242),0),0)</f>
        <v>4266.1207007999437</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10761.801351389528</v>
      </c>
      <c r="C247" s="26">
        <f>INDEX(Comparison!$AM$3:$AS$33,G$14,$E$122)</f>
        <v>10547.11616169445</v>
      </c>
      <c r="D247" s="26">
        <f>INDEX(Comparison!$AM$3:$AS$33,H$14,$E$122)</f>
        <v>10349.894568285434</v>
      </c>
      <c r="E247" s="26">
        <f>INDEX(Comparison!$AM$3:$AS$33,I$14,$E$122)</f>
        <v>10133.265997491257</v>
      </c>
      <c r="F247" s="26">
        <f>INDEX(Comparison!$AM$3:$AS$33,J$14,$E$122)</f>
        <v>9898.4994293430227</v>
      </c>
      <c r="G247" s="26">
        <f>INDEX(Comparison!$AM$3:$AS$33,K$14,$E$122)</f>
        <v>9623.1820365655622</v>
      </c>
      <c r="H247" s="26">
        <f>INDEX(Comparison!$AM$3:$AS$33,L$14,$E$122)</f>
        <v>9373.9337150399151</v>
      </c>
      <c r="I247" s="26">
        <f>INDEX(Comparison!$AM$3:$AS$33,M$14,$E$122)</f>
        <v>9114.1360760931802</v>
      </c>
      <c r="J247" s="26">
        <f>INDEX(Comparison!$AM$3:$AS$33,N$14,$E$122)</f>
        <v>8823.7573464712859</v>
      </c>
      <c r="K247" s="26">
        <f>INDEX(Comparison!$AM$3:$AS$33,O$14,$E$122)</f>
        <v>8477.9341078683501</v>
      </c>
      <c r="L247" s="26">
        <f>INDEX(Comparison!$AM$3:$AS$33,P$14,$E$122)</f>
        <v>8118.5828227804013</v>
      </c>
      <c r="M247" s="26">
        <f>INDEX(Comparison!$AM$3:$AS$33,Q$14,$E$122)</f>
        <v>7811.8955545814642</v>
      </c>
      <c r="N247" s="26">
        <f>INDEX(Comparison!$AM$3:$AS$33,R$14,$E$122)</f>
        <v>7534.5067060295696</v>
      </c>
      <c r="O247" s="26">
        <f>INDEX(Comparison!$AM$3:$AS$33,S$14,$E$122)</f>
        <v>7256.8628130889483</v>
      </c>
      <c r="P247" s="26">
        <f>INDEX(Comparison!$AM$3:$AS$33,T$14,$E$122)</f>
        <v>6971.3695334324493</v>
      </c>
      <c r="Q247" s="26">
        <f>INDEX(Comparison!$AM$3:$AS$33,U$14,$E$122)</f>
        <v>6688.5259415281262</v>
      </c>
      <c r="R247" s="26">
        <f>INDEX(Comparison!$AM$3:$AS$33,V$14,$E$122)</f>
        <v>6332.8599538611707</v>
      </c>
      <c r="S247" s="26">
        <f>INDEX(Comparison!$AM$3:$AS$33,W$14,$E$122)</f>
        <v>5707.8128215740962</v>
      </c>
      <c r="T247" s="26">
        <f>INDEX(Comparison!$AM$3:$AS$33,X$14,$E$122)</f>
        <v>4703.4024219609055</v>
      </c>
      <c r="U247" s="26">
        <f>INDEX(Comparison!$AM$3:$AS$33,Y$14,$E$122)</f>
        <v>3716.6695709784594</v>
      </c>
      <c r="V247" s="26">
        <f>INDEX(Comparison!$AM$3:$AS$33,Z$14,$E$122)</f>
        <v>2925.6425281910142</v>
      </c>
      <c r="W247" s="26">
        <f>INDEX(Comparison!$AM$3:$AS$33,AA$14,$E$122)</f>
        <v>2271.2592133629987</v>
      </c>
      <c r="X247" s="26">
        <f>INDEX(Comparison!$AM$3:$AS$33,AB$14,$E$122)</f>
        <v>1690.9117320692962</v>
      </c>
      <c r="Y247" s="26">
        <f>INDEX(Comparison!$AM$3:$AS$33,AC$14,$E$122)</f>
        <v>1194.4542594457305</v>
      </c>
      <c r="Z247" s="26">
        <f>INDEX(Comparison!$AM$3:$AS$33,AD$14,$E$122)</f>
        <v>834.8043301176574</v>
      </c>
      <c r="AA247" s="26">
        <f>INDEX(Comparison!$AM$3:$AS$33,AE$14,$E$122)</f>
        <v>607.40413984309237</v>
      </c>
      <c r="AB247" s="26">
        <f>INDEX(Comparison!$AM$3:$AS$33,AF$14,$E$122)</f>
        <v>493.01101666641495</v>
      </c>
      <c r="AC247" s="26">
        <f>INDEX(Comparison!$AM$3:$AS$33,AG$14,$E$122)</f>
        <v>433.7285115590953</v>
      </c>
      <c r="AD247" s="26">
        <f>INDEX(Comparison!$AM$3:$AS$33,AH$14,$E$122)</f>
        <v>403.76473002951963</v>
      </c>
      <c r="AE247" s="26">
        <f>INDEX(Comparison!$AM$3:$AS$33,AI$14,$E$122)</f>
        <v>387.64349199783766</v>
      </c>
      <c r="AF247" s="26">
        <f>INDEX(Comparison!$AM$3:$AS$33,AJ$14,$E$122)</f>
        <v>374.47481405228427</v>
      </c>
      <c r="AG247" s="26"/>
      <c r="AH247" s="26"/>
    </row>
    <row r="248" spans="1:34" x14ac:dyDescent="0.25">
      <c r="A248" s="70" t="s">
        <v>22</v>
      </c>
      <c r="B248" s="27">
        <f>($C$17+SUM(B249:B279))*$B$51</f>
        <v>10702.338134111023</v>
      </c>
      <c r="C248" s="27">
        <f t="shared" ref="C248:AF248" si="234">($C$17+SUM(C249:C279))*$B$51</f>
        <v>10623.705865135395</v>
      </c>
      <c r="D248" s="27">
        <f t="shared" si="234"/>
        <v>10329.142830333267</v>
      </c>
      <c r="E248" s="27">
        <f t="shared" si="234"/>
        <v>10136.267039987135</v>
      </c>
      <c r="F248" s="27">
        <f t="shared" si="234"/>
        <v>9897.6272649559633</v>
      </c>
      <c r="G248" s="27">
        <f t="shared" si="234"/>
        <v>9622.7558394625321</v>
      </c>
      <c r="H248" s="27">
        <f t="shared" si="234"/>
        <v>9373.5584107661107</v>
      </c>
      <c r="I248" s="27">
        <f t="shared" si="234"/>
        <v>9113.5278468692213</v>
      </c>
      <c r="J248" s="27">
        <f t="shared" si="234"/>
        <v>8823.4844490959276</v>
      </c>
      <c r="K248" s="27">
        <f t="shared" si="234"/>
        <v>8476.7327017171847</v>
      </c>
      <c r="L248" s="27">
        <f t="shared" si="234"/>
        <v>8118.8867719711261</v>
      </c>
      <c r="M248" s="27">
        <f t="shared" si="234"/>
        <v>7810.0922913877921</v>
      </c>
      <c r="N248" s="27">
        <f t="shared" si="234"/>
        <v>7535.6426896075436</v>
      </c>
      <c r="O248" s="27">
        <f t="shared" si="234"/>
        <v>7254.7017701015811</v>
      </c>
      <c r="P248" s="27">
        <f t="shared" si="234"/>
        <v>6972.4322346940535</v>
      </c>
      <c r="Q248" s="27">
        <f t="shared" si="234"/>
        <v>6686.8935518176822</v>
      </c>
      <c r="R248" s="27">
        <f t="shared" si="234"/>
        <v>6332.9633655763828</v>
      </c>
      <c r="S248" s="27">
        <f t="shared" si="234"/>
        <v>5705.9787042821044</v>
      </c>
      <c r="T248" s="27">
        <f t="shared" si="234"/>
        <v>4702.1698662856206</v>
      </c>
      <c r="U248" s="27">
        <f t="shared" si="234"/>
        <v>3715.4034761951384</v>
      </c>
      <c r="V248" s="27">
        <f t="shared" si="234"/>
        <v>2924.720840415473</v>
      </c>
      <c r="W248" s="27">
        <f t="shared" si="234"/>
        <v>2270.5453548877563</v>
      </c>
      <c r="X248" s="27">
        <f t="shared" si="234"/>
        <v>1689.8213464492803</v>
      </c>
      <c r="Y248" s="27">
        <f t="shared" si="234"/>
        <v>1193.7553502363512</v>
      </c>
      <c r="Z248" s="27">
        <f t="shared" si="234"/>
        <v>834.29810511783035</v>
      </c>
      <c r="AA248" s="27">
        <f t="shared" si="234"/>
        <v>607.11869409607505</v>
      </c>
      <c r="AB248" s="27">
        <f t="shared" si="234"/>
        <v>492.92641378199573</v>
      </c>
      <c r="AC248" s="27">
        <f t="shared" si="234"/>
        <v>433.57879833358561</v>
      </c>
      <c r="AD248" s="27">
        <f t="shared" si="234"/>
        <v>403.83602189943321</v>
      </c>
      <c r="AE248" s="27">
        <f t="shared" si="234"/>
        <v>387.49031293591941</v>
      </c>
      <c r="AF248" s="27">
        <f t="shared" si="234"/>
        <v>374.51544983542055</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3.1677970606111404E-2</v>
      </c>
      <c r="C250" s="3">
        <f t="shared" si="236"/>
        <v>2.5134588270018705E-2</v>
      </c>
      <c r="D250" s="3">
        <f t="shared" si="236"/>
        <v>2.4855128623656039E-3</v>
      </c>
      <c r="E250" s="3">
        <f t="shared" si="236"/>
        <v>2.2225851575313856E-13</v>
      </c>
      <c r="F250" s="3">
        <f t="shared" si="236"/>
        <v>7.2657819192184288E-114</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1.4749183935998125E-2</v>
      </c>
      <c r="C251" s="3">
        <f t="shared" si="237"/>
        <v>1.4444528056704087E-2</v>
      </c>
      <c r="D251" s="3">
        <f t="shared" si="237"/>
        <v>1.1723492436926674E-2</v>
      </c>
      <c r="E251" s="3">
        <f t="shared" si="237"/>
        <v>1.454097459486714E-3</v>
      </c>
      <c r="F251" s="3">
        <f t="shared" si="237"/>
        <v>1.2530217119614291E-12</v>
      </c>
      <c r="G251" s="3">
        <f t="shared" si="237"/>
        <v>2.8288466381259977E-103</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2.1838728261152799E-2</v>
      </c>
      <c r="C252" s="3">
        <f t="shared" si="238"/>
        <v>2.1797648193238883E-2</v>
      </c>
      <c r="D252" s="3">
        <f t="shared" si="238"/>
        <v>2.1391073705375907E-2</v>
      </c>
      <c r="E252" s="3">
        <f t="shared" si="238"/>
        <v>1.7719931394340249E-2</v>
      </c>
      <c r="F252" s="3">
        <f t="shared" si="238"/>
        <v>2.6962276362800719E-3</v>
      </c>
      <c r="G252" s="3">
        <f t="shared" si="238"/>
        <v>1.7935015391176671E-11</v>
      </c>
      <c r="H252" s="3">
        <f t="shared" si="238"/>
        <v>3.0419616307968646E-93</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2.659790336376942E-2</v>
      </c>
      <c r="C253" s="3">
        <f t="shared" si="239"/>
        <v>2.6593386159703178E-2</v>
      </c>
      <c r="D253" s="3">
        <f t="shared" si="239"/>
        <v>2.6548256291939427E-2</v>
      </c>
      <c r="E253" s="3">
        <f t="shared" si="239"/>
        <v>2.6101148521190377E-2</v>
      </c>
      <c r="F253" s="3">
        <f t="shared" si="239"/>
        <v>2.2023978829535201E-2</v>
      </c>
      <c r="G253" s="3">
        <f t="shared" si="239"/>
        <v>4.0295579999145206E-3</v>
      </c>
      <c r="H253" s="3">
        <f t="shared" si="239"/>
        <v>1.6938451861729371E-10</v>
      </c>
      <c r="I253" s="3">
        <f t="shared" si="239"/>
        <v>2.9176738583212139E-84</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2.1793058816102398E-2</v>
      </c>
      <c r="C254" s="3">
        <f t="shared" si="240"/>
        <v>2.1792724912854999E-2</v>
      </c>
      <c r="D254" s="3">
        <f t="shared" si="240"/>
        <v>2.1789386161743269E-2</v>
      </c>
      <c r="E254" s="3">
        <f t="shared" si="240"/>
        <v>2.1756026770906631E-2</v>
      </c>
      <c r="F254" s="3">
        <f t="shared" si="240"/>
        <v>2.1425229014305741E-2</v>
      </c>
      <c r="G254" s="3">
        <f t="shared" si="240"/>
        <v>1.8381644189755533E-2</v>
      </c>
      <c r="H254" s="3">
        <f t="shared" si="240"/>
        <v>3.9716702172921062E-3</v>
      </c>
      <c r="I254" s="3">
        <f t="shared" si="240"/>
        <v>8.8076780129068431E-10</v>
      </c>
      <c r="J254" s="3">
        <f t="shared" si="240"/>
        <v>2.5336342571422286E-76</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2.3921657089880206E-2</v>
      </c>
      <c r="C255" s="3">
        <f t="shared" si="241"/>
        <v>2.39216240267985E-2</v>
      </c>
      <c r="D255" s="3">
        <f t="shared" si="241"/>
        <v>2.3921293398494817E-2</v>
      </c>
      <c r="E255" s="3">
        <f t="shared" si="241"/>
        <v>2.3917987366782027E-2</v>
      </c>
      <c r="F255" s="3">
        <f t="shared" si="241"/>
        <v>2.388495216921311E-2</v>
      </c>
      <c r="G255" s="3">
        <f t="shared" si="241"/>
        <v>2.3557099350828972E-2</v>
      </c>
      <c r="H255" s="3">
        <f t="shared" si="241"/>
        <v>2.0516165315695466E-2</v>
      </c>
      <c r="I255" s="3">
        <f t="shared" si="241"/>
        <v>5.1503880666010013E-3</v>
      </c>
      <c r="J255" s="3">
        <f t="shared" si="241"/>
        <v>5.1200898843273521E-9</v>
      </c>
      <c r="K255" s="3">
        <f t="shared" si="241"/>
        <v>4.8267400069387606E-69</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2.6315528805252546E-2</v>
      </c>
      <c r="C256" s="3">
        <f t="shared" si="242"/>
        <v>2.6315525524216243E-2</v>
      </c>
      <c r="D256" s="3">
        <f t="shared" si="242"/>
        <v>2.631549271387575E-2</v>
      </c>
      <c r="E256" s="3">
        <f t="shared" si="242"/>
        <v>2.6315164612720713E-2</v>
      </c>
      <c r="F256" s="3">
        <f t="shared" si="242"/>
        <v>2.6311883826153758E-2</v>
      </c>
      <c r="G256" s="3">
        <f t="shared" si="242"/>
        <v>2.6279098448447849E-2</v>
      </c>
      <c r="H256" s="3">
        <f t="shared" si="242"/>
        <v>2.5953483128152099E-2</v>
      </c>
      <c r="I256" s="3">
        <f t="shared" si="242"/>
        <v>2.2911184627898287E-2</v>
      </c>
      <c r="J256" s="3">
        <f t="shared" si="242"/>
        <v>6.585162296660051E-3</v>
      </c>
      <c r="K256" s="3">
        <f t="shared" si="242"/>
        <v>2.5337039123692231E-8</v>
      </c>
      <c r="L256" s="3">
        <f t="shared" si="242"/>
        <v>1.8015638247593599E-62</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3.415720192972891E-2</v>
      </c>
      <c r="C257" s="3">
        <f t="shared" si="243"/>
        <v>3.415720154555503E-2</v>
      </c>
      <c r="D257" s="3">
        <f t="shared" si="243"/>
        <v>3.4157197703816443E-2</v>
      </c>
      <c r="E257" s="3">
        <f t="shared" si="243"/>
        <v>3.4157159286454353E-2</v>
      </c>
      <c r="F257" s="3">
        <f t="shared" si="243"/>
        <v>3.4156775115209911E-2</v>
      </c>
      <c r="G257" s="3">
        <f t="shared" si="243"/>
        <v>3.4152933640403581E-2</v>
      </c>
      <c r="H257" s="3">
        <f t="shared" si="243"/>
        <v>3.4114542646260092E-2</v>
      </c>
      <c r="I257" s="3">
        <f t="shared" si="243"/>
        <v>3.3732998241340802E-2</v>
      </c>
      <c r="J257" s="3">
        <f t="shared" si="243"/>
        <v>3.014455292312589E-2</v>
      </c>
      <c r="K257" s="3">
        <f t="shared" si="243"/>
        <v>9.7892153446965027E-3</v>
      </c>
      <c r="L257" s="3">
        <f t="shared" si="243"/>
        <v>1.2768451563741877E-7</v>
      </c>
      <c r="M257" s="3">
        <f t="shared" si="243"/>
        <v>1.8198757750828406E-56</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3.3563265447433384E-2</v>
      </c>
      <c r="C258" s="3">
        <f t="shared" si="244"/>
        <v>3.3563265413380311E-2</v>
      </c>
      <c r="D258" s="3">
        <f t="shared" si="244"/>
        <v>3.3563265072849548E-2</v>
      </c>
      <c r="E258" s="3">
        <f t="shared" si="244"/>
        <v>3.3563261667542137E-2</v>
      </c>
      <c r="F258" s="3">
        <f t="shared" si="244"/>
        <v>3.3563227614487032E-2</v>
      </c>
      <c r="G258" s="3">
        <f t="shared" si="244"/>
        <v>3.3562887085836247E-2</v>
      </c>
      <c r="H258" s="3">
        <f t="shared" si="244"/>
        <v>3.3559481989345684E-2</v>
      </c>
      <c r="I258" s="3">
        <f t="shared" si="244"/>
        <v>3.3525450019035404E-2</v>
      </c>
      <c r="J258" s="3">
        <f t="shared" si="244"/>
        <v>3.3187022664220182E-2</v>
      </c>
      <c r="K258" s="3">
        <f t="shared" si="244"/>
        <v>2.9985068774691523E-2</v>
      </c>
      <c r="L258" s="3">
        <f t="shared" si="244"/>
        <v>1.0871078277778735E-2</v>
      </c>
      <c r="M258" s="3">
        <f t="shared" si="244"/>
        <v>4.2652879838055647E-7</v>
      </c>
      <c r="N258" s="3">
        <f t="shared" si="244"/>
        <v>3.6872766400997358E-51</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2.5958709058640422E-2</v>
      </c>
      <c r="C259" s="3">
        <f t="shared" si="245"/>
        <v>2.5958709056264559E-2</v>
      </c>
      <c r="D259" s="3">
        <f t="shared" si="245"/>
        <v>2.5958709032505904E-2</v>
      </c>
      <c r="E259" s="3">
        <f t="shared" si="245"/>
        <v>2.595870879491937E-2</v>
      </c>
      <c r="F259" s="3">
        <f t="shared" si="245"/>
        <v>2.5958706419054151E-2</v>
      </c>
      <c r="G259" s="3">
        <f t="shared" si="245"/>
        <v>2.5958682660413894E-2</v>
      </c>
      <c r="H259" s="3">
        <f t="shared" si="245"/>
        <v>2.5958445075207334E-2</v>
      </c>
      <c r="I259" s="3">
        <f t="shared" si="245"/>
        <v>2.5956069342735026E-2</v>
      </c>
      <c r="J259" s="3">
        <f t="shared" si="245"/>
        <v>2.5932323973294549E-2</v>
      </c>
      <c r="K259" s="3">
        <f t="shared" si="245"/>
        <v>2.5696061768487825E-2</v>
      </c>
      <c r="L259" s="3">
        <f t="shared" si="245"/>
        <v>2.3448650685210515E-2</v>
      </c>
      <c r="M259" s="3">
        <f t="shared" si="245"/>
        <v>9.3892467245846531E-3</v>
      </c>
      <c r="N259" s="3">
        <f t="shared" si="245"/>
        <v>9.9485478831949945E-7</v>
      </c>
      <c r="O259" s="3">
        <f t="shared" si="245"/>
        <v>1.7743901877148123E-46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2.4505487924839094E-2</v>
      </c>
      <c r="C260" s="3">
        <f t="shared" si="246"/>
        <v>2.4505487924636769E-2</v>
      </c>
      <c r="D260" s="3">
        <f t="shared" si="246"/>
        <v>2.4505487922613527E-2</v>
      </c>
      <c r="E260" s="3">
        <f t="shared" si="246"/>
        <v>2.4505487902381065E-2</v>
      </c>
      <c r="F260" s="3">
        <f t="shared" si="246"/>
        <v>2.4505487700056474E-2</v>
      </c>
      <c r="G260" s="3">
        <f t="shared" si="246"/>
        <v>2.4505485676810629E-2</v>
      </c>
      <c r="H260" s="3">
        <f t="shared" si="246"/>
        <v>2.4505465444361389E-2</v>
      </c>
      <c r="I260" s="3">
        <f t="shared" si="246"/>
        <v>2.4505263120787737E-2</v>
      </c>
      <c r="J260" s="3">
        <f t="shared" si="246"/>
        <v>2.4503239976922959E-2</v>
      </c>
      <c r="K260" s="3">
        <f t="shared" si="246"/>
        <v>2.4483017722643479E-2</v>
      </c>
      <c r="L260" s="3">
        <f t="shared" si="246"/>
        <v>2.4281710817196211E-2</v>
      </c>
      <c r="M260" s="3">
        <f t="shared" si="246"/>
        <v>2.235746908366493E-2</v>
      </c>
      <c r="N260" s="3">
        <f t="shared" si="246"/>
        <v>9.7916572255685053E-3</v>
      </c>
      <c r="O260" s="3">
        <f t="shared" si="246"/>
        <v>2.5420953206802743E-6</v>
      </c>
      <c r="P260" s="3">
        <f t="shared" si="246"/>
        <v>3.5362920546059016E-42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2.7040912958717581E-2</v>
      </c>
      <c r="C261" s="3">
        <f t="shared" si="247"/>
        <v>2.7040912958697441E-2</v>
      </c>
      <c r="D261" s="3">
        <f t="shared" si="247"/>
        <v>2.7040912958496047E-2</v>
      </c>
      <c r="E261" s="3">
        <f t="shared" si="247"/>
        <v>2.7040912956482074E-2</v>
      </c>
      <c r="F261" s="3">
        <f t="shared" si="247"/>
        <v>2.7040912936342362E-2</v>
      </c>
      <c r="G261" s="3">
        <f t="shared" si="247"/>
        <v>2.7040912734945237E-2</v>
      </c>
      <c r="H261" s="3">
        <f t="shared" si="247"/>
        <v>2.704091072097408E-2</v>
      </c>
      <c r="I261" s="3">
        <f t="shared" si="247"/>
        <v>2.704089058127079E-2</v>
      </c>
      <c r="J261" s="3">
        <f t="shared" si="247"/>
        <v>2.7040689185062874E-2</v>
      </c>
      <c r="K261" s="3">
        <f t="shared" si="247"/>
        <v>2.7038675305480025E-2</v>
      </c>
      <c r="L261" s="3">
        <f t="shared" si="247"/>
        <v>2.7018544757010553E-2</v>
      </c>
      <c r="M261" s="3">
        <f t="shared" si="247"/>
        <v>2.6818061740006661E-2</v>
      </c>
      <c r="N261" s="3">
        <f t="shared" si="247"/>
        <v>2.4893256302439153E-2</v>
      </c>
      <c r="O261" s="3">
        <f t="shared" si="247"/>
        <v>1.1820203527988012E-2</v>
      </c>
      <c r="P261" s="3">
        <f t="shared" si="247"/>
        <v>6.8874331052041015E-6</v>
      </c>
      <c r="Q261" s="3">
        <f t="shared" si="247"/>
        <v>3.1072899870701558E-38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2.4600371351709064E-2</v>
      </c>
      <c r="C262" s="3">
        <f t="shared" si="248"/>
        <v>2.4600371351707413E-2</v>
      </c>
      <c r="D262" s="3">
        <f t="shared" si="248"/>
        <v>2.4600371351690884E-2</v>
      </c>
      <c r="E262" s="3">
        <f t="shared" si="248"/>
        <v>2.4600371351525603E-2</v>
      </c>
      <c r="F262" s="3">
        <f t="shared" si="248"/>
        <v>2.4600371349872804E-2</v>
      </c>
      <c r="G262" s="3">
        <f t="shared" si="248"/>
        <v>2.4600371333344809E-2</v>
      </c>
      <c r="H262" s="3">
        <f t="shared" si="248"/>
        <v>2.460037116806486E-2</v>
      </c>
      <c r="I262" s="3">
        <f t="shared" si="248"/>
        <v>2.4600369515265442E-2</v>
      </c>
      <c r="J262" s="3">
        <f t="shared" si="248"/>
        <v>2.460035298727736E-2</v>
      </c>
      <c r="K262" s="3">
        <f t="shared" si="248"/>
        <v>2.4600187708007273E-2</v>
      </c>
      <c r="L262" s="3">
        <f t="shared" si="248"/>
        <v>2.4598534976379455E-2</v>
      </c>
      <c r="M262" s="3">
        <f t="shared" si="248"/>
        <v>2.4582013765884959E-2</v>
      </c>
      <c r="N262" s="3">
        <f t="shared" si="248"/>
        <v>2.4417410724209273E-2</v>
      </c>
      <c r="O262" s="3">
        <f t="shared" si="248"/>
        <v>2.2830799401186101E-2</v>
      </c>
      <c r="P262" s="3">
        <f t="shared" si="248"/>
        <v>1.1661011273561065E-2</v>
      </c>
      <c r="Q262" s="3">
        <f t="shared" si="248"/>
        <v>1.4089227612952054E-5</v>
      </c>
      <c r="R262" s="3">
        <f t="shared" si="248"/>
        <v>9.3410755723893616E-35</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2.629419146379728E-2</v>
      </c>
      <c r="C263" s="3">
        <f t="shared" si="249"/>
        <v>2.629419146379712E-2</v>
      </c>
      <c r="D263" s="3">
        <f t="shared" si="249"/>
        <v>2.6294191463795524E-2</v>
      </c>
      <c r="E263" s="3">
        <f t="shared" si="249"/>
        <v>2.6294191463779589E-2</v>
      </c>
      <c r="F263" s="3">
        <f t="shared" si="249"/>
        <v>2.6294191463620227E-2</v>
      </c>
      <c r="G263" s="3">
        <f t="shared" si="249"/>
        <v>2.6294191462026609E-2</v>
      </c>
      <c r="H263" s="3">
        <f t="shared" si="249"/>
        <v>2.6294191446090402E-2</v>
      </c>
      <c r="I263" s="3">
        <f t="shared" si="249"/>
        <v>2.6294191286728347E-2</v>
      </c>
      <c r="J263" s="3">
        <f t="shared" si="249"/>
        <v>2.6294189693107869E-2</v>
      </c>
      <c r="K263" s="3">
        <f t="shared" si="249"/>
        <v>2.6294173756908387E-2</v>
      </c>
      <c r="L263" s="3">
        <f t="shared" si="249"/>
        <v>2.6294014395444786E-2</v>
      </c>
      <c r="M263" s="3">
        <f t="shared" si="249"/>
        <v>2.6292420833929242E-2</v>
      </c>
      <c r="N263" s="3">
        <f t="shared" si="249"/>
        <v>2.6276490529629496E-2</v>
      </c>
      <c r="O263" s="3">
        <f t="shared" si="249"/>
        <v>2.6117717383184164E-2</v>
      </c>
      <c r="P263" s="3">
        <f t="shared" si="249"/>
        <v>2.4581806314571356E-2</v>
      </c>
      <c r="Q263" s="3">
        <f t="shared" si="249"/>
        <v>1.340909710351388E-2</v>
      </c>
      <c r="R263" s="3">
        <f t="shared" si="249"/>
        <v>3.1279295944420916E-5</v>
      </c>
      <c r="S263" s="3">
        <f t="shared" si="249"/>
        <v>1.4922146600044929E-31</v>
      </c>
      <c r="T263" s="3">
        <f t="shared" si="249"/>
        <v>9.1111801662278342E-295</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3.2623262585065482E-2</v>
      </c>
      <c r="C264" s="3">
        <f t="shared" si="250"/>
        <v>3.2623262585065468E-2</v>
      </c>
      <c r="D264" s="3">
        <f t="shared" si="250"/>
        <v>3.2623262585065288E-2</v>
      </c>
      <c r="E264" s="3">
        <f t="shared" si="250"/>
        <v>3.2623262585063505E-2</v>
      </c>
      <c r="F264" s="3">
        <f t="shared" si="250"/>
        <v>3.2623262585045672E-2</v>
      </c>
      <c r="G264" s="3">
        <f t="shared" si="250"/>
        <v>3.2623262584867307E-2</v>
      </c>
      <c r="H264" s="3">
        <f t="shared" si="250"/>
        <v>3.2623262583083706E-2</v>
      </c>
      <c r="I264" s="3">
        <f t="shared" si="250"/>
        <v>3.262326256524764E-2</v>
      </c>
      <c r="J264" s="3">
        <f t="shared" si="250"/>
        <v>3.2623262386886974E-2</v>
      </c>
      <c r="K264" s="3">
        <f t="shared" si="250"/>
        <v>3.2623260603280399E-2</v>
      </c>
      <c r="L264" s="3">
        <f t="shared" si="250"/>
        <v>3.2623242767219972E-2</v>
      </c>
      <c r="M264" s="3">
        <f t="shared" si="250"/>
        <v>3.2623064407152097E-2</v>
      </c>
      <c r="N264" s="3">
        <f t="shared" si="250"/>
        <v>3.262128086010526E-2</v>
      </c>
      <c r="O264" s="3">
        <f t="shared" si="250"/>
        <v>3.2603450751748517E-2</v>
      </c>
      <c r="P264" s="3">
        <f t="shared" si="250"/>
        <v>3.2425684796224562E-2</v>
      </c>
      <c r="Q264" s="3">
        <f t="shared" si="250"/>
        <v>3.0700471185932724E-2</v>
      </c>
      <c r="R264" s="3">
        <f t="shared" si="250"/>
        <v>1.7770673357190694E-2</v>
      </c>
      <c r="S264" s="3">
        <f t="shared" si="250"/>
        <v>7.5039911965156492E-5</v>
      </c>
      <c r="T264" s="3">
        <f t="shared" si="250"/>
        <v>1.3526225791089848E-28</v>
      </c>
      <c r="U264" s="3">
        <f t="shared" si="250"/>
        <v>4.8980115132703655E-266</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8.8496332073838405E-2</v>
      </c>
      <c r="C265" s="3">
        <f t="shared" si="251"/>
        <v>8.8496332073838405E-2</v>
      </c>
      <c r="D265" s="3">
        <f t="shared" si="251"/>
        <v>8.8496332073838349E-2</v>
      </c>
      <c r="E265" s="3">
        <f t="shared" si="251"/>
        <v>8.8496332073837919E-2</v>
      </c>
      <c r="F265" s="3">
        <f t="shared" si="251"/>
        <v>8.8496332073833547E-2</v>
      </c>
      <c r="G265" s="3">
        <f t="shared" si="251"/>
        <v>8.8496332073789902E-2</v>
      </c>
      <c r="H265" s="3">
        <f t="shared" si="251"/>
        <v>8.8496332073353445E-2</v>
      </c>
      <c r="I265" s="3">
        <f t="shared" si="251"/>
        <v>8.8496332068988853E-2</v>
      </c>
      <c r="J265" s="3">
        <f t="shared" si="251"/>
        <v>8.8496332025342947E-2</v>
      </c>
      <c r="K265" s="3">
        <f t="shared" si="251"/>
        <v>8.8496331588883842E-2</v>
      </c>
      <c r="L265" s="3">
        <f t="shared" si="251"/>
        <v>8.8496327224293014E-2</v>
      </c>
      <c r="M265" s="3">
        <f t="shared" si="251"/>
        <v>8.8496283578396451E-2</v>
      </c>
      <c r="N265" s="3">
        <f t="shared" si="251"/>
        <v>8.8495847120614812E-2</v>
      </c>
      <c r="O265" s="3">
        <f t="shared" si="251"/>
        <v>8.8491482661188545E-2</v>
      </c>
      <c r="P265" s="3">
        <f t="shared" si="251"/>
        <v>8.8447849903784584E-2</v>
      </c>
      <c r="Q265" s="3">
        <f t="shared" si="251"/>
        <v>8.8012703858453376E-2</v>
      </c>
      <c r="R265" s="3">
        <f t="shared" si="251"/>
        <v>8.3777268346965555E-2</v>
      </c>
      <c r="S265" s="3">
        <f t="shared" si="251"/>
        <v>5.1160469214846953E-2</v>
      </c>
      <c r="T265" s="3">
        <f t="shared" si="251"/>
        <v>3.6899268127120357E-4</v>
      </c>
      <c r="U265" s="3">
        <f t="shared" si="251"/>
        <v>1.4055622546742775E-25</v>
      </c>
      <c r="V265" s="3">
        <f t="shared" si="251"/>
        <v>9.0401039200404571E-240</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9.9309249865316016E-2</v>
      </c>
      <c r="C266" s="3">
        <f t="shared" si="252"/>
        <v>9.9309249865316016E-2</v>
      </c>
      <c r="D266" s="3">
        <f t="shared" si="252"/>
        <v>9.9309249865316016E-2</v>
      </c>
      <c r="E266" s="3">
        <f t="shared" si="252"/>
        <v>9.9309249865315974E-2</v>
      </c>
      <c r="F266" s="3">
        <f t="shared" si="252"/>
        <v>9.9309249865315516E-2</v>
      </c>
      <c r="G266" s="3">
        <f t="shared" si="252"/>
        <v>9.9309249865311103E-2</v>
      </c>
      <c r="H266" s="3">
        <f t="shared" si="252"/>
        <v>9.9309249865266916E-2</v>
      </c>
      <c r="I266" s="3">
        <f t="shared" si="252"/>
        <v>9.9309249864825089E-2</v>
      </c>
      <c r="J266" s="3">
        <f t="shared" si="252"/>
        <v>9.9309249860406804E-2</v>
      </c>
      <c r="K266" s="3">
        <f t="shared" si="252"/>
        <v>9.9309249816223868E-2</v>
      </c>
      <c r="L266" s="3">
        <f t="shared" si="252"/>
        <v>9.9309249374394504E-2</v>
      </c>
      <c r="M266" s="3">
        <f t="shared" si="252"/>
        <v>9.9309244956101023E-2</v>
      </c>
      <c r="N266" s="3">
        <f t="shared" si="252"/>
        <v>9.9309200773177078E-2</v>
      </c>
      <c r="O266" s="3">
        <f t="shared" si="252"/>
        <v>9.9308758945018602E-2</v>
      </c>
      <c r="P266" s="3">
        <f t="shared" si="252"/>
        <v>9.9304340771546068E-2</v>
      </c>
      <c r="Q266" s="3">
        <f t="shared" si="252"/>
        <v>9.9260169846248331E-2</v>
      </c>
      <c r="R266" s="3">
        <f t="shared" si="252"/>
        <v>9.8819539758770072E-2</v>
      </c>
      <c r="S266" s="3">
        <f t="shared" si="252"/>
        <v>9.4519399919702984E-2</v>
      </c>
      <c r="T266" s="3">
        <f t="shared" si="252"/>
        <v>6.0576230434307571E-2</v>
      </c>
      <c r="U266" s="3">
        <f t="shared" si="252"/>
        <v>7.0813348419318848E-4</v>
      </c>
      <c r="V266" s="3">
        <f t="shared" si="252"/>
        <v>3.3747685441425602E-23</v>
      </c>
      <c r="W266" s="3">
        <f t="shared" si="252"/>
        <v>2.0395418039644134E-216</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7.4938076557470937E-2</v>
      </c>
      <c r="C267" s="3">
        <f t="shared" si="253"/>
        <v>7.4938076557470937E-2</v>
      </c>
      <c r="D267" s="3">
        <f t="shared" si="253"/>
        <v>7.4938076557470937E-2</v>
      </c>
      <c r="E267" s="3">
        <f t="shared" si="253"/>
        <v>7.4938076557470937E-2</v>
      </c>
      <c r="F267" s="3">
        <f t="shared" si="253"/>
        <v>7.4938076557470909E-2</v>
      </c>
      <c r="G267" s="3">
        <f t="shared" si="253"/>
        <v>7.4938076557470604E-2</v>
      </c>
      <c r="H267" s="3">
        <f t="shared" si="253"/>
        <v>7.4938076557467592E-2</v>
      </c>
      <c r="I267" s="3">
        <f t="shared" si="253"/>
        <v>7.4938076557437519E-2</v>
      </c>
      <c r="J267" s="3">
        <f t="shared" si="253"/>
        <v>7.493807655713676E-2</v>
      </c>
      <c r="K267" s="3">
        <f t="shared" si="253"/>
        <v>7.4938076554129207E-2</v>
      </c>
      <c r="L267" s="3">
        <f t="shared" si="253"/>
        <v>7.4938076524053626E-2</v>
      </c>
      <c r="M267" s="3">
        <f t="shared" si="253"/>
        <v>7.4938076223297831E-2</v>
      </c>
      <c r="N267" s="3">
        <f t="shared" si="253"/>
        <v>7.4938073215739961E-2</v>
      </c>
      <c r="O267" s="3">
        <f t="shared" si="253"/>
        <v>7.4938043140167929E-2</v>
      </c>
      <c r="P267" s="3">
        <f t="shared" si="253"/>
        <v>7.4937742385111472E-2</v>
      </c>
      <c r="Q267" s="3">
        <f t="shared" si="253"/>
        <v>7.4934734900933608E-2</v>
      </c>
      <c r="R267" s="3">
        <f t="shared" si="253"/>
        <v>7.4904666696837777E-2</v>
      </c>
      <c r="S267" s="3">
        <f t="shared" si="253"/>
        <v>7.4604647439557761E-2</v>
      </c>
      <c r="T267" s="3">
        <f t="shared" si="253"/>
        <v>7.166975950722114E-2</v>
      </c>
      <c r="U267" s="3">
        <f t="shared" si="253"/>
        <v>4.7977387444770155E-2</v>
      </c>
      <c r="V267" s="3">
        <f t="shared" si="253"/>
        <v>8.670478708625402E-4</v>
      </c>
      <c r="W267" s="3">
        <f t="shared" si="253"/>
        <v>3.2218690483350509E-21</v>
      </c>
      <c r="X267" s="3">
        <f t="shared" si="253"/>
        <v>1.6171710964638878E-195</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6.9322857874701022E-2</v>
      </c>
      <c r="C268" s="3">
        <f t="shared" si="254"/>
        <v>6.9322857874701022E-2</v>
      </c>
      <c r="D268" s="3">
        <f t="shared" si="254"/>
        <v>6.9322857874701022E-2</v>
      </c>
      <c r="E268" s="3">
        <f t="shared" si="254"/>
        <v>6.9322857874701022E-2</v>
      </c>
      <c r="F268" s="3">
        <f t="shared" si="254"/>
        <v>6.9322857874701022E-2</v>
      </c>
      <c r="G268" s="3">
        <f t="shared" si="254"/>
        <v>6.9322857874700994E-2</v>
      </c>
      <c r="H268" s="3">
        <f t="shared" si="254"/>
        <v>6.9322857874700744E-2</v>
      </c>
      <c r="I268" s="3">
        <f t="shared" si="254"/>
        <v>6.9322857874698232E-2</v>
      </c>
      <c r="J268" s="3">
        <f t="shared" si="254"/>
        <v>6.9322857874673141E-2</v>
      </c>
      <c r="K268" s="3">
        <f t="shared" si="254"/>
        <v>6.9322857874422161E-2</v>
      </c>
      <c r="L268" s="3">
        <f t="shared" si="254"/>
        <v>6.9322857871912377E-2</v>
      </c>
      <c r="M268" s="3">
        <f t="shared" si="254"/>
        <v>6.9322857846814648E-2</v>
      </c>
      <c r="N268" s="3">
        <f t="shared" si="254"/>
        <v>6.9322857595837312E-2</v>
      </c>
      <c r="O268" s="3">
        <f t="shared" si="254"/>
        <v>6.9322855086063978E-2</v>
      </c>
      <c r="P268" s="3">
        <f t="shared" si="254"/>
        <v>6.9322829988335624E-2</v>
      </c>
      <c r="Q268" s="3">
        <f t="shared" si="254"/>
        <v>6.9322579011551894E-2</v>
      </c>
      <c r="R268" s="3">
        <f t="shared" si="254"/>
        <v>6.9320069293689099E-2</v>
      </c>
      <c r="S268" s="3">
        <f t="shared" si="254"/>
        <v>6.9294977111845568E-2</v>
      </c>
      <c r="T268" s="3">
        <f t="shared" si="254"/>
        <v>6.9044554303155412E-2</v>
      </c>
      <c r="U268" s="3">
        <f t="shared" si="254"/>
        <v>6.6589565164895489E-2</v>
      </c>
      <c r="V268" s="3">
        <f t="shared" si="254"/>
        <v>4.6363227729235533E-2</v>
      </c>
      <c r="W268" s="3">
        <f t="shared" si="254"/>
        <v>1.2412192597690969E-3</v>
      </c>
      <c r="X268" s="3">
        <f t="shared" si="254"/>
        <v>2.3474531434800775E-19</v>
      </c>
      <c r="Y268" s="3">
        <f t="shared" si="254"/>
        <v>1.374298892469721E-176</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2.2465875921068256E-2</v>
      </c>
      <c r="C269" s="3">
        <f t="shared" si="255"/>
        <v>2.2465875921068256E-2</v>
      </c>
      <c r="D269" s="3">
        <f t="shared" si="255"/>
        <v>2.2465875921068256E-2</v>
      </c>
      <c r="E269" s="3">
        <f t="shared" si="255"/>
        <v>2.2465875921068256E-2</v>
      </c>
      <c r="F269" s="3">
        <f t="shared" si="255"/>
        <v>2.2465875921068256E-2</v>
      </c>
      <c r="G269" s="3">
        <f t="shared" si="255"/>
        <v>2.2465875921068256E-2</v>
      </c>
      <c r="H269" s="3">
        <f t="shared" si="255"/>
        <v>2.2465875921068249E-2</v>
      </c>
      <c r="I269" s="3">
        <f t="shared" si="255"/>
        <v>2.2465875921068173E-2</v>
      </c>
      <c r="J269" s="3">
        <f t="shared" si="255"/>
        <v>2.2465875921067441E-2</v>
      </c>
      <c r="K269" s="3">
        <f t="shared" si="255"/>
        <v>2.2465875921060103E-2</v>
      </c>
      <c r="L269" s="3">
        <f t="shared" si="255"/>
        <v>2.2465875920986731E-2</v>
      </c>
      <c r="M269" s="3">
        <f t="shared" si="255"/>
        <v>2.2465875920253016E-2</v>
      </c>
      <c r="N269" s="3">
        <f t="shared" si="255"/>
        <v>2.2465875912915854E-2</v>
      </c>
      <c r="O269" s="3">
        <f t="shared" si="255"/>
        <v>2.2465875839544253E-2</v>
      </c>
      <c r="P269" s="3">
        <f t="shared" si="255"/>
        <v>2.2465875105828252E-2</v>
      </c>
      <c r="Q269" s="3">
        <f t="shared" si="255"/>
        <v>2.2465867768669566E-2</v>
      </c>
      <c r="R269" s="3">
        <f t="shared" si="255"/>
        <v>2.2465794397214474E-2</v>
      </c>
      <c r="S269" s="3">
        <f t="shared" si="255"/>
        <v>2.2465060695842764E-2</v>
      </c>
      <c r="T269" s="3">
        <f t="shared" si="255"/>
        <v>2.2457724999887782E-2</v>
      </c>
      <c r="U269" s="3">
        <f t="shared" si="255"/>
        <v>2.2384499657452997E-2</v>
      </c>
      <c r="V269" s="3">
        <f t="shared" si="255"/>
        <v>2.1665250279908631E-2</v>
      </c>
      <c r="W269" s="3">
        <f t="shared" si="255"/>
        <v>1.5628845600771914E-2</v>
      </c>
      <c r="X269" s="3">
        <f t="shared" si="255"/>
        <v>5.9642907153252143E-4</v>
      </c>
      <c r="Y269" s="3">
        <f t="shared" si="255"/>
        <v>3.9073097050583141E-18</v>
      </c>
      <c r="Z269" s="3">
        <f t="shared" si="255"/>
        <v>5.6894221229782316E-160</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5.8329528880761261E-2</v>
      </c>
      <c r="C270" s="3">
        <f t="shared" si="256"/>
        <v>5.8329528880761261E-2</v>
      </c>
      <c r="D270" s="3">
        <f t="shared" si="256"/>
        <v>5.8329528880761261E-2</v>
      </c>
      <c r="E270" s="3">
        <f t="shared" si="256"/>
        <v>5.8329528880761261E-2</v>
      </c>
      <c r="F270" s="3">
        <f t="shared" si="256"/>
        <v>5.8329528880761261E-2</v>
      </c>
      <c r="G270" s="3">
        <f t="shared" si="256"/>
        <v>5.8329528880761261E-2</v>
      </c>
      <c r="H270" s="3">
        <f t="shared" si="256"/>
        <v>5.8329528880761254E-2</v>
      </c>
      <c r="I270" s="3">
        <f t="shared" si="256"/>
        <v>5.8329528880761206E-2</v>
      </c>
      <c r="J270" s="3">
        <f t="shared" si="256"/>
        <v>5.8329528880760678E-2</v>
      </c>
      <c r="K270" s="3">
        <f t="shared" si="256"/>
        <v>5.8329528880755405E-2</v>
      </c>
      <c r="L270" s="3">
        <f t="shared" si="256"/>
        <v>5.8329528880702718E-2</v>
      </c>
      <c r="M270" s="3">
        <f t="shared" si="256"/>
        <v>5.8329528880175847E-2</v>
      </c>
      <c r="N270" s="3">
        <f t="shared" si="256"/>
        <v>5.8329528874907118E-2</v>
      </c>
      <c r="O270" s="3">
        <f t="shared" si="256"/>
        <v>5.8329528822219812E-2</v>
      </c>
      <c r="P270" s="3">
        <f t="shared" si="256"/>
        <v>5.832952829534678E-2</v>
      </c>
      <c r="Q270" s="3">
        <f t="shared" si="256"/>
        <v>5.8329523026616703E-2</v>
      </c>
      <c r="R270" s="3">
        <f t="shared" si="256"/>
        <v>5.8329470339342153E-2</v>
      </c>
      <c r="S270" s="3">
        <f t="shared" si="256"/>
        <v>5.8328943469214148E-2</v>
      </c>
      <c r="T270" s="3">
        <f t="shared" si="256"/>
        <v>5.832367502967406E-2</v>
      </c>
      <c r="U270" s="3">
        <f t="shared" si="256"/>
        <v>5.8271016799524192E-2</v>
      </c>
      <c r="V270" s="3">
        <f t="shared" si="256"/>
        <v>5.7747042299532224E-2</v>
      </c>
      <c r="W270" s="3">
        <f t="shared" si="256"/>
        <v>5.2759568512272169E-2</v>
      </c>
      <c r="X270" s="3">
        <f t="shared" si="256"/>
        <v>2.1380415074665229E-2</v>
      </c>
      <c r="Y270" s="3">
        <f t="shared" si="256"/>
        <v>2.5536719381816109E-6</v>
      </c>
      <c r="Z270" s="3">
        <f t="shared" si="256"/>
        <v>1.5088804198653505E-45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3.4551716494444183E-2</v>
      </c>
      <c r="C271" s="3">
        <f t="shared" si="257"/>
        <v>3.4551716494444183E-2</v>
      </c>
      <c r="D271" s="3">
        <f t="shared" si="257"/>
        <v>3.4551716494444183E-2</v>
      </c>
      <c r="E271" s="3">
        <f t="shared" si="257"/>
        <v>3.4551716494444183E-2</v>
      </c>
      <c r="F271" s="3">
        <f t="shared" si="257"/>
        <v>3.4551716494444183E-2</v>
      </c>
      <c r="G271" s="3">
        <f t="shared" si="257"/>
        <v>3.4551716494444183E-2</v>
      </c>
      <c r="H271" s="3">
        <f t="shared" si="257"/>
        <v>3.4551716494444183E-2</v>
      </c>
      <c r="I271" s="3">
        <f t="shared" si="257"/>
        <v>3.4551716494444176E-2</v>
      </c>
      <c r="J271" s="3">
        <f t="shared" si="257"/>
        <v>3.4551716494444148E-2</v>
      </c>
      <c r="K271" s="3">
        <f t="shared" si="257"/>
        <v>3.4551716494443836E-2</v>
      </c>
      <c r="L271" s="3">
        <f t="shared" si="257"/>
        <v>3.4551716494440714E-2</v>
      </c>
      <c r="M271" s="3">
        <f t="shared" si="257"/>
        <v>3.4551716494409503E-2</v>
      </c>
      <c r="N271" s="3">
        <f t="shared" si="257"/>
        <v>3.4551716494097412E-2</v>
      </c>
      <c r="O271" s="3">
        <f t="shared" si="257"/>
        <v>3.4551716490976457E-2</v>
      </c>
      <c r="P271" s="3">
        <f t="shared" si="257"/>
        <v>3.4551716459766936E-2</v>
      </c>
      <c r="Q271" s="3">
        <f t="shared" si="257"/>
        <v>3.4551716147671704E-2</v>
      </c>
      <c r="R271" s="3">
        <f t="shared" si="257"/>
        <v>3.4551713026719569E-2</v>
      </c>
      <c r="S271" s="3">
        <f t="shared" si="257"/>
        <v>3.4551681817213714E-2</v>
      </c>
      <c r="T271" s="3">
        <f t="shared" si="257"/>
        <v>3.4551369723705649E-2</v>
      </c>
      <c r="U271" s="3">
        <f t="shared" si="257"/>
        <v>3.4548248943667641E-2</v>
      </c>
      <c r="V271" s="3">
        <f t="shared" si="257"/>
        <v>3.4517056642372757E-2</v>
      </c>
      <c r="W271" s="3">
        <f t="shared" si="257"/>
        <v>3.4206678370484953E-2</v>
      </c>
      <c r="X271" s="3">
        <f t="shared" si="257"/>
        <v>3.1252329456178542E-2</v>
      </c>
      <c r="Y271" s="3">
        <f t="shared" si="257"/>
        <v>1.2664769532143913E-2</v>
      </c>
      <c r="Z271" s="3">
        <f t="shared" si="257"/>
        <v>1.5126772069124462E-6</v>
      </c>
      <c r="AA271" s="3">
        <f t="shared" si="257"/>
        <v>8.937910093150247E-46</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3.2785105338059839E-2</v>
      </c>
      <c r="C272" s="3">
        <f t="shared" si="258"/>
        <v>3.2785105338059839E-2</v>
      </c>
      <c r="D272" s="3">
        <f t="shared" si="258"/>
        <v>3.2785105338059839E-2</v>
      </c>
      <c r="E272" s="3">
        <f t="shared" si="258"/>
        <v>3.2785105338059839E-2</v>
      </c>
      <c r="F272" s="3">
        <f t="shared" si="258"/>
        <v>3.2785105338059839E-2</v>
      </c>
      <c r="G272" s="3">
        <f t="shared" si="258"/>
        <v>3.2785105338059839E-2</v>
      </c>
      <c r="H272" s="3">
        <f t="shared" si="258"/>
        <v>3.2785105338059839E-2</v>
      </c>
      <c r="I272" s="3">
        <f t="shared" si="258"/>
        <v>3.2785105338059839E-2</v>
      </c>
      <c r="J272" s="3">
        <f t="shared" si="258"/>
        <v>3.2785105338059832E-2</v>
      </c>
      <c r="K272" s="3">
        <f t="shared" si="258"/>
        <v>3.2785105338059804E-2</v>
      </c>
      <c r="L272" s="3">
        <f t="shared" si="258"/>
        <v>3.2785105338059513E-2</v>
      </c>
      <c r="M272" s="3">
        <f t="shared" si="258"/>
        <v>3.278510533805655E-2</v>
      </c>
      <c r="N272" s="3">
        <f t="shared" si="258"/>
        <v>3.2785105338026935E-2</v>
      </c>
      <c r="O272" s="3">
        <f t="shared" si="258"/>
        <v>3.2785105337730797E-2</v>
      </c>
      <c r="P272" s="3">
        <f t="shared" si="258"/>
        <v>3.2785105334769415E-2</v>
      </c>
      <c r="Q272" s="3">
        <f t="shared" si="258"/>
        <v>3.2785105305155618E-2</v>
      </c>
      <c r="R272" s="3">
        <f t="shared" si="258"/>
        <v>3.2785105009017657E-2</v>
      </c>
      <c r="S272" s="3">
        <f t="shared" si="258"/>
        <v>3.2785102047638168E-2</v>
      </c>
      <c r="T272" s="3">
        <f t="shared" si="258"/>
        <v>3.278507243385799E-2</v>
      </c>
      <c r="U272" s="3">
        <f t="shared" si="258"/>
        <v>3.2784776297527428E-2</v>
      </c>
      <c r="V272" s="3">
        <f t="shared" si="258"/>
        <v>3.2781815081337221E-2</v>
      </c>
      <c r="W272" s="3">
        <f t="shared" si="258"/>
        <v>3.2752217626060176E-2</v>
      </c>
      <c r="X272" s="3">
        <f t="shared" si="258"/>
        <v>3.2457708832549934E-2</v>
      </c>
      <c r="Y272" s="3">
        <f t="shared" si="258"/>
        <v>2.965441422990717E-2</v>
      </c>
      <c r="Z272" s="3">
        <f t="shared" si="258"/>
        <v>1.2017226503359233E-2</v>
      </c>
      <c r="AA272" s="3">
        <f t="shared" si="258"/>
        <v>1.435334814091831E-6</v>
      </c>
      <c r="AB272" s="3">
        <f t="shared" si="258"/>
        <v>8.4809194342966292E-46</v>
      </c>
      <c r="AC272" s="3">
        <f t="shared" si="258"/>
        <v>0</v>
      </c>
      <c r="AD272" s="3">
        <f t="shared" si="258"/>
        <v>0</v>
      </c>
      <c r="AE272" s="3">
        <f t="shared" si="258"/>
        <v>0</v>
      </c>
      <c r="AF272" s="3">
        <f t="shared" si="258"/>
        <v>0</v>
      </c>
      <c r="AG272" s="3"/>
      <c r="AH272" s="3"/>
    </row>
    <row r="273" spans="1:34" x14ac:dyDescent="0.25">
      <c r="B273" s="3">
        <f t="shared" ref="B273:AF273" si="259">$C42*EXP(-B$246/$A42/EXP(-$E$126))</f>
        <v>1.3184627495592977E-2</v>
      </c>
      <c r="C273" s="3">
        <f t="shared" si="259"/>
        <v>1.3184627495592977E-2</v>
      </c>
      <c r="D273" s="3">
        <f t="shared" si="259"/>
        <v>1.3184627495592977E-2</v>
      </c>
      <c r="E273" s="3">
        <f t="shared" si="259"/>
        <v>1.3184627495592977E-2</v>
      </c>
      <c r="F273" s="3">
        <f t="shared" si="259"/>
        <v>1.3184627495592977E-2</v>
      </c>
      <c r="G273" s="3">
        <f t="shared" si="259"/>
        <v>1.3184627495592977E-2</v>
      </c>
      <c r="H273" s="3">
        <f t="shared" si="259"/>
        <v>1.3184627495592977E-2</v>
      </c>
      <c r="I273" s="3">
        <f t="shared" si="259"/>
        <v>1.3184627495592977E-2</v>
      </c>
      <c r="J273" s="3">
        <f t="shared" si="259"/>
        <v>1.3184627495592977E-2</v>
      </c>
      <c r="K273" s="3">
        <f t="shared" si="259"/>
        <v>1.3184627495592975E-2</v>
      </c>
      <c r="L273" s="3">
        <f t="shared" si="259"/>
        <v>1.3184627495592963E-2</v>
      </c>
      <c r="M273" s="3">
        <f t="shared" si="259"/>
        <v>1.3184627495592845E-2</v>
      </c>
      <c r="N273" s="3">
        <f t="shared" si="259"/>
        <v>1.3184627495591654E-2</v>
      </c>
      <c r="O273" s="3">
        <f t="shared" si="259"/>
        <v>1.3184627495579745E-2</v>
      </c>
      <c r="P273" s="3">
        <f t="shared" si="259"/>
        <v>1.3184627495460653E-2</v>
      </c>
      <c r="Q273" s="3">
        <f t="shared" si="259"/>
        <v>1.3184627494269725E-2</v>
      </c>
      <c r="R273" s="3">
        <f t="shared" si="259"/>
        <v>1.3184627482360448E-2</v>
      </c>
      <c r="S273" s="3">
        <f t="shared" si="259"/>
        <v>1.3184627363267686E-2</v>
      </c>
      <c r="T273" s="3">
        <f t="shared" si="259"/>
        <v>1.3184626172340128E-2</v>
      </c>
      <c r="U273" s="3">
        <f t="shared" si="259"/>
        <v>1.3184614263070465E-2</v>
      </c>
      <c r="V273" s="3">
        <f t="shared" si="259"/>
        <v>1.3184495170965496E-2</v>
      </c>
      <c r="W273" s="3">
        <f t="shared" si="259"/>
        <v>1.3183304309078697E-2</v>
      </c>
      <c r="X273" s="3">
        <f t="shared" si="259"/>
        <v>1.317140160452364E-2</v>
      </c>
      <c r="Y273" s="3">
        <f t="shared" si="259"/>
        <v>1.3052964018413422E-2</v>
      </c>
      <c r="Z273" s="3">
        <f t="shared" si="259"/>
        <v>1.1925610767138542E-2</v>
      </c>
      <c r="AA273" s="3">
        <f t="shared" si="259"/>
        <v>4.8327633339345904E-3</v>
      </c>
      <c r="AB273" s="3">
        <f t="shared" si="259"/>
        <v>5.7722415896245201E-7</v>
      </c>
      <c r="AC273" s="3">
        <f t="shared" si="259"/>
        <v>3.4106269419707573E-46</v>
      </c>
      <c r="AD273" s="3">
        <f t="shared" si="259"/>
        <v>0</v>
      </c>
      <c r="AE273" s="3">
        <f t="shared" si="259"/>
        <v>0</v>
      </c>
      <c r="AF273" s="3">
        <f t="shared" si="259"/>
        <v>0</v>
      </c>
      <c r="AG273" s="3"/>
      <c r="AH273" s="3"/>
    </row>
    <row r="274" spans="1:34" x14ac:dyDescent="0.25">
      <c r="B274" s="3">
        <f t="shared" ref="B274:AF274" si="260">$C43*EXP(-B$246/$A43/EXP(-$E$126))</f>
        <v>9.0966723550024858E-3</v>
      </c>
      <c r="C274" s="3">
        <f t="shared" si="260"/>
        <v>9.0966723550024858E-3</v>
      </c>
      <c r="D274" s="3">
        <f t="shared" si="260"/>
        <v>9.0966723550024858E-3</v>
      </c>
      <c r="E274" s="3">
        <f t="shared" si="260"/>
        <v>9.0966723550024858E-3</v>
      </c>
      <c r="F274" s="3">
        <f t="shared" si="260"/>
        <v>9.0966723550024858E-3</v>
      </c>
      <c r="G274" s="3">
        <f t="shared" si="260"/>
        <v>9.0966723550024858E-3</v>
      </c>
      <c r="H274" s="3">
        <f t="shared" si="260"/>
        <v>9.0966723550024858E-3</v>
      </c>
      <c r="I274" s="3">
        <f t="shared" si="260"/>
        <v>9.0966723550024858E-3</v>
      </c>
      <c r="J274" s="3">
        <f t="shared" si="260"/>
        <v>9.0966723550024858E-3</v>
      </c>
      <c r="K274" s="3">
        <f t="shared" si="260"/>
        <v>9.0966723550024858E-3</v>
      </c>
      <c r="L274" s="3">
        <f t="shared" si="260"/>
        <v>9.0966723550024841E-3</v>
      </c>
      <c r="M274" s="3">
        <f t="shared" si="260"/>
        <v>9.0966723550024772E-3</v>
      </c>
      <c r="N274" s="3">
        <f t="shared" si="260"/>
        <v>9.0966723550023956E-3</v>
      </c>
      <c r="O274" s="3">
        <f t="shared" si="260"/>
        <v>9.0966723550015734E-3</v>
      </c>
      <c r="P274" s="3">
        <f t="shared" si="260"/>
        <v>9.096672354993356E-3</v>
      </c>
      <c r="Q274" s="3">
        <f t="shared" si="260"/>
        <v>9.0966723549111891E-3</v>
      </c>
      <c r="R274" s="3">
        <f t="shared" si="260"/>
        <v>9.0966723540895147E-3</v>
      </c>
      <c r="S274" s="3">
        <f t="shared" si="260"/>
        <v>9.0966723458727628E-3</v>
      </c>
      <c r="T274" s="3">
        <f t="shared" si="260"/>
        <v>9.0966722637052678E-3</v>
      </c>
      <c r="U274" s="3">
        <f t="shared" si="260"/>
        <v>9.0966714420303435E-3</v>
      </c>
      <c r="V274" s="3">
        <f t="shared" si="260"/>
        <v>9.0966632252851877E-3</v>
      </c>
      <c r="W274" s="3">
        <f t="shared" si="260"/>
        <v>9.0965810582418379E-3</v>
      </c>
      <c r="X274" s="3">
        <f t="shared" si="260"/>
        <v>9.0957594286275086E-3</v>
      </c>
      <c r="Y274" s="3">
        <f t="shared" si="260"/>
        <v>9.0875472130368968E-3</v>
      </c>
      <c r="Z274" s="3">
        <f t="shared" si="260"/>
        <v>9.005831751927193E-3</v>
      </c>
      <c r="AA274" s="3">
        <f t="shared" si="260"/>
        <v>8.2280196249920785E-3</v>
      </c>
      <c r="AB274" s="3">
        <f t="shared" si="260"/>
        <v>3.3343425616512079E-3</v>
      </c>
      <c r="AC274" s="3">
        <f t="shared" si="260"/>
        <v>3.9825312100993437E-7</v>
      </c>
      <c r="AD274" s="3">
        <f t="shared" si="260"/>
        <v>2.3531461792623587E-46</v>
      </c>
      <c r="AE274" s="3">
        <f t="shared" si="260"/>
        <v>0</v>
      </c>
      <c r="AF274" s="3">
        <f t="shared" si="260"/>
        <v>0</v>
      </c>
      <c r="AG274" s="3"/>
      <c r="AH274" s="3"/>
    </row>
    <row r="275" spans="1:34" x14ac:dyDescent="0.25">
      <c r="B275" s="3">
        <f t="shared" ref="B275:AF275" si="261">$C44*EXP(-B$246/$A44/EXP(-$E$126))</f>
        <v>3.0393849329234364E-3</v>
      </c>
      <c r="C275" s="3">
        <f t="shared" si="261"/>
        <v>3.0393849329234364E-3</v>
      </c>
      <c r="D275" s="3">
        <f t="shared" si="261"/>
        <v>3.0393849329234364E-3</v>
      </c>
      <c r="E275" s="3">
        <f t="shared" si="261"/>
        <v>3.0393849329234364E-3</v>
      </c>
      <c r="F275" s="3">
        <f t="shared" si="261"/>
        <v>3.0393849329234364E-3</v>
      </c>
      <c r="G275" s="3">
        <f t="shared" si="261"/>
        <v>3.0393849329234364E-3</v>
      </c>
      <c r="H275" s="3">
        <f t="shared" si="261"/>
        <v>3.0393849329234364E-3</v>
      </c>
      <c r="I275" s="3">
        <f t="shared" si="261"/>
        <v>3.0393849329234364E-3</v>
      </c>
      <c r="J275" s="3">
        <f t="shared" si="261"/>
        <v>3.0393849329234364E-3</v>
      </c>
      <c r="K275" s="3">
        <f t="shared" si="261"/>
        <v>3.0393849329234364E-3</v>
      </c>
      <c r="L275" s="3">
        <f t="shared" si="261"/>
        <v>3.0393849329234364E-3</v>
      </c>
      <c r="M275" s="3">
        <f t="shared" si="261"/>
        <v>3.039384932923436E-3</v>
      </c>
      <c r="N275" s="3">
        <f t="shared" si="261"/>
        <v>3.0393849329234334E-3</v>
      </c>
      <c r="O275" s="3">
        <f t="shared" si="261"/>
        <v>3.0393849329234061E-3</v>
      </c>
      <c r="P275" s="3">
        <f t="shared" si="261"/>
        <v>3.0393849329231316E-3</v>
      </c>
      <c r="Q275" s="3">
        <f t="shared" si="261"/>
        <v>3.0393849329203859E-3</v>
      </c>
      <c r="R275" s="3">
        <f t="shared" si="261"/>
        <v>3.0393849328929322E-3</v>
      </c>
      <c r="S275" s="3">
        <f t="shared" si="261"/>
        <v>3.039384932618394E-3</v>
      </c>
      <c r="T275" s="3">
        <f t="shared" si="261"/>
        <v>3.0393849298730089E-3</v>
      </c>
      <c r="U275" s="3">
        <f t="shared" si="261"/>
        <v>3.039384902419162E-3</v>
      </c>
      <c r="V275" s="3">
        <f t="shared" si="261"/>
        <v>3.0393846278807058E-3</v>
      </c>
      <c r="W275" s="3">
        <f t="shared" si="261"/>
        <v>3.0393818824975098E-3</v>
      </c>
      <c r="X275" s="3">
        <f t="shared" si="261"/>
        <v>3.0393544288019395E-3</v>
      </c>
      <c r="Y275" s="3">
        <f t="shared" si="261"/>
        <v>3.0390799054847545E-3</v>
      </c>
      <c r="Z275" s="3">
        <f t="shared" si="261"/>
        <v>3.0363360357093085E-3</v>
      </c>
      <c r="AA275" s="3">
        <f t="shared" si="261"/>
        <v>3.0090332230332927E-3</v>
      </c>
      <c r="AB275" s="3">
        <f t="shared" si="261"/>
        <v>2.7491502276925121E-3</v>
      </c>
      <c r="AC275" s="3">
        <f t="shared" si="261"/>
        <v>1.1140722835328771E-3</v>
      </c>
      <c r="AD275" s="3">
        <f t="shared" si="261"/>
        <v>1.3306454143329402E-7</v>
      </c>
      <c r="AE275" s="3">
        <f t="shared" si="261"/>
        <v>7.8623443420859696E-47</v>
      </c>
      <c r="AF275" s="3">
        <f t="shared" si="261"/>
        <v>0</v>
      </c>
      <c r="AG275" s="3"/>
      <c r="AH275" s="3"/>
    </row>
    <row r="276" spans="1:34" x14ac:dyDescent="0.25">
      <c r="B276" s="3">
        <f t="shared" ref="B276:AF276" si="262">$C45*EXP(-B$246/$A45/EXP(-$E$126))</f>
        <v>2.6495422897411186E-3</v>
      </c>
      <c r="C276" s="3">
        <f t="shared" si="262"/>
        <v>2.6495422897411186E-3</v>
      </c>
      <c r="D276" s="3">
        <f t="shared" si="262"/>
        <v>2.6495422897411186E-3</v>
      </c>
      <c r="E276" s="3">
        <f t="shared" si="262"/>
        <v>2.6495422897411186E-3</v>
      </c>
      <c r="F276" s="3">
        <f t="shared" si="262"/>
        <v>2.6495422897411186E-3</v>
      </c>
      <c r="G276" s="3">
        <f t="shared" si="262"/>
        <v>2.6495422897411186E-3</v>
      </c>
      <c r="H276" s="3">
        <f t="shared" si="262"/>
        <v>2.6495422897411186E-3</v>
      </c>
      <c r="I276" s="3">
        <f t="shared" si="262"/>
        <v>2.6495422897411186E-3</v>
      </c>
      <c r="J276" s="3">
        <f t="shared" si="262"/>
        <v>2.6495422897411186E-3</v>
      </c>
      <c r="K276" s="3">
        <f t="shared" si="262"/>
        <v>2.6495422897411186E-3</v>
      </c>
      <c r="L276" s="3">
        <f t="shared" si="262"/>
        <v>2.6495422897411186E-3</v>
      </c>
      <c r="M276" s="3">
        <f t="shared" si="262"/>
        <v>2.6495422897411186E-3</v>
      </c>
      <c r="N276" s="3">
        <f t="shared" si="262"/>
        <v>2.6495422897411182E-3</v>
      </c>
      <c r="O276" s="3">
        <f t="shared" si="262"/>
        <v>2.649542289741116E-3</v>
      </c>
      <c r="P276" s="3">
        <f t="shared" si="262"/>
        <v>2.6495422897410922E-3</v>
      </c>
      <c r="Q276" s="3">
        <f t="shared" si="262"/>
        <v>2.6495422897408528E-3</v>
      </c>
      <c r="R276" s="3">
        <f t="shared" si="262"/>
        <v>2.6495422897384593E-3</v>
      </c>
      <c r="S276" s="3">
        <f t="shared" si="262"/>
        <v>2.6495422897145271E-3</v>
      </c>
      <c r="T276" s="3">
        <f t="shared" si="262"/>
        <v>2.649542289475202E-3</v>
      </c>
      <c r="U276" s="3">
        <f t="shared" si="262"/>
        <v>2.6495422870819502E-3</v>
      </c>
      <c r="V276" s="3">
        <f t="shared" si="262"/>
        <v>2.6495422631494341E-3</v>
      </c>
      <c r="W276" s="3">
        <f t="shared" si="262"/>
        <v>2.6495420238242858E-3</v>
      </c>
      <c r="X276" s="3">
        <f t="shared" si="262"/>
        <v>2.6495396305739934E-3</v>
      </c>
      <c r="Y276" s="3">
        <f t="shared" si="262"/>
        <v>2.6495156981899653E-3</v>
      </c>
      <c r="Z276" s="3">
        <f t="shared" si="262"/>
        <v>2.6492763862388789E-3</v>
      </c>
      <c r="AA276" s="3">
        <f t="shared" si="262"/>
        <v>2.646884455250199E-3</v>
      </c>
      <c r="AB276" s="3">
        <f t="shared" si="262"/>
        <v>2.6230836013240058E-3</v>
      </c>
      <c r="AC276" s="3">
        <f t="shared" si="262"/>
        <v>2.3965341507818233E-3</v>
      </c>
      <c r="AD276" s="3">
        <f t="shared" si="262"/>
        <v>9.7117729217984937E-4</v>
      </c>
      <c r="AE276" s="3">
        <f t="shared" si="262"/>
        <v>1.1599719600288055E-7</v>
      </c>
      <c r="AF276" s="3">
        <f t="shared" si="262"/>
        <v>6.8538912610936294E-47</v>
      </c>
      <c r="AG276" s="3"/>
      <c r="AH276" s="3"/>
    </row>
    <row r="277" spans="1:34" x14ac:dyDescent="0.25">
      <c r="B277" s="3">
        <f t="shared" ref="B277:AF277" si="263">$C46*EXP(-B$246/$A46/EXP(-$E$126))</f>
        <v>6.8554497859674352E-4</v>
      </c>
      <c r="C277" s="3">
        <f t="shared" si="263"/>
        <v>6.8554497859674352E-4</v>
      </c>
      <c r="D277" s="3">
        <f t="shared" si="263"/>
        <v>6.8554497859674352E-4</v>
      </c>
      <c r="E277" s="3">
        <f t="shared" si="263"/>
        <v>6.8554497859674352E-4</v>
      </c>
      <c r="F277" s="3">
        <f t="shared" si="263"/>
        <v>6.8554497859674352E-4</v>
      </c>
      <c r="G277" s="3">
        <f t="shared" si="263"/>
        <v>6.8554497859674352E-4</v>
      </c>
      <c r="H277" s="3">
        <f t="shared" si="263"/>
        <v>6.8554497859674352E-4</v>
      </c>
      <c r="I277" s="3">
        <f t="shared" si="263"/>
        <v>6.8554497859674352E-4</v>
      </c>
      <c r="J277" s="3">
        <f t="shared" si="263"/>
        <v>6.8554497859674352E-4</v>
      </c>
      <c r="K277" s="3">
        <f t="shared" si="263"/>
        <v>6.8554497859674352E-4</v>
      </c>
      <c r="L277" s="3">
        <f t="shared" si="263"/>
        <v>6.8554497859674352E-4</v>
      </c>
      <c r="M277" s="3">
        <f t="shared" si="263"/>
        <v>6.8554497859674352E-4</v>
      </c>
      <c r="N277" s="3">
        <f t="shared" si="263"/>
        <v>6.8554497859674352E-4</v>
      </c>
      <c r="O277" s="3">
        <f t="shared" si="263"/>
        <v>6.8554497859674342E-4</v>
      </c>
      <c r="P277" s="3">
        <f t="shared" si="263"/>
        <v>6.8554497859674287E-4</v>
      </c>
      <c r="Q277" s="3">
        <f t="shared" si="263"/>
        <v>6.8554497859673669E-4</v>
      </c>
      <c r="R277" s="3">
        <f t="shared" si="263"/>
        <v>6.8554497859667468E-4</v>
      </c>
      <c r="S277" s="3">
        <f t="shared" si="263"/>
        <v>6.8554497859605549E-4</v>
      </c>
      <c r="T277" s="3">
        <f t="shared" si="263"/>
        <v>6.8554497858986318E-4</v>
      </c>
      <c r="U277" s="3">
        <f t="shared" si="263"/>
        <v>6.8554497852793995E-4</v>
      </c>
      <c r="V277" s="3">
        <f t="shared" si="263"/>
        <v>6.8554497790870785E-4</v>
      </c>
      <c r="W277" s="3">
        <f t="shared" si="263"/>
        <v>6.8554497171638689E-4</v>
      </c>
      <c r="X277" s="3">
        <f t="shared" si="263"/>
        <v>6.8554490979318074E-4</v>
      </c>
      <c r="Y277" s="3">
        <f t="shared" si="263"/>
        <v>6.8554429056142633E-4</v>
      </c>
      <c r="Z277" s="3">
        <f t="shared" si="263"/>
        <v>6.8553809827464533E-4</v>
      </c>
      <c r="AA277" s="3">
        <f t="shared" si="263"/>
        <v>6.8547617848305686E-4</v>
      </c>
      <c r="AB277" s="3">
        <f t="shared" si="263"/>
        <v>6.8485728808648217E-4</v>
      </c>
      <c r="AC277" s="3">
        <f t="shared" si="263"/>
        <v>6.7869903352357395E-4</v>
      </c>
      <c r="AD277" s="3">
        <f t="shared" si="263"/>
        <v>6.2008142291800051E-4</v>
      </c>
      <c r="AE277" s="3">
        <f t="shared" si="263"/>
        <v>2.5128329468790276E-4</v>
      </c>
      <c r="AF277" s="3">
        <f t="shared" si="263"/>
        <v>3.0013219852719118E-8</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1.0364161747734975E-2</v>
      </c>
      <c r="C279" s="3">
        <f t="shared" si="265"/>
        <v>1.0364161747734975E-2</v>
      </c>
      <c r="D279" s="3">
        <f t="shared" si="265"/>
        <v>1.0364161747734975E-2</v>
      </c>
      <c r="E279" s="3">
        <f t="shared" si="265"/>
        <v>1.0364161747734975E-2</v>
      </c>
      <c r="F279" s="3">
        <f t="shared" si="265"/>
        <v>1.0364161747734975E-2</v>
      </c>
      <c r="G279" s="3">
        <f t="shared" si="265"/>
        <v>1.0364161747734975E-2</v>
      </c>
      <c r="H279" s="3">
        <f t="shared" si="265"/>
        <v>1.0364161747734975E-2</v>
      </c>
      <c r="I279" s="3">
        <f t="shared" si="265"/>
        <v>1.0364161747734975E-2</v>
      </c>
      <c r="J279" s="3">
        <f t="shared" si="265"/>
        <v>1.0364161747734975E-2</v>
      </c>
      <c r="K279" s="3">
        <f t="shared" si="265"/>
        <v>1.0364161747734975E-2</v>
      </c>
      <c r="L279" s="3">
        <f t="shared" si="265"/>
        <v>1.0364161747734975E-2</v>
      </c>
      <c r="M279" s="3">
        <f t="shared" si="265"/>
        <v>1.0364161747734975E-2</v>
      </c>
      <c r="N279" s="3">
        <f t="shared" si="265"/>
        <v>1.0364161747734975E-2</v>
      </c>
      <c r="O279" s="3">
        <f t="shared" si="265"/>
        <v>1.0364161747734975E-2</v>
      </c>
      <c r="P279" s="3">
        <f t="shared" si="265"/>
        <v>1.0364161747734975E-2</v>
      </c>
      <c r="Q279" s="3">
        <f t="shared" si="265"/>
        <v>1.0364161747734973E-2</v>
      </c>
      <c r="R279" s="3">
        <f t="shared" si="265"/>
        <v>1.0364161747734964E-2</v>
      </c>
      <c r="S279" s="3">
        <f t="shared" si="265"/>
        <v>1.0364161747734871E-2</v>
      </c>
      <c r="T279" s="3">
        <f t="shared" si="265"/>
        <v>1.0364161747733934E-2</v>
      </c>
      <c r="U279" s="3">
        <f t="shared" si="265"/>
        <v>1.0364161747724573E-2</v>
      </c>
      <c r="V279" s="3">
        <f t="shared" si="265"/>
        <v>1.0364161747630957E-2</v>
      </c>
      <c r="W279" s="3">
        <f t="shared" si="265"/>
        <v>1.0364161746694793E-2</v>
      </c>
      <c r="X279" s="3">
        <f t="shared" si="265"/>
        <v>1.0364161737333158E-2</v>
      </c>
      <c r="Y279" s="3">
        <f t="shared" si="265"/>
        <v>1.0364161643716813E-2</v>
      </c>
      <c r="Z279" s="3">
        <f t="shared" si="265"/>
        <v>1.0364160707553402E-2</v>
      </c>
      <c r="AA279" s="3">
        <f t="shared" si="265"/>
        <v>1.0364151345923951E-2</v>
      </c>
      <c r="AB279" s="3">
        <f t="shared" si="265"/>
        <v>1.0364057730094516E-2</v>
      </c>
      <c r="AC279" s="3">
        <f t="shared" si="265"/>
        <v>1.0363121618306895E-2</v>
      </c>
      <c r="AD279" s="3">
        <f t="shared" si="265"/>
        <v>1.0353765149549221E-2</v>
      </c>
      <c r="AE279" s="3">
        <f t="shared" si="265"/>
        <v>1.026066382379179E-2</v>
      </c>
      <c r="AF279" s="3">
        <f t="shared" si="265"/>
        <v>9.3744748550891668E-3</v>
      </c>
      <c r="AG279" s="3"/>
      <c r="AH279" s="3"/>
    </row>
    <row r="280" spans="1:34" x14ac:dyDescent="0.25">
      <c r="A280" s="79">
        <f>AVERAGE(B280:AF280)</f>
        <v>6.2622835348617257E-4</v>
      </c>
      <c r="B280" s="80">
        <f>IF($D$61&lt;=B246,IF($E$61&gt;=B246,ABS((B248-B247)/B247),0),0)</f>
        <v>5.5253962916558012E-3</v>
      </c>
      <c r="C280" s="80">
        <f t="shared" ref="C280:AF280" si="266">IF($D$61&lt;=C246,IF($E$61&gt;=C246,ABS((C248-C247)/C247),0),0)</f>
        <v>7.2616725052395709E-3</v>
      </c>
      <c r="D280" s="80">
        <f t="shared" si="266"/>
        <v>2.0050192603657232E-3</v>
      </c>
      <c r="E280" s="80">
        <f t="shared" si="266"/>
        <v>2.9615747742348743E-4</v>
      </c>
      <c r="F280" s="80">
        <f t="shared" si="266"/>
        <v>8.8110768029547981E-5</v>
      </c>
      <c r="G280" s="80">
        <f t="shared" si="266"/>
        <v>4.4288583694107201E-5</v>
      </c>
      <c r="H280" s="80">
        <f t="shared" si="266"/>
        <v>4.0037009564328174E-5</v>
      </c>
      <c r="I280" s="80">
        <f t="shared" si="266"/>
        <v>6.6734709563348496E-5</v>
      </c>
      <c r="J280" s="80">
        <f t="shared" si="266"/>
        <v>3.0927570267719599E-5</v>
      </c>
      <c r="K280" s="80">
        <f t="shared" si="266"/>
        <v>1.4170977691963977E-4</v>
      </c>
      <c r="L280" s="80">
        <f t="shared" si="266"/>
        <v>3.7438700492395138E-5</v>
      </c>
      <c r="M280" s="80">
        <f t="shared" si="266"/>
        <v>2.3083554830870371E-4</v>
      </c>
      <c r="N280" s="80">
        <f t="shared" si="266"/>
        <v>1.507707965891011E-4</v>
      </c>
      <c r="O280" s="80">
        <f t="shared" si="266"/>
        <v>2.9779300546640963E-4</v>
      </c>
      <c r="P280" s="80">
        <f t="shared" si="266"/>
        <v>1.5243794730831399E-4</v>
      </c>
      <c r="Q280" s="80">
        <f t="shared" si="266"/>
        <v>2.4405821622200052E-4</v>
      </c>
      <c r="R280" s="80">
        <f t="shared" si="266"/>
        <v>1.6329386085520808E-5</v>
      </c>
      <c r="S280" s="80">
        <f t="shared" si="266"/>
        <v>3.2133451977599655E-4</v>
      </c>
      <c r="T280" s="80">
        <f t="shared" si="266"/>
        <v>2.620561807617962E-4</v>
      </c>
      <c r="U280" s="80">
        <f t="shared" si="266"/>
        <v>3.4065303873319786E-4</v>
      </c>
      <c r="V280" s="80">
        <f t="shared" si="266"/>
        <v>3.1503772817763131E-4</v>
      </c>
      <c r="W280" s="80">
        <f t="shared" si="266"/>
        <v>3.1430075045702914E-4</v>
      </c>
      <c r="X280" s="80">
        <f t="shared" si="266"/>
        <v>6.4485070352048209E-4</v>
      </c>
      <c r="Y280" s="80">
        <f t="shared" si="266"/>
        <v>5.8512848344950393E-4</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3535.8742091105873</v>
      </c>
      <c r="C281" s="21">
        <f t="shared" ref="C281:AF281" si="267">(C248-C247)^2</f>
        <v>5865.9826731718267</v>
      </c>
      <c r="D281" s="21">
        <f t="shared" si="267"/>
        <v>430.63462803540313</v>
      </c>
      <c r="E281" s="21">
        <f t="shared" si="267"/>
        <v>9.0062560620669139</v>
      </c>
      <c r="F281" s="21">
        <f t="shared" si="267"/>
        <v>0.76067071805479691</v>
      </c>
      <c r="G281" s="21">
        <f t="shared" si="267"/>
        <v>0.18164397063121801</v>
      </c>
      <c r="H281" s="21">
        <f t="shared" si="267"/>
        <v>0.14085329793587165</v>
      </c>
      <c r="I281" s="21">
        <f t="shared" si="267"/>
        <v>0.36994278887766407</v>
      </c>
      <c r="J281" s="21">
        <f t="shared" si="267"/>
        <v>7.4472977477447647E-2</v>
      </c>
      <c r="K281" s="21">
        <f t="shared" si="267"/>
        <v>1.4433767400581297</v>
      </c>
      <c r="L281" s="21">
        <f t="shared" si="267"/>
        <v>9.238511054224828E-2</v>
      </c>
      <c r="M281" s="21">
        <f t="shared" si="267"/>
        <v>3.2517581456526359</v>
      </c>
      <c r="N281" s="21">
        <f t="shared" si="267"/>
        <v>1.2904586894266163</v>
      </c>
      <c r="O281" s="21">
        <f t="shared" si="267"/>
        <v>4.6701067932488742</v>
      </c>
      <c r="P281" s="21">
        <f t="shared" si="267"/>
        <v>1.1293339714150756</v>
      </c>
      <c r="Q281" s="21">
        <f t="shared" si="267"/>
        <v>2.6646961667632212</v>
      </c>
      <c r="R281" s="21">
        <f t="shared" si="267"/>
        <v>1.0693982843115206E-2</v>
      </c>
      <c r="S281" s="21">
        <f t="shared" si="267"/>
        <v>3.3639862407832899</v>
      </c>
      <c r="T281" s="21">
        <f t="shared" si="267"/>
        <v>1.5191934926769097</v>
      </c>
      <c r="U281" s="21">
        <f t="shared" si="267"/>
        <v>1.6029960003527082</v>
      </c>
      <c r="V281" s="21">
        <f t="shared" si="267"/>
        <v>0.84950835558200943</v>
      </c>
      <c r="W281" s="21">
        <f t="shared" si="267"/>
        <v>0.50959392267545012</v>
      </c>
      <c r="X281" s="21">
        <f t="shared" si="267"/>
        <v>1.1889408003375079</v>
      </c>
      <c r="Y281" s="21">
        <f t="shared" si="267"/>
        <v>0.48847408295517109</v>
      </c>
      <c r="Z281" s="21">
        <f t="shared" si="267"/>
        <v>0.2562637504499013</v>
      </c>
      <c r="AA281" s="21">
        <f t="shared" si="267"/>
        <v>8.1479274490275949E-2</v>
      </c>
      <c r="AB281" s="21">
        <f t="shared" si="267"/>
        <v>7.1576480520505331E-3</v>
      </c>
      <c r="AC281" s="21">
        <f t="shared" si="267"/>
        <v>2.2414049892514033E-2</v>
      </c>
      <c r="AD281" s="21">
        <f t="shared" si="267"/>
        <v>5.0825307157747893E-3</v>
      </c>
      <c r="AE281" s="21">
        <f t="shared" si="267"/>
        <v>2.3463825010155554E-2</v>
      </c>
      <c r="AF281" s="21">
        <f t="shared" si="267"/>
        <v>1.6512668710988701E-3</v>
      </c>
      <c r="AG281" s="3"/>
      <c r="AH281" s="3"/>
    </row>
    <row r="282" spans="1:34" s="3" customFormat="1" x14ac:dyDescent="0.25">
      <c r="A282" s="71">
        <f>SUM(B282:AF282)</f>
        <v>9867.1008526281748</v>
      </c>
      <c r="B282" s="21">
        <f>IF($D$61&lt;=B246,IF($E$61&gt;=B246,ABS(B281),0),0)</f>
        <v>3535.8742091105873</v>
      </c>
      <c r="C282" s="21">
        <f t="shared" ref="C282:AF282" si="268">IF($D$61&lt;=C246,IF($E$61&gt;=C246,ABS(C281),0),0)</f>
        <v>5865.9826731718267</v>
      </c>
      <c r="D282" s="21">
        <f t="shared" si="268"/>
        <v>430.63462803540313</v>
      </c>
      <c r="E282" s="21">
        <f t="shared" si="268"/>
        <v>9.0062560620669139</v>
      </c>
      <c r="F282" s="21">
        <f t="shared" si="268"/>
        <v>0.76067071805479691</v>
      </c>
      <c r="G282" s="21">
        <f t="shared" si="268"/>
        <v>0.18164397063121801</v>
      </c>
      <c r="H282" s="21">
        <f t="shared" si="268"/>
        <v>0.14085329793587165</v>
      </c>
      <c r="I282" s="21">
        <f t="shared" si="268"/>
        <v>0.36994278887766407</v>
      </c>
      <c r="J282" s="21">
        <f t="shared" si="268"/>
        <v>7.4472977477447647E-2</v>
      </c>
      <c r="K282" s="21">
        <f t="shared" si="268"/>
        <v>1.4433767400581297</v>
      </c>
      <c r="L282" s="21">
        <f t="shared" si="268"/>
        <v>9.238511054224828E-2</v>
      </c>
      <c r="M282" s="21">
        <f t="shared" si="268"/>
        <v>3.2517581456526359</v>
      </c>
      <c r="N282" s="21">
        <f t="shared" si="268"/>
        <v>1.2904586894266163</v>
      </c>
      <c r="O282" s="21">
        <f t="shared" si="268"/>
        <v>4.6701067932488742</v>
      </c>
      <c r="P282" s="21">
        <f t="shared" si="268"/>
        <v>1.1293339714150756</v>
      </c>
      <c r="Q282" s="21">
        <f t="shared" si="268"/>
        <v>2.6646961667632212</v>
      </c>
      <c r="R282" s="21">
        <f t="shared" si="268"/>
        <v>1.0693982843115206E-2</v>
      </c>
      <c r="S282" s="21">
        <f t="shared" si="268"/>
        <v>3.3639862407832899</v>
      </c>
      <c r="T282" s="21">
        <f t="shared" si="268"/>
        <v>1.5191934926769097</v>
      </c>
      <c r="U282" s="21">
        <f t="shared" si="268"/>
        <v>1.6029960003527082</v>
      </c>
      <c r="V282" s="21">
        <f t="shared" si="268"/>
        <v>0.84950835558200943</v>
      </c>
      <c r="W282" s="21">
        <f t="shared" si="268"/>
        <v>0.50959392267545012</v>
      </c>
      <c r="X282" s="21">
        <f t="shared" si="268"/>
        <v>1.1889408003375079</v>
      </c>
      <c r="Y282" s="21">
        <f t="shared" si="268"/>
        <v>0.48847408295517109</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10455.125722169887</v>
      </c>
      <c r="C286" s="26">
        <f>INDEX(Comparison!$AM$3:$AS$33,G$14,$F$122)</f>
        <v>10216.758037955571</v>
      </c>
      <c r="D286" s="26">
        <f>INDEX(Comparison!$AM$3:$AS$33,H$14,$F$122)</f>
        <v>9990.8860283110862</v>
      </c>
      <c r="E286" s="26">
        <f>INDEX(Comparison!$AM$3:$AS$33,I$14,$F$122)</f>
        <v>9740.6929571272121</v>
      </c>
      <c r="F286" s="26">
        <f>INDEX(Comparison!$AM$3:$AS$33,J$14,$F$122)</f>
        <v>9486.1331326421696</v>
      </c>
      <c r="G286" s="26">
        <f>INDEX(Comparison!$AM$3:$AS$33,K$14,$F$122)</f>
        <v>9224.2999433670138</v>
      </c>
      <c r="H286" s="26">
        <f>INDEX(Comparison!$AM$3:$AS$33,L$14,$F$122)</f>
        <v>8983.6546151744242</v>
      </c>
      <c r="I286" s="26">
        <f>INDEX(Comparison!$AM$3:$AS$33,M$14,$F$122)</f>
        <v>8670.3934759322055</v>
      </c>
      <c r="J286" s="26">
        <f>INDEX(Comparison!$AM$3:$AS$33,N$14,$F$122)</f>
        <v>8318.7463719570296</v>
      </c>
      <c r="K286" s="26">
        <f>INDEX(Comparison!$AM$3:$AS$33,O$14,$F$122)</f>
        <v>7968.6744939632144</v>
      </c>
      <c r="L286" s="26">
        <f>INDEX(Comparison!$AM$3:$AS$33,P$14,$F$122)</f>
        <v>7682.4342615636733</v>
      </c>
      <c r="M286" s="26">
        <f>INDEX(Comparison!$AM$3:$AS$33,Q$14,$F$122)</f>
        <v>7403.9105678680935</v>
      </c>
      <c r="N286" s="26">
        <f>INDEX(Comparison!$AM$3:$AS$33,R$14,$F$122)</f>
        <v>7132.2476769922887</v>
      </c>
      <c r="O286" s="26">
        <f>INDEX(Comparison!$AM$3:$AS$33,S$14,$F$122)</f>
        <v>6844.7384968439528</v>
      </c>
      <c r="P286" s="26">
        <f>INDEX(Comparison!$AM$3:$AS$33,T$14,$F$122)</f>
        <v>6572.6294407257219</v>
      </c>
      <c r="Q286" s="26">
        <f>INDEX(Comparison!$AM$3:$AS$33,U$14,$F$122)</f>
        <v>6219.0027578185491</v>
      </c>
      <c r="R286" s="26">
        <f>INDEX(Comparison!$AM$3:$AS$33,V$14,$F$122)</f>
        <v>5690.6299745251627</v>
      </c>
      <c r="S286" s="26">
        <f>INDEX(Comparison!$AM$3:$AS$33,W$14,$F$122)</f>
        <v>4763.4711208275512</v>
      </c>
      <c r="T286" s="26">
        <f>INDEX(Comparison!$AM$3:$AS$33,X$14,$F$122)</f>
        <v>3748.4083561986595</v>
      </c>
      <c r="U286" s="26">
        <f>INDEX(Comparison!$AM$3:$AS$33,Y$14,$F$122)</f>
        <v>2899.8712503562774</v>
      </c>
      <c r="V286" s="26">
        <f>INDEX(Comparison!$AM$3:$AS$33,Z$14,$F$122)</f>
        <v>2207.9514817928284</v>
      </c>
      <c r="W286" s="26">
        <f>INDEX(Comparison!$AM$3:$AS$33,AA$14,$F$122)</f>
        <v>1604.1263924000411</v>
      </c>
      <c r="X286" s="26">
        <f>INDEX(Comparison!$AM$3:$AS$33,AB$14,$F$122)</f>
        <v>1123.4067588567204</v>
      </c>
      <c r="Y286" s="26">
        <f>INDEX(Comparison!$AM$3:$AS$33,AC$14,$F$122)</f>
        <v>780.76520754617513</v>
      </c>
      <c r="Z286" s="26">
        <f>INDEX(Comparison!$AM$3:$AS$33,AD$14,$F$122)</f>
        <v>582.0058323502866</v>
      </c>
      <c r="AA286" s="26">
        <f>INDEX(Comparison!$AM$3:$AS$33,AE$14,$F$122)</f>
        <v>477.43912435634792</v>
      </c>
      <c r="AB286" s="26">
        <f>INDEX(Comparison!$AM$3:$AS$33,AF$14,$F$122)</f>
        <v>428.31766172038903</v>
      </c>
      <c r="AC286" s="26">
        <f>INDEX(Comparison!$AM$3:$AS$33,AG$14,$F$122)</f>
        <v>398.6513774250231</v>
      </c>
      <c r="AD286" s="26">
        <f>INDEX(Comparison!$AM$3:$AS$33,AH$14,$F$122)</f>
        <v>385.25122525189607</v>
      </c>
      <c r="AE286" s="26">
        <f>INDEX(Comparison!$AM$3:$AS$33,AI$14,$F$122)</f>
        <v>372.90060316523403</v>
      </c>
      <c r="AF286" s="26">
        <f>INDEX(Comparison!$AM$3:$AS$33,AJ$14,$F$122)</f>
        <v>356.83813776395743</v>
      </c>
      <c r="AG286" s="26"/>
      <c r="AH286" s="26"/>
    </row>
    <row r="287" spans="1:34" x14ac:dyDescent="0.25">
      <c r="A287" s="70" t="s">
        <v>22</v>
      </c>
      <c r="B287" s="27">
        <f>($C$17+SUM(B288:B318))*$B$51</f>
        <v>10612.153410391118</v>
      </c>
      <c r="C287" s="27">
        <f t="shared" ref="C287:AF287" si="269">($C$17+SUM(C288:C318))*$B$51</f>
        <v>10314.588331207275</v>
      </c>
      <c r="D287" s="27">
        <f t="shared" si="269"/>
        <v>10124.19084506561</v>
      </c>
      <c r="E287" s="27">
        <f t="shared" si="269"/>
        <v>9881.5774126737506</v>
      </c>
      <c r="F287" s="27">
        <f t="shared" si="269"/>
        <v>9605.3830585366704</v>
      </c>
      <c r="G287" s="27">
        <f t="shared" si="269"/>
        <v>9357.262427053638</v>
      </c>
      <c r="H287" s="27">
        <f t="shared" si="269"/>
        <v>9095.2047448538651</v>
      </c>
      <c r="I287" s="27">
        <f t="shared" si="269"/>
        <v>8802.2334035643053</v>
      </c>
      <c r="J287" s="27">
        <f t="shared" si="269"/>
        <v>8451.3226086261748</v>
      </c>
      <c r="K287" s="27">
        <f t="shared" si="269"/>
        <v>8095.0292780853952</v>
      </c>
      <c r="L287" s="27">
        <f t="shared" si="269"/>
        <v>7790.961512056022</v>
      </c>
      <c r="M287" s="27">
        <f t="shared" si="269"/>
        <v>7517.3537854465558</v>
      </c>
      <c r="N287" s="27">
        <f t="shared" si="269"/>
        <v>7235.6213504245115</v>
      </c>
      <c r="O287" s="27">
        <f t="shared" si="269"/>
        <v>6954.9691665081782</v>
      </c>
      <c r="P287" s="27">
        <f t="shared" si="269"/>
        <v>6667.9223569572723</v>
      </c>
      <c r="Q287" s="27">
        <f t="shared" si="269"/>
        <v>6306.2539855695959</v>
      </c>
      <c r="R287" s="27">
        <f t="shared" si="269"/>
        <v>5650.6096730268664</v>
      </c>
      <c r="S287" s="27">
        <f t="shared" si="269"/>
        <v>4644.2478529644377</v>
      </c>
      <c r="T287" s="27">
        <f t="shared" si="269"/>
        <v>3670.7745729027442</v>
      </c>
      <c r="U287" s="27">
        <f t="shared" si="269"/>
        <v>2886.3820980364521</v>
      </c>
      <c r="V287" s="27">
        <f t="shared" si="269"/>
        <v>2244.9506142559799</v>
      </c>
      <c r="W287" s="27">
        <f t="shared" si="269"/>
        <v>1646.8070388875174</v>
      </c>
      <c r="X287" s="27">
        <f t="shared" si="269"/>
        <v>1168.1475386172972</v>
      </c>
      <c r="Y287" s="27">
        <f t="shared" si="269"/>
        <v>812.85036177850077</v>
      </c>
      <c r="Z287" s="27">
        <f t="shared" si="269"/>
        <v>597.90682969951536</v>
      </c>
      <c r="AA287" s="27">
        <f t="shared" si="269"/>
        <v>487.06793052724612</v>
      </c>
      <c r="AB287" s="27">
        <f t="shared" si="269"/>
        <v>431.36865569480045</v>
      </c>
      <c r="AC287" s="27">
        <f t="shared" si="269"/>
        <v>402.15658788665746</v>
      </c>
      <c r="AD287" s="27">
        <f t="shared" si="269"/>
        <v>386.91032326138799</v>
      </c>
      <c r="AE287" s="27">
        <f t="shared" si="269"/>
        <v>372.91078001854743</v>
      </c>
      <c r="AF287" s="27">
        <f t="shared" si="269"/>
        <v>304.84129619014431</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2.4179799041206165E-2</v>
      </c>
      <c r="C289" s="3">
        <f t="shared" si="271"/>
        <v>1.6874275353716594E-3</v>
      </c>
      <c r="D289" s="3">
        <f t="shared" si="271"/>
        <v>4.6232734037825471E-15</v>
      </c>
      <c r="E289" s="3">
        <f t="shared" si="271"/>
        <v>1.1020315514656208E-130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1.4394153678576074E-2</v>
      </c>
      <c r="C290" s="3">
        <f t="shared" si="272"/>
        <v>1.1321000008268542E-2</v>
      </c>
      <c r="D290" s="3">
        <f t="shared" si="272"/>
        <v>1.0253481373148549E-3</v>
      </c>
      <c r="E290" s="3">
        <f t="shared" si="272"/>
        <v>3.8083504651154266E-14</v>
      </c>
      <c r="F290" s="3">
        <f t="shared" si="272"/>
        <v>1.9027972565858901E-118</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2.1790779841472839E-2</v>
      </c>
      <c r="C291" s="3">
        <f t="shared" si="273"/>
        <v>2.1323766779450182E-2</v>
      </c>
      <c r="D291" s="3">
        <f t="shared" si="273"/>
        <v>1.7170203177951392E-2</v>
      </c>
      <c r="E291" s="3">
        <f t="shared" si="273"/>
        <v>1.9673903529438129E-3</v>
      </c>
      <c r="F291" s="3">
        <f t="shared" si="273"/>
        <v>7.6743494323580922E-13</v>
      </c>
      <c r="G291" s="3">
        <f t="shared" si="273"/>
        <v>6.2596765520221274E-107</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2.6592630153464084E-2</v>
      </c>
      <c r="C292" s="3">
        <f t="shared" si="274"/>
        <v>2.6540710024654E-2</v>
      </c>
      <c r="D292" s="3">
        <f t="shared" si="274"/>
        <v>2.6027051567344073E-2</v>
      </c>
      <c r="E292" s="3">
        <f t="shared" si="274"/>
        <v>2.1406680514223526E-2</v>
      </c>
      <c r="F292" s="3">
        <f t="shared" si="274"/>
        <v>3.0324446072142312E-3</v>
      </c>
      <c r="G292" s="3">
        <f t="shared" si="274"/>
        <v>9.867982412937015E-12</v>
      </c>
      <c r="H292" s="3">
        <f t="shared" si="274"/>
        <v>1.3139634053654139E-96</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2.1792669025251937E-2</v>
      </c>
      <c r="C293" s="3">
        <f t="shared" si="275"/>
        <v>2.1788827377783714E-2</v>
      </c>
      <c r="D293" s="3">
        <f t="shared" si="275"/>
        <v>2.1750448130066439E-2</v>
      </c>
      <c r="E293" s="3">
        <f t="shared" si="275"/>
        <v>2.1370354180342048E-2</v>
      </c>
      <c r="F293" s="3">
        <f t="shared" si="275"/>
        <v>1.7916238170459915E-2</v>
      </c>
      <c r="G293" s="3">
        <f t="shared" si="275"/>
        <v>3.0732500589217356E-3</v>
      </c>
      <c r="H293" s="3">
        <f t="shared" si="275"/>
        <v>6.7781100147447645E-11</v>
      </c>
      <c r="I293" s="3">
        <f t="shared" si="275"/>
        <v>1.8459322730094234E-87</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2.3921618492766007E-2</v>
      </c>
      <c r="C294" s="3">
        <f t="shared" si="276"/>
        <v>2.3921238058992364E-2</v>
      </c>
      <c r="D294" s="3">
        <f t="shared" si="276"/>
        <v>2.3917434053999386E-2</v>
      </c>
      <c r="E294" s="3">
        <f t="shared" si="276"/>
        <v>2.3879427258845249E-2</v>
      </c>
      <c r="F294" s="3">
        <f t="shared" si="276"/>
        <v>2.3502665299775998E-2</v>
      </c>
      <c r="G294" s="3">
        <f t="shared" si="276"/>
        <v>2.0046991808826662E-2</v>
      </c>
      <c r="H294" s="3">
        <f t="shared" si="276"/>
        <v>4.0866757763285922E-3</v>
      </c>
      <c r="I294" s="3">
        <f t="shared" si="276"/>
        <v>5.065005133527492E-10</v>
      </c>
      <c r="J294" s="3">
        <f t="shared" si="276"/>
        <v>4.3318853414501979E-79</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2.6315524975042547E-2</v>
      </c>
      <c r="C295" s="3">
        <f t="shared" si="277"/>
        <v>2.6315487222146137E-2</v>
      </c>
      <c r="D295" s="3">
        <f t="shared" si="277"/>
        <v>2.6315109696160896E-2</v>
      </c>
      <c r="E295" s="3">
        <f t="shared" si="277"/>
        <v>2.6311334734178137E-2</v>
      </c>
      <c r="F295" s="3">
        <f t="shared" si="277"/>
        <v>2.6273614885512244E-2</v>
      </c>
      <c r="G295" s="3">
        <f t="shared" si="277"/>
        <v>2.5899377772606983E-2</v>
      </c>
      <c r="H295" s="3">
        <f t="shared" si="277"/>
        <v>2.243800993717256E-2</v>
      </c>
      <c r="I295" s="3">
        <f t="shared" si="277"/>
        <v>5.3448361063043849E-3</v>
      </c>
      <c r="J295" s="3">
        <f t="shared" si="277"/>
        <v>3.1436555766978549E-9</v>
      </c>
      <c r="K295" s="3">
        <f t="shared" si="277"/>
        <v>1.5575450358134092E-71</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3.4157201481252716E-2</v>
      </c>
      <c r="C296" s="3">
        <f t="shared" si="278"/>
        <v>3.4157197060793447E-2</v>
      </c>
      <c r="D296" s="3">
        <f t="shared" si="278"/>
        <v>3.4157152856232151E-2</v>
      </c>
      <c r="E296" s="3">
        <f t="shared" si="278"/>
        <v>3.4156710813765569E-2</v>
      </c>
      <c r="F296" s="3">
        <f t="shared" si="278"/>
        <v>3.4152290703724004E-2</v>
      </c>
      <c r="G296" s="3">
        <f t="shared" si="278"/>
        <v>3.4108121050670293E-2</v>
      </c>
      <c r="H296" s="3">
        <f t="shared" si="278"/>
        <v>3.3669554250177793E-2</v>
      </c>
      <c r="I296" s="3">
        <f t="shared" si="278"/>
        <v>2.9582377762717181E-2</v>
      </c>
      <c r="J296" s="3">
        <f t="shared" si="278"/>
        <v>8.1094275264454556E-3</v>
      </c>
      <c r="K296" s="3">
        <f t="shared" si="278"/>
        <v>1.9433963348638167E-8</v>
      </c>
      <c r="L296" s="3">
        <f t="shared" si="278"/>
        <v>1.2141524033163921E-64</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3.3563265407680565E-2</v>
      </c>
      <c r="C297" s="3">
        <f t="shared" si="279"/>
        <v>3.3563265015852148E-2</v>
      </c>
      <c r="D297" s="3">
        <f t="shared" si="279"/>
        <v>3.3563261097568166E-2</v>
      </c>
      <c r="E297" s="3">
        <f t="shared" si="279"/>
        <v>3.3563221914753548E-2</v>
      </c>
      <c r="F297" s="3">
        <f t="shared" si="279"/>
        <v>3.3562830089123252E-2</v>
      </c>
      <c r="G297" s="3">
        <f t="shared" si="279"/>
        <v>3.3558912084396472E-2</v>
      </c>
      <c r="H297" s="3">
        <f t="shared" si="279"/>
        <v>3.3519757183883149E-2</v>
      </c>
      <c r="I297" s="3">
        <f t="shared" si="279"/>
        <v>3.313071202589294E-2</v>
      </c>
      <c r="J297" s="3">
        <f t="shared" si="279"/>
        <v>2.9480159296116019E-2</v>
      </c>
      <c r="K297" s="3">
        <f t="shared" si="279"/>
        <v>9.1731900033503819E-3</v>
      </c>
      <c r="L297" s="3">
        <f t="shared" si="279"/>
        <v>7.805954599429831E-8</v>
      </c>
      <c r="M297" s="3">
        <f t="shared" si="279"/>
        <v>1.5541120949598666E-58</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2.5958709055866891E-2</v>
      </c>
      <c r="C298" s="3">
        <f t="shared" si="280"/>
        <v>2.5958709028529228E-2</v>
      </c>
      <c r="D298" s="3">
        <f t="shared" si="280"/>
        <v>2.595870875515258E-2</v>
      </c>
      <c r="E298" s="3">
        <f t="shared" si="280"/>
        <v>2.595870602138628E-2</v>
      </c>
      <c r="F298" s="3">
        <f t="shared" si="280"/>
        <v>2.595867868373912E-2</v>
      </c>
      <c r="G298" s="3">
        <f t="shared" si="280"/>
        <v>2.5958405308850959E-2</v>
      </c>
      <c r="H298" s="3">
        <f t="shared" si="280"/>
        <v>2.5955671718306775E-2</v>
      </c>
      <c r="I298" s="3">
        <f t="shared" si="280"/>
        <v>2.5928351640441112E-2</v>
      </c>
      <c r="J298" s="3">
        <f t="shared" si="280"/>
        <v>2.5656727469445854E-2</v>
      </c>
      <c r="K298" s="3">
        <f t="shared" si="280"/>
        <v>2.3092172441437058E-2</v>
      </c>
      <c r="L298" s="3">
        <f t="shared" si="280"/>
        <v>8.0556409480516435E-3</v>
      </c>
      <c r="M298" s="3">
        <f t="shared" si="280"/>
        <v>2.1500729214325788E-7</v>
      </c>
      <c r="N298" s="3">
        <f t="shared" si="280"/>
        <v>3.9444284034734279E-53</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2.4505487924602908E-2</v>
      </c>
      <c r="C299" s="3">
        <f t="shared" si="281"/>
        <v>2.4505487922274877E-2</v>
      </c>
      <c r="D299" s="3">
        <f t="shared" si="281"/>
        <v>2.4505487898994593E-2</v>
      </c>
      <c r="E299" s="3">
        <f t="shared" si="281"/>
        <v>2.4505487666191757E-2</v>
      </c>
      <c r="F299" s="3">
        <f t="shared" si="281"/>
        <v>2.4505485338163529E-2</v>
      </c>
      <c r="G299" s="3">
        <f t="shared" si="281"/>
        <v>2.4505462057893397E-2</v>
      </c>
      <c r="H299" s="3">
        <f t="shared" si="281"/>
        <v>2.4505229256408478E-2</v>
      </c>
      <c r="I299" s="3">
        <f t="shared" si="281"/>
        <v>2.4502901363194371E-2</v>
      </c>
      <c r="J299" s="3">
        <f t="shared" si="281"/>
        <v>2.4479634590288693E-2</v>
      </c>
      <c r="K299" s="3">
        <f t="shared" si="281"/>
        <v>2.4248178521625322E-2</v>
      </c>
      <c r="L299" s="3">
        <f t="shared" si="281"/>
        <v>2.2050630948302265E-2</v>
      </c>
      <c r="M299" s="3">
        <f t="shared" si="281"/>
        <v>8.5278591796957605E-3</v>
      </c>
      <c r="N299" s="3">
        <f t="shared" si="281"/>
        <v>6.383076002662606E-7</v>
      </c>
      <c r="O299" s="3">
        <f t="shared" si="281"/>
        <v>3.523140547535154E-48</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2.7040912958694069E-2</v>
      </c>
      <c r="C300" s="3">
        <f t="shared" si="282"/>
        <v>2.7040912958462334E-2</v>
      </c>
      <c r="D300" s="3">
        <f t="shared" si="282"/>
        <v>2.7040912956144979E-2</v>
      </c>
      <c r="E300" s="3">
        <f t="shared" si="282"/>
        <v>2.7040912932971416E-2</v>
      </c>
      <c r="F300" s="3">
        <f t="shared" si="282"/>
        <v>2.7040912701235764E-2</v>
      </c>
      <c r="G300" s="3">
        <f t="shared" si="282"/>
        <v>2.704091038387936E-2</v>
      </c>
      <c r="H300" s="3">
        <f t="shared" si="282"/>
        <v>2.704088721032628E-2</v>
      </c>
      <c r="I300" s="3">
        <f t="shared" si="282"/>
        <v>2.7040655475887708E-2</v>
      </c>
      <c r="J300" s="3">
        <f t="shared" si="282"/>
        <v>2.7038338240724418E-2</v>
      </c>
      <c r="K300" s="3">
        <f t="shared" si="282"/>
        <v>2.7015176807869846E-2</v>
      </c>
      <c r="L300" s="3">
        <f t="shared" si="282"/>
        <v>2.6784650902919812E-2</v>
      </c>
      <c r="M300" s="3">
        <f t="shared" si="282"/>
        <v>2.4584860695006028E-2</v>
      </c>
      <c r="N300" s="3">
        <f t="shared" si="282"/>
        <v>1.0434829707543463E-2</v>
      </c>
      <c r="O300" s="3">
        <f t="shared" si="282"/>
        <v>1.9799832093910176E-6</v>
      </c>
      <c r="P300" s="3">
        <f t="shared" si="282"/>
        <v>1.1979065010151409E-43</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2.4600371351707135E-2</v>
      </c>
      <c r="C301" s="3">
        <f t="shared" si="283"/>
        <v>2.4600371351688115E-2</v>
      </c>
      <c r="D301" s="3">
        <f t="shared" si="283"/>
        <v>2.4600371351497938E-2</v>
      </c>
      <c r="E301" s="3">
        <f t="shared" si="283"/>
        <v>2.460037134959616E-2</v>
      </c>
      <c r="F301" s="3">
        <f t="shared" si="283"/>
        <v>2.4600371330578383E-2</v>
      </c>
      <c r="G301" s="3">
        <f t="shared" si="283"/>
        <v>2.4600371140400611E-2</v>
      </c>
      <c r="H301" s="3">
        <f t="shared" si="283"/>
        <v>2.4600369238622969E-2</v>
      </c>
      <c r="I301" s="3">
        <f t="shared" si="283"/>
        <v>2.4600350220854619E-2</v>
      </c>
      <c r="J301" s="3">
        <f t="shared" si="283"/>
        <v>2.4600160043979757E-2</v>
      </c>
      <c r="K301" s="3">
        <f t="shared" si="283"/>
        <v>2.4598258356089798E-2</v>
      </c>
      <c r="L301" s="3">
        <f t="shared" si="283"/>
        <v>2.4579249560747588E-2</v>
      </c>
      <c r="M301" s="3">
        <f t="shared" si="283"/>
        <v>2.4389967655651941E-2</v>
      </c>
      <c r="N301" s="3">
        <f t="shared" si="283"/>
        <v>2.2575494755741519E-2</v>
      </c>
      <c r="O301" s="3">
        <f t="shared" si="283"/>
        <v>1.0420721812222583E-2</v>
      </c>
      <c r="P301" s="3">
        <f t="shared" si="283"/>
        <v>4.5761795494173591E-6</v>
      </c>
      <c r="Q301" s="3">
        <f t="shared" si="283"/>
        <v>1.2205500492988251E-39</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2.6294191463797092E-2</v>
      </c>
      <c r="C302" s="3">
        <f t="shared" si="284"/>
        <v>2.6294191463795261E-2</v>
      </c>
      <c r="D302" s="3">
        <f t="shared" si="284"/>
        <v>2.6294191463776925E-2</v>
      </c>
      <c r="E302" s="3">
        <f t="shared" si="284"/>
        <v>2.6294191463593554E-2</v>
      </c>
      <c r="F302" s="3">
        <f t="shared" si="284"/>
        <v>2.6294191461759871E-2</v>
      </c>
      <c r="G302" s="3">
        <f t="shared" si="284"/>
        <v>2.6294191443423032E-2</v>
      </c>
      <c r="H302" s="3">
        <f t="shared" si="284"/>
        <v>2.6294191260054625E-2</v>
      </c>
      <c r="I302" s="3">
        <f t="shared" si="284"/>
        <v>2.6294189426370657E-2</v>
      </c>
      <c r="J302" s="3">
        <f t="shared" si="284"/>
        <v>2.6294171089537979E-2</v>
      </c>
      <c r="K302" s="3">
        <f t="shared" si="284"/>
        <v>2.6293987721914554E-2</v>
      </c>
      <c r="L302" s="3">
        <f t="shared" si="284"/>
        <v>2.6292154116010085E-2</v>
      </c>
      <c r="M302" s="3">
        <f t="shared" si="284"/>
        <v>2.6273825088131857E-2</v>
      </c>
      <c r="N302" s="3">
        <f t="shared" si="284"/>
        <v>2.6091236115136137E-2</v>
      </c>
      <c r="O302" s="3">
        <f t="shared" si="284"/>
        <v>2.4333700660672357E-2</v>
      </c>
      <c r="P302" s="3">
        <f t="shared" si="284"/>
        <v>1.2115552513817292E-2</v>
      </c>
      <c r="Q302" s="3">
        <f t="shared" si="284"/>
        <v>1.1342109997429452E-5</v>
      </c>
      <c r="R302" s="3">
        <f t="shared" si="284"/>
        <v>5.864083686477545E-36</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3.2623262585065468E-2</v>
      </c>
      <c r="C303" s="3">
        <f t="shared" si="285"/>
        <v>3.262326258506526E-2</v>
      </c>
      <c r="D303" s="3">
        <f t="shared" si="285"/>
        <v>3.2623262585063206E-2</v>
      </c>
      <c r="E303" s="3">
        <f t="shared" si="285"/>
        <v>3.2623262585042688E-2</v>
      </c>
      <c r="F303" s="3">
        <f t="shared" si="285"/>
        <v>3.2623262584837456E-2</v>
      </c>
      <c r="G303" s="3">
        <f t="shared" si="285"/>
        <v>3.2623262582785167E-2</v>
      </c>
      <c r="H303" s="3">
        <f t="shared" si="285"/>
        <v>3.2623262562262272E-2</v>
      </c>
      <c r="I303" s="3">
        <f t="shared" si="285"/>
        <v>3.2623262357033299E-2</v>
      </c>
      <c r="J303" s="3">
        <f t="shared" si="285"/>
        <v>3.2623260304743662E-2</v>
      </c>
      <c r="K303" s="3">
        <f t="shared" si="285"/>
        <v>3.2623239781854399E-2</v>
      </c>
      <c r="L303" s="3">
        <f t="shared" si="285"/>
        <v>3.2623034553671819E-2</v>
      </c>
      <c r="M303" s="3">
        <f t="shared" si="285"/>
        <v>3.2620982342853051E-2</v>
      </c>
      <c r="N303" s="3">
        <f t="shared" si="285"/>
        <v>3.2600467333716798E-2</v>
      </c>
      <c r="O303" s="3">
        <f t="shared" si="285"/>
        <v>3.2396025497879385E-2</v>
      </c>
      <c r="P303" s="3">
        <f t="shared" si="285"/>
        <v>3.0420811512264723E-2</v>
      </c>
      <c r="Q303" s="3">
        <f t="shared" si="285"/>
        <v>1.6216660552373786E-2</v>
      </c>
      <c r="R303" s="3">
        <f t="shared" si="285"/>
        <v>3.0051609404460075E-5</v>
      </c>
      <c r="S303" s="3">
        <f t="shared" si="285"/>
        <v>1.4352608172238589E-32</v>
      </c>
      <c r="T303" s="3">
        <f t="shared" si="285"/>
        <v>8.8626125058296577E-306</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8.8496332073838391E-2</v>
      </c>
      <c r="C304" s="3">
        <f t="shared" si="286"/>
        <v>8.8496332073838349E-2</v>
      </c>
      <c r="D304" s="3">
        <f t="shared" si="286"/>
        <v>8.8496332073837849E-2</v>
      </c>
      <c r="E304" s="3">
        <f t="shared" si="286"/>
        <v>8.8496332073832826E-2</v>
      </c>
      <c r="F304" s="3">
        <f t="shared" si="286"/>
        <v>8.8496332073782602E-2</v>
      </c>
      <c r="G304" s="3">
        <f t="shared" si="286"/>
        <v>8.8496332073280407E-2</v>
      </c>
      <c r="H304" s="3">
        <f t="shared" si="286"/>
        <v>8.8496332068258327E-2</v>
      </c>
      <c r="I304" s="3">
        <f t="shared" si="286"/>
        <v>8.8496332018037582E-2</v>
      </c>
      <c r="J304" s="3">
        <f t="shared" si="286"/>
        <v>8.849633151583014E-2</v>
      </c>
      <c r="K304" s="3">
        <f t="shared" si="286"/>
        <v>8.8496326493755953E-2</v>
      </c>
      <c r="L304" s="3">
        <f t="shared" si="286"/>
        <v>8.8496276273029792E-2</v>
      </c>
      <c r="M304" s="3">
        <f t="shared" si="286"/>
        <v>8.8495774067335553E-2</v>
      </c>
      <c r="N304" s="3">
        <f t="shared" si="286"/>
        <v>8.8490752167138073E-2</v>
      </c>
      <c r="O304" s="3">
        <f t="shared" si="286"/>
        <v>8.8440548836367858E-2</v>
      </c>
      <c r="P304" s="3">
        <f t="shared" si="286"/>
        <v>8.7940079363608453E-2</v>
      </c>
      <c r="Q304" s="3">
        <f t="shared" si="286"/>
        <v>8.3088533776550733E-2</v>
      </c>
      <c r="R304" s="3">
        <f t="shared" si="286"/>
        <v>4.7106790479688965E-2</v>
      </c>
      <c r="S304" s="3">
        <f t="shared" si="286"/>
        <v>1.6162469496134576E-4</v>
      </c>
      <c r="T304" s="3">
        <f t="shared" si="286"/>
        <v>3.6538418465405181E-29</v>
      </c>
      <c r="U304" s="3">
        <f t="shared" si="286"/>
        <v>1.2740017265156796E-275</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9.9309249865316016E-2</v>
      </c>
      <c r="C305" s="3">
        <f t="shared" si="287"/>
        <v>9.9309249865316002E-2</v>
      </c>
      <c r="D305" s="3">
        <f t="shared" si="287"/>
        <v>9.930924986531596E-2</v>
      </c>
      <c r="E305" s="3">
        <f t="shared" si="287"/>
        <v>9.9309249865315447E-2</v>
      </c>
      <c r="F305" s="3">
        <f t="shared" si="287"/>
        <v>9.9309249865310367E-2</v>
      </c>
      <c r="G305" s="3">
        <f t="shared" si="287"/>
        <v>9.9309249865259533E-2</v>
      </c>
      <c r="H305" s="3">
        <f t="shared" si="287"/>
        <v>9.9309249864751148E-2</v>
      </c>
      <c r="I305" s="3">
        <f t="shared" si="287"/>
        <v>9.9309249859667284E-2</v>
      </c>
      <c r="J305" s="3">
        <f t="shared" si="287"/>
        <v>9.9309249808828604E-2</v>
      </c>
      <c r="K305" s="3">
        <f t="shared" si="287"/>
        <v>9.9309249300441924E-2</v>
      </c>
      <c r="L305" s="3">
        <f t="shared" si="287"/>
        <v>9.9309244216575332E-2</v>
      </c>
      <c r="M305" s="3">
        <f t="shared" si="287"/>
        <v>9.9309193377923571E-2</v>
      </c>
      <c r="N305" s="3">
        <f t="shared" si="287"/>
        <v>9.9308684992837432E-2</v>
      </c>
      <c r="O305" s="3">
        <f t="shared" si="287"/>
        <v>9.9303601285113063E-2</v>
      </c>
      <c r="P305" s="3">
        <f t="shared" si="287"/>
        <v>9.9252778518867199E-2</v>
      </c>
      <c r="Q305" s="3">
        <f t="shared" si="287"/>
        <v>9.8745979249219878E-2</v>
      </c>
      <c r="R305" s="3">
        <f t="shared" si="287"/>
        <v>9.3818156942759731E-2</v>
      </c>
      <c r="S305" s="3">
        <f t="shared" si="287"/>
        <v>5.6229167908319527E-2</v>
      </c>
      <c r="T305" s="3">
        <f t="shared" si="287"/>
        <v>3.3628636175388958E-4</v>
      </c>
      <c r="U305" s="3">
        <f t="shared" si="287"/>
        <v>1.9687258038286289E-26</v>
      </c>
      <c r="V305" s="3">
        <f t="shared" si="287"/>
        <v>9.309900139630178E-249</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7.4938076557470937E-2</v>
      </c>
      <c r="C306" s="3">
        <f t="shared" si="288"/>
        <v>7.4938076557470937E-2</v>
      </c>
      <c r="D306" s="3">
        <f t="shared" si="288"/>
        <v>7.4938076557470937E-2</v>
      </c>
      <c r="E306" s="3">
        <f t="shared" si="288"/>
        <v>7.4938076557470895E-2</v>
      </c>
      <c r="F306" s="3">
        <f t="shared" si="288"/>
        <v>7.4938076557470548E-2</v>
      </c>
      <c r="G306" s="3">
        <f t="shared" si="288"/>
        <v>7.4938076557467093E-2</v>
      </c>
      <c r="H306" s="3">
        <f t="shared" si="288"/>
        <v>7.4938076557432481E-2</v>
      </c>
      <c r="I306" s="3">
        <f t="shared" si="288"/>
        <v>7.4938076557086425E-2</v>
      </c>
      <c r="J306" s="3">
        <f t="shared" si="288"/>
        <v>7.4938076553625804E-2</v>
      </c>
      <c r="K306" s="3">
        <f t="shared" si="288"/>
        <v>7.4938076519019639E-2</v>
      </c>
      <c r="L306" s="3">
        <f t="shared" si="288"/>
        <v>7.493807617295789E-2</v>
      </c>
      <c r="M306" s="3">
        <f t="shared" si="288"/>
        <v>7.4938072712340556E-2</v>
      </c>
      <c r="N306" s="3">
        <f t="shared" si="288"/>
        <v>7.4938038106175955E-2</v>
      </c>
      <c r="O306" s="3">
        <f t="shared" si="288"/>
        <v>7.4937692045408913E-2</v>
      </c>
      <c r="P306" s="3">
        <f t="shared" si="288"/>
        <v>7.49342315256325E-2</v>
      </c>
      <c r="Q306" s="3">
        <f t="shared" si="288"/>
        <v>7.4899635115763821E-2</v>
      </c>
      <c r="R306" s="3">
        <f t="shared" si="288"/>
        <v>7.4554548306935989E-2</v>
      </c>
      <c r="S306" s="3">
        <f t="shared" si="288"/>
        <v>7.1189928560279406E-2</v>
      </c>
      <c r="T306" s="3">
        <f t="shared" si="288"/>
        <v>4.486035383729714E-2</v>
      </c>
      <c r="U306" s="3">
        <f t="shared" si="288"/>
        <v>4.4289835912105256E-4</v>
      </c>
      <c r="V306" s="3">
        <f t="shared" si="288"/>
        <v>3.8968872145662308E-24</v>
      </c>
      <c r="W306" s="3">
        <f t="shared" si="288"/>
        <v>1.0835662958094318E-224</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6.9322857874701022E-2</v>
      </c>
      <c r="C307" s="3">
        <f t="shared" si="289"/>
        <v>6.9322857874701022E-2</v>
      </c>
      <c r="D307" s="3">
        <f t="shared" si="289"/>
        <v>6.9322857874701022E-2</v>
      </c>
      <c r="E307" s="3">
        <f t="shared" si="289"/>
        <v>6.9322857874701022E-2</v>
      </c>
      <c r="F307" s="3">
        <f t="shared" si="289"/>
        <v>6.9322857874700994E-2</v>
      </c>
      <c r="G307" s="3">
        <f t="shared" si="289"/>
        <v>6.9322857874700702E-2</v>
      </c>
      <c r="H307" s="3">
        <f t="shared" si="289"/>
        <v>6.9322857874697816E-2</v>
      </c>
      <c r="I307" s="3">
        <f t="shared" si="289"/>
        <v>6.9322857874668936E-2</v>
      </c>
      <c r="J307" s="3">
        <f t="shared" si="289"/>
        <v>6.9322857874380153E-2</v>
      </c>
      <c r="K307" s="3">
        <f t="shared" si="289"/>
        <v>6.932285787149231E-2</v>
      </c>
      <c r="L307" s="3">
        <f t="shared" si="289"/>
        <v>6.9322857842613841E-2</v>
      </c>
      <c r="M307" s="3">
        <f t="shared" si="289"/>
        <v>6.9322857553829192E-2</v>
      </c>
      <c r="N307" s="3">
        <f t="shared" si="289"/>
        <v>6.93228546659828E-2</v>
      </c>
      <c r="O307" s="3">
        <f t="shared" si="289"/>
        <v>6.9322825787525549E-2</v>
      </c>
      <c r="P307" s="3">
        <f t="shared" si="289"/>
        <v>6.932253700361464E-2</v>
      </c>
      <c r="Q307" s="3">
        <f t="shared" si="289"/>
        <v>6.9319649230670327E-2</v>
      </c>
      <c r="R307" s="3">
        <f t="shared" si="289"/>
        <v>6.9290778116687227E-2</v>
      </c>
      <c r="S307" s="3">
        <f t="shared" si="289"/>
        <v>6.9002727504332159E-2</v>
      </c>
      <c r="T307" s="3">
        <f t="shared" si="289"/>
        <v>6.6187267273799019E-2</v>
      </c>
      <c r="U307" s="3">
        <f t="shared" si="289"/>
        <v>4.3637149942065849E-2</v>
      </c>
      <c r="V307" s="3">
        <f t="shared" si="289"/>
        <v>6.7713560929115143E-4</v>
      </c>
      <c r="W307" s="3">
        <f t="shared" si="289"/>
        <v>5.4811085771042797E-22</v>
      </c>
      <c r="X307" s="3">
        <f t="shared" si="289"/>
        <v>6.6190540329790678E-203</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2.2465875921068256E-2</v>
      </c>
      <c r="C308" s="3">
        <f t="shared" si="290"/>
        <v>2.2465875921068256E-2</v>
      </c>
      <c r="D308" s="3">
        <f t="shared" si="290"/>
        <v>2.2465875921068256E-2</v>
      </c>
      <c r="E308" s="3">
        <f t="shared" si="290"/>
        <v>2.2465875921068256E-2</v>
      </c>
      <c r="F308" s="3">
        <f t="shared" si="290"/>
        <v>2.2465875921068256E-2</v>
      </c>
      <c r="G308" s="3">
        <f t="shared" si="290"/>
        <v>2.2465875921068246E-2</v>
      </c>
      <c r="H308" s="3">
        <f t="shared" si="290"/>
        <v>2.2465875921068162E-2</v>
      </c>
      <c r="I308" s="3">
        <f t="shared" si="290"/>
        <v>2.2465875921067319E-2</v>
      </c>
      <c r="J308" s="3">
        <f t="shared" si="290"/>
        <v>2.2465875921058875E-2</v>
      </c>
      <c r="K308" s="3">
        <f t="shared" si="290"/>
        <v>2.2465875920974453E-2</v>
      </c>
      <c r="L308" s="3">
        <f t="shared" si="290"/>
        <v>2.2465875920130208E-2</v>
      </c>
      <c r="M308" s="3">
        <f t="shared" si="290"/>
        <v>2.2465875911687777E-2</v>
      </c>
      <c r="N308" s="3">
        <f t="shared" si="290"/>
        <v>2.2465875827263452E-2</v>
      </c>
      <c r="O308" s="3">
        <f t="shared" si="290"/>
        <v>2.2465874983020242E-2</v>
      </c>
      <c r="P308" s="3">
        <f t="shared" si="290"/>
        <v>2.2465866540589862E-2</v>
      </c>
      <c r="Q308" s="3">
        <f t="shared" si="290"/>
        <v>2.2465782116460557E-2</v>
      </c>
      <c r="R308" s="3">
        <f t="shared" si="290"/>
        <v>2.2464937892616398E-2</v>
      </c>
      <c r="S308" s="3">
        <f t="shared" si="290"/>
        <v>2.2456497398821225E-2</v>
      </c>
      <c r="T308" s="3">
        <f t="shared" si="290"/>
        <v>2.2372266683173051E-2</v>
      </c>
      <c r="U308" s="3">
        <f t="shared" si="290"/>
        <v>2.1547141930592945E-2</v>
      </c>
      <c r="V308" s="3">
        <f t="shared" si="290"/>
        <v>1.4797437695302488E-2</v>
      </c>
      <c r="W308" s="3">
        <f t="shared" si="290"/>
        <v>3.4526694093495658E-4</v>
      </c>
      <c r="X308" s="3">
        <f t="shared" si="290"/>
        <v>1.6513524152696487E-20</v>
      </c>
      <c r="Y308" s="3">
        <f t="shared" si="290"/>
        <v>1.0343974857460442E-183</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5.8329528880761261E-2</v>
      </c>
      <c r="C309" s="3">
        <f t="shared" si="291"/>
        <v>5.8329528880761261E-2</v>
      </c>
      <c r="D309" s="3">
        <f t="shared" si="291"/>
        <v>5.8329528880761261E-2</v>
      </c>
      <c r="E309" s="3">
        <f t="shared" si="291"/>
        <v>5.8329528880761261E-2</v>
      </c>
      <c r="F309" s="3">
        <f t="shared" si="291"/>
        <v>5.8329528880761261E-2</v>
      </c>
      <c r="G309" s="3">
        <f t="shared" si="291"/>
        <v>5.8329528880761254E-2</v>
      </c>
      <c r="H309" s="3">
        <f t="shared" si="291"/>
        <v>5.8329528880761199E-2</v>
      </c>
      <c r="I309" s="3">
        <f t="shared" si="291"/>
        <v>5.8329528880760588E-2</v>
      </c>
      <c r="J309" s="3">
        <f t="shared" si="291"/>
        <v>5.8329528880754523E-2</v>
      </c>
      <c r="K309" s="3">
        <f t="shared" si="291"/>
        <v>5.8329528880693898E-2</v>
      </c>
      <c r="L309" s="3">
        <f t="shared" si="291"/>
        <v>5.8329528880087661E-2</v>
      </c>
      <c r="M309" s="3">
        <f t="shared" si="291"/>
        <v>5.8329528874025247E-2</v>
      </c>
      <c r="N309" s="3">
        <f t="shared" si="291"/>
        <v>5.8329528813401109E-2</v>
      </c>
      <c r="O309" s="3">
        <f t="shared" si="291"/>
        <v>5.8329528207159753E-2</v>
      </c>
      <c r="P309" s="3">
        <f t="shared" si="291"/>
        <v>5.8329522144746543E-2</v>
      </c>
      <c r="Q309" s="3">
        <f t="shared" si="291"/>
        <v>5.8329461520649051E-2</v>
      </c>
      <c r="R309" s="3">
        <f t="shared" si="291"/>
        <v>5.8328855283139601E-2</v>
      </c>
      <c r="S309" s="3">
        <f t="shared" si="291"/>
        <v>5.8322793254579883E-2</v>
      </c>
      <c r="T309" s="3">
        <f t="shared" si="291"/>
        <v>5.8262207609134968E-2</v>
      </c>
      <c r="U309" s="3">
        <f t="shared" si="291"/>
        <v>5.7659801885813905E-2</v>
      </c>
      <c r="V309" s="3">
        <f t="shared" si="291"/>
        <v>5.1967908692132074E-2</v>
      </c>
      <c r="W309" s="3">
        <f t="shared" si="291"/>
        <v>1.8380451840306074E-2</v>
      </c>
      <c r="X309" s="3">
        <f t="shared" si="291"/>
        <v>5.6307418193672357E-7</v>
      </c>
      <c r="Y309" s="3">
        <f t="shared" si="291"/>
        <v>4.0988301960357544E-52</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3.4551716494444183E-2</v>
      </c>
      <c r="C310" s="3">
        <f t="shared" si="292"/>
        <v>3.4551716494444183E-2</v>
      </c>
      <c r="D310" s="3">
        <f t="shared" si="292"/>
        <v>3.4551716494444183E-2</v>
      </c>
      <c r="E310" s="3">
        <f t="shared" si="292"/>
        <v>3.4551716494444183E-2</v>
      </c>
      <c r="F310" s="3">
        <f t="shared" si="292"/>
        <v>3.4551716494444183E-2</v>
      </c>
      <c r="G310" s="3">
        <f t="shared" si="292"/>
        <v>3.4551716494444183E-2</v>
      </c>
      <c r="H310" s="3">
        <f t="shared" si="292"/>
        <v>3.4551716494444176E-2</v>
      </c>
      <c r="I310" s="3">
        <f t="shared" si="292"/>
        <v>3.4551716494444142E-2</v>
      </c>
      <c r="J310" s="3">
        <f t="shared" si="292"/>
        <v>3.4551716494443788E-2</v>
      </c>
      <c r="K310" s="3">
        <f t="shared" si="292"/>
        <v>3.4551716494440193E-2</v>
      </c>
      <c r="L310" s="3">
        <f t="shared" si="292"/>
        <v>3.4551716494404278E-2</v>
      </c>
      <c r="M310" s="3">
        <f t="shared" si="292"/>
        <v>3.4551716494045176E-2</v>
      </c>
      <c r="N310" s="3">
        <f t="shared" si="292"/>
        <v>3.4551716490454076E-2</v>
      </c>
      <c r="O310" s="3">
        <f t="shared" si="292"/>
        <v>3.4551716454543142E-2</v>
      </c>
      <c r="P310" s="3">
        <f t="shared" si="292"/>
        <v>3.4551716095433789E-2</v>
      </c>
      <c r="Q310" s="3">
        <f t="shared" si="292"/>
        <v>3.455171250434045E-2</v>
      </c>
      <c r="R310" s="3">
        <f t="shared" si="292"/>
        <v>3.4551676593427581E-2</v>
      </c>
      <c r="S310" s="3">
        <f t="shared" si="292"/>
        <v>3.4551317486351686E-2</v>
      </c>
      <c r="T310" s="3">
        <f t="shared" si="292"/>
        <v>3.4547726620863903E-2</v>
      </c>
      <c r="U310" s="3">
        <f t="shared" si="292"/>
        <v>3.4511838485210951E-2</v>
      </c>
      <c r="V310" s="3">
        <f t="shared" si="292"/>
        <v>3.4155001182283838E-2</v>
      </c>
      <c r="W310" s="3">
        <f t="shared" si="292"/>
        <v>3.0783386774994894E-2</v>
      </c>
      <c r="X310" s="3">
        <f t="shared" si="292"/>
        <v>1.0887729992201368E-2</v>
      </c>
      <c r="Y310" s="3">
        <f t="shared" si="292"/>
        <v>3.3353911600056881E-7</v>
      </c>
      <c r="Z310" s="3">
        <f t="shared" si="292"/>
        <v>2.4279575304268454E-52</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3.2785105338059839E-2</v>
      </c>
      <c r="C311" s="3">
        <f t="shared" si="293"/>
        <v>3.2785105338059839E-2</v>
      </c>
      <c r="D311" s="3">
        <f t="shared" si="293"/>
        <v>3.2785105338059839E-2</v>
      </c>
      <c r="E311" s="3">
        <f t="shared" si="293"/>
        <v>3.2785105338059839E-2</v>
      </c>
      <c r="F311" s="3">
        <f t="shared" si="293"/>
        <v>3.2785105338059839E-2</v>
      </c>
      <c r="G311" s="3">
        <f t="shared" si="293"/>
        <v>3.2785105338059839E-2</v>
      </c>
      <c r="H311" s="3">
        <f t="shared" si="293"/>
        <v>3.2785105338059839E-2</v>
      </c>
      <c r="I311" s="3">
        <f t="shared" si="293"/>
        <v>3.2785105338059832E-2</v>
      </c>
      <c r="J311" s="3">
        <f t="shared" si="293"/>
        <v>3.2785105338059804E-2</v>
      </c>
      <c r="K311" s="3">
        <f t="shared" si="293"/>
        <v>3.2785105338059457E-2</v>
      </c>
      <c r="L311" s="3">
        <f t="shared" si="293"/>
        <v>3.278510533805605E-2</v>
      </c>
      <c r="M311" s="3">
        <f t="shared" si="293"/>
        <v>3.278510533802198E-2</v>
      </c>
      <c r="N311" s="3">
        <f t="shared" si="293"/>
        <v>3.2785105337681232E-2</v>
      </c>
      <c r="O311" s="3">
        <f t="shared" si="293"/>
        <v>3.2785105334273749E-2</v>
      </c>
      <c r="P311" s="3">
        <f t="shared" si="293"/>
        <v>3.2785105300198916E-2</v>
      </c>
      <c r="Q311" s="3">
        <f t="shared" si="293"/>
        <v>3.2785104959450632E-2</v>
      </c>
      <c r="R311" s="3">
        <f t="shared" si="293"/>
        <v>3.2785101551968017E-2</v>
      </c>
      <c r="S311" s="3">
        <f t="shared" si="293"/>
        <v>3.2785067477161305E-2</v>
      </c>
      <c r="T311" s="3">
        <f t="shared" si="293"/>
        <v>3.2784726731041998E-2</v>
      </c>
      <c r="U311" s="3">
        <f t="shared" si="293"/>
        <v>3.2781319464624689E-2</v>
      </c>
      <c r="V311" s="3">
        <f t="shared" si="293"/>
        <v>3.2747266270539303E-2</v>
      </c>
      <c r="W311" s="3">
        <f t="shared" si="293"/>
        <v>3.2408673871898393E-2</v>
      </c>
      <c r="X311" s="3">
        <f t="shared" si="293"/>
        <v>2.9209448342247431E-2</v>
      </c>
      <c r="Y311" s="3">
        <f t="shared" si="293"/>
        <v>1.0331046063777258E-2</v>
      </c>
      <c r="Z311" s="3">
        <f t="shared" si="293"/>
        <v>3.1648543580173051E-7</v>
      </c>
      <c r="AA311" s="3">
        <f t="shared" si="293"/>
        <v>2.3038173343480444E-52</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1.3184627495592977E-2</v>
      </c>
      <c r="C312" s="3">
        <f t="shared" si="294"/>
        <v>1.3184627495592977E-2</v>
      </c>
      <c r="D312" s="3">
        <f t="shared" si="294"/>
        <v>1.3184627495592977E-2</v>
      </c>
      <c r="E312" s="3">
        <f t="shared" si="294"/>
        <v>1.3184627495592977E-2</v>
      </c>
      <c r="F312" s="3">
        <f t="shared" si="294"/>
        <v>1.3184627495592977E-2</v>
      </c>
      <c r="G312" s="3">
        <f t="shared" si="294"/>
        <v>1.3184627495592977E-2</v>
      </c>
      <c r="H312" s="3">
        <f t="shared" si="294"/>
        <v>1.3184627495592977E-2</v>
      </c>
      <c r="I312" s="3">
        <f t="shared" si="294"/>
        <v>1.3184627495592977E-2</v>
      </c>
      <c r="J312" s="3">
        <f t="shared" si="294"/>
        <v>1.3184627495592975E-2</v>
      </c>
      <c r="K312" s="3">
        <f t="shared" si="294"/>
        <v>1.3184627495592963E-2</v>
      </c>
      <c r="L312" s="3">
        <f t="shared" si="294"/>
        <v>1.3184627495592825E-2</v>
      </c>
      <c r="M312" s="3">
        <f t="shared" si="294"/>
        <v>1.3184627495591454E-2</v>
      </c>
      <c r="N312" s="3">
        <f t="shared" si="294"/>
        <v>1.3184627495577752E-2</v>
      </c>
      <c r="O312" s="3">
        <f t="shared" si="294"/>
        <v>1.3184627495440719E-2</v>
      </c>
      <c r="P312" s="3">
        <f t="shared" si="294"/>
        <v>1.318462749407039E-2</v>
      </c>
      <c r="Q312" s="3">
        <f t="shared" si="294"/>
        <v>1.3184627480367096E-2</v>
      </c>
      <c r="R312" s="3">
        <f t="shared" si="294"/>
        <v>1.3184627343334162E-2</v>
      </c>
      <c r="S312" s="3">
        <f t="shared" si="294"/>
        <v>1.3184625973004906E-2</v>
      </c>
      <c r="T312" s="3">
        <f t="shared" si="294"/>
        <v>1.3184612269720172E-2</v>
      </c>
      <c r="U312" s="3">
        <f t="shared" si="294"/>
        <v>1.3184475237656149E-2</v>
      </c>
      <c r="V312" s="3">
        <f t="shared" si="294"/>
        <v>1.3183104995345588E-2</v>
      </c>
      <c r="W312" s="3">
        <f t="shared" si="294"/>
        <v>1.3169410402193564E-2</v>
      </c>
      <c r="X312" s="3">
        <f t="shared" si="294"/>
        <v>1.303324446333543E-2</v>
      </c>
      <c r="Y312" s="3">
        <f t="shared" si="294"/>
        <v>1.174666641370287E-2</v>
      </c>
      <c r="Z312" s="3">
        <f t="shared" si="294"/>
        <v>4.1546608615769644E-3</v>
      </c>
      <c r="AA312" s="3">
        <f t="shared" si="294"/>
        <v>1.2727555808649897E-7</v>
      </c>
      <c r="AB312" s="3">
        <f t="shared" si="294"/>
        <v>9.2648698419788214E-53</v>
      </c>
      <c r="AC312" s="3">
        <f t="shared" si="294"/>
        <v>0</v>
      </c>
      <c r="AD312" s="3">
        <f t="shared" si="294"/>
        <v>0</v>
      </c>
      <c r="AE312" s="3">
        <f t="shared" si="294"/>
        <v>0</v>
      </c>
      <c r="AF312" s="3">
        <f t="shared" si="294"/>
        <v>0</v>
      </c>
      <c r="AG312" s="3"/>
      <c r="AH312" s="3"/>
    </row>
    <row r="313" spans="1:34" x14ac:dyDescent="0.25">
      <c r="B313" s="3">
        <f t="shared" ref="B313:AF313" si="295">$C43*EXP(-B$285/$A43/EXP(-$F$126))</f>
        <v>9.0966723550024858E-3</v>
      </c>
      <c r="C313" s="3">
        <f t="shared" si="295"/>
        <v>9.0966723550024858E-3</v>
      </c>
      <c r="D313" s="3">
        <f t="shared" si="295"/>
        <v>9.0966723550024858E-3</v>
      </c>
      <c r="E313" s="3">
        <f t="shared" si="295"/>
        <v>9.0966723550024858E-3</v>
      </c>
      <c r="F313" s="3">
        <f t="shared" si="295"/>
        <v>9.0966723550024858E-3</v>
      </c>
      <c r="G313" s="3">
        <f t="shared" si="295"/>
        <v>9.0966723550024858E-3</v>
      </c>
      <c r="H313" s="3">
        <f t="shared" si="295"/>
        <v>9.0966723550024858E-3</v>
      </c>
      <c r="I313" s="3">
        <f t="shared" si="295"/>
        <v>9.0966723550024858E-3</v>
      </c>
      <c r="J313" s="3">
        <f t="shared" si="295"/>
        <v>9.0966723550024858E-3</v>
      </c>
      <c r="K313" s="3">
        <f t="shared" si="295"/>
        <v>9.0966723550024841E-3</v>
      </c>
      <c r="L313" s="3">
        <f t="shared" si="295"/>
        <v>9.0966723550024754E-3</v>
      </c>
      <c r="M313" s="3">
        <f t="shared" si="295"/>
        <v>9.09667235500238E-3</v>
      </c>
      <c r="N313" s="3">
        <f t="shared" si="295"/>
        <v>9.0966723550014363E-3</v>
      </c>
      <c r="O313" s="3">
        <f t="shared" si="295"/>
        <v>9.0966723549919803E-3</v>
      </c>
      <c r="P313" s="3">
        <f t="shared" si="295"/>
        <v>9.0966723548974362E-3</v>
      </c>
      <c r="Q313" s="3">
        <f t="shared" si="295"/>
        <v>9.0966723539519841E-3</v>
      </c>
      <c r="R313" s="3">
        <f t="shared" si="295"/>
        <v>9.0966723444974602E-3</v>
      </c>
      <c r="S313" s="3">
        <f t="shared" si="295"/>
        <v>9.0966722499522257E-3</v>
      </c>
      <c r="T313" s="3">
        <f t="shared" si="295"/>
        <v>9.0966713044999346E-3</v>
      </c>
      <c r="U313" s="3">
        <f t="shared" si="295"/>
        <v>9.0966618499824323E-3</v>
      </c>
      <c r="V313" s="3">
        <f t="shared" si="295"/>
        <v>9.0965673053478614E-3</v>
      </c>
      <c r="W313" s="3">
        <f t="shared" si="295"/>
        <v>9.095621913045325E-3</v>
      </c>
      <c r="X313" s="3">
        <f t="shared" si="295"/>
        <v>9.0861733922599896E-3</v>
      </c>
      <c r="Y313" s="3">
        <f t="shared" si="295"/>
        <v>8.9922263367123237E-3</v>
      </c>
      <c r="Z313" s="3">
        <f t="shared" si="295"/>
        <v>8.1045578014763073E-3</v>
      </c>
      <c r="AA313" s="3">
        <f t="shared" si="295"/>
        <v>2.8664889179880631E-3</v>
      </c>
      <c r="AB313" s="3">
        <f t="shared" si="295"/>
        <v>8.7813178726510314E-8</v>
      </c>
      <c r="AC313" s="3">
        <f t="shared" si="295"/>
        <v>6.3922538116754381E-53</v>
      </c>
      <c r="AD313" s="3">
        <f t="shared" si="295"/>
        <v>0</v>
      </c>
      <c r="AE313" s="3">
        <f t="shared" si="295"/>
        <v>0</v>
      </c>
      <c r="AF313" s="3">
        <f t="shared" si="295"/>
        <v>0</v>
      </c>
      <c r="AG313" s="3"/>
      <c r="AH313" s="3"/>
    </row>
    <row r="314" spans="1:34" x14ac:dyDescent="0.25">
      <c r="B314" s="3">
        <f t="shared" ref="B314:AF314" si="296">$C44*EXP(-B$285/$A44/EXP(-$F$126))</f>
        <v>3.0393849329234364E-3</v>
      </c>
      <c r="C314" s="3">
        <f t="shared" si="296"/>
        <v>3.0393849329234364E-3</v>
      </c>
      <c r="D314" s="3">
        <f t="shared" si="296"/>
        <v>3.0393849329234364E-3</v>
      </c>
      <c r="E314" s="3">
        <f t="shared" si="296"/>
        <v>3.0393849329234364E-3</v>
      </c>
      <c r="F314" s="3">
        <f t="shared" si="296"/>
        <v>3.0393849329234364E-3</v>
      </c>
      <c r="G314" s="3">
        <f t="shared" si="296"/>
        <v>3.0393849329234364E-3</v>
      </c>
      <c r="H314" s="3">
        <f t="shared" si="296"/>
        <v>3.0393849329234364E-3</v>
      </c>
      <c r="I314" s="3">
        <f t="shared" si="296"/>
        <v>3.0393849329234364E-3</v>
      </c>
      <c r="J314" s="3">
        <f t="shared" si="296"/>
        <v>3.0393849329234364E-3</v>
      </c>
      <c r="K314" s="3">
        <f t="shared" si="296"/>
        <v>3.0393849329234364E-3</v>
      </c>
      <c r="L314" s="3">
        <f t="shared" si="296"/>
        <v>3.039384932923436E-3</v>
      </c>
      <c r="M314" s="3">
        <f t="shared" si="296"/>
        <v>3.039384932923433E-3</v>
      </c>
      <c r="N314" s="3">
        <f t="shared" si="296"/>
        <v>3.0393849329234013E-3</v>
      </c>
      <c r="O314" s="3">
        <f t="shared" si="296"/>
        <v>3.0393849329230856E-3</v>
      </c>
      <c r="P314" s="3">
        <f t="shared" si="296"/>
        <v>3.0393849329199262E-3</v>
      </c>
      <c r="Q314" s="3">
        <f t="shared" si="296"/>
        <v>3.0393849328883369E-3</v>
      </c>
      <c r="R314" s="3">
        <f t="shared" si="296"/>
        <v>3.039384932572442E-3</v>
      </c>
      <c r="S314" s="3">
        <f t="shared" si="296"/>
        <v>3.0393849294134915E-3</v>
      </c>
      <c r="T314" s="3">
        <f t="shared" si="296"/>
        <v>3.0393848978239883E-3</v>
      </c>
      <c r="U314" s="3">
        <f t="shared" si="296"/>
        <v>3.0393845819289738E-3</v>
      </c>
      <c r="V314" s="3">
        <f t="shared" si="296"/>
        <v>3.0393814229806326E-3</v>
      </c>
      <c r="W314" s="3">
        <f t="shared" si="296"/>
        <v>3.0393498336777985E-3</v>
      </c>
      <c r="X314" s="3">
        <f t="shared" si="296"/>
        <v>3.0390339587063921E-3</v>
      </c>
      <c r="Y314" s="3">
        <f t="shared" si="296"/>
        <v>3.0358770139915954E-3</v>
      </c>
      <c r="Z314" s="3">
        <f t="shared" si="296"/>
        <v>3.0044873745739384E-3</v>
      </c>
      <c r="AA314" s="3">
        <f t="shared" si="296"/>
        <v>2.7078990985388136E-3</v>
      </c>
      <c r="AB314" s="3">
        <f t="shared" si="296"/>
        <v>9.5775277900756513E-4</v>
      </c>
      <c r="AC314" s="3">
        <f t="shared" si="296"/>
        <v>2.9340185280686121E-8</v>
      </c>
      <c r="AD314" s="3">
        <f t="shared" si="296"/>
        <v>2.1357831924049134E-53</v>
      </c>
      <c r="AE314" s="3">
        <f t="shared" si="296"/>
        <v>0</v>
      </c>
      <c r="AF314" s="3">
        <f t="shared" si="296"/>
        <v>0</v>
      </c>
      <c r="AG314" s="3"/>
      <c r="AH314" s="3"/>
    </row>
    <row r="315" spans="1:34" x14ac:dyDescent="0.25">
      <c r="B315" s="3">
        <f t="shared" ref="B315:AF315" si="297">$C45*EXP(-B$285/$A45/EXP(-$F$126))</f>
        <v>2.6495422897411186E-3</v>
      </c>
      <c r="C315" s="3">
        <f t="shared" si="297"/>
        <v>2.6495422897411186E-3</v>
      </c>
      <c r="D315" s="3">
        <f t="shared" si="297"/>
        <v>2.6495422897411186E-3</v>
      </c>
      <c r="E315" s="3">
        <f t="shared" si="297"/>
        <v>2.6495422897411186E-3</v>
      </c>
      <c r="F315" s="3">
        <f t="shared" si="297"/>
        <v>2.6495422897411186E-3</v>
      </c>
      <c r="G315" s="3">
        <f t="shared" si="297"/>
        <v>2.6495422897411186E-3</v>
      </c>
      <c r="H315" s="3">
        <f t="shared" si="297"/>
        <v>2.6495422897411186E-3</v>
      </c>
      <c r="I315" s="3">
        <f t="shared" si="297"/>
        <v>2.6495422897411186E-3</v>
      </c>
      <c r="J315" s="3">
        <f t="shared" si="297"/>
        <v>2.6495422897411186E-3</v>
      </c>
      <c r="K315" s="3">
        <f t="shared" si="297"/>
        <v>2.6495422897411186E-3</v>
      </c>
      <c r="L315" s="3">
        <f t="shared" si="297"/>
        <v>2.6495422897411186E-3</v>
      </c>
      <c r="M315" s="3">
        <f t="shared" si="297"/>
        <v>2.6495422897411182E-3</v>
      </c>
      <c r="N315" s="3">
        <f t="shared" si="297"/>
        <v>2.6495422897411156E-3</v>
      </c>
      <c r="O315" s="3">
        <f t="shared" si="297"/>
        <v>2.6495422897410878E-3</v>
      </c>
      <c r="P315" s="3">
        <f t="shared" si="297"/>
        <v>2.6495422897408129E-3</v>
      </c>
      <c r="Q315" s="3">
        <f t="shared" si="297"/>
        <v>2.649542289738059E-3</v>
      </c>
      <c r="R315" s="3">
        <f t="shared" si="297"/>
        <v>2.6495422897105212E-3</v>
      </c>
      <c r="S315" s="3">
        <f t="shared" si="297"/>
        <v>2.6495422894351442E-3</v>
      </c>
      <c r="T315" s="3">
        <f t="shared" si="297"/>
        <v>2.6495422866813722E-3</v>
      </c>
      <c r="U315" s="3">
        <f t="shared" si="297"/>
        <v>2.6495422591436544E-3</v>
      </c>
      <c r="V315" s="3">
        <f t="shared" si="297"/>
        <v>2.6495419837664915E-3</v>
      </c>
      <c r="W315" s="3">
        <f t="shared" si="297"/>
        <v>2.649539229996434E-3</v>
      </c>
      <c r="X315" s="3">
        <f t="shared" si="297"/>
        <v>2.6495116924532764E-3</v>
      </c>
      <c r="Y315" s="3">
        <f t="shared" si="297"/>
        <v>2.6492363327625884E-3</v>
      </c>
      <c r="Z315" s="3">
        <f t="shared" si="297"/>
        <v>2.6464843093391573E-3</v>
      </c>
      <c r="AA315" s="3">
        <f t="shared" si="297"/>
        <v>2.6191208200371258E-3</v>
      </c>
      <c r="AB315" s="3">
        <f t="shared" si="297"/>
        <v>2.3605740425348002E-3</v>
      </c>
      <c r="AC315" s="3">
        <f t="shared" si="297"/>
        <v>8.3490789982196289E-4</v>
      </c>
      <c r="AD315" s="3">
        <f t="shared" si="297"/>
        <v>2.5576905658752906E-8</v>
      </c>
      <c r="AE315" s="3">
        <f t="shared" si="297"/>
        <v>1.8618398178845151E-53</v>
      </c>
      <c r="AF315" s="3">
        <f t="shared" si="297"/>
        <v>0</v>
      </c>
      <c r="AG315" s="3"/>
      <c r="AH315" s="3"/>
    </row>
    <row r="316" spans="1:34" x14ac:dyDescent="0.25">
      <c r="B316" s="3">
        <f t="shared" ref="B316:AF316" si="298">$C46*EXP(-B$285/$A46/EXP(-$F$126))</f>
        <v>6.8554497859674352E-4</v>
      </c>
      <c r="C316" s="3">
        <f t="shared" si="298"/>
        <v>6.8554497859674352E-4</v>
      </c>
      <c r="D316" s="3">
        <f t="shared" si="298"/>
        <v>6.8554497859674352E-4</v>
      </c>
      <c r="E316" s="3">
        <f t="shared" si="298"/>
        <v>6.8554497859674352E-4</v>
      </c>
      <c r="F316" s="3">
        <f t="shared" si="298"/>
        <v>6.8554497859674352E-4</v>
      </c>
      <c r="G316" s="3">
        <f t="shared" si="298"/>
        <v>6.8554497859674352E-4</v>
      </c>
      <c r="H316" s="3">
        <f t="shared" si="298"/>
        <v>6.8554497859674352E-4</v>
      </c>
      <c r="I316" s="3">
        <f t="shared" si="298"/>
        <v>6.8554497859674352E-4</v>
      </c>
      <c r="J316" s="3">
        <f t="shared" si="298"/>
        <v>6.8554497859674352E-4</v>
      </c>
      <c r="K316" s="3">
        <f t="shared" si="298"/>
        <v>6.8554497859674352E-4</v>
      </c>
      <c r="L316" s="3">
        <f t="shared" si="298"/>
        <v>6.8554497859674352E-4</v>
      </c>
      <c r="M316" s="3">
        <f t="shared" si="298"/>
        <v>6.8554497859674352E-4</v>
      </c>
      <c r="N316" s="3">
        <f t="shared" si="298"/>
        <v>6.8554497859674342E-4</v>
      </c>
      <c r="O316" s="3">
        <f t="shared" si="298"/>
        <v>6.8554497859674276E-4</v>
      </c>
      <c r="P316" s="3">
        <f t="shared" si="298"/>
        <v>6.8554497859673561E-4</v>
      </c>
      <c r="Q316" s="3">
        <f t="shared" si="298"/>
        <v>6.8554497859666438E-4</v>
      </c>
      <c r="R316" s="3">
        <f t="shared" si="298"/>
        <v>6.8554497859595184E-4</v>
      </c>
      <c r="S316" s="3">
        <f t="shared" si="298"/>
        <v>6.8554497858882668E-4</v>
      </c>
      <c r="T316" s="3">
        <f t="shared" si="298"/>
        <v>6.8554497851757541E-4</v>
      </c>
      <c r="U316" s="3">
        <f t="shared" si="298"/>
        <v>6.8554497780506192E-4</v>
      </c>
      <c r="V316" s="3">
        <f t="shared" si="298"/>
        <v>6.8554497067992777E-4</v>
      </c>
      <c r="W316" s="3">
        <f t="shared" si="298"/>
        <v>6.8554489942859059E-4</v>
      </c>
      <c r="X316" s="3">
        <f t="shared" si="298"/>
        <v>6.8554418691562464E-4</v>
      </c>
      <c r="Y316" s="3">
        <f t="shared" si="298"/>
        <v>6.8553706182669606E-4</v>
      </c>
      <c r="Z316" s="3">
        <f t="shared" si="298"/>
        <v>6.8546581501022132E-4</v>
      </c>
      <c r="AA316" s="3">
        <f t="shared" si="298"/>
        <v>6.8475375397001118E-4</v>
      </c>
      <c r="AB316" s="3">
        <f t="shared" si="298"/>
        <v>6.7767369989405748E-4</v>
      </c>
      <c r="AC316" s="3">
        <f t="shared" si="298"/>
        <v>6.107770718480084E-4</v>
      </c>
      <c r="AD316" s="3">
        <f t="shared" si="298"/>
        <v>2.1602482833728404E-4</v>
      </c>
      <c r="AE316" s="3">
        <f t="shared" si="298"/>
        <v>6.6177918013582313E-9</v>
      </c>
      <c r="AF316" s="3">
        <f t="shared" si="298"/>
        <v>4.8173412556736991E-54</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1.0364161747734975E-2</v>
      </c>
      <c r="C318" s="3">
        <f t="shared" si="300"/>
        <v>1.0364161747734975E-2</v>
      </c>
      <c r="D318" s="3">
        <f t="shared" si="300"/>
        <v>1.0364161747734975E-2</v>
      </c>
      <c r="E318" s="3">
        <f t="shared" si="300"/>
        <v>1.0364161747734975E-2</v>
      </c>
      <c r="F318" s="3">
        <f t="shared" si="300"/>
        <v>1.0364161747734975E-2</v>
      </c>
      <c r="G318" s="3">
        <f t="shared" si="300"/>
        <v>1.0364161747734975E-2</v>
      </c>
      <c r="H318" s="3">
        <f t="shared" si="300"/>
        <v>1.0364161747734975E-2</v>
      </c>
      <c r="I318" s="3">
        <f t="shared" si="300"/>
        <v>1.0364161747734975E-2</v>
      </c>
      <c r="J318" s="3">
        <f t="shared" si="300"/>
        <v>1.0364161747734975E-2</v>
      </c>
      <c r="K318" s="3">
        <f t="shared" si="300"/>
        <v>1.0364161747734975E-2</v>
      </c>
      <c r="L318" s="3">
        <f t="shared" si="300"/>
        <v>1.0364161747734975E-2</v>
      </c>
      <c r="M318" s="3">
        <f t="shared" si="300"/>
        <v>1.0364161747734975E-2</v>
      </c>
      <c r="N318" s="3">
        <f t="shared" si="300"/>
        <v>1.0364161747734975E-2</v>
      </c>
      <c r="O318" s="3">
        <f t="shared" si="300"/>
        <v>1.0364161747734975E-2</v>
      </c>
      <c r="P318" s="3">
        <f t="shared" si="300"/>
        <v>1.0364161747734973E-2</v>
      </c>
      <c r="Q318" s="3">
        <f t="shared" si="300"/>
        <v>1.0364161747734963E-2</v>
      </c>
      <c r="R318" s="3">
        <f t="shared" si="300"/>
        <v>1.0364161747734855E-2</v>
      </c>
      <c r="S318" s="3">
        <f t="shared" si="300"/>
        <v>1.0364161747733778E-2</v>
      </c>
      <c r="T318" s="3">
        <f t="shared" si="300"/>
        <v>1.0364161747723005E-2</v>
      </c>
      <c r="U318" s="3">
        <f t="shared" si="300"/>
        <v>1.0364161747615288E-2</v>
      </c>
      <c r="V318" s="3">
        <f t="shared" si="300"/>
        <v>1.0364161746538101E-2</v>
      </c>
      <c r="W318" s="3">
        <f t="shared" si="300"/>
        <v>1.0364161735766226E-2</v>
      </c>
      <c r="X318" s="3">
        <f t="shared" si="300"/>
        <v>1.0364161628047484E-2</v>
      </c>
      <c r="Y318" s="3">
        <f t="shared" si="300"/>
        <v>1.0364160550860126E-2</v>
      </c>
      <c r="Z318" s="3">
        <f t="shared" si="300"/>
        <v>1.0364149778992698E-2</v>
      </c>
      <c r="AA318" s="3">
        <f t="shared" si="300"/>
        <v>1.0364042060934177E-2</v>
      </c>
      <c r="AB318" s="3">
        <f t="shared" si="300"/>
        <v>1.0362964941922282E-2</v>
      </c>
      <c r="AC318" s="3">
        <f t="shared" si="300"/>
        <v>1.035219990676718E-2</v>
      </c>
      <c r="AD318" s="3">
        <f t="shared" si="300"/>
        <v>1.0245162691242539E-2</v>
      </c>
      <c r="AE318" s="3">
        <f t="shared" si="300"/>
        <v>9.2338104166383213E-3</v>
      </c>
      <c r="AF318" s="3">
        <f t="shared" si="300"/>
        <v>3.2658925851913882E-3</v>
      </c>
      <c r="AG318" s="3"/>
      <c r="AH318" s="3"/>
    </row>
    <row r="319" spans="1:34" x14ac:dyDescent="0.25">
      <c r="A319" s="79">
        <f>AVERAGE(B319:AF319)</f>
        <v>5.2502116159326307E-3</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1.4126674800893016E-2</v>
      </c>
      <c r="M319" s="80">
        <f t="shared" si="301"/>
        <v>1.5322067512645213E-2</v>
      </c>
      <c r="N319" s="80">
        <f t="shared" si="301"/>
        <v>1.4493842350104161E-2</v>
      </c>
      <c r="O319" s="80">
        <f t="shared" si="301"/>
        <v>1.6104438425960575E-2</v>
      </c>
      <c r="P319" s="80">
        <f t="shared" si="301"/>
        <v>1.4498446487959706E-2</v>
      </c>
      <c r="Q319" s="80">
        <f t="shared" si="301"/>
        <v>1.4029777948137154E-2</v>
      </c>
      <c r="R319" s="80">
        <f t="shared" si="301"/>
        <v>7.0326662737609505E-3</v>
      </c>
      <c r="S319" s="80">
        <f t="shared" si="301"/>
        <v>2.5028653441778612E-2</v>
      </c>
      <c r="T319" s="80">
        <f t="shared" si="301"/>
        <v>2.0711132811219453E-2</v>
      </c>
      <c r="U319" s="80">
        <f t="shared" si="301"/>
        <v>4.651638350553669E-3</v>
      </c>
      <c r="V319" s="80">
        <f t="shared" si="301"/>
        <v>1.6757221690899039E-2</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24657.69486810415</v>
      </c>
      <c r="C320" s="21">
        <f t="shared" ref="C320:AF320" si="302">(C287-C286)^2</f>
        <v>9570.7662777143141</v>
      </c>
      <c r="D320" s="21">
        <f t="shared" si="302"/>
        <v>17770.174169957201</v>
      </c>
      <c r="E320" s="21">
        <f t="shared" si="302"/>
        <v>19848.429814644569</v>
      </c>
      <c r="F320" s="21">
        <f t="shared" si="302"/>
        <v>14220.544825843945</v>
      </c>
      <c r="G320" s="21">
        <f t="shared" si="302"/>
        <v>17679.022068115803</v>
      </c>
      <c r="H320" s="21">
        <f t="shared" si="302"/>
        <v>12443.43143150009</v>
      </c>
      <c r="I320" s="21">
        <f t="shared" si="302"/>
        <v>17381.76651803729</v>
      </c>
      <c r="J320" s="21">
        <f t="shared" si="302"/>
        <v>17576.458529353185</v>
      </c>
      <c r="K320" s="21">
        <f t="shared" si="302"/>
        <v>15965.531470562892</v>
      </c>
      <c r="L320" s="21">
        <f t="shared" si="302"/>
        <v>11778.164099428997</v>
      </c>
      <c r="M320" s="21">
        <f t="shared" si="302"/>
        <v>12869.363614554333</v>
      </c>
      <c r="N320" s="21">
        <f t="shared" si="302"/>
        <v>10686.116358871857</v>
      </c>
      <c r="O320" s="21">
        <f t="shared" si="302"/>
        <v>12150.800534623579</v>
      </c>
      <c r="P320" s="21">
        <f t="shared" si="302"/>
        <v>9080.7398839132838</v>
      </c>
      <c r="Q320" s="21">
        <f t="shared" si="302"/>
        <v>7612.7767440650441</v>
      </c>
      <c r="R320" s="21">
        <f t="shared" si="302"/>
        <v>1601.6245320145329</v>
      </c>
      <c r="S320" s="21">
        <f t="shared" si="302"/>
        <v>14214.187599959714</v>
      </c>
      <c r="T320" s="21">
        <f t="shared" si="302"/>
        <v>6027.0043088371276</v>
      </c>
      <c r="U320" s="21">
        <f t="shared" si="302"/>
        <v>181.95723030744773</v>
      </c>
      <c r="V320" s="21">
        <f t="shared" si="302"/>
        <v>1368.9358030258279</v>
      </c>
      <c r="W320" s="21">
        <f t="shared" si="302"/>
        <v>1821.6375845889165</v>
      </c>
      <c r="X320" s="21">
        <f t="shared" si="302"/>
        <v>2001.7373735844335</v>
      </c>
      <c r="Y320" s="21">
        <f t="shared" si="302"/>
        <v>1029.4571221121237</v>
      </c>
      <c r="Z320" s="21">
        <f t="shared" si="302"/>
        <v>252.84171670018006</v>
      </c>
      <c r="AA320" s="21">
        <f t="shared" si="302"/>
        <v>92.713908276727281</v>
      </c>
      <c r="AB320" s="21">
        <f t="shared" si="302"/>
        <v>9.308564231894831</v>
      </c>
      <c r="AC320" s="21">
        <f t="shared" si="302"/>
        <v>12.286500380350981</v>
      </c>
      <c r="AD320" s="21">
        <f t="shared" si="302"/>
        <v>2.7526062051000286</v>
      </c>
      <c r="AE320" s="21">
        <f t="shared" si="302"/>
        <v>1.0356834336238628E-4</v>
      </c>
      <c r="AF320" s="21">
        <f t="shared" si="302"/>
        <v>2703.6715336522211</v>
      </c>
      <c r="AG320" s="3"/>
      <c r="AH320" s="3"/>
    </row>
    <row r="321" spans="1:34" x14ac:dyDescent="0.25">
      <c r="A321" s="71">
        <f>SUM(B321:AF321)</f>
        <v>87571.670709601749</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11778.164099428997</v>
      </c>
      <c r="M321" s="60">
        <f t="shared" ref="M321" si="313">IF($A$64&lt;=M285,IF($B$64&gt;=M285,ABS(M320),0),0)</f>
        <v>12869.363614554333</v>
      </c>
      <c r="N321" s="60">
        <f t="shared" ref="N321" si="314">IF($A$64&lt;=N285,IF($B$64&gt;=N285,ABS(N320),0),0)</f>
        <v>10686.116358871857</v>
      </c>
      <c r="O321" s="60">
        <f t="shared" ref="O321" si="315">IF($A$64&lt;=O285,IF($B$64&gt;=O285,ABS(O320),0),0)</f>
        <v>12150.800534623579</v>
      </c>
      <c r="P321" s="60">
        <f t="shared" ref="P321" si="316">IF($A$64&lt;=P285,IF($B$64&gt;=P285,ABS(P320),0),0)</f>
        <v>9080.7398839132838</v>
      </c>
      <c r="Q321" s="60">
        <f t="shared" ref="Q321" si="317">IF($A$64&lt;=Q285,IF($B$64&gt;=Q285,ABS(Q320),0),0)</f>
        <v>7612.7767440650441</v>
      </c>
      <c r="R321" s="60">
        <f t="shared" ref="R321" si="318">IF($A$64&lt;=R285,IF($B$64&gt;=R285,ABS(R320),0),0)</f>
        <v>1601.6245320145329</v>
      </c>
      <c r="S321" s="60">
        <f t="shared" ref="S321" si="319">IF($A$64&lt;=S285,IF($B$64&gt;=S285,ABS(S320),0),0)</f>
        <v>14214.187599959714</v>
      </c>
      <c r="T321" s="60">
        <f t="shared" ref="T321" si="320">IF($A$64&lt;=T285,IF($B$64&gt;=T285,ABS(T320),0),0)</f>
        <v>6027.0043088371276</v>
      </c>
      <c r="U321" s="60">
        <f t="shared" ref="U321" si="321">IF($A$64&lt;=U285,IF($B$64&gt;=U285,ABS(U320),0),0)</f>
        <v>181.95723030744773</v>
      </c>
      <c r="V321" s="60">
        <f t="shared" ref="V321" si="322">IF($A$64&lt;=V285,IF($B$64&gt;=V285,ABS(V320),0),0)</f>
        <v>1368.9358030258279</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9761.2866745763949</v>
      </c>
      <c r="C325" s="26">
        <f>INDEX(Comparison!$AM$3:$AS$33,G$14,$G$122)</f>
        <v>9457.0352890406648</v>
      </c>
      <c r="D325" s="26">
        <f>INDEX(Comparison!$AM$3:$AS$33,H$14,$G$122)</f>
        <v>9203.9756041421206</v>
      </c>
      <c r="E325" s="26">
        <f>INDEX(Comparison!$AM$3:$AS$33,I$14,$G$122)</f>
        <v>8950.159395690147</v>
      </c>
      <c r="F325" s="26">
        <f>INDEX(Comparison!$AM$3:$AS$33,J$14,$G$122)</f>
        <v>8675.2521191856285</v>
      </c>
      <c r="G325" s="26">
        <f>INDEX(Comparison!$AM$3:$AS$33,K$14,$G$122)</f>
        <v>8343.5058150850455</v>
      </c>
      <c r="H325" s="26">
        <f>INDEX(Comparison!$AM$3:$AS$33,L$14,$G$122)</f>
        <v>7990.5188430178014</v>
      </c>
      <c r="I325" s="26">
        <f>INDEX(Comparison!$AM$3:$AS$33,M$14,$G$122)</f>
        <v>7680.5790598342728</v>
      </c>
      <c r="J325" s="26">
        <f>INDEX(Comparison!$AM$3:$AS$33,N$14,$G$122)</f>
        <v>7412.8102086341796</v>
      </c>
      <c r="K325" s="26">
        <f>INDEX(Comparison!$AM$3:$AS$33,O$14,$G$122)</f>
        <v>7140.1987157287695</v>
      </c>
      <c r="L325" s="26">
        <f>INDEX(Comparison!$AM$3:$AS$33,P$14,$G$122)</f>
        <v>6866.3570711275343</v>
      </c>
      <c r="M325" s="26">
        <f>INDEX(Comparison!$AM$3:$AS$33,Q$14,$G$122)</f>
        <v>6590.7809918049779</v>
      </c>
      <c r="N325" s="26">
        <f>INDEX(Comparison!$AM$3:$AS$33,R$14,$G$122)</f>
        <v>6298.9484082003064</v>
      </c>
      <c r="O325" s="26">
        <f>INDEX(Comparison!$AM$3:$AS$33,S$14,$G$122)</f>
        <v>5945.6821100901007</v>
      </c>
      <c r="P325" s="26">
        <f>INDEX(Comparison!$AM$3:$AS$33,T$14,$G$122)</f>
        <v>5548.4424875147679</v>
      </c>
      <c r="Q325" s="26">
        <f>INDEX(Comparison!$AM$3:$AS$33,U$14,$G$122)</f>
        <v>4973.8956031837224</v>
      </c>
      <c r="R325" s="26">
        <f>INDEX(Comparison!$AM$3:$AS$33,V$14,$G$122)</f>
        <v>4041.6864062630743</v>
      </c>
      <c r="S325" s="26">
        <f>INDEX(Comparison!$AM$3:$AS$33,W$14,$G$122)</f>
        <v>2997.7303823547541</v>
      </c>
      <c r="T325" s="26">
        <f>INDEX(Comparison!$AM$3:$AS$33,X$14,$G$122)</f>
        <v>2118.9396419195423</v>
      </c>
      <c r="U325" s="26">
        <f>INDEX(Comparison!$AM$3:$AS$33,Y$14,$G$122)</f>
        <v>1431.9051140793895</v>
      </c>
      <c r="V325" s="26">
        <f>INDEX(Comparison!$AM$3:$AS$33,Z$14,$G$122)</f>
        <v>967.83847313448518</v>
      </c>
      <c r="W325" s="26">
        <f>INDEX(Comparison!$AM$3:$AS$33,AA$14,$G$122)</f>
        <v>675.63698437161315</v>
      </c>
      <c r="X325" s="26">
        <f>INDEX(Comparison!$AM$3:$AS$33,AB$14,$G$122)</f>
        <v>531.67099399258564</v>
      </c>
      <c r="Y325" s="26">
        <f>INDEX(Comparison!$AM$3:$AS$33,AC$14,$G$122)</f>
        <v>453.91977153237434</v>
      </c>
      <c r="Z325" s="26">
        <f>INDEX(Comparison!$AM$3:$AS$33,AD$14,$G$122)</f>
        <v>417.85505040960345</v>
      </c>
      <c r="AA325" s="26">
        <f>INDEX(Comparison!$AM$3:$AS$33,AE$14,$G$122)</f>
        <v>391.91620643386665</v>
      </c>
      <c r="AB325" s="26">
        <f>INDEX(Comparison!$AM$3:$AS$33,AF$14,$G$122)</f>
        <v>379.02694798430821</v>
      </c>
      <c r="AC325" s="26">
        <f>INDEX(Comparison!$AM$3:$AS$33,AG$14,$G$122)</f>
        <v>367.59357086994629</v>
      </c>
      <c r="AD325" s="26">
        <f>INDEX(Comparison!$AM$3:$AS$33,AH$14,$G$122)</f>
        <v>348.16027376363564</v>
      </c>
      <c r="AE325" s="26">
        <f>INDEX(Comparison!$AM$3:$AS$33,AI$14,$G$122)</f>
        <v>346.81429429478277</v>
      </c>
      <c r="AF325" s="26">
        <f>INDEX(Comparison!$AM$3:$AS$33,AJ$14,$G$122)</f>
        <v>343.74512434370951</v>
      </c>
      <c r="AG325" s="26"/>
      <c r="AH325" s="26"/>
    </row>
    <row r="326" spans="1:34" x14ac:dyDescent="0.25">
      <c r="A326" s="77" t="s">
        <v>22</v>
      </c>
      <c r="B326" s="27">
        <f>($C$17+SUM(B327:B357))*$B$51</f>
        <v>10114.056206480418</v>
      </c>
      <c r="C326" s="27">
        <f t="shared" ref="C326:AF326" si="333">($C$17+SUM(C327:C357))*$B$51</f>
        <v>9868.364060121412</v>
      </c>
      <c r="D326" s="27">
        <f t="shared" si="333"/>
        <v>9591.3693843550591</v>
      </c>
      <c r="E326" s="27">
        <f t="shared" si="333"/>
        <v>9343.8053404705224</v>
      </c>
      <c r="F326" s="27">
        <f t="shared" si="333"/>
        <v>9079.9518807391069</v>
      </c>
      <c r="G326" s="27">
        <f t="shared" si="333"/>
        <v>8784.3020125214698</v>
      </c>
      <c r="H326" s="27">
        <f t="shared" si="333"/>
        <v>8429.9340338197962</v>
      </c>
      <c r="I326" s="27">
        <f t="shared" si="333"/>
        <v>8074.8604665999555</v>
      </c>
      <c r="J326" s="27">
        <f t="shared" si="333"/>
        <v>7774.5360149228227</v>
      </c>
      <c r="K326" s="27">
        <f t="shared" si="333"/>
        <v>7501.456436622706</v>
      </c>
      <c r="L326" s="27">
        <f t="shared" si="333"/>
        <v>7218.9469887983405</v>
      </c>
      <c r="M326" s="27">
        <f t="shared" si="333"/>
        <v>6939.5491157702127</v>
      </c>
      <c r="N326" s="27">
        <f t="shared" si="333"/>
        <v>6650.9958528856487</v>
      </c>
      <c r="O326" s="27">
        <f t="shared" si="333"/>
        <v>6282.0521271252273</v>
      </c>
      <c r="P326" s="27">
        <f t="shared" si="333"/>
        <v>5600.8031962894975</v>
      </c>
      <c r="Q326" s="27">
        <f t="shared" si="333"/>
        <v>4592.8259282827339</v>
      </c>
      <c r="R326" s="27">
        <f t="shared" si="333"/>
        <v>3631.895523505626</v>
      </c>
      <c r="S326" s="27">
        <f t="shared" si="333"/>
        <v>2853.2535450833666</v>
      </c>
      <c r="T326" s="27">
        <f t="shared" si="333"/>
        <v>2223.5635153261878</v>
      </c>
      <c r="U326" s="27">
        <f t="shared" si="333"/>
        <v>1610.9441520158819</v>
      </c>
      <c r="V326" s="27">
        <f t="shared" si="333"/>
        <v>1146.1389225987853</v>
      </c>
      <c r="W326" s="27">
        <f t="shared" si="333"/>
        <v>794.68376644328623</v>
      </c>
      <c r="X326" s="27">
        <f t="shared" si="333"/>
        <v>590.04654359612903</v>
      </c>
      <c r="Y326" s="27">
        <f t="shared" si="333"/>
        <v>482.11667121581718</v>
      </c>
      <c r="Z326" s="27">
        <f t="shared" si="333"/>
        <v>429.47443627687863</v>
      </c>
      <c r="AA326" s="27">
        <f t="shared" si="333"/>
        <v>400.73987033841723</v>
      </c>
      <c r="AB326" s="27">
        <f t="shared" si="333"/>
        <v>386.40321138375731</v>
      </c>
      <c r="AC326" s="27">
        <f t="shared" si="333"/>
        <v>371.37888768786064</v>
      </c>
      <c r="AD326" s="27">
        <f t="shared" si="333"/>
        <v>299.76457152644196</v>
      </c>
      <c r="AE326" s="27">
        <f t="shared" si="333"/>
        <v>267.59115153371459</v>
      </c>
      <c r="AF326" s="27">
        <f t="shared" si="333"/>
        <v>267.5908878775283</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1.0840077304081686E-16</v>
      </c>
      <c r="C328" s="3">
        <f t="shared" si="335"/>
        <v>5.5337820921355933E-147</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7.3086851940184973E-4</v>
      </c>
      <c r="C329" s="3">
        <f t="shared" si="336"/>
        <v>1.2894841239264951E-15</v>
      </c>
      <c r="D329" s="3">
        <f t="shared" si="336"/>
        <v>3.7686294239588799E-133</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1.6653745229279232E-2</v>
      </c>
      <c r="C330" s="3">
        <f t="shared" si="337"/>
        <v>1.449623963664385E-3</v>
      </c>
      <c r="D330" s="3">
        <f t="shared" si="337"/>
        <v>3.6198434752212615E-14</v>
      </c>
      <c r="E330" s="3">
        <f t="shared" si="337"/>
        <v>3.4121971189515682E-120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2.5955445821346016E-2</v>
      </c>
      <c r="C331" s="3">
        <f t="shared" si="338"/>
        <v>2.0824977027085054E-2</v>
      </c>
      <c r="D331" s="3">
        <f t="shared" si="338"/>
        <v>2.3022098722443544E-3</v>
      </c>
      <c r="E331" s="3">
        <f t="shared" si="338"/>
        <v>6.2769507498616656E-13</v>
      </c>
      <c r="F331" s="3">
        <f t="shared" si="338"/>
        <v>1.4249079616295858E-108</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2.17450433025532E-2</v>
      </c>
      <c r="C332" s="3">
        <f t="shared" si="339"/>
        <v>2.1317309753128854E-2</v>
      </c>
      <c r="D332" s="3">
        <f t="shared" si="339"/>
        <v>1.747646475018181E-2</v>
      </c>
      <c r="E332" s="3">
        <f t="shared" si="339"/>
        <v>2.3969859081341372E-3</v>
      </c>
      <c r="F332" s="3">
        <f t="shared" si="339"/>
        <v>5.6465663489914671E-12</v>
      </c>
      <c r="G332" s="3">
        <f t="shared" si="339"/>
        <v>2.9714880182810956E-98</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2.3916897857588774E-2</v>
      </c>
      <c r="C333" s="3">
        <f t="shared" si="340"/>
        <v>2.3874074355390695E-2</v>
      </c>
      <c r="D333" s="3">
        <f t="shared" si="340"/>
        <v>2.345003394222903E-2</v>
      </c>
      <c r="E333" s="3">
        <f t="shared" si="340"/>
        <v>1.9602560862034664E-2</v>
      </c>
      <c r="F333" s="3">
        <f t="shared" si="340"/>
        <v>3.2659246720440241E-3</v>
      </c>
      <c r="G333" s="3">
        <f t="shared" si="340"/>
        <v>5.3819503907524503E-11</v>
      </c>
      <c r="H333" s="3">
        <f t="shared" si="340"/>
        <v>7.9483129219671867E-89</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2.6315056477306451E-2</v>
      </c>
      <c r="C334" s="3">
        <f t="shared" si="341"/>
        <v>2.631080262681992E-2</v>
      </c>
      <c r="D334" s="3">
        <f t="shared" si="341"/>
        <v>2.6268301923732865E-2</v>
      </c>
      <c r="E334" s="3">
        <f t="shared" si="341"/>
        <v>2.5847052556762545E-2</v>
      </c>
      <c r="F334" s="3">
        <f t="shared" si="341"/>
        <v>2.1988787963992056E-2</v>
      </c>
      <c r="G334" s="3">
        <f t="shared" si="341"/>
        <v>4.3662032307600082E-3</v>
      </c>
      <c r="H334" s="3">
        <f t="shared" si="341"/>
        <v>4.160356041399779E-10</v>
      </c>
      <c r="I334" s="3">
        <f t="shared" si="341"/>
        <v>2.5668235889608215E-80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3.4157146624783925E-2</v>
      </c>
      <c r="C335" s="3">
        <f t="shared" si="342"/>
        <v>3.415664850014092E-2</v>
      </c>
      <c r="D335" s="3">
        <f t="shared" si="342"/>
        <v>3.4151667653230591E-2</v>
      </c>
      <c r="E335" s="3">
        <f t="shared" si="342"/>
        <v>3.4101899114544559E-2</v>
      </c>
      <c r="F335" s="3">
        <f t="shared" si="342"/>
        <v>3.3608185307277945E-2</v>
      </c>
      <c r="G335" s="3">
        <f t="shared" si="342"/>
        <v>2.9047585703458816E-2</v>
      </c>
      <c r="H335" s="3">
        <f t="shared" si="342"/>
        <v>6.7570919356162188E-3</v>
      </c>
      <c r="I335" s="3">
        <f t="shared" si="342"/>
        <v>3.135145416056412E-9</v>
      </c>
      <c r="J335" s="3">
        <f t="shared" si="342"/>
        <v>1.4495603582793431E-72</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3.35632605452134E-2</v>
      </c>
      <c r="C336" s="3">
        <f t="shared" si="343"/>
        <v>3.3563216391212743E-2</v>
      </c>
      <c r="D336" s="3">
        <f t="shared" si="343"/>
        <v>3.3562774854400915E-2</v>
      </c>
      <c r="E336" s="3">
        <f t="shared" si="343"/>
        <v>3.3558359805742149E-2</v>
      </c>
      <c r="F336" s="3">
        <f t="shared" si="343"/>
        <v>3.3514241249560463E-2</v>
      </c>
      <c r="G336" s="3">
        <f t="shared" si="343"/>
        <v>3.3076233240689701E-2</v>
      </c>
      <c r="H336" s="3">
        <f t="shared" si="343"/>
        <v>2.8998970988533549E-2</v>
      </c>
      <c r="I336" s="3">
        <f t="shared" si="343"/>
        <v>7.78122556396819E-3</v>
      </c>
      <c r="J336" s="3">
        <f t="shared" si="343"/>
        <v>1.5055742533210241E-8</v>
      </c>
      <c r="K336" s="3">
        <f t="shared" si="343"/>
        <v>1.1072454982501997E-65</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2.595870871661507E-2</v>
      </c>
      <c r="C337" s="3">
        <f t="shared" si="344"/>
        <v>2.5958705636011239E-2</v>
      </c>
      <c r="D337" s="3">
        <f t="shared" si="344"/>
        <v>2.5958674829993009E-2</v>
      </c>
      <c r="E337" s="3">
        <f t="shared" si="344"/>
        <v>2.5958366771821419E-2</v>
      </c>
      <c r="F337" s="3">
        <f t="shared" si="344"/>
        <v>2.5955286391167606E-2</v>
      </c>
      <c r="G337" s="3">
        <f t="shared" si="344"/>
        <v>2.5924502682012095E-2</v>
      </c>
      <c r="H337" s="3">
        <f t="shared" si="344"/>
        <v>2.5618666532080378E-2</v>
      </c>
      <c r="I337" s="3">
        <f t="shared" si="344"/>
        <v>2.2751885230360893E-2</v>
      </c>
      <c r="J337" s="3">
        <f t="shared" si="344"/>
        <v>6.9442614627579554E-3</v>
      </c>
      <c r="K337" s="3">
        <f t="shared" si="344"/>
        <v>4.8720622104653292E-8</v>
      </c>
      <c r="L337" s="3">
        <f t="shared" si="344"/>
        <v>1.4079279554010649E-59</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2.4505487895712805E-2</v>
      </c>
      <c r="C338" s="3">
        <f t="shared" si="345"/>
        <v>2.4505487633373881E-2</v>
      </c>
      <c r="D338" s="3">
        <f t="shared" si="345"/>
        <v>2.4505485009984788E-2</v>
      </c>
      <c r="E338" s="3">
        <f t="shared" si="345"/>
        <v>2.4505458776109296E-2</v>
      </c>
      <c r="F338" s="3">
        <f t="shared" si="345"/>
        <v>2.4505196438899018E-2</v>
      </c>
      <c r="G338" s="3">
        <f t="shared" si="345"/>
        <v>2.4502573221252526E-2</v>
      </c>
      <c r="H338" s="3">
        <f t="shared" si="345"/>
        <v>2.4476356484303855E-2</v>
      </c>
      <c r="I338" s="3">
        <f t="shared" si="345"/>
        <v>2.4215726968374821E-2</v>
      </c>
      <c r="J338" s="3">
        <f t="shared" si="345"/>
        <v>2.1757296303619951E-2</v>
      </c>
      <c r="K338" s="3">
        <f t="shared" si="345"/>
        <v>7.4589736964572129E-3</v>
      </c>
      <c r="L338" s="3">
        <f t="shared" si="345"/>
        <v>1.6727096774981583E-7</v>
      </c>
      <c r="M338" s="3">
        <f t="shared" si="345"/>
        <v>5.3806594826260556E-54</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2.7040912955818303E-2</v>
      </c>
      <c r="C339" s="3">
        <f t="shared" si="346"/>
        <v>2.7040912929704671E-2</v>
      </c>
      <c r="D339" s="3">
        <f t="shared" si="346"/>
        <v>2.7040912668568326E-2</v>
      </c>
      <c r="E339" s="3">
        <f t="shared" si="346"/>
        <v>2.7040910057205009E-2</v>
      </c>
      <c r="F339" s="3">
        <f t="shared" si="346"/>
        <v>2.7040883943585746E-2</v>
      </c>
      <c r="G339" s="3">
        <f t="shared" si="346"/>
        <v>2.7040622808780071E-2</v>
      </c>
      <c r="H339" s="3">
        <f t="shared" si="346"/>
        <v>2.7038011599417683E-2</v>
      </c>
      <c r="I339" s="3">
        <f t="shared" si="346"/>
        <v>2.7011913370273598E-2</v>
      </c>
      <c r="J339" s="3">
        <f t="shared" si="346"/>
        <v>2.6752312585637702E-2</v>
      </c>
      <c r="K339" s="3">
        <f t="shared" si="346"/>
        <v>2.4289644061672298E-2</v>
      </c>
      <c r="L339" s="3">
        <f t="shared" si="346"/>
        <v>9.2473938626290789E-3</v>
      </c>
      <c r="M339" s="3">
        <f t="shared" si="346"/>
        <v>5.9156354362566234E-7</v>
      </c>
      <c r="N339" s="3">
        <f t="shared" si="346"/>
        <v>6.7892510197327535E-49</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2.4600371351471129E-2</v>
      </c>
      <c r="C340" s="3">
        <f t="shared" si="347"/>
        <v>2.4600371349328069E-2</v>
      </c>
      <c r="D340" s="3">
        <f t="shared" si="347"/>
        <v>2.4600371327897476E-2</v>
      </c>
      <c r="E340" s="3">
        <f t="shared" si="347"/>
        <v>2.4600371113591528E-2</v>
      </c>
      <c r="F340" s="3">
        <f t="shared" si="347"/>
        <v>2.4600368970532145E-2</v>
      </c>
      <c r="G340" s="3">
        <f t="shared" si="347"/>
        <v>2.4600347539948612E-2</v>
      </c>
      <c r="H340" s="3">
        <f t="shared" si="347"/>
        <v>2.460013323514006E-2</v>
      </c>
      <c r="I340" s="3">
        <f t="shared" si="347"/>
        <v>2.4597990289731725E-2</v>
      </c>
      <c r="J340" s="3">
        <f t="shared" si="347"/>
        <v>2.457657110005752E-2</v>
      </c>
      <c r="K340" s="3">
        <f t="shared" si="347"/>
        <v>2.4363402343446576E-2</v>
      </c>
      <c r="L340" s="3">
        <f t="shared" si="347"/>
        <v>2.2330806394351407E-2</v>
      </c>
      <c r="M340" s="3">
        <f t="shared" si="347"/>
        <v>9.3447803136770032E-3</v>
      </c>
      <c r="N340" s="3">
        <f t="shared" si="347"/>
        <v>1.5389198206330738E-6</v>
      </c>
      <c r="O340" s="3">
        <f t="shared" si="347"/>
        <v>2.2577973826318066E-44</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2.6294191463774336E-2</v>
      </c>
      <c r="C341" s="3">
        <f t="shared" si="348"/>
        <v>2.6294191463567703E-2</v>
      </c>
      <c r="D341" s="3">
        <f t="shared" si="348"/>
        <v>2.6294191461501377E-2</v>
      </c>
      <c r="E341" s="3">
        <f t="shared" si="348"/>
        <v>2.6294191440838114E-2</v>
      </c>
      <c r="F341" s="3">
        <f t="shared" si="348"/>
        <v>2.6294191234205448E-2</v>
      </c>
      <c r="G341" s="3">
        <f t="shared" si="348"/>
        <v>2.6294189167878897E-2</v>
      </c>
      <c r="H341" s="3">
        <f t="shared" si="348"/>
        <v>2.629416850462233E-2</v>
      </c>
      <c r="I341" s="3">
        <f t="shared" si="348"/>
        <v>2.6293961872949752E-2</v>
      </c>
      <c r="J341" s="3">
        <f t="shared" si="348"/>
        <v>2.6291895645531218E-2</v>
      </c>
      <c r="K341" s="3">
        <f t="shared" si="348"/>
        <v>2.627124229947626E-2</v>
      </c>
      <c r="L341" s="3">
        <f t="shared" si="348"/>
        <v>2.6065599061429173E-2</v>
      </c>
      <c r="M341" s="3">
        <f t="shared" si="348"/>
        <v>2.4095653995664969E-2</v>
      </c>
      <c r="N341" s="3">
        <f t="shared" si="348"/>
        <v>1.0981174525923589E-2</v>
      </c>
      <c r="O341" s="3">
        <f t="shared" si="348"/>
        <v>4.2437476442570349E-6</v>
      </c>
      <c r="P341" s="3">
        <f t="shared" si="348"/>
        <v>3.1532406506895591E-40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3.2623262585062922E-2</v>
      </c>
      <c r="C342" s="3">
        <f t="shared" si="349"/>
        <v>3.2623262585039794E-2</v>
      </c>
      <c r="D342" s="3">
        <f t="shared" si="349"/>
        <v>3.2623262584808528E-2</v>
      </c>
      <c r="E342" s="3">
        <f t="shared" si="349"/>
        <v>3.2623262582495857E-2</v>
      </c>
      <c r="F342" s="3">
        <f t="shared" si="349"/>
        <v>3.262326255936919E-2</v>
      </c>
      <c r="G342" s="3">
        <f t="shared" si="349"/>
        <v>3.2623262328102469E-2</v>
      </c>
      <c r="H342" s="3">
        <f t="shared" si="349"/>
        <v>3.2623260015435383E-2</v>
      </c>
      <c r="I342" s="3">
        <f t="shared" si="349"/>
        <v>3.2623236888773534E-2</v>
      </c>
      <c r="J342" s="3">
        <f t="shared" si="349"/>
        <v>3.2623005623056721E-2</v>
      </c>
      <c r="K342" s="3">
        <f t="shared" si="349"/>
        <v>3.2620693056055861E-2</v>
      </c>
      <c r="L342" s="3">
        <f t="shared" si="349"/>
        <v>3.2597576400409632E-2</v>
      </c>
      <c r="M342" s="3">
        <f t="shared" si="349"/>
        <v>3.2367308920251907E-2</v>
      </c>
      <c r="N342" s="3">
        <f t="shared" si="349"/>
        <v>3.0152227581377773E-2</v>
      </c>
      <c r="O342" s="3">
        <f t="shared" si="349"/>
        <v>1.4840464625660884E-2</v>
      </c>
      <c r="P342" s="3">
        <f t="shared" si="349"/>
        <v>1.2380222633275771E-5</v>
      </c>
      <c r="Q342" s="3">
        <f t="shared" si="349"/>
        <v>2.0208683429715132E-36</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8.849633207383778E-2</v>
      </c>
      <c r="C343" s="3">
        <f t="shared" si="350"/>
        <v>8.8496332073832118E-2</v>
      </c>
      <c r="D343" s="3">
        <f t="shared" si="350"/>
        <v>8.8496332073775524E-2</v>
      </c>
      <c r="E343" s="3">
        <f t="shared" si="350"/>
        <v>8.8496332073209602E-2</v>
      </c>
      <c r="F343" s="3">
        <f t="shared" si="350"/>
        <v>8.8496332067550365E-2</v>
      </c>
      <c r="G343" s="3">
        <f t="shared" si="350"/>
        <v>8.8496332010958037E-2</v>
      </c>
      <c r="H343" s="3">
        <f t="shared" si="350"/>
        <v>8.8496331445034701E-2</v>
      </c>
      <c r="I343" s="3">
        <f t="shared" si="350"/>
        <v>8.849632578580148E-2</v>
      </c>
      <c r="J343" s="3">
        <f t="shared" si="350"/>
        <v>8.8496269193489227E-2</v>
      </c>
      <c r="K343" s="3">
        <f t="shared" si="350"/>
        <v>8.8495703272357187E-2</v>
      </c>
      <c r="L343" s="3">
        <f t="shared" si="350"/>
        <v>8.849004426007713E-2</v>
      </c>
      <c r="M343" s="3">
        <f t="shared" si="350"/>
        <v>8.843347403660709E-2</v>
      </c>
      <c r="N343" s="3">
        <f t="shared" si="350"/>
        <v>8.7869757034607504E-2</v>
      </c>
      <c r="O343" s="3">
        <f t="shared" si="350"/>
        <v>8.2426492283152381E-2</v>
      </c>
      <c r="P343" s="3">
        <f t="shared" si="350"/>
        <v>4.3485127556364939E-2</v>
      </c>
      <c r="Q343" s="3">
        <f t="shared" si="350"/>
        <v>7.2623980108633927E-5</v>
      </c>
      <c r="R343" s="3">
        <f t="shared" si="350"/>
        <v>1.2259507608145383E-32</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9.9309249865315946E-2</v>
      </c>
      <c r="C344" s="3">
        <f t="shared" si="351"/>
        <v>9.9309249865315377E-2</v>
      </c>
      <c r="D344" s="3">
        <f t="shared" si="351"/>
        <v>9.9309249865309659E-2</v>
      </c>
      <c r="E344" s="3">
        <f t="shared" si="351"/>
        <v>9.9309249865252372E-2</v>
      </c>
      <c r="F344" s="3">
        <f t="shared" si="351"/>
        <v>9.9309249864679483E-2</v>
      </c>
      <c r="G344" s="3">
        <f t="shared" si="351"/>
        <v>9.9309249858950607E-2</v>
      </c>
      <c r="H344" s="3">
        <f t="shared" si="351"/>
        <v>9.9309249801661961E-2</v>
      </c>
      <c r="I344" s="3">
        <f t="shared" si="351"/>
        <v>9.9309249228775404E-2</v>
      </c>
      <c r="J344" s="3">
        <f t="shared" si="351"/>
        <v>9.9309243499910049E-2</v>
      </c>
      <c r="K344" s="3">
        <f t="shared" si="351"/>
        <v>9.9309186211274741E-2</v>
      </c>
      <c r="L344" s="3">
        <f t="shared" si="351"/>
        <v>9.9308613326739265E-2</v>
      </c>
      <c r="M344" s="3">
        <f t="shared" si="351"/>
        <v>9.9302884663145172E-2</v>
      </c>
      <c r="N344" s="3">
        <f t="shared" si="351"/>
        <v>9.924561619939376E-2</v>
      </c>
      <c r="O344" s="3">
        <f t="shared" si="351"/>
        <v>9.8674744908088391E-2</v>
      </c>
      <c r="P344" s="3">
        <f t="shared" si="351"/>
        <v>9.3143555164465375E-2</v>
      </c>
      <c r="Q344" s="3">
        <f t="shared" si="351"/>
        <v>5.2314344799581518E-2</v>
      </c>
      <c r="R344" s="3">
        <f t="shared" si="351"/>
        <v>1.6341826356974432E-4</v>
      </c>
      <c r="S344" s="3">
        <f t="shared" si="351"/>
        <v>1.4457679801873811E-29</v>
      </c>
      <c r="T344" s="3">
        <f t="shared" si="351"/>
        <v>4.2469652528024593E-280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7.4938076557470923E-2</v>
      </c>
      <c r="C345" s="3">
        <f t="shared" si="352"/>
        <v>7.4938076557470895E-2</v>
      </c>
      <c r="D345" s="3">
        <f t="shared" si="352"/>
        <v>7.4938076557470507E-2</v>
      </c>
      <c r="E345" s="3">
        <f t="shared" si="352"/>
        <v>7.4938076557466607E-2</v>
      </c>
      <c r="F345" s="3">
        <f t="shared" si="352"/>
        <v>7.493807655742761E-2</v>
      </c>
      <c r="G345" s="3">
        <f t="shared" si="352"/>
        <v>7.4938076557037644E-2</v>
      </c>
      <c r="H345" s="3">
        <f t="shared" si="352"/>
        <v>7.4938076553137972E-2</v>
      </c>
      <c r="I345" s="3">
        <f t="shared" si="352"/>
        <v>7.493807651414125E-2</v>
      </c>
      <c r="J345" s="3">
        <f t="shared" si="352"/>
        <v>7.4938076124174066E-2</v>
      </c>
      <c r="K345" s="3">
        <f t="shared" si="352"/>
        <v>7.4938072224502356E-2</v>
      </c>
      <c r="L345" s="3">
        <f t="shared" si="352"/>
        <v>7.4938033227796463E-2</v>
      </c>
      <c r="M345" s="3">
        <f t="shared" si="352"/>
        <v>7.4937643261853551E-2</v>
      </c>
      <c r="N345" s="3">
        <f t="shared" si="352"/>
        <v>7.4933743714035508E-2</v>
      </c>
      <c r="O345" s="3">
        <f t="shared" si="352"/>
        <v>7.4894759394805832E-2</v>
      </c>
      <c r="P345" s="3">
        <f t="shared" si="352"/>
        <v>7.4506029952000646E-2</v>
      </c>
      <c r="Q345" s="3">
        <f t="shared" si="352"/>
        <v>7.0727995551531003E-2</v>
      </c>
      <c r="R345" s="3">
        <f t="shared" si="352"/>
        <v>4.2033023059301657E-2</v>
      </c>
      <c r="S345" s="3">
        <f t="shared" si="352"/>
        <v>2.309847904459093E-4</v>
      </c>
      <c r="T345" s="3">
        <f t="shared" si="352"/>
        <v>5.8011081746584647E-27</v>
      </c>
      <c r="U345" s="3">
        <f t="shared" si="352"/>
        <v>5.7914426882253585E-253</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6.9322857874701022E-2</v>
      </c>
      <c r="C346" s="3">
        <f t="shared" si="353"/>
        <v>6.9322857874701022E-2</v>
      </c>
      <c r="D346" s="3">
        <f t="shared" si="353"/>
        <v>6.932285787470098E-2</v>
      </c>
      <c r="E346" s="3">
        <f t="shared" si="353"/>
        <v>6.9322857874700661E-2</v>
      </c>
      <c r="F346" s="3">
        <f t="shared" si="353"/>
        <v>6.9322857874697399E-2</v>
      </c>
      <c r="G346" s="3">
        <f t="shared" si="353"/>
        <v>6.932285787466487E-2</v>
      </c>
      <c r="H346" s="3">
        <f t="shared" si="353"/>
        <v>6.9322857874339436E-2</v>
      </c>
      <c r="I346" s="3">
        <f t="shared" si="353"/>
        <v>6.9322857871085206E-2</v>
      </c>
      <c r="J346" s="3">
        <f t="shared" si="353"/>
        <v>6.9322857838542876E-2</v>
      </c>
      <c r="K346" s="3">
        <f t="shared" si="353"/>
        <v>6.9322857513119646E-2</v>
      </c>
      <c r="L346" s="3">
        <f t="shared" si="353"/>
        <v>6.9322854258887304E-2</v>
      </c>
      <c r="M346" s="3">
        <f t="shared" si="353"/>
        <v>6.9322821716572322E-2</v>
      </c>
      <c r="N346" s="3">
        <f t="shared" si="353"/>
        <v>6.932249629426275E-2</v>
      </c>
      <c r="O346" s="3">
        <f t="shared" si="353"/>
        <v>6.9319242155185534E-2</v>
      </c>
      <c r="P346" s="3">
        <f t="shared" si="353"/>
        <v>6.9286709164805449E-2</v>
      </c>
      <c r="Q346" s="3">
        <f t="shared" si="353"/>
        <v>6.8962217842984327E-2</v>
      </c>
      <c r="R346" s="3">
        <f t="shared" si="353"/>
        <v>6.579972440124042E-2</v>
      </c>
      <c r="S346" s="3">
        <f t="shared" si="353"/>
        <v>4.1148368448793216E-2</v>
      </c>
      <c r="T346" s="3">
        <f t="shared" si="353"/>
        <v>3.7638999709145251E-4</v>
      </c>
      <c r="U346" s="3">
        <f t="shared" si="353"/>
        <v>1.5434501428760878E-24</v>
      </c>
      <c r="V346" s="3">
        <f t="shared" si="353"/>
        <v>2.0750947274112886E-228</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2.2465875921068256E-2</v>
      </c>
      <c r="C347" s="3">
        <f t="shared" si="354"/>
        <v>2.2465875921068256E-2</v>
      </c>
      <c r="D347" s="3">
        <f t="shared" si="354"/>
        <v>2.2465875921068256E-2</v>
      </c>
      <c r="E347" s="3">
        <f t="shared" si="354"/>
        <v>2.2465875921068246E-2</v>
      </c>
      <c r="F347" s="3">
        <f t="shared" si="354"/>
        <v>2.2465875921068152E-2</v>
      </c>
      <c r="G347" s="3">
        <f t="shared" si="354"/>
        <v>2.2465875921067198E-2</v>
      </c>
      <c r="H347" s="3">
        <f t="shared" si="354"/>
        <v>2.2465875921057685E-2</v>
      </c>
      <c r="I347" s="3">
        <f t="shared" si="354"/>
        <v>2.2465875920962552E-2</v>
      </c>
      <c r="J347" s="3">
        <f t="shared" si="354"/>
        <v>2.2465875920011195E-2</v>
      </c>
      <c r="K347" s="3">
        <f t="shared" si="354"/>
        <v>2.246587591049766E-2</v>
      </c>
      <c r="L347" s="3">
        <f t="shared" si="354"/>
        <v>2.2465875815362277E-2</v>
      </c>
      <c r="M347" s="3">
        <f t="shared" si="354"/>
        <v>2.2465874864008504E-2</v>
      </c>
      <c r="N347" s="3">
        <f t="shared" si="354"/>
        <v>2.2465865350472965E-2</v>
      </c>
      <c r="O347" s="3">
        <f t="shared" si="354"/>
        <v>2.2465770215339138E-2</v>
      </c>
      <c r="P347" s="3">
        <f t="shared" si="354"/>
        <v>2.2464818886158148E-2</v>
      </c>
      <c r="Q347" s="3">
        <f t="shared" si="354"/>
        <v>2.2455307809726262E-2</v>
      </c>
      <c r="R347" s="3">
        <f t="shared" si="354"/>
        <v>2.2360418236491854E-2</v>
      </c>
      <c r="S347" s="3">
        <f t="shared" si="354"/>
        <v>2.1433298935512355E-2</v>
      </c>
      <c r="T347" s="3">
        <f t="shared" si="354"/>
        <v>1.4033952705632818E-2</v>
      </c>
      <c r="U347" s="3">
        <f t="shared" si="354"/>
        <v>2.0327776763478901E-4</v>
      </c>
      <c r="V347" s="3">
        <f t="shared" si="354"/>
        <v>8.2639679386235926E-23</v>
      </c>
      <c r="W347" s="3">
        <f t="shared" si="354"/>
        <v>1.0190043371273838E-206</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5.8329528880761261E-2</v>
      </c>
      <c r="C348" s="3">
        <f t="shared" si="355"/>
        <v>5.8329528880761261E-2</v>
      </c>
      <c r="D348" s="3">
        <f t="shared" si="355"/>
        <v>5.8329528880761261E-2</v>
      </c>
      <c r="E348" s="3">
        <f t="shared" si="355"/>
        <v>5.8329528880761254E-2</v>
      </c>
      <c r="F348" s="3">
        <f t="shared" si="355"/>
        <v>5.8329528880761185E-2</v>
      </c>
      <c r="G348" s="3">
        <f t="shared" si="355"/>
        <v>5.8329528880760505E-2</v>
      </c>
      <c r="H348" s="3">
        <f t="shared" si="355"/>
        <v>5.832952888075367E-2</v>
      </c>
      <c r="I348" s="3">
        <f t="shared" si="355"/>
        <v>5.8329528880685357E-2</v>
      </c>
      <c r="J348" s="3">
        <f t="shared" si="355"/>
        <v>5.8329528880002195E-2</v>
      </c>
      <c r="K348" s="3">
        <f t="shared" si="355"/>
        <v>5.8329528873170639E-2</v>
      </c>
      <c r="L348" s="3">
        <f t="shared" si="355"/>
        <v>5.8329528804855015E-2</v>
      </c>
      <c r="M348" s="3">
        <f t="shared" si="355"/>
        <v>5.8329528121698795E-2</v>
      </c>
      <c r="N348" s="3">
        <f t="shared" si="355"/>
        <v>5.8329521290137E-2</v>
      </c>
      <c r="O348" s="3">
        <f t="shared" si="355"/>
        <v>5.8329452974563108E-2</v>
      </c>
      <c r="P348" s="3">
        <f t="shared" si="355"/>
        <v>5.832876982322481E-2</v>
      </c>
      <c r="Q348" s="3">
        <f t="shared" si="355"/>
        <v>5.832193874988309E-2</v>
      </c>
      <c r="R348" s="3">
        <f t="shared" si="355"/>
        <v>5.8253672001526244E-2</v>
      </c>
      <c r="S348" s="3">
        <f t="shared" si="355"/>
        <v>5.7575384022881523E-2</v>
      </c>
      <c r="T348" s="3">
        <f t="shared" si="355"/>
        <v>5.1212056403669381E-2</v>
      </c>
      <c r="U348" s="3">
        <f t="shared" si="355"/>
        <v>1.5875445924543475E-2</v>
      </c>
      <c r="V348" s="3">
        <f t="shared" si="355"/>
        <v>1.3009575076455401E-7</v>
      </c>
      <c r="W348" s="3">
        <f t="shared" si="355"/>
        <v>1.7767850798888228E-58</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3.4551716494444183E-2</v>
      </c>
      <c r="C349" s="3">
        <f t="shared" si="356"/>
        <v>3.4551716494444183E-2</v>
      </c>
      <c r="D349" s="3">
        <f t="shared" si="356"/>
        <v>3.4551716494444183E-2</v>
      </c>
      <c r="E349" s="3">
        <f t="shared" si="356"/>
        <v>3.4551716494444183E-2</v>
      </c>
      <c r="F349" s="3">
        <f t="shared" si="356"/>
        <v>3.4551716494444176E-2</v>
      </c>
      <c r="G349" s="3">
        <f t="shared" si="356"/>
        <v>3.4551716494444135E-2</v>
      </c>
      <c r="H349" s="3">
        <f t="shared" si="356"/>
        <v>3.4551716494443732E-2</v>
      </c>
      <c r="I349" s="3">
        <f t="shared" si="356"/>
        <v>3.4551716494439687E-2</v>
      </c>
      <c r="J349" s="3">
        <f t="shared" si="356"/>
        <v>3.4551716494399219E-2</v>
      </c>
      <c r="K349" s="3">
        <f t="shared" si="356"/>
        <v>3.455171649399455E-2</v>
      </c>
      <c r="L349" s="3">
        <f t="shared" si="356"/>
        <v>3.4551716489947849E-2</v>
      </c>
      <c r="M349" s="3">
        <f t="shared" si="356"/>
        <v>3.4551716449480831E-2</v>
      </c>
      <c r="N349" s="3">
        <f t="shared" si="356"/>
        <v>3.4551716044810665E-2</v>
      </c>
      <c r="O349" s="3">
        <f t="shared" si="356"/>
        <v>3.4551711998109261E-2</v>
      </c>
      <c r="P349" s="3">
        <f t="shared" si="356"/>
        <v>3.4551671531121333E-2</v>
      </c>
      <c r="Q349" s="3">
        <f t="shared" si="356"/>
        <v>3.4551266863848747E-2</v>
      </c>
      <c r="R349" s="3">
        <f t="shared" si="356"/>
        <v>3.4547220451782934E-2</v>
      </c>
      <c r="S349" s="3">
        <f t="shared" si="356"/>
        <v>3.4506782385841324E-2</v>
      </c>
      <c r="T349" s="3">
        <f t="shared" si="356"/>
        <v>3.4104995942689516E-2</v>
      </c>
      <c r="U349" s="3">
        <f t="shared" si="356"/>
        <v>3.0335654820292726E-2</v>
      </c>
      <c r="V349" s="3">
        <f t="shared" si="356"/>
        <v>9.4038802872728894E-3</v>
      </c>
      <c r="W349" s="3">
        <f t="shared" si="356"/>
        <v>7.7062708782332196E-8</v>
      </c>
      <c r="X349" s="3">
        <f t="shared" si="356"/>
        <v>1.0524853454135383E-58</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3.2785105338059839E-2</v>
      </c>
      <c r="C350" s="3">
        <f t="shared" si="357"/>
        <v>3.2785105338059839E-2</v>
      </c>
      <c r="D350" s="3">
        <f t="shared" si="357"/>
        <v>3.2785105338059839E-2</v>
      </c>
      <c r="E350" s="3">
        <f t="shared" si="357"/>
        <v>3.2785105338059839E-2</v>
      </c>
      <c r="F350" s="3">
        <f t="shared" si="357"/>
        <v>3.2785105338059839E-2</v>
      </c>
      <c r="G350" s="3">
        <f t="shared" si="357"/>
        <v>3.2785105338059832E-2</v>
      </c>
      <c r="H350" s="3">
        <f t="shared" si="357"/>
        <v>3.2785105338059797E-2</v>
      </c>
      <c r="I350" s="3">
        <f t="shared" si="357"/>
        <v>3.2785105338059416E-2</v>
      </c>
      <c r="J350" s="3">
        <f t="shared" si="357"/>
        <v>3.2785105338055572E-2</v>
      </c>
      <c r="K350" s="3">
        <f t="shared" si="357"/>
        <v>3.2785105338017179E-2</v>
      </c>
      <c r="L350" s="3">
        <f t="shared" si="357"/>
        <v>3.2785105337633194E-2</v>
      </c>
      <c r="M350" s="3">
        <f t="shared" si="357"/>
        <v>3.2785105333793398E-2</v>
      </c>
      <c r="N350" s="3">
        <f t="shared" si="357"/>
        <v>3.2785105295395439E-2</v>
      </c>
      <c r="O350" s="3">
        <f t="shared" si="357"/>
        <v>3.2785104911415848E-2</v>
      </c>
      <c r="P350" s="3">
        <f t="shared" si="357"/>
        <v>3.2785101071620165E-2</v>
      </c>
      <c r="Q350" s="3">
        <f t="shared" si="357"/>
        <v>3.2785062673688123E-2</v>
      </c>
      <c r="R350" s="3">
        <f t="shared" si="357"/>
        <v>3.2784678696841103E-2</v>
      </c>
      <c r="S350" s="3">
        <f t="shared" si="357"/>
        <v>3.2780839175703562E-2</v>
      </c>
      <c r="T350" s="3">
        <f t="shared" si="357"/>
        <v>3.2742468686880633E-2</v>
      </c>
      <c r="U350" s="3">
        <f t="shared" si="357"/>
        <v>3.2361225373997618E-2</v>
      </c>
      <c r="V350" s="3">
        <f t="shared" si="357"/>
        <v>2.8784608687740354E-2</v>
      </c>
      <c r="W350" s="3">
        <f t="shared" si="357"/>
        <v>8.9230648166009653E-3</v>
      </c>
      <c r="X350" s="3">
        <f t="shared" si="357"/>
        <v>7.3122532869568016E-8</v>
      </c>
      <c r="Y350" s="3">
        <f t="shared" si="357"/>
        <v>9.9867232129250612E-59</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1.3184627495592977E-2</v>
      </c>
      <c r="C351" s="3">
        <f t="shared" si="358"/>
        <v>1.3184627495592977E-2</v>
      </c>
      <c r="D351" s="3">
        <f t="shared" si="358"/>
        <v>1.3184627495592977E-2</v>
      </c>
      <c r="E351" s="3">
        <f t="shared" si="358"/>
        <v>1.3184627495592977E-2</v>
      </c>
      <c r="F351" s="3">
        <f t="shared" si="358"/>
        <v>1.3184627495592977E-2</v>
      </c>
      <c r="G351" s="3">
        <f t="shared" si="358"/>
        <v>1.3184627495592977E-2</v>
      </c>
      <c r="H351" s="3">
        <f t="shared" si="358"/>
        <v>1.3184627495592975E-2</v>
      </c>
      <c r="I351" s="3">
        <f t="shared" si="358"/>
        <v>1.318462749559296E-2</v>
      </c>
      <c r="J351" s="3">
        <f t="shared" si="358"/>
        <v>1.3184627495592805E-2</v>
      </c>
      <c r="K351" s="3">
        <f t="shared" si="358"/>
        <v>1.3184627495591262E-2</v>
      </c>
      <c r="L351" s="3">
        <f t="shared" si="358"/>
        <v>1.3184627495575821E-2</v>
      </c>
      <c r="M351" s="3">
        <f t="shared" si="358"/>
        <v>1.3184627495421401E-2</v>
      </c>
      <c r="N351" s="3">
        <f t="shared" si="358"/>
        <v>1.3184627493877216E-2</v>
      </c>
      <c r="O351" s="3">
        <f t="shared" si="358"/>
        <v>1.3184627478435362E-2</v>
      </c>
      <c r="P351" s="3">
        <f t="shared" si="358"/>
        <v>1.318462732401683E-2</v>
      </c>
      <c r="Q351" s="3">
        <f t="shared" si="358"/>
        <v>1.318462577983159E-2</v>
      </c>
      <c r="R351" s="3">
        <f t="shared" si="358"/>
        <v>1.3184610337989162E-2</v>
      </c>
      <c r="S351" s="3">
        <f t="shared" si="358"/>
        <v>1.3184455920559579E-2</v>
      </c>
      <c r="T351" s="3">
        <f t="shared" si="358"/>
        <v>1.3182911845729318E-2</v>
      </c>
      <c r="U351" s="3">
        <f t="shared" si="358"/>
        <v>1.316748103967463E-2</v>
      </c>
      <c r="V351" s="3">
        <f t="shared" si="358"/>
        <v>1.3014162908965041E-2</v>
      </c>
      <c r="W351" s="3">
        <f t="shared" si="358"/>
        <v>1.1575815884711899E-2</v>
      </c>
      <c r="X351" s="3">
        <f t="shared" si="358"/>
        <v>3.5884370207998097E-3</v>
      </c>
      <c r="Y351" s="3">
        <f t="shared" si="358"/>
        <v>2.9406443794472215E-8</v>
      </c>
      <c r="Z351" s="3">
        <f t="shared" si="358"/>
        <v>4.0161904043404991E-59</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9.0966723550024858E-3</v>
      </c>
      <c r="C352" s="3">
        <f t="shared" si="359"/>
        <v>9.0966723550024858E-3</v>
      </c>
      <c r="D352" s="3">
        <f t="shared" si="359"/>
        <v>9.0966723550024858E-3</v>
      </c>
      <c r="E352" s="3">
        <f t="shared" si="359"/>
        <v>9.0966723550024858E-3</v>
      </c>
      <c r="F352" s="3">
        <f t="shared" si="359"/>
        <v>9.0966723550024858E-3</v>
      </c>
      <c r="G352" s="3">
        <f t="shared" si="359"/>
        <v>9.0966723550024858E-3</v>
      </c>
      <c r="H352" s="3">
        <f t="shared" si="359"/>
        <v>9.0966723550024858E-3</v>
      </c>
      <c r="I352" s="3">
        <f t="shared" si="359"/>
        <v>9.0966723550024841E-3</v>
      </c>
      <c r="J352" s="3">
        <f t="shared" si="359"/>
        <v>9.0966723550024737E-3</v>
      </c>
      <c r="K352" s="3">
        <f t="shared" si="359"/>
        <v>9.0966723550023679E-3</v>
      </c>
      <c r="L352" s="3">
        <f t="shared" si="359"/>
        <v>9.0966723550013028E-3</v>
      </c>
      <c r="M352" s="3">
        <f t="shared" si="359"/>
        <v>9.0966723549906481E-3</v>
      </c>
      <c r="N352" s="3">
        <f t="shared" si="359"/>
        <v>9.0966723548841083E-3</v>
      </c>
      <c r="O352" s="3">
        <f t="shared" si="359"/>
        <v>9.0966723538187036E-3</v>
      </c>
      <c r="P352" s="3">
        <f t="shared" si="359"/>
        <v>9.0966723431646686E-3</v>
      </c>
      <c r="Q352" s="3">
        <f t="shared" si="359"/>
        <v>9.0966722366243209E-3</v>
      </c>
      <c r="R352" s="3">
        <f t="shared" si="359"/>
        <v>9.0966711712209061E-3</v>
      </c>
      <c r="S352" s="3">
        <f t="shared" si="359"/>
        <v>9.0966605171936173E-3</v>
      </c>
      <c r="T352" s="3">
        <f t="shared" si="359"/>
        <v>9.0965539776070199E-3</v>
      </c>
      <c r="U352" s="3">
        <f t="shared" si="359"/>
        <v>9.0954886503668547E-3</v>
      </c>
      <c r="V352" s="3">
        <f t="shared" si="359"/>
        <v>9.0848422375728634E-3</v>
      </c>
      <c r="W352" s="3">
        <f t="shared" si="359"/>
        <v>8.9790611071152333E-3</v>
      </c>
      <c r="X352" s="3">
        <f t="shared" si="359"/>
        <v>7.9866802744525678E-3</v>
      </c>
      <c r="Y352" s="3">
        <f t="shared" si="359"/>
        <v>2.4758254152942986E-3</v>
      </c>
      <c r="Z352" s="3">
        <f t="shared" si="359"/>
        <v>2.0288838984152049E-8</v>
      </c>
      <c r="AA352" s="3">
        <f t="shared" si="359"/>
        <v>2.770951870714749E-59</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3.0393849329234364E-3</v>
      </c>
      <c r="C353" s="3">
        <f t="shared" si="360"/>
        <v>3.0393849329234364E-3</v>
      </c>
      <c r="D353" s="3">
        <f t="shared" si="360"/>
        <v>3.0393849329234364E-3</v>
      </c>
      <c r="E353" s="3">
        <f t="shared" si="360"/>
        <v>3.0393849329234364E-3</v>
      </c>
      <c r="F353" s="3">
        <f t="shared" si="360"/>
        <v>3.0393849329234364E-3</v>
      </c>
      <c r="G353" s="3">
        <f t="shared" si="360"/>
        <v>3.0393849329234364E-3</v>
      </c>
      <c r="H353" s="3">
        <f t="shared" si="360"/>
        <v>3.0393849329234364E-3</v>
      </c>
      <c r="I353" s="3">
        <f t="shared" si="360"/>
        <v>3.0393849329234364E-3</v>
      </c>
      <c r="J353" s="3">
        <f t="shared" si="360"/>
        <v>3.039384932923436E-3</v>
      </c>
      <c r="K353" s="3">
        <f t="shared" si="360"/>
        <v>3.0393849329234325E-3</v>
      </c>
      <c r="L353" s="3">
        <f t="shared" si="360"/>
        <v>3.039384932923397E-3</v>
      </c>
      <c r="M353" s="3">
        <f t="shared" si="360"/>
        <v>3.0393849329230409E-3</v>
      </c>
      <c r="N353" s="3">
        <f t="shared" si="360"/>
        <v>3.0393849329194813E-3</v>
      </c>
      <c r="O353" s="3">
        <f t="shared" si="360"/>
        <v>3.0393849328838839E-3</v>
      </c>
      <c r="P353" s="3">
        <f t="shared" si="360"/>
        <v>3.0393849325279108E-3</v>
      </c>
      <c r="Q353" s="3">
        <f t="shared" si="360"/>
        <v>3.0393849289681789E-3</v>
      </c>
      <c r="R353" s="3">
        <f t="shared" si="360"/>
        <v>3.0393848933708621E-3</v>
      </c>
      <c r="S353" s="3">
        <f t="shared" si="360"/>
        <v>3.0393845373977144E-3</v>
      </c>
      <c r="T353" s="3">
        <f t="shared" si="360"/>
        <v>3.0393809776685355E-3</v>
      </c>
      <c r="U353" s="3">
        <f t="shared" si="360"/>
        <v>3.0393453806060464E-3</v>
      </c>
      <c r="V353" s="3">
        <f t="shared" si="360"/>
        <v>3.0389894329104464E-3</v>
      </c>
      <c r="W353" s="3">
        <f t="shared" si="360"/>
        <v>3.0354322478901522E-3</v>
      </c>
      <c r="X353" s="3">
        <f t="shared" si="360"/>
        <v>3.0000886011638059E-3</v>
      </c>
      <c r="Y353" s="3">
        <f t="shared" si="360"/>
        <v>2.6685137974545984E-3</v>
      </c>
      <c r="Z353" s="3">
        <f t="shared" si="360"/>
        <v>8.2722408482220687E-4</v>
      </c>
      <c r="AA353" s="3">
        <f t="shared" si="360"/>
        <v>6.7789175105366895E-9</v>
      </c>
      <c r="AB353" s="3">
        <f t="shared" si="360"/>
        <v>9.2583189072155126E-60</v>
      </c>
      <c r="AC353" s="3">
        <f t="shared" si="360"/>
        <v>0</v>
      </c>
      <c r="AD353" s="3">
        <f t="shared" si="360"/>
        <v>0</v>
      </c>
      <c r="AE353" s="3">
        <f t="shared" si="360"/>
        <v>0</v>
      </c>
      <c r="AF353" s="3">
        <f t="shared" si="360"/>
        <v>0</v>
      </c>
      <c r="AG353" s="3"/>
      <c r="AH353" s="3"/>
    </row>
    <row r="354" spans="1:34" x14ac:dyDescent="0.25">
      <c r="B354" s="3">
        <f t="shared" ref="B354:AF354" si="361">$C45*EXP(-B$363/$A45/EXP(-$G$126))</f>
        <v>2.6495422897411186E-3</v>
      </c>
      <c r="C354" s="3">
        <f t="shared" si="361"/>
        <v>2.6495422897411186E-3</v>
      </c>
      <c r="D354" s="3">
        <f t="shared" si="361"/>
        <v>2.6495422897411186E-3</v>
      </c>
      <c r="E354" s="3">
        <f t="shared" si="361"/>
        <v>2.6495422897411186E-3</v>
      </c>
      <c r="F354" s="3">
        <f t="shared" si="361"/>
        <v>2.6495422897411186E-3</v>
      </c>
      <c r="G354" s="3">
        <f t="shared" si="361"/>
        <v>2.6495422897411186E-3</v>
      </c>
      <c r="H354" s="3">
        <f t="shared" si="361"/>
        <v>2.6495422897411186E-3</v>
      </c>
      <c r="I354" s="3">
        <f t="shared" si="361"/>
        <v>2.6495422897411186E-3</v>
      </c>
      <c r="J354" s="3">
        <f t="shared" si="361"/>
        <v>2.6495422897411186E-3</v>
      </c>
      <c r="K354" s="3">
        <f t="shared" si="361"/>
        <v>2.6495422897411182E-3</v>
      </c>
      <c r="L354" s="3">
        <f t="shared" si="361"/>
        <v>2.6495422897411152E-3</v>
      </c>
      <c r="M354" s="3">
        <f t="shared" si="361"/>
        <v>2.6495422897410844E-3</v>
      </c>
      <c r="N354" s="3">
        <f t="shared" si="361"/>
        <v>2.6495422897407739E-3</v>
      </c>
      <c r="O354" s="3">
        <f t="shared" si="361"/>
        <v>2.6495422897376709E-3</v>
      </c>
      <c r="P354" s="3">
        <f t="shared" si="361"/>
        <v>2.6495422897066393E-3</v>
      </c>
      <c r="Q354" s="3">
        <f t="shared" si="361"/>
        <v>2.6495422893963246E-3</v>
      </c>
      <c r="R354" s="3">
        <f t="shared" si="361"/>
        <v>2.6495422862931771E-3</v>
      </c>
      <c r="S354" s="3">
        <f t="shared" si="361"/>
        <v>2.6495422552617024E-3</v>
      </c>
      <c r="T354" s="3">
        <f t="shared" si="361"/>
        <v>2.6495419449469744E-3</v>
      </c>
      <c r="U354" s="3">
        <f t="shared" si="361"/>
        <v>2.6495388418016973E-3</v>
      </c>
      <c r="V354" s="3">
        <f t="shared" si="361"/>
        <v>2.6495078105488166E-3</v>
      </c>
      <c r="W354" s="3">
        <f t="shared" si="361"/>
        <v>2.6491975180083054E-3</v>
      </c>
      <c r="X354" s="3">
        <f t="shared" si="361"/>
        <v>2.6460965905668321E-3</v>
      </c>
      <c r="Y354" s="3">
        <f t="shared" si="361"/>
        <v>2.6152862494149948E-3</v>
      </c>
      <c r="Z354" s="3">
        <f t="shared" si="361"/>
        <v>2.3262404444155116E-3</v>
      </c>
      <c r="AA354" s="3">
        <f t="shared" si="361"/>
        <v>7.2112129401150874E-4</v>
      </c>
      <c r="AB354" s="3">
        <f t="shared" si="361"/>
        <v>5.9094287229876167E-9</v>
      </c>
      <c r="AC354" s="3">
        <f t="shared" si="361"/>
        <v>8.0708130157711782E-60</v>
      </c>
      <c r="AD354" s="3">
        <f t="shared" si="361"/>
        <v>0</v>
      </c>
      <c r="AE354" s="3">
        <f t="shared" si="361"/>
        <v>0</v>
      </c>
      <c r="AF354" s="3">
        <f t="shared" si="361"/>
        <v>0</v>
      </c>
      <c r="AG354" s="3"/>
      <c r="AH354" s="3"/>
    </row>
    <row r="355" spans="1:34" x14ac:dyDescent="0.25">
      <c r="B355" s="3">
        <f t="shared" ref="B355:AF355" si="362">$C46*EXP(-B$363/$A46/EXP(-$G$126))</f>
        <v>6.8554497859674352E-4</v>
      </c>
      <c r="C355" s="3">
        <f t="shared" si="362"/>
        <v>6.8554497859674352E-4</v>
      </c>
      <c r="D355" s="3">
        <f t="shared" si="362"/>
        <v>6.8554497859674352E-4</v>
      </c>
      <c r="E355" s="3">
        <f t="shared" si="362"/>
        <v>6.8554497859674352E-4</v>
      </c>
      <c r="F355" s="3">
        <f t="shared" si="362"/>
        <v>6.8554497859674352E-4</v>
      </c>
      <c r="G355" s="3">
        <f t="shared" si="362"/>
        <v>6.8554497859674352E-4</v>
      </c>
      <c r="H355" s="3">
        <f t="shared" si="362"/>
        <v>6.8554497859674352E-4</v>
      </c>
      <c r="I355" s="3">
        <f t="shared" si="362"/>
        <v>6.8554497859674352E-4</v>
      </c>
      <c r="J355" s="3">
        <f t="shared" si="362"/>
        <v>6.8554497859674352E-4</v>
      </c>
      <c r="K355" s="3">
        <f t="shared" si="362"/>
        <v>6.8554497859674352E-4</v>
      </c>
      <c r="L355" s="3">
        <f t="shared" si="362"/>
        <v>6.8554497859674342E-4</v>
      </c>
      <c r="M355" s="3">
        <f t="shared" si="362"/>
        <v>6.8554497859674266E-4</v>
      </c>
      <c r="N355" s="3">
        <f t="shared" si="362"/>
        <v>6.8554497859673463E-4</v>
      </c>
      <c r="O355" s="3">
        <f t="shared" si="362"/>
        <v>6.8554497859665429E-4</v>
      </c>
      <c r="P355" s="3">
        <f t="shared" si="362"/>
        <v>6.8554497859585144E-4</v>
      </c>
      <c r="Q355" s="3">
        <f t="shared" si="362"/>
        <v>6.8554497858782227E-4</v>
      </c>
      <c r="R355" s="3">
        <f t="shared" si="362"/>
        <v>6.8554497850753114E-4</v>
      </c>
      <c r="S355" s="3">
        <f t="shared" si="362"/>
        <v>6.8554497770462002E-4</v>
      </c>
      <c r="T355" s="3">
        <f t="shared" si="362"/>
        <v>6.8554496967550803E-4</v>
      </c>
      <c r="U355" s="3">
        <f t="shared" si="362"/>
        <v>6.8554488938439345E-4</v>
      </c>
      <c r="V355" s="3">
        <f t="shared" si="362"/>
        <v>6.8554408647376593E-4</v>
      </c>
      <c r="W355" s="3">
        <f t="shared" si="362"/>
        <v>6.8553605741921027E-4</v>
      </c>
      <c r="X355" s="3">
        <f t="shared" si="362"/>
        <v>6.8545577204544327E-4</v>
      </c>
      <c r="Y355" s="3">
        <f t="shared" si="362"/>
        <v>6.8465343526269917E-4</v>
      </c>
      <c r="Z355" s="3">
        <f t="shared" si="362"/>
        <v>6.7668153960839046E-4</v>
      </c>
      <c r="AA355" s="3">
        <f t="shared" si="362"/>
        <v>6.0189356548580699E-4</v>
      </c>
      <c r="AB355" s="3">
        <f t="shared" si="362"/>
        <v>1.8658357859880725E-4</v>
      </c>
      <c r="AC355" s="3">
        <f t="shared" si="362"/>
        <v>1.5290109552527125E-9</v>
      </c>
      <c r="AD355" s="3">
        <f t="shared" si="362"/>
        <v>2.0882494903283012E-60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1.0364161747734975E-2</v>
      </c>
      <c r="C357" s="3">
        <f t="shared" si="364"/>
        <v>1.0364161747734975E-2</v>
      </c>
      <c r="D357" s="3">
        <f t="shared" si="364"/>
        <v>1.0364161747734975E-2</v>
      </c>
      <c r="E357" s="3">
        <f t="shared" si="364"/>
        <v>1.0364161747734975E-2</v>
      </c>
      <c r="F357" s="3">
        <f t="shared" si="364"/>
        <v>1.0364161747734975E-2</v>
      </c>
      <c r="G357" s="3">
        <f t="shared" si="364"/>
        <v>1.0364161747734975E-2</v>
      </c>
      <c r="H357" s="3">
        <f t="shared" si="364"/>
        <v>1.0364161747734975E-2</v>
      </c>
      <c r="I357" s="3">
        <f t="shared" si="364"/>
        <v>1.0364161747734975E-2</v>
      </c>
      <c r="J357" s="3">
        <f t="shared" si="364"/>
        <v>1.0364161747734975E-2</v>
      </c>
      <c r="K357" s="3">
        <f t="shared" si="364"/>
        <v>1.0364161747734975E-2</v>
      </c>
      <c r="L357" s="3">
        <f t="shared" si="364"/>
        <v>1.0364161747734975E-2</v>
      </c>
      <c r="M357" s="3">
        <f t="shared" si="364"/>
        <v>1.0364161747734975E-2</v>
      </c>
      <c r="N357" s="3">
        <f t="shared" si="364"/>
        <v>1.0364161747734973E-2</v>
      </c>
      <c r="O357" s="3">
        <f t="shared" si="364"/>
        <v>1.0364161747734961E-2</v>
      </c>
      <c r="P357" s="3">
        <f t="shared" si="364"/>
        <v>1.036416174773484E-2</v>
      </c>
      <c r="Q357" s="3">
        <f t="shared" si="364"/>
        <v>1.0364161747733627E-2</v>
      </c>
      <c r="R357" s="3">
        <f t="shared" si="364"/>
        <v>1.0364161747721487E-2</v>
      </c>
      <c r="S357" s="3">
        <f t="shared" si="364"/>
        <v>1.0364161747600102E-2</v>
      </c>
      <c r="T357" s="3">
        <f t="shared" si="364"/>
        <v>1.036416174638625E-2</v>
      </c>
      <c r="U357" s="3">
        <f t="shared" si="364"/>
        <v>1.0364161734247731E-2</v>
      </c>
      <c r="V357" s="3">
        <f t="shared" si="364"/>
        <v>1.036416161286253E-2</v>
      </c>
      <c r="W357" s="3">
        <f t="shared" si="364"/>
        <v>1.0364160399010596E-2</v>
      </c>
      <c r="X357" s="3">
        <f t="shared" si="364"/>
        <v>1.0364148260499086E-2</v>
      </c>
      <c r="Y357" s="3">
        <f t="shared" si="364"/>
        <v>1.0364026876165899E-2</v>
      </c>
      <c r="Z357" s="3">
        <f t="shared" si="364"/>
        <v>1.036281311102185E-2</v>
      </c>
      <c r="AA357" s="3">
        <f t="shared" si="364"/>
        <v>1.035068327497588E-2</v>
      </c>
      <c r="AB357" s="3">
        <f t="shared" si="364"/>
        <v>1.0230163077794301E-2</v>
      </c>
      <c r="AC357" s="3">
        <f t="shared" si="364"/>
        <v>9.099508365424485E-3</v>
      </c>
      <c r="AD357" s="3">
        <f t="shared" si="364"/>
        <v>2.8207957879402171E-3</v>
      </c>
      <c r="AE357" s="3">
        <f t="shared" si="364"/>
        <v>2.3115794512469866E-8</v>
      </c>
      <c r="AF357" s="3">
        <f t="shared" si="364"/>
        <v>3.1570438356486921E-59</v>
      </c>
      <c r="AG357" s="3"/>
      <c r="AH357" s="3"/>
    </row>
    <row r="358" spans="1:34" x14ac:dyDescent="0.25">
      <c r="A358" s="79">
        <f>AVERAGE(B358:AF358)</f>
        <v>2.6161470793159402E-2</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5.135036148257098E-2</v>
      </c>
      <c r="M358" s="80">
        <f t="shared" si="365"/>
        <v>5.2917571437875933E-2</v>
      </c>
      <c r="N358" s="80">
        <f t="shared" si="365"/>
        <v>5.5889875876269784E-2</v>
      </c>
      <c r="O358" s="80">
        <f t="shared" si="365"/>
        <v>5.6573831363148565E-2</v>
      </c>
      <c r="P358" s="80">
        <f t="shared" si="365"/>
        <v>9.4370102767673703E-3</v>
      </c>
      <c r="Q358" s="80">
        <f t="shared" si="365"/>
        <v>7.661392705087558E-2</v>
      </c>
      <c r="R358" s="80">
        <f t="shared" si="365"/>
        <v>0.1013910634240273</v>
      </c>
      <c r="S358" s="80">
        <f t="shared" si="365"/>
        <v>4.8195407472869239E-2</v>
      </c>
      <c r="T358" s="80">
        <f t="shared" si="365"/>
        <v>4.9375579812111603E-2</v>
      </c>
      <c r="U358" s="80">
        <f t="shared" si="365"/>
        <v>0.12503554612387946</v>
      </c>
      <c r="V358" s="80">
        <f t="shared" si="365"/>
        <v>0.18422542026754549</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124446.34263978357</v>
      </c>
      <c r="C359" s="21">
        <f t="shared" ref="C359:AF359" si="366">(C326-C325)^2</f>
        <v>169191.3579187977</v>
      </c>
      <c r="D359" s="21">
        <f t="shared" si="366"/>
        <v>150073.94094767052</v>
      </c>
      <c r="E359" s="21">
        <f t="shared" si="366"/>
        <v>154957.1298420344</v>
      </c>
      <c r="F359" s="21">
        <f t="shared" si="366"/>
        <v>163781.89700144221</v>
      </c>
      <c r="G359" s="21">
        <f t="shared" si="366"/>
        <v>194301.28767441117</v>
      </c>
      <c r="H359" s="21">
        <f t="shared" si="366"/>
        <v>193085.70990755357</v>
      </c>
      <c r="I359" s="21">
        <f t="shared" si="366"/>
        <v>155457.82772112577</v>
      </c>
      <c r="J359" s="21">
        <f t="shared" si="366"/>
        <v>130845.55893516893</v>
      </c>
      <c r="K359" s="21">
        <f t="shared" si="366"/>
        <v>130507.14090548133</v>
      </c>
      <c r="L359" s="21">
        <f t="shared" si="366"/>
        <v>124319.65004310592</v>
      </c>
      <c r="M359" s="21">
        <f t="shared" si="366"/>
        <v>121639.20429422935</v>
      </c>
      <c r="N359" s="21">
        <f t="shared" si="366"/>
        <v>123937.40330947912</v>
      </c>
      <c r="O359" s="21">
        <f t="shared" si="366"/>
        <v>113144.78836021142</v>
      </c>
      <c r="P359" s="21">
        <f t="shared" si="366"/>
        <v>2741.6438233920426</v>
      </c>
      <c r="Q359" s="21">
        <f t="shared" si="366"/>
        <v>145214.09712914506</v>
      </c>
      <c r="R359" s="21">
        <f t="shared" si="366"/>
        <v>167928.56759112878</v>
      </c>
      <c r="S359" s="21">
        <f t="shared" si="366"/>
        <v>20873.556507942976</v>
      </c>
      <c r="T359" s="21">
        <f t="shared" si="366"/>
        <v>10946.154886609793</v>
      </c>
      <c r="U359" s="21">
        <f t="shared" si="366"/>
        <v>32054.977105224756</v>
      </c>
      <c r="V359" s="21">
        <f t="shared" si="366"/>
        <v>31791.050279171424</v>
      </c>
      <c r="W359" s="21">
        <f t="shared" si="366"/>
        <v>14172.136321620423</v>
      </c>
      <c r="X359" s="21">
        <f t="shared" si="366"/>
        <v>3407.704791515755</v>
      </c>
      <c r="Y359" s="21">
        <f t="shared" si="366"/>
        <v>795.06515175813877</v>
      </c>
      <c r="Z359" s="21">
        <f t="shared" si="366"/>
        <v>135.01012793263428</v>
      </c>
      <c r="AA359" s="21">
        <f t="shared" si="366"/>
        <v>77.857044700468876</v>
      </c>
      <c r="AB359" s="21">
        <f t="shared" si="366"/>
        <v>54.409261738052408</v>
      </c>
      <c r="AC359" s="21">
        <f t="shared" si="366"/>
        <v>14.328623411985216</v>
      </c>
      <c r="AD359" s="21">
        <f t="shared" si="366"/>
        <v>2342.1439950311142</v>
      </c>
      <c r="AE359" s="21">
        <f t="shared" si="366"/>
        <v>6276.3063489405886</v>
      </c>
      <c r="AF359" s="21">
        <f t="shared" si="366"/>
        <v>5799.4677317470432</v>
      </c>
      <c r="AG359" s="3"/>
      <c r="AH359" s="3"/>
    </row>
    <row r="360" spans="1:34" x14ac:dyDescent="0.25">
      <c r="A360" s="71">
        <f>SUM(B360:AF360)</f>
        <v>894591.09332964057</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124319.65004310592</v>
      </c>
      <c r="M360" s="60">
        <f t="shared" si="367"/>
        <v>121639.20429422935</v>
      </c>
      <c r="N360" s="60">
        <f t="shared" si="367"/>
        <v>123937.40330947912</v>
      </c>
      <c r="O360" s="60">
        <f t="shared" si="367"/>
        <v>113144.78836021142</v>
      </c>
      <c r="P360" s="60">
        <f t="shared" si="367"/>
        <v>2741.6438233920426</v>
      </c>
      <c r="Q360" s="60">
        <f t="shared" si="367"/>
        <v>145214.09712914506</v>
      </c>
      <c r="R360" s="60">
        <f t="shared" si="367"/>
        <v>167928.56759112878</v>
      </c>
      <c r="S360" s="60">
        <f t="shared" si="367"/>
        <v>20873.556507942976</v>
      </c>
      <c r="T360" s="60">
        <f t="shared" si="367"/>
        <v>10946.154886609793</v>
      </c>
      <c r="U360" s="60">
        <f t="shared" si="367"/>
        <v>32054.977105224756</v>
      </c>
      <c r="V360" s="60">
        <f t="shared" si="367"/>
        <v>31791.050279171424</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9039.8670430819093</v>
      </c>
      <c r="C364" s="26">
        <f>INDEX(Comparison!$AM$3:$AS$33,G$14,$H$122)</f>
        <v>8723.1350121775959</v>
      </c>
      <c r="D364" s="26">
        <f>INDEX(Comparison!$AM$3:$AS$33,H$14,$H$122)</f>
        <v>8412.4411255307823</v>
      </c>
      <c r="E364" s="26">
        <f>INDEX(Comparison!$AM$3:$AS$33,I$14,$H$122)</f>
        <v>8064.2181617455262</v>
      </c>
      <c r="F364" s="26">
        <f>INDEX(Comparison!$AM$3:$AS$33,J$14,$H$122)</f>
        <v>7728.4680221740073</v>
      </c>
      <c r="G364" s="26">
        <f>INDEX(Comparison!$AM$3:$AS$33,K$14,$H$122)</f>
        <v>7458.8734765357476</v>
      </c>
      <c r="H364" s="26">
        <f>INDEX(Comparison!$AM$3:$AS$33,L$14,$H$122)</f>
        <v>7186.4338001487413</v>
      </c>
      <c r="I364" s="26">
        <f>INDEX(Comparison!$AM$3:$AS$33,M$14,$H$122)</f>
        <v>6923.3670228065112</v>
      </c>
      <c r="J364" s="26">
        <f>INDEX(Comparison!$AM$3:$AS$33,N$14,$H$122)</f>
        <v>6642.6199774647403</v>
      </c>
      <c r="K364" s="26">
        <f>INDEX(Comparison!$AM$3:$AS$33,O$14,$H$122)</f>
        <v>6381.2467017614817</v>
      </c>
      <c r="L364" s="26">
        <f>INDEX(Comparison!$AM$3:$AS$33,P$14,$H$122)</f>
        <v>6048.4964574924006</v>
      </c>
      <c r="M364" s="26">
        <f>INDEX(Comparison!$AM$3:$AS$33,Q$14,$H$122)</f>
        <v>5696.5517580815231</v>
      </c>
      <c r="N364" s="26">
        <f>INDEX(Comparison!$AM$3:$AS$33,R$14,$H$122)</f>
        <v>5284.0344872686346</v>
      </c>
      <c r="O364" s="26">
        <f>INDEX(Comparison!$AM$3:$AS$33,S$14,$H$122)</f>
        <v>4808.4059861038604</v>
      </c>
      <c r="P364" s="26">
        <f>INDEX(Comparison!$AM$3:$AS$33,T$14,$H$122)</f>
        <v>4180.5720256158129</v>
      </c>
      <c r="Q364" s="26">
        <f>INDEX(Comparison!$AM$3:$AS$33,U$14,$H$122)</f>
        <v>3284.9966289927738</v>
      </c>
      <c r="R364" s="26">
        <f>INDEX(Comparison!$AM$3:$AS$33,V$14,$H$122)</f>
        <v>2245.2955925232422</v>
      </c>
      <c r="S364" s="26">
        <f>INDEX(Comparison!$AM$3:$AS$33,W$14,$H$122)</f>
        <v>1455.0382053123094</v>
      </c>
      <c r="T364" s="26">
        <f>INDEX(Comparison!$AM$3:$AS$33,X$14,$H$122)</f>
        <v>939.75400333325899</v>
      </c>
      <c r="U364" s="26">
        <f>INDEX(Comparison!$AM$3:$AS$33,Y$14,$H$122)</f>
        <v>667.66248335298053</v>
      </c>
      <c r="V364" s="26">
        <f>INDEX(Comparison!$AM$3:$AS$33,Z$14,$H$122)</f>
        <v>524.73653922891083</v>
      </c>
      <c r="W364" s="26">
        <f>INDEX(Comparison!$AM$3:$AS$33,AA$14,$H$122)</f>
        <v>458.1071148045329</v>
      </c>
      <c r="X364" s="26">
        <f>INDEX(Comparison!$AM$3:$AS$33,AB$14,$H$122)</f>
        <v>416.14335450856197</v>
      </c>
      <c r="Y364" s="26">
        <f>INDEX(Comparison!$AM$3:$AS$33,AC$14,$H$122)</f>
        <v>393.17885286775953</v>
      </c>
      <c r="Z364" s="26">
        <f>INDEX(Comparison!$AM$3:$AS$33,AD$14,$H$122)</f>
        <v>379.36405724647841</v>
      </c>
      <c r="AA364" s="26">
        <f>INDEX(Comparison!$AM$3:$AS$33,AE$14,$H$122)</f>
        <v>357.29334618358928</v>
      </c>
      <c r="AB364" s="26">
        <f>INDEX(Comparison!$AM$3:$AS$33,AF$14,$H$122)</f>
        <v>350.56361233759071</v>
      </c>
      <c r="AC364" s="26">
        <f>INDEX(Comparison!$AM$3:$AS$33,AG$14,$H$122)</f>
        <v>345.69227327199394</v>
      </c>
      <c r="AD364" s="26">
        <f>INDEX(Comparison!$AM$3:$AS$33,AH$14,$H$122)</f>
        <v>345.40832820533547</v>
      </c>
      <c r="AE364" s="26">
        <f>INDEX(Comparison!$AM$3:$AS$33,AI$14,$H$122)</f>
        <v>343.52176757284224</v>
      </c>
      <c r="AF364" s="26">
        <f>INDEX(Comparison!$AM$3:$AS$33,AJ$14,$H$122)</f>
        <v>342.36979608181048</v>
      </c>
      <c r="AG364" s="26"/>
      <c r="AH364" s="26"/>
    </row>
    <row r="365" spans="1:34" x14ac:dyDescent="0.25">
      <c r="A365" s="70" t="s">
        <v>22</v>
      </c>
      <c r="B365" s="27">
        <f>($C$17+SUM(B366:B396))*$B$51</f>
        <v>9584.4352090385291</v>
      </c>
      <c r="C365" s="27">
        <f t="shared" ref="C365:AF365" si="368">($C$17+SUM(C366:C396))*$B$51</f>
        <v>9337.0363873821643</v>
      </c>
      <c r="D365" s="27">
        <f t="shared" si="368"/>
        <v>9072.2459116200898</v>
      </c>
      <c r="E365" s="27">
        <f t="shared" si="368"/>
        <v>8775.1595148746237</v>
      </c>
      <c r="F365" s="27">
        <f t="shared" si="368"/>
        <v>8419.0679714788403</v>
      </c>
      <c r="G365" s="27">
        <f t="shared" si="368"/>
        <v>8064.5919912175623</v>
      </c>
      <c r="H365" s="27">
        <f t="shared" si="368"/>
        <v>7766.0746764969845</v>
      </c>
      <c r="I365" s="27">
        <f t="shared" si="368"/>
        <v>7493.1908890295335</v>
      </c>
      <c r="J365" s="27">
        <f t="shared" si="368"/>
        <v>7210.2443249260095</v>
      </c>
      <c r="K365" s="27">
        <f t="shared" si="368"/>
        <v>6931.432259287536</v>
      </c>
      <c r="L365" s="27">
        <f t="shared" si="368"/>
        <v>6642.0093222229934</v>
      </c>
      <c r="M365" s="27">
        <f t="shared" si="368"/>
        <v>6269.0411234957528</v>
      </c>
      <c r="N365" s="27">
        <f t="shared" si="368"/>
        <v>5574.1954606020072</v>
      </c>
      <c r="O365" s="27">
        <f t="shared" si="368"/>
        <v>4565.4794525203124</v>
      </c>
      <c r="P365" s="27">
        <f t="shared" si="368"/>
        <v>3611.3602141480342</v>
      </c>
      <c r="Q365" s="27">
        <f t="shared" si="368"/>
        <v>2835.8357231017899</v>
      </c>
      <c r="R365" s="27">
        <f t="shared" si="368"/>
        <v>2212.474152300545</v>
      </c>
      <c r="S365" s="27">
        <f t="shared" si="368"/>
        <v>1592.8075069403556</v>
      </c>
      <c r="T365" s="27">
        <f t="shared" si="368"/>
        <v>1134.7909340155843</v>
      </c>
      <c r="U365" s="27">
        <f t="shared" si="368"/>
        <v>785.43141564494636</v>
      </c>
      <c r="V365" s="27">
        <f t="shared" si="368"/>
        <v>586.01696268861542</v>
      </c>
      <c r="W365" s="27">
        <f t="shared" si="368"/>
        <v>479.59941612173577</v>
      </c>
      <c r="X365" s="27">
        <f t="shared" si="368"/>
        <v>428.49968868013934</v>
      </c>
      <c r="Y365" s="27">
        <f t="shared" si="368"/>
        <v>400.02079897120814</v>
      </c>
      <c r="Z365" s="27">
        <f t="shared" si="368"/>
        <v>386.13784270674455</v>
      </c>
      <c r="AA365" s="27">
        <f t="shared" si="368"/>
        <v>370.52423644651435</v>
      </c>
      <c r="AB365" s="27">
        <f t="shared" si="368"/>
        <v>297.21127865401638</v>
      </c>
      <c r="AC365" s="27">
        <f t="shared" si="368"/>
        <v>267.59100320637026</v>
      </c>
      <c r="AD365" s="27">
        <f t="shared" si="368"/>
        <v>267.5908878775283</v>
      </c>
      <c r="AE365" s="27">
        <f t="shared" si="368"/>
        <v>267.5908878775283</v>
      </c>
      <c r="AF365" s="27">
        <f t="shared" si="368"/>
        <v>267.5908878775283</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1.8982989296530788E-141</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6.4588842543392964E-15</v>
      </c>
      <c r="C369" s="3">
        <f t="shared" si="372"/>
        <v>1.1161208307839074E-127</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1.9707025211126604E-3</v>
      </c>
      <c r="C370" s="3">
        <f t="shared" si="373"/>
        <v>1.3258986358816479E-13</v>
      </c>
      <c r="D370" s="3">
        <f t="shared" si="373"/>
        <v>2.5200133411609107E-115</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1.7233058935385934E-2</v>
      </c>
      <c r="C371" s="3">
        <f t="shared" si="374"/>
        <v>2.0833074165673687E-3</v>
      </c>
      <c r="D371" s="3">
        <f t="shared" si="374"/>
        <v>1.3888752117348205E-12</v>
      </c>
      <c r="E371" s="3">
        <f t="shared" si="374"/>
        <v>2.408584545727899E-104</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2.342038325480205E-2</v>
      </c>
      <c r="C372" s="3">
        <f t="shared" si="375"/>
        <v>1.9356107743145355E-2</v>
      </c>
      <c r="D372" s="3">
        <f t="shared" si="375"/>
        <v>2.8777851231880239E-3</v>
      </c>
      <c r="E372" s="3">
        <f t="shared" si="375"/>
        <v>1.5186639573749317E-11</v>
      </c>
      <c r="F372" s="3">
        <f t="shared" si="375"/>
        <v>2.5438699982809919E-94</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2.6265304005332387E-2</v>
      </c>
      <c r="C373" s="3">
        <f t="shared" si="376"/>
        <v>2.5817569276286607E-2</v>
      </c>
      <c r="D373" s="3">
        <f t="shared" si="376"/>
        <v>2.1739249288174976E-2</v>
      </c>
      <c r="E373" s="3">
        <f t="shared" si="376"/>
        <v>3.8952600742548815E-3</v>
      </c>
      <c r="F373" s="3">
        <f t="shared" si="376"/>
        <v>1.3287877840608508E-10</v>
      </c>
      <c r="G373" s="3">
        <f t="shared" si="376"/>
        <v>2.8356152346610856E-85</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3.4151316037041524E-2</v>
      </c>
      <c r="C374" s="3">
        <f t="shared" si="377"/>
        <v>3.4098388239350512E-2</v>
      </c>
      <c r="D374" s="3">
        <f t="shared" si="377"/>
        <v>3.3573600871476969E-2</v>
      </c>
      <c r="E374" s="3">
        <f t="shared" si="377"/>
        <v>2.8750052496797761E-2</v>
      </c>
      <c r="F374" s="3">
        <f t="shared" si="377"/>
        <v>6.0960122465810208E-3</v>
      </c>
      <c r="G374" s="3">
        <f t="shared" si="377"/>
        <v>1.1197413559903338E-9</v>
      </c>
      <c r="H374" s="3">
        <f t="shared" si="377"/>
        <v>4.895945736638626E-77</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3.3562743682489626E-2</v>
      </c>
      <c r="C375" s="3">
        <f t="shared" si="378"/>
        <v>3.3558048128937264E-2</v>
      </c>
      <c r="D375" s="3">
        <f t="shared" si="378"/>
        <v>3.3511128709157484E-2</v>
      </c>
      <c r="E375" s="3">
        <f t="shared" si="378"/>
        <v>3.3045527459106522E-2</v>
      </c>
      <c r="F375" s="3">
        <f t="shared" si="378"/>
        <v>2.8730885605779945E-2</v>
      </c>
      <c r="G375" s="3">
        <f t="shared" si="378"/>
        <v>7.0910779540979026E-3</v>
      </c>
      <c r="H375" s="3">
        <f t="shared" si="378"/>
        <v>5.9476407343707749E-9</v>
      </c>
      <c r="I375" s="3">
        <f t="shared" si="378"/>
        <v>1.0248714664576905E-69</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2.5958672655115183E-2</v>
      </c>
      <c r="C376" s="3">
        <f t="shared" si="379"/>
        <v>2.595834502330949E-2</v>
      </c>
      <c r="D376" s="3">
        <f t="shared" si="379"/>
        <v>2.5955068932676316E-2</v>
      </c>
      <c r="E376" s="3">
        <f t="shared" si="379"/>
        <v>2.5922330758105697E-2</v>
      </c>
      <c r="F376" s="3">
        <f t="shared" si="379"/>
        <v>2.5597211608742031E-2</v>
      </c>
      <c r="G376" s="3">
        <f t="shared" si="379"/>
        <v>2.2562060971336492E-2</v>
      </c>
      <c r="H376" s="3">
        <f t="shared" si="379"/>
        <v>6.3861610491440582E-3</v>
      </c>
      <c r="I376" s="3">
        <f t="shared" si="379"/>
        <v>2.1079040931689208E-8</v>
      </c>
      <c r="J376" s="3">
        <f t="shared" si="379"/>
        <v>3.2356434078115279E-63</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2.4505484824775714E-2</v>
      </c>
      <c r="C377" s="3">
        <f t="shared" si="380"/>
        <v>2.4505456924020619E-2</v>
      </c>
      <c r="D377" s="3">
        <f t="shared" si="380"/>
        <v>2.4505177918216811E-2</v>
      </c>
      <c r="E377" s="3">
        <f t="shared" si="380"/>
        <v>2.4502388034886226E-2</v>
      </c>
      <c r="F377" s="3">
        <f t="shared" si="380"/>
        <v>2.4474506664971866E-2</v>
      </c>
      <c r="G377" s="3">
        <f t="shared" si="380"/>
        <v>2.4197431970626876E-2</v>
      </c>
      <c r="H377" s="3">
        <f t="shared" si="380"/>
        <v>2.1593477501245673E-2</v>
      </c>
      <c r="I377" s="3">
        <f t="shared" si="380"/>
        <v>6.9160113637927057E-3</v>
      </c>
      <c r="J377" s="3">
        <f t="shared" si="380"/>
        <v>7.8557344612895356E-8</v>
      </c>
      <c r="K377" s="3">
        <f t="shared" si="380"/>
        <v>2.8086509094473477E-57</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2.7040912650132316E-2</v>
      </c>
      <c r="C378" s="3">
        <f t="shared" si="381"/>
        <v>2.7040909872844947E-2</v>
      </c>
      <c r="D378" s="3">
        <f t="shared" si="381"/>
        <v>2.7040882099986945E-2</v>
      </c>
      <c r="E378" s="3">
        <f t="shared" si="381"/>
        <v>2.7040604372975799E-2</v>
      </c>
      <c r="F378" s="3">
        <f t="shared" si="381"/>
        <v>2.7037827259743276E-2</v>
      </c>
      <c r="G378" s="3">
        <f t="shared" si="381"/>
        <v>2.7010071809353761E-2</v>
      </c>
      <c r="H378" s="3">
        <f t="shared" si="381"/>
        <v>2.6734079555991282E-2</v>
      </c>
      <c r="I378" s="3">
        <f t="shared" si="381"/>
        <v>2.4124604877732572E-2</v>
      </c>
      <c r="J378" s="3">
        <f t="shared" si="381"/>
        <v>8.6379351312860717E-3</v>
      </c>
      <c r="K378" s="3">
        <f t="shared" si="381"/>
        <v>2.9916255303958252E-7</v>
      </c>
      <c r="L378" s="3">
        <f t="shared" si="381"/>
        <v>7.4281412958548694E-52</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2.4600371326384495E-2</v>
      </c>
      <c r="C379" s="3">
        <f t="shared" si="382"/>
        <v>2.4600371098461707E-2</v>
      </c>
      <c r="D379" s="3">
        <f t="shared" si="382"/>
        <v>2.4600368819233949E-2</v>
      </c>
      <c r="E379" s="3">
        <f t="shared" si="382"/>
        <v>2.4600346026967986E-2</v>
      </c>
      <c r="F379" s="3">
        <f t="shared" si="382"/>
        <v>2.4600118105469797E-2</v>
      </c>
      <c r="G379" s="3">
        <f t="shared" si="382"/>
        <v>2.4597839006627389E-2</v>
      </c>
      <c r="H379" s="3">
        <f t="shared" si="382"/>
        <v>2.457505962817385E-2</v>
      </c>
      <c r="I379" s="3">
        <f t="shared" si="382"/>
        <v>2.4348422870573601E-2</v>
      </c>
      <c r="J379" s="3">
        <f t="shared" si="382"/>
        <v>2.2193888024326289E-2</v>
      </c>
      <c r="K379" s="3">
        <f t="shared" si="382"/>
        <v>8.7873705135401124E-3</v>
      </c>
      <c r="L379" s="3">
        <f t="shared" si="382"/>
        <v>8.3198293469996639E-7</v>
      </c>
      <c r="M379" s="3">
        <f t="shared" si="382"/>
        <v>4.8158085804085918E-47</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2.6294191461355497E-2</v>
      </c>
      <c r="C380" s="3">
        <f t="shared" si="383"/>
        <v>2.6294191439379302E-2</v>
      </c>
      <c r="D380" s="3">
        <f t="shared" si="383"/>
        <v>2.6294191219617354E-2</v>
      </c>
      <c r="E380" s="3">
        <f t="shared" si="383"/>
        <v>2.6294189021997972E-2</v>
      </c>
      <c r="F380" s="3">
        <f t="shared" si="383"/>
        <v>2.6294167045814259E-2</v>
      </c>
      <c r="G380" s="3">
        <f t="shared" si="383"/>
        <v>2.6293947284987303E-2</v>
      </c>
      <c r="H380" s="3">
        <f t="shared" si="383"/>
        <v>2.629174977773438E-2</v>
      </c>
      <c r="I380" s="3">
        <f t="shared" si="383"/>
        <v>2.6269784803746608E-2</v>
      </c>
      <c r="J380" s="3">
        <f t="shared" si="383"/>
        <v>2.6051141802119451E-2</v>
      </c>
      <c r="K380" s="3">
        <f t="shared" si="383"/>
        <v>2.3962340761517948E-2</v>
      </c>
      <c r="L380" s="3">
        <f t="shared" si="383"/>
        <v>1.0388527883610849E-2</v>
      </c>
      <c r="M380" s="3">
        <f t="shared" si="383"/>
        <v>2.4366980136370105E-6</v>
      </c>
      <c r="N380" s="3">
        <f t="shared" si="383"/>
        <v>1.2282271803249842E-42</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3.2623262584792201E-2</v>
      </c>
      <c r="C381" s="3">
        <f t="shared" si="384"/>
        <v>3.2623262582332585E-2</v>
      </c>
      <c r="D381" s="3">
        <f t="shared" si="384"/>
        <v>3.2623262557736461E-2</v>
      </c>
      <c r="E381" s="3">
        <f t="shared" si="384"/>
        <v>3.2623262311775231E-2</v>
      </c>
      <c r="F381" s="3">
        <f t="shared" si="384"/>
        <v>3.2623259852163022E-2</v>
      </c>
      <c r="G381" s="3">
        <f t="shared" si="384"/>
        <v>3.2623235256051104E-2</v>
      </c>
      <c r="H381" s="3">
        <f t="shared" si="384"/>
        <v>3.2622989295951872E-2</v>
      </c>
      <c r="I381" s="3">
        <f t="shared" si="384"/>
        <v>3.2620529796948988E-2</v>
      </c>
      <c r="J381" s="3">
        <f t="shared" si="384"/>
        <v>3.2595945003018448E-2</v>
      </c>
      <c r="K381" s="3">
        <f t="shared" si="384"/>
        <v>3.2351113834975027E-2</v>
      </c>
      <c r="L381" s="3">
        <f t="shared" si="384"/>
        <v>3.0001699197137494E-2</v>
      </c>
      <c r="M381" s="3">
        <f t="shared" si="384"/>
        <v>1.4116011330491306E-2</v>
      </c>
      <c r="N381" s="3">
        <f t="shared" si="384"/>
        <v>7.505393329195031E-6</v>
      </c>
      <c r="O381" s="3">
        <f t="shared" si="384"/>
        <v>1.3551521020677605E-38</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8.8496332073771528E-2</v>
      </c>
      <c r="C382" s="3">
        <f t="shared" si="385"/>
        <v>8.8496332073169648E-2</v>
      </c>
      <c r="D382" s="3">
        <f t="shared" si="385"/>
        <v>8.8496332067150824E-2</v>
      </c>
      <c r="E382" s="3">
        <f t="shared" si="385"/>
        <v>8.8496332006962664E-2</v>
      </c>
      <c r="F382" s="3">
        <f t="shared" si="385"/>
        <v>8.849633140508098E-2</v>
      </c>
      <c r="G382" s="3">
        <f t="shared" si="385"/>
        <v>8.8496325386264341E-2</v>
      </c>
      <c r="H382" s="3">
        <f t="shared" si="385"/>
        <v>8.8496265198120524E-2</v>
      </c>
      <c r="I382" s="3">
        <f t="shared" si="385"/>
        <v>8.8495663318933826E-2</v>
      </c>
      <c r="J382" s="3">
        <f t="shared" si="385"/>
        <v>8.8489644752204194E-2</v>
      </c>
      <c r="K382" s="3">
        <f t="shared" si="385"/>
        <v>8.8429481592977671E-2</v>
      </c>
      <c r="L382" s="3">
        <f t="shared" si="385"/>
        <v>8.7830095153957205E-2</v>
      </c>
      <c r="M382" s="3">
        <f t="shared" si="385"/>
        <v>8.2055197594977092E-2</v>
      </c>
      <c r="N382" s="3">
        <f t="shared" si="385"/>
        <v>4.1565548833941104E-2</v>
      </c>
      <c r="O382" s="3">
        <f t="shared" si="385"/>
        <v>4.6238927935768155E-5</v>
      </c>
      <c r="P382" s="3">
        <f t="shared" si="385"/>
        <v>1.3419926145142303E-34</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9.9309249865309243E-2</v>
      </c>
      <c r="C383" s="3">
        <f t="shared" si="386"/>
        <v>9.930924986524832E-2</v>
      </c>
      <c r="D383" s="3">
        <f t="shared" si="386"/>
        <v>9.9309249864639029E-2</v>
      </c>
      <c r="E383" s="3">
        <f t="shared" si="386"/>
        <v>9.9309249858546153E-2</v>
      </c>
      <c r="F383" s="3">
        <f t="shared" si="386"/>
        <v>9.9309249797617433E-2</v>
      </c>
      <c r="G383" s="3">
        <f t="shared" si="386"/>
        <v>9.930924918833009E-2</v>
      </c>
      <c r="H383" s="3">
        <f t="shared" si="386"/>
        <v>9.9309243095456953E-2</v>
      </c>
      <c r="I383" s="3">
        <f t="shared" si="386"/>
        <v>9.9309182166746099E-2</v>
      </c>
      <c r="J383" s="3">
        <f t="shared" si="386"/>
        <v>9.9308572881693563E-2</v>
      </c>
      <c r="K383" s="3">
        <f t="shared" si="386"/>
        <v>9.9302480236760263E-2</v>
      </c>
      <c r="L383" s="3">
        <f t="shared" si="386"/>
        <v>9.9241574341967065E-2</v>
      </c>
      <c r="M383" s="3">
        <f t="shared" si="386"/>
        <v>9.8634566189687009E-2</v>
      </c>
      <c r="N383" s="3">
        <f t="shared" si="386"/>
        <v>9.2764984250061952E-2</v>
      </c>
      <c r="O383" s="3">
        <f t="shared" si="386"/>
        <v>5.0226560488193961E-2</v>
      </c>
      <c r="P383" s="3">
        <f t="shared" si="386"/>
        <v>1.0874945123789251E-4</v>
      </c>
      <c r="Q383" s="3">
        <f t="shared" si="386"/>
        <v>2.4624273618427272E-31</v>
      </c>
      <c r="R383" s="3">
        <f t="shared" si="386"/>
        <v>8.7242272525560373E-298</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7.4938076557470479E-2</v>
      </c>
      <c r="C384" s="3">
        <f t="shared" si="387"/>
        <v>7.4938076557466329E-2</v>
      </c>
      <c r="D384" s="3">
        <f t="shared" si="387"/>
        <v>7.4938076557424849E-2</v>
      </c>
      <c r="E384" s="3">
        <f t="shared" si="387"/>
        <v>7.4938076557010111E-2</v>
      </c>
      <c r="F384" s="3">
        <f t="shared" si="387"/>
        <v>7.4938076552862651E-2</v>
      </c>
      <c r="G384" s="3">
        <f t="shared" si="387"/>
        <v>7.4938076511388119E-2</v>
      </c>
      <c r="H384" s="3">
        <f t="shared" si="387"/>
        <v>7.4938076096642714E-2</v>
      </c>
      <c r="I384" s="3">
        <f t="shared" si="387"/>
        <v>7.4938071949188792E-2</v>
      </c>
      <c r="J384" s="3">
        <f t="shared" si="387"/>
        <v>7.4938030474662298E-2</v>
      </c>
      <c r="K384" s="3">
        <f t="shared" si="387"/>
        <v>7.4937615730659796E-2</v>
      </c>
      <c r="L384" s="3">
        <f t="shared" si="387"/>
        <v>7.4933468416879465E-2</v>
      </c>
      <c r="M384" s="3">
        <f t="shared" si="387"/>
        <v>7.4892007900969393E-2</v>
      </c>
      <c r="N384" s="3">
        <f t="shared" si="387"/>
        <v>7.4478662350347349E-2</v>
      </c>
      <c r="O384" s="3">
        <f t="shared" si="387"/>
        <v>7.0468626046380281E-2</v>
      </c>
      <c r="P384" s="3">
        <f t="shared" si="387"/>
        <v>4.0516802396382834E-2</v>
      </c>
      <c r="Q384" s="3">
        <f t="shared" si="387"/>
        <v>1.5996639471890385E-4</v>
      </c>
      <c r="R384" s="3">
        <f t="shared" si="387"/>
        <v>1.4721928107250914E-28</v>
      </c>
      <c r="S384" s="3">
        <f t="shared" si="387"/>
        <v>6.4168819441384203E-269</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6.932285787470098E-2</v>
      </c>
      <c r="C385" s="3">
        <f t="shared" si="388"/>
        <v>6.9322857874700633E-2</v>
      </c>
      <c r="D385" s="3">
        <f t="shared" si="388"/>
        <v>6.9322857874697177E-2</v>
      </c>
      <c r="E385" s="3">
        <f t="shared" si="388"/>
        <v>6.9322857874662566E-2</v>
      </c>
      <c r="F385" s="3">
        <f t="shared" si="388"/>
        <v>6.9322857874316468E-2</v>
      </c>
      <c r="G385" s="3">
        <f t="shared" si="388"/>
        <v>6.9322857870855459E-2</v>
      </c>
      <c r="H385" s="3">
        <f t="shared" si="388"/>
        <v>6.9322857836245422E-2</v>
      </c>
      <c r="I385" s="3">
        <f t="shared" si="388"/>
        <v>6.9322857490145037E-2</v>
      </c>
      <c r="J385" s="3">
        <f t="shared" si="388"/>
        <v>6.932285402914122E-2</v>
      </c>
      <c r="K385" s="3">
        <f t="shared" si="388"/>
        <v>6.93228194191126E-2</v>
      </c>
      <c r="L385" s="3">
        <f t="shared" si="388"/>
        <v>6.9322473319776728E-2</v>
      </c>
      <c r="M385" s="3">
        <f t="shared" si="388"/>
        <v>6.9319012421452622E-2</v>
      </c>
      <c r="N385" s="3">
        <f t="shared" si="388"/>
        <v>6.9284412939910722E-2</v>
      </c>
      <c r="O385" s="3">
        <f t="shared" si="388"/>
        <v>6.8939366541543812E-2</v>
      </c>
      <c r="P385" s="3">
        <f t="shared" si="388"/>
        <v>6.5582015443514621E-2</v>
      </c>
      <c r="Q385" s="3">
        <f t="shared" si="388"/>
        <v>3.9807001501012913E-2</v>
      </c>
      <c r="R385" s="3">
        <f t="shared" si="388"/>
        <v>2.7021317832654407E-4</v>
      </c>
      <c r="S385" s="3">
        <f t="shared" si="388"/>
        <v>5.6127685240177377E-26</v>
      </c>
      <c r="T385" s="3">
        <f t="shared" si="388"/>
        <v>8.3923423658593994E-243</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2.2465875921068256E-2</v>
      </c>
      <c r="C386" s="3">
        <f t="shared" si="389"/>
        <v>2.2465875921068242E-2</v>
      </c>
      <c r="D386" s="3">
        <f t="shared" si="389"/>
        <v>2.2465875921068145E-2</v>
      </c>
      <c r="E386" s="3">
        <f t="shared" si="389"/>
        <v>2.2465875921067132E-2</v>
      </c>
      <c r="F386" s="3">
        <f t="shared" si="389"/>
        <v>2.2465875921057015E-2</v>
      </c>
      <c r="G386" s="3">
        <f t="shared" si="389"/>
        <v>2.2465875920955836E-2</v>
      </c>
      <c r="H386" s="3">
        <f t="shared" si="389"/>
        <v>2.246587591994403E-2</v>
      </c>
      <c r="I386" s="3">
        <f t="shared" si="389"/>
        <v>2.2465875909826013E-2</v>
      </c>
      <c r="J386" s="3">
        <f t="shared" si="389"/>
        <v>2.2465875808645799E-2</v>
      </c>
      <c r="K386" s="3">
        <f t="shared" si="389"/>
        <v>2.246587479684372E-2</v>
      </c>
      <c r="L386" s="3">
        <f t="shared" si="389"/>
        <v>2.2465864678825435E-2</v>
      </c>
      <c r="M386" s="3">
        <f t="shared" si="389"/>
        <v>2.2465763498893229E-2</v>
      </c>
      <c r="N386" s="3">
        <f t="shared" si="389"/>
        <v>2.2464751724633532E-2</v>
      </c>
      <c r="O386" s="3">
        <f t="shared" si="389"/>
        <v>2.2454636487857803E-2</v>
      </c>
      <c r="P386" s="3">
        <f t="shared" si="389"/>
        <v>2.2353734285160909E-2</v>
      </c>
      <c r="Q386" s="3">
        <f t="shared" si="389"/>
        <v>2.1369316868587049E-2</v>
      </c>
      <c r="R386" s="3">
        <f t="shared" si="389"/>
        <v>1.3620598324866777E-2</v>
      </c>
      <c r="S386" s="3">
        <f t="shared" si="389"/>
        <v>1.5074803265221622E-4</v>
      </c>
      <c r="T386" s="3">
        <f t="shared" si="389"/>
        <v>4.1572517715627826E-24</v>
      </c>
      <c r="U386" s="3">
        <f t="shared" si="389"/>
        <v>1.0576770161109712E-219</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5.8329528880761261E-2</v>
      </c>
      <c r="C387" s="3">
        <f t="shared" si="390"/>
        <v>5.8329528880761254E-2</v>
      </c>
      <c r="D387" s="3">
        <f t="shared" si="390"/>
        <v>5.8329528880761185E-2</v>
      </c>
      <c r="E387" s="3">
        <f t="shared" si="390"/>
        <v>5.8329528880760449E-2</v>
      </c>
      <c r="F387" s="3">
        <f t="shared" si="390"/>
        <v>5.8329528880753184E-2</v>
      </c>
      <c r="G387" s="3">
        <f t="shared" si="390"/>
        <v>5.8329528880680534E-2</v>
      </c>
      <c r="H387" s="3">
        <f t="shared" si="390"/>
        <v>5.8329528879953969E-2</v>
      </c>
      <c r="I387" s="3">
        <f t="shared" si="390"/>
        <v>5.8329528872688337E-2</v>
      </c>
      <c r="J387" s="3">
        <f t="shared" si="390"/>
        <v>5.8329528800031984E-2</v>
      </c>
      <c r="K387" s="3">
        <f t="shared" si="390"/>
        <v>5.8329528073468535E-2</v>
      </c>
      <c r="L387" s="3">
        <f t="shared" si="390"/>
        <v>5.8329520807834462E-2</v>
      </c>
      <c r="M387" s="3">
        <f t="shared" si="390"/>
        <v>5.8329448151543575E-2</v>
      </c>
      <c r="N387" s="3">
        <f t="shared" si="390"/>
        <v>5.8328721593612243E-2</v>
      </c>
      <c r="O387" s="3">
        <f t="shared" si="390"/>
        <v>5.8321456512034991E-2</v>
      </c>
      <c r="P387" s="3">
        <f t="shared" si="390"/>
        <v>5.8248855446934603E-2</v>
      </c>
      <c r="Q387" s="3">
        <f t="shared" si="390"/>
        <v>5.7527797010308641E-2</v>
      </c>
      <c r="R387" s="3">
        <f t="shared" si="390"/>
        <v>5.0790351075895711E-2</v>
      </c>
      <c r="S387" s="3">
        <f t="shared" si="390"/>
        <v>1.4615575796893905E-2</v>
      </c>
      <c r="T387" s="3">
        <f t="shared" si="390"/>
        <v>5.6906657455735861E-8</v>
      </c>
      <c r="U387" s="3">
        <f t="shared" si="390"/>
        <v>4.5565333392473699E-62</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3.4551716494444183E-2</v>
      </c>
      <c r="C388" s="3">
        <f t="shared" si="391"/>
        <v>3.4551716494444183E-2</v>
      </c>
      <c r="D388" s="3">
        <f t="shared" si="391"/>
        <v>3.4551716494444176E-2</v>
      </c>
      <c r="E388" s="3">
        <f t="shared" si="391"/>
        <v>3.4551716494444135E-2</v>
      </c>
      <c r="F388" s="3">
        <f t="shared" si="391"/>
        <v>3.4551716494443704E-2</v>
      </c>
      <c r="G388" s="3">
        <f t="shared" si="391"/>
        <v>3.4551716494439402E-2</v>
      </c>
      <c r="H388" s="3">
        <f t="shared" si="391"/>
        <v>3.455171649439636E-2</v>
      </c>
      <c r="I388" s="3">
        <f t="shared" si="391"/>
        <v>3.4551716493965982E-2</v>
      </c>
      <c r="J388" s="3">
        <f t="shared" si="391"/>
        <v>3.4551716489662154E-2</v>
      </c>
      <c r="K388" s="3">
        <f t="shared" si="391"/>
        <v>3.4551716446623894E-2</v>
      </c>
      <c r="L388" s="3">
        <f t="shared" si="391"/>
        <v>3.4551716016241289E-2</v>
      </c>
      <c r="M388" s="3">
        <f t="shared" si="391"/>
        <v>3.4551711712415535E-2</v>
      </c>
      <c r="N388" s="3">
        <f t="shared" si="391"/>
        <v>3.4551668674187512E-2</v>
      </c>
      <c r="O388" s="3">
        <f t="shared" si="391"/>
        <v>3.4551238294855784E-2</v>
      </c>
      <c r="P388" s="3">
        <f t="shared" si="391"/>
        <v>3.454693479637426E-2</v>
      </c>
      <c r="Q388" s="3">
        <f t="shared" si="391"/>
        <v>3.4503929281557377E-2</v>
      </c>
      <c r="R388" s="3">
        <f t="shared" si="391"/>
        <v>3.4076807596258724E-2</v>
      </c>
      <c r="S388" s="3">
        <f t="shared" si="391"/>
        <v>3.0085856078403035E-2</v>
      </c>
      <c r="T388" s="3">
        <f t="shared" si="391"/>
        <v>8.6575914640020252E-3</v>
      </c>
      <c r="U388" s="3">
        <f t="shared" si="391"/>
        <v>3.3708873237711853E-8</v>
      </c>
      <c r="V388" s="3">
        <f t="shared" si="391"/>
        <v>2.699079714101464E-62</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3.2785105338059839E-2</v>
      </c>
      <c r="C389" s="3">
        <f t="shared" si="392"/>
        <v>3.2785105338059839E-2</v>
      </c>
      <c r="D389" s="3">
        <f t="shared" si="392"/>
        <v>3.2785105338059839E-2</v>
      </c>
      <c r="E389" s="3">
        <f t="shared" si="392"/>
        <v>3.2785105338059832E-2</v>
      </c>
      <c r="F389" s="3">
        <f t="shared" si="392"/>
        <v>3.2785105338059797E-2</v>
      </c>
      <c r="G389" s="3">
        <f t="shared" si="392"/>
        <v>3.2785105338059381E-2</v>
      </c>
      <c r="H389" s="3">
        <f t="shared" si="392"/>
        <v>3.2785105338055301E-2</v>
      </c>
      <c r="I389" s="3">
        <f t="shared" si="392"/>
        <v>3.2785105338014466E-2</v>
      </c>
      <c r="J389" s="3">
        <f t="shared" si="392"/>
        <v>3.2785105337606091E-2</v>
      </c>
      <c r="K389" s="3">
        <f t="shared" si="392"/>
        <v>3.2785105333522316E-2</v>
      </c>
      <c r="L389" s="3">
        <f t="shared" si="392"/>
        <v>3.2785105292684573E-2</v>
      </c>
      <c r="M389" s="3">
        <f t="shared" si="392"/>
        <v>3.2785104884307213E-2</v>
      </c>
      <c r="N389" s="3">
        <f t="shared" si="392"/>
        <v>3.278510080053381E-2</v>
      </c>
      <c r="O389" s="3">
        <f t="shared" si="392"/>
        <v>3.278505996282783E-2</v>
      </c>
      <c r="P389" s="3">
        <f t="shared" si="392"/>
        <v>3.2784651588565777E-2</v>
      </c>
      <c r="Q389" s="3">
        <f t="shared" si="392"/>
        <v>3.2780568125706219E-2</v>
      </c>
      <c r="R389" s="3">
        <f t="shared" si="392"/>
        <v>3.2739761460323459E-2</v>
      </c>
      <c r="S389" s="3">
        <f t="shared" si="392"/>
        <v>3.2334478282946791E-2</v>
      </c>
      <c r="T389" s="3">
        <f t="shared" si="392"/>
        <v>2.8547582024608144E-2</v>
      </c>
      <c r="U389" s="3">
        <f t="shared" si="392"/>
        <v>8.2149333497464529E-3</v>
      </c>
      <c r="V389" s="3">
        <f t="shared" si="392"/>
        <v>3.1985356215324179E-8</v>
      </c>
      <c r="W389" s="3">
        <f t="shared" si="392"/>
        <v>2.5610771828619804E-62</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1.3184627495592977E-2</v>
      </c>
      <c r="C390" s="3">
        <f t="shared" si="393"/>
        <v>1.3184627495592977E-2</v>
      </c>
      <c r="D390" s="3">
        <f t="shared" si="393"/>
        <v>1.3184627495592977E-2</v>
      </c>
      <c r="E390" s="3">
        <f t="shared" si="393"/>
        <v>1.3184627495592977E-2</v>
      </c>
      <c r="F390" s="3">
        <f t="shared" si="393"/>
        <v>1.3184627495592975E-2</v>
      </c>
      <c r="G390" s="3">
        <f t="shared" si="393"/>
        <v>1.318462749559296E-2</v>
      </c>
      <c r="H390" s="3">
        <f t="shared" si="393"/>
        <v>1.3184627495592795E-2</v>
      </c>
      <c r="I390" s="3">
        <f t="shared" si="393"/>
        <v>1.3184627495591152E-2</v>
      </c>
      <c r="J390" s="3">
        <f t="shared" si="393"/>
        <v>1.318462749557473E-2</v>
      </c>
      <c r="K390" s="3">
        <f t="shared" si="393"/>
        <v>1.31846274954105E-2</v>
      </c>
      <c r="L390" s="3">
        <f t="shared" si="393"/>
        <v>1.3184627493768197E-2</v>
      </c>
      <c r="M390" s="3">
        <f t="shared" si="393"/>
        <v>1.318462747734518E-2</v>
      </c>
      <c r="N390" s="3">
        <f t="shared" si="393"/>
        <v>1.3184627313115009E-2</v>
      </c>
      <c r="O390" s="3">
        <f t="shared" si="393"/>
        <v>1.3184625670813408E-2</v>
      </c>
      <c r="P390" s="3">
        <f t="shared" si="393"/>
        <v>1.3184609247808645E-2</v>
      </c>
      <c r="Q390" s="3">
        <f t="shared" si="393"/>
        <v>1.3184445018886135E-2</v>
      </c>
      <c r="R390" s="3">
        <f t="shared" si="393"/>
        <v>1.3182802842167772E-2</v>
      </c>
      <c r="S390" s="3">
        <f t="shared" si="393"/>
        <v>1.3166392320473199E-2</v>
      </c>
      <c r="T390" s="3">
        <f t="shared" si="393"/>
        <v>1.3003406486850196E-2</v>
      </c>
      <c r="U390" s="3">
        <f t="shared" si="393"/>
        <v>1.14804949080764E-2</v>
      </c>
      <c r="V390" s="3">
        <f t="shared" si="393"/>
        <v>3.303659847991827E-3</v>
      </c>
      <c r="W390" s="3">
        <f t="shared" si="393"/>
        <v>1.2863006010334058E-8</v>
      </c>
      <c r="X390" s="3">
        <f t="shared" si="393"/>
        <v>1.0299447964346888E-62</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9.0966723550024858E-3</v>
      </c>
      <c r="C391" s="3">
        <f t="shared" si="394"/>
        <v>9.0966723550024858E-3</v>
      </c>
      <c r="D391" s="3">
        <f t="shared" si="394"/>
        <v>9.0966723550024858E-3</v>
      </c>
      <c r="E391" s="3">
        <f t="shared" si="394"/>
        <v>9.0966723550024858E-3</v>
      </c>
      <c r="F391" s="3">
        <f t="shared" si="394"/>
        <v>9.0966723550024858E-3</v>
      </c>
      <c r="G391" s="3">
        <f t="shared" si="394"/>
        <v>9.0966723550024841E-3</v>
      </c>
      <c r="H391" s="3">
        <f t="shared" si="394"/>
        <v>9.0966723550024737E-3</v>
      </c>
      <c r="I391" s="3">
        <f t="shared" si="394"/>
        <v>9.0966723550023592E-3</v>
      </c>
      <c r="J391" s="3">
        <f t="shared" si="394"/>
        <v>9.0966723550012264E-3</v>
      </c>
      <c r="K391" s="3">
        <f t="shared" si="394"/>
        <v>9.0966723549898952E-3</v>
      </c>
      <c r="L391" s="3">
        <f t="shared" si="394"/>
        <v>9.0966723548765865E-3</v>
      </c>
      <c r="M391" s="3">
        <f t="shared" si="394"/>
        <v>9.0966723537434877E-3</v>
      </c>
      <c r="N391" s="3">
        <f t="shared" si="394"/>
        <v>9.096672342412503E-3</v>
      </c>
      <c r="O391" s="3">
        <f t="shared" si="394"/>
        <v>9.0966722291026623E-3</v>
      </c>
      <c r="P391" s="3">
        <f t="shared" si="394"/>
        <v>9.096671096004318E-3</v>
      </c>
      <c r="Q391" s="3">
        <f t="shared" si="394"/>
        <v>9.0966597650286446E-3</v>
      </c>
      <c r="R391" s="3">
        <f t="shared" si="394"/>
        <v>9.0965464560481841E-3</v>
      </c>
      <c r="S391" s="3">
        <f t="shared" si="394"/>
        <v>9.0954134438670682E-3</v>
      </c>
      <c r="T391" s="3">
        <f t="shared" si="394"/>
        <v>9.0840910808287437E-3</v>
      </c>
      <c r="U391" s="3">
        <f t="shared" si="394"/>
        <v>8.97163976375733E-3</v>
      </c>
      <c r="V391" s="3">
        <f t="shared" si="394"/>
        <v>7.9209140104225945E-3</v>
      </c>
      <c r="W391" s="3">
        <f t="shared" si="394"/>
        <v>2.2793447307938044E-3</v>
      </c>
      <c r="X391" s="3">
        <f t="shared" si="394"/>
        <v>8.8747711086678766E-9</v>
      </c>
      <c r="Y391" s="3">
        <f t="shared" si="394"/>
        <v>7.1060561703679162E-63</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3.0393849329234364E-3</v>
      </c>
      <c r="C392" s="3">
        <f t="shared" si="395"/>
        <v>3.0393849329234364E-3</v>
      </c>
      <c r="D392" s="3">
        <f t="shared" si="395"/>
        <v>3.0393849329234364E-3</v>
      </c>
      <c r="E392" s="3">
        <f t="shared" si="395"/>
        <v>3.0393849329234364E-3</v>
      </c>
      <c r="F392" s="3">
        <f t="shared" si="395"/>
        <v>3.0393849329234364E-3</v>
      </c>
      <c r="G392" s="3">
        <f t="shared" si="395"/>
        <v>3.0393849329234364E-3</v>
      </c>
      <c r="H392" s="3">
        <f t="shared" si="395"/>
        <v>3.039384932923436E-3</v>
      </c>
      <c r="I392" s="3">
        <f t="shared" si="395"/>
        <v>3.0393849329234325E-3</v>
      </c>
      <c r="J392" s="3">
        <f t="shared" si="395"/>
        <v>3.0393849329233944E-3</v>
      </c>
      <c r="K392" s="3">
        <f t="shared" si="395"/>
        <v>3.0393849329230158E-3</v>
      </c>
      <c r="L392" s="3">
        <f t="shared" si="395"/>
        <v>3.0393849329192297E-3</v>
      </c>
      <c r="M392" s="3">
        <f t="shared" si="395"/>
        <v>3.0393849328813707E-3</v>
      </c>
      <c r="N392" s="3">
        <f t="shared" si="395"/>
        <v>3.0393849325027794E-3</v>
      </c>
      <c r="O392" s="3">
        <f t="shared" si="395"/>
        <v>3.0393849287168647E-3</v>
      </c>
      <c r="P392" s="3">
        <f t="shared" si="395"/>
        <v>3.0393848908577214E-3</v>
      </c>
      <c r="Q392" s="3">
        <f t="shared" si="395"/>
        <v>3.0393845122663088E-3</v>
      </c>
      <c r="R392" s="3">
        <f t="shared" si="395"/>
        <v>3.039380726354781E-3</v>
      </c>
      <c r="S392" s="3">
        <f t="shared" si="395"/>
        <v>3.0393428674988674E-3</v>
      </c>
      <c r="T392" s="3">
        <f t="shared" si="395"/>
        <v>3.038964304875338E-3</v>
      </c>
      <c r="U392" s="3">
        <f t="shared" si="395"/>
        <v>3.0351812710052821E-3</v>
      </c>
      <c r="V392" s="3">
        <f t="shared" si="395"/>
        <v>2.9976089780330835E-3</v>
      </c>
      <c r="W392" s="3">
        <f t="shared" si="395"/>
        <v>2.6465399388625123E-3</v>
      </c>
      <c r="X392" s="3">
        <f t="shared" si="395"/>
        <v>7.6157585558232657E-4</v>
      </c>
      <c r="Y392" s="3">
        <f t="shared" si="395"/>
        <v>2.965243172245923E-9</v>
      </c>
      <c r="Z392" s="3">
        <f t="shared" si="395"/>
        <v>2.3742792104462861E-63</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2.6495422897411186E-3</v>
      </c>
      <c r="C393" s="3">
        <f t="shared" si="396"/>
        <v>2.6495422897411186E-3</v>
      </c>
      <c r="D393" s="3">
        <f t="shared" si="396"/>
        <v>2.6495422897411186E-3</v>
      </c>
      <c r="E393" s="3">
        <f t="shared" si="396"/>
        <v>2.6495422897411186E-3</v>
      </c>
      <c r="F393" s="3">
        <f t="shared" si="396"/>
        <v>2.6495422897411186E-3</v>
      </c>
      <c r="G393" s="3">
        <f t="shared" si="396"/>
        <v>2.6495422897411186E-3</v>
      </c>
      <c r="H393" s="3">
        <f t="shared" si="396"/>
        <v>2.6495422897411186E-3</v>
      </c>
      <c r="I393" s="3">
        <f t="shared" si="396"/>
        <v>2.6495422897411182E-3</v>
      </c>
      <c r="J393" s="3">
        <f t="shared" si="396"/>
        <v>2.6495422897411152E-3</v>
      </c>
      <c r="K393" s="3">
        <f t="shared" si="396"/>
        <v>2.6495422897410818E-3</v>
      </c>
      <c r="L393" s="3">
        <f t="shared" si="396"/>
        <v>2.6495422897407517E-3</v>
      </c>
      <c r="M393" s="3">
        <f t="shared" si="396"/>
        <v>2.6495422897374519E-3</v>
      </c>
      <c r="N393" s="3">
        <f t="shared" si="396"/>
        <v>2.6495422897044488E-3</v>
      </c>
      <c r="O393" s="3">
        <f t="shared" si="396"/>
        <v>2.6495422893744163E-3</v>
      </c>
      <c r="P393" s="3">
        <f t="shared" si="396"/>
        <v>2.6495422860740975E-3</v>
      </c>
      <c r="Q393" s="3">
        <f t="shared" si="396"/>
        <v>2.6495422530709062E-3</v>
      </c>
      <c r="R393" s="3">
        <f t="shared" si="396"/>
        <v>2.6495419230390151E-3</v>
      </c>
      <c r="S393" s="3">
        <f t="shared" si="396"/>
        <v>2.6495386227223653E-3</v>
      </c>
      <c r="T393" s="3">
        <f t="shared" si="396"/>
        <v>2.6495056197819687E-3</v>
      </c>
      <c r="U393" s="3">
        <f t="shared" si="396"/>
        <v>2.6491756129870107E-3</v>
      </c>
      <c r="V393" s="3">
        <f t="shared" si="396"/>
        <v>2.6458778048964134E-3</v>
      </c>
      <c r="W393" s="3">
        <f t="shared" si="396"/>
        <v>2.6131246718285885E-3</v>
      </c>
      <c r="X393" s="3">
        <f t="shared" si="396"/>
        <v>2.3070850334052572E-3</v>
      </c>
      <c r="Y393" s="3">
        <f t="shared" si="396"/>
        <v>6.6389334708924117E-4</v>
      </c>
      <c r="Z393" s="3">
        <f t="shared" si="396"/>
        <v>2.5849102228307953E-9</v>
      </c>
      <c r="AA393" s="3">
        <f t="shared" si="396"/>
        <v>2.0697454631650816E-63</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6.8554497859674352E-4</v>
      </c>
      <c r="C394" s="3">
        <f t="shared" si="397"/>
        <v>6.8554497859674352E-4</v>
      </c>
      <c r="D394" s="3">
        <f t="shared" si="397"/>
        <v>6.8554497859674352E-4</v>
      </c>
      <c r="E394" s="3">
        <f t="shared" si="397"/>
        <v>6.8554497859674352E-4</v>
      </c>
      <c r="F394" s="3">
        <f t="shared" si="397"/>
        <v>6.8554497859674352E-4</v>
      </c>
      <c r="G394" s="3">
        <f t="shared" si="397"/>
        <v>6.8554497859674352E-4</v>
      </c>
      <c r="H394" s="3">
        <f t="shared" si="397"/>
        <v>6.8554497859674352E-4</v>
      </c>
      <c r="I394" s="3">
        <f t="shared" si="397"/>
        <v>6.8554497859674352E-4</v>
      </c>
      <c r="J394" s="3">
        <f t="shared" si="397"/>
        <v>6.8554497859674342E-4</v>
      </c>
      <c r="K394" s="3">
        <f t="shared" si="397"/>
        <v>6.8554497859674266E-4</v>
      </c>
      <c r="L394" s="3">
        <f t="shared" si="397"/>
        <v>6.8554497859673398E-4</v>
      </c>
      <c r="M394" s="3">
        <f t="shared" si="397"/>
        <v>6.8554497859664866E-4</v>
      </c>
      <c r="N394" s="3">
        <f t="shared" si="397"/>
        <v>6.8554497859579474E-4</v>
      </c>
      <c r="O394" s="3">
        <f t="shared" si="397"/>
        <v>6.8554497858725545E-4</v>
      </c>
      <c r="P394" s="3">
        <f t="shared" si="397"/>
        <v>6.8554497850186271E-4</v>
      </c>
      <c r="Q394" s="3">
        <f t="shared" si="397"/>
        <v>6.8554497764793511E-4</v>
      </c>
      <c r="R394" s="3">
        <f t="shared" si="397"/>
        <v>6.8554496910865938E-4</v>
      </c>
      <c r="S394" s="3">
        <f t="shared" si="397"/>
        <v>6.8554488371590813E-4</v>
      </c>
      <c r="T394" s="3">
        <f t="shared" si="397"/>
        <v>6.8554402978898059E-4</v>
      </c>
      <c r="U394" s="3">
        <f t="shared" si="397"/>
        <v>6.8553549057820623E-4</v>
      </c>
      <c r="V394" s="3">
        <f t="shared" si="397"/>
        <v>6.854501043203373E-4</v>
      </c>
      <c r="W394" s="3">
        <f t="shared" si="397"/>
        <v>6.8459682645961449E-4</v>
      </c>
      <c r="X394" s="3">
        <f t="shared" si="397"/>
        <v>6.7612225106034735E-4</v>
      </c>
      <c r="Y394" s="3">
        <f t="shared" si="397"/>
        <v>5.9693727704237176E-4</v>
      </c>
      <c r="Z394" s="3">
        <f t="shared" si="397"/>
        <v>1.7177636763264644E-4</v>
      </c>
      <c r="AA394" s="3">
        <f t="shared" si="397"/>
        <v>6.6882201889979517E-10</v>
      </c>
      <c r="AB394" s="3">
        <f t="shared" si="397"/>
        <v>5.3552782106559654E-64</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1.0364161747734975E-2</v>
      </c>
      <c r="C396" s="3">
        <f t="shared" si="399"/>
        <v>1.0364161747734975E-2</v>
      </c>
      <c r="D396" s="3">
        <f t="shared" si="399"/>
        <v>1.0364161747734975E-2</v>
      </c>
      <c r="E396" s="3">
        <f t="shared" si="399"/>
        <v>1.0364161747734975E-2</v>
      </c>
      <c r="F396" s="3">
        <f t="shared" si="399"/>
        <v>1.0364161747734975E-2</v>
      </c>
      <c r="G396" s="3">
        <f t="shared" si="399"/>
        <v>1.0364161747734975E-2</v>
      </c>
      <c r="H396" s="3">
        <f t="shared" si="399"/>
        <v>1.0364161747734975E-2</v>
      </c>
      <c r="I396" s="3">
        <f t="shared" si="399"/>
        <v>1.0364161747734975E-2</v>
      </c>
      <c r="J396" s="3">
        <f t="shared" si="399"/>
        <v>1.0364161747734975E-2</v>
      </c>
      <c r="K396" s="3">
        <f t="shared" si="399"/>
        <v>1.0364161747734975E-2</v>
      </c>
      <c r="L396" s="3">
        <f t="shared" si="399"/>
        <v>1.0364161747734973E-2</v>
      </c>
      <c r="M396" s="3">
        <f t="shared" si="399"/>
        <v>1.0364161747734961E-2</v>
      </c>
      <c r="N396" s="3">
        <f t="shared" si="399"/>
        <v>1.0364161747734831E-2</v>
      </c>
      <c r="O396" s="3">
        <f t="shared" si="399"/>
        <v>1.036416174773354E-2</v>
      </c>
      <c r="P396" s="3">
        <f t="shared" si="399"/>
        <v>1.036416174772063E-2</v>
      </c>
      <c r="Q396" s="3">
        <f t="shared" si="399"/>
        <v>1.0364161747591534E-2</v>
      </c>
      <c r="R396" s="3">
        <f t="shared" si="399"/>
        <v>1.0364161746300553E-2</v>
      </c>
      <c r="S396" s="3">
        <f t="shared" si="399"/>
        <v>1.0364161733390762E-2</v>
      </c>
      <c r="T396" s="3">
        <f t="shared" si="399"/>
        <v>1.0364161604292836E-2</v>
      </c>
      <c r="U396" s="3">
        <f t="shared" si="399"/>
        <v>1.0364160313313667E-2</v>
      </c>
      <c r="V396" s="3">
        <f t="shared" si="399"/>
        <v>1.0364147403530831E-2</v>
      </c>
      <c r="W396" s="3">
        <f t="shared" si="399"/>
        <v>1.0364018306586901E-2</v>
      </c>
      <c r="X396" s="3">
        <f t="shared" si="399"/>
        <v>1.0362727425586797E-2</v>
      </c>
      <c r="Y396" s="3">
        <f t="shared" si="399"/>
        <v>1.0349827455431091E-2</v>
      </c>
      <c r="Z396" s="3">
        <f t="shared" si="399"/>
        <v>1.0221707677847473E-2</v>
      </c>
      <c r="AA396" s="3">
        <f t="shared" si="399"/>
        <v>9.0245785260996639E-3</v>
      </c>
      <c r="AB396" s="3">
        <f t="shared" si="399"/>
        <v>2.5969383689853657E-3</v>
      </c>
      <c r="AC396" s="3">
        <f t="shared" si="399"/>
        <v>1.0111341780247506E-8</v>
      </c>
      <c r="AD396" s="3">
        <f t="shared" si="399"/>
        <v>8.0961820613097282E-63</v>
      </c>
      <c r="AE396" s="3">
        <f t="shared" si="399"/>
        <v>0</v>
      </c>
      <c r="AF396" s="3">
        <f t="shared" si="399"/>
        <v>0</v>
      </c>
      <c r="AG396" s="3"/>
      <c r="AH396" s="3"/>
    </row>
    <row r="397" spans="1:34" x14ac:dyDescent="0.25">
      <c r="A397" s="79">
        <f>AVERAGE(B397:AF397)</f>
        <v>3.8289045017031911E-2</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9.8125686094334377E-2</v>
      </c>
      <c r="M397" s="80">
        <f t="shared" si="400"/>
        <v>0.10049752722812649</v>
      </c>
      <c r="N397" s="80">
        <f t="shared" si="400"/>
        <v>5.4912770541616848E-2</v>
      </c>
      <c r="O397" s="80">
        <f t="shared" si="400"/>
        <v>5.0521219357433193E-2</v>
      </c>
      <c r="P397" s="80">
        <f t="shared" si="400"/>
        <v>0.13615644174529723</v>
      </c>
      <c r="Q397" s="80">
        <f t="shared" si="400"/>
        <v>0.13673100968408086</v>
      </c>
      <c r="R397" s="80">
        <f t="shared" si="400"/>
        <v>1.461787050755878E-2</v>
      </c>
      <c r="S397" s="80">
        <f t="shared" si="400"/>
        <v>9.4684319026850122E-2</v>
      </c>
      <c r="T397" s="80">
        <f t="shared" si="400"/>
        <v>0.20754040950135819</v>
      </c>
      <c r="U397" s="80">
        <f t="shared" si="400"/>
        <v>0.17638992039890253</v>
      </c>
      <c r="V397" s="80">
        <f t="shared" si="400"/>
        <v>0.11678322144243065</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296554.48737335665</v>
      </c>
      <c r="C398" s="21">
        <f t="shared" ref="C398:AF398" si="401">(C365-C364)^2</f>
        <v>376874.89847806038</v>
      </c>
      <c r="D398" s="21">
        <f t="shared" si="401"/>
        <v>435342.35574635689</v>
      </c>
      <c r="E398" s="21">
        <f t="shared" si="401"/>
        <v>505437.60758903209</v>
      </c>
      <c r="F398" s="21">
        <f t="shared" si="401"/>
        <v>476928.28997983789</v>
      </c>
      <c r="G398" s="21">
        <f t="shared" si="401"/>
        <v>366894.91902834375</v>
      </c>
      <c r="H398" s="21">
        <f t="shared" si="401"/>
        <v>335983.54553375934</v>
      </c>
      <c r="I398" s="21">
        <f t="shared" si="401"/>
        <v>324699.2385173529</v>
      </c>
      <c r="J398" s="21">
        <f t="shared" si="401"/>
        <v>322197.39983083174</v>
      </c>
      <c r="K398" s="21">
        <f t="shared" si="401"/>
        <v>302704.14771025517</v>
      </c>
      <c r="L398" s="21">
        <f t="shared" si="401"/>
        <v>352257.52060071495</v>
      </c>
      <c r="M398" s="21">
        <f t="shared" si="401"/>
        <v>327744.07351238746</v>
      </c>
      <c r="N398" s="21">
        <f t="shared" si="401"/>
        <v>84193.390445770143</v>
      </c>
      <c r="O398" s="21">
        <f t="shared" si="401"/>
        <v>59013.300718918676</v>
      </c>
      <c r="P398" s="21">
        <f t="shared" si="401"/>
        <v>324002.08631443005</v>
      </c>
      <c r="Q398" s="21">
        <f t="shared" si="401"/>
        <v>201745.51938080933</v>
      </c>
      <c r="R398" s="21">
        <f t="shared" si="401"/>
        <v>1077.246938292087</v>
      </c>
      <c r="S398" s="21">
        <f t="shared" si="401"/>
        <v>18980.380471079559</v>
      </c>
      <c r="T398" s="21">
        <f t="shared" si="401"/>
        <v>38039.404329982164</v>
      </c>
      <c r="U398" s="21">
        <f t="shared" si="401"/>
        <v>13869.52141318963</v>
      </c>
      <c r="V398" s="21">
        <f t="shared" si="401"/>
        <v>3755.2902994007131</v>
      </c>
      <c r="W398" s="21">
        <f t="shared" si="401"/>
        <v>461.91901590944036</v>
      </c>
      <c r="X398" s="21">
        <f t="shared" si="401"/>
        <v>152.67899415969069</v>
      </c>
      <c r="Y398" s="21">
        <f t="shared" si="401"/>
        <v>46.812226482495568</v>
      </c>
      <c r="Z398" s="21">
        <f t="shared" si="401"/>
        <v>45.884169461712965</v>
      </c>
      <c r="AA398" s="21">
        <f t="shared" si="401"/>
        <v>175.05645714956549</v>
      </c>
      <c r="AB398" s="21">
        <f t="shared" si="401"/>
        <v>2846.4715094834601</v>
      </c>
      <c r="AC398" s="21">
        <f t="shared" si="401"/>
        <v>6099.8083858634855</v>
      </c>
      <c r="AD398" s="21">
        <f t="shared" si="401"/>
        <v>6055.5540191718283</v>
      </c>
      <c r="AE398" s="21">
        <f t="shared" si="401"/>
        <v>5765.4984913042381</v>
      </c>
      <c r="AF398" s="21">
        <f t="shared" si="401"/>
        <v>5591.8851122244596</v>
      </c>
      <c r="AG398" s="3"/>
      <c r="AH398" s="3"/>
    </row>
    <row r="399" spans="1:34" x14ac:dyDescent="0.25">
      <c r="A399" s="71">
        <f>SUM(B399:AF399)</f>
        <v>1424677.7344249748</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352257.52060071495</v>
      </c>
      <c r="M399" s="60">
        <f t="shared" ref="M399" si="412">IF($A$64&lt;=M363,IF($B$64&gt;=M363,ABS(M398),0),0)</f>
        <v>327744.07351238746</v>
      </c>
      <c r="N399" s="60">
        <f t="shared" ref="N399" si="413">IF($A$64&lt;=N363,IF($B$64&gt;=N363,ABS(N398),0),0)</f>
        <v>84193.390445770143</v>
      </c>
      <c r="O399" s="60">
        <f t="shared" ref="O399" si="414">IF($A$64&lt;=O363,IF($B$64&gt;=O363,ABS(O398),0),0)</f>
        <v>59013.300718918676</v>
      </c>
      <c r="P399" s="60">
        <f t="shared" ref="P399" si="415">IF($A$64&lt;=P363,IF($B$64&gt;=P363,ABS(P398),0),0)</f>
        <v>324002.08631443005</v>
      </c>
      <c r="Q399" s="60">
        <f t="shared" ref="Q399" si="416">IF($A$64&lt;=Q363,IF($B$64&gt;=Q363,ABS(Q398),0),0)</f>
        <v>201745.51938080933</v>
      </c>
      <c r="R399" s="60">
        <f t="shared" ref="R399" si="417">IF($A$64&lt;=R363,IF($B$64&gt;=R363,ABS(R398),0),0)</f>
        <v>1077.246938292087</v>
      </c>
      <c r="S399" s="60">
        <f t="shared" ref="S399" si="418">IF($A$64&lt;=S363,IF($B$64&gt;=S363,ABS(S398),0),0)</f>
        <v>18980.380471079559</v>
      </c>
      <c r="T399" s="60">
        <f t="shared" ref="T399" si="419">IF($A$64&lt;=T363,IF($B$64&gt;=T363,ABS(T398),0),0)</f>
        <v>38039.404329982164</v>
      </c>
      <c r="U399" s="60">
        <f t="shared" ref="U399" si="420">IF($A$64&lt;=U363,IF($B$64&gt;=U363,ABS(U398),0),0)</f>
        <v>13869.52141318963</v>
      </c>
      <c r="V399" s="60">
        <f t="shared" ref="V399" si="421">IF($A$64&lt;=V363,IF($B$64&gt;=V363,ABS(V398),0),0)</f>
        <v>3755.2902994007131</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162</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-8.2939414517803574</v>
      </c>
      <c r="C403" s="107">
        <f t="shared" ref="C403:H403" si="432">IF(C125=$B$2,0,C126)</f>
        <v>-4.5727647050286402</v>
      </c>
      <c r="D403" s="107">
        <f t="shared" si="432"/>
        <v>-2.0775796047571524</v>
      </c>
      <c r="E403" s="107">
        <f t="shared" si="432"/>
        <v>0</v>
      </c>
      <c r="F403" s="107">
        <f t="shared" si="432"/>
        <v>2.446530242291018</v>
      </c>
      <c r="G403" s="107">
        <f t="shared" si="432"/>
        <v>7.1711458088301363</v>
      </c>
      <c r="H403" s="107">
        <f t="shared" si="432"/>
        <v>11.837918255932872</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2.5002704854355948E-19</v>
      </c>
      <c r="C404" s="3">
        <f t="shared" ref="C404:H419" si="433">$A404/EXP(-C$403)</f>
        <v>1.0329362563858773E-17</v>
      </c>
      <c r="D404" s="3">
        <f t="shared" si="433"/>
        <v>1.2523295892544582E-16</v>
      </c>
      <c r="E404" s="3">
        <f t="shared" si="433"/>
        <v>1.0000000000000001E-15</v>
      </c>
      <c r="F404" s="3">
        <f t="shared" si="433"/>
        <v>1.1548207640569057E-14</v>
      </c>
      <c r="G404" s="3">
        <f t="shared" si="433"/>
        <v>1.3013348298223226E-12</v>
      </c>
      <c r="H404" s="3">
        <f t="shared" si="433"/>
        <v>1.3840206684880857E-10</v>
      </c>
      <c r="I404" s="109">
        <f>Comparison!AL3</f>
        <v>1.0000000000000001E-15</v>
      </c>
      <c r="J404" s="3">
        <f>Comparison!AM3</f>
        <v>11605.327404987251</v>
      </c>
      <c r="K404" s="3">
        <f>Comparison!AN3</f>
        <v>11367.234905429283</v>
      </c>
      <c r="L404" s="3">
        <f>Comparison!AO3</f>
        <v>11009.313892134818</v>
      </c>
      <c r="M404" s="3">
        <f>Comparison!AP3</f>
        <v>10761.801351389528</v>
      </c>
      <c r="N404" s="3">
        <f>Comparison!AQ3</f>
        <v>10455.125722169887</v>
      </c>
      <c r="O404" s="3">
        <f>Comparison!AR3</f>
        <v>9761.2866745763949</v>
      </c>
      <c r="P404" s="3">
        <f>Comparison!AS3</f>
        <v>9039.8670430819093</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2.5002704854355945E-18</v>
      </c>
      <c r="C405" s="3">
        <f t="shared" si="433"/>
        <v>1.0329362563858772E-16</v>
      </c>
      <c r="D405" s="3">
        <f t="shared" si="433"/>
        <v>1.2523295892544581E-15</v>
      </c>
      <c r="E405" s="3">
        <f t="shared" si="433"/>
        <v>1E-14</v>
      </c>
      <c r="F405" s="3">
        <f t="shared" si="433"/>
        <v>1.1548207640569057E-13</v>
      </c>
      <c r="G405" s="3">
        <f t="shared" si="433"/>
        <v>1.3013348298223225E-11</v>
      </c>
      <c r="H405" s="3">
        <f t="shared" si="433"/>
        <v>1.3840206684880855E-9</v>
      </c>
      <c r="I405" s="109">
        <f>Comparison!AL4</f>
        <v>1E-14</v>
      </c>
      <c r="J405" s="3">
        <f>Comparison!AM4</f>
        <v>11525.315889809444</v>
      </c>
      <c r="K405" s="3">
        <f>Comparison!AN4</f>
        <v>11068.839809245561</v>
      </c>
      <c r="L405" s="3">
        <f>Comparison!AO4</f>
        <v>10796.668525667899</v>
      </c>
      <c r="M405" s="3">
        <f>Comparison!AP4</f>
        <v>10547.11616169445</v>
      </c>
      <c r="N405" s="3">
        <f>Comparison!AQ4</f>
        <v>10216.758037955571</v>
      </c>
      <c r="O405" s="3">
        <f>Comparison!AR4</f>
        <v>9457.0352890406648</v>
      </c>
      <c r="P405" s="3">
        <f>Comparison!AS4</f>
        <v>8723.1350121775959</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2.5002704854355948E-17</v>
      </c>
      <c r="C406" s="3">
        <f t="shared" si="433"/>
        <v>1.0329362563858772E-15</v>
      </c>
      <c r="D406" s="3">
        <f t="shared" si="433"/>
        <v>1.2523295892544581E-14</v>
      </c>
      <c r="E406" s="3">
        <f t="shared" si="433"/>
        <v>1E-13</v>
      </c>
      <c r="F406" s="3">
        <f t="shared" si="433"/>
        <v>1.1548207640569057E-12</v>
      </c>
      <c r="G406" s="3">
        <f t="shared" si="433"/>
        <v>1.3013348298223226E-10</v>
      </c>
      <c r="H406" s="3">
        <f t="shared" si="433"/>
        <v>1.3840206684880856E-8</v>
      </c>
      <c r="I406" s="109">
        <f>Comparison!AL5</f>
        <v>1E-13</v>
      </c>
      <c r="J406" s="3">
        <f>Comparison!AM5</f>
        <v>11262.989267632682</v>
      </c>
      <c r="K406" s="3">
        <f>Comparison!AN5</f>
        <v>10885.617784934777</v>
      </c>
      <c r="L406" s="3">
        <f>Comparison!AO5</f>
        <v>10610.07082701246</v>
      </c>
      <c r="M406" s="3">
        <f>Comparison!AP5</f>
        <v>10349.894568285434</v>
      </c>
      <c r="N406" s="3">
        <f>Comparison!AQ5</f>
        <v>9990.8860283110862</v>
      </c>
      <c r="O406" s="3">
        <f>Comparison!AR5</f>
        <v>9203.9756041421206</v>
      </c>
      <c r="P406" s="3">
        <f>Comparison!AS5</f>
        <v>8412.4411255307823</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2.5002704854355947E-16</v>
      </c>
      <c r="C407" s="3">
        <f t="shared" si="433"/>
        <v>1.0329362563858773E-14</v>
      </c>
      <c r="D407" s="3">
        <f t="shared" si="433"/>
        <v>1.2523295892544579E-13</v>
      </c>
      <c r="E407" s="3">
        <f t="shared" si="433"/>
        <v>9.9999999999999998E-13</v>
      </c>
      <c r="F407" s="3">
        <f t="shared" si="433"/>
        <v>1.1548207640569056E-11</v>
      </c>
      <c r="G407" s="3">
        <f t="shared" si="433"/>
        <v>1.3013348298223225E-9</v>
      </c>
      <c r="H407" s="3">
        <f t="shared" si="433"/>
        <v>1.3840206684880854E-7</v>
      </c>
      <c r="I407" s="109">
        <f>Comparison!AL6</f>
        <v>9.9999999999999998E-13</v>
      </c>
      <c r="J407" s="3">
        <f>Comparison!AM6</f>
        <v>11072.566067439215</v>
      </c>
      <c r="K407" s="3">
        <f>Comparison!AN6</f>
        <v>10701.493672903915</v>
      </c>
      <c r="L407" s="3">
        <f>Comparison!AO6</f>
        <v>10413.892727978708</v>
      </c>
      <c r="M407" s="3">
        <f>Comparison!AP6</f>
        <v>10133.265997491257</v>
      </c>
      <c r="N407" s="3">
        <f>Comparison!AQ6</f>
        <v>9740.6929571272121</v>
      </c>
      <c r="O407" s="3">
        <f>Comparison!AR6</f>
        <v>8950.159395690147</v>
      </c>
      <c r="P407" s="3">
        <f>Comparison!AS6</f>
        <v>8064.2181617455262</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2.5002704854355946E-15</v>
      </c>
      <c r="C408" s="3">
        <f t="shared" si="433"/>
        <v>1.0329362563858772E-13</v>
      </c>
      <c r="D408" s="3">
        <f t="shared" si="433"/>
        <v>1.2523295892544579E-12</v>
      </c>
      <c r="E408" s="3">
        <f t="shared" si="433"/>
        <v>9.9999999999999994E-12</v>
      </c>
      <c r="F408" s="3">
        <f t="shared" si="433"/>
        <v>1.1548207640569056E-10</v>
      </c>
      <c r="G408" s="3">
        <f t="shared" si="433"/>
        <v>1.3013348298223225E-8</v>
      </c>
      <c r="H408" s="3">
        <f t="shared" si="433"/>
        <v>1.3840206684880854E-6</v>
      </c>
      <c r="I408" s="109">
        <f>Comparison!AL7</f>
        <v>9.9999999999999994E-12</v>
      </c>
      <c r="J408" s="3">
        <f>Comparison!AM7</f>
        <v>10893.827462738938</v>
      </c>
      <c r="K408" s="3">
        <f>Comparison!AN7</f>
        <v>10504.725025316387</v>
      </c>
      <c r="L408" s="3">
        <f>Comparison!AO7</f>
        <v>10194.452600653791</v>
      </c>
      <c r="M408" s="3">
        <f>Comparison!AP7</f>
        <v>9898.4994293430227</v>
      </c>
      <c r="N408" s="3">
        <f>Comparison!AQ7</f>
        <v>9486.1331326421696</v>
      </c>
      <c r="O408" s="3">
        <f>Comparison!AR7</f>
        <v>8675.2521191856285</v>
      </c>
      <c r="P408" s="3">
        <f>Comparison!AS7</f>
        <v>7728.4680221740073</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2.5002704854355946E-14</v>
      </c>
      <c r="C409" s="3">
        <f t="shared" si="433"/>
        <v>1.0329362563858772E-12</v>
      </c>
      <c r="D409" s="3">
        <f t="shared" si="433"/>
        <v>1.2523295892544581E-11</v>
      </c>
      <c r="E409" s="3">
        <f t="shared" si="433"/>
        <v>1E-10</v>
      </c>
      <c r="F409" s="3">
        <f t="shared" si="433"/>
        <v>1.1548207640569057E-9</v>
      </c>
      <c r="G409" s="3">
        <f t="shared" si="433"/>
        <v>1.3013348298223226E-7</v>
      </c>
      <c r="H409" s="3">
        <f t="shared" si="433"/>
        <v>1.3840206684880856E-5</v>
      </c>
      <c r="I409" s="109">
        <f>Comparison!AL8</f>
        <v>1E-10</v>
      </c>
      <c r="J409" s="3">
        <f>Comparison!AM8</f>
        <v>10697.933159313619</v>
      </c>
      <c r="K409" s="3">
        <f>Comparison!AN8</f>
        <v>10287.091684462941</v>
      </c>
      <c r="L409" s="3">
        <f>Comparison!AO8</f>
        <v>9957.7302884452874</v>
      </c>
      <c r="M409" s="3">
        <f>Comparison!AP8</f>
        <v>9623.1820365655622</v>
      </c>
      <c r="N409" s="3">
        <f>Comparison!AQ8</f>
        <v>9224.2999433670138</v>
      </c>
      <c r="O409" s="3">
        <f>Comparison!AR8</f>
        <v>8343.5058150850455</v>
      </c>
      <c r="P409" s="3">
        <f>Comparison!AS8</f>
        <v>7458.8734765357476</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2.5002704854355947E-13</v>
      </c>
      <c r="C410" s="3">
        <f t="shared" si="433"/>
        <v>1.0329362563858773E-11</v>
      </c>
      <c r="D410" s="3">
        <f t="shared" si="433"/>
        <v>1.2523295892544582E-10</v>
      </c>
      <c r="E410" s="3">
        <f t="shared" si="433"/>
        <v>1.0000000000000001E-9</v>
      </c>
      <c r="F410" s="3">
        <f t="shared" si="433"/>
        <v>1.1548207640569057E-8</v>
      </c>
      <c r="G410" s="3">
        <f t="shared" si="433"/>
        <v>1.3013348298223226E-6</v>
      </c>
      <c r="H410" s="3">
        <f t="shared" si="433"/>
        <v>1.3840206684880856E-4</v>
      </c>
      <c r="I410" s="109">
        <f>Comparison!AL9</f>
        <v>1.0000000000000001E-9</v>
      </c>
      <c r="J410" s="3">
        <f>Comparison!AM9</f>
        <v>10491.083669953241</v>
      </c>
      <c r="K410" s="3">
        <f>Comparison!AN9</f>
        <v>10049.244860118473</v>
      </c>
      <c r="L410" s="3">
        <f>Comparison!AO9</f>
        <v>9678.9506451169946</v>
      </c>
      <c r="M410" s="3">
        <f>Comparison!AP9</f>
        <v>9373.9337150399151</v>
      </c>
      <c r="N410" s="3">
        <f>Comparison!AQ9</f>
        <v>8983.6546151744242</v>
      </c>
      <c r="O410" s="3">
        <f>Comparison!AR9</f>
        <v>7990.5188430178014</v>
      </c>
      <c r="P410" s="3">
        <f>Comparison!AS9</f>
        <v>7186.4338001487413</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2.5002704854355948E-12</v>
      </c>
      <c r="C411" s="3">
        <f t="shared" si="433"/>
        <v>1.0329362563858773E-10</v>
      </c>
      <c r="D411" s="3">
        <f t="shared" si="433"/>
        <v>1.252329589254458E-9</v>
      </c>
      <c r="E411" s="3">
        <f t="shared" si="433"/>
        <v>1E-8</v>
      </c>
      <c r="F411" s="3">
        <f t="shared" si="433"/>
        <v>1.1548207640569057E-7</v>
      </c>
      <c r="G411" s="3">
        <f t="shared" si="433"/>
        <v>1.3013348298223225E-5</v>
      </c>
      <c r="H411" s="3">
        <f t="shared" si="433"/>
        <v>1.3840206684880855E-3</v>
      </c>
      <c r="I411" s="109">
        <f>Comparison!AL10</f>
        <v>1E-8</v>
      </c>
      <c r="J411" s="3">
        <f>Comparison!AM10</f>
        <v>10253.530794540358</v>
      </c>
      <c r="K411" s="3">
        <f>Comparison!AN10</f>
        <v>9772.6915503667024</v>
      </c>
      <c r="L411" s="3">
        <f>Comparison!AO10</f>
        <v>9429.10680786792</v>
      </c>
      <c r="M411" s="3">
        <f>Comparison!AP10</f>
        <v>9114.1360760931802</v>
      </c>
      <c r="N411" s="3">
        <f>Comparison!AQ10</f>
        <v>8670.3934759322055</v>
      </c>
      <c r="O411" s="3">
        <f>Comparison!AR10</f>
        <v>7680.5790598342728</v>
      </c>
      <c r="P411" s="3">
        <f>Comparison!AS10</f>
        <v>6923.3670228065112</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2.5002704854355946E-11</v>
      </c>
      <c r="C412" s="3">
        <f t="shared" si="433"/>
        <v>1.0329362563858771E-9</v>
      </c>
      <c r="D412" s="3">
        <f t="shared" si="433"/>
        <v>1.2523295892544581E-8</v>
      </c>
      <c r="E412" s="3">
        <f t="shared" si="433"/>
        <v>9.9999999999999995E-8</v>
      </c>
      <c r="F412" s="3">
        <f t="shared" si="433"/>
        <v>1.1548207640569057E-6</v>
      </c>
      <c r="G412" s="3">
        <f t="shared" si="433"/>
        <v>1.3013348298223225E-4</v>
      </c>
      <c r="H412" s="3">
        <f t="shared" si="433"/>
        <v>1.3840206684880854E-2</v>
      </c>
      <c r="I412" s="109">
        <f>Comparison!AL11</f>
        <v>9.9999999999999995E-8</v>
      </c>
      <c r="J412" s="3">
        <f>Comparison!AM11</f>
        <v>9990.0957619753135</v>
      </c>
      <c r="K412" s="3">
        <f>Comparison!AN11</f>
        <v>9517.4825603824975</v>
      </c>
      <c r="L412" s="3">
        <f>Comparison!AO11</f>
        <v>9166.8729911518094</v>
      </c>
      <c r="M412" s="3">
        <f>Comparison!AP11</f>
        <v>8823.7573464712859</v>
      </c>
      <c r="N412" s="3">
        <f>Comparison!AQ11</f>
        <v>8318.7463719570296</v>
      </c>
      <c r="O412" s="3">
        <f>Comparison!AR11</f>
        <v>7412.8102086341796</v>
      </c>
      <c r="P412" s="3">
        <f>Comparison!AS11</f>
        <v>6642.6199774647403</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2.5002704854355942E-10</v>
      </c>
      <c r="C413" s="3">
        <f t="shared" si="433"/>
        <v>1.0329362563858773E-8</v>
      </c>
      <c r="D413" s="3">
        <f t="shared" si="433"/>
        <v>1.2523295892544581E-7</v>
      </c>
      <c r="E413" s="3">
        <f t="shared" si="433"/>
        <v>9.9999999999999995E-7</v>
      </c>
      <c r="F413" s="3">
        <f t="shared" si="433"/>
        <v>1.1548207640569056E-5</v>
      </c>
      <c r="G413" s="3">
        <f t="shared" si="433"/>
        <v>1.3013348298223225E-3</v>
      </c>
      <c r="H413" s="3">
        <f t="shared" si="433"/>
        <v>0.13840206684880854</v>
      </c>
      <c r="I413" s="109">
        <f>Comparison!AL12</f>
        <v>9.9999999999999995E-7</v>
      </c>
      <c r="J413" s="3">
        <f>Comparison!AM12</f>
        <v>9721.0109842535821</v>
      </c>
      <c r="K413" s="3">
        <f>Comparison!AN12</f>
        <v>9254.9171850971579</v>
      </c>
      <c r="L413" s="3">
        <f>Comparison!AO12</f>
        <v>8871.4120157080979</v>
      </c>
      <c r="M413" s="3">
        <f>Comparison!AP12</f>
        <v>8477.9341078683501</v>
      </c>
      <c r="N413" s="3">
        <f>Comparison!AQ12</f>
        <v>7968.6744939632144</v>
      </c>
      <c r="O413" s="3">
        <f>Comparison!AR12</f>
        <v>7140.1987157287695</v>
      </c>
      <c r="P413" s="3">
        <f>Comparison!AS12</f>
        <v>6381.2467017614817</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2.5002704854355946E-9</v>
      </c>
      <c r="C414" s="3">
        <f t="shared" si="433"/>
        <v>1.0329362563858774E-7</v>
      </c>
      <c r="D414" s="3">
        <f t="shared" si="433"/>
        <v>1.2523295892544582E-6</v>
      </c>
      <c r="E414" s="3">
        <f t="shared" si="433"/>
        <v>1.0000000000000001E-5</v>
      </c>
      <c r="F414" s="3">
        <f t="shared" si="433"/>
        <v>1.1548207640569057E-4</v>
      </c>
      <c r="G414" s="3">
        <f t="shared" si="433"/>
        <v>1.3013348298223227E-2</v>
      </c>
      <c r="H414" s="3">
        <f t="shared" si="433"/>
        <v>1.3840206684880856</v>
      </c>
      <c r="I414" s="109">
        <f>Comparison!AL13</f>
        <v>1.0000000000000001E-5</v>
      </c>
      <c r="J414" s="3">
        <f>Comparison!AM13</f>
        <v>9457.2689514888043</v>
      </c>
      <c r="K414" s="3">
        <f>Comparison!AN13</f>
        <v>8963.5955807199589</v>
      </c>
      <c r="L414" s="3">
        <f>Comparison!AO13</f>
        <v>8521.038668453999</v>
      </c>
      <c r="M414" s="3">
        <f>Comparison!AP13</f>
        <v>8118.5828227804013</v>
      </c>
      <c r="N414" s="3">
        <f>Comparison!AQ13</f>
        <v>7682.4342615636733</v>
      </c>
      <c r="O414" s="3">
        <f>Comparison!AR13</f>
        <v>6866.3570711275343</v>
      </c>
      <c r="P414" s="3">
        <f>Comparison!AS13</f>
        <v>6048.4964574924006</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2.5002704854355948E-8</v>
      </c>
      <c r="C415" s="3">
        <f t="shared" si="433"/>
        <v>1.0329362563858774E-6</v>
      </c>
      <c r="D415" s="3">
        <f t="shared" si="433"/>
        <v>1.252329589254458E-5</v>
      </c>
      <c r="E415" s="3">
        <f t="shared" si="433"/>
        <v>1E-4</v>
      </c>
      <c r="F415" s="3">
        <f t="shared" si="433"/>
        <v>1.1548207640569056E-3</v>
      </c>
      <c r="G415" s="3">
        <f t="shared" si="433"/>
        <v>0.13013348298223226</v>
      </c>
      <c r="H415" s="3">
        <f t="shared" si="433"/>
        <v>13.840206684880856</v>
      </c>
      <c r="I415" s="109">
        <f>Comparison!AL14</f>
        <v>1E-4</v>
      </c>
      <c r="J415" s="3">
        <f>Comparison!AM14</f>
        <v>9196.9082117763955</v>
      </c>
      <c r="K415" s="3">
        <f>Comparison!AN14</f>
        <v>8614.6063850970258</v>
      </c>
      <c r="L415" s="3">
        <f>Comparison!AO14</f>
        <v>8159.6492921187164</v>
      </c>
      <c r="M415" s="3">
        <f>Comparison!AP14</f>
        <v>7811.8955545814642</v>
      </c>
      <c r="N415" s="3">
        <f>Comparison!AQ14</f>
        <v>7403.9105678680935</v>
      </c>
      <c r="O415" s="3">
        <f>Comparison!AR14</f>
        <v>6590.7809918049779</v>
      </c>
      <c r="P415" s="3">
        <f>Comparison!AS14</f>
        <v>5696.5517580815231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2.5002704854355947E-7</v>
      </c>
      <c r="C416" s="3">
        <f t="shared" si="433"/>
        <v>1.0329362563858773E-5</v>
      </c>
      <c r="D416" s="3">
        <f t="shared" si="433"/>
        <v>1.252329589254458E-4</v>
      </c>
      <c r="E416" s="3">
        <f t="shared" si="433"/>
        <v>1E-3</v>
      </c>
      <c r="F416" s="3">
        <f t="shared" si="433"/>
        <v>1.1548207640569057E-2</v>
      </c>
      <c r="G416" s="3">
        <f t="shared" si="433"/>
        <v>1.3013348298223226</v>
      </c>
      <c r="H416" s="3">
        <f t="shared" si="433"/>
        <v>138.40206684880854</v>
      </c>
      <c r="I416" s="109">
        <f>Comparison!AL15</f>
        <v>1E-3</v>
      </c>
      <c r="J416" s="3">
        <f>Comparison!AM15</f>
        <v>8853.3090866661241</v>
      </c>
      <c r="K416" s="3">
        <f>Comparison!AN15</f>
        <v>8248.4064055257641</v>
      </c>
      <c r="L416" s="3">
        <f>Comparison!AO15</f>
        <v>7853.7898979258625</v>
      </c>
      <c r="M416" s="3">
        <f>Comparison!AP15</f>
        <v>7534.5067060295696</v>
      </c>
      <c r="N416" s="3">
        <f>Comparison!AQ15</f>
        <v>7132.2476769922887</v>
      </c>
      <c r="O416" s="3">
        <f>Comparison!AR15</f>
        <v>6298.9484082003064</v>
      </c>
      <c r="P416" s="3">
        <f>Comparison!AS15</f>
        <v>5284.0344872686346</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2.5002704854355947E-6</v>
      </c>
      <c r="C417" s="3">
        <f t="shared" si="433"/>
        <v>1.0329362563858773E-4</v>
      </c>
      <c r="D417" s="3">
        <f t="shared" si="433"/>
        <v>1.2523295892544581E-3</v>
      </c>
      <c r="E417" s="3">
        <f t="shared" si="433"/>
        <v>0.01</v>
      </c>
      <c r="F417" s="3">
        <f t="shared" si="433"/>
        <v>0.11548207640569057</v>
      </c>
      <c r="G417" s="3">
        <f t="shared" si="433"/>
        <v>13.013348298223226</v>
      </c>
      <c r="H417" s="3">
        <f t="shared" si="433"/>
        <v>1384.0206684880857</v>
      </c>
      <c r="I417" s="109">
        <f>Comparison!AL16</f>
        <v>0.01</v>
      </c>
      <c r="J417" s="3">
        <f>Comparison!AM16</f>
        <v>8479.914716286281</v>
      </c>
      <c r="K417" s="3">
        <f>Comparison!AN16</f>
        <v>7932.3411730217404</v>
      </c>
      <c r="L417" s="3">
        <f>Comparison!AO16</f>
        <v>7573.2536155058961</v>
      </c>
      <c r="M417" s="3">
        <f>Comparison!AP16</f>
        <v>7256.8628130889483</v>
      </c>
      <c r="N417" s="3">
        <f>Comparison!AQ16</f>
        <v>6844.7384968439528</v>
      </c>
      <c r="O417" s="3">
        <f>Comparison!AR16</f>
        <v>5945.6821100901007</v>
      </c>
      <c r="P417" s="3">
        <f>Comparison!AS16</f>
        <v>4808.4059861038604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2.5002704854355948E-5</v>
      </c>
      <c r="C418" s="3">
        <f t="shared" si="433"/>
        <v>1.0329362563858773E-3</v>
      </c>
      <c r="D418" s="3">
        <f t="shared" si="433"/>
        <v>1.2523295892544582E-2</v>
      </c>
      <c r="E418" s="3">
        <f t="shared" si="433"/>
        <v>0.1</v>
      </c>
      <c r="F418" s="3">
        <f t="shared" si="433"/>
        <v>1.1548207640569057</v>
      </c>
      <c r="G418" s="3">
        <f t="shared" si="433"/>
        <v>130.13348298223227</v>
      </c>
      <c r="H418" s="3">
        <f t="shared" si="433"/>
        <v>13840.206684880855</v>
      </c>
      <c r="I418" s="109">
        <f>Comparison!AL17</f>
        <v>0.1</v>
      </c>
      <c r="J418" s="3">
        <f>Comparison!AM17</f>
        <v>8128.965640404419</v>
      </c>
      <c r="K418" s="3">
        <f>Comparison!AN17</f>
        <v>7651.3188875674869</v>
      </c>
      <c r="L418" s="3">
        <f>Comparison!AO17</f>
        <v>7293.8613287583112</v>
      </c>
      <c r="M418" s="3">
        <f>Comparison!AP17</f>
        <v>6971.3695334324493</v>
      </c>
      <c r="N418" s="3">
        <f>Comparison!AQ17</f>
        <v>6572.6294407257219</v>
      </c>
      <c r="O418" s="3">
        <f>Comparison!AR17</f>
        <v>5548.4424875147679</v>
      </c>
      <c r="P418" s="3">
        <f>Comparison!AS17</f>
        <v>4180.5720256158129</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2.5002704854355947E-4</v>
      </c>
      <c r="C419" s="3">
        <f t="shared" si="433"/>
        <v>1.0329362563858772E-2</v>
      </c>
      <c r="D419" s="3">
        <f t="shared" si="433"/>
        <v>0.12523295892544581</v>
      </c>
      <c r="E419" s="3">
        <f t="shared" si="433"/>
        <v>1</v>
      </c>
      <c r="F419" s="3">
        <f t="shared" si="433"/>
        <v>11.548207640569057</v>
      </c>
      <c r="G419" s="3">
        <f t="shared" si="433"/>
        <v>1301.3348298223225</v>
      </c>
      <c r="H419" s="3">
        <f t="shared" si="433"/>
        <v>138402.06684880855</v>
      </c>
      <c r="I419" s="109">
        <f>Comparison!AL18</f>
        <v>1</v>
      </c>
      <c r="J419" s="3">
        <f>Comparison!AM18</f>
        <v>7846.4940246078413</v>
      </c>
      <c r="K419" s="3">
        <f>Comparison!AN18</f>
        <v>7368.015082756323</v>
      </c>
      <c r="L419" s="3">
        <f>Comparison!AO18</f>
        <v>7004.3784649959834</v>
      </c>
      <c r="M419" s="3">
        <f>Comparison!AP18</f>
        <v>6688.5259415281262</v>
      </c>
      <c r="N419" s="3">
        <f>Comparison!AQ18</f>
        <v>6219.0027578185491</v>
      </c>
      <c r="O419" s="3">
        <f>Comparison!AR18</f>
        <v>4973.8956031837224</v>
      </c>
      <c r="P419" s="3">
        <f>Comparison!AS18</f>
        <v>3284.9966289927738</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2.5002704854355947E-3</v>
      </c>
      <c r="C420" s="3">
        <f t="shared" si="434"/>
        <v>0.10329362563858772</v>
      </c>
      <c r="D420" s="3">
        <f t="shared" si="434"/>
        <v>1.2523295892544581</v>
      </c>
      <c r="E420" s="3">
        <f t="shared" si="434"/>
        <v>10</v>
      </c>
      <c r="F420" s="3">
        <f t="shared" si="434"/>
        <v>115.48207640569056</v>
      </c>
      <c r="G420" s="3">
        <f t="shared" si="434"/>
        <v>13013.348298223225</v>
      </c>
      <c r="H420" s="3">
        <f t="shared" si="434"/>
        <v>1384020.6684880855</v>
      </c>
      <c r="I420" s="109">
        <f>Comparison!AL19</f>
        <v>10</v>
      </c>
      <c r="J420" s="3">
        <f>Comparison!AM19</f>
        <v>7554.3574872186746</v>
      </c>
      <c r="K420" s="3">
        <f>Comparison!AN19</f>
        <v>7078.2683200185556</v>
      </c>
      <c r="L420" s="3">
        <f>Comparison!AO19</f>
        <v>6716.1281746734903</v>
      </c>
      <c r="M420" s="3">
        <f>Comparison!AP19</f>
        <v>6332.8599538611707</v>
      </c>
      <c r="N420" s="3">
        <f>Comparison!AQ19</f>
        <v>5690.6299745251627</v>
      </c>
      <c r="O420" s="3">
        <f>Comparison!AR19</f>
        <v>4041.6864062630743</v>
      </c>
      <c r="P420" s="3">
        <f>Comparison!AS19</f>
        <v>2245.2955925232422</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2.5002704854355944E-2</v>
      </c>
      <c r="C421" s="3">
        <f t="shared" si="434"/>
        <v>1.0329362563858773</v>
      </c>
      <c r="D421" s="3">
        <f t="shared" si="434"/>
        <v>12.52329589254458</v>
      </c>
      <c r="E421" s="3">
        <f t="shared" si="434"/>
        <v>100</v>
      </c>
      <c r="F421" s="3">
        <f t="shared" si="434"/>
        <v>1154.8207640569055</v>
      </c>
      <c r="G421" s="3">
        <f t="shared" si="434"/>
        <v>130133.48298223225</v>
      </c>
      <c r="H421" s="3">
        <f t="shared" si="434"/>
        <v>13840206.684880855</v>
      </c>
      <c r="I421" s="109">
        <f>Comparison!AL20</f>
        <v>100</v>
      </c>
      <c r="J421" s="3">
        <f>Comparison!AM20</f>
        <v>7271.4639946770558</v>
      </c>
      <c r="K421" s="3">
        <f>Comparison!AN20</f>
        <v>6780.7506129740432</v>
      </c>
      <c r="L421" s="3">
        <f>Comparison!AO20</f>
        <v>6317.4824905918776</v>
      </c>
      <c r="M421" s="3">
        <f>Comparison!AP20</f>
        <v>5707.8128215740962</v>
      </c>
      <c r="N421" s="3">
        <f>Comparison!AQ20</f>
        <v>4763.4711208275512</v>
      </c>
      <c r="O421" s="3">
        <f>Comparison!AR20</f>
        <v>2997.7303823547541</v>
      </c>
      <c r="P421" s="3">
        <f>Comparison!AS20</f>
        <v>1455.0382053123094</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0.25002704854355945</v>
      </c>
      <c r="C422" s="3">
        <f t="shared" si="434"/>
        <v>10.329362563858773</v>
      </c>
      <c r="D422" s="3">
        <f t="shared" si="434"/>
        <v>125.2329589254458</v>
      </c>
      <c r="E422" s="3">
        <f t="shared" si="434"/>
        <v>1000</v>
      </c>
      <c r="F422" s="3">
        <f t="shared" si="434"/>
        <v>11548.207640569057</v>
      </c>
      <c r="G422" s="3">
        <f t="shared" si="434"/>
        <v>1301334.8298223226</v>
      </c>
      <c r="H422" s="3">
        <f t="shared" si="434"/>
        <v>138402066.84880856</v>
      </c>
      <c r="I422" s="109">
        <f>Comparison!AL21</f>
        <v>1000</v>
      </c>
      <c r="J422" s="3">
        <f>Comparison!AM21</f>
        <v>6968.3337174677063</v>
      </c>
      <c r="K422" s="3">
        <f>Comparison!AN21</f>
        <v>6359.8481605512916</v>
      </c>
      <c r="L422" s="3">
        <f>Comparison!AO21</f>
        <v>5575.0877249610812</v>
      </c>
      <c r="M422" s="3">
        <f>Comparison!AP21</f>
        <v>4703.4024219609055</v>
      </c>
      <c r="N422" s="3">
        <f>Comparison!AQ21</f>
        <v>3748.4083561986595</v>
      </c>
      <c r="O422" s="3">
        <f>Comparison!AR21</f>
        <v>2118.9396419195423</v>
      </c>
      <c r="P422" s="3">
        <f>Comparison!AS21</f>
        <v>939.75400333325899</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2.5002704854355944</v>
      </c>
      <c r="C423" s="3">
        <f t="shared" si="434"/>
        <v>103.29362563858773</v>
      </c>
      <c r="D423" s="3">
        <f t="shared" si="434"/>
        <v>1252.3295892544581</v>
      </c>
      <c r="E423" s="3">
        <f t="shared" si="434"/>
        <v>10000</v>
      </c>
      <c r="F423" s="3">
        <f t="shared" si="434"/>
        <v>115482.07640569056</v>
      </c>
      <c r="G423" s="3">
        <f t="shared" si="434"/>
        <v>13013348.298223225</v>
      </c>
      <c r="H423" s="3">
        <f t="shared" si="434"/>
        <v>1384020668.4880855</v>
      </c>
      <c r="I423" s="109">
        <f>Comparison!AL22</f>
        <v>10000</v>
      </c>
      <c r="J423" s="3">
        <f>Comparison!AM22</f>
        <v>6660.7873102364538</v>
      </c>
      <c r="K423" s="3">
        <f>Comparison!AN22</f>
        <v>5533.5094566127227</v>
      </c>
      <c r="L423" s="3">
        <f>Comparison!AO22</f>
        <v>4517.4360226770941</v>
      </c>
      <c r="M423" s="3">
        <f>Comparison!AP22</f>
        <v>3716.6695709784594</v>
      </c>
      <c r="N423" s="3">
        <f>Comparison!AQ22</f>
        <v>2899.8712503562774</v>
      </c>
      <c r="O423" s="3">
        <f>Comparison!AR22</f>
        <v>1431.9051140793895</v>
      </c>
      <c r="P423" s="3">
        <f>Comparison!AS22</f>
        <v>667.66248335298053</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25.002704854355947</v>
      </c>
      <c r="C424" s="3">
        <f t="shared" si="434"/>
        <v>1032.9362563858772</v>
      </c>
      <c r="D424" s="3">
        <f t="shared" si="434"/>
        <v>12523.29589254458</v>
      </c>
      <c r="E424" s="3">
        <f t="shared" si="434"/>
        <v>100000</v>
      </c>
      <c r="F424" s="3">
        <f t="shared" si="434"/>
        <v>1154820.7640569056</v>
      </c>
      <c r="G424" s="3">
        <f t="shared" si="434"/>
        <v>130133482.98223226</v>
      </c>
      <c r="H424" s="3">
        <f t="shared" si="434"/>
        <v>13840206684.880856</v>
      </c>
      <c r="I424" s="109">
        <f>Comparison!AL23</f>
        <v>100000</v>
      </c>
      <c r="J424" s="3">
        <f>Comparison!AM23</f>
        <v>6120.1247453486039</v>
      </c>
      <c r="K424" s="3">
        <f>Comparison!AN23</f>
        <v>4472.2559132167689</v>
      </c>
      <c r="L424" s="3">
        <f>Comparison!AO23</f>
        <v>3579.1976948167016</v>
      </c>
      <c r="M424" s="3">
        <f>Comparison!AP23</f>
        <v>2925.6425281910142</v>
      </c>
      <c r="N424" s="3">
        <f>Comparison!AQ23</f>
        <v>2207.9514817928284</v>
      </c>
      <c r="O424" s="3">
        <f>Comparison!AR23</f>
        <v>967.83847313448518</v>
      </c>
      <c r="P424" s="3">
        <f>Comparison!AS23</f>
        <v>524.73653922891083</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250.02704854355946</v>
      </c>
      <c r="C425" s="3">
        <f t="shared" si="434"/>
        <v>10329.362563858773</v>
      </c>
      <c r="D425" s="3">
        <f t="shared" si="434"/>
        <v>125232.9589254458</v>
      </c>
      <c r="E425" s="3">
        <f t="shared" si="434"/>
        <v>1000000</v>
      </c>
      <c r="F425" s="3">
        <f t="shared" si="434"/>
        <v>11548207.640569057</v>
      </c>
      <c r="G425" s="3">
        <f t="shared" si="434"/>
        <v>1301334829.8223226</v>
      </c>
      <c r="H425" s="3">
        <f t="shared" si="434"/>
        <v>138402066848.80856</v>
      </c>
      <c r="I425" s="109">
        <f>Comparison!AL24</f>
        <v>1000000</v>
      </c>
      <c r="J425" s="3">
        <f>Comparison!AM24</f>
        <v>5179.772775385416</v>
      </c>
      <c r="K425" s="3">
        <f>Comparison!AN24</f>
        <v>3559.9181790033126</v>
      </c>
      <c r="L425" s="3">
        <f>Comparison!AO24</f>
        <v>2836.8024969308635</v>
      </c>
      <c r="M425" s="3">
        <f>Comparison!AP24</f>
        <v>2271.2592133629987</v>
      </c>
      <c r="N425" s="3">
        <f>Comparison!AQ24</f>
        <v>1604.1263924000411</v>
      </c>
      <c r="O425" s="3">
        <f>Comparison!AR24</f>
        <v>675.63698437161315</v>
      </c>
      <c r="P425" s="3">
        <f>Comparison!AS24</f>
        <v>458.1071148045329</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2500.2704854355948</v>
      </c>
      <c r="C426" s="3">
        <f t="shared" si="434"/>
        <v>103293.62563858772</v>
      </c>
      <c r="D426" s="3">
        <f t="shared" si="434"/>
        <v>1252329.589254458</v>
      </c>
      <c r="E426" s="3">
        <f t="shared" si="434"/>
        <v>10000000</v>
      </c>
      <c r="F426" s="3">
        <f t="shared" si="434"/>
        <v>115482076.40569057</v>
      </c>
      <c r="G426" s="3">
        <f t="shared" si="434"/>
        <v>13013348298.223225</v>
      </c>
      <c r="H426" s="3">
        <f t="shared" si="434"/>
        <v>1384020668488.0854</v>
      </c>
      <c r="I426" s="109">
        <f>Comparison!AL25</f>
        <v>10000000</v>
      </c>
      <c r="J426" s="3">
        <f>Comparison!AM25</f>
        <v>4110.4480491252179</v>
      </c>
      <c r="K426" s="3">
        <f>Comparison!AN25</f>
        <v>2844.2645935941323</v>
      </c>
      <c r="L426" s="3">
        <f>Comparison!AO25</f>
        <v>2213.6861360404496</v>
      </c>
      <c r="M426" s="3">
        <f>Comparison!AP25</f>
        <v>1690.9117320692962</v>
      </c>
      <c r="N426" s="3">
        <f>Comparison!AQ25</f>
        <v>1123.4067588567204</v>
      </c>
      <c r="O426" s="3">
        <f>Comparison!AR25</f>
        <v>531.67099399258564</v>
      </c>
      <c r="P426" s="3">
        <f>Comparison!AS25</f>
        <v>416.14335450856197</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25002.704854355947</v>
      </c>
      <c r="C427" s="3">
        <f t="shared" si="434"/>
        <v>1032936.2563858773</v>
      </c>
      <c r="D427" s="3">
        <f t="shared" si="434"/>
        <v>12523295.892544581</v>
      </c>
      <c r="E427" s="3">
        <f t="shared" si="434"/>
        <v>100000000</v>
      </c>
      <c r="F427" s="3">
        <f t="shared" si="434"/>
        <v>1154820764.0569057</v>
      </c>
      <c r="G427" s="3">
        <f t="shared" si="434"/>
        <v>130133482982.23225</v>
      </c>
      <c r="H427" s="3">
        <f t="shared" si="434"/>
        <v>13840206684880.855</v>
      </c>
      <c r="I427" s="109">
        <f>Comparison!AL26</f>
        <v>100000000</v>
      </c>
      <c r="J427" s="3">
        <f>Comparison!AM26</f>
        <v>3245.0810486621449</v>
      </c>
      <c r="K427" s="3">
        <f>Comparison!AN26</f>
        <v>2237.2915384432267</v>
      </c>
      <c r="L427" s="3">
        <f>Comparison!AO26</f>
        <v>1650.6334197278006</v>
      </c>
      <c r="M427" s="3">
        <f>Comparison!AP26</f>
        <v>1194.4542594457305</v>
      </c>
      <c r="N427" s="3">
        <f>Comparison!AQ26</f>
        <v>780.76520754617513</v>
      </c>
      <c r="O427" s="3">
        <f>Comparison!AR26</f>
        <v>453.91977153237434</v>
      </c>
      <c r="P427" s="3">
        <f>Comparison!AS26</f>
        <v>393.17885286775953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250027.04854355945</v>
      </c>
      <c r="C428" s="3">
        <f t="shared" si="434"/>
        <v>10329362.563858774</v>
      </c>
      <c r="D428" s="3">
        <f t="shared" si="434"/>
        <v>125232958.92544581</v>
      </c>
      <c r="E428" s="3">
        <f t="shared" si="434"/>
        <v>1000000000</v>
      </c>
      <c r="F428" s="3">
        <f t="shared" si="434"/>
        <v>11548207640.569057</v>
      </c>
      <c r="G428" s="3">
        <f t="shared" si="434"/>
        <v>1301334829822.3225</v>
      </c>
      <c r="H428" s="3">
        <f t="shared" si="434"/>
        <v>138402066848808.55</v>
      </c>
      <c r="I428" s="109">
        <f>Comparison!AL27</f>
        <v>1000000000</v>
      </c>
      <c r="J428" s="3">
        <f>Comparison!AM27</f>
        <v>2543.9226414929772</v>
      </c>
      <c r="K428" s="3">
        <f>Comparison!AN27</f>
        <v>1684.6343995836892</v>
      </c>
      <c r="L428" s="3">
        <f>Comparison!AO27</f>
        <v>1168.6567020451771</v>
      </c>
      <c r="M428" s="3">
        <f>Comparison!AP27</f>
        <v>834.8043301176574</v>
      </c>
      <c r="N428" s="3">
        <f>Comparison!AQ27</f>
        <v>582.0058323502866</v>
      </c>
      <c r="O428" s="3">
        <f>Comparison!AR27</f>
        <v>417.85505040960345</v>
      </c>
      <c r="P428" s="3">
        <f>Comparison!AS27</f>
        <v>379.36405724647841</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2500270.4854355948</v>
      </c>
      <c r="C429" s="3">
        <f t="shared" si="434"/>
        <v>103293625.63858773</v>
      </c>
      <c r="D429" s="3">
        <f t="shared" si="434"/>
        <v>1252329589.254458</v>
      </c>
      <c r="E429" s="3">
        <f t="shared" si="434"/>
        <v>10000000000</v>
      </c>
      <c r="F429" s="3">
        <f t="shared" si="434"/>
        <v>115482076405.69057</v>
      </c>
      <c r="G429" s="3">
        <f t="shared" si="434"/>
        <v>13013348298223.225</v>
      </c>
      <c r="H429" s="3">
        <f t="shared" si="434"/>
        <v>1384020668488085.5</v>
      </c>
      <c r="I429" s="109">
        <f>Comparison!AL28</f>
        <v>10000000000</v>
      </c>
      <c r="J429" s="3">
        <f>Comparison!AM28</f>
        <v>1944.565914995268</v>
      </c>
      <c r="K429" s="3">
        <f>Comparison!AN28</f>
        <v>1197.1004230306633</v>
      </c>
      <c r="L429" s="3">
        <f>Comparison!AO28</f>
        <v>818.07631905971209</v>
      </c>
      <c r="M429" s="3">
        <f>Comparison!AP28</f>
        <v>607.40413984309237</v>
      </c>
      <c r="N429" s="3">
        <f>Comparison!AQ28</f>
        <v>477.43912435634792</v>
      </c>
      <c r="O429" s="3">
        <f>Comparison!AR28</f>
        <v>391.91620643386665</v>
      </c>
      <c r="P429" s="3">
        <f>Comparison!AS28</f>
        <v>357.29334618358928</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25002704.854355946</v>
      </c>
      <c r="C430" s="3">
        <f t="shared" si="434"/>
        <v>1032936256.3858773</v>
      </c>
      <c r="D430" s="3">
        <f t="shared" si="434"/>
        <v>12523295892.54458</v>
      </c>
      <c r="E430" s="3">
        <f t="shared" si="434"/>
        <v>100000000000</v>
      </c>
      <c r="F430" s="3">
        <f t="shared" si="434"/>
        <v>1154820764056.9058</v>
      </c>
      <c r="G430" s="3">
        <f t="shared" si="434"/>
        <v>130133482982232.25</v>
      </c>
      <c r="H430" s="3">
        <f t="shared" si="434"/>
        <v>1.3840206684880856E+16</v>
      </c>
      <c r="I430" s="109">
        <f>Comparison!AL29</f>
        <v>100000000000</v>
      </c>
      <c r="J430" s="3">
        <f>Comparison!AM29</f>
        <v>1396.8383179282553</v>
      </c>
      <c r="K430" s="3">
        <f>Comparison!AN29</f>
        <v>840.12332203849121</v>
      </c>
      <c r="L430" s="3">
        <f>Comparison!AO29</f>
        <v>599.03104161742488</v>
      </c>
      <c r="M430" s="3">
        <f>Comparison!AP29</f>
        <v>493.01101666641495</v>
      </c>
      <c r="N430" s="3">
        <f>Comparison!AQ29</f>
        <v>428.31766172038903</v>
      </c>
      <c r="O430" s="3">
        <f>Comparison!AR29</f>
        <v>379.02694798430821</v>
      </c>
      <c r="P430" s="3">
        <f>Comparison!AS29</f>
        <v>350.56361233759071</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250027048.54355946</v>
      </c>
      <c r="C431" s="3">
        <f t="shared" si="434"/>
        <v>10329362563.858772</v>
      </c>
      <c r="D431" s="3">
        <f t="shared" si="434"/>
        <v>125232958925.4458</v>
      </c>
      <c r="E431" s="3">
        <f t="shared" si="434"/>
        <v>1000000000000</v>
      </c>
      <c r="F431" s="3">
        <f t="shared" si="434"/>
        <v>11548207640569.057</v>
      </c>
      <c r="G431" s="3">
        <f t="shared" si="434"/>
        <v>1301334829822322.5</v>
      </c>
      <c r="H431" s="3">
        <f t="shared" si="434"/>
        <v>1.3840206684880856E+17</v>
      </c>
      <c r="I431" s="109">
        <f>Comparison!AL30</f>
        <v>1000000000000</v>
      </c>
      <c r="J431" s="3">
        <f>Comparison!AM30</f>
        <v>982.12621210790121</v>
      </c>
      <c r="K431" s="3">
        <f>Comparison!AN30</f>
        <v>609.58567269963044</v>
      </c>
      <c r="L431" s="3">
        <f>Comparison!AO30</f>
        <v>488.03069035934635</v>
      </c>
      <c r="M431" s="3">
        <f>Comparison!AP30</f>
        <v>433.7285115590953</v>
      </c>
      <c r="N431" s="3">
        <f>Comparison!AQ30</f>
        <v>398.6513774250231</v>
      </c>
      <c r="O431" s="3">
        <f>Comparison!AR30</f>
        <v>367.59357086994629</v>
      </c>
      <c r="P431" s="3">
        <f>Comparison!AS30</f>
        <v>345.69227327199394</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2500270485.4355946</v>
      </c>
      <c r="C432" s="3">
        <f t="shared" si="434"/>
        <v>103293625638.58772</v>
      </c>
      <c r="D432" s="3">
        <f t="shared" si="434"/>
        <v>1252329589254.458</v>
      </c>
      <c r="E432" s="3">
        <f t="shared" si="434"/>
        <v>10000000000000</v>
      </c>
      <c r="F432" s="3">
        <f t="shared" si="434"/>
        <v>115482076405690.56</v>
      </c>
      <c r="G432" s="3">
        <f t="shared" si="434"/>
        <v>1.3013348298223226E+16</v>
      </c>
      <c r="H432" s="3">
        <f t="shared" si="434"/>
        <v>1.3840206684880855E+18</v>
      </c>
      <c r="I432" s="109">
        <f>Comparison!AL31</f>
        <v>10000000000000</v>
      </c>
      <c r="J432" s="3">
        <f>Comparison!AM31</f>
        <v>689.03519551617785</v>
      </c>
      <c r="K432" s="3">
        <f>Comparison!AN31</f>
        <v>494.5048529689002</v>
      </c>
      <c r="L432" s="3">
        <f>Comparison!AO31</f>
        <v>431.51308603872349</v>
      </c>
      <c r="M432" s="3">
        <f>Comparison!AP31</f>
        <v>403.76473002951963</v>
      </c>
      <c r="N432" s="3">
        <f>Comparison!AQ31</f>
        <v>385.25122525189607</v>
      </c>
      <c r="O432" s="3">
        <f>Comparison!AR31</f>
        <v>348.16027376363564</v>
      </c>
      <c r="P432" s="3">
        <f>Comparison!AS31</f>
        <v>345.40832820533547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25002704854.355946</v>
      </c>
      <c r="C433" s="3">
        <f t="shared" si="434"/>
        <v>1032936256385.8773</v>
      </c>
      <c r="D433" s="3">
        <f t="shared" si="434"/>
        <v>12523295892544.58</v>
      </c>
      <c r="E433" s="3">
        <f t="shared" si="434"/>
        <v>100000000000000</v>
      </c>
      <c r="F433" s="3">
        <f t="shared" si="434"/>
        <v>1154820764056905.7</v>
      </c>
      <c r="G433" s="3">
        <f t="shared" si="434"/>
        <v>1.3013348298223226E+17</v>
      </c>
      <c r="H433" s="3">
        <f t="shared" si="434"/>
        <v>1.3840206684880855E+19</v>
      </c>
      <c r="I433" s="109">
        <f>Comparison!AL32</f>
        <v>100000000000000</v>
      </c>
      <c r="J433" s="3">
        <f>Comparison!AM32</f>
        <v>537.03681449352746</v>
      </c>
      <c r="K433" s="3">
        <f>Comparison!AN32</f>
        <v>433.69545003412065</v>
      </c>
      <c r="L433" s="3">
        <f>Comparison!AO32</f>
        <v>402.06033913876905</v>
      </c>
      <c r="M433" s="3">
        <f>Comparison!AP32</f>
        <v>387.64349199783766</v>
      </c>
      <c r="N433" s="3">
        <f>Comparison!AQ32</f>
        <v>372.90060316523403</v>
      </c>
      <c r="O433" s="3">
        <f>Comparison!AR32</f>
        <v>346.81429429478277</v>
      </c>
      <c r="P433" s="3">
        <f>Comparison!AS32</f>
        <v>343.52176757284224</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250027048543.55945</v>
      </c>
      <c r="C434" s="3">
        <f t="shared" si="434"/>
        <v>10329362563858.773</v>
      </c>
      <c r="D434" s="3">
        <f t="shared" si="434"/>
        <v>125232958925445.8</v>
      </c>
      <c r="E434" s="3">
        <f t="shared" si="434"/>
        <v>1000000000000000</v>
      </c>
      <c r="F434" s="3">
        <f t="shared" si="434"/>
        <v>1.1548207640569056E+16</v>
      </c>
      <c r="G434" s="3">
        <f t="shared" si="434"/>
        <v>1.3013348298223224E+18</v>
      </c>
      <c r="H434" s="3">
        <f t="shared" si="434"/>
        <v>1.3840206684880855E+20</v>
      </c>
      <c r="I434" s="109">
        <f>Comparison!AL33</f>
        <v>1000000000000000</v>
      </c>
      <c r="J434" s="3">
        <f>Comparison!AM33</f>
        <v>452.34025000519932</v>
      </c>
      <c r="K434" s="3">
        <f>Comparison!AN33</f>
        <v>404.17805740514621</v>
      </c>
      <c r="L434" s="3">
        <f>Comparison!AO33</f>
        <v>386.49357349528668</v>
      </c>
      <c r="M434" s="3">
        <f>Comparison!AP33</f>
        <v>374.47481405228427</v>
      </c>
      <c r="N434" s="3">
        <f>Comparison!AQ33</f>
        <v>356.83813776395743</v>
      </c>
      <c r="O434" s="3">
        <f>Comparison!AR33</f>
        <v>343.74512434370951</v>
      </c>
      <c r="P434" s="3">
        <f>Comparison!AS33</f>
        <v>342.36979608181048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-8.2939414517803574</v>
      </c>
      <c r="M1" s="54">
        <v>1</v>
      </c>
      <c r="N1" s="56">
        <f>INDEX($H$217:$P$217,1,Q1)</f>
        <v>7.7562229513781805E-2</v>
      </c>
      <c r="O1" s="11"/>
      <c r="P1" s="55">
        <v>1</v>
      </c>
      <c r="Q1" s="11">
        <v>2</v>
      </c>
    </row>
    <row r="2" spans="1:17" x14ac:dyDescent="0.25">
      <c r="A2" s="11">
        <f>'Mastercurve bestimmen'!M119</f>
        <v>0</v>
      </c>
      <c r="B2" s="11">
        <f>'Mastercurve bestimmen'!N119</f>
        <v>-4.5727647050286402</v>
      </c>
      <c r="M2" s="54">
        <v>2</v>
      </c>
      <c r="N2" s="56">
        <f t="shared" ref="N2:N9" si="0">INDEX($H$217:$P$217,1,Q2)</f>
        <v>-6.7651930201528238E-5</v>
      </c>
      <c r="O2" s="11"/>
      <c r="P2" s="55">
        <v>2</v>
      </c>
      <c r="Q2" s="11">
        <f>Q1+1</f>
        <v>3</v>
      </c>
    </row>
    <row r="3" spans="1:17" x14ac:dyDescent="0.25">
      <c r="A3" s="11">
        <f>'Mastercurve bestimmen'!M120</f>
        <v>25</v>
      </c>
      <c r="B3" s="11">
        <f>'Mastercurve bestimmen'!N120</f>
        <v>-2.0775796047571524</v>
      </c>
      <c r="M3" s="54">
        <v>3</v>
      </c>
      <c r="N3" s="56">
        <f t="shared" si="0"/>
        <v>7.4660503085432684E-6</v>
      </c>
      <c r="O3" s="11"/>
      <c r="P3" s="55">
        <v>3</v>
      </c>
      <c r="Q3" s="11">
        <f t="shared" ref="Q3:Q8" si="1">Q2+1</f>
        <v>4</v>
      </c>
    </row>
    <row r="4" spans="1:17" x14ac:dyDescent="0.25">
      <c r="A4" s="11">
        <f>'Mastercurve bestimmen'!M121</f>
        <v>50</v>
      </c>
      <c r="B4" s="11">
        <f>'Mastercurve bestimmen'!N121</f>
        <v>0</v>
      </c>
      <c r="M4" s="54">
        <v>4</v>
      </c>
      <c r="N4" s="56">
        <f t="shared" si="0"/>
        <v>-1.5567447143458268E-8</v>
      </c>
      <c r="O4" s="11"/>
      <c r="P4" s="55">
        <v>4</v>
      </c>
      <c r="Q4" s="11">
        <f t="shared" si="1"/>
        <v>5</v>
      </c>
    </row>
    <row r="5" spans="1:17" x14ac:dyDescent="0.25">
      <c r="A5" s="11">
        <f>'Mastercurve bestimmen'!M122</f>
        <v>80</v>
      </c>
      <c r="B5" s="11">
        <f>'Mastercurve bestimmen'!N122</f>
        <v>2.446530242291018</v>
      </c>
      <c r="M5" s="54">
        <v>5</v>
      </c>
      <c r="N5" s="56">
        <f t="shared" si="0"/>
        <v>-9.8913670445838329E-10</v>
      </c>
      <c r="O5" s="11"/>
      <c r="P5" s="55">
        <v>5</v>
      </c>
      <c r="Q5" s="11">
        <f t="shared" si="1"/>
        <v>6</v>
      </c>
    </row>
    <row r="6" spans="1:17" x14ac:dyDescent="0.25">
      <c r="A6" s="11">
        <f>'Mastercurve bestimmen'!M123</f>
        <v>125</v>
      </c>
      <c r="B6" s="11">
        <f>'Mastercurve bestimmen'!N123</f>
        <v>7.1711458088301363</v>
      </c>
      <c r="M6" s="54">
        <v>6</v>
      </c>
      <c r="N6" s="56">
        <f t="shared" si="0"/>
        <v>6.9119879224358693E-12</v>
      </c>
      <c r="O6" s="11"/>
      <c r="P6" s="55">
        <v>6</v>
      </c>
      <c r="Q6" s="11">
        <f t="shared" si="1"/>
        <v>7</v>
      </c>
    </row>
    <row r="7" spans="1:17" x14ac:dyDescent="0.25">
      <c r="A7" s="11">
        <f>'Mastercurve bestimmen'!M124</f>
        <v>160</v>
      </c>
      <c r="B7" s="11">
        <f>'Mastercurve bestimmen'!N124</f>
        <v>11.837918255932872</v>
      </c>
      <c r="M7" s="54">
        <v>7</v>
      </c>
      <c r="N7" s="56">
        <f t="shared" si="0"/>
        <v>4.3921111589846697E-14</v>
      </c>
      <c r="O7" s="11"/>
      <c r="P7" s="55">
        <v>7</v>
      </c>
      <c r="Q7" s="11">
        <f t="shared" si="1"/>
        <v>8</v>
      </c>
    </row>
    <row r="8" spans="1:17" x14ac:dyDescent="0.25">
      <c r="A8" s="11"/>
      <c r="B8" s="11"/>
      <c r="M8" s="54">
        <v>8</v>
      </c>
      <c r="N8" s="56">
        <f t="shared" si="0"/>
        <v>-3.9335066685635537E-16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-8.2939414517803574</v>
      </c>
      <c r="E15" s="11">
        <f>A15-'Mastercurve bestimmen'!$B$2</f>
        <v>-90</v>
      </c>
      <c r="F15" s="11">
        <f>B15</f>
        <v>-8.2939414517803574</v>
      </c>
      <c r="G15" s="11"/>
      <c r="H15" s="11">
        <f>IF($H$12&gt;=H$14,$E15^H$14,0)</f>
        <v>4304672100000000</v>
      </c>
      <c r="I15" s="11">
        <f t="shared" ref="I15:O30" si="3">IF($H$12&gt;=I$14,$E15^I$14,0)</f>
        <v>-47829690000000</v>
      </c>
      <c r="J15" s="11">
        <f t="shared" si="3"/>
        <v>531441000000</v>
      </c>
      <c r="K15" s="11">
        <f t="shared" si="3"/>
        <v>-5904900000</v>
      </c>
      <c r="L15" s="11">
        <f t="shared" si="3"/>
        <v>65610000</v>
      </c>
      <c r="M15" s="11">
        <f t="shared" si="3"/>
        <v>-729000</v>
      </c>
      <c r="N15" s="11">
        <f t="shared" si="3"/>
        <v>8100</v>
      </c>
      <c r="O15" s="11">
        <f t="shared" si="3"/>
        <v>-90</v>
      </c>
      <c r="P15" s="11">
        <v>0</v>
      </c>
    </row>
    <row r="16" spans="1:17" x14ac:dyDescent="0.25">
      <c r="A16" s="11">
        <f>A15+1</f>
        <v>-39</v>
      </c>
      <c r="B16" s="11">
        <v>-8.2268435930639505</v>
      </c>
      <c r="E16" s="11">
        <f>A16-'Mastercurve bestimmen'!$B$2</f>
        <v>-89</v>
      </c>
      <c r="F16" s="11">
        <f t="shared" ref="F16:F79" si="4">B16</f>
        <v>-8.2268435930639505</v>
      </c>
      <c r="G16" s="11"/>
      <c r="H16" s="11">
        <f t="shared" ref="H16:O47" si="5">IF($H$12&gt;=H$14,$E16^H$14,0)</f>
        <v>3936588805702081</v>
      </c>
      <c r="I16" s="11">
        <f t="shared" si="3"/>
        <v>-44231334895529</v>
      </c>
      <c r="J16" s="11">
        <f t="shared" si="3"/>
        <v>496981290961</v>
      </c>
      <c r="K16" s="11">
        <f t="shared" si="3"/>
        <v>-5584059449</v>
      </c>
      <c r="L16" s="11">
        <f t="shared" si="3"/>
        <v>62742241</v>
      </c>
      <c r="M16" s="11">
        <f t="shared" si="3"/>
        <v>-704969</v>
      </c>
      <c r="N16" s="11">
        <f t="shared" si="3"/>
        <v>7921</v>
      </c>
      <c r="O16" s="11">
        <f t="shared" si="3"/>
        <v>-89</v>
      </c>
      <c r="P16" s="11">
        <f>P15</f>
        <v>0</v>
      </c>
    </row>
    <row r="17" spans="1:16" x14ac:dyDescent="0.25">
      <c r="A17" s="11">
        <f t="shared" ref="A17:A80" si="6">A16+1</f>
        <v>-38</v>
      </c>
      <c r="B17" s="11">
        <v>-8.1596484301826209</v>
      </c>
      <c r="E17" s="11">
        <f>A17-'Mastercurve bestimmen'!$B$2</f>
        <v>-88</v>
      </c>
      <c r="F17" s="11">
        <f t="shared" si="4"/>
        <v>-8.1596484301826209</v>
      </c>
      <c r="G17" s="11"/>
      <c r="H17" s="11">
        <f t="shared" si="5"/>
        <v>3596345248055296</v>
      </c>
      <c r="I17" s="11">
        <f t="shared" si="3"/>
        <v>-40867559636992</v>
      </c>
      <c r="J17" s="11">
        <f t="shared" si="3"/>
        <v>464404086784</v>
      </c>
      <c r="K17" s="11">
        <f t="shared" si="3"/>
        <v>-5277319168</v>
      </c>
      <c r="L17" s="11">
        <f t="shared" si="3"/>
        <v>59969536</v>
      </c>
      <c r="M17" s="11">
        <f t="shared" si="3"/>
        <v>-681472</v>
      </c>
      <c r="N17" s="11">
        <f t="shared" si="3"/>
        <v>7744</v>
      </c>
      <c r="O17" s="11">
        <f t="shared" si="3"/>
        <v>-88</v>
      </c>
      <c r="P17" s="11">
        <f t="shared" ref="P17:P80" si="7">P16</f>
        <v>0</v>
      </c>
    </row>
    <row r="18" spans="1:16" x14ac:dyDescent="0.25">
      <c r="A18" s="11">
        <f t="shared" si="6"/>
        <v>-37</v>
      </c>
      <c r="B18" s="11">
        <v>-8.092258658971442</v>
      </c>
      <c r="E18" s="11">
        <f>A18-'Mastercurve bestimmen'!$B$2</f>
        <v>-87</v>
      </c>
      <c r="F18" s="11">
        <f t="shared" si="4"/>
        <v>-8.092258658971442</v>
      </c>
      <c r="G18" s="11"/>
      <c r="H18" s="11">
        <f t="shared" si="5"/>
        <v>3282116715437121</v>
      </c>
      <c r="I18" s="11">
        <f t="shared" si="3"/>
        <v>-37725479487783</v>
      </c>
      <c r="J18" s="11">
        <f t="shared" si="3"/>
        <v>433626201009</v>
      </c>
      <c r="K18" s="11">
        <f t="shared" si="3"/>
        <v>-4984209207</v>
      </c>
      <c r="L18" s="11">
        <f t="shared" si="3"/>
        <v>57289761</v>
      </c>
      <c r="M18" s="11">
        <f t="shared" si="3"/>
        <v>-658503</v>
      </c>
      <c r="N18" s="11">
        <f t="shared" si="3"/>
        <v>7569</v>
      </c>
      <c r="O18" s="11">
        <f t="shared" si="3"/>
        <v>-87</v>
      </c>
      <c r="P18" s="11">
        <f t="shared" si="7"/>
        <v>0</v>
      </c>
    </row>
    <row r="19" spans="1:16" x14ac:dyDescent="0.25">
      <c r="A19" s="11">
        <f t="shared" si="6"/>
        <v>-36</v>
      </c>
      <c r="B19" s="11">
        <v>-8.0245769752654894</v>
      </c>
      <c r="E19" s="11">
        <f>A19-'Mastercurve bestimmen'!$B$2</f>
        <v>-86</v>
      </c>
      <c r="F19" s="11">
        <f t="shared" si="4"/>
        <v>-8.0245769752654894</v>
      </c>
      <c r="G19" s="11"/>
      <c r="H19" s="11">
        <f t="shared" si="5"/>
        <v>2992179271065856</v>
      </c>
      <c r="I19" s="11">
        <f t="shared" si="3"/>
        <v>-34792782221696</v>
      </c>
      <c r="J19" s="11">
        <f t="shared" si="3"/>
        <v>404567235136</v>
      </c>
      <c r="K19" s="11">
        <f t="shared" si="3"/>
        <v>-4704270176</v>
      </c>
      <c r="L19" s="11">
        <f t="shared" si="3"/>
        <v>54700816</v>
      </c>
      <c r="M19" s="11">
        <f t="shared" si="3"/>
        <v>-636056</v>
      </c>
      <c r="N19" s="11">
        <f t="shared" si="3"/>
        <v>7396</v>
      </c>
      <c r="O19" s="11">
        <f t="shared" si="3"/>
        <v>-86</v>
      </c>
      <c r="P19" s="11">
        <f t="shared" si="7"/>
        <v>0</v>
      </c>
    </row>
    <row r="20" spans="1:16" x14ac:dyDescent="0.25">
      <c r="A20" s="11">
        <f t="shared" si="6"/>
        <v>-35</v>
      </c>
      <c r="B20" s="11">
        <v>-7.9565060748998402</v>
      </c>
      <c r="E20" s="11">
        <f>A20-'Mastercurve bestimmen'!$B$2</f>
        <v>-85</v>
      </c>
      <c r="F20" s="11">
        <f t="shared" si="4"/>
        <v>-7.9565060748998402</v>
      </c>
      <c r="G20" s="11"/>
      <c r="H20" s="11">
        <f t="shared" si="5"/>
        <v>2724905250390625</v>
      </c>
      <c r="I20" s="11">
        <f t="shared" si="3"/>
        <v>-32057708828125</v>
      </c>
      <c r="J20" s="11">
        <f t="shared" si="3"/>
        <v>377149515625</v>
      </c>
      <c r="K20" s="11">
        <f t="shared" si="3"/>
        <v>-4437053125</v>
      </c>
      <c r="L20" s="11">
        <f t="shared" si="3"/>
        <v>52200625</v>
      </c>
      <c r="M20" s="11">
        <f t="shared" si="3"/>
        <v>-614125</v>
      </c>
      <c r="N20" s="11">
        <f t="shared" si="3"/>
        <v>7225</v>
      </c>
      <c r="O20" s="11">
        <f t="shared" si="3"/>
        <v>-85</v>
      </c>
      <c r="P20" s="11">
        <f t="shared" si="7"/>
        <v>0</v>
      </c>
    </row>
    <row r="21" spans="1:16" x14ac:dyDescent="0.25">
      <c r="A21" s="11">
        <f t="shared" si="6"/>
        <v>-34</v>
      </c>
      <c r="B21" s="11">
        <v>-7.8879486537095662</v>
      </c>
      <c r="E21" s="11">
        <f>A21-'Mastercurve bestimmen'!$B$2</f>
        <v>-84</v>
      </c>
      <c r="F21" s="11">
        <f t="shared" si="4"/>
        <v>-7.8879486537095662</v>
      </c>
      <c r="G21" s="11"/>
      <c r="H21" s="11">
        <f t="shared" si="5"/>
        <v>2478758911082496</v>
      </c>
      <c r="I21" s="11">
        <f t="shared" si="3"/>
        <v>-29509034655744</v>
      </c>
      <c r="J21" s="11">
        <f t="shared" si="3"/>
        <v>351298031616</v>
      </c>
      <c r="K21" s="11">
        <f t="shared" si="3"/>
        <v>-4182119424</v>
      </c>
      <c r="L21" s="11">
        <f t="shared" si="3"/>
        <v>49787136</v>
      </c>
      <c r="M21" s="11">
        <f t="shared" si="3"/>
        <v>-592704</v>
      </c>
      <c r="N21" s="11">
        <f t="shared" si="3"/>
        <v>7056</v>
      </c>
      <c r="O21" s="11">
        <f t="shared" si="3"/>
        <v>-84</v>
      </c>
      <c r="P21" s="11">
        <f t="shared" si="7"/>
        <v>0</v>
      </c>
    </row>
    <row r="22" spans="1:16" x14ac:dyDescent="0.25">
      <c r="A22" s="11">
        <f t="shared" si="6"/>
        <v>-33</v>
      </c>
      <c r="B22">
        <v>-7.8188074075297456</v>
      </c>
      <c r="E22" s="11">
        <f>A22-'Mastercurve bestimmen'!$B$2</f>
        <v>-83</v>
      </c>
      <c r="F22" s="11">
        <f t="shared" si="4"/>
        <v>-7.8188074075297456</v>
      </c>
      <c r="G22" s="11"/>
      <c r="H22" s="11">
        <f t="shared" si="5"/>
        <v>2252292232139041</v>
      </c>
      <c r="I22" s="11">
        <f t="shared" si="3"/>
        <v>-27136050989627</v>
      </c>
      <c r="J22" s="11">
        <f t="shared" si="3"/>
        <v>326940373369</v>
      </c>
      <c r="K22" s="11">
        <f t="shared" si="3"/>
        <v>-3939040643</v>
      </c>
      <c r="L22" s="11">
        <f t="shared" si="3"/>
        <v>47458321</v>
      </c>
      <c r="M22" s="11">
        <f t="shared" si="3"/>
        <v>-571787</v>
      </c>
      <c r="N22" s="11">
        <f t="shared" si="3"/>
        <v>6889</v>
      </c>
      <c r="O22" s="11">
        <f t="shared" si="3"/>
        <v>-83</v>
      </c>
      <c r="P22" s="11">
        <f t="shared" si="7"/>
        <v>0</v>
      </c>
    </row>
    <row r="23" spans="1:16" x14ac:dyDescent="0.25">
      <c r="A23" s="11">
        <f t="shared" si="6"/>
        <v>-32</v>
      </c>
      <c r="B23">
        <v>-7.7489850321954528</v>
      </c>
      <c r="E23" s="11">
        <f>A23-'Mastercurve bestimmen'!$B$2</f>
        <v>-82</v>
      </c>
      <c r="F23" s="11">
        <f t="shared" si="4"/>
        <v>-7.7489850321954528</v>
      </c>
      <c r="G23" s="11"/>
      <c r="H23" s="11">
        <f t="shared" si="5"/>
        <v>2044140858654976</v>
      </c>
      <c r="I23" s="11">
        <f t="shared" si="3"/>
        <v>-24928547056768</v>
      </c>
      <c r="J23" s="11">
        <f t="shared" si="3"/>
        <v>304006671424</v>
      </c>
      <c r="K23" s="11">
        <f t="shared" si="3"/>
        <v>-3707398432</v>
      </c>
      <c r="L23" s="11">
        <f t="shared" si="3"/>
        <v>45212176</v>
      </c>
      <c r="M23" s="11">
        <f t="shared" si="3"/>
        <v>-551368</v>
      </c>
      <c r="N23" s="11">
        <f t="shared" si="3"/>
        <v>6724</v>
      </c>
      <c r="O23" s="11">
        <f t="shared" si="3"/>
        <v>-82</v>
      </c>
      <c r="P23" s="11">
        <f t="shared" si="7"/>
        <v>0</v>
      </c>
    </row>
    <row r="24" spans="1:16" x14ac:dyDescent="0.25">
      <c r="A24" s="11">
        <f t="shared" si="6"/>
        <v>-31</v>
      </c>
      <c r="B24">
        <v>-7.678384223541765</v>
      </c>
      <c r="E24" s="11">
        <f>A24-'Mastercurve bestimmen'!$B$2</f>
        <v>-81</v>
      </c>
      <c r="F24" s="11">
        <f t="shared" si="4"/>
        <v>-7.678384223541765</v>
      </c>
      <c r="G24" s="11"/>
      <c r="H24" s="11">
        <f t="shared" si="5"/>
        <v>1853020188851841</v>
      </c>
      <c r="I24" s="11">
        <f t="shared" si="3"/>
        <v>-22876792454961</v>
      </c>
      <c r="J24" s="11">
        <f t="shared" si="3"/>
        <v>282429536481</v>
      </c>
      <c r="K24" s="11">
        <f t="shared" si="3"/>
        <v>-3486784401</v>
      </c>
      <c r="L24" s="11">
        <f t="shared" si="3"/>
        <v>43046721</v>
      </c>
      <c r="M24" s="11">
        <f t="shared" si="3"/>
        <v>-531441</v>
      </c>
      <c r="N24" s="11">
        <f t="shared" si="3"/>
        <v>6561</v>
      </c>
      <c r="O24" s="11">
        <f t="shared" si="3"/>
        <v>-81</v>
      </c>
      <c r="P24" s="11">
        <f t="shared" si="7"/>
        <v>0</v>
      </c>
    </row>
    <row r="25" spans="1:16" x14ac:dyDescent="0.25">
      <c r="A25" s="11">
        <f t="shared" si="6"/>
        <v>-30</v>
      </c>
      <c r="B25">
        <v>-7.6069076774037558</v>
      </c>
      <c r="E25" s="11">
        <f>A25-'Mastercurve bestimmen'!$B$2</f>
        <v>-80</v>
      </c>
      <c r="F25" s="11">
        <f t="shared" si="4"/>
        <v>-7.6069076774037558</v>
      </c>
      <c r="G25" s="11"/>
      <c r="H25" s="11">
        <f t="shared" si="5"/>
        <v>1677721600000000</v>
      </c>
      <c r="I25" s="11">
        <f t="shared" si="3"/>
        <v>-20971520000000</v>
      </c>
      <c r="J25" s="11">
        <f t="shared" si="3"/>
        <v>262144000000</v>
      </c>
      <c r="K25" s="11">
        <f t="shared" si="3"/>
        <v>-3276800000</v>
      </c>
      <c r="L25" s="11">
        <f t="shared" si="3"/>
        <v>40960000</v>
      </c>
      <c r="M25" s="11">
        <f t="shared" si="3"/>
        <v>-512000</v>
      </c>
      <c r="N25" s="11">
        <f t="shared" si="3"/>
        <v>6400</v>
      </c>
      <c r="O25" s="11">
        <f t="shared" si="3"/>
        <v>-80</v>
      </c>
      <c r="P25" s="11">
        <f t="shared" si="7"/>
        <v>0</v>
      </c>
    </row>
    <row r="26" spans="1:16" x14ac:dyDescent="0.25">
      <c r="A26" s="11">
        <f t="shared" si="6"/>
        <v>-29</v>
      </c>
      <c r="B26">
        <v>-7.5344580896165008</v>
      </c>
      <c r="E26" s="11">
        <f>A26-'Mastercurve bestimmen'!$B$2</f>
        <v>-79</v>
      </c>
      <c r="F26" s="11">
        <f t="shared" si="4"/>
        <v>-7.5344580896165008</v>
      </c>
      <c r="G26" s="11"/>
      <c r="H26" s="11">
        <f t="shared" si="5"/>
        <v>1517108809906561</v>
      </c>
      <c r="I26" s="11">
        <f t="shared" si="3"/>
        <v>-19203908986159</v>
      </c>
      <c r="J26" s="11">
        <f t="shared" si="3"/>
        <v>243087455521</v>
      </c>
      <c r="K26" s="11">
        <f t="shared" si="3"/>
        <v>-3077056399</v>
      </c>
      <c r="L26" s="11">
        <f t="shared" si="3"/>
        <v>38950081</v>
      </c>
      <c r="M26" s="11">
        <f t="shared" si="3"/>
        <v>-493039</v>
      </c>
      <c r="N26" s="11">
        <f t="shared" si="3"/>
        <v>6241</v>
      </c>
      <c r="O26" s="11">
        <f t="shared" si="3"/>
        <v>-79</v>
      </c>
      <c r="P26" s="11">
        <f t="shared" si="7"/>
        <v>0</v>
      </c>
    </row>
    <row r="27" spans="1:16" x14ac:dyDescent="0.25">
      <c r="A27" s="11">
        <f t="shared" si="6"/>
        <v>-28</v>
      </c>
      <c r="B27">
        <v>-7.4609381560150769</v>
      </c>
      <c r="E27" s="11">
        <f>A27-'Mastercurve bestimmen'!$B$2</f>
        <v>-78</v>
      </c>
      <c r="F27" s="11">
        <f t="shared" si="4"/>
        <v>-7.4609381560150769</v>
      </c>
      <c r="G27" s="11"/>
      <c r="H27" s="11">
        <f t="shared" si="5"/>
        <v>1370114370683136</v>
      </c>
      <c r="I27" s="11">
        <f t="shared" si="3"/>
        <v>-17565568854912</v>
      </c>
      <c r="J27" s="11">
        <f t="shared" si="3"/>
        <v>225199600704</v>
      </c>
      <c r="K27" s="11">
        <f t="shared" si="3"/>
        <v>-2887174368</v>
      </c>
      <c r="L27" s="11">
        <f t="shared" si="3"/>
        <v>37015056</v>
      </c>
      <c r="M27" s="11">
        <f t="shared" si="3"/>
        <v>-474552</v>
      </c>
      <c r="N27" s="11">
        <f t="shared" si="3"/>
        <v>6084</v>
      </c>
      <c r="O27" s="11">
        <f t="shared" si="3"/>
        <v>-78</v>
      </c>
      <c r="P27" s="11">
        <f t="shared" si="7"/>
        <v>0</v>
      </c>
    </row>
    <row r="28" spans="1:16" x14ac:dyDescent="0.25">
      <c r="A28" s="11">
        <f t="shared" si="6"/>
        <v>-27</v>
      </c>
      <c r="B28">
        <v>-7.386250572434558</v>
      </c>
      <c r="E28" s="11">
        <f>A28-'Mastercurve bestimmen'!$B$2</f>
        <v>-77</v>
      </c>
      <c r="F28" s="11">
        <f t="shared" si="4"/>
        <v>-7.386250572434558</v>
      </c>
      <c r="G28" s="11"/>
      <c r="H28" s="11">
        <f t="shared" si="5"/>
        <v>1235736291547681</v>
      </c>
      <c r="I28" s="11">
        <f t="shared" si="3"/>
        <v>-16048523266853</v>
      </c>
      <c r="J28" s="11">
        <f t="shared" si="3"/>
        <v>208422380089</v>
      </c>
      <c r="K28" s="11">
        <f t="shared" si="3"/>
        <v>-2706784157</v>
      </c>
      <c r="L28" s="11">
        <f t="shared" si="3"/>
        <v>35153041</v>
      </c>
      <c r="M28" s="11">
        <f t="shared" si="3"/>
        <v>-456533</v>
      </c>
      <c r="N28" s="11">
        <f t="shared" si="3"/>
        <v>5929</v>
      </c>
      <c r="O28" s="11">
        <f t="shared" si="3"/>
        <v>-77</v>
      </c>
      <c r="P28" s="11">
        <f t="shared" si="7"/>
        <v>0</v>
      </c>
    </row>
    <row r="29" spans="1:16" x14ac:dyDescent="0.25">
      <c r="A29" s="11">
        <f t="shared" si="6"/>
        <v>-26</v>
      </c>
      <c r="B29">
        <v>-7.3102980347100202</v>
      </c>
      <c r="E29" s="11">
        <f>A29-'Mastercurve bestimmen'!$B$2</f>
        <v>-76</v>
      </c>
      <c r="F29" s="11">
        <f t="shared" si="4"/>
        <v>-7.3102980347100202</v>
      </c>
      <c r="G29" s="11"/>
      <c r="H29" s="11">
        <f t="shared" si="5"/>
        <v>1113034787454976</v>
      </c>
      <c r="I29" s="11">
        <f t="shared" si="3"/>
        <v>-14645194571776</v>
      </c>
      <c r="J29" s="11">
        <f t="shared" si="3"/>
        <v>192699928576</v>
      </c>
      <c r="K29" s="11">
        <f t="shared" si="3"/>
        <v>-2535525376</v>
      </c>
      <c r="L29" s="11">
        <f t="shared" si="3"/>
        <v>33362176</v>
      </c>
      <c r="M29" s="11">
        <f t="shared" si="3"/>
        <v>-438976</v>
      </c>
      <c r="N29" s="11">
        <f t="shared" si="3"/>
        <v>5776</v>
      </c>
      <c r="O29" s="11">
        <f t="shared" si="3"/>
        <v>-76</v>
      </c>
      <c r="P29" s="11">
        <f t="shared" si="7"/>
        <v>0</v>
      </c>
    </row>
    <row r="30" spans="1:16" x14ac:dyDescent="0.25">
      <c r="A30" s="11">
        <f t="shared" si="6"/>
        <v>-25</v>
      </c>
      <c r="B30">
        <v>-7.2329832386765389</v>
      </c>
      <c r="E30" s="11">
        <f>A30-'Mastercurve bestimmen'!$B$2</f>
        <v>-75</v>
      </c>
      <c r="F30" s="11">
        <f t="shared" si="4"/>
        <v>-7.2329832386765389</v>
      </c>
      <c r="G30" s="11"/>
      <c r="H30" s="11">
        <f t="shared" si="5"/>
        <v>1001129150390625</v>
      </c>
      <c r="I30" s="11">
        <f t="shared" si="3"/>
        <v>-13348388671875</v>
      </c>
      <c r="J30" s="11">
        <f t="shared" si="3"/>
        <v>177978515625</v>
      </c>
      <c r="K30" s="11">
        <f t="shared" si="3"/>
        <v>-2373046875</v>
      </c>
      <c r="L30" s="11">
        <f t="shared" si="3"/>
        <v>31640625</v>
      </c>
      <c r="M30" s="11">
        <f t="shared" si="3"/>
        <v>-421875</v>
      </c>
      <c r="N30" s="11">
        <f t="shared" si="3"/>
        <v>5625</v>
      </c>
      <c r="O30" s="11">
        <f t="shared" si="3"/>
        <v>-75</v>
      </c>
      <c r="P30" s="11">
        <f t="shared" si="7"/>
        <v>0</v>
      </c>
    </row>
    <row r="31" spans="1:16" x14ac:dyDescent="0.25">
      <c r="A31" s="11">
        <f t="shared" si="6"/>
        <v>-24</v>
      </c>
      <c r="B31">
        <v>-7.1542088801691897</v>
      </c>
      <c r="E31" s="11">
        <f>A31-'Mastercurve bestimmen'!$B$2</f>
        <v>-74</v>
      </c>
      <c r="F31" s="11">
        <f t="shared" si="4"/>
        <v>-7.1542088801691897</v>
      </c>
      <c r="G31" s="11"/>
      <c r="H31" s="11">
        <f t="shared" si="5"/>
        <v>899194740203776</v>
      </c>
      <c r="I31" s="11">
        <f t="shared" si="5"/>
        <v>-12151280273024</v>
      </c>
      <c r="J31" s="11">
        <f t="shared" si="5"/>
        <v>164206490176</v>
      </c>
      <c r="K31" s="11">
        <f t="shared" si="5"/>
        <v>-2219006624</v>
      </c>
      <c r="L31" s="11">
        <f t="shared" si="5"/>
        <v>29986576</v>
      </c>
      <c r="M31" s="11">
        <f t="shared" si="5"/>
        <v>-405224</v>
      </c>
      <c r="N31" s="11">
        <f t="shared" si="5"/>
        <v>5476</v>
      </c>
      <c r="O31" s="11">
        <f t="shared" si="5"/>
        <v>-74</v>
      </c>
      <c r="P31" s="11">
        <f t="shared" si="7"/>
        <v>0</v>
      </c>
    </row>
    <row r="32" spans="1:16" x14ac:dyDescent="0.25">
      <c r="A32" s="11">
        <f t="shared" si="6"/>
        <v>-23</v>
      </c>
      <c r="B32">
        <v>-7.0738776550230469</v>
      </c>
      <c r="E32" s="11">
        <f>A32-'Mastercurve bestimmen'!$B$2</f>
        <v>-73</v>
      </c>
      <c r="F32" s="11">
        <f t="shared" si="4"/>
        <v>-7.0738776550230469</v>
      </c>
      <c r="G32" s="11"/>
      <c r="H32" s="11">
        <f t="shared" si="5"/>
        <v>806460091894081</v>
      </c>
      <c r="I32" s="11">
        <f t="shared" si="5"/>
        <v>-11047398519097</v>
      </c>
      <c r="J32" s="11">
        <f t="shared" si="5"/>
        <v>151334226289</v>
      </c>
      <c r="K32" s="11">
        <f t="shared" si="5"/>
        <v>-2073071593</v>
      </c>
      <c r="L32" s="11">
        <f t="shared" si="5"/>
        <v>28398241</v>
      </c>
      <c r="M32" s="11">
        <f t="shared" si="5"/>
        <v>-389017</v>
      </c>
      <c r="N32" s="11">
        <f t="shared" si="5"/>
        <v>5329</v>
      </c>
      <c r="O32" s="11">
        <f t="shared" si="5"/>
        <v>-73</v>
      </c>
      <c r="P32" s="11">
        <f t="shared" si="7"/>
        <v>0</v>
      </c>
    </row>
    <row r="33" spans="1:16" x14ac:dyDescent="0.25">
      <c r="A33" s="11">
        <f t="shared" si="6"/>
        <v>-22</v>
      </c>
      <c r="B33">
        <v>-6.9918922590731878</v>
      </c>
      <c r="E33" s="11">
        <f>A33-'Mastercurve bestimmen'!$B$2</f>
        <v>-72</v>
      </c>
      <c r="F33" s="11">
        <f t="shared" si="4"/>
        <v>-6.9918922590731878</v>
      </c>
      <c r="G33" s="11"/>
      <c r="H33" s="11">
        <f t="shared" si="5"/>
        <v>722204136308736</v>
      </c>
      <c r="I33" s="11">
        <f t="shared" si="5"/>
        <v>-10030613004288</v>
      </c>
      <c r="J33" s="11">
        <f t="shared" si="5"/>
        <v>139314069504</v>
      </c>
      <c r="K33" s="11">
        <f t="shared" si="5"/>
        <v>-1934917632</v>
      </c>
      <c r="L33" s="11">
        <f t="shared" si="5"/>
        <v>26873856</v>
      </c>
      <c r="M33" s="11">
        <f t="shared" si="5"/>
        <v>-373248</v>
      </c>
      <c r="N33" s="11">
        <f t="shared" si="5"/>
        <v>5184</v>
      </c>
      <c r="O33" s="11">
        <f t="shared" si="5"/>
        <v>-72</v>
      </c>
      <c r="P33" s="11">
        <f t="shared" si="7"/>
        <v>0</v>
      </c>
    </row>
    <row r="34" spans="1:16" x14ac:dyDescent="0.25">
      <c r="A34" s="11">
        <f t="shared" si="6"/>
        <v>-21</v>
      </c>
      <c r="B34">
        <v>-6.9081553881546878</v>
      </c>
      <c r="E34" s="11">
        <f>A34-'Mastercurve bestimmen'!$B$2</f>
        <v>-71</v>
      </c>
      <c r="F34" s="11">
        <f t="shared" si="4"/>
        <v>-6.9081553881546878</v>
      </c>
      <c r="G34" s="11"/>
      <c r="H34" s="11">
        <f t="shared" si="5"/>
        <v>645753531245761</v>
      </c>
      <c r="I34" s="11">
        <f t="shared" si="5"/>
        <v>-9095120158391</v>
      </c>
      <c r="J34" s="11">
        <f t="shared" si="5"/>
        <v>128100283921</v>
      </c>
      <c r="K34" s="11">
        <f t="shared" si="5"/>
        <v>-1804229351</v>
      </c>
      <c r="L34" s="11">
        <f t="shared" si="5"/>
        <v>25411681</v>
      </c>
      <c r="M34" s="11">
        <f t="shared" si="5"/>
        <v>-357911</v>
      </c>
      <c r="N34" s="11">
        <f t="shared" si="5"/>
        <v>5041</v>
      </c>
      <c r="O34" s="11">
        <f t="shared" si="5"/>
        <v>-71</v>
      </c>
      <c r="P34" s="11">
        <f t="shared" si="7"/>
        <v>0</v>
      </c>
    </row>
    <row r="35" spans="1:16" x14ac:dyDescent="0.25">
      <c r="A35" s="11">
        <f t="shared" si="6"/>
        <v>-20</v>
      </c>
      <c r="B35">
        <v>-6.8225697381026222</v>
      </c>
      <c r="E35" s="11">
        <f>A35-'Mastercurve bestimmen'!$B$2</f>
        <v>-70</v>
      </c>
      <c r="F35" s="11">
        <f t="shared" si="4"/>
        <v>-6.8225697381026222</v>
      </c>
      <c r="G35" s="11"/>
      <c r="H35" s="11">
        <f t="shared" si="5"/>
        <v>576480100000000</v>
      </c>
      <c r="I35" s="11">
        <f t="shared" si="5"/>
        <v>-8235430000000</v>
      </c>
      <c r="J35" s="11">
        <f t="shared" si="5"/>
        <v>117649000000</v>
      </c>
      <c r="K35" s="11">
        <f t="shared" si="5"/>
        <v>-1680700000</v>
      </c>
      <c r="L35" s="11">
        <f t="shared" si="5"/>
        <v>24010000</v>
      </c>
      <c r="M35" s="11">
        <f t="shared" si="5"/>
        <v>-343000</v>
      </c>
      <c r="N35" s="11">
        <f t="shared" si="5"/>
        <v>4900</v>
      </c>
      <c r="O35" s="11">
        <f t="shared" si="5"/>
        <v>-70</v>
      </c>
      <c r="P35" s="11">
        <f t="shared" si="7"/>
        <v>0</v>
      </c>
    </row>
    <row r="36" spans="1:16" x14ac:dyDescent="0.25">
      <c r="A36" s="11">
        <f t="shared" si="6"/>
        <v>-19</v>
      </c>
      <c r="B36">
        <v>-6.7350380047520648</v>
      </c>
      <c r="E36" s="11">
        <f>A36-'Mastercurve bestimmen'!$B$2</f>
        <v>-69</v>
      </c>
      <c r="F36" s="11">
        <f t="shared" si="4"/>
        <v>-6.7350380047520648</v>
      </c>
      <c r="G36" s="11"/>
      <c r="H36" s="11">
        <f t="shared" si="5"/>
        <v>513798374428641</v>
      </c>
      <c r="I36" s="11">
        <f t="shared" si="5"/>
        <v>-7446353252589</v>
      </c>
      <c r="J36" s="11">
        <f t="shared" si="5"/>
        <v>107918163081</v>
      </c>
      <c r="K36" s="11">
        <f t="shared" si="5"/>
        <v>-1564031349</v>
      </c>
      <c r="L36" s="11">
        <f t="shared" si="5"/>
        <v>22667121</v>
      </c>
      <c r="M36" s="11">
        <f t="shared" si="5"/>
        <v>-328509</v>
      </c>
      <c r="N36" s="11">
        <f t="shared" si="5"/>
        <v>4761</v>
      </c>
      <c r="O36" s="11">
        <f t="shared" si="5"/>
        <v>-69</v>
      </c>
      <c r="P36" s="11">
        <f t="shared" si="7"/>
        <v>0</v>
      </c>
    </row>
    <row r="37" spans="1:16" x14ac:dyDescent="0.25">
      <c r="A37" s="11">
        <f t="shared" si="6"/>
        <v>-18</v>
      </c>
      <c r="B37">
        <v>-6.6454628839380927</v>
      </c>
      <c r="E37" s="11">
        <f>A37-'Mastercurve bestimmen'!$B$2</f>
        <v>-68</v>
      </c>
      <c r="F37" s="11">
        <f t="shared" si="4"/>
        <v>-6.6454628839380927</v>
      </c>
      <c r="G37" s="11"/>
      <c r="H37" s="11">
        <f t="shared" si="5"/>
        <v>457163239653376</v>
      </c>
      <c r="I37" s="11">
        <f t="shared" si="5"/>
        <v>-6722988818432</v>
      </c>
      <c r="J37" s="11">
        <f t="shared" si="5"/>
        <v>98867482624</v>
      </c>
      <c r="K37" s="11">
        <f t="shared" si="5"/>
        <v>-1453933568</v>
      </c>
      <c r="L37" s="11">
        <f t="shared" si="5"/>
        <v>21381376</v>
      </c>
      <c r="M37" s="11">
        <f t="shared" si="5"/>
        <v>-314432</v>
      </c>
      <c r="N37" s="11">
        <f t="shared" si="5"/>
        <v>4624</v>
      </c>
      <c r="O37" s="11">
        <f t="shared" si="5"/>
        <v>-68</v>
      </c>
      <c r="P37" s="11">
        <f t="shared" si="7"/>
        <v>0</v>
      </c>
    </row>
    <row r="38" spans="1:16" x14ac:dyDescent="0.25">
      <c r="A38" s="11">
        <f t="shared" si="6"/>
        <v>-17</v>
      </c>
      <c r="B38">
        <v>-6.5537470714957813</v>
      </c>
      <c r="E38" s="11">
        <f>A38-'Mastercurve bestimmen'!$B$2</f>
        <v>-67</v>
      </c>
      <c r="F38" s="11">
        <f t="shared" si="4"/>
        <v>-6.5537470714957813</v>
      </c>
      <c r="G38" s="11"/>
      <c r="H38" s="11">
        <f t="shared" si="5"/>
        <v>406067677556641</v>
      </c>
      <c r="I38" s="11">
        <f t="shared" si="5"/>
        <v>-6060711605323</v>
      </c>
      <c r="J38" s="11">
        <f t="shared" si="5"/>
        <v>90458382169</v>
      </c>
      <c r="K38" s="11">
        <f t="shared" si="5"/>
        <v>-1350125107</v>
      </c>
      <c r="L38" s="11">
        <f t="shared" si="5"/>
        <v>20151121</v>
      </c>
      <c r="M38" s="11">
        <f t="shared" si="5"/>
        <v>-300763</v>
      </c>
      <c r="N38" s="11">
        <f t="shared" si="5"/>
        <v>4489</v>
      </c>
      <c r="O38" s="11">
        <f t="shared" si="5"/>
        <v>-67</v>
      </c>
      <c r="P38" s="11">
        <f t="shared" si="7"/>
        <v>0</v>
      </c>
    </row>
    <row r="39" spans="1:16" x14ac:dyDescent="0.25">
      <c r="A39" s="11">
        <f t="shared" si="6"/>
        <v>-16</v>
      </c>
      <c r="B39">
        <v>-6.459793263260206</v>
      </c>
      <c r="E39" s="11">
        <f>A39-'Mastercurve bestimmen'!$B$2</f>
        <v>-66</v>
      </c>
      <c r="F39" s="11">
        <f t="shared" si="4"/>
        <v>-6.459793263260206</v>
      </c>
      <c r="G39" s="11"/>
      <c r="H39" s="11">
        <f t="shared" si="5"/>
        <v>360040606269696</v>
      </c>
      <c r="I39" s="11">
        <f t="shared" si="5"/>
        <v>-5455160701056</v>
      </c>
      <c r="J39" s="11">
        <f t="shared" si="5"/>
        <v>82653950016</v>
      </c>
      <c r="K39" s="11">
        <f t="shared" si="5"/>
        <v>-1252332576</v>
      </c>
      <c r="L39" s="11">
        <f t="shared" si="5"/>
        <v>18974736</v>
      </c>
      <c r="M39" s="11">
        <f t="shared" si="5"/>
        <v>-287496</v>
      </c>
      <c r="N39" s="11">
        <f t="shared" si="5"/>
        <v>4356</v>
      </c>
      <c r="O39" s="11">
        <f t="shared" si="5"/>
        <v>-66</v>
      </c>
      <c r="P39" s="11">
        <f t="shared" si="7"/>
        <v>0</v>
      </c>
    </row>
    <row r="40" spans="1:16" x14ac:dyDescent="0.25">
      <c r="A40" s="11">
        <f t="shared" si="6"/>
        <v>-15</v>
      </c>
      <c r="B40">
        <v>-6.3635041550664404</v>
      </c>
      <c r="E40" s="11">
        <f>A40-'Mastercurve bestimmen'!$B$2</f>
        <v>-65</v>
      </c>
      <c r="F40" s="11">
        <f t="shared" si="4"/>
        <v>-6.3635041550664404</v>
      </c>
      <c r="G40" s="11"/>
      <c r="H40" s="11">
        <f t="shared" si="5"/>
        <v>318644812890625</v>
      </c>
      <c r="I40" s="11">
        <f t="shared" si="5"/>
        <v>-4902227890625</v>
      </c>
      <c r="J40" s="11">
        <f t="shared" si="5"/>
        <v>75418890625</v>
      </c>
      <c r="K40" s="11">
        <f t="shared" si="5"/>
        <v>-1160290625</v>
      </c>
      <c r="L40" s="11">
        <f t="shared" si="5"/>
        <v>17850625</v>
      </c>
      <c r="M40" s="11">
        <f t="shared" si="5"/>
        <v>-274625</v>
      </c>
      <c r="N40" s="11">
        <f t="shared" si="5"/>
        <v>4225</v>
      </c>
      <c r="O40" s="11">
        <f t="shared" si="5"/>
        <v>-65</v>
      </c>
      <c r="P40" s="11">
        <f t="shared" si="7"/>
        <v>0</v>
      </c>
    </row>
    <row r="41" spans="1:16" x14ac:dyDescent="0.25">
      <c r="A41" s="11">
        <f t="shared" si="6"/>
        <v>-14</v>
      </c>
      <c r="B41">
        <v>-6.2647824427495635</v>
      </c>
      <c r="E41" s="11">
        <f>A41-'Mastercurve bestimmen'!$B$2</f>
        <v>-64</v>
      </c>
      <c r="F41" s="11">
        <f t="shared" si="4"/>
        <v>-6.2647824427495635</v>
      </c>
      <c r="G41" s="11"/>
      <c r="H41" s="11">
        <f t="shared" si="5"/>
        <v>281474976710656</v>
      </c>
      <c r="I41" s="11">
        <f t="shared" si="5"/>
        <v>-4398046511104</v>
      </c>
      <c r="J41" s="11">
        <f t="shared" si="5"/>
        <v>68719476736</v>
      </c>
      <c r="K41" s="11">
        <f t="shared" si="5"/>
        <v>-1073741824</v>
      </c>
      <c r="L41" s="11">
        <f t="shared" si="5"/>
        <v>16777216</v>
      </c>
      <c r="M41" s="11">
        <f t="shared" si="5"/>
        <v>-262144</v>
      </c>
      <c r="N41" s="11">
        <f t="shared" si="5"/>
        <v>4096</v>
      </c>
      <c r="O41" s="11">
        <f t="shared" si="5"/>
        <v>-64</v>
      </c>
      <c r="P41" s="11">
        <f t="shared" si="7"/>
        <v>0</v>
      </c>
    </row>
    <row r="42" spans="1:16" x14ac:dyDescent="0.25">
      <c r="A42" s="11">
        <f t="shared" si="6"/>
        <v>-13</v>
      </c>
      <c r="B42">
        <v>-6.1635308221446472</v>
      </c>
      <c r="E42" s="11">
        <f>A42-'Mastercurve bestimmen'!$B$2</f>
        <v>-63</v>
      </c>
      <c r="F42" s="11">
        <f t="shared" si="4"/>
        <v>-6.1635308221446472</v>
      </c>
      <c r="G42" s="11"/>
      <c r="H42" s="11">
        <f t="shared" si="5"/>
        <v>248155780267521</v>
      </c>
      <c r="I42" s="11">
        <f t="shared" si="5"/>
        <v>-3938980639167</v>
      </c>
      <c r="J42" s="11">
        <f t="shared" si="5"/>
        <v>62523502209</v>
      </c>
      <c r="K42" s="11">
        <f t="shared" si="5"/>
        <v>-992436543</v>
      </c>
      <c r="L42" s="11">
        <f t="shared" si="5"/>
        <v>15752961</v>
      </c>
      <c r="M42" s="11">
        <f t="shared" si="5"/>
        <v>-250047</v>
      </c>
      <c r="N42" s="11">
        <f t="shared" si="5"/>
        <v>3969</v>
      </c>
      <c r="O42" s="11">
        <f t="shared" si="5"/>
        <v>-63</v>
      </c>
      <c r="P42" s="11">
        <f t="shared" si="7"/>
        <v>0</v>
      </c>
    </row>
    <row r="43" spans="1:16" x14ac:dyDescent="0.25">
      <c r="A43" s="11">
        <f t="shared" si="6"/>
        <v>-12</v>
      </c>
      <c r="B43">
        <v>-6.0596519890867686</v>
      </c>
      <c r="E43" s="11">
        <f>A43-'Mastercurve bestimmen'!$B$2</f>
        <v>-62</v>
      </c>
      <c r="F43" s="11">
        <f t="shared" si="4"/>
        <v>-6.0596519890867686</v>
      </c>
      <c r="G43" s="11"/>
      <c r="H43" s="11">
        <f t="shared" si="5"/>
        <v>218340105584896</v>
      </c>
      <c r="I43" s="11">
        <f t="shared" si="5"/>
        <v>-3521614606208</v>
      </c>
      <c r="J43" s="11">
        <f t="shared" si="5"/>
        <v>56800235584</v>
      </c>
      <c r="K43" s="11">
        <f t="shared" si="5"/>
        <v>-916132832</v>
      </c>
      <c r="L43" s="11">
        <f t="shared" si="5"/>
        <v>14776336</v>
      </c>
      <c r="M43" s="11">
        <f t="shared" si="5"/>
        <v>-238328</v>
      </c>
      <c r="N43" s="11">
        <f t="shared" si="5"/>
        <v>3844</v>
      </c>
      <c r="O43" s="11">
        <f t="shared" si="5"/>
        <v>-62</v>
      </c>
      <c r="P43" s="11">
        <f t="shared" si="7"/>
        <v>0</v>
      </c>
    </row>
    <row r="44" spans="1:16" x14ac:dyDescent="0.25">
      <c r="A44" s="11">
        <f t="shared" si="6"/>
        <v>-11</v>
      </c>
      <c r="B44">
        <v>-5.9530486394110032</v>
      </c>
      <c r="E44" s="11">
        <f>A44-'Mastercurve bestimmen'!$B$2</f>
        <v>-61</v>
      </c>
      <c r="F44" s="11">
        <f t="shared" si="4"/>
        <v>-5.9530486394110032</v>
      </c>
      <c r="G44" s="11"/>
      <c r="H44" s="11">
        <f t="shared" si="5"/>
        <v>191707312997281</v>
      </c>
      <c r="I44" s="11">
        <f t="shared" si="5"/>
        <v>-3142742836021</v>
      </c>
      <c r="J44" s="11">
        <f t="shared" si="5"/>
        <v>51520374361</v>
      </c>
      <c r="K44" s="11">
        <f t="shared" si="5"/>
        <v>-844596301</v>
      </c>
      <c r="L44" s="11">
        <f t="shared" si="5"/>
        <v>13845841</v>
      </c>
      <c r="M44" s="11">
        <f t="shared" si="5"/>
        <v>-226981</v>
      </c>
      <c r="N44" s="11">
        <f t="shared" si="5"/>
        <v>3721</v>
      </c>
      <c r="O44" s="11">
        <f t="shared" si="5"/>
        <v>-61</v>
      </c>
      <c r="P44" s="11">
        <f t="shared" si="7"/>
        <v>0</v>
      </c>
    </row>
    <row r="45" spans="1:16" x14ac:dyDescent="0.25">
      <c r="A45" s="11">
        <f t="shared" si="6"/>
        <v>-10</v>
      </c>
      <c r="B45">
        <v>-5.8436234689524271</v>
      </c>
      <c r="E45" s="11">
        <f>A45-'Mastercurve bestimmen'!$B$2</f>
        <v>-60</v>
      </c>
      <c r="F45" s="11">
        <f t="shared" si="4"/>
        <v>-5.8436234689524271</v>
      </c>
      <c r="G45" s="11"/>
      <c r="H45" s="11">
        <f t="shared" si="5"/>
        <v>167961600000000</v>
      </c>
      <c r="I45" s="11">
        <f t="shared" si="5"/>
        <v>-2799360000000</v>
      </c>
      <c r="J45" s="11">
        <f t="shared" si="5"/>
        <v>46656000000</v>
      </c>
      <c r="K45" s="11">
        <f t="shared" si="5"/>
        <v>-777600000</v>
      </c>
      <c r="L45" s="11">
        <f t="shared" si="5"/>
        <v>12960000</v>
      </c>
      <c r="M45" s="11">
        <f t="shared" si="5"/>
        <v>-216000</v>
      </c>
      <c r="N45" s="11">
        <f t="shared" si="5"/>
        <v>3600</v>
      </c>
      <c r="O45" s="11">
        <f t="shared" si="5"/>
        <v>-60</v>
      </c>
      <c r="P45" s="11">
        <f t="shared" si="7"/>
        <v>0</v>
      </c>
    </row>
    <row r="46" spans="1:16" x14ac:dyDescent="0.25">
      <c r="A46" s="11">
        <f t="shared" si="6"/>
        <v>-9</v>
      </c>
      <c r="B46">
        <v>-5.731279173546115</v>
      </c>
      <c r="E46" s="11">
        <f>A46-'Mastercurve bestimmen'!$B$2</f>
        <v>-59</v>
      </c>
      <c r="F46" s="11">
        <f t="shared" si="4"/>
        <v>-5.731279173546115</v>
      </c>
      <c r="G46" s="11"/>
      <c r="H46" s="11">
        <f t="shared" si="5"/>
        <v>146830437604321</v>
      </c>
      <c r="I46" s="11">
        <f t="shared" si="5"/>
        <v>-2488651484819</v>
      </c>
      <c r="J46" s="11">
        <f t="shared" si="5"/>
        <v>42180533641</v>
      </c>
      <c r="K46" s="11">
        <f t="shared" si="5"/>
        <v>-714924299</v>
      </c>
      <c r="L46" s="11">
        <f t="shared" si="5"/>
        <v>12117361</v>
      </c>
      <c r="M46" s="11">
        <f t="shared" si="5"/>
        <v>-205379</v>
      </c>
      <c r="N46" s="11">
        <f t="shared" si="5"/>
        <v>3481</v>
      </c>
      <c r="O46" s="11">
        <f t="shared" si="5"/>
        <v>-59</v>
      </c>
      <c r="P46" s="11">
        <f t="shared" si="7"/>
        <v>0</v>
      </c>
    </row>
    <row r="47" spans="1:16" x14ac:dyDescent="0.25">
      <c r="A47" s="11">
        <f t="shared" si="6"/>
        <v>-8</v>
      </c>
      <c r="B47">
        <v>-5.6159184490271423</v>
      </c>
      <c r="E47" s="11">
        <f>A47-'Mastercurve bestimmen'!$B$2</f>
        <v>-58</v>
      </c>
      <c r="F47" s="11">
        <f t="shared" si="4"/>
        <v>-5.6159184490271423</v>
      </c>
      <c r="G47" s="11"/>
      <c r="H47" s="11">
        <f t="shared" si="5"/>
        <v>128063081718016</v>
      </c>
      <c r="I47" s="11">
        <f t="shared" si="5"/>
        <v>-2207984167552</v>
      </c>
      <c r="J47" s="11">
        <f t="shared" si="5"/>
        <v>38068692544</v>
      </c>
      <c r="K47" s="11">
        <f t="shared" si="5"/>
        <v>-656356768</v>
      </c>
      <c r="L47" s="11">
        <f t="shared" si="5"/>
        <v>11316496</v>
      </c>
      <c r="M47" s="11">
        <f t="shared" si="5"/>
        <v>-195112</v>
      </c>
      <c r="N47" s="11">
        <f t="shared" si="5"/>
        <v>3364</v>
      </c>
      <c r="O47" s="11">
        <f t="shared" si="5"/>
        <v>-58</v>
      </c>
      <c r="P47" s="11">
        <f t="shared" si="7"/>
        <v>0</v>
      </c>
    </row>
    <row r="48" spans="1:16" x14ac:dyDescent="0.25">
      <c r="A48" s="11">
        <f t="shared" si="6"/>
        <v>-7</v>
      </c>
      <c r="B48">
        <v>-5.4974439912305852</v>
      </c>
      <c r="E48" s="11">
        <f>A48-'Mastercurve bestimmen'!$B$2</f>
        <v>-57</v>
      </c>
      <c r="F48" s="11">
        <f t="shared" si="4"/>
        <v>-5.4974439912305852</v>
      </c>
      <c r="G48" s="11"/>
      <c r="H48" s="11">
        <f t="shared" ref="H48:O79" si="8">IF($H$12&gt;=H$14,$E48^H$14,0)</f>
        <v>111429157112001</v>
      </c>
      <c r="I48" s="11">
        <f t="shared" si="8"/>
        <v>-1954897493193</v>
      </c>
      <c r="J48" s="11">
        <f t="shared" si="8"/>
        <v>34296447249</v>
      </c>
      <c r="K48" s="11">
        <f t="shared" si="8"/>
        <v>-601692057</v>
      </c>
      <c r="L48" s="11">
        <f t="shared" si="8"/>
        <v>10556001</v>
      </c>
      <c r="M48" s="11">
        <f t="shared" si="8"/>
        <v>-185193</v>
      </c>
      <c r="N48" s="11">
        <f t="shared" si="8"/>
        <v>3249</v>
      </c>
      <c r="O48" s="11">
        <f t="shared" si="8"/>
        <v>-57</v>
      </c>
      <c r="P48" s="11">
        <f t="shared" si="7"/>
        <v>0</v>
      </c>
    </row>
    <row r="49" spans="1:16" x14ac:dyDescent="0.25">
      <c r="A49" s="11">
        <f t="shared" si="6"/>
        <v>-6</v>
      </c>
      <c r="B49">
        <v>-5.3757584959915174</v>
      </c>
      <c r="E49" s="11">
        <f>A49-'Mastercurve bestimmen'!$B$2</f>
        <v>-56</v>
      </c>
      <c r="F49" s="11">
        <f t="shared" si="4"/>
        <v>-5.3757584959915174</v>
      </c>
      <c r="G49" s="11"/>
      <c r="H49" s="11">
        <f t="shared" si="8"/>
        <v>96717311574016</v>
      </c>
      <c r="I49" s="11">
        <f t="shared" si="8"/>
        <v>-1727094849536</v>
      </c>
      <c r="J49" s="11">
        <f t="shared" si="8"/>
        <v>30840979456</v>
      </c>
      <c r="K49" s="11">
        <f t="shared" si="8"/>
        <v>-550731776</v>
      </c>
      <c r="L49" s="11">
        <f t="shared" si="8"/>
        <v>9834496</v>
      </c>
      <c r="M49" s="11">
        <f t="shared" si="8"/>
        <v>-175616</v>
      </c>
      <c r="N49" s="11">
        <f t="shared" si="8"/>
        <v>3136</v>
      </c>
      <c r="O49" s="11">
        <f t="shared" si="8"/>
        <v>-56</v>
      </c>
      <c r="P49" s="11">
        <f t="shared" si="7"/>
        <v>0</v>
      </c>
    </row>
    <row r="50" spans="1:16" x14ac:dyDescent="0.25">
      <c r="A50" s="11">
        <f t="shared" si="6"/>
        <v>-5</v>
      </c>
      <c r="B50">
        <v>-5.2507646591450161</v>
      </c>
      <c r="E50" s="11">
        <f>A50-'Mastercurve bestimmen'!$B$2</f>
        <v>-55</v>
      </c>
      <c r="F50" s="11">
        <f t="shared" si="4"/>
        <v>-5.2507646591450161</v>
      </c>
      <c r="G50" s="11"/>
      <c r="H50" s="11">
        <f t="shared" si="8"/>
        <v>83733937890625</v>
      </c>
      <c r="I50" s="11">
        <f t="shared" si="8"/>
        <v>-1522435234375</v>
      </c>
      <c r="J50" s="11">
        <f t="shared" si="8"/>
        <v>27680640625</v>
      </c>
      <c r="K50" s="11">
        <f t="shared" si="8"/>
        <v>-503284375</v>
      </c>
      <c r="L50" s="11">
        <f t="shared" si="8"/>
        <v>9150625</v>
      </c>
      <c r="M50" s="11">
        <f t="shared" si="8"/>
        <v>-166375</v>
      </c>
      <c r="N50" s="11">
        <f t="shared" si="8"/>
        <v>3025</v>
      </c>
      <c r="O50" s="11">
        <f t="shared" si="8"/>
        <v>-55</v>
      </c>
      <c r="P50" s="11">
        <f t="shared" si="7"/>
        <v>0</v>
      </c>
    </row>
    <row r="51" spans="1:16" x14ac:dyDescent="0.25">
      <c r="A51" s="11">
        <f t="shared" si="6"/>
        <v>-4</v>
      </c>
      <c r="B51">
        <v>-5.1223651765261566</v>
      </c>
      <c r="E51" s="11">
        <f>A51-'Mastercurve bestimmen'!$B$2</f>
        <v>-54</v>
      </c>
      <c r="F51" s="11">
        <f t="shared" si="4"/>
        <v>-5.1223651765261566</v>
      </c>
      <c r="G51" s="11"/>
      <c r="H51" s="11">
        <f t="shared" si="8"/>
        <v>72301961339136</v>
      </c>
      <c r="I51" s="11">
        <f t="shared" si="8"/>
        <v>-1338925209984</v>
      </c>
      <c r="J51" s="11">
        <f t="shared" si="8"/>
        <v>24794911296</v>
      </c>
      <c r="K51" s="11">
        <f t="shared" si="8"/>
        <v>-459165024</v>
      </c>
      <c r="L51" s="11">
        <f t="shared" si="8"/>
        <v>8503056</v>
      </c>
      <c r="M51" s="11">
        <f t="shared" si="8"/>
        <v>-157464</v>
      </c>
      <c r="N51" s="11">
        <f t="shared" si="8"/>
        <v>2916</v>
      </c>
      <c r="O51" s="11">
        <f t="shared" si="8"/>
        <v>-54</v>
      </c>
      <c r="P51" s="11">
        <f t="shared" si="7"/>
        <v>0</v>
      </c>
    </row>
    <row r="52" spans="1:16" x14ac:dyDescent="0.25">
      <c r="A52" s="11">
        <f t="shared" si="6"/>
        <v>-3</v>
      </c>
      <c r="B52">
        <v>-4.9904627439700135</v>
      </c>
      <c r="E52" s="11">
        <f>A52-'Mastercurve bestimmen'!$B$2</f>
        <v>-53</v>
      </c>
      <c r="F52" s="11">
        <f t="shared" si="4"/>
        <v>-4.9904627439700135</v>
      </c>
      <c r="G52" s="11"/>
      <c r="H52" s="11">
        <f t="shared" si="8"/>
        <v>62259690411361</v>
      </c>
      <c r="I52" s="11">
        <f t="shared" si="8"/>
        <v>-1174711139837</v>
      </c>
      <c r="J52" s="11">
        <f t="shared" si="8"/>
        <v>22164361129</v>
      </c>
      <c r="K52" s="11">
        <f t="shared" si="8"/>
        <v>-418195493</v>
      </c>
      <c r="L52" s="11">
        <f t="shared" si="8"/>
        <v>7890481</v>
      </c>
      <c r="M52" s="11">
        <f t="shared" si="8"/>
        <v>-148877</v>
      </c>
      <c r="N52" s="11">
        <f t="shared" si="8"/>
        <v>2809</v>
      </c>
      <c r="O52" s="11">
        <f t="shared" si="8"/>
        <v>-53</v>
      </c>
      <c r="P52" s="11">
        <f t="shared" si="7"/>
        <v>0</v>
      </c>
    </row>
    <row r="53" spans="1:16" x14ac:dyDescent="0.25">
      <c r="A53" s="11">
        <f t="shared" si="6"/>
        <v>-2</v>
      </c>
      <c r="B53">
        <v>-4.8549600573116622</v>
      </c>
      <c r="E53" s="11">
        <f>A53-'Mastercurve bestimmen'!$B$2</f>
        <v>-52</v>
      </c>
      <c r="F53" s="11">
        <f t="shared" si="4"/>
        <v>-4.8549600573116622</v>
      </c>
      <c r="G53" s="11"/>
      <c r="H53" s="11">
        <f t="shared" si="8"/>
        <v>53459728531456</v>
      </c>
      <c r="I53" s="11">
        <f t="shared" si="8"/>
        <v>-1028071702528</v>
      </c>
      <c r="J53" s="11">
        <f t="shared" si="8"/>
        <v>19770609664</v>
      </c>
      <c r="K53" s="11">
        <f t="shared" si="8"/>
        <v>-380204032</v>
      </c>
      <c r="L53" s="11">
        <f t="shared" si="8"/>
        <v>7311616</v>
      </c>
      <c r="M53" s="11">
        <f t="shared" si="8"/>
        <v>-140608</v>
      </c>
      <c r="N53" s="11">
        <f t="shared" si="8"/>
        <v>2704</v>
      </c>
      <c r="O53" s="11">
        <f t="shared" si="8"/>
        <v>-52</v>
      </c>
      <c r="P53" s="11">
        <f t="shared" si="7"/>
        <v>0</v>
      </c>
    </row>
    <row r="54" spans="1:16" x14ac:dyDescent="0.25">
      <c r="A54" s="11">
        <f t="shared" si="6"/>
        <v>-1</v>
      </c>
      <c r="B54">
        <v>-4.7157598123861799</v>
      </c>
      <c r="E54" s="11">
        <f>A54-'Mastercurve bestimmen'!$B$2</f>
        <v>-51</v>
      </c>
      <c r="F54" s="11">
        <f t="shared" si="4"/>
        <v>-4.7157598123861799</v>
      </c>
      <c r="G54" s="11"/>
      <c r="H54" s="11">
        <f t="shared" si="8"/>
        <v>45767944570401</v>
      </c>
      <c r="I54" s="11">
        <f t="shared" si="8"/>
        <v>-897410677851</v>
      </c>
      <c r="J54" s="11">
        <f t="shared" si="8"/>
        <v>17596287801</v>
      </c>
      <c r="K54" s="11">
        <f t="shared" si="8"/>
        <v>-345025251</v>
      </c>
      <c r="L54" s="11">
        <f t="shared" si="8"/>
        <v>6765201</v>
      </c>
      <c r="M54" s="11">
        <f t="shared" si="8"/>
        <v>-132651</v>
      </c>
      <c r="N54" s="11">
        <f t="shared" si="8"/>
        <v>2601</v>
      </c>
      <c r="O54" s="11">
        <f t="shared" si="8"/>
        <v>-51</v>
      </c>
      <c r="P54" s="11">
        <f t="shared" si="7"/>
        <v>0</v>
      </c>
    </row>
    <row r="55" spans="1:16" x14ac:dyDescent="0.25">
      <c r="A55" s="11">
        <f t="shared" si="6"/>
        <v>0</v>
      </c>
      <c r="B55">
        <v>-4.5727647050286402</v>
      </c>
      <c r="E55" s="11">
        <f>A55-'Mastercurve bestimmen'!$B$2</f>
        <v>-50</v>
      </c>
      <c r="F55" s="11">
        <f t="shared" si="4"/>
        <v>-4.5727647050286402</v>
      </c>
      <c r="G55" s="11"/>
      <c r="H55" s="11">
        <f t="shared" si="8"/>
        <v>39062500000000</v>
      </c>
      <c r="I55" s="11">
        <f t="shared" si="8"/>
        <v>-781250000000</v>
      </c>
      <c r="J55" s="11">
        <f t="shared" si="8"/>
        <v>15625000000</v>
      </c>
      <c r="K55" s="11">
        <f t="shared" si="8"/>
        <v>-312500000</v>
      </c>
      <c r="L55" s="11">
        <f t="shared" si="8"/>
        <v>6250000</v>
      </c>
      <c r="M55" s="11">
        <f t="shared" si="8"/>
        <v>-125000</v>
      </c>
      <c r="N55" s="11">
        <f t="shared" si="8"/>
        <v>2500</v>
      </c>
      <c r="O55" s="11">
        <f t="shared" si="8"/>
        <v>-50</v>
      </c>
      <c r="P55" s="11">
        <f t="shared" si="7"/>
        <v>0</v>
      </c>
    </row>
    <row r="56" spans="1:16" x14ac:dyDescent="0.25">
      <c r="A56" s="11">
        <f t="shared" si="6"/>
        <v>1</v>
      </c>
      <c r="B56">
        <v>-4.4950428380138359</v>
      </c>
      <c r="E56" s="11">
        <f>A56-'Mastercurve bestimmen'!$B$2</f>
        <v>-49</v>
      </c>
      <c r="F56" s="11">
        <f t="shared" si="4"/>
        <v>-4.4950428380138359</v>
      </c>
      <c r="G56" s="11"/>
      <c r="H56" s="11">
        <f t="shared" si="8"/>
        <v>33232930569601</v>
      </c>
      <c r="I56" s="11">
        <f t="shared" si="8"/>
        <v>-678223072849</v>
      </c>
      <c r="J56" s="11">
        <f t="shared" si="8"/>
        <v>13841287201</v>
      </c>
      <c r="K56" s="11">
        <f t="shared" si="8"/>
        <v>-282475249</v>
      </c>
      <c r="L56" s="11">
        <f t="shared" si="8"/>
        <v>5764801</v>
      </c>
      <c r="M56" s="11">
        <f t="shared" si="8"/>
        <v>-117649</v>
      </c>
      <c r="N56" s="11">
        <f t="shared" si="8"/>
        <v>2401</v>
      </c>
      <c r="O56" s="11">
        <f t="shared" si="8"/>
        <v>-49</v>
      </c>
      <c r="P56" s="11">
        <f t="shared" si="7"/>
        <v>0</v>
      </c>
    </row>
    <row r="57" spans="1:16" x14ac:dyDescent="0.25">
      <c r="A57" s="11">
        <f t="shared" si="6"/>
        <v>2</v>
      </c>
      <c r="B57">
        <v>-4.4136655396152014</v>
      </c>
      <c r="E57" s="11">
        <f>A57-'Mastercurve bestimmen'!$B$2</f>
        <v>-48</v>
      </c>
      <c r="F57" s="11">
        <f t="shared" si="4"/>
        <v>-4.4136655396152014</v>
      </c>
      <c r="G57" s="11"/>
      <c r="H57" s="11">
        <f t="shared" si="8"/>
        <v>28179280429056</v>
      </c>
      <c r="I57" s="11">
        <f t="shared" si="8"/>
        <v>-587068342272</v>
      </c>
      <c r="J57" s="11">
        <f t="shared" si="8"/>
        <v>12230590464</v>
      </c>
      <c r="K57" s="11">
        <f t="shared" si="8"/>
        <v>-254803968</v>
      </c>
      <c r="L57" s="11">
        <f t="shared" si="8"/>
        <v>5308416</v>
      </c>
      <c r="M57" s="11">
        <f t="shared" si="8"/>
        <v>-110592</v>
      </c>
      <c r="N57" s="11">
        <f t="shared" si="8"/>
        <v>2304</v>
      </c>
      <c r="O57" s="11">
        <f t="shared" si="8"/>
        <v>-48</v>
      </c>
      <c r="P57" s="11">
        <f t="shared" si="7"/>
        <v>0</v>
      </c>
    </row>
    <row r="58" spans="1:16" x14ac:dyDescent="0.25">
      <c r="A58" s="11">
        <f t="shared" si="6"/>
        <v>3</v>
      </c>
      <c r="B58">
        <v>-4.3288695450458885</v>
      </c>
      <c r="E58" s="11">
        <f>A58-'Mastercurve bestimmen'!$B$2</f>
        <v>-47</v>
      </c>
      <c r="F58" s="11">
        <f t="shared" si="4"/>
        <v>-4.3288695450458885</v>
      </c>
      <c r="G58" s="11"/>
      <c r="H58" s="11">
        <f t="shared" si="8"/>
        <v>23811286661761</v>
      </c>
      <c r="I58" s="11">
        <f t="shared" si="8"/>
        <v>-506623120463</v>
      </c>
      <c r="J58" s="11">
        <f t="shared" si="8"/>
        <v>10779215329</v>
      </c>
      <c r="K58" s="11">
        <f t="shared" si="8"/>
        <v>-229345007</v>
      </c>
      <c r="L58" s="11">
        <f t="shared" si="8"/>
        <v>4879681</v>
      </c>
      <c r="M58" s="11">
        <f t="shared" si="8"/>
        <v>-103823</v>
      </c>
      <c r="N58" s="11">
        <f t="shared" si="8"/>
        <v>2209</v>
      </c>
      <c r="O58" s="11">
        <f t="shared" si="8"/>
        <v>-47</v>
      </c>
      <c r="P58" s="11">
        <f t="shared" si="7"/>
        <v>0</v>
      </c>
    </row>
    <row r="59" spans="1:16" x14ac:dyDescent="0.25">
      <c r="A59" s="11">
        <f t="shared" si="6"/>
        <v>4</v>
      </c>
      <c r="B59">
        <v>-4.2408915895190473</v>
      </c>
      <c r="E59" s="11">
        <f>A59-'Mastercurve bestimmen'!$B$2</f>
        <v>-46</v>
      </c>
      <c r="F59" s="11">
        <f t="shared" si="4"/>
        <v>-4.2408915895190473</v>
      </c>
      <c r="G59" s="11"/>
      <c r="H59" s="11">
        <f t="shared" si="8"/>
        <v>20047612231936</v>
      </c>
      <c r="I59" s="11">
        <f t="shared" si="8"/>
        <v>-435817657216</v>
      </c>
      <c r="J59" s="11">
        <f t="shared" si="8"/>
        <v>9474296896</v>
      </c>
      <c r="K59" s="11">
        <f t="shared" si="8"/>
        <v>-205962976</v>
      </c>
      <c r="L59" s="11">
        <f t="shared" si="8"/>
        <v>4477456</v>
      </c>
      <c r="M59" s="11">
        <f t="shared" si="8"/>
        <v>-97336</v>
      </c>
      <c r="N59" s="11">
        <f t="shared" si="8"/>
        <v>2116</v>
      </c>
      <c r="O59" s="11">
        <f t="shared" si="8"/>
        <v>-46</v>
      </c>
      <c r="P59" s="11">
        <f t="shared" si="7"/>
        <v>0</v>
      </c>
    </row>
    <row r="60" spans="1:16" x14ac:dyDescent="0.25">
      <c r="A60" s="11">
        <f t="shared" si="6"/>
        <v>5</v>
      </c>
      <c r="B60">
        <v>-4.1499684082478296</v>
      </c>
      <c r="E60" s="11">
        <f>A60-'Mastercurve bestimmen'!$B$2</f>
        <v>-45</v>
      </c>
      <c r="F60" s="11">
        <f t="shared" si="4"/>
        <v>-4.1499684082478296</v>
      </c>
      <c r="G60" s="11"/>
      <c r="H60" s="11">
        <f t="shared" si="8"/>
        <v>16815125390625</v>
      </c>
      <c r="I60" s="11">
        <f t="shared" si="8"/>
        <v>-373669453125</v>
      </c>
      <c r="J60" s="11">
        <f t="shared" si="8"/>
        <v>8303765625</v>
      </c>
      <c r="K60" s="11">
        <f t="shared" si="8"/>
        <v>-184528125</v>
      </c>
      <c r="L60" s="11">
        <f t="shared" si="8"/>
        <v>4100625</v>
      </c>
      <c r="M60" s="11">
        <f t="shared" si="8"/>
        <v>-91125</v>
      </c>
      <c r="N60" s="11">
        <f t="shared" si="8"/>
        <v>2025</v>
      </c>
      <c r="O60" s="11">
        <f t="shared" si="8"/>
        <v>-45</v>
      </c>
      <c r="P60" s="11">
        <f t="shared" si="7"/>
        <v>0</v>
      </c>
    </row>
    <row r="61" spans="1:16" x14ac:dyDescent="0.25">
      <c r="A61" s="11">
        <f t="shared" si="6"/>
        <v>6</v>
      </c>
      <c r="B61">
        <v>-4.0563367364453864</v>
      </c>
      <c r="E61" s="11">
        <f>A61-'Mastercurve bestimmen'!$B$2</f>
        <v>-44</v>
      </c>
      <c r="F61" s="11">
        <f t="shared" si="4"/>
        <v>-4.0563367364453864</v>
      </c>
      <c r="G61" s="11"/>
      <c r="H61" s="11">
        <f t="shared" si="8"/>
        <v>14048223625216</v>
      </c>
      <c r="I61" s="11">
        <f t="shared" si="8"/>
        <v>-319277809664</v>
      </c>
      <c r="J61" s="11">
        <f t="shared" si="8"/>
        <v>7256313856</v>
      </c>
      <c r="K61" s="11">
        <f t="shared" si="8"/>
        <v>-164916224</v>
      </c>
      <c r="L61" s="11">
        <f t="shared" si="8"/>
        <v>3748096</v>
      </c>
      <c r="M61" s="11">
        <f t="shared" si="8"/>
        <v>-85184</v>
      </c>
      <c r="N61" s="11">
        <f t="shared" si="8"/>
        <v>1936</v>
      </c>
      <c r="O61" s="11">
        <f t="shared" si="8"/>
        <v>-44</v>
      </c>
      <c r="P61" s="11">
        <f t="shared" si="7"/>
        <v>0</v>
      </c>
    </row>
    <row r="62" spans="1:16" x14ac:dyDescent="0.25">
      <c r="A62" s="11">
        <f t="shared" si="6"/>
        <v>7</v>
      </c>
      <c r="B62">
        <v>-3.9602333093248689</v>
      </c>
      <c r="E62" s="11">
        <f>A62-'Mastercurve bestimmen'!$B$2</f>
        <v>-43</v>
      </c>
      <c r="F62" s="11">
        <f t="shared" si="4"/>
        <v>-3.9602333093248689</v>
      </c>
      <c r="G62" s="11"/>
      <c r="H62" s="11">
        <f t="shared" si="8"/>
        <v>11688200277601</v>
      </c>
      <c r="I62" s="11">
        <f t="shared" si="8"/>
        <v>-271818611107</v>
      </c>
      <c r="J62" s="11">
        <f t="shared" si="8"/>
        <v>6321363049</v>
      </c>
      <c r="K62" s="11">
        <f t="shared" si="8"/>
        <v>-147008443</v>
      </c>
      <c r="L62" s="11">
        <f t="shared" si="8"/>
        <v>3418801</v>
      </c>
      <c r="M62" s="11">
        <f t="shared" si="8"/>
        <v>-79507</v>
      </c>
      <c r="N62" s="11">
        <f t="shared" si="8"/>
        <v>1849</v>
      </c>
      <c r="O62" s="11">
        <f t="shared" si="8"/>
        <v>-43</v>
      </c>
      <c r="P62" s="11">
        <f t="shared" si="7"/>
        <v>0</v>
      </c>
    </row>
    <row r="63" spans="1:16" x14ac:dyDescent="0.25">
      <c r="A63" s="11">
        <f t="shared" si="6"/>
        <v>8</v>
      </c>
      <c r="B63">
        <v>-3.8618948620994287</v>
      </c>
      <c r="E63" s="11">
        <f>A63-'Mastercurve bestimmen'!$B$2</f>
        <v>-42</v>
      </c>
      <c r="F63" s="11">
        <f t="shared" si="4"/>
        <v>-3.8618948620994287</v>
      </c>
      <c r="G63" s="11"/>
      <c r="H63" s="11">
        <f t="shared" si="8"/>
        <v>9682651996416</v>
      </c>
      <c r="I63" s="11">
        <f t="shared" si="8"/>
        <v>-230539333248</v>
      </c>
      <c r="J63" s="11">
        <f t="shared" si="8"/>
        <v>5489031744</v>
      </c>
      <c r="K63" s="11">
        <f t="shared" si="8"/>
        <v>-130691232</v>
      </c>
      <c r="L63" s="11">
        <f t="shared" si="8"/>
        <v>3111696</v>
      </c>
      <c r="M63" s="11">
        <f t="shared" si="8"/>
        <v>-74088</v>
      </c>
      <c r="N63" s="11">
        <f t="shared" si="8"/>
        <v>1764</v>
      </c>
      <c r="O63" s="11">
        <f t="shared" si="8"/>
        <v>-42</v>
      </c>
      <c r="P63" s="11">
        <f t="shared" si="7"/>
        <v>0</v>
      </c>
    </row>
    <row r="64" spans="1:16" x14ac:dyDescent="0.25">
      <c r="A64" s="11">
        <f t="shared" si="6"/>
        <v>9</v>
      </c>
      <c r="B64">
        <v>-3.7615581299822156</v>
      </c>
      <c r="E64" s="11">
        <f>A64-'Mastercurve bestimmen'!$B$2</f>
        <v>-41</v>
      </c>
      <c r="F64" s="11">
        <f t="shared" si="4"/>
        <v>-3.7615581299822156</v>
      </c>
      <c r="G64" s="11"/>
      <c r="H64" s="11">
        <f t="shared" si="8"/>
        <v>7984925229121</v>
      </c>
      <c r="I64" s="11">
        <f t="shared" si="8"/>
        <v>-194754273881</v>
      </c>
      <c r="J64" s="11">
        <f t="shared" si="8"/>
        <v>4750104241</v>
      </c>
      <c r="K64" s="11">
        <f t="shared" si="8"/>
        <v>-115856201</v>
      </c>
      <c r="L64" s="11">
        <f t="shared" si="8"/>
        <v>2825761</v>
      </c>
      <c r="M64" s="11">
        <f t="shared" si="8"/>
        <v>-68921</v>
      </c>
      <c r="N64" s="11">
        <f t="shared" si="8"/>
        <v>1681</v>
      </c>
      <c r="O64" s="11">
        <f t="shared" si="8"/>
        <v>-41</v>
      </c>
      <c r="P64" s="11">
        <f t="shared" si="7"/>
        <v>0</v>
      </c>
    </row>
    <row r="65" spans="1:16" x14ac:dyDescent="0.25">
      <c r="A65" s="11">
        <f t="shared" si="6"/>
        <v>10</v>
      </c>
      <c r="B65">
        <v>-3.659459848186382</v>
      </c>
      <c r="E65" s="11">
        <f>A65-'Mastercurve bestimmen'!$B$2</f>
        <v>-40</v>
      </c>
      <c r="F65" s="11">
        <f t="shared" si="4"/>
        <v>-3.659459848186382</v>
      </c>
      <c r="G65" s="11"/>
      <c r="H65" s="11">
        <f t="shared" si="8"/>
        <v>6553600000000</v>
      </c>
      <c r="I65" s="11">
        <f t="shared" si="8"/>
        <v>-163840000000</v>
      </c>
      <c r="J65" s="11">
        <f t="shared" si="8"/>
        <v>4096000000</v>
      </c>
      <c r="K65" s="11">
        <f t="shared" si="8"/>
        <v>-102400000</v>
      </c>
      <c r="L65" s="11">
        <f t="shared" si="8"/>
        <v>2560000</v>
      </c>
      <c r="M65" s="11">
        <f t="shared" si="8"/>
        <v>-64000</v>
      </c>
      <c r="N65" s="11">
        <f t="shared" si="8"/>
        <v>1600</v>
      </c>
      <c r="O65" s="11">
        <f t="shared" si="8"/>
        <v>-40</v>
      </c>
      <c r="P65" s="11">
        <f t="shared" si="7"/>
        <v>0</v>
      </c>
    </row>
    <row r="66" spans="1:16" x14ac:dyDescent="0.25">
      <c r="A66" s="11">
        <f t="shared" si="6"/>
        <v>11</v>
      </c>
      <c r="B66">
        <v>-3.5558367519250789</v>
      </c>
      <c r="E66" s="11">
        <f>A66-'Mastercurve bestimmen'!$B$2</f>
        <v>-39</v>
      </c>
      <c r="F66" s="11">
        <f t="shared" si="4"/>
        <v>-3.5558367519250789</v>
      </c>
      <c r="G66" s="11"/>
      <c r="H66" s="11">
        <f t="shared" si="8"/>
        <v>5352009260481</v>
      </c>
      <c r="I66" s="11">
        <f t="shared" si="8"/>
        <v>-137231006679</v>
      </c>
      <c r="J66" s="11">
        <f t="shared" si="8"/>
        <v>3518743761</v>
      </c>
      <c r="K66" s="11">
        <f t="shared" si="8"/>
        <v>-90224199</v>
      </c>
      <c r="L66" s="11">
        <f t="shared" si="8"/>
        <v>2313441</v>
      </c>
      <c r="M66" s="11">
        <f t="shared" si="8"/>
        <v>-59319</v>
      </c>
      <c r="N66" s="11">
        <f t="shared" si="8"/>
        <v>1521</v>
      </c>
      <c r="O66" s="11">
        <f t="shared" si="8"/>
        <v>-39</v>
      </c>
      <c r="P66" s="11">
        <f t="shared" si="7"/>
        <v>0</v>
      </c>
    </row>
    <row r="67" spans="1:16" x14ac:dyDescent="0.25">
      <c r="A67" s="11">
        <f t="shared" si="6"/>
        <v>12</v>
      </c>
      <c r="B67">
        <v>-3.4509255764114566</v>
      </c>
      <c r="E67" s="11">
        <f>A67-'Mastercurve bestimmen'!$B$2</f>
        <v>-38</v>
      </c>
      <c r="F67" s="11">
        <f t="shared" si="4"/>
        <v>-3.4509255764114566</v>
      </c>
      <c r="G67" s="11"/>
      <c r="H67" s="11">
        <f t="shared" si="8"/>
        <v>4347792138496</v>
      </c>
      <c r="I67" s="11">
        <f t="shared" si="8"/>
        <v>-114415582592</v>
      </c>
      <c r="J67" s="11">
        <f t="shared" si="8"/>
        <v>3010936384</v>
      </c>
      <c r="K67" s="11">
        <f t="shared" si="8"/>
        <v>-79235168</v>
      </c>
      <c r="L67" s="11">
        <f t="shared" si="8"/>
        <v>2085136</v>
      </c>
      <c r="M67" s="11">
        <f t="shared" si="8"/>
        <v>-54872</v>
      </c>
      <c r="N67" s="11">
        <f t="shared" si="8"/>
        <v>1444</v>
      </c>
      <c r="O67" s="11">
        <f t="shared" si="8"/>
        <v>-38</v>
      </c>
      <c r="P67" s="11">
        <f t="shared" si="7"/>
        <v>0</v>
      </c>
    </row>
    <row r="68" spans="1:16" x14ac:dyDescent="0.25">
      <c r="A68" s="11">
        <f t="shared" si="6"/>
        <v>13</v>
      </c>
      <c r="B68">
        <v>-3.3449630568586675</v>
      </c>
      <c r="E68" s="11">
        <f>A68-'Mastercurve bestimmen'!$B$2</f>
        <v>-37</v>
      </c>
      <c r="F68" s="11">
        <f t="shared" si="4"/>
        <v>-3.3449630568586675</v>
      </c>
      <c r="G68" s="11"/>
      <c r="H68" s="11">
        <f t="shared" si="8"/>
        <v>3512479453921</v>
      </c>
      <c r="I68" s="11">
        <f t="shared" si="8"/>
        <v>-94931877133</v>
      </c>
      <c r="J68" s="11">
        <f t="shared" si="8"/>
        <v>2565726409</v>
      </c>
      <c r="K68" s="11">
        <f t="shared" si="8"/>
        <v>-69343957</v>
      </c>
      <c r="L68" s="11">
        <f t="shared" si="8"/>
        <v>1874161</v>
      </c>
      <c r="M68" s="11">
        <f t="shared" si="8"/>
        <v>-50653</v>
      </c>
      <c r="N68" s="11">
        <f t="shared" si="8"/>
        <v>1369</v>
      </c>
      <c r="O68" s="11">
        <f t="shared" si="8"/>
        <v>-37</v>
      </c>
      <c r="P68" s="11">
        <f t="shared" si="7"/>
        <v>0</v>
      </c>
    </row>
    <row r="69" spans="1:16" x14ac:dyDescent="0.25">
      <c r="A69" s="11">
        <f t="shared" si="6"/>
        <v>14</v>
      </c>
      <c r="B69">
        <v>-3.2381859284798615</v>
      </c>
      <c r="E69" s="11">
        <f>A69-'Mastercurve bestimmen'!$B$2</f>
        <v>-36</v>
      </c>
      <c r="F69" s="11">
        <f t="shared" si="4"/>
        <v>-3.2381859284798615</v>
      </c>
      <c r="G69" s="11"/>
      <c r="H69" s="11">
        <f t="shared" si="8"/>
        <v>2821109907456</v>
      </c>
      <c r="I69" s="11">
        <f t="shared" si="8"/>
        <v>-78364164096</v>
      </c>
      <c r="J69" s="11">
        <f t="shared" si="8"/>
        <v>2176782336</v>
      </c>
      <c r="K69" s="11">
        <f t="shared" si="8"/>
        <v>-60466176</v>
      </c>
      <c r="L69" s="11">
        <f t="shared" si="8"/>
        <v>1679616</v>
      </c>
      <c r="M69" s="11">
        <f t="shared" si="8"/>
        <v>-46656</v>
      </c>
      <c r="N69" s="11">
        <f t="shared" si="8"/>
        <v>1296</v>
      </c>
      <c r="O69" s="11">
        <f t="shared" si="8"/>
        <v>-36</v>
      </c>
      <c r="P69" s="11">
        <f t="shared" si="7"/>
        <v>0</v>
      </c>
    </row>
    <row r="70" spans="1:16" x14ac:dyDescent="0.25">
      <c r="A70" s="11">
        <f t="shared" si="6"/>
        <v>15</v>
      </c>
      <c r="B70">
        <v>-3.1308309264881906</v>
      </c>
      <c r="E70" s="11">
        <f>A70-'Mastercurve bestimmen'!$B$2</f>
        <v>-35</v>
      </c>
      <c r="F70" s="11">
        <f t="shared" si="4"/>
        <v>-3.1308309264881906</v>
      </c>
      <c r="G70" s="11"/>
      <c r="H70" s="11">
        <f t="shared" si="8"/>
        <v>2251875390625</v>
      </c>
      <c r="I70" s="11">
        <f t="shared" si="8"/>
        <v>-64339296875</v>
      </c>
      <c r="J70" s="11">
        <f t="shared" si="8"/>
        <v>1838265625</v>
      </c>
      <c r="K70" s="11">
        <f t="shared" si="8"/>
        <v>-52521875</v>
      </c>
      <c r="L70" s="11">
        <f t="shared" si="8"/>
        <v>1500625</v>
      </c>
      <c r="M70" s="11">
        <f t="shared" si="8"/>
        <v>-42875</v>
      </c>
      <c r="N70" s="11">
        <f t="shared" si="8"/>
        <v>1225</v>
      </c>
      <c r="O70" s="11">
        <f t="shared" si="8"/>
        <v>-35</v>
      </c>
      <c r="P70" s="11">
        <f t="shared" si="7"/>
        <v>0</v>
      </c>
    </row>
    <row r="71" spans="1:16" x14ac:dyDescent="0.25">
      <c r="A71" s="11">
        <f t="shared" si="6"/>
        <v>16</v>
      </c>
      <c r="B71">
        <v>-3.0231347860968061</v>
      </c>
      <c r="E71" s="11">
        <f>A71-'Mastercurve bestimmen'!$B$2</f>
        <v>-34</v>
      </c>
      <c r="F71" s="11">
        <f t="shared" si="4"/>
        <v>-3.0231347860968061</v>
      </c>
      <c r="G71" s="11"/>
      <c r="H71" s="11">
        <f t="shared" si="8"/>
        <v>1785793904896</v>
      </c>
      <c r="I71" s="11">
        <f t="shared" si="8"/>
        <v>-52523350144</v>
      </c>
      <c r="J71" s="11">
        <f t="shared" si="8"/>
        <v>1544804416</v>
      </c>
      <c r="K71" s="11">
        <f t="shared" si="8"/>
        <v>-45435424</v>
      </c>
      <c r="L71" s="11">
        <f t="shared" si="8"/>
        <v>1336336</v>
      </c>
      <c r="M71" s="11">
        <f t="shared" si="8"/>
        <v>-39304</v>
      </c>
      <c r="N71" s="11">
        <f t="shared" si="8"/>
        <v>1156</v>
      </c>
      <c r="O71" s="11">
        <f t="shared" si="8"/>
        <v>-34</v>
      </c>
      <c r="P71" s="11">
        <f t="shared" si="7"/>
        <v>0</v>
      </c>
    </row>
    <row r="72" spans="1:16" x14ac:dyDescent="0.25">
      <c r="A72" s="11">
        <f t="shared" si="6"/>
        <v>17</v>
      </c>
      <c r="B72">
        <v>-2.9153342425188584</v>
      </c>
      <c r="E72" s="11">
        <f>A72-'Mastercurve bestimmen'!$B$2</f>
        <v>-33</v>
      </c>
      <c r="F72" s="11">
        <f t="shared" si="4"/>
        <v>-2.9153342425188584</v>
      </c>
      <c r="G72" s="11"/>
      <c r="H72" s="11">
        <f t="shared" si="8"/>
        <v>1406408618241</v>
      </c>
      <c r="I72" s="11">
        <f t="shared" si="8"/>
        <v>-42618442977</v>
      </c>
      <c r="J72" s="11">
        <f t="shared" si="8"/>
        <v>1291467969</v>
      </c>
      <c r="K72" s="11">
        <f t="shared" si="8"/>
        <v>-39135393</v>
      </c>
      <c r="L72" s="11">
        <f t="shared" si="8"/>
        <v>1185921</v>
      </c>
      <c r="M72" s="11">
        <f t="shared" si="8"/>
        <v>-35937</v>
      </c>
      <c r="N72" s="11">
        <f t="shared" si="8"/>
        <v>1089</v>
      </c>
      <c r="O72" s="11">
        <f t="shared" si="8"/>
        <v>-33</v>
      </c>
      <c r="P72" s="11">
        <f t="shared" si="7"/>
        <v>0</v>
      </c>
    </row>
    <row r="73" spans="1:16" x14ac:dyDescent="0.25">
      <c r="A73" s="11">
        <f t="shared" si="6"/>
        <v>18</v>
      </c>
      <c r="B73">
        <v>-2.807666030967499</v>
      </c>
      <c r="E73" s="11">
        <f>A73-'Mastercurve bestimmen'!$B$2</f>
        <v>-32</v>
      </c>
      <c r="F73" s="11">
        <f t="shared" si="4"/>
        <v>-2.807666030967499</v>
      </c>
      <c r="G73" s="11"/>
      <c r="H73" s="11">
        <f t="shared" si="8"/>
        <v>1099511627776</v>
      </c>
      <c r="I73" s="11">
        <f t="shared" si="8"/>
        <v>-34359738368</v>
      </c>
      <c r="J73" s="11">
        <f t="shared" si="8"/>
        <v>1073741824</v>
      </c>
      <c r="K73" s="11">
        <f t="shared" si="8"/>
        <v>-33554432</v>
      </c>
      <c r="L73" s="11">
        <f t="shared" si="8"/>
        <v>1048576</v>
      </c>
      <c r="M73" s="11">
        <f t="shared" si="8"/>
        <v>-32768</v>
      </c>
      <c r="N73" s="11">
        <f t="shared" si="8"/>
        <v>1024</v>
      </c>
      <c r="O73" s="11">
        <f t="shared" si="8"/>
        <v>-32</v>
      </c>
      <c r="P73" s="11">
        <f t="shared" si="7"/>
        <v>0</v>
      </c>
    </row>
    <row r="74" spans="1:16" x14ac:dyDescent="0.25">
      <c r="A74" s="11">
        <f t="shared" si="6"/>
        <v>19</v>
      </c>
      <c r="B74">
        <v>-2.7003668866558792</v>
      </c>
      <c r="E74" s="11">
        <f>A74-'Mastercurve bestimmen'!$B$2</f>
        <v>-31</v>
      </c>
      <c r="F74" s="11">
        <f t="shared" si="4"/>
        <v>-2.7003668866558792</v>
      </c>
      <c r="G74" s="11"/>
      <c r="H74" s="11">
        <f t="shared" si="8"/>
        <v>852891037441</v>
      </c>
      <c r="I74" s="11">
        <f t="shared" si="8"/>
        <v>-27512614111</v>
      </c>
      <c r="J74" s="11">
        <f t="shared" si="8"/>
        <v>887503681</v>
      </c>
      <c r="K74" s="11">
        <f t="shared" si="8"/>
        <v>-28629151</v>
      </c>
      <c r="L74" s="11">
        <f t="shared" si="8"/>
        <v>923521</v>
      </c>
      <c r="M74" s="11">
        <f t="shared" si="8"/>
        <v>-29791</v>
      </c>
      <c r="N74" s="11">
        <f t="shared" si="8"/>
        <v>961</v>
      </c>
      <c r="O74" s="11">
        <f t="shared" si="8"/>
        <v>-31</v>
      </c>
      <c r="P74" s="11">
        <f t="shared" si="7"/>
        <v>0</v>
      </c>
    </row>
    <row r="75" spans="1:16" x14ac:dyDescent="0.25">
      <c r="A75" s="11">
        <f t="shared" si="6"/>
        <v>20</v>
      </c>
      <c r="B75">
        <v>-2.59367354479715</v>
      </c>
      <c r="E75" s="11">
        <f>A75-'Mastercurve bestimmen'!$B$2</f>
        <v>-30</v>
      </c>
      <c r="F75" s="11">
        <f t="shared" si="4"/>
        <v>-2.59367354479715</v>
      </c>
      <c r="G75" s="11"/>
      <c r="H75" s="11">
        <f t="shared" si="8"/>
        <v>656100000000</v>
      </c>
      <c r="I75" s="11">
        <f t="shared" si="8"/>
        <v>-21870000000</v>
      </c>
      <c r="J75" s="11">
        <f t="shared" si="8"/>
        <v>729000000</v>
      </c>
      <c r="K75" s="11">
        <f t="shared" si="8"/>
        <v>-24300000</v>
      </c>
      <c r="L75" s="11">
        <f t="shared" si="8"/>
        <v>810000</v>
      </c>
      <c r="M75" s="11">
        <f t="shared" si="8"/>
        <v>-27000</v>
      </c>
      <c r="N75" s="11">
        <f t="shared" si="8"/>
        <v>900</v>
      </c>
      <c r="O75" s="11">
        <f t="shared" si="8"/>
        <v>-30</v>
      </c>
      <c r="P75" s="11">
        <f t="shared" si="7"/>
        <v>0</v>
      </c>
    </row>
    <row r="76" spans="1:16" x14ac:dyDescent="0.25">
      <c r="A76" s="11">
        <f t="shared" si="6"/>
        <v>21</v>
      </c>
      <c r="B76">
        <v>-2.4878227406044626</v>
      </c>
      <c r="E76" s="11">
        <f>A76-'Mastercurve bestimmen'!$B$2</f>
        <v>-29</v>
      </c>
      <c r="F76" s="11">
        <f t="shared" si="4"/>
        <v>-2.4878227406044626</v>
      </c>
      <c r="G76" s="11"/>
      <c r="H76" s="11">
        <f t="shared" si="8"/>
        <v>500246412961</v>
      </c>
      <c r="I76" s="11">
        <f t="shared" si="8"/>
        <v>-17249876309</v>
      </c>
      <c r="J76" s="11">
        <f t="shared" si="8"/>
        <v>594823321</v>
      </c>
      <c r="K76" s="11">
        <f t="shared" si="8"/>
        <v>-20511149</v>
      </c>
      <c r="L76" s="11">
        <f t="shared" si="8"/>
        <v>707281</v>
      </c>
      <c r="M76" s="11">
        <f t="shared" si="8"/>
        <v>-24389</v>
      </c>
      <c r="N76" s="11">
        <f t="shared" si="8"/>
        <v>841</v>
      </c>
      <c r="O76" s="11">
        <f t="shared" si="8"/>
        <v>-29</v>
      </c>
      <c r="P76" s="11">
        <f t="shared" si="7"/>
        <v>0</v>
      </c>
    </row>
    <row r="77" spans="1:16" x14ac:dyDescent="0.25">
      <c r="A77" s="11">
        <f t="shared" si="6"/>
        <v>22</v>
      </c>
      <c r="B77">
        <v>-2.3830512092909677</v>
      </c>
      <c r="E77" s="11">
        <f>A77-'Mastercurve bestimmen'!$B$2</f>
        <v>-28</v>
      </c>
      <c r="F77" s="11">
        <f t="shared" si="4"/>
        <v>-2.3830512092909677</v>
      </c>
      <c r="G77" s="11"/>
      <c r="H77" s="11">
        <f t="shared" si="8"/>
        <v>377801998336</v>
      </c>
      <c r="I77" s="11">
        <f t="shared" si="8"/>
        <v>-13492928512</v>
      </c>
      <c r="J77" s="11">
        <f t="shared" si="8"/>
        <v>481890304</v>
      </c>
      <c r="K77" s="11">
        <f t="shared" si="8"/>
        <v>-17210368</v>
      </c>
      <c r="L77" s="11">
        <f t="shared" si="8"/>
        <v>614656</v>
      </c>
      <c r="M77" s="11">
        <f t="shared" si="8"/>
        <v>-21952</v>
      </c>
      <c r="N77" s="11">
        <f t="shared" si="8"/>
        <v>784</v>
      </c>
      <c r="O77" s="11">
        <f t="shared" si="8"/>
        <v>-28</v>
      </c>
      <c r="P77" s="11">
        <f t="shared" si="7"/>
        <v>0</v>
      </c>
    </row>
    <row r="78" spans="1:16" x14ac:dyDescent="0.25">
      <c r="A78" s="11">
        <f t="shared" si="6"/>
        <v>23</v>
      </c>
      <c r="B78">
        <v>-2.279595686069817</v>
      </c>
      <c r="E78" s="11">
        <f>A78-'Mastercurve bestimmen'!$B$2</f>
        <v>-27</v>
      </c>
      <c r="F78" s="11">
        <f t="shared" si="4"/>
        <v>-2.279595686069817</v>
      </c>
      <c r="G78" s="11"/>
      <c r="H78" s="11">
        <f t="shared" si="8"/>
        <v>282429536481</v>
      </c>
      <c r="I78" s="11">
        <f t="shared" si="8"/>
        <v>-10460353203</v>
      </c>
      <c r="J78" s="11">
        <f t="shared" si="8"/>
        <v>387420489</v>
      </c>
      <c r="K78" s="11">
        <f t="shared" si="8"/>
        <v>-14348907</v>
      </c>
      <c r="L78" s="11">
        <f t="shared" si="8"/>
        <v>531441</v>
      </c>
      <c r="M78" s="11">
        <f t="shared" si="8"/>
        <v>-19683</v>
      </c>
      <c r="N78" s="11">
        <f t="shared" si="8"/>
        <v>729</v>
      </c>
      <c r="O78" s="11">
        <f t="shared" si="8"/>
        <v>-27</v>
      </c>
      <c r="P78" s="11">
        <f t="shared" si="7"/>
        <v>0</v>
      </c>
    </row>
    <row r="79" spans="1:16" x14ac:dyDescent="0.25">
      <c r="A79" s="11">
        <f t="shared" si="6"/>
        <v>24</v>
      </c>
      <c r="B79">
        <v>-2.1776929061541614</v>
      </c>
      <c r="E79" s="11">
        <f>A79-'Mastercurve bestimmen'!$B$2</f>
        <v>-26</v>
      </c>
      <c r="F79" s="11">
        <f t="shared" si="4"/>
        <v>-2.1776929061541614</v>
      </c>
      <c r="G79" s="11"/>
      <c r="H79" s="11">
        <f t="shared" si="8"/>
        <v>208827064576</v>
      </c>
      <c r="I79" s="11">
        <f t="shared" si="8"/>
        <v>-8031810176</v>
      </c>
      <c r="J79" s="11">
        <f t="shared" si="8"/>
        <v>308915776</v>
      </c>
      <c r="K79" s="11">
        <f t="shared" si="8"/>
        <v>-11881376</v>
      </c>
      <c r="L79" s="11">
        <f t="shared" si="8"/>
        <v>456976</v>
      </c>
      <c r="M79" s="11">
        <f t="shared" si="8"/>
        <v>-17576</v>
      </c>
      <c r="N79" s="11">
        <f t="shared" si="8"/>
        <v>676</v>
      </c>
      <c r="O79" s="11">
        <f t="shared" ref="I79:O116" si="9">IF($H$12&gt;=O$14,$E79^O$14,0)</f>
        <v>-26</v>
      </c>
      <c r="P79" s="11">
        <f t="shared" si="7"/>
        <v>0</v>
      </c>
    </row>
    <row r="80" spans="1:16" x14ac:dyDescent="0.25">
      <c r="A80" s="11">
        <f t="shared" si="6"/>
        <v>25</v>
      </c>
      <c r="B80">
        <v>-2.0775796047571524</v>
      </c>
      <c r="E80" s="11">
        <f>A80-'Mastercurve bestimmen'!$B$2</f>
        <v>-25</v>
      </c>
      <c r="F80" s="11">
        <f t="shared" ref="F80:F143" si="10">B80</f>
        <v>-2.0775796047571524</v>
      </c>
      <c r="G80" s="11"/>
      <c r="H80" s="11">
        <f t="shared" ref="H80:H143" si="11">IF($H$12&gt;=H$14,$E80^H$14,0)</f>
        <v>152587890625</v>
      </c>
      <c r="I80" s="11">
        <f t="shared" si="9"/>
        <v>-6103515625</v>
      </c>
      <c r="J80" s="11">
        <f t="shared" si="9"/>
        <v>244140625</v>
      </c>
      <c r="K80" s="11">
        <f t="shared" si="9"/>
        <v>-9765625</v>
      </c>
      <c r="L80" s="11">
        <f t="shared" si="9"/>
        <v>390625</v>
      </c>
      <c r="M80" s="11">
        <f t="shared" si="9"/>
        <v>-15625</v>
      </c>
      <c r="N80" s="11">
        <f t="shared" si="9"/>
        <v>625</v>
      </c>
      <c r="O80" s="11">
        <f t="shared" si="9"/>
        <v>-25</v>
      </c>
      <c r="P80" s="11">
        <f t="shared" si="7"/>
        <v>0</v>
      </c>
    </row>
    <row r="81" spans="1:16" x14ac:dyDescent="0.25">
      <c r="A81" s="11">
        <f t="shared" ref="A81:A144" si="12">A80+1</f>
        <v>26</v>
      </c>
      <c r="B81">
        <v>-1.9794381952943818</v>
      </c>
      <c r="E81" s="11">
        <f>A81-'Mastercurve bestimmen'!$B$2</f>
        <v>-24</v>
      </c>
      <c r="F81" s="11">
        <f t="shared" si="10"/>
        <v>-1.9794381952943818</v>
      </c>
      <c r="G81" s="11"/>
      <c r="H81" s="11">
        <f t="shared" si="11"/>
        <v>110075314176</v>
      </c>
      <c r="I81" s="11">
        <f t="shared" si="9"/>
        <v>-4586471424</v>
      </c>
      <c r="J81" s="11">
        <f t="shared" si="9"/>
        <v>191102976</v>
      </c>
      <c r="K81" s="11">
        <f t="shared" si="9"/>
        <v>-7962624</v>
      </c>
      <c r="L81" s="11">
        <f t="shared" si="9"/>
        <v>331776</v>
      </c>
      <c r="M81" s="11">
        <f t="shared" si="9"/>
        <v>-13824</v>
      </c>
      <c r="N81" s="11">
        <f t="shared" si="9"/>
        <v>576</v>
      </c>
      <c r="O81" s="11">
        <f t="shared" si="9"/>
        <v>-24</v>
      </c>
      <c r="P81" s="11">
        <f t="shared" ref="P81:P144" si="13">P80</f>
        <v>0</v>
      </c>
    </row>
    <row r="82" spans="1:16" x14ac:dyDescent="0.25">
      <c r="A82" s="11">
        <f t="shared" si="12"/>
        <v>27</v>
      </c>
      <c r="B82">
        <v>-1.883233803991206</v>
      </c>
      <c r="E82" s="11">
        <f>A82-'Mastercurve bestimmen'!$B$2</f>
        <v>-23</v>
      </c>
      <c r="F82" s="11">
        <f t="shared" si="10"/>
        <v>-1.883233803991206</v>
      </c>
      <c r="G82" s="11"/>
      <c r="H82" s="11">
        <f t="shared" si="11"/>
        <v>78310985281</v>
      </c>
      <c r="I82" s="11">
        <f t="shared" si="9"/>
        <v>-3404825447</v>
      </c>
      <c r="J82" s="11">
        <f t="shared" si="9"/>
        <v>148035889</v>
      </c>
      <c r="K82" s="11">
        <f t="shared" si="9"/>
        <v>-6436343</v>
      </c>
      <c r="L82" s="11">
        <f t="shared" si="9"/>
        <v>279841</v>
      </c>
      <c r="M82" s="11">
        <f t="shared" si="9"/>
        <v>-12167</v>
      </c>
      <c r="N82" s="11">
        <f t="shared" si="9"/>
        <v>529</v>
      </c>
      <c r="O82" s="11">
        <f t="shared" si="9"/>
        <v>-23</v>
      </c>
      <c r="P82" s="11">
        <f t="shared" si="13"/>
        <v>0</v>
      </c>
    </row>
    <row r="83" spans="1:16" x14ac:dyDescent="0.25">
      <c r="A83" s="11">
        <f t="shared" si="12"/>
        <v>28</v>
      </c>
      <c r="B83">
        <v>-1.7888772352754221</v>
      </c>
      <c r="E83" s="11">
        <f>A83-'Mastercurve bestimmen'!$B$2</f>
        <v>-22</v>
      </c>
      <c r="F83" s="11">
        <f t="shared" si="10"/>
        <v>-1.7888772352754221</v>
      </c>
      <c r="G83" s="11"/>
      <c r="H83" s="11">
        <f t="shared" si="11"/>
        <v>54875873536</v>
      </c>
      <c r="I83" s="11">
        <f t="shared" si="9"/>
        <v>-2494357888</v>
      </c>
      <c r="J83" s="11">
        <f t="shared" si="9"/>
        <v>113379904</v>
      </c>
      <c r="K83" s="11">
        <f t="shared" si="9"/>
        <v>-5153632</v>
      </c>
      <c r="L83" s="11">
        <f t="shared" si="9"/>
        <v>234256</v>
      </c>
      <c r="M83" s="11">
        <f t="shared" si="9"/>
        <v>-10648</v>
      </c>
      <c r="N83" s="11">
        <f t="shared" si="9"/>
        <v>484</v>
      </c>
      <c r="O83" s="11">
        <f t="shared" si="9"/>
        <v>-22</v>
      </c>
      <c r="P83" s="11">
        <f t="shared" si="13"/>
        <v>0</v>
      </c>
    </row>
    <row r="84" spans="1:16" x14ac:dyDescent="0.25">
      <c r="A84" s="11">
        <f t="shared" si="12"/>
        <v>29</v>
      </c>
      <c r="B84">
        <v>-1.6962792935748277</v>
      </c>
      <c r="E84" s="11">
        <f>A84-'Mastercurve bestimmen'!$B$2</f>
        <v>-21</v>
      </c>
      <c r="F84" s="11">
        <f t="shared" si="10"/>
        <v>-1.6962792935748277</v>
      </c>
      <c r="G84" s="11"/>
      <c r="H84" s="11">
        <f t="shared" si="11"/>
        <v>37822859361</v>
      </c>
      <c r="I84" s="11">
        <f t="shared" si="9"/>
        <v>-1801088541</v>
      </c>
      <c r="J84" s="11">
        <f t="shared" si="9"/>
        <v>85766121</v>
      </c>
      <c r="K84" s="11">
        <f t="shared" si="9"/>
        <v>-4084101</v>
      </c>
      <c r="L84" s="11">
        <f t="shared" si="9"/>
        <v>194481</v>
      </c>
      <c r="M84" s="11">
        <f t="shared" si="9"/>
        <v>-9261</v>
      </c>
      <c r="N84" s="11">
        <f t="shared" si="9"/>
        <v>441</v>
      </c>
      <c r="O84" s="11">
        <f t="shared" si="9"/>
        <v>-21</v>
      </c>
      <c r="P84" s="11">
        <f t="shared" si="13"/>
        <v>0</v>
      </c>
    </row>
    <row r="85" spans="1:16" x14ac:dyDescent="0.25">
      <c r="A85" s="11">
        <f t="shared" si="12"/>
        <v>30</v>
      </c>
      <c r="B85">
        <v>-1.6053507833172196</v>
      </c>
      <c r="E85" s="11">
        <f>A85-'Mastercurve bestimmen'!$B$2</f>
        <v>-20</v>
      </c>
      <c r="F85" s="11">
        <f t="shared" si="10"/>
        <v>-1.6053507833172196</v>
      </c>
      <c r="G85" s="11"/>
      <c r="H85" s="11">
        <f t="shared" si="11"/>
        <v>25600000000</v>
      </c>
      <c r="I85" s="11">
        <f t="shared" si="9"/>
        <v>-1280000000</v>
      </c>
      <c r="J85" s="11">
        <f t="shared" si="9"/>
        <v>64000000</v>
      </c>
      <c r="K85" s="11">
        <f t="shared" si="9"/>
        <v>-3200000</v>
      </c>
      <c r="L85" s="11">
        <f t="shared" si="9"/>
        <v>160000</v>
      </c>
      <c r="M85" s="11">
        <f t="shared" si="9"/>
        <v>-8000</v>
      </c>
      <c r="N85" s="11">
        <f t="shared" si="9"/>
        <v>400</v>
      </c>
      <c r="O85" s="11">
        <f t="shared" si="9"/>
        <v>-20</v>
      </c>
      <c r="P85" s="11">
        <f t="shared" si="13"/>
        <v>0</v>
      </c>
    </row>
    <row r="86" spans="1:16" x14ac:dyDescent="0.25">
      <c r="A86" s="11">
        <f t="shared" si="12"/>
        <v>31</v>
      </c>
      <c r="B86">
        <v>-1.5160025089303952</v>
      </c>
      <c r="E86" s="11">
        <f>A86-'Mastercurve bestimmen'!$B$2</f>
        <v>-19</v>
      </c>
      <c r="F86" s="11">
        <f t="shared" si="10"/>
        <v>-1.5160025089303952</v>
      </c>
      <c r="G86" s="11"/>
      <c r="H86" s="11">
        <f t="shared" si="11"/>
        <v>16983563041</v>
      </c>
      <c r="I86" s="11">
        <f t="shared" si="9"/>
        <v>-893871739</v>
      </c>
      <c r="J86" s="11">
        <f t="shared" si="9"/>
        <v>47045881</v>
      </c>
      <c r="K86" s="11">
        <f t="shared" si="9"/>
        <v>-2476099</v>
      </c>
      <c r="L86" s="11">
        <f t="shared" si="9"/>
        <v>130321</v>
      </c>
      <c r="M86" s="11">
        <f t="shared" si="9"/>
        <v>-6859</v>
      </c>
      <c r="N86" s="11">
        <f t="shared" si="9"/>
        <v>361</v>
      </c>
      <c r="O86" s="11">
        <f t="shared" si="9"/>
        <v>-19</v>
      </c>
      <c r="P86" s="11">
        <f t="shared" si="13"/>
        <v>0</v>
      </c>
    </row>
    <row r="87" spans="1:16" x14ac:dyDescent="0.25">
      <c r="A87" s="11">
        <f t="shared" si="12"/>
        <v>32</v>
      </c>
      <c r="B87">
        <v>-1.4281452748421517</v>
      </c>
      <c r="E87" s="11">
        <f>A87-'Mastercurve bestimmen'!$B$2</f>
        <v>-18</v>
      </c>
      <c r="F87" s="11">
        <f t="shared" si="10"/>
        <v>-1.4281452748421517</v>
      </c>
      <c r="G87" s="11"/>
      <c r="H87" s="11">
        <f t="shared" si="11"/>
        <v>11019960576</v>
      </c>
      <c r="I87" s="11">
        <f t="shared" si="9"/>
        <v>-612220032</v>
      </c>
      <c r="J87" s="11">
        <f t="shared" si="9"/>
        <v>34012224</v>
      </c>
      <c r="K87" s="11">
        <f t="shared" si="9"/>
        <v>-1889568</v>
      </c>
      <c r="L87" s="11">
        <f t="shared" si="9"/>
        <v>104976</v>
      </c>
      <c r="M87" s="11">
        <f t="shared" si="9"/>
        <v>-5832</v>
      </c>
      <c r="N87" s="11">
        <f t="shared" si="9"/>
        <v>324</v>
      </c>
      <c r="O87" s="11">
        <f t="shared" si="9"/>
        <v>-18</v>
      </c>
      <c r="P87" s="11">
        <f t="shared" si="13"/>
        <v>0</v>
      </c>
    </row>
    <row r="88" spans="1:16" x14ac:dyDescent="0.25">
      <c r="A88" s="11">
        <f t="shared" si="12"/>
        <v>33</v>
      </c>
      <c r="B88">
        <v>-1.3416898854802868</v>
      </c>
      <c r="E88" s="11">
        <f>A88-'Mastercurve bestimmen'!$B$2</f>
        <v>-17</v>
      </c>
      <c r="F88" s="11">
        <f t="shared" si="10"/>
        <v>-1.3416898854802868</v>
      </c>
      <c r="G88" s="11"/>
      <c r="H88" s="11">
        <f t="shared" si="11"/>
        <v>6975757441</v>
      </c>
      <c r="I88" s="11">
        <f t="shared" si="9"/>
        <v>-410338673</v>
      </c>
      <c r="J88" s="11">
        <f t="shared" si="9"/>
        <v>24137569</v>
      </c>
      <c r="K88" s="11">
        <f t="shared" si="9"/>
        <v>-1419857</v>
      </c>
      <c r="L88" s="11">
        <f t="shared" si="9"/>
        <v>83521</v>
      </c>
      <c r="M88" s="11">
        <f t="shared" si="9"/>
        <v>-4913</v>
      </c>
      <c r="N88" s="11">
        <f t="shared" si="9"/>
        <v>289</v>
      </c>
      <c r="O88" s="11">
        <f t="shared" si="9"/>
        <v>-17</v>
      </c>
      <c r="P88" s="11">
        <f t="shared" si="13"/>
        <v>0</v>
      </c>
    </row>
    <row r="89" spans="1:16" x14ac:dyDescent="0.25">
      <c r="A89" s="11">
        <f t="shared" si="12"/>
        <v>34</v>
      </c>
      <c r="B89">
        <v>-1.2565471452725974</v>
      </c>
      <c r="E89" s="11">
        <f>A89-'Mastercurve bestimmen'!$B$2</f>
        <v>-16</v>
      </c>
      <c r="F89" s="11">
        <f t="shared" si="10"/>
        <v>-1.2565471452725974</v>
      </c>
      <c r="G89" s="11"/>
      <c r="H89" s="11">
        <f t="shared" si="11"/>
        <v>4294967296</v>
      </c>
      <c r="I89" s="11">
        <f t="shared" si="9"/>
        <v>-268435456</v>
      </c>
      <c r="J89" s="11">
        <f t="shared" si="9"/>
        <v>16777216</v>
      </c>
      <c r="K89" s="11">
        <f t="shared" si="9"/>
        <v>-1048576</v>
      </c>
      <c r="L89" s="11">
        <f t="shared" si="9"/>
        <v>65536</v>
      </c>
      <c r="M89" s="11">
        <f t="shared" si="9"/>
        <v>-4096</v>
      </c>
      <c r="N89" s="11">
        <f t="shared" si="9"/>
        <v>256</v>
      </c>
      <c r="O89" s="11">
        <f t="shared" si="9"/>
        <v>-16</v>
      </c>
      <c r="P89" s="11">
        <f t="shared" si="13"/>
        <v>0</v>
      </c>
    </row>
    <row r="90" spans="1:16" x14ac:dyDescent="0.25">
      <c r="A90" s="11">
        <f t="shared" si="12"/>
        <v>35</v>
      </c>
      <c r="B90">
        <v>-1.1726278586468808</v>
      </c>
      <c r="E90" s="11">
        <f>A90-'Mastercurve bestimmen'!$B$2</f>
        <v>-15</v>
      </c>
      <c r="F90" s="11">
        <f t="shared" si="10"/>
        <v>-1.1726278586468808</v>
      </c>
      <c r="G90" s="11"/>
      <c r="H90" s="11">
        <f t="shared" si="11"/>
        <v>2562890625</v>
      </c>
      <c r="I90" s="11">
        <f t="shared" si="9"/>
        <v>-170859375</v>
      </c>
      <c r="J90" s="11">
        <f t="shared" si="9"/>
        <v>11390625</v>
      </c>
      <c r="K90" s="11">
        <f t="shared" si="9"/>
        <v>-759375</v>
      </c>
      <c r="L90" s="11">
        <f t="shared" si="9"/>
        <v>50625</v>
      </c>
      <c r="M90" s="11">
        <f t="shared" si="9"/>
        <v>-3375</v>
      </c>
      <c r="N90" s="11">
        <f t="shared" si="9"/>
        <v>225</v>
      </c>
      <c r="O90" s="11">
        <f t="shared" si="9"/>
        <v>-15</v>
      </c>
      <c r="P90" s="11">
        <f t="shared" si="13"/>
        <v>0</v>
      </c>
    </row>
    <row r="91" spans="1:16" x14ac:dyDescent="0.25">
      <c r="A91" s="11">
        <f t="shared" si="12"/>
        <v>36</v>
      </c>
      <c r="B91">
        <v>-1.0898428300309342</v>
      </c>
      <c r="E91" s="11">
        <f>A91-'Mastercurve bestimmen'!$B$2</f>
        <v>-14</v>
      </c>
      <c r="F91" s="11">
        <f t="shared" si="10"/>
        <v>-1.0898428300309342</v>
      </c>
      <c r="G91" s="11"/>
      <c r="H91" s="11">
        <f t="shared" si="11"/>
        <v>1475789056</v>
      </c>
      <c r="I91" s="11">
        <f t="shared" si="9"/>
        <v>-105413504</v>
      </c>
      <c r="J91" s="11">
        <f t="shared" si="9"/>
        <v>7529536</v>
      </c>
      <c r="K91" s="11">
        <f t="shared" si="9"/>
        <v>-537824</v>
      </c>
      <c r="L91" s="11">
        <f t="shared" si="9"/>
        <v>38416</v>
      </c>
      <c r="M91" s="11">
        <f t="shared" si="9"/>
        <v>-2744</v>
      </c>
      <c r="N91" s="11">
        <f t="shared" si="9"/>
        <v>196</v>
      </c>
      <c r="O91" s="11">
        <f t="shared" si="9"/>
        <v>-14</v>
      </c>
      <c r="P91" s="11">
        <f t="shared" si="13"/>
        <v>0</v>
      </c>
    </row>
    <row r="92" spans="1:16" x14ac:dyDescent="0.25">
      <c r="A92" s="11">
        <f t="shared" si="12"/>
        <v>37</v>
      </c>
      <c r="B92">
        <v>-1.0081028638525549</v>
      </c>
      <c r="E92" s="11">
        <f>A92-'Mastercurve bestimmen'!$B$2</f>
        <v>-13</v>
      </c>
      <c r="F92" s="11">
        <f t="shared" si="10"/>
        <v>-1.0081028638525549</v>
      </c>
      <c r="G92" s="11"/>
      <c r="H92" s="11">
        <f t="shared" si="11"/>
        <v>815730721</v>
      </c>
      <c r="I92" s="11">
        <f t="shared" si="9"/>
        <v>-62748517</v>
      </c>
      <c r="J92" s="11">
        <f t="shared" si="9"/>
        <v>4826809</v>
      </c>
      <c r="K92" s="11">
        <f t="shared" si="9"/>
        <v>-371293</v>
      </c>
      <c r="L92" s="11">
        <f t="shared" si="9"/>
        <v>28561</v>
      </c>
      <c r="M92" s="11">
        <f t="shared" si="9"/>
        <v>-2197</v>
      </c>
      <c r="N92" s="11">
        <f t="shared" si="9"/>
        <v>169</v>
      </c>
      <c r="O92" s="11">
        <f t="shared" si="9"/>
        <v>-13</v>
      </c>
      <c r="P92" s="11">
        <f t="shared" si="13"/>
        <v>0</v>
      </c>
    </row>
    <row r="93" spans="1:16" x14ac:dyDescent="0.25">
      <c r="A93" s="11">
        <f t="shared" si="12"/>
        <v>38</v>
      </c>
      <c r="B93">
        <v>-0.9273187645395401</v>
      </c>
      <c r="E93" s="11">
        <f>A93-'Mastercurve bestimmen'!$B$2</f>
        <v>-12</v>
      </c>
      <c r="F93" s="11">
        <f t="shared" si="10"/>
        <v>-0.9273187645395401</v>
      </c>
      <c r="G93" s="11"/>
      <c r="H93" s="11">
        <f t="shared" si="11"/>
        <v>429981696</v>
      </c>
      <c r="I93" s="11">
        <f t="shared" si="9"/>
        <v>-35831808</v>
      </c>
      <c r="J93" s="11">
        <f t="shared" si="9"/>
        <v>2985984</v>
      </c>
      <c r="K93" s="11">
        <f t="shared" si="9"/>
        <v>-248832</v>
      </c>
      <c r="L93" s="11">
        <f t="shared" si="9"/>
        <v>20736</v>
      </c>
      <c r="M93" s="11">
        <f t="shared" si="9"/>
        <v>-1728</v>
      </c>
      <c r="N93" s="11">
        <f t="shared" si="9"/>
        <v>144</v>
      </c>
      <c r="O93" s="11">
        <f t="shared" si="9"/>
        <v>-12</v>
      </c>
      <c r="P93" s="11">
        <f t="shared" si="13"/>
        <v>0</v>
      </c>
    </row>
    <row r="94" spans="1:16" x14ac:dyDescent="0.25">
      <c r="A94" s="11">
        <f t="shared" si="12"/>
        <v>39</v>
      </c>
      <c r="B94">
        <v>-0.84740133651968719</v>
      </c>
      <c r="E94" s="11">
        <f>A94-'Mastercurve bestimmen'!$B$2</f>
        <v>-11</v>
      </c>
      <c r="F94" s="11">
        <f t="shared" si="10"/>
        <v>-0.84740133651968719</v>
      </c>
      <c r="G94" s="11"/>
      <c r="H94" s="11">
        <f t="shared" si="11"/>
        <v>214358881</v>
      </c>
      <c r="I94" s="11">
        <f t="shared" si="9"/>
        <v>-19487171</v>
      </c>
      <c r="J94" s="11">
        <f t="shared" si="9"/>
        <v>1771561</v>
      </c>
      <c r="K94" s="11">
        <f t="shared" si="9"/>
        <v>-161051</v>
      </c>
      <c r="L94" s="11">
        <f t="shared" si="9"/>
        <v>14641</v>
      </c>
      <c r="M94" s="11">
        <f t="shared" si="9"/>
        <v>-1331</v>
      </c>
      <c r="N94" s="11">
        <f t="shared" si="9"/>
        <v>121</v>
      </c>
      <c r="O94" s="11">
        <f t="shared" si="9"/>
        <v>-11</v>
      </c>
      <c r="P94" s="11">
        <f t="shared" si="13"/>
        <v>0</v>
      </c>
    </row>
    <row r="95" spans="1:16" x14ac:dyDescent="0.25">
      <c r="A95" s="11">
        <f t="shared" si="12"/>
        <v>40</v>
      </c>
      <c r="B95">
        <v>-0.76826138422079338</v>
      </c>
      <c r="E95" s="11">
        <f>A95-'Mastercurve bestimmen'!$B$2</f>
        <v>-10</v>
      </c>
      <c r="F95" s="11">
        <f t="shared" si="10"/>
        <v>-0.76826138422079338</v>
      </c>
      <c r="G95" s="11"/>
      <c r="H95" s="11">
        <f t="shared" si="11"/>
        <v>100000000</v>
      </c>
      <c r="I95" s="11">
        <f t="shared" si="9"/>
        <v>-10000000</v>
      </c>
      <c r="J95" s="11">
        <f t="shared" si="9"/>
        <v>1000000</v>
      </c>
      <c r="K95" s="11">
        <f t="shared" si="9"/>
        <v>-100000</v>
      </c>
      <c r="L95" s="11">
        <f t="shared" si="9"/>
        <v>10000</v>
      </c>
      <c r="M95" s="11">
        <f t="shared" si="9"/>
        <v>-1000</v>
      </c>
      <c r="N95" s="11">
        <f t="shared" si="9"/>
        <v>100</v>
      </c>
      <c r="O95" s="11">
        <f t="shared" si="9"/>
        <v>-10</v>
      </c>
      <c r="P95" s="11">
        <f t="shared" si="13"/>
        <v>0</v>
      </c>
    </row>
    <row r="96" spans="1:16" x14ac:dyDescent="0.25">
      <c r="A96" s="11">
        <f t="shared" si="12"/>
        <v>41</v>
      </c>
      <c r="B96">
        <v>-0.68980971207065567</v>
      </c>
      <c r="E96" s="11">
        <f>A96-'Mastercurve bestimmen'!$B$2</f>
        <v>-9</v>
      </c>
      <c r="F96" s="11">
        <f t="shared" si="10"/>
        <v>-0.68980971207065567</v>
      </c>
      <c r="G96" s="11"/>
      <c r="H96" s="11">
        <f t="shared" si="11"/>
        <v>43046721</v>
      </c>
      <c r="I96" s="11">
        <f t="shared" si="9"/>
        <v>-4782969</v>
      </c>
      <c r="J96" s="11">
        <f t="shared" si="9"/>
        <v>531441</v>
      </c>
      <c r="K96" s="11">
        <f t="shared" si="9"/>
        <v>-59049</v>
      </c>
      <c r="L96" s="11">
        <f t="shared" si="9"/>
        <v>6561</v>
      </c>
      <c r="M96" s="11">
        <f t="shared" si="9"/>
        <v>-729</v>
      </c>
      <c r="N96" s="11">
        <f t="shared" si="9"/>
        <v>81</v>
      </c>
      <c r="O96" s="11">
        <f t="shared" si="9"/>
        <v>-9</v>
      </c>
      <c r="P96" s="11">
        <f t="shared" si="13"/>
        <v>0</v>
      </c>
    </row>
    <row r="97" spans="1:16" x14ac:dyDescent="0.25">
      <c r="A97" s="11">
        <f t="shared" si="12"/>
        <v>42</v>
      </c>
      <c r="B97">
        <v>-0.61195712449707174</v>
      </c>
      <c r="E97" s="11">
        <f>A97-'Mastercurve bestimmen'!$B$2</f>
        <v>-8</v>
      </c>
      <c r="F97" s="11">
        <f t="shared" si="10"/>
        <v>-0.61195712449707174</v>
      </c>
      <c r="G97" s="11"/>
      <c r="H97" s="11">
        <f t="shared" si="11"/>
        <v>16777216</v>
      </c>
      <c r="I97" s="11">
        <f t="shared" si="9"/>
        <v>-2097152</v>
      </c>
      <c r="J97" s="11">
        <f t="shared" si="9"/>
        <v>262144</v>
      </c>
      <c r="K97" s="11">
        <f t="shared" si="9"/>
        <v>-32768</v>
      </c>
      <c r="L97" s="11">
        <f t="shared" si="9"/>
        <v>4096</v>
      </c>
      <c r="M97" s="11">
        <f t="shared" si="9"/>
        <v>-512</v>
      </c>
      <c r="N97" s="11">
        <f t="shared" si="9"/>
        <v>64</v>
      </c>
      <c r="O97" s="11">
        <f t="shared" si="9"/>
        <v>-8</v>
      </c>
      <c r="P97" s="11">
        <f t="shared" si="13"/>
        <v>0</v>
      </c>
    </row>
    <row r="98" spans="1:16" x14ac:dyDescent="0.25">
      <c r="A98" s="11">
        <f t="shared" si="12"/>
        <v>43</v>
      </c>
      <c r="B98">
        <v>-0.5346144259278387</v>
      </c>
      <c r="E98" s="11">
        <f>A98-'Mastercurve bestimmen'!$B$2</f>
        <v>-7</v>
      </c>
      <c r="F98" s="11">
        <f t="shared" si="10"/>
        <v>-0.5346144259278387</v>
      </c>
      <c r="G98" s="11"/>
      <c r="H98" s="11">
        <f t="shared" si="11"/>
        <v>5764801</v>
      </c>
      <c r="I98" s="11">
        <f t="shared" si="9"/>
        <v>-823543</v>
      </c>
      <c r="J98" s="11">
        <f t="shared" si="9"/>
        <v>117649</v>
      </c>
      <c r="K98" s="11">
        <f t="shared" si="9"/>
        <v>-16807</v>
      </c>
      <c r="L98" s="11">
        <f t="shared" si="9"/>
        <v>2401</v>
      </c>
      <c r="M98" s="11">
        <f t="shared" si="9"/>
        <v>-343</v>
      </c>
      <c r="N98" s="11">
        <f t="shared" si="9"/>
        <v>49</v>
      </c>
      <c r="O98" s="11">
        <f t="shared" si="9"/>
        <v>-7</v>
      </c>
      <c r="P98" s="11">
        <f t="shared" si="13"/>
        <v>0</v>
      </c>
    </row>
    <row r="99" spans="1:16" x14ac:dyDescent="0.25">
      <c r="A99" s="11">
        <f t="shared" si="12"/>
        <v>44</v>
      </c>
      <c r="B99">
        <v>-0.45769242079075367</v>
      </c>
      <c r="E99" s="11">
        <f>A99-'Mastercurve bestimmen'!$B$2</f>
        <v>-6</v>
      </c>
      <c r="F99" s="11">
        <f t="shared" si="10"/>
        <v>-0.45769242079075367</v>
      </c>
      <c r="G99" s="11"/>
      <c r="H99" s="11">
        <f t="shared" si="11"/>
        <v>1679616</v>
      </c>
      <c r="I99" s="11">
        <f t="shared" si="9"/>
        <v>-279936</v>
      </c>
      <c r="J99" s="11">
        <f t="shared" si="9"/>
        <v>46656</v>
      </c>
      <c r="K99" s="11">
        <f t="shared" si="9"/>
        <v>-7776</v>
      </c>
      <c r="L99" s="11">
        <f t="shared" si="9"/>
        <v>1296</v>
      </c>
      <c r="M99" s="11">
        <f t="shared" si="9"/>
        <v>-216</v>
      </c>
      <c r="N99" s="11">
        <f t="shared" si="9"/>
        <v>36</v>
      </c>
      <c r="O99" s="11">
        <f t="shared" si="9"/>
        <v>-6</v>
      </c>
      <c r="P99" s="11">
        <f t="shared" si="13"/>
        <v>0</v>
      </c>
    </row>
    <row r="100" spans="1:16" x14ac:dyDescent="0.25">
      <c r="A100" s="11">
        <f t="shared" si="12"/>
        <v>45</v>
      </c>
      <c r="B100">
        <v>-0.38110191351361405</v>
      </c>
      <c r="E100" s="11">
        <f>A100-'Mastercurve bestimmen'!$B$2</f>
        <v>-5</v>
      </c>
      <c r="F100" s="11">
        <f t="shared" si="10"/>
        <v>-0.38110191351361405</v>
      </c>
      <c r="G100" s="11"/>
      <c r="H100" s="11">
        <f t="shared" si="11"/>
        <v>390625</v>
      </c>
      <c r="I100" s="11">
        <f t="shared" si="9"/>
        <v>-78125</v>
      </c>
      <c r="J100" s="11">
        <f t="shared" si="9"/>
        <v>15625</v>
      </c>
      <c r="K100" s="11">
        <f t="shared" si="9"/>
        <v>-3125</v>
      </c>
      <c r="L100" s="11">
        <f t="shared" si="9"/>
        <v>625</v>
      </c>
      <c r="M100" s="11">
        <f t="shared" si="9"/>
        <v>-125</v>
      </c>
      <c r="N100" s="11">
        <f t="shared" si="9"/>
        <v>25</v>
      </c>
      <c r="O100" s="11">
        <f t="shared" si="9"/>
        <v>-5</v>
      </c>
      <c r="P100" s="11">
        <f t="shared" si="13"/>
        <v>0</v>
      </c>
    </row>
    <row r="101" spans="1:16" x14ac:dyDescent="0.25">
      <c r="A101" s="11">
        <f t="shared" si="12"/>
        <v>46</v>
      </c>
      <c r="B101">
        <v>-0.30475370852421696</v>
      </c>
      <c r="E101" s="11">
        <f>A101-'Mastercurve bestimmen'!$B$2</f>
        <v>-4</v>
      </c>
      <c r="F101" s="11">
        <f t="shared" si="10"/>
        <v>-0.30475370852421696</v>
      </c>
      <c r="G101" s="11"/>
      <c r="H101" s="11">
        <f t="shared" si="11"/>
        <v>65536</v>
      </c>
      <c r="I101" s="11">
        <f t="shared" si="9"/>
        <v>-16384</v>
      </c>
      <c r="J101" s="11">
        <f t="shared" si="9"/>
        <v>4096</v>
      </c>
      <c r="K101" s="11">
        <f t="shared" si="9"/>
        <v>-1024</v>
      </c>
      <c r="L101" s="11">
        <f t="shared" si="9"/>
        <v>256</v>
      </c>
      <c r="M101" s="11">
        <f t="shared" si="9"/>
        <v>-64</v>
      </c>
      <c r="N101" s="11">
        <f t="shared" si="9"/>
        <v>16</v>
      </c>
      <c r="O101" s="11">
        <f t="shared" si="9"/>
        <v>-4</v>
      </c>
      <c r="P101" s="11">
        <f t="shared" si="13"/>
        <v>0</v>
      </c>
    </row>
    <row r="102" spans="1:16" x14ac:dyDescent="0.25">
      <c r="A102" s="11">
        <f t="shared" si="12"/>
        <v>47</v>
      </c>
      <c r="B102">
        <v>-0.22855861025035978</v>
      </c>
      <c r="E102" s="11">
        <f>A102-'Mastercurve bestimmen'!$B$2</f>
        <v>-3</v>
      </c>
      <c r="F102" s="11">
        <f t="shared" si="10"/>
        <v>-0.22855861025035978</v>
      </c>
      <c r="G102" s="11"/>
      <c r="H102" s="11">
        <f t="shared" si="11"/>
        <v>6561</v>
      </c>
      <c r="I102" s="11">
        <f t="shared" si="9"/>
        <v>-2187</v>
      </c>
      <c r="J102" s="11">
        <f t="shared" si="9"/>
        <v>729</v>
      </c>
      <c r="K102" s="11">
        <f t="shared" si="9"/>
        <v>-243</v>
      </c>
      <c r="L102" s="11">
        <f t="shared" si="9"/>
        <v>81</v>
      </c>
      <c r="M102" s="11">
        <f t="shared" si="9"/>
        <v>-27</v>
      </c>
      <c r="N102" s="11">
        <f t="shared" si="9"/>
        <v>9</v>
      </c>
      <c r="O102" s="11">
        <f t="shared" si="9"/>
        <v>-3</v>
      </c>
      <c r="P102" s="11">
        <f t="shared" si="13"/>
        <v>0</v>
      </c>
    </row>
    <row r="103" spans="1:16" x14ac:dyDescent="0.25">
      <c r="A103" s="11">
        <f t="shared" si="12"/>
        <v>48</v>
      </c>
      <c r="B103">
        <v>-0.15242742311983976</v>
      </c>
      <c r="E103" s="11">
        <f>A103-'Mastercurve bestimmen'!$B$2</f>
        <v>-2</v>
      </c>
      <c r="F103" s="11">
        <f t="shared" si="10"/>
        <v>-0.15242742311983976</v>
      </c>
      <c r="G103" s="11"/>
      <c r="H103" s="11">
        <f t="shared" si="11"/>
        <v>256</v>
      </c>
      <c r="I103" s="11">
        <f t="shared" si="9"/>
        <v>-128</v>
      </c>
      <c r="J103" s="11">
        <f t="shared" si="9"/>
        <v>64</v>
      </c>
      <c r="K103" s="11">
        <f t="shared" si="9"/>
        <v>-32</v>
      </c>
      <c r="L103" s="11">
        <f t="shared" si="9"/>
        <v>16</v>
      </c>
      <c r="M103" s="11">
        <f t="shared" si="9"/>
        <v>-8</v>
      </c>
      <c r="N103" s="11">
        <f t="shared" si="9"/>
        <v>4</v>
      </c>
      <c r="O103" s="11">
        <f t="shared" si="9"/>
        <v>-2</v>
      </c>
      <c r="P103" s="11">
        <f t="shared" si="13"/>
        <v>0</v>
      </c>
    </row>
    <row r="104" spans="1:16" x14ac:dyDescent="0.25">
      <c r="A104" s="11">
        <f t="shared" si="12"/>
        <v>49</v>
      </c>
      <c r="B104">
        <v>-7.6270951560454048E-2</v>
      </c>
      <c r="E104" s="11">
        <f>A104-'Mastercurve bestimmen'!$B$2</f>
        <v>-1</v>
      </c>
      <c r="F104" s="11">
        <f t="shared" si="10"/>
        <v>-7.6270951560454048E-2</v>
      </c>
      <c r="G104" s="11"/>
      <c r="H104" s="11">
        <f t="shared" si="11"/>
        <v>1</v>
      </c>
      <c r="I104" s="11">
        <f t="shared" si="9"/>
        <v>-1</v>
      </c>
      <c r="J104" s="11">
        <f t="shared" si="9"/>
        <v>1</v>
      </c>
      <c r="K104" s="11">
        <f t="shared" si="9"/>
        <v>-1</v>
      </c>
      <c r="L104" s="11">
        <f t="shared" si="9"/>
        <v>1</v>
      </c>
      <c r="M104" s="11">
        <f t="shared" si="9"/>
        <v>-1</v>
      </c>
      <c r="N104" s="11">
        <f t="shared" si="9"/>
        <v>1</v>
      </c>
      <c r="O104" s="11">
        <f t="shared" si="9"/>
        <v>-1</v>
      </c>
      <c r="P104" s="11">
        <f t="shared" si="13"/>
        <v>0</v>
      </c>
    </row>
    <row r="105" spans="1:16" x14ac:dyDescent="0.25">
      <c r="A105" s="11">
        <f t="shared" si="12"/>
        <v>50</v>
      </c>
      <c r="B105">
        <v>0</v>
      </c>
      <c r="E105" s="11">
        <f>A105-'Mastercurve bestimmen'!$B$2</f>
        <v>0</v>
      </c>
      <c r="F105" s="11">
        <f t="shared" si="10"/>
        <v>0</v>
      </c>
      <c r="G105" s="11"/>
      <c r="H105" s="11">
        <f t="shared" si="11"/>
        <v>0</v>
      </c>
      <c r="I105" s="11">
        <f t="shared" si="9"/>
        <v>0</v>
      </c>
      <c r="J105" s="11">
        <f t="shared" si="9"/>
        <v>0</v>
      </c>
      <c r="K105" s="11">
        <f t="shared" si="9"/>
        <v>0</v>
      </c>
      <c r="L105" s="11">
        <f t="shared" si="9"/>
        <v>0</v>
      </c>
      <c r="M105" s="11">
        <f t="shared" si="9"/>
        <v>0</v>
      </c>
      <c r="N105" s="11">
        <f t="shared" si="9"/>
        <v>0</v>
      </c>
      <c r="O105" s="11">
        <f t="shared" si="9"/>
        <v>0</v>
      </c>
      <c r="P105" s="11">
        <f t="shared" si="13"/>
        <v>0</v>
      </c>
    </row>
    <row r="106" spans="1:16" x14ac:dyDescent="0.25">
      <c r="A106" s="11">
        <f t="shared" si="12"/>
        <v>51</v>
      </c>
      <c r="B106">
        <v>7.6462136706201278E-2</v>
      </c>
      <c r="E106" s="11">
        <f>A106-'Mastercurve bestimmen'!$B$2</f>
        <v>1</v>
      </c>
      <c r="F106" s="11">
        <f t="shared" si="10"/>
        <v>7.6462136706201278E-2</v>
      </c>
      <c r="G106" s="11"/>
      <c r="H106" s="11">
        <f t="shared" si="11"/>
        <v>1</v>
      </c>
      <c r="I106" s="11">
        <f t="shared" si="9"/>
        <v>1</v>
      </c>
      <c r="J106" s="11">
        <f t="shared" si="9"/>
        <v>1</v>
      </c>
      <c r="K106" s="11">
        <f t="shared" si="9"/>
        <v>1</v>
      </c>
      <c r="L106" s="11">
        <f t="shared" si="9"/>
        <v>1</v>
      </c>
      <c r="M106" s="11">
        <f t="shared" si="9"/>
        <v>1</v>
      </c>
      <c r="N106" s="11">
        <f t="shared" si="9"/>
        <v>1</v>
      </c>
      <c r="O106" s="11">
        <f t="shared" si="9"/>
        <v>1</v>
      </c>
      <c r="P106" s="11">
        <f t="shared" si="13"/>
        <v>0</v>
      </c>
    </row>
    <row r="107" spans="1:16" x14ac:dyDescent="0.25">
      <c r="A107" s="11">
        <f t="shared" si="12"/>
        <v>52</v>
      </c>
      <c r="B107">
        <v>0.15314220199273307</v>
      </c>
      <c r="E107" s="11">
        <f>A107-'Mastercurve bestimmen'!$B$2</f>
        <v>2</v>
      </c>
      <c r="F107" s="11">
        <f t="shared" si="10"/>
        <v>0.15314220199273307</v>
      </c>
      <c r="G107" s="11"/>
      <c r="H107" s="11">
        <f t="shared" si="11"/>
        <v>256</v>
      </c>
      <c r="I107" s="11">
        <f t="shared" si="9"/>
        <v>128</v>
      </c>
      <c r="J107" s="11">
        <f t="shared" si="9"/>
        <v>64</v>
      </c>
      <c r="K107" s="11">
        <f t="shared" si="9"/>
        <v>32</v>
      </c>
      <c r="L107" s="11">
        <f t="shared" si="9"/>
        <v>16</v>
      </c>
      <c r="M107" s="11">
        <f t="shared" si="9"/>
        <v>8</v>
      </c>
      <c r="N107" s="11">
        <f t="shared" si="9"/>
        <v>4</v>
      </c>
      <c r="O107" s="11">
        <f t="shared" si="9"/>
        <v>2</v>
      </c>
      <c r="P107" s="11">
        <f t="shared" si="13"/>
        <v>0</v>
      </c>
    </row>
    <row r="108" spans="1:16" x14ac:dyDescent="0.25">
      <c r="A108" s="11">
        <f t="shared" si="12"/>
        <v>53</v>
      </c>
      <c r="B108">
        <v>0.2300544488666548</v>
      </c>
      <c r="E108" s="11">
        <f>A108-'Mastercurve bestimmen'!$B$2</f>
        <v>3</v>
      </c>
      <c r="F108" s="11">
        <f t="shared" si="10"/>
        <v>0.2300544488666548</v>
      </c>
      <c r="G108" s="11"/>
      <c r="H108" s="11">
        <f t="shared" si="11"/>
        <v>6561</v>
      </c>
      <c r="I108" s="11">
        <f t="shared" si="9"/>
        <v>2187</v>
      </c>
      <c r="J108" s="11">
        <f t="shared" si="9"/>
        <v>729</v>
      </c>
      <c r="K108" s="11">
        <f t="shared" si="9"/>
        <v>243</v>
      </c>
      <c r="L108" s="11">
        <f t="shared" si="9"/>
        <v>81</v>
      </c>
      <c r="M108" s="11">
        <f t="shared" si="9"/>
        <v>27</v>
      </c>
      <c r="N108" s="11">
        <f t="shared" si="9"/>
        <v>9</v>
      </c>
      <c r="O108" s="11">
        <f t="shared" si="9"/>
        <v>3</v>
      </c>
      <c r="P108" s="11">
        <f t="shared" si="13"/>
        <v>0</v>
      </c>
    </row>
    <row r="109" spans="1:16" x14ac:dyDescent="0.25">
      <c r="A109" s="11">
        <f t="shared" si="12"/>
        <v>54</v>
      </c>
      <c r="B109">
        <v>0.30721313033502584</v>
      </c>
      <c r="E109" s="11">
        <f>A109-'Mastercurve bestimmen'!$B$2</f>
        <v>4</v>
      </c>
      <c r="F109" s="11">
        <f t="shared" si="10"/>
        <v>0.30721313033502584</v>
      </c>
      <c r="G109" s="11"/>
      <c r="H109" s="11">
        <f t="shared" si="11"/>
        <v>65536</v>
      </c>
      <c r="I109" s="11">
        <f t="shared" si="9"/>
        <v>16384</v>
      </c>
      <c r="J109" s="11">
        <f t="shared" si="9"/>
        <v>4096</v>
      </c>
      <c r="K109" s="11">
        <f t="shared" si="9"/>
        <v>1024</v>
      </c>
      <c r="L109" s="11">
        <f t="shared" si="9"/>
        <v>256</v>
      </c>
      <c r="M109" s="11">
        <f t="shared" si="9"/>
        <v>64</v>
      </c>
      <c r="N109" s="11">
        <f t="shared" si="9"/>
        <v>16</v>
      </c>
      <c r="O109" s="11">
        <f t="shared" si="9"/>
        <v>4</v>
      </c>
      <c r="P109" s="11">
        <f t="shared" si="13"/>
        <v>0</v>
      </c>
    </row>
    <row r="110" spans="1:16" x14ac:dyDescent="0.25">
      <c r="A110" s="11">
        <f t="shared" si="12"/>
        <v>55</v>
      </c>
      <c r="B110">
        <v>0.38463249940490568</v>
      </c>
      <c r="E110" s="11">
        <f>A110-'Mastercurve bestimmen'!$B$2</f>
        <v>5</v>
      </c>
      <c r="F110" s="11">
        <f t="shared" si="10"/>
        <v>0.38463249940490568</v>
      </c>
      <c r="G110" s="11"/>
      <c r="H110" s="11">
        <f t="shared" si="11"/>
        <v>390625</v>
      </c>
      <c r="I110" s="11">
        <f t="shared" si="9"/>
        <v>78125</v>
      </c>
      <c r="J110" s="11">
        <f t="shared" si="9"/>
        <v>15625</v>
      </c>
      <c r="K110" s="11">
        <f t="shared" si="9"/>
        <v>3125</v>
      </c>
      <c r="L110" s="11">
        <f t="shared" si="9"/>
        <v>625</v>
      </c>
      <c r="M110" s="11">
        <f t="shared" si="9"/>
        <v>125</v>
      </c>
      <c r="N110" s="11">
        <f t="shared" si="9"/>
        <v>25</v>
      </c>
      <c r="O110" s="11">
        <f t="shared" si="9"/>
        <v>5</v>
      </c>
      <c r="P110" s="11">
        <f t="shared" si="13"/>
        <v>0</v>
      </c>
    </row>
    <row r="111" spans="1:16" x14ac:dyDescent="0.25">
      <c r="A111" s="11">
        <f t="shared" si="12"/>
        <v>56</v>
      </c>
      <c r="B111">
        <v>0.46232680908335366</v>
      </c>
      <c r="E111" s="11">
        <f>A111-'Mastercurve bestimmen'!$B$2</f>
        <v>6</v>
      </c>
      <c r="F111" s="11">
        <f t="shared" si="10"/>
        <v>0.46232680908335366</v>
      </c>
      <c r="G111" s="11"/>
      <c r="H111" s="11">
        <f t="shared" si="11"/>
        <v>1679616</v>
      </c>
      <c r="I111" s="11">
        <f t="shared" si="9"/>
        <v>279936</v>
      </c>
      <c r="J111" s="11">
        <f t="shared" si="9"/>
        <v>46656</v>
      </c>
      <c r="K111" s="11">
        <f t="shared" si="9"/>
        <v>7776</v>
      </c>
      <c r="L111" s="11">
        <f t="shared" si="9"/>
        <v>1296</v>
      </c>
      <c r="M111" s="11">
        <f t="shared" si="9"/>
        <v>216</v>
      </c>
      <c r="N111" s="11">
        <f t="shared" si="9"/>
        <v>36</v>
      </c>
      <c r="O111" s="11">
        <f t="shared" si="9"/>
        <v>6</v>
      </c>
      <c r="P111" s="11">
        <f t="shared" si="13"/>
        <v>0</v>
      </c>
    </row>
    <row r="112" spans="1:16" x14ac:dyDescent="0.25">
      <c r="A112" s="11">
        <f t="shared" si="12"/>
        <v>57</v>
      </c>
      <c r="B112">
        <v>0.5403103123774291</v>
      </c>
      <c r="E112" s="11">
        <f>A112-'Mastercurve bestimmen'!$B$2</f>
        <v>7</v>
      </c>
      <c r="F112" s="11">
        <f t="shared" si="10"/>
        <v>0.5403103123774291</v>
      </c>
      <c r="G112" s="11"/>
      <c r="H112" s="11">
        <f t="shared" si="11"/>
        <v>5764801</v>
      </c>
      <c r="I112" s="11">
        <f t="shared" si="9"/>
        <v>823543</v>
      </c>
      <c r="J112" s="11">
        <f t="shared" si="9"/>
        <v>117649</v>
      </c>
      <c r="K112" s="11">
        <f t="shared" si="9"/>
        <v>16807</v>
      </c>
      <c r="L112" s="11">
        <f t="shared" si="9"/>
        <v>2401</v>
      </c>
      <c r="M112" s="11">
        <f t="shared" si="9"/>
        <v>343</v>
      </c>
      <c r="N112" s="11">
        <f t="shared" si="9"/>
        <v>49</v>
      </c>
      <c r="O112" s="11">
        <f t="shared" si="9"/>
        <v>7</v>
      </c>
      <c r="P112" s="11">
        <f t="shared" si="13"/>
        <v>0</v>
      </c>
    </row>
    <row r="113" spans="1:16" x14ac:dyDescent="0.25">
      <c r="A113" s="11">
        <f t="shared" si="12"/>
        <v>58</v>
      </c>
      <c r="B113">
        <v>0.61859726229419176</v>
      </c>
      <c r="E113" s="11">
        <f>A113-'Mastercurve bestimmen'!$B$2</f>
        <v>8</v>
      </c>
      <c r="F113" s="11">
        <f t="shared" si="10"/>
        <v>0.61859726229419176</v>
      </c>
      <c r="G113" s="11"/>
      <c r="H113" s="11">
        <f t="shared" si="11"/>
        <v>16777216</v>
      </c>
      <c r="I113" s="11">
        <f t="shared" si="9"/>
        <v>2097152</v>
      </c>
      <c r="J113" s="11">
        <f t="shared" si="9"/>
        <v>262144</v>
      </c>
      <c r="K113" s="11">
        <f t="shared" si="9"/>
        <v>32768</v>
      </c>
      <c r="L113" s="11">
        <f t="shared" si="9"/>
        <v>4096</v>
      </c>
      <c r="M113" s="11">
        <f t="shared" si="9"/>
        <v>512</v>
      </c>
      <c r="N113" s="11">
        <f t="shared" si="9"/>
        <v>64</v>
      </c>
      <c r="O113" s="11">
        <f t="shared" si="9"/>
        <v>8</v>
      </c>
      <c r="P113" s="11">
        <f t="shared" si="13"/>
        <v>0</v>
      </c>
    </row>
    <row r="114" spans="1:16" x14ac:dyDescent="0.25">
      <c r="A114" s="11">
        <f t="shared" si="12"/>
        <v>59</v>
      </c>
      <c r="B114">
        <v>0.69720191184070068</v>
      </c>
      <c r="E114" s="11">
        <f>A114-'Mastercurve bestimmen'!$B$2</f>
        <v>9</v>
      </c>
      <c r="F114" s="11">
        <f t="shared" si="10"/>
        <v>0.69720191184070068</v>
      </c>
      <c r="G114" s="11"/>
      <c r="H114" s="11">
        <f t="shared" si="11"/>
        <v>43046721</v>
      </c>
      <c r="I114" s="11">
        <f t="shared" si="9"/>
        <v>4782969</v>
      </c>
      <c r="J114" s="11">
        <f t="shared" si="9"/>
        <v>531441</v>
      </c>
      <c r="K114" s="11">
        <f t="shared" si="9"/>
        <v>59049</v>
      </c>
      <c r="L114" s="11">
        <f t="shared" si="9"/>
        <v>6561</v>
      </c>
      <c r="M114" s="11">
        <f t="shared" si="9"/>
        <v>729</v>
      </c>
      <c r="N114" s="11">
        <f t="shared" si="9"/>
        <v>81</v>
      </c>
      <c r="O114" s="11">
        <f t="shared" si="9"/>
        <v>9</v>
      </c>
      <c r="P114" s="11">
        <f t="shared" si="13"/>
        <v>0</v>
      </c>
    </row>
    <row r="115" spans="1:16" x14ac:dyDescent="0.25">
      <c r="A115" s="11">
        <f t="shared" si="12"/>
        <v>60</v>
      </c>
      <c r="B115">
        <v>0.77613851402401535</v>
      </c>
      <c r="E115" s="11">
        <f>A115-'Mastercurve bestimmen'!$B$2</f>
        <v>10</v>
      </c>
      <c r="F115" s="11">
        <f t="shared" si="10"/>
        <v>0.77613851402401535</v>
      </c>
      <c r="G115" s="11"/>
      <c r="H115" s="11">
        <f t="shared" si="11"/>
        <v>100000000</v>
      </c>
      <c r="I115" s="11">
        <f t="shared" si="9"/>
        <v>10000000</v>
      </c>
      <c r="J115" s="11">
        <f t="shared" si="9"/>
        <v>1000000</v>
      </c>
      <c r="K115" s="11">
        <f t="shared" si="9"/>
        <v>100000</v>
      </c>
      <c r="L115" s="11">
        <f t="shared" si="9"/>
        <v>10000</v>
      </c>
      <c r="M115" s="11">
        <f t="shared" si="9"/>
        <v>1000</v>
      </c>
      <c r="N115" s="11">
        <f t="shared" si="9"/>
        <v>100</v>
      </c>
      <c r="O115" s="11">
        <f t="shared" si="9"/>
        <v>10</v>
      </c>
      <c r="P115" s="11">
        <f t="shared" si="13"/>
        <v>0</v>
      </c>
    </row>
    <row r="116" spans="1:16" x14ac:dyDescent="0.25">
      <c r="A116" s="11">
        <f t="shared" si="12"/>
        <v>61</v>
      </c>
      <c r="B116">
        <v>0.85542132185119524</v>
      </c>
      <c r="E116" s="11">
        <f>A116-'Mastercurve bestimmen'!$B$2</f>
        <v>11</v>
      </c>
      <c r="F116" s="11">
        <f t="shared" si="10"/>
        <v>0.85542132185119524</v>
      </c>
      <c r="G116" s="11"/>
      <c r="H116" s="11">
        <f t="shared" si="11"/>
        <v>214358881</v>
      </c>
      <c r="I116" s="11">
        <f t="shared" si="9"/>
        <v>19487171</v>
      </c>
      <c r="J116" s="11">
        <f t="shared" si="9"/>
        <v>1771561</v>
      </c>
      <c r="K116" s="11">
        <f t="shared" ref="I116:O152" si="14">IF($H$12&gt;=K$14,$E116^K$14,0)</f>
        <v>161051</v>
      </c>
      <c r="L116" s="11">
        <f t="shared" si="14"/>
        <v>14641</v>
      </c>
      <c r="M116" s="11">
        <f t="shared" si="14"/>
        <v>1331</v>
      </c>
      <c r="N116" s="11">
        <f t="shared" si="14"/>
        <v>121</v>
      </c>
      <c r="O116" s="11">
        <f t="shared" si="14"/>
        <v>11</v>
      </c>
      <c r="P116" s="11">
        <f t="shared" si="13"/>
        <v>0</v>
      </c>
    </row>
    <row r="117" spans="1:16" x14ac:dyDescent="0.25">
      <c r="A117" s="11">
        <f t="shared" si="12"/>
        <v>62</v>
      </c>
      <c r="B117">
        <v>0.93506458832929984</v>
      </c>
      <c r="E117" s="11">
        <f>A117-'Mastercurve bestimmen'!$B$2</f>
        <v>12</v>
      </c>
      <c r="F117" s="11">
        <f t="shared" si="10"/>
        <v>0.93506458832929984</v>
      </c>
      <c r="G117" s="11"/>
      <c r="H117" s="11">
        <f t="shared" si="11"/>
        <v>429981696</v>
      </c>
      <c r="I117" s="11">
        <f t="shared" si="14"/>
        <v>35831808</v>
      </c>
      <c r="J117" s="11">
        <f t="shared" si="14"/>
        <v>2985984</v>
      </c>
      <c r="K117" s="11">
        <f t="shared" si="14"/>
        <v>248832</v>
      </c>
      <c r="L117" s="11">
        <f t="shared" si="14"/>
        <v>20736</v>
      </c>
      <c r="M117" s="11">
        <f t="shared" si="14"/>
        <v>1728</v>
      </c>
      <c r="N117" s="11">
        <f t="shared" si="14"/>
        <v>144</v>
      </c>
      <c r="O117" s="11">
        <f t="shared" si="14"/>
        <v>12</v>
      </c>
      <c r="P117" s="11">
        <f t="shared" si="13"/>
        <v>0</v>
      </c>
    </row>
    <row r="118" spans="1:16" x14ac:dyDescent="0.25">
      <c r="A118" s="11">
        <f t="shared" si="12"/>
        <v>63</v>
      </c>
      <c r="B118">
        <v>1.0150825664653884</v>
      </c>
      <c r="E118" s="11">
        <f>A118-'Mastercurve bestimmen'!$B$2</f>
        <v>13</v>
      </c>
      <c r="F118" s="11">
        <f t="shared" si="10"/>
        <v>1.0150825664653884</v>
      </c>
      <c r="G118" s="11"/>
      <c r="H118" s="11">
        <f t="shared" si="11"/>
        <v>815730721</v>
      </c>
      <c r="I118" s="11">
        <f t="shared" si="14"/>
        <v>62748517</v>
      </c>
      <c r="J118" s="11">
        <f t="shared" si="14"/>
        <v>4826809</v>
      </c>
      <c r="K118" s="11">
        <f t="shared" si="14"/>
        <v>371293</v>
      </c>
      <c r="L118" s="11">
        <f t="shared" si="14"/>
        <v>28561</v>
      </c>
      <c r="M118" s="11">
        <f t="shared" si="14"/>
        <v>2197</v>
      </c>
      <c r="N118" s="11">
        <f t="shared" si="14"/>
        <v>169</v>
      </c>
      <c r="O118" s="11">
        <f t="shared" si="14"/>
        <v>13</v>
      </c>
      <c r="P118" s="11">
        <f t="shared" si="13"/>
        <v>0</v>
      </c>
    </row>
    <row r="119" spans="1:16" x14ac:dyDescent="0.25">
      <c r="A119" s="11">
        <f t="shared" si="12"/>
        <v>64</v>
      </c>
      <c r="B119">
        <v>1.0954895092665202</v>
      </c>
      <c r="E119" s="11">
        <f>A119-'Mastercurve bestimmen'!$B$2</f>
        <v>14</v>
      </c>
      <c r="F119" s="11">
        <f t="shared" si="10"/>
        <v>1.0954895092665202</v>
      </c>
      <c r="G119" s="11"/>
      <c r="H119" s="11">
        <f t="shared" si="11"/>
        <v>1475789056</v>
      </c>
      <c r="I119" s="11">
        <f t="shared" si="14"/>
        <v>105413504</v>
      </c>
      <c r="J119" s="11">
        <f t="shared" si="14"/>
        <v>7529536</v>
      </c>
      <c r="K119" s="11">
        <f t="shared" si="14"/>
        <v>537824</v>
      </c>
      <c r="L119" s="11">
        <f t="shared" si="14"/>
        <v>38416</v>
      </c>
      <c r="M119" s="11">
        <f t="shared" si="14"/>
        <v>2744</v>
      </c>
      <c r="N119" s="11">
        <f t="shared" si="14"/>
        <v>196</v>
      </c>
      <c r="O119" s="11">
        <f t="shared" si="14"/>
        <v>14</v>
      </c>
      <c r="P119" s="11">
        <f t="shared" si="13"/>
        <v>0</v>
      </c>
    </row>
    <row r="120" spans="1:16" x14ac:dyDescent="0.25">
      <c r="A120" s="11">
        <f t="shared" si="12"/>
        <v>65</v>
      </c>
      <c r="B120">
        <v>1.1762996697397552</v>
      </c>
      <c r="E120" s="11">
        <f>A120-'Mastercurve bestimmen'!$B$2</f>
        <v>15</v>
      </c>
      <c r="F120" s="11">
        <f t="shared" si="10"/>
        <v>1.1762996697397552</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1.2575273008921524</v>
      </c>
      <c r="E121" s="11">
        <f>A121-'Mastercurve bestimmen'!$B$2</f>
        <v>16</v>
      </c>
      <c r="F121" s="11">
        <f t="shared" si="10"/>
        <v>1.2575273008921524</v>
      </c>
      <c r="G121" s="11"/>
      <c r="H121" s="11">
        <f t="shared" si="11"/>
        <v>4294967296</v>
      </c>
      <c r="I121" s="11">
        <f t="shared" si="14"/>
        <v>268435456</v>
      </c>
      <c r="J121" s="11">
        <f t="shared" si="14"/>
        <v>16777216</v>
      </c>
      <c r="K121" s="11">
        <f t="shared" si="14"/>
        <v>1048576</v>
      </c>
      <c r="L121" s="11">
        <f t="shared" si="14"/>
        <v>65536</v>
      </c>
      <c r="M121" s="11">
        <f t="shared" si="14"/>
        <v>4096</v>
      </c>
      <c r="N121" s="11">
        <f t="shared" si="14"/>
        <v>256</v>
      </c>
      <c r="O121" s="11">
        <f t="shared" si="14"/>
        <v>16</v>
      </c>
      <c r="P121" s="11">
        <f t="shared" si="13"/>
        <v>0</v>
      </c>
    </row>
    <row r="122" spans="1:16" x14ac:dyDescent="0.25">
      <c r="A122" s="11">
        <f t="shared" si="12"/>
        <v>67</v>
      </c>
      <c r="B122">
        <v>1.3391866557307712</v>
      </c>
      <c r="E122" s="11">
        <f>A122-'Mastercurve bestimmen'!$B$2</f>
        <v>17</v>
      </c>
      <c r="F122" s="11">
        <f t="shared" si="10"/>
        <v>1.3391866557307712</v>
      </c>
      <c r="G122" s="11"/>
      <c r="H122" s="11">
        <f t="shared" si="11"/>
        <v>6975757441</v>
      </c>
      <c r="I122" s="11">
        <f t="shared" si="14"/>
        <v>410338673</v>
      </c>
      <c r="J122" s="11">
        <f t="shared" si="14"/>
        <v>24137569</v>
      </c>
      <c r="K122" s="11">
        <f t="shared" si="14"/>
        <v>1419857</v>
      </c>
      <c r="L122" s="11">
        <f t="shared" si="14"/>
        <v>83521</v>
      </c>
      <c r="M122" s="11">
        <f t="shared" si="14"/>
        <v>4913</v>
      </c>
      <c r="N122" s="11">
        <f t="shared" si="14"/>
        <v>289</v>
      </c>
      <c r="O122" s="11">
        <f t="shared" si="14"/>
        <v>17</v>
      </c>
      <c r="P122" s="11">
        <f t="shared" si="13"/>
        <v>0</v>
      </c>
    </row>
    <row r="123" spans="1:16" x14ac:dyDescent="0.25">
      <c r="A123" s="11">
        <f t="shared" si="12"/>
        <v>68</v>
      </c>
      <c r="B123">
        <v>1.421291987262671</v>
      </c>
      <c r="E123" s="11">
        <f>A123-'Mastercurve bestimmen'!$B$2</f>
        <v>18</v>
      </c>
      <c r="F123" s="11">
        <f t="shared" si="10"/>
        <v>1.421291987262671</v>
      </c>
      <c r="G123" s="11"/>
      <c r="H123" s="11">
        <f t="shared" si="11"/>
        <v>11019960576</v>
      </c>
      <c r="I123" s="11">
        <f t="shared" si="14"/>
        <v>612220032</v>
      </c>
      <c r="J123" s="11">
        <f t="shared" si="14"/>
        <v>34012224</v>
      </c>
      <c r="K123" s="11">
        <f t="shared" si="14"/>
        <v>1889568</v>
      </c>
      <c r="L123" s="11">
        <f t="shared" si="14"/>
        <v>104976</v>
      </c>
      <c r="M123" s="11">
        <f t="shared" si="14"/>
        <v>5832</v>
      </c>
      <c r="N123" s="11">
        <f t="shared" si="14"/>
        <v>324</v>
      </c>
      <c r="O123" s="11">
        <f t="shared" si="14"/>
        <v>18</v>
      </c>
      <c r="P123" s="11">
        <f t="shared" si="13"/>
        <v>0</v>
      </c>
    </row>
    <row r="124" spans="1:16" x14ac:dyDescent="0.25">
      <c r="A124" s="11">
        <f t="shared" si="12"/>
        <v>69</v>
      </c>
      <c r="B124">
        <v>1.5038575484949113</v>
      </c>
      <c r="E124" s="11">
        <f>A124-'Mastercurve bestimmen'!$B$2</f>
        <v>19</v>
      </c>
      <c r="F124" s="11">
        <f t="shared" si="10"/>
        <v>1.5038575484949113</v>
      </c>
      <c r="G124" s="11"/>
      <c r="H124" s="11">
        <f t="shared" si="11"/>
        <v>16983563041</v>
      </c>
      <c r="I124" s="11">
        <f t="shared" si="14"/>
        <v>893871739</v>
      </c>
      <c r="J124" s="11">
        <f t="shared" si="14"/>
        <v>47045881</v>
      </c>
      <c r="K124" s="11">
        <f t="shared" si="14"/>
        <v>2476099</v>
      </c>
      <c r="L124" s="11">
        <f t="shared" si="14"/>
        <v>130321</v>
      </c>
      <c r="M124" s="11">
        <f t="shared" si="14"/>
        <v>6859</v>
      </c>
      <c r="N124" s="11">
        <f t="shared" si="14"/>
        <v>361</v>
      </c>
      <c r="O124" s="11">
        <f t="shared" si="14"/>
        <v>19</v>
      </c>
      <c r="P124" s="11">
        <f t="shared" si="13"/>
        <v>0</v>
      </c>
    </row>
    <row r="125" spans="1:16" x14ac:dyDescent="0.25">
      <c r="A125" s="11">
        <f t="shared" si="12"/>
        <v>70</v>
      </c>
      <c r="B125">
        <v>1.5868975924345514</v>
      </c>
      <c r="E125" s="11">
        <f>A125-'Mastercurve bestimmen'!$B$2</f>
        <v>20</v>
      </c>
      <c r="F125" s="11">
        <f t="shared" si="10"/>
        <v>1.5868975924345514</v>
      </c>
      <c r="G125" s="11"/>
      <c r="H125" s="11">
        <f t="shared" si="11"/>
        <v>25600000000</v>
      </c>
      <c r="I125" s="11">
        <f t="shared" si="14"/>
        <v>1280000000</v>
      </c>
      <c r="J125" s="11">
        <f t="shared" si="14"/>
        <v>64000000</v>
      </c>
      <c r="K125" s="11">
        <f t="shared" si="14"/>
        <v>3200000</v>
      </c>
      <c r="L125" s="11">
        <f t="shared" si="14"/>
        <v>160000</v>
      </c>
      <c r="M125" s="11">
        <f t="shared" si="14"/>
        <v>8000</v>
      </c>
      <c r="N125" s="11">
        <f t="shared" si="14"/>
        <v>400</v>
      </c>
      <c r="O125" s="11">
        <f t="shared" si="14"/>
        <v>20</v>
      </c>
      <c r="P125" s="11">
        <f t="shared" si="13"/>
        <v>0</v>
      </c>
    </row>
    <row r="126" spans="1:16" x14ac:dyDescent="0.25">
      <c r="A126" s="11">
        <f t="shared" si="12"/>
        <v>71</v>
      </c>
      <c r="B126">
        <v>1.6704263720886512</v>
      </c>
      <c r="E126" s="11">
        <f>A126-'Mastercurve bestimmen'!$B$2</f>
        <v>21</v>
      </c>
      <c r="F126" s="11">
        <f t="shared" si="10"/>
        <v>1.6704263720886512</v>
      </c>
      <c r="G126" s="11"/>
      <c r="H126" s="11">
        <f t="shared" si="11"/>
        <v>37822859361</v>
      </c>
      <c r="I126" s="11">
        <f t="shared" si="14"/>
        <v>1801088541</v>
      </c>
      <c r="J126" s="11">
        <f t="shared" si="14"/>
        <v>85766121</v>
      </c>
      <c r="K126" s="11">
        <f t="shared" si="14"/>
        <v>4084101</v>
      </c>
      <c r="L126" s="11">
        <f t="shared" si="14"/>
        <v>194481</v>
      </c>
      <c r="M126" s="11">
        <f t="shared" si="14"/>
        <v>9261</v>
      </c>
      <c r="N126" s="11">
        <f t="shared" si="14"/>
        <v>441</v>
      </c>
      <c r="O126" s="11">
        <f t="shared" si="14"/>
        <v>21</v>
      </c>
      <c r="P126" s="11">
        <f t="shared" si="13"/>
        <v>0</v>
      </c>
    </row>
    <row r="127" spans="1:16" x14ac:dyDescent="0.25">
      <c r="A127" s="11">
        <f t="shared" si="12"/>
        <v>72</v>
      </c>
      <c r="B127">
        <v>1.7544581404642692</v>
      </c>
      <c r="E127" s="11">
        <f>A127-'Mastercurve bestimmen'!$B$2</f>
        <v>22</v>
      </c>
      <c r="F127" s="11">
        <f t="shared" si="10"/>
        <v>1.7544581404642692</v>
      </c>
      <c r="G127" s="11"/>
      <c r="H127" s="11">
        <f t="shared" si="11"/>
        <v>54875873536</v>
      </c>
      <c r="I127" s="11">
        <f t="shared" si="14"/>
        <v>2494357888</v>
      </c>
      <c r="J127" s="11">
        <f t="shared" si="14"/>
        <v>113379904</v>
      </c>
      <c r="K127" s="11">
        <f t="shared" si="14"/>
        <v>5153632</v>
      </c>
      <c r="L127" s="11">
        <f t="shared" si="14"/>
        <v>234256</v>
      </c>
      <c r="M127" s="11">
        <f t="shared" si="14"/>
        <v>10648</v>
      </c>
      <c r="N127" s="11">
        <f t="shared" si="14"/>
        <v>484</v>
      </c>
      <c r="O127" s="11">
        <f t="shared" si="14"/>
        <v>22</v>
      </c>
      <c r="P127" s="11">
        <f t="shared" si="13"/>
        <v>0</v>
      </c>
    </row>
    <row r="128" spans="1:16" x14ac:dyDescent="0.25">
      <c r="A128" s="11">
        <f t="shared" si="12"/>
        <v>73</v>
      </c>
      <c r="B128">
        <v>1.8390071505684655</v>
      </c>
      <c r="E128" s="11">
        <f>A128-'Mastercurve bestimmen'!$B$2</f>
        <v>23</v>
      </c>
      <c r="F128" s="11">
        <f t="shared" si="10"/>
        <v>1.8390071505684655</v>
      </c>
      <c r="G128" s="11"/>
      <c r="H128" s="11">
        <f t="shared" si="11"/>
        <v>78310985281</v>
      </c>
      <c r="I128" s="11">
        <f t="shared" si="14"/>
        <v>3404825447</v>
      </c>
      <c r="J128" s="11">
        <f t="shared" si="14"/>
        <v>148035889</v>
      </c>
      <c r="K128" s="11">
        <f t="shared" si="14"/>
        <v>6436343</v>
      </c>
      <c r="L128" s="11">
        <f t="shared" si="14"/>
        <v>279841</v>
      </c>
      <c r="M128" s="11">
        <f t="shared" si="14"/>
        <v>12167</v>
      </c>
      <c r="N128" s="11">
        <f t="shared" si="14"/>
        <v>529</v>
      </c>
      <c r="O128" s="11">
        <f t="shared" si="14"/>
        <v>23</v>
      </c>
      <c r="P128" s="11">
        <f t="shared" si="13"/>
        <v>0</v>
      </c>
    </row>
    <row r="129" spans="1:16" x14ac:dyDescent="0.25">
      <c r="A129" s="11">
        <f t="shared" si="12"/>
        <v>74</v>
      </c>
      <c r="B129">
        <v>1.9240876554082995</v>
      </c>
      <c r="E129" s="11">
        <f>A129-'Mastercurve bestimmen'!$B$2</f>
        <v>24</v>
      </c>
      <c r="F129" s="11">
        <f t="shared" si="10"/>
        <v>1.9240876554082995</v>
      </c>
      <c r="G129" s="11"/>
      <c r="H129" s="11">
        <f t="shared" si="11"/>
        <v>110075314176</v>
      </c>
      <c r="I129" s="11">
        <f t="shared" si="14"/>
        <v>4586471424</v>
      </c>
      <c r="J129" s="11">
        <f t="shared" si="14"/>
        <v>191102976</v>
      </c>
      <c r="K129" s="11">
        <f t="shared" si="14"/>
        <v>7962624</v>
      </c>
      <c r="L129" s="11">
        <f t="shared" si="14"/>
        <v>331776</v>
      </c>
      <c r="M129" s="11">
        <f t="shared" si="14"/>
        <v>13824</v>
      </c>
      <c r="N129" s="11">
        <f t="shared" si="14"/>
        <v>576</v>
      </c>
      <c r="O129" s="11">
        <f t="shared" si="14"/>
        <v>24</v>
      </c>
      <c r="P129" s="11">
        <f t="shared" si="13"/>
        <v>0</v>
      </c>
    </row>
    <row r="130" spans="1:16" x14ac:dyDescent="0.25">
      <c r="A130" s="11">
        <f t="shared" si="12"/>
        <v>75</v>
      </c>
      <c r="B130">
        <v>2.0097139079908306</v>
      </c>
      <c r="E130" s="11">
        <f>A130-'Mastercurve bestimmen'!$B$2</f>
        <v>25</v>
      </c>
      <c r="F130" s="11">
        <f t="shared" si="10"/>
        <v>2.0097139079908306</v>
      </c>
      <c r="G130" s="11"/>
      <c r="H130" s="11">
        <f t="shared" si="11"/>
        <v>152587890625</v>
      </c>
      <c r="I130" s="11">
        <f t="shared" si="14"/>
        <v>6103515625</v>
      </c>
      <c r="J130" s="11">
        <f t="shared" si="14"/>
        <v>244140625</v>
      </c>
      <c r="K130" s="11">
        <f t="shared" si="14"/>
        <v>9765625</v>
      </c>
      <c r="L130" s="11">
        <f t="shared" si="14"/>
        <v>390625</v>
      </c>
      <c r="M130" s="11">
        <f t="shared" si="14"/>
        <v>15625</v>
      </c>
      <c r="N130" s="11">
        <f t="shared" si="14"/>
        <v>625</v>
      </c>
      <c r="O130" s="11">
        <f t="shared" si="14"/>
        <v>25</v>
      </c>
      <c r="P130" s="11">
        <f t="shared" si="13"/>
        <v>0</v>
      </c>
    </row>
    <row r="131" spans="1:16" x14ac:dyDescent="0.25">
      <c r="A131" s="11">
        <f t="shared" si="12"/>
        <v>76</v>
      </c>
      <c r="B131">
        <v>2.0959001613231178</v>
      </c>
      <c r="E131" s="11">
        <f>A131-'Mastercurve bestimmen'!$B$2</f>
        <v>26</v>
      </c>
      <c r="F131" s="11">
        <f t="shared" si="10"/>
        <v>2.0959001613231178</v>
      </c>
      <c r="G131" s="11"/>
      <c r="H131" s="11">
        <f t="shared" si="11"/>
        <v>208827064576</v>
      </c>
      <c r="I131" s="11">
        <f t="shared" si="14"/>
        <v>8031810176</v>
      </c>
      <c r="J131" s="11">
        <f t="shared" si="14"/>
        <v>308915776</v>
      </c>
      <c r="K131" s="11">
        <f t="shared" si="14"/>
        <v>11881376</v>
      </c>
      <c r="L131" s="11">
        <f t="shared" si="14"/>
        <v>456976</v>
      </c>
      <c r="M131" s="11">
        <f t="shared" si="14"/>
        <v>17576</v>
      </c>
      <c r="N131" s="11">
        <f t="shared" si="14"/>
        <v>676</v>
      </c>
      <c r="O131" s="11">
        <f t="shared" si="14"/>
        <v>26</v>
      </c>
      <c r="P131" s="11">
        <f t="shared" si="13"/>
        <v>0</v>
      </c>
    </row>
    <row r="132" spans="1:16" x14ac:dyDescent="0.25">
      <c r="A132" s="11">
        <f t="shared" si="12"/>
        <v>77</v>
      </c>
      <c r="B132">
        <v>2.1826606684122205</v>
      </c>
      <c r="E132" s="11">
        <f>A132-'Mastercurve bestimmen'!$B$2</f>
        <v>27</v>
      </c>
      <c r="F132" s="11">
        <f t="shared" si="10"/>
        <v>2.1826606684122205</v>
      </c>
      <c r="G132" s="11"/>
      <c r="H132" s="11">
        <f t="shared" si="11"/>
        <v>282429536481</v>
      </c>
      <c r="I132" s="11">
        <f t="shared" si="14"/>
        <v>10460353203</v>
      </c>
      <c r="J132" s="11">
        <f t="shared" si="14"/>
        <v>387420489</v>
      </c>
      <c r="K132" s="11">
        <f t="shared" si="14"/>
        <v>14348907</v>
      </c>
      <c r="L132" s="11">
        <f t="shared" si="14"/>
        <v>531441</v>
      </c>
      <c r="M132" s="11">
        <f t="shared" si="14"/>
        <v>19683</v>
      </c>
      <c r="N132" s="11">
        <f t="shared" si="14"/>
        <v>729</v>
      </c>
      <c r="O132" s="11">
        <f t="shared" si="14"/>
        <v>27</v>
      </c>
      <c r="P132" s="11">
        <f t="shared" si="13"/>
        <v>0</v>
      </c>
    </row>
    <row r="133" spans="1:16" x14ac:dyDescent="0.25">
      <c r="A133" s="11">
        <f t="shared" si="12"/>
        <v>78</v>
      </c>
      <c r="B133">
        <v>2.2700096822651985</v>
      </c>
      <c r="E133" s="11">
        <f>A133-'Mastercurve bestimmen'!$B$2</f>
        <v>28</v>
      </c>
      <c r="F133" s="11">
        <f t="shared" si="10"/>
        <v>2.2700096822651985</v>
      </c>
      <c r="G133" s="11"/>
      <c r="H133" s="11">
        <f t="shared" si="11"/>
        <v>377801998336</v>
      </c>
      <c r="I133" s="11">
        <f t="shared" si="14"/>
        <v>13492928512</v>
      </c>
      <c r="J133" s="11">
        <f t="shared" si="14"/>
        <v>481890304</v>
      </c>
      <c r="K133" s="11">
        <f t="shared" si="14"/>
        <v>17210368</v>
      </c>
      <c r="L133" s="11">
        <f t="shared" si="14"/>
        <v>614656</v>
      </c>
      <c r="M133" s="11">
        <f t="shared" si="14"/>
        <v>21952</v>
      </c>
      <c r="N133" s="11">
        <f t="shared" si="14"/>
        <v>784</v>
      </c>
      <c r="O133" s="11">
        <f t="shared" si="14"/>
        <v>28</v>
      </c>
      <c r="P133" s="11">
        <f t="shared" si="13"/>
        <v>0</v>
      </c>
    </row>
    <row r="134" spans="1:16" x14ac:dyDescent="0.25">
      <c r="A134" s="11">
        <f t="shared" si="12"/>
        <v>79</v>
      </c>
      <c r="B134">
        <v>2.3579614558891113</v>
      </c>
      <c r="E134" s="11">
        <f>A134-'Mastercurve bestimmen'!$B$2</f>
        <v>29</v>
      </c>
      <c r="F134" s="11">
        <f t="shared" si="10"/>
        <v>2.3579614558891113</v>
      </c>
      <c r="G134" s="11"/>
      <c r="H134" s="11">
        <f t="shared" si="11"/>
        <v>500246412961</v>
      </c>
      <c r="I134" s="11">
        <f t="shared" si="14"/>
        <v>17249876309</v>
      </c>
      <c r="J134" s="11">
        <f t="shared" si="14"/>
        <v>594823321</v>
      </c>
      <c r="K134" s="11">
        <f t="shared" si="14"/>
        <v>20511149</v>
      </c>
      <c r="L134" s="11">
        <f t="shared" si="14"/>
        <v>707281</v>
      </c>
      <c r="M134" s="11">
        <f t="shared" si="14"/>
        <v>24389</v>
      </c>
      <c r="N134" s="11">
        <f t="shared" si="14"/>
        <v>841</v>
      </c>
      <c r="O134" s="11">
        <f t="shared" si="14"/>
        <v>29</v>
      </c>
      <c r="P134" s="11">
        <f t="shared" si="13"/>
        <v>0</v>
      </c>
    </row>
    <row r="135" spans="1:16" x14ac:dyDescent="0.25">
      <c r="A135" s="11">
        <f t="shared" si="12"/>
        <v>80</v>
      </c>
      <c r="B135">
        <v>2.446530242291018</v>
      </c>
      <c r="E135" s="11">
        <f>A135-'Mastercurve bestimmen'!$B$2</f>
        <v>30</v>
      </c>
      <c r="F135" s="11">
        <f t="shared" si="10"/>
        <v>2.446530242291018</v>
      </c>
      <c r="G135" s="11"/>
      <c r="H135" s="11">
        <f t="shared" si="11"/>
        <v>656100000000</v>
      </c>
      <c r="I135" s="11">
        <f t="shared" si="14"/>
        <v>21870000000</v>
      </c>
      <c r="J135" s="11">
        <f t="shared" si="14"/>
        <v>729000000</v>
      </c>
      <c r="K135" s="11">
        <f t="shared" si="14"/>
        <v>24300000</v>
      </c>
      <c r="L135" s="11">
        <f t="shared" si="14"/>
        <v>810000</v>
      </c>
      <c r="M135" s="11">
        <f t="shared" si="14"/>
        <v>27000</v>
      </c>
      <c r="N135" s="11">
        <f t="shared" si="14"/>
        <v>900</v>
      </c>
      <c r="O135" s="11">
        <f t="shared" si="14"/>
        <v>30</v>
      </c>
      <c r="P135" s="11">
        <f t="shared" si="13"/>
        <v>0</v>
      </c>
    </row>
    <row r="136" spans="1:16" x14ac:dyDescent="0.25">
      <c r="A136" s="11">
        <f t="shared" si="12"/>
        <v>81</v>
      </c>
      <c r="B136">
        <v>2.5357288601783212</v>
      </c>
      <c r="E136" s="11">
        <f>A136-'Mastercurve bestimmen'!$B$2</f>
        <v>31</v>
      </c>
      <c r="F136" s="11">
        <f t="shared" si="10"/>
        <v>2.5357288601783212</v>
      </c>
      <c r="G136" s="11"/>
      <c r="H136" s="11">
        <f t="shared" si="11"/>
        <v>852891037441</v>
      </c>
      <c r="I136" s="11">
        <f t="shared" si="14"/>
        <v>27512614111</v>
      </c>
      <c r="J136" s="11">
        <f t="shared" si="14"/>
        <v>887503681</v>
      </c>
      <c r="K136" s="11">
        <f t="shared" si="14"/>
        <v>28629151</v>
      </c>
      <c r="L136" s="11">
        <f t="shared" si="14"/>
        <v>923521</v>
      </c>
      <c r="M136" s="11">
        <f t="shared" si="14"/>
        <v>29791</v>
      </c>
      <c r="N136" s="11">
        <f t="shared" si="14"/>
        <v>961</v>
      </c>
      <c r="O136" s="11">
        <f t="shared" si="14"/>
        <v>31</v>
      </c>
      <c r="P136" s="11">
        <f t="shared" si="13"/>
        <v>0</v>
      </c>
    </row>
    <row r="137" spans="1:16" x14ac:dyDescent="0.25">
      <c r="A137" s="11">
        <f t="shared" si="12"/>
        <v>82</v>
      </c>
      <c r="B137">
        <v>2.6255643910597954</v>
      </c>
      <c r="E137" s="11">
        <f>A137-'Mastercurve bestimmen'!$B$2</f>
        <v>32</v>
      </c>
      <c r="F137" s="11">
        <f t="shared" si="10"/>
        <v>2.6255643910597954</v>
      </c>
      <c r="G137" s="11"/>
      <c r="H137" s="11">
        <f t="shared" si="11"/>
        <v>1099511627776</v>
      </c>
      <c r="I137" s="11">
        <f t="shared" si="14"/>
        <v>34359738368</v>
      </c>
      <c r="J137" s="11">
        <f t="shared" si="14"/>
        <v>1073741824</v>
      </c>
      <c r="K137" s="11">
        <f t="shared" si="14"/>
        <v>33554432</v>
      </c>
      <c r="L137" s="11">
        <f t="shared" si="14"/>
        <v>1048576</v>
      </c>
      <c r="M137" s="11">
        <f t="shared" si="14"/>
        <v>32768</v>
      </c>
      <c r="N137" s="11">
        <f t="shared" si="14"/>
        <v>1024</v>
      </c>
      <c r="O137" s="11">
        <f t="shared" si="14"/>
        <v>32</v>
      </c>
      <c r="P137" s="11">
        <f t="shared" si="13"/>
        <v>0</v>
      </c>
    </row>
    <row r="138" spans="1:16" x14ac:dyDescent="0.25">
      <c r="A138" s="11">
        <f t="shared" si="12"/>
        <v>83</v>
      </c>
      <c r="B138">
        <v>2.7160424821445588</v>
      </c>
      <c r="E138" s="11">
        <f>A138-'Mastercurve bestimmen'!$B$2</f>
        <v>33</v>
      </c>
      <c r="F138" s="11">
        <f t="shared" si="10"/>
        <v>2.7160424821445588</v>
      </c>
      <c r="G138" s="11"/>
      <c r="H138" s="11">
        <f t="shared" si="11"/>
        <v>1406408618241</v>
      </c>
      <c r="I138" s="11">
        <f t="shared" si="14"/>
        <v>42618442977</v>
      </c>
      <c r="J138" s="11">
        <f t="shared" si="14"/>
        <v>1291467969</v>
      </c>
      <c r="K138" s="11">
        <f t="shared" si="14"/>
        <v>39135393</v>
      </c>
      <c r="L138" s="11">
        <f t="shared" si="14"/>
        <v>1185921</v>
      </c>
      <c r="M138" s="11">
        <f t="shared" si="14"/>
        <v>35937</v>
      </c>
      <c r="N138" s="11">
        <f t="shared" si="14"/>
        <v>1089</v>
      </c>
      <c r="O138" s="11">
        <f t="shared" si="14"/>
        <v>33</v>
      </c>
      <c r="P138" s="11">
        <f t="shared" si="13"/>
        <v>0</v>
      </c>
    </row>
    <row r="139" spans="1:16" x14ac:dyDescent="0.25">
      <c r="A139" s="11">
        <f t="shared" si="12"/>
        <v>84</v>
      </c>
      <c r="B139">
        <v>2.8071687806417285</v>
      </c>
      <c r="E139" s="11">
        <f>A139-'Mastercurve bestimmen'!$B$2</f>
        <v>34</v>
      </c>
      <c r="F139" s="11">
        <f t="shared" si="10"/>
        <v>2.8071687806417285</v>
      </c>
      <c r="G139" s="11"/>
      <c r="H139" s="11">
        <f t="shared" si="11"/>
        <v>1785793904896</v>
      </c>
      <c r="I139" s="11">
        <f t="shared" si="14"/>
        <v>52523350144</v>
      </c>
      <c r="J139" s="11">
        <f t="shared" si="14"/>
        <v>1544804416</v>
      </c>
      <c r="K139" s="11">
        <f t="shared" si="14"/>
        <v>45435424</v>
      </c>
      <c r="L139" s="11">
        <f t="shared" si="14"/>
        <v>1336336</v>
      </c>
      <c r="M139" s="11">
        <f t="shared" si="14"/>
        <v>39304</v>
      </c>
      <c r="N139" s="11">
        <f t="shared" si="14"/>
        <v>1156</v>
      </c>
      <c r="O139" s="11">
        <f t="shared" si="14"/>
        <v>34</v>
      </c>
      <c r="P139" s="11">
        <f t="shared" si="13"/>
        <v>0</v>
      </c>
    </row>
    <row r="140" spans="1:16" x14ac:dyDescent="0.25">
      <c r="A140" s="11">
        <f t="shared" si="12"/>
        <v>85</v>
      </c>
      <c r="B140">
        <v>2.8989489337604231</v>
      </c>
      <c r="E140" s="11">
        <f>A140-'Mastercurve bestimmen'!$B$2</f>
        <v>35</v>
      </c>
      <c r="F140" s="11">
        <f t="shared" si="10"/>
        <v>2.8989489337604231</v>
      </c>
      <c r="G140" s="11"/>
      <c r="H140" s="11">
        <f t="shared" si="11"/>
        <v>2251875390625</v>
      </c>
      <c r="I140" s="11">
        <f t="shared" si="14"/>
        <v>64339296875</v>
      </c>
      <c r="J140" s="11">
        <f t="shared" si="14"/>
        <v>1838265625</v>
      </c>
      <c r="K140" s="11">
        <f t="shared" si="14"/>
        <v>52521875</v>
      </c>
      <c r="L140" s="11">
        <f t="shared" si="14"/>
        <v>1500625</v>
      </c>
      <c r="M140" s="11">
        <f t="shared" si="14"/>
        <v>42875</v>
      </c>
      <c r="N140" s="11">
        <f t="shared" si="14"/>
        <v>1225</v>
      </c>
      <c r="O140" s="11">
        <f t="shared" si="14"/>
        <v>35</v>
      </c>
      <c r="P140" s="11">
        <f t="shared" si="13"/>
        <v>0</v>
      </c>
    </row>
    <row r="141" spans="1:16" x14ac:dyDescent="0.25">
      <c r="A141" s="11">
        <f t="shared" si="12"/>
        <v>86</v>
      </c>
      <c r="B141">
        <v>2.9913885887097598</v>
      </c>
      <c r="E141" s="11">
        <f>A141-'Mastercurve bestimmen'!$B$2</f>
        <v>36</v>
      </c>
      <c r="F141" s="11">
        <f t="shared" si="10"/>
        <v>2.9913885887097598</v>
      </c>
      <c r="G141" s="11"/>
      <c r="H141" s="11">
        <f t="shared" si="11"/>
        <v>2821109907456</v>
      </c>
      <c r="I141" s="11">
        <f t="shared" si="14"/>
        <v>78364164096</v>
      </c>
      <c r="J141" s="11">
        <f t="shared" si="14"/>
        <v>2176782336</v>
      </c>
      <c r="K141" s="11">
        <f t="shared" si="14"/>
        <v>60466176</v>
      </c>
      <c r="L141" s="11">
        <f t="shared" si="14"/>
        <v>1679616</v>
      </c>
      <c r="M141" s="11">
        <f t="shared" si="14"/>
        <v>46656</v>
      </c>
      <c r="N141" s="11">
        <f t="shared" si="14"/>
        <v>1296</v>
      </c>
      <c r="O141" s="11">
        <f t="shared" si="14"/>
        <v>36</v>
      </c>
      <c r="P141" s="11">
        <f t="shared" si="13"/>
        <v>0</v>
      </c>
    </row>
    <row r="142" spans="1:16" x14ac:dyDescent="0.25">
      <c r="A142" s="11">
        <f t="shared" si="12"/>
        <v>87</v>
      </c>
      <c r="B142">
        <v>3.0844933926988558</v>
      </c>
      <c r="E142" s="11">
        <f>A142-'Mastercurve bestimmen'!$B$2</f>
        <v>37</v>
      </c>
      <c r="F142" s="11">
        <f t="shared" si="10"/>
        <v>3.0844933926988558</v>
      </c>
      <c r="G142" s="11"/>
      <c r="H142" s="11">
        <f t="shared" si="11"/>
        <v>3512479453921</v>
      </c>
      <c r="I142" s="11">
        <f t="shared" si="14"/>
        <v>94931877133</v>
      </c>
      <c r="J142" s="11">
        <f t="shared" si="14"/>
        <v>2565726409</v>
      </c>
      <c r="K142" s="11">
        <f t="shared" si="14"/>
        <v>69343957</v>
      </c>
      <c r="L142" s="11">
        <f t="shared" si="14"/>
        <v>1874161</v>
      </c>
      <c r="M142" s="11">
        <f t="shared" si="14"/>
        <v>50653</v>
      </c>
      <c r="N142" s="11">
        <f t="shared" si="14"/>
        <v>1369</v>
      </c>
      <c r="O142" s="11">
        <f t="shared" si="14"/>
        <v>37</v>
      </c>
      <c r="P142" s="11">
        <f t="shared" si="13"/>
        <v>0</v>
      </c>
    </row>
    <row r="143" spans="1:16" x14ac:dyDescent="0.25">
      <c r="A143" s="11">
        <f t="shared" si="12"/>
        <v>88</v>
      </c>
      <c r="B143">
        <v>3.1782689929368306</v>
      </c>
      <c r="E143" s="11">
        <f>A143-'Mastercurve bestimmen'!$B$2</f>
        <v>38</v>
      </c>
      <c r="F143" s="11">
        <f t="shared" si="10"/>
        <v>3.1782689929368306</v>
      </c>
      <c r="G143" s="11"/>
      <c r="H143" s="11">
        <f t="shared" si="11"/>
        <v>4347792138496</v>
      </c>
      <c r="I143" s="11">
        <f t="shared" si="14"/>
        <v>114415582592</v>
      </c>
      <c r="J143" s="11">
        <f t="shared" si="14"/>
        <v>3010936384</v>
      </c>
      <c r="K143" s="11">
        <f t="shared" si="14"/>
        <v>79235168</v>
      </c>
      <c r="L143" s="11">
        <f t="shared" si="14"/>
        <v>2085136</v>
      </c>
      <c r="M143" s="11">
        <f t="shared" si="14"/>
        <v>54872</v>
      </c>
      <c r="N143" s="11">
        <f t="shared" si="14"/>
        <v>1444</v>
      </c>
      <c r="O143" s="11">
        <f t="shared" si="14"/>
        <v>38</v>
      </c>
      <c r="P143" s="11">
        <f t="shared" si="13"/>
        <v>0</v>
      </c>
    </row>
    <row r="144" spans="1:16" x14ac:dyDescent="0.25">
      <c r="A144" s="11">
        <f t="shared" si="12"/>
        <v>89</v>
      </c>
      <c r="B144">
        <v>3.2727210366328001</v>
      </c>
      <c r="E144" s="11">
        <f>A144-'Mastercurve bestimmen'!$B$2</f>
        <v>39</v>
      </c>
      <c r="F144" s="11">
        <f t="shared" ref="F144:F207" si="15">B144</f>
        <v>3.2727210366328001</v>
      </c>
      <c r="G144" s="11"/>
      <c r="H144" s="11">
        <f t="shared" ref="H144:H207" si="16">IF($H$12&gt;=H$14,$E144^H$14,0)</f>
        <v>5352009260481</v>
      </c>
      <c r="I144" s="11">
        <f t="shared" si="14"/>
        <v>137231006679</v>
      </c>
      <c r="J144" s="11">
        <f t="shared" si="14"/>
        <v>3518743761</v>
      </c>
      <c r="K144" s="11">
        <f t="shared" si="14"/>
        <v>90224199</v>
      </c>
      <c r="L144" s="11">
        <f t="shared" si="14"/>
        <v>2313441</v>
      </c>
      <c r="M144" s="11">
        <f t="shared" si="14"/>
        <v>59319</v>
      </c>
      <c r="N144" s="11">
        <f t="shared" si="14"/>
        <v>1521</v>
      </c>
      <c r="O144" s="11">
        <f t="shared" si="14"/>
        <v>39</v>
      </c>
      <c r="P144" s="11">
        <f t="shared" si="13"/>
        <v>0</v>
      </c>
    </row>
    <row r="145" spans="1:16" x14ac:dyDescent="0.25">
      <c r="A145" s="11">
        <f t="shared" ref="A145:A208" si="17">A144+1</f>
        <v>90</v>
      </c>
      <c r="B145">
        <v>3.3678551709958833</v>
      </c>
      <c r="E145" s="11">
        <f>A145-'Mastercurve bestimmen'!$B$2</f>
        <v>40</v>
      </c>
      <c r="F145" s="11">
        <f t="shared" si="15"/>
        <v>3.3678551709958833</v>
      </c>
      <c r="G145" s="11"/>
      <c r="H145" s="11">
        <f t="shared" si="16"/>
        <v>6553600000000</v>
      </c>
      <c r="I145" s="11">
        <f t="shared" si="14"/>
        <v>163840000000</v>
      </c>
      <c r="J145" s="11">
        <f t="shared" si="14"/>
        <v>4096000000</v>
      </c>
      <c r="K145" s="11">
        <f t="shared" si="14"/>
        <v>102400000</v>
      </c>
      <c r="L145" s="11">
        <f t="shared" si="14"/>
        <v>2560000</v>
      </c>
      <c r="M145" s="11">
        <f t="shared" si="14"/>
        <v>64000</v>
      </c>
      <c r="N145" s="11">
        <f t="shared" si="14"/>
        <v>1600</v>
      </c>
      <c r="O145" s="11">
        <f t="shared" si="14"/>
        <v>40</v>
      </c>
      <c r="P145" s="11">
        <f t="shared" ref="P145:P208" si="18">P144</f>
        <v>0</v>
      </c>
    </row>
    <row r="146" spans="1:16" x14ac:dyDescent="0.25">
      <c r="A146" s="11">
        <f t="shared" si="17"/>
        <v>91</v>
      </c>
      <c r="B146">
        <v>3.4636770432351973</v>
      </c>
      <c r="E146" s="11">
        <f>A146-'Mastercurve bestimmen'!$B$2</f>
        <v>41</v>
      </c>
      <c r="F146" s="11">
        <f t="shared" si="15"/>
        <v>3.4636770432351973</v>
      </c>
      <c r="G146" s="11"/>
      <c r="H146" s="11">
        <f t="shared" si="16"/>
        <v>7984925229121</v>
      </c>
      <c r="I146" s="11">
        <f t="shared" si="14"/>
        <v>194754273881</v>
      </c>
      <c r="J146" s="11">
        <f t="shared" si="14"/>
        <v>4750104241</v>
      </c>
      <c r="K146" s="11">
        <f t="shared" si="14"/>
        <v>115856201</v>
      </c>
      <c r="L146" s="11">
        <f t="shared" si="14"/>
        <v>2825761</v>
      </c>
      <c r="M146" s="11">
        <f t="shared" si="14"/>
        <v>68921</v>
      </c>
      <c r="N146" s="11">
        <f t="shared" si="14"/>
        <v>1681</v>
      </c>
      <c r="O146" s="11">
        <f t="shared" si="14"/>
        <v>41</v>
      </c>
      <c r="P146" s="11">
        <f t="shared" si="18"/>
        <v>0</v>
      </c>
    </row>
    <row r="147" spans="1:16" x14ac:dyDescent="0.25">
      <c r="A147" s="11">
        <f t="shared" si="17"/>
        <v>92</v>
      </c>
      <c r="B147">
        <v>3.5601923005598599</v>
      </c>
      <c r="E147" s="11">
        <f>A147-'Mastercurve bestimmen'!$B$2</f>
        <v>42</v>
      </c>
      <c r="F147" s="11">
        <f t="shared" si="15"/>
        <v>3.5601923005598599</v>
      </c>
      <c r="G147" s="11"/>
      <c r="H147" s="11">
        <f t="shared" si="16"/>
        <v>9682651996416</v>
      </c>
      <c r="I147" s="11">
        <f t="shared" si="14"/>
        <v>230539333248</v>
      </c>
      <c r="J147" s="11">
        <f t="shared" si="14"/>
        <v>5489031744</v>
      </c>
      <c r="K147" s="11">
        <f t="shared" si="14"/>
        <v>130691232</v>
      </c>
      <c r="L147" s="11">
        <f t="shared" si="14"/>
        <v>3111696</v>
      </c>
      <c r="M147" s="11">
        <f t="shared" si="14"/>
        <v>74088</v>
      </c>
      <c r="N147" s="11">
        <f t="shared" si="14"/>
        <v>1764</v>
      </c>
      <c r="O147" s="11">
        <f t="shared" si="14"/>
        <v>42</v>
      </c>
      <c r="P147" s="11">
        <f t="shared" si="18"/>
        <v>0</v>
      </c>
    </row>
    <row r="148" spans="1:16" x14ac:dyDescent="0.25">
      <c r="A148" s="11">
        <f t="shared" si="17"/>
        <v>93</v>
      </c>
      <c r="B148">
        <v>3.6574065901789892</v>
      </c>
      <c r="E148" s="11">
        <f>A148-'Mastercurve bestimmen'!$B$2</f>
        <v>43</v>
      </c>
      <c r="F148" s="11">
        <f t="shared" si="15"/>
        <v>3.6574065901789892</v>
      </c>
      <c r="G148" s="11"/>
      <c r="H148" s="11">
        <f t="shared" si="16"/>
        <v>11688200277601</v>
      </c>
      <c r="I148" s="11">
        <f t="shared" si="14"/>
        <v>271818611107</v>
      </c>
      <c r="J148" s="11">
        <f t="shared" si="14"/>
        <v>6321363049</v>
      </c>
      <c r="K148" s="11">
        <f t="shared" si="14"/>
        <v>147008443</v>
      </c>
      <c r="L148" s="11">
        <f t="shared" si="14"/>
        <v>3418801</v>
      </c>
      <c r="M148" s="11">
        <f t="shared" si="14"/>
        <v>79507</v>
      </c>
      <c r="N148" s="11">
        <f t="shared" si="14"/>
        <v>1849</v>
      </c>
      <c r="O148" s="11">
        <f t="shared" si="14"/>
        <v>43</v>
      </c>
      <c r="P148" s="11">
        <f t="shared" si="18"/>
        <v>0</v>
      </c>
    </row>
    <row r="149" spans="1:16" x14ac:dyDescent="0.25">
      <c r="A149" s="11">
        <f t="shared" si="17"/>
        <v>94</v>
      </c>
      <c r="B149">
        <v>3.7553255593017028</v>
      </c>
      <c r="E149" s="11">
        <f>A149-'Mastercurve bestimmen'!$B$2</f>
        <v>44</v>
      </c>
      <c r="F149" s="11">
        <f t="shared" si="15"/>
        <v>3.7553255593017028</v>
      </c>
      <c r="G149" s="11"/>
      <c r="H149" s="11">
        <f t="shared" si="16"/>
        <v>14048223625216</v>
      </c>
      <c r="I149" s="11">
        <f t="shared" si="14"/>
        <v>319277809664</v>
      </c>
      <c r="J149" s="11">
        <f t="shared" si="14"/>
        <v>7256313856</v>
      </c>
      <c r="K149" s="11">
        <f t="shared" si="14"/>
        <v>164916224</v>
      </c>
      <c r="L149" s="11">
        <f t="shared" si="14"/>
        <v>3748096</v>
      </c>
      <c r="M149" s="11">
        <f t="shared" si="14"/>
        <v>85184</v>
      </c>
      <c r="N149" s="11">
        <f t="shared" si="14"/>
        <v>1936</v>
      </c>
      <c r="O149" s="11">
        <f t="shared" si="14"/>
        <v>44</v>
      </c>
      <c r="P149" s="11">
        <f t="shared" si="18"/>
        <v>0</v>
      </c>
    </row>
    <row r="150" spans="1:16" x14ac:dyDescent="0.25">
      <c r="A150" s="11">
        <f t="shared" si="17"/>
        <v>95</v>
      </c>
      <c r="B150">
        <v>3.8539548551371183</v>
      </c>
      <c r="E150" s="11">
        <f>A150-'Mastercurve bestimmen'!$B$2</f>
        <v>45</v>
      </c>
      <c r="F150" s="11">
        <f t="shared" si="15"/>
        <v>3.8539548551371183</v>
      </c>
      <c r="G150" s="11"/>
      <c r="H150" s="11">
        <f t="shared" si="16"/>
        <v>16815125390625</v>
      </c>
      <c r="I150" s="11">
        <f t="shared" si="14"/>
        <v>373669453125</v>
      </c>
      <c r="J150" s="11">
        <f t="shared" si="14"/>
        <v>8303765625</v>
      </c>
      <c r="K150" s="11">
        <f t="shared" si="14"/>
        <v>184528125</v>
      </c>
      <c r="L150" s="11">
        <f t="shared" si="14"/>
        <v>4100625</v>
      </c>
      <c r="M150" s="11">
        <f t="shared" si="14"/>
        <v>91125</v>
      </c>
      <c r="N150" s="11">
        <f t="shared" si="14"/>
        <v>2025</v>
      </c>
      <c r="O150" s="11">
        <f t="shared" si="14"/>
        <v>45</v>
      </c>
      <c r="P150" s="11">
        <f t="shared" si="18"/>
        <v>0</v>
      </c>
    </row>
    <row r="151" spans="1:16" x14ac:dyDescent="0.25">
      <c r="A151" s="11">
        <f t="shared" si="17"/>
        <v>96</v>
      </c>
      <c r="B151">
        <v>3.953300124894354</v>
      </c>
      <c r="E151" s="11">
        <f>A151-'Mastercurve bestimmen'!$B$2</f>
        <v>46</v>
      </c>
      <c r="F151" s="11">
        <f t="shared" si="15"/>
        <v>3.953300124894354</v>
      </c>
      <c r="G151" s="11"/>
      <c r="H151" s="11">
        <f t="shared" si="16"/>
        <v>20047612231936</v>
      </c>
      <c r="I151" s="11">
        <f t="shared" si="14"/>
        <v>435817657216</v>
      </c>
      <c r="J151" s="11">
        <f t="shared" si="14"/>
        <v>9474296896</v>
      </c>
      <c r="K151" s="11">
        <f t="shared" si="14"/>
        <v>205962976</v>
      </c>
      <c r="L151" s="11">
        <f t="shared" si="14"/>
        <v>4477456</v>
      </c>
      <c r="M151" s="11">
        <f t="shared" si="14"/>
        <v>97336</v>
      </c>
      <c r="N151" s="11">
        <f t="shared" si="14"/>
        <v>2116</v>
      </c>
      <c r="O151" s="11">
        <f t="shared" si="14"/>
        <v>46</v>
      </c>
      <c r="P151" s="11">
        <f t="shared" si="18"/>
        <v>0</v>
      </c>
    </row>
    <row r="152" spans="1:16" x14ac:dyDescent="0.25">
      <c r="A152" s="11">
        <f t="shared" si="17"/>
        <v>97</v>
      </c>
      <c r="B152">
        <v>4.053367015782527</v>
      </c>
      <c r="E152" s="11">
        <f>A152-'Mastercurve bestimmen'!$B$2</f>
        <v>47</v>
      </c>
      <c r="F152" s="11">
        <f t="shared" si="15"/>
        <v>4.053367015782527</v>
      </c>
      <c r="G152" s="11"/>
      <c r="H152" s="11">
        <f t="shared" si="16"/>
        <v>23811286661761</v>
      </c>
      <c r="I152" s="11">
        <f t="shared" si="14"/>
        <v>506623120463</v>
      </c>
      <c r="J152" s="11">
        <f t="shared" si="14"/>
        <v>10779215329</v>
      </c>
      <c r="K152" s="11">
        <f t="shared" si="14"/>
        <v>229345007</v>
      </c>
      <c r="L152" s="11">
        <f t="shared" si="14"/>
        <v>4879681</v>
      </c>
      <c r="M152" s="11">
        <f t="shared" si="14"/>
        <v>103823</v>
      </c>
      <c r="N152" s="11">
        <f t="shared" ref="I152:O189" si="19">IF($H$12&gt;=N$14,$E152^N$14,0)</f>
        <v>2209</v>
      </c>
      <c r="O152" s="11">
        <f t="shared" si="19"/>
        <v>47</v>
      </c>
      <c r="P152" s="11">
        <f t="shared" si="18"/>
        <v>0</v>
      </c>
    </row>
    <row r="153" spans="1:16" x14ac:dyDescent="0.25">
      <c r="A153" s="11">
        <f t="shared" si="17"/>
        <v>98</v>
      </c>
      <c r="B153">
        <v>4.1541611750107554</v>
      </c>
      <c r="E153" s="11">
        <f>A153-'Mastercurve bestimmen'!$B$2</f>
        <v>48</v>
      </c>
      <c r="F153" s="11">
        <f t="shared" si="15"/>
        <v>4.1541611750107554</v>
      </c>
      <c r="G153" s="11"/>
      <c r="H153" s="11">
        <f t="shared" si="16"/>
        <v>28179280429056</v>
      </c>
      <c r="I153" s="11">
        <f t="shared" si="19"/>
        <v>587068342272</v>
      </c>
      <c r="J153" s="11">
        <f t="shared" si="19"/>
        <v>12230590464</v>
      </c>
      <c r="K153" s="11">
        <f t="shared" si="19"/>
        <v>254803968</v>
      </c>
      <c r="L153" s="11">
        <f t="shared" si="19"/>
        <v>5308416</v>
      </c>
      <c r="M153" s="11">
        <f t="shared" si="19"/>
        <v>110592</v>
      </c>
      <c r="N153" s="11">
        <f t="shared" si="19"/>
        <v>2304</v>
      </c>
      <c r="O153" s="11">
        <f t="shared" si="19"/>
        <v>48</v>
      </c>
      <c r="P153" s="11">
        <f t="shared" si="18"/>
        <v>0</v>
      </c>
    </row>
    <row r="154" spans="1:16" x14ac:dyDescent="0.25">
      <c r="A154" s="11">
        <f t="shared" si="17"/>
        <v>99</v>
      </c>
      <c r="B154">
        <v>4.2556882497881574</v>
      </c>
      <c r="E154" s="11">
        <f>A154-'Mastercurve bestimmen'!$B$2</f>
        <v>49</v>
      </c>
      <c r="F154" s="11">
        <f t="shared" si="15"/>
        <v>4.2556882497881574</v>
      </c>
      <c r="G154" s="11"/>
      <c r="H154" s="11">
        <f t="shared" si="16"/>
        <v>33232930569601</v>
      </c>
      <c r="I154" s="11">
        <f t="shared" si="19"/>
        <v>678223072849</v>
      </c>
      <c r="J154" s="11">
        <f t="shared" si="19"/>
        <v>13841287201</v>
      </c>
      <c r="K154" s="11">
        <f t="shared" si="19"/>
        <v>282475249</v>
      </c>
      <c r="L154" s="11">
        <f t="shared" si="19"/>
        <v>5764801</v>
      </c>
      <c r="M154" s="11">
        <f t="shared" si="19"/>
        <v>117649</v>
      </c>
      <c r="N154" s="11">
        <f t="shared" si="19"/>
        <v>2401</v>
      </c>
      <c r="O154" s="11">
        <f t="shared" si="19"/>
        <v>49</v>
      </c>
      <c r="P154" s="11">
        <f t="shared" si="18"/>
        <v>0</v>
      </c>
    </row>
    <row r="155" spans="1:16" x14ac:dyDescent="0.25">
      <c r="A155" s="11">
        <f t="shared" si="17"/>
        <v>100</v>
      </c>
      <c r="B155">
        <v>4.3579538873238493</v>
      </c>
      <c r="E155" s="11">
        <f>A155-'Mastercurve bestimmen'!$B$2</f>
        <v>50</v>
      </c>
      <c r="F155" s="11">
        <f t="shared" si="15"/>
        <v>4.3579538873238493</v>
      </c>
      <c r="G155" s="11"/>
      <c r="H155" s="11">
        <f t="shared" si="16"/>
        <v>39062500000000</v>
      </c>
      <c r="I155" s="11">
        <f t="shared" si="19"/>
        <v>781250000000</v>
      </c>
      <c r="J155" s="11">
        <f t="shared" si="19"/>
        <v>15625000000</v>
      </c>
      <c r="K155" s="11">
        <f t="shared" si="19"/>
        <v>312500000</v>
      </c>
      <c r="L155" s="11">
        <f t="shared" si="19"/>
        <v>6250000</v>
      </c>
      <c r="M155" s="11">
        <f t="shared" si="19"/>
        <v>125000</v>
      </c>
      <c r="N155" s="11">
        <f t="shared" si="19"/>
        <v>2500</v>
      </c>
      <c r="O155" s="11">
        <f t="shared" si="19"/>
        <v>50</v>
      </c>
      <c r="P155" s="11">
        <f t="shared" si="18"/>
        <v>0</v>
      </c>
    </row>
    <row r="156" spans="1:16" x14ac:dyDescent="0.25">
      <c r="A156" s="11">
        <f t="shared" si="17"/>
        <v>101</v>
      </c>
      <c r="B156">
        <v>4.4609637348269509</v>
      </c>
      <c r="E156" s="11">
        <f>A156-'Mastercurve bestimmen'!$B$2</f>
        <v>51</v>
      </c>
      <c r="F156" s="11">
        <f t="shared" si="15"/>
        <v>4.4609637348269509</v>
      </c>
      <c r="G156" s="11"/>
      <c r="H156" s="11">
        <f t="shared" si="16"/>
        <v>45767944570401</v>
      </c>
      <c r="I156" s="11">
        <f t="shared" si="19"/>
        <v>897410677851</v>
      </c>
      <c r="J156" s="11">
        <f t="shared" si="19"/>
        <v>17596287801</v>
      </c>
      <c r="K156" s="11">
        <f t="shared" si="19"/>
        <v>345025251</v>
      </c>
      <c r="L156" s="11">
        <f t="shared" si="19"/>
        <v>6765201</v>
      </c>
      <c r="M156" s="11">
        <f t="shared" si="19"/>
        <v>132651</v>
      </c>
      <c r="N156" s="11">
        <f t="shared" si="19"/>
        <v>2601</v>
      </c>
      <c r="O156" s="11">
        <f t="shared" si="19"/>
        <v>51</v>
      </c>
      <c r="P156" s="11">
        <f t="shared" si="18"/>
        <v>0</v>
      </c>
    </row>
    <row r="157" spans="1:16" x14ac:dyDescent="0.25">
      <c r="A157" s="11">
        <f t="shared" si="17"/>
        <v>102</v>
      </c>
      <c r="B157">
        <v>4.5647234395065777</v>
      </c>
      <c r="E157" s="11">
        <f>A157-'Mastercurve bestimmen'!$B$2</f>
        <v>52</v>
      </c>
      <c r="F157" s="11">
        <f t="shared" si="15"/>
        <v>4.5647234395065777</v>
      </c>
      <c r="G157" s="11"/>
      <c r="H157" s="11">
        <f t="shared" si="16"/>
        <v>53459728531456</v>
      </c>
      <c r="I157" s="11">
        <f t="shared" si="19"/>
        <v>1028071702528</v>
      </c>
      <c r="J157" s="11">
        <f t="shared" si="19"/>
        <v>19770609664</v>
      </c>
      <c r="K157" s="11">
        <f t="shared" si="19"/>
        <v>380204032</v>
      </c>
      <c r="L157" s="11">
        <f t="shared" si="19"/>
        <v>7311616</v>
      </c>
      <c r="M157" s="11">
        <f t="shared" si="19"/>
        <v>140608</v>
      </c>
      <c r="N157" s="11">
        <f t="shared" si="19"/>
        <v>2704</v>
      </c>
      <c r="O157" s="11">
        <f t="shared" si="19"/>
        <v>52</v>
      </c>
      <c r="P157" s="11">
        <f t="shared" si="18"/>
        <v>0</v>
      </c>
    </row>
    <row r="158" spans="1:16" x14ac:dyDescent="0.25">
      <c r="A158" s="11">
        <f t="shared" si="17"/>
        <v>103</v>
      </c>
      <c r="B158">
        <v>4.6692386485718496</v>
      </c>
      <c r="E158" s="11">
        <f>A158-'Mastercurve bestimmen'!$B$2</f>
        <v>53</v>
      </c>
      <c r="F158" s="11">
        <f t="shared" si="15"/>
        <v>4.6692386485718496</v>
      </c>
      <c r="G158" s="11"/>
      <c r="H158" s="11">
        <f t="shared" si="16"/>
        <v>62259690411361</v>
      </c>
      <c r="I158" s="11">
        <f t="shared" si="19"/>
        <v>1174711139837</v>
      </c>
      <c r="J158" s="11">
        <f t="shared" si="19"/>
        <v>22164361129</v>
      </c>
      <c r="K158" s="11">
        <f t="shared" si="19"/>
        <v>418195493</v>
      </c>
      <c r="L158" s="11">
        <f t="shared" si="19"/>
        <v>7890481</v>
      </c>
      <c r="M158" s="11">
        <f t="shared" si="19"/>
        <v>148877</v>
      </c>
      <c r="N158" s="11">
        <f t="shared" si="19"/>
        <v>2809</v>
      </c>
      <c r="O158" s="11">
        <f t="shared" si="19"/>
        <v>53</v>
      </c>
      <c r="P158" s="11">
        <f t="shared" si="18"/>
        <v>0</v>
      </c>
    </row>
    <row r="159" spans="1:16" x14ac:dyDescent="0.25">
      <c r="A159" s="11">
        <f t="shared" si="17"/>
        <v>104</v>
      </c>
      <c r="B159">
        <v>4.774515009231882</v>
      </c>
      <c r="E159" s="11">
        <f>A159-'Mastercurve bestimmen'!$B$2</f>
        <v>54</v>
      </c>
      <c r="F159" s="11">
        <f t="shared" si="15"/>
        <v>4.774515009231882</v>
      </c>
      <c r="G159" s="11"/>
      <c r="H159" s="11">
        <f t="shared" si="16"/>
        <v>72301961339136</v>
      </c>
      <c r="I159" s="11">
        <f t="shared" si="19"/>
        <v>1338925209984</v>
      </c>
      <c r="J159" s="11">
        <f t="shared" si="19"/>
        <v>24794911296</v>
      </c>
      <c r="K159" s="11">
        <f t="shared" si="19"/>
        <v>459165024</v>
      </c>
      <c r="L159" s="11">
        <f t="shared" si="19"/>
        <v>8503056</v>
      </c>
      <c r="M159" s="11">
        <f t="shared" si="19"/>
        <v>157464</v>
      </c>
      <c r="N159" s="11">
        <f t="shared" si="19"/>
        <v>2916</v>
      </c>
      <c r="O159" s="11">
        <f t="shared" si="19"/>
        <v>54</v>
      </c>
      <c r="P159" s="11">
        <f t="shared" si="18"/>
        <v>0</v>
      </c>
    </row>
    <row r="160" spans="1:16" x14ac:dyDescent="0.25">
      <c r="A160" s="11">
        <f t="shared" si="17"/>
        <v>105</v>
      </c>
      <c r="B160">
        <v>4.8805581686957957</v>
      </c>
      <c r="E160" s="11">
        <f>A160-'Mastercurve bestimmen'!$B$2</f>
        <v>55</v>
      </c>
      <c r="F160" s="11">
        <f t="shared" si="15"/>
        <v>4.8805581686957957</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4.9873737741727062</v>
      </c>
      <c r="E161" s="11">
        <f>A161-'Mastercurve bestimmen'!$B$2</f>
        <v>56</v>
      </c>
      <c r="F161" s="11">
        <f t="shared" si="15"/>
        <v>4.9873737741727062</v>
      </c>
      <c r="G161" s="11"/>
      <c r="H161" s="11">
        <f t="shared" si="16"/>
        <v>96717311574016</v>
      </c>
      <c r="I161" s="11">
        <f t="shared" si="19"/>
        <v>1727094849536</v>
      </c>
      <c r="J161" s="11">
        <f t="shared" si="19"/>
        <v>30840979456</v>
      </c>
      <c r="K161" s="11">
        <f t="shared" si="19"/>
        <v>550731776</v>
      </c>
      <c r="L161" s="11">
        <f t="shared" si="19"/>
        <v>9834496</v>
      </c>
      <c r="M161" s="11">
        <f t="shared" si="19"/>
        <v>175616</v>
      </c>
      <c r="N161" s="11">
        <f t="shared" si="19"/>
        <v>3136</v>
      </c>
      <c r="O161" s="11">
        <f t="shared" si="19"/>
        <v>56</v>
      </c>
      <c r="P161" s="11">
        <f t="shared" si="18"/>
        <v>0</v>
      </c>
    </row>
    <row r="162" spans="1:16" x14ac:dyDescent="0.25">
      <c r="A162" s="11">
        <f t="shared" si="17"/>
        <v>107</v>
      </c>
      <c r="B162">
        <v>5.0949674728717316</v>
      </c>
      <c r="E162" s="11">
        <f>A162-'Mastercurve bestimmen'!$B$2</f>
        <v>57</v>
      </c>
      <c r="F162" s="11">
        <f t="shared" si="15"/>
        <v>5.0949674728717316</v>
      </c>
      <c r="G162" s="11"/>
      <c r="H162" s="11">
        <f t="shared" si="16"/>
        <v>111429157112001</v>
      </c>
      <c r="I162" s="11">
        <f t="shared" si="19"/>
        <v>1954897493193</v>
      </c>
      <c r="J162" s="11">
        <f t="shared" si="19"/>
        <v>34296447249</v>
      </c>
      <c r="K162" s="11">
        <f t="shared" si="19"/>
        <v>601692057</v>
      </c>
      <c r="L162" s="11">
        <f t="shared" si="19"/>
        <v>10556001</v>
      </c>
      <c r="M162" s="11">
        <f t="shared" si="19"/>
        <v>185193</v>
      </c>
      <c r="N162" s="11">
        <f t="shared" si="19"/>
        <v>3249</v>
      </c>
      <c r="O162" s="11">
        <f t="shared" si="19"/>
        <v>57</v>
      </c>
      <c r="P162" s="11">
        <f t="shared" si="18"/>
        <v>0</v>
      </c>
    </row>
    <row r="163" spans="1:16" x14ac:dyDescent="0.25">
      <c r="A163" s="11">
        <f t="shared" si="17"/>
        <v>108</v>
      </c>
      <c r="B163">
        <v>5.2033449120019899</v>
      </c>
      <c r="E163" s="11">
        <f>A163-'Mastercurve bestimmen'!$B$2</f>
        <v>58</v>
      </c>
      <c r="F163" s="11">
        <f t="shared" si="15"/>
        <v>5.2033449120019899</v>
      </c>
      <c r="G163" s="11"/>
      <c r="H163" s="11">
        <f t="shared" si="16"/>
        <v>128063081718016</v>
      </c>
      <c r="I163" s="11">
        <f t="shared" si="19"/>
        <v>2207984167552</v>
      </c>
      <c r="J163" s="11">
        <f t="shared" si="19"/>
        <v>38068692544</v>
      </c>
      <c r="K163" s="11">
        <f t="shared" si="19"/>
        <v>656356768</v>
      </c>
      <c r="L163" s="11">
        <f t="shared" si="19"/>
        <v>11316496</v>
      </c>
      <c r="M163" s="11">
        <f t="shared" si="19"/>
        <v>195112</v>
      </c>
      <c r="N163" s="11">
        <f t="shared" si="19"/>
        <v>3364</v>
      </c>
      <c r="O163" s="11">
        <f t="shared" si="19"/>
        <v>58</v>
      </c>
      <c r="P163" s="11">
        <f t="shared" si="18"/>
        <v>0</v>
      </c>
    </row>
    <row r="164" spans="1:16" x14ac:dyDescent="0.25">
      <c r="A164" s="11">
        <f t="shared" si="17"/>
        <v>109</v>
      </c>
      <c r="B164">
        <v>5.3125117387725993</v>
      </c>
      <c r="E164" s="11">
        <f>A164-'Mastercurve bestimmen'!$B$2</f>
        <v>59</v>
      </c>
      <c r="F164" s="11">
        <f t="shared" si="15"/>
        <v>5.3125117387725993</v>
      </c>
      <c r="G164" s="11"/>
      <c r="H164" s="11">
        <f t="shared" si="16"/>
        <v>146830437604321</v>
      </c>
      <c r="I164" s="11">
        <f t="shared" si="19"/>
        <v>2488651484819</v>
      </c>
      <c r="J164" s="11">
        <f t="shared" si="19"/>
        <v>42180533641</v>
      </c>
      <c r="K164" s="11">
        <f t="shared" si="19"/>
        <v>714924299</v>
      </c>
      <c r="L164" s="11">
        <f t="shared" si="19"/>
        <v>12117361</v>
      </c>
      <c r="M164" s="11">
        <f t="shared" si="19"/>
        <v>205379</v>
      </c>
      <c r="N164" s="11">
        <f t="shared" si="19"/>
        <v>3481</v>
      </c>
      <c r="O164" s="11">
        <f t="shared" si="19"/>
        <v>59</v>
      </c>
      <c r="P164" s="11">
        <f t="shared" si="18"/>
        <v>0</v>
      </c>
    </row>
    <row r="165" spans="1:16" x14ac:dyDescent="0.25">
      <c r="A165" s="11">
        <f t="shared" si="17"/>
        <v>110</v>
      </c>
      <c r="B165">
        <v>5.422473600392677</v>
      </c>
      <c r="E165" s="11">
        <f>A165-'Mastercurve bestimmen'!$B$2</f>
        <v>60</v>
      </c>
      <c r="F165" s="11">
        <f t="shared" si="15"/>
        <v>5.422473600392677</v>
      </c>
      <c r="G165" s="11"/>
      <c r="H165" s="11">
        <f t="shared" si="16"/>
        <v>167961600000000</v>
      </c>
      <c r="I165" s="11">
        <f t="shared" si="19"/>
        <v>2799360000000</v>
      </c>
      <c r="J165" s="11">
        <f t="shared" si="19"/>
        <v>46656000000</v>
      </c>
      <c r="K165" s="11">
        <f t="shared" si="19"/>
        <v>777600000</v>
      </c>
      <c r="L165" s="11">
        <f t="shared" si="19"/>
        <v>12960000</v>
      </c>
      <c r="M165" s="11">
        <f t="shared" si="19"/>
        <v>216000</v>
      </c>
      <c r="N165" s="11">
        <f t="shared" si="19"/>
        <v>3600</v>
      </c>
      <c r="O165" s="11">
        <f t="shared" si="19"/>
        <v>60</v>
      </c>
      <c r="P165" s="11">
        <f t="shared" si="18"/>
        <v>0</v>
      </c>
    </row>
    <row r="166" spans="1:16" x14ac:dyDescent="0.25">
      <c r="A166" s="11">
        <f t="shared" si="17"/>
        <v>111</v>
      </c>
      <c r="B166">
        <v>5.5332361440713411</v>
      </c>
      <c r="E166" s="11">
        <f>A166-'Mastercurve bestimmen'!$B$2</f>
        <v>61</v>
      </c>
      <c r="F166" s="11">
        <f t="shared" si="15"/>
        <v>5.5332361440713411</v>
      </c>
      <c r="G166" s="11"/>
      <c r="H166" s="11">
        <f t="shared" si="16"/>
        <v>191707312997281</v>
      </c>
      <c r="I166" s="11">
        <f t="shared" si="19"/>
        <v>3142742836021</v>
      </c>
      <c r="J166" s="11">
        <f t="shared" si="19"/>
        <v>51520374361</v>
      </c>
      <c r="K166" s="11">
        <f t="shared" si="19"/>
        <v>844596301</v>
      </c>
      <c r="L166" s="11">
        <f t="shared" si="19"/>
        <v>13845841</v>
      </c>
      <c r="M166" s="11">
        <f t="shared" si="19"/>
        <v>226981</v>
      </c>
      <c r="N166" s="11">
        <f t="shared" si="19"/>
        <v>3721</v>
      </c>
      <c r="O166" s="11">
        <f t="shared" si="19"/>
        <v>61</v>
      </c>
      <c r="P166" s="11">
        <f t="shared" si="18"/>
        <v>0</v>
      </c>
    </row>
    <row r="167" spans="1:16" x14ac:dyDescent="0.25">
      <c r="A167" s="11">
        <f t="shared" si="17"/>
        <v>112</v>
      </c>
      <c r="B167">
        <v>5.6448050170177089</v>
      </c>
      <c r="E167" s="11">
        <f>A167-'Mastercurve bestimmen'!$B$2</f>
        <v>62</v>
      </c>
      <c r="F167" s="11">
        <f t="shared" si="15"/>
        <v>5.6448050170177089</v>
      </c>
      <c r="G167" s="11"/>
      <c r="H167" s="11">
        <f t="shared" si="16"/>
        <v>218340105584896</v>
      </c>
      <c r="I167" s="11">
        <f t="shared" si="19"/>
        <v>3521614606208</v>
      </c>
      <c r="J167" s="11">
        <f t="shared" si="19"/>
        <v>56800235584</v>
      </c>
      <c r="K167" s="11">
        <f t="shared" si="19"/>
        <v>916132832</v>
      </c>
      <c r="L167" s="11">
        <f t="shared" si="19"/>
        <v>14776336</v>
      </c>
      <c r="M167" s="11">
        <f t="shared" si="19"/>
        <v>238328</v>
      </c>
      <c r="N167" s="11">
        <f t="shared" si="19"/>
        <v>3844</v>
      </c>
      <c r="O167" s="11">
        <f t="shared" si="19"/>
        <v>62</v>
      </c>
      <c r="P167" s="11">
        <f t="shared" si="18"/>
        <v>0</v>
      </c>
    </row>
    <row r="168" spans="1:16" x14ac:dyDescent="0.25">
      <c r="A168" s="11">
        <f t="shared" si="17"/>
        <v>113</v>
      </c>
      <c r="B168">
        <v>5.7571858664408992</v>
      </c>
      <c r="E168" s="11">
        <f>A168-'Mastercurve bestimmen'!$B$2</f>
        <v>63</v>
      </c>
      <c r="F168" s="11">
        <f t="shared" si="15"/>
        <v>5.7571858664408992</v>
      </c>
      <c r="G168" s="11"/>
      <c r="H168" s="11">
        <f t="shared" si="16"/>
        <v>248155780267521</v>
      </c>
      <c r="I168" s="11">
        <f t="shared" si="19"/>
        <v>3938980639167</v>
      </c>
      <c r="J168" s="11">
        <f t="shared" si="19"/>
        <v>62523502209</v>
      </c>
      <c r="K168" s="11">
        <f t="shared" si="19"/>
        <v>992436543</v>
      </c>
      <c r="L168" s="11">
        <f t="shared" si="19"/>
        <v>15752961</v>
      </c>
      <c r="M168" s="11">
        <f t="shared" si="19"/>
        <v>250047</v>
      </c>
      <c r="N168" s="11">
        <f t="shared" si="19"/>
        <v>3969</v>
      </c>
      <c r="O168" s="11">
        <f t="shared" si="19"/>
        <v>63</v>
      </c>
      <c r="P168" s="11">
        <f t="shared" si="18"/>
        <v>0</v>
      </c>
    </row>
    <row r="169" spans="1:16" x14ac:dyDescent="0.25">
      <c r="A169" s="11">
        <f t="shared" si="17"/>
        <v>114</v>
      </c>
      <c r="B169">
        <v>5.8703843395500286</v>
      </c>
      <c r="E169" s="11">
        <f>A169-'Mastercurve bestimmen'!$B$2</f>
        <v>64</v>
      </c>
      <c r="F169" s="11">
        <f t="shared" si="15"/>
        <v>5.8703843395500286</v>
      </c>
      <c r="G169" s="11"/>
      <c r="H169" s="11">
        <f t="shared" si="16"/>
        <v>281474976710656</v>
      </c>
      <c r="I169" s="11">
        <f t="shared" si="19"/>
        <v>4398046511104</v>
      </c>
      <c r="J169" s="11">
        <f t="shared" si="19"/>
        <v>68719476736</v>
      </c>
      <c r="K169" s="11">
        <f t="shared" si="19"/>
        <v>1073741824</v>
      </c>
      <c r="L169" s="11">
        <f t="shared" si="19"/>
        <v>16777216</v>
      </c>
      <c r="M169" s="11">
        <f t="shared" si="19"/>
        <v>262144</v>
      </c>
      <c r="N169" s="11">
        <f t="shared" si="19"/>
        <v>4096</v>
      </c>
      <c r="O169" s="11">
        <f t="shared" si="19"/>
        <v>64</v>
      </c>
      <c r="P169" s="11">
        <f t="shared" si="18"/>
        <v>0</v>
      </c>
    </row>
    <row r="170" spans="1:16" x14ac:dyDescent="0.25">
      <c r="A170" s="11">
        <f t="shared" si="17"/>
        <v>115</v>
      </c>
      <c r="B170">
        <v>5.9844060835542141</v>
      </c>
      <c r="E170" s="11">
        <f>A170-'Mastercurve bestimmen'!$B$2</f>
        <v>65</v>
      </c>
      <c r="F170" s="11">
        <f t="shared" si="15"/>
        <v>5.9844060835542141</v>
      </c>
      <c r="G170" s="11"/>
      <c r="H170" s="11">
        <f t="shared" si="16"/>
        <v>318644812890625</v>
      </c>
      <c r="I170" s="11">
        <f t="shared" si="19"/>
        <v>4902227890625</v>
      </c>
      <c r="J170" s="11">
        <f t="shared" si="19"/>
        <v>75418890625</v>
      </c>
      <c r="K170" s="11">
        <f t="shared" si="19"/>
        <v>1160290625</v>
      </c>
      <c r="L170" s="11">
        <f t="shared" si="19"/>
        <v>17850625</v>
      </c>
      <c r="M170" s="11">
        <f t="shared" si="19"/>
        <v>274625</v>
      </c>
      <c r="N170" s="11">
        <f t="shared" si="19"/>
        <v>4225</v>
      </c>
      <c r="O170" s="11">
        <f t="shared" si="19"/>
        <v>65</v>
      </c>
      <c r="P170" s="11">
        <f t="shared" si="18"/>
        <v>0</v>
      </c>
    </row>
    <row r="171" spans="1:16" x14ac:dyDescent="0.25">
      <c r="A171" s="11">
        <f t="shared" si="17"/>
        <v>116</v>
      </c>
      <c r="B171">
        <v>6.0992567456625757</v>
      </c>
      <c r="E171" s="11">
        <f>A171-'Mastercurve bestimmen'!$B$2</f>
        <v>66</v>
      </c>
      <c r="F171" s="11">
        <f t="shared" si="15"/>
        <v>6.0992567456625757</v>
      </c>
      <c r="G171" s="11"/>
      <c r="H171" s="11">
        <f t="shared" si="16"/>
        <v>360040606269696</v>
      </c>
      <c r="I171" s="11">
        <f t="shared" si="19"/>
        <v>5455160701056</v>
      </c>
      <c r="J171" s="11">
        <f t="shared" si="19"/>
        <v>82653950016</v>
      </c>
      <c r="K171" s="11">
        <f t="shared" si="19"/>
        <v>1252332576</v>
      </c>
      <c r="L171" s="11">
        <f t="shared" si="19"/>
        <v>18974736</v>
      </c>
      <c r="M171" s="11">
        <f t="shared" si="19"/>
        <v>287496</v>
      </c>
      <c r="N171" s="11">
        <f t="shared" si="19"/>
        <v>4356</v>
      </c>
      <c r="O171" s="11">
        <f t="shared" si="19"/>
        <v>66</v>
      </c>
      <c r="P171" s="11">
        <f t="shared" si="18"/>
        <v>0</v>
      </c>
    </row>
    <row r="172" spans="1:16" x14ac:dyDescent="0.25">
      <c r="A172" s="11">
        <f t="shared" si="17"/>
        <v>117</v>
      </c>
      <c r="B172">
        <v>6.2149419730842306</v>
      </c>
      <c r="E172" s="11">
        <f>A172-'Mastercurve bestimmen'!$B$2</f>
        <v>67</v>
      </c>
      <c r="F172" s="11">
        <f t="shared" si="15"/>
        <v>6.2149419730842306</v>
      </c>
      <c r="G172" s="11"/>
      <c r="H172" s="11">
        <f t="shared" si="16"/>
        <v>406067677556641</v>
      </c>
      <c r="I172" s="11">
        <f t="shared" si="19"/>
        <v>6060711605323</v>
      </c>
      <c r="J172" s="11">
        <f t="shared" si="19"/>
        <v>90458382169</v>
      </c>
      <c r="K172" s="11">
        <f t="shared" si="19"/>
        <v>1350125107</v>
      </c>
      <c r="L172" s="11">
        <f t="shared" si="19"/>
        <v>20151121</v>
      </c>
      <c r="M172" s="11">
        <f t="shared" si="19"/>
        <v>300763</v>
      </c>
      <c r="N172" s="11">
        <f t="shared" si="19"/>
        <v>4489</v>
      </c>
      <c r="O172" s="11">
        <f t="shared" si="19"/>
        <v>67</v>
      </c>
      <c r="P172" s="11">
        <f t="shared" si="18"/>
        <v>0</v>
      </c>
    </row>
    <row r="173" spans="1:16" x14ac:dyDescent="0.25">
      <c r="A173" s="11">
        <f t="shared" si="17"/>
        <v>118</v>
      </c>
      <c r="B173">
        <v>6.3314674130282951</v>
      </c>
      <c r="E173" s="11">
        <f>A173-'Mastercurve bestimmen'!$B$2</f>
        <v>68</v>
      </c>
      <c r="F173" s="11">
        <f t="shared" si="15"/>
        <v>6.3314674130282951</v>
      </c>
      <c r="G173" s="11"/>
      <c r="H173" s="11">
        <f t="shared" si="16"/>
        <v>457163239653376</v>
      </c>
      <c r="I173" s="11">
        <f t="shared" si="19"/>
        <v>6722988818432</v>
      </c>
      <c r="J173" s="11">
        <f t="shared" si="19"/>
        <v>98867482624</v>
      </c>
      <c r="K173" s="11">
        <f t="shared" si="19"/>
        <v>1453933568</v>
      </c>
      <c r="L173" s="11">
        <f t="shared" si="19"/>
        <v>21381376</v>
      </c>
      <c r="M173" s="11">
        <f t="shared" si="19"/>
        <v>314432</v>
      </c>
      <c r="N173" s="11">
        <f t="shared" si="19"/>
        <v>4624</v>
      </c>
      <c r="O173" s="11">
        <f t="shared" si="19"/>
        <v>68</v>
      </c>
      <c r="P173" s="11">
        <f t="shared" si="18"/>
        <v>0</v>
      </c>
    </row>
    <row r="174" spans="1:16" x14ac:dyDescent="0.25">
      <c r="A174" s="11">
        <f t="shared" si="17"/>
        <v>119</v>
      </c>
      <c r="B174">
        <v>6.4488387127038882</v>
      </c>
      <c r="E174" s="11">
        <f>A174-'Mastercurve bestimmen'!$B$2</f>
        <v>69</v>
      </c>
      <c r="F174" s="11">
        <f t="shared" si="15"/>
        <v>6.4488387127038882</v>
      </c>
      <c r="G174" s="11"/>
      <c r="H174" s="11">
        <f t="shared" si="16"/>
        <v>513798374428641</v>
      </c>
      <c r="I174" s="11">
        <f t="shared" si="19"/>
        <v>7446353252589</v>
      </c>
      <c r="J174" s="11">
        <f t="shared" si="19"/>
        <v>107918163081</v>
      </c>
      <c r="K174" s="11">
        <f t="shared" si="19"/>
        <v>1564031349</v>
      </c>
      <c r="L174" s="11">
        <f t="shared" si="19"/>
        <v>22667121</v>
      </c>
      <c r="M174" s="11">
        <f t="shared" si="19"/>
        <v>328509</v>
      </c>
      <c r="N174" s="11">
        <f t="shared" si="19"/>
        <v>4761</v>
      </c>
      <c r="O174" s="11">
        <f t="shared" si="19"/>
        <v>69</v>
      </c>
      <c r="P174" s="11">
        <f t="shared" si="18"/>
        <v>0</v>
      </c>
    </row>
    <row r="175" spans="1:16" x14ac:dyDescent="0.25">
      <c r="A175" s="11">
        <f t="shared" si="17"/>
        <v>120</v>
      </c>
      <c r="B175">
        <v>6.5670615193201272</v>
      </c>
      <c r="E175" s="11">
        <f>A175-'Mastercurve bestimmen'!$B$2</f>
        <v>70</v>
      </c>
      <c r="F175" s="11">
        <f t="shared" si="15"/>
        <v>6.5670615193201272</v>
      </c>
      <c r="G175" s="11"/>
      <c r="H175" s="11">
        <f t="shared" si="16"/>
        <v>576480100000000</v>
      </c>
      <c r="I175" s="11">
        <f t="shared" si="19"/>
        <v>8235430000000</v>
      </c>
      <c r="J175" s="11">
        <f t="shared" si="19"/>
        <v>117649000000</v>
      </c>
      <c r="K175" s="11">
        <f t="shared" si="19"/>
        <v>1680700000</v>
      </c>
      <c r="L175" s="11">
        <f t="shared" si="19"/>
        <v>24010000</v>
      </c>
      <c r="M175" s="11">
        <f t="shared" si="19"/>
        <v>343000</v>
      </c>
      <c r="N175" s="11">
        <f t="shared" si="19"/>
        <v>4900</v>
      </c>
      <c r="O175" s="11">
        <f t="shared" si="19"/>
        <v>70</v>
      </c>
      <c r="P175" s="11">
        <f t="shared" si="18"/>
        <v>0</v>
      </c>
    </row>
    <row r="176" spans="1:16" x14ac:dyDescent="0.25">
      <c r="A176" s="11">
        <f t="shared" si="17"/>
        <v>121</v>
      </c>
      <c r="B176">
        <v>6.686141480086131</v>
      </c>
      <c r="E176" s="11">
        <f>A176-'Mastercurve bestimmen'!$B$2</f>
        <v>71</v>
      </c>
      <c r="F176" s="11">
        <f t="shared" si="15"/>
        <v>6.686141480086131</v>
      </c>
      <c r="G176" s="11"/>
      <c r="H176" s="11">
        <f t="shared" si="16"/>
        <v>645753531245761</v>
      </c>
      <c r="I176" s="11">
        <f t="shared" si="19"/>
        <v>9095120158391</v>
      </c>
      <c r="J176" s="11">
        <f t="shared" si="19"/>
        <v>128100283921</v>
      </c>
      <c r="K176" s="11">
        <f t="shared" si="19"/>
        <v>1804229351</v>
      </c>
      <c r="L176" s="11">
        <f t="shared" si="19"/>
        <v>25411681</v>
      </c>
      <c r="M176" s="11">
        <f t="shared" si="19"/>
        <v>357911</v>
      </c>
      <c r="N176" s="11">
        <f t="shared" si="19"/>
        <v>5041</v>
      </c>
      <c r="O176" s="11">
        <f t="shared" si="19"/>
        <v>71</v>
      </c>
      <c r="P176" s="11">
        <f t="shared" si="18"/>
        <v>0</v>
      </c>
    </row>
    <row r="177" spans="1:16" x14ac:dyDescent="0.25">
      <c r="A177" s="11">
        <f t="shared" si="17"/>
        <v>122</v>
      </c>
      <c r="B177">
        <v>6.806084242211015</v>
      </c>
      <c r="E177" s="11">
        <f>A177-'Mastercurve bestimmen'!$B$2</f>
        <v>72</v>
      </c>
      <c r="F177" s="11">
        <f t="shared" si="15"/>
        <v>6.806084242211015</v>
      </c>
      <c r="G177" s="11"/>
      <c r="H177" s="11">
        <f t="shared" si="16"/>
        <v>722204136308736</v>
      </c>
      <c r="I177" s="11">
        <f t="shared" si="19"/>
        <v>10030613004288</v>
      </c>
      <c r="J177" s="11">
        <f t="shared" si="19"/>
        <v>139314069504</v>
      </c>
      <c r="K177" s="11">
        <f t="shared" si="19"/>
        <v>1934917632</v>
      </c>
      <c r="L177" s="11">
        <f t="shared" si="19"/>
        <v>26873856</v>
      </c>
      <c r="M177" s="11">
        <f t="shared" si="19"/>
        <v>373248</v>
      </c>
      <c r="N177" s="11">
        <f t="shared" si="19"/>
        <v>5184</v>
      </c>
      <c r="O177" s="11">
        <f t="shared" si="19"/>
        <v>72</v>
      </c>
      <c r="P177" s="11">
        <f t="shared" si="18"/>
        <v>0</v>
      </c>
    </row>
    <row r="178" spans="1:16" x14ac:dyDescent="0.25">
      <c r="A178" s="11">
        <f t="shared" si="17"/>
        <v>123</v>
      </c>
      <c r="B178">
        <v>6.9268954529038993</v>
      </c>
      <c r="E178" s="11">
        <f>A178-'Mastercurve bestimmen'!$B$2</f>
        <v>73</v>
      </c>
      <c r="F178" s="11">
        <f t="shared" si="15"/>
        <v>6.9268954529038993</v>
      </c>
      <c r="G178" s="11"/>
      <c r="H178" s="11">
        <f t="shared" si="16"/>
        <v>806460091894081</v>
      </c>
      <c r="I178" s="11">
        <f t="shared" si="19"/>
        <v>11047398519097</v>
      </c>
      <c r="J178" s="11">
        <f t="shared" si="19"/>
        <v>151334226289</v>
      </c>
      <c r="K178" s="11">
        <f t="shared" si="19"/>
        <v>2073071593</v>
      </c>
      <c r="L178" s="11">
        <f t="shared" si="19"/>
        <v>28398241</v>
      </c>
      <c r="M178" s="11">
        <f t="shared" si="19"/>
        <v>389017</v>
      </c>
      <c r="N178" s="11">
        <f t="shared" si="19"/>
        <v>5329</v>
      </c>
      <c r="O178" s="11">
        <f t="shared" si="19"/>
        <v>73</v>
      </c>
      <c r="P178" s="11">
        <f t="shared" si="18"/>
        <v>0</v>
      </c>
    </row>
    <row r="179" spans="1:16" x14ac:dyDescent="0.25">
      <c r="A179" s="11">
        <f t="shared" si="17"/>
        <v>124</v>
      </c>
      <c r="B179">
        <v>7.0485807593739001</v>
      </c>
      <c r="E179" s="11">
        <f>A179-'Mastercurve bestimmen'!$B$2</f>
        <v>74</v>
      </c>
      <c r="F179" s="11">
        <f t="shared" si="15"/>
        <v>7.0485807593739001</v>
      </c>
      <c r="G179" s="11"/>
      <c r="H179" s="11">
        <f t="shared" si="16"/>
        <v>899194740203776</v>
      </c>
      <c r="I179" s="11">
        <f t="shared" si="19"/>
        <v>12151280273024</v>
      </c>
      <c r="J179" s="11">
        <f t="shared" si="19"/>
        <v>164206490176</v>
      </c>
      <c r="K179" s="11">
        <f t="shared" si="19"/>
        <v>2219006624</v>
      </c>
      <c r="L179" s="11">
        <f t="shared" si="19"/>
        <v>29986576</v>
      </c>
      <c r="M179" s="11">
        <f t="shared" si="19"/>
        <v>405224</v>
      </c>
      <c r="N179" s="11">
        <f t="shared" si="19"/>
        <v>5476</v>
      </c>
      <c r="O179" s="11">
        <f t="shared" si="19"/>
        <v>74</v>
      </c>
      <c r="P179" s="11">
        <f t="shared" si="18"/>
        <v>0</v>
      </c>
    </row>
    <row r="180" spans="1:16" x14ac:dyDescent="0.25">
      <c r="A180" s="11">
        <f t="shared" si="17"/>
        <v>125</v>
      </c>
      <c r="B180">
        <v>7.1711458088301363</v>
      </c>
      <c r="E180" s="11">
        <f>A180-'Mastercurve bestimmen'!$B$2</f>
        <v>75</v>
      </c>
      <c r="F180" s="11">
        <f t="shared" si="15"/>
        <v>7.1711458088301363</v>
      </c>
      <c r="G180" s="11"/>
      <c r="H180" s="11">
        <f t="shared" si="16"/>
        <v>1001129150390625</v>
      </c>
      <c r="I180" s="11">
        <f t="shared" si="19"/>
        <v>13348388671875</v>
      </c>
      <c r="J180" s="11">
        <f t="shared" si="19"/>
        <v>177978515625</v>
      </c>
      <c r="K180" s="11">
        <f t="shared" si="19"/>
        <v>2373046875</v>
      </c>
      <c r="L180" s="11">
        <f t="shared" si="19"/>
        <v>31640625</v>
      </c>
      <c r="M180" s="11">
        <f t="shared" si="19"/>
        <v>421875</v>
      </c>
      <c r="N180" s="11">
        <f t="shared" si="19"/>
        <v>5625</v>
      </c>
      <c r="O180" s="11">
        <f t="shared" si="19"/>
        <v>75</v>
      </c>
      <c r="P180" s="11">
        <f t="shared" si="18"/>
        <v>0</v>
      </c>
    </row>
    <row r="181" spans="1:16" x14ac:dyDescent="0.25">
      <c r="A181" s="11">
        <f t="shared" si="17"/>
        <v>126</v>
      </c>
      <c r="B181">
        <v>7.294591091136418</v>
      </c>
      <c r="E181" s="11">
        <f>A181-'Mastercurve bestimmen'!$B$2</f>
        <v>76</v>
      </c>
      <c r="F181" s="11">
        <f t="shared" si="15"/>
        <v>7.294591091136418</v>
      </c>
      <c r="G181" s="11"/>
      <c r="H181" s="11">
        <f t="shared" si="16"/>
        <v>1113034787454976</v>
      </c>
      <c r="I181" s="11">
        <f t="shared" si="19"/>
        <v>14645194571776</v>
      </c>
      <c r="J181" s="11">
        <f t="shared" si="19"/>
        <v>192699928576</v>
      </c>
      <c r="K181" s="11">
        <f t="shared" si="19"/>
        <v>2535525376</v>
      </c>
      <c r="L181" s="11">
        <f t="shared" si="19"/>
        <v>33362176</v>
      </c>
      <c r="M181" s="11">
        <f t="shared" si="19"/>
        <v>438976</v>
      </c>
      <c r="N181" s="11">
        <f t="shared" si="19"/>
        <v>5776</v>
      </c>
      <c r="O181" s="11">
        <f t="shared" si="19"/>
        <v>76</v>
      </c>
      <c r="P181" s="11">
        <f t="shared" si="18"/>
        <v>0</v>
      </c>
    </row>
    <row r="182" spans="1:16" x14ac:dyDescent="0.25">
      <c r="A182" s="11">
        <f t="shared" si="17"/>
        <v>127</v>
      </c>
      <c r="B182">
        <v>7.418896466775327</v>
      </c>
      <c r="E182" s="11">
        <f>A182-'Mastercurve bestimmen'!$B$2</f>
        <v>77</v>
      </c>
      <c r="F182" s="11">
        <f t="shared" si="15"/>
        <v>7.418896466775327</v>
      </c>
      <c r="G182" s="11"/>
      <c r="H182" s="11">
        <f t="shared" si="16"/>
        <v>1235736291547681</v>
      </c>
      <c r="I182" s="11">
        <f t="shared" si="19"/>
        <v>16048523266853</v>
      </c>
      <c r="J182" s="11">
        <f t="shared" si="19"/>
        <v>208422380089</v>
      </c>
      <c r="K182" s="11">
        <f t="shared" si="19"/>
        <v>2706784157</v>
      </c>
      <c r="L182" s="11">
        <f t="shared" si="19"/>
        <v>35153041</v>
      </c>
      <c r="M182" s="11">
        <f t="shared" si="19"/>
        <v>456533</v>
      </c>
      <c r="N182" s="11">
        <f t="shared" si="19"/>
        <v>5929</v>
      </c>
      <c r="O182" s="11">
        <f t="shared" si="19"/>
        <v>77</v>
      </c>
      <c r="P182" s="11">
        <f t="shared" si="18"/>
        <v>0</v>
      </c>
    </row>
    <row r="183" spans="1:16" x14ac:dyDescent="0.25">
      <c r="A183" s="11">
        <f t="shared" si="17"/>
        <v>128</v>
      </c>
      <c r="B183">
        <v>7.5440366388841413</v>
      </c>
      <c r="E183" s="11">
        <f>A183-'Mastercurve bestimmen'!$B$2</f>
        <v>78</v>
      </c>
      <c r="F183" s="11">
        <f t="shared" si="15"/>
        <v>7.5440366388841413</v>
      </c>
      <c r="G183" s="11"/>
      <c r="H183" s="11">
        <f t="shared" si="16"/>
        <v>1370114370683136</v>
      </c>
      <c r="I183" s="11">
        <f t="shared" si="19"/>
        <v>17565568854912</v>
      </c>
      <c r="J183" s="11">
        <f t="shared" si="19"/>
        <v>225199600704</v>
      </c>
      <c r="K183" s="11">
        <f t="shared" si="19"/>
        <v>2887174368</v>
      </c>
      <c r="L183" s="11">
        <f t="shared" si="19"/>
        <v>37015056</v>
      </c>
      <c r="M183" s="11">
        <f t="shared" si="19"/>
        <v>474552</v>
      </c>
      <c r="N183" s="11">
        <f t="shared" si="19"/>
        <v>6084</v>
      </c>
      <c r="O183" s="11">
        <f t="shared" si="19"/>
        <v>78</v>
      </c>
      <c r="P183" s="11">
        <f t="shared" si="18"/>
        <v>0</v>
      </c>
    </row>
    <row r="184" spans="1:16" x14ac:dyDescent="0.25">
      <c r="A184" s="11">
        <f t="shared" si="17"/>
        <v>129</v>
      </c>
      <c r="B184">
        <v>7.6699863106001347</v>
      </c>
      <c r="E184" s="11">
        <f>A184-'Mastercurve bestimmen'!$B$2</f>
        <v>79</v>
      </c>
      <c r="F184" s="11">
        <f t="shared" si="15"/>
        <v>7.6699863106001347</v>
      </c>
      <c r="G184" s="11"/>
      <c r="H184" s="11">
        <f t="shared" si="16"/>
        <v>1517108809906561</v>
      </c>
      <c r="I184" s="11">
        <f t="shared" si="19"/>
        <v>19203908986159</v>
      </c>
      <c r="J184" s="11">
        <f t="shared" si="19"/>
        <v>243087455521</v>
      </c>
      <c r="K184" s="11">
        <f t="shared" si="19"/>
        <v>3077056399</v>
      </c>
      <c r="L184" s="11">
        <f t="shared" si="19"/>
        <v>38950081</v>
      </c>
      <c r="M184" s="11">
        <f t="shared" si="19"/>
        <v>493039</v>
      </c>
      <c r="N184" s="11">
        <f t="shared" si="19"/>
        <v>6241</v>
      </c>
      <c r="O184" s="11">
        <f t="shared" si="19"/>
        <v>79</v>
      </c>
      <c r="P184" s="11">
        <f t="shared" si="18"/>
        <v>0</v>
      </c>
    </row>
    <row r="185" spans="1:16" x14ac:dyDescent="0.25">
      <c r="A185" s="11">
        <f t="shared" si="17"/>
        <v>130</v>
      </c>
      <c r="B185">
        <v>7.7967201850605825</v>
      </c>
      <c r="E185" s="11">
        <f>A185-'Mastercurve bestimmen'!$B$2</f>
        <v>80</v>
      </c>
      <c r="F185" s="11">
        <f t="shared" si="15"/>
        <v>7.7967201850605825</v>
      </c>
      <c r="G185" s="11"/>
      <c r="H185" s="11">
        <f t="shared" si="16"/>
        <v>1677721600000000</v>
      </c>
      <c r="I185" s="11">
        <f t="shared" si="19"/>
        <v>20971520000000</v>
      </c>
      <c r="J185" s="11">
        <f t="shared" si="19"/>
        <v>262144000000</v>
      </c>
      <c r="K185" s="11">
        <f t="shared" si="19"/>
        <v>3276800000</v>
      </c>
      <c r="L185" s="11">
        <f t="shared" si="19"/>
        <v>40960000</v>
      </c>
      <c r="M185" s="11">
        <f t="shared" si="19"/>
        <v>512000</v>
      </c>
      <c r="N185" s="11">
        <f t="shared" si="19"/>
        <v>6400</v>
      </c>
      <c r="O185" s="11">
        <f t="shared" si="19"/>
        <v>80</v>
      </c>
      <c r="P185" s="11">
        <f t="shared" si="18"/>
        <v>0</v>
      </c>
    </row>
    <row r="186" spans="1:16" x14ac:dyDescent="0.25">
      <c r="A186" s="11">
        <f t="shared" si="17"/>
        <v>131</v>
      </c>
      <c r="B186">
        <v>7.924212965402762</v>
      </c>
      <c r="E186" s="11">
        <f>A186-'Mastercurve bestimmen'!$B$2</f>
        <v>81</v>
      </c>
      <c r="F186" s="11">
        <f t="shared" si="15"/>
        <v>7.924212965402762</v>
      </c>
      <c r="G186" s="11"/>
      <c r="H186" s="11">
        <f t="shared" si="16"/>
        <v>1853020188851841</v>
      </c>
      <c r="I186" s="11">
        <f t="shared" si="19"/>
        <v>22876792454961</v>
      </c>
      <c r="J186" s="11">
        <f t="shared" si="19"/>
        <v>282429536481</v>
      </c>
      <c r="K186" s="11">
        <f t="shared" si="19"/>
        <v>3486784401</v>
      </c>
      <c r="L186" s="11">
        <f t="shared" si="19"/>
        <v>43046721</v>
      </c>
      <c r="M186" s="11">
        <f t="shared" si="19"/>
        <v>531441</v>
      </c>
      <c r="N186" s="11">
        <f t="shared" si="19"/>
        <v>6561</v>
      </c>
      <c r="O186" s="11">
        <f t="shared" si="19"/>
        <v>81</v>
      </c>
      <c r="P186" s="11">
        <f t="shared" si="18"/>
        <v>0</v>
      </c>
    </row>
    <row r="187" spans="1:16" x14ac:dyDescent="0.25">
      <c r="A187" s="11">
        <f t="shared" si="17"/>
        <v>132</v>
      </c>
      <c r="B187">
        <v>8.0524393547639477</v>
      </c>
      <c r="E187" s="11">
        <f>A187-'Mastercurve bestimmen'!$B$2</f>
        <v>82</v>
      </c>
      <c r="F187" s="11">
        <f t="shared" si="15"/>
        <v>8.0524393547639477</v>
      </c>
      <c r="G187" s="11"/>
      <c r="H187" s="11">
        <f t="shared" si="16"/>
        <v>2044140858654976</v>
      </c>
      <c r="I187" s="11">
        <f t="shared" si="19"/>
        <v>24928547056768</v>
      </c>
      <c r="J187" s="11">
        <f t="shared" si="19"/>
        <v>304006671424</v>
      </c>
      <c r="K187" s="11">
        <f t="shared" si="19"/>
        <v>3707398432</v>
      </c>
      <c r="L187" s="11">
        <f t="shared" si="19"/>
        <v>45212176</v>
      </c>
      <c r="M187" s="11">
        <f t="shared" si="19"/>
        <v>551368</v>
      </c>
      <c r="N187" s="11">
        <f t="shared" si="19"/>
        <v>6724</v>
      </c>
      <c r="O187" s="11">
        <f t="shared" si="19"/>
        <v>82</v>
      </c>
      <c r="P187" s="11">
        <f t="shared" si="18"/>
        <v>0</v>
      </c>
    </row>
    <row r="188" spans="1:16" x14ac:dyDescent="0.25">
      <c r="A188" s="11">
        <f t="shared" si="17"/>
        <v>133</v>
      </c>
      <c r="B188">
        <v>8.1813740562814168</v>
      </c>
      <c r="E188" s="11">
        <f>A188-'Mastercurve bestimmen'!$B$2</f>
        <v>83</v>
      </c>
      <c r="F188" s="11">
        <f t="shared" si="15"/>
        <v>8.1813740562814168</v>
      </c>
      <c r="G188" s="11"/>
      <c r="H188" s="11">
        <f t="shared" si="16"/>
        <v>2252292232139041</v>
      </c>
      <c r="I188" s="11">
        <f t="shared" si="19"/>
        <v>27136050989627</v>
      </c>
      <c r="J188" s="11">
        <f t="shared" si="19"/>
        <v>326940373369</v>
      </c>
      <c r="K188" s="11">
        <f t="shared" si="19"/>
        <v>3939040643</v>
      </c>
      <c r="L188" s="11">
        <f t="shared" si="19"/>
        <v>47458321</v>
      </c>
      <c r="M188" s="11">
        <f t="shared" si="19"/>
        <v>571787</v>
      </c>
      <c r="N188" s="11">
        <f t="shared" si="19"/>
        <v>6889</v>
      </c>
      <c r="O188" s="11">
        <f t="shared" si="19"/>
        <v>83</v>
      </c>
      <c r="P188" s="11">
        <f t="shared" si="18"/>
        <v>0</v>
      </c>
    </row>
    <row r="189" spans="1:16" x14ac:dyDescent="0.25">
      <c r="A189" s="11">
        <f t="shared" si="17"/>
        <v>134</v>
      </c>
      <c r="B189">
        <v>8.3109917730924412</v>
      </c>
      <c r="E189" s="11">
        <f>A189-'Mastercurve bestimmen'!$B$2</f>
        <v>84</v>
      </c>
      <c r="F189" s="11">
        <f t="shared" si="15"/>
        <v>8.3109917730924412</v>
      </c>
      <c r="G189" s="11"/>
      <c r="H189" s="11">
        <f t="shared" si="16"/>
        <v>2478758911082496</v>
      </c>
      <c r="I189" s="11">
        <f t="shared" si="19"/>
        <v>29509034655744</v>
      </c>
      <c r="J189" s="11">
        <f t="shared" ref="I189:O215" si="20">IF($H$12&gt;=J$14,$E189^J$14,0)</f>
        <v>351298031616</v>
      </c>
      <c r="K189" s="11">
        <f t="shared" si="20"/>
        <v>4182119424</v>
      </c>
      <c r="L189" s="11">
        <f t="shared" si="20"/>
        <v>49787136</v>
      </c>
      <c r="M189" s="11">
        <f t="shared" si="20"/>
        <v>592704</v>
      </c>
      <c r="N189" s="11">
        <f t="shared" si="20"/>
        <v>7056</v>
      </c>
      <c r="O189" s="11">
        <f t="shared" si="20"/>
        <v>84</v>
      </c>
      <c r="P189" s="11">
        <f t="shared" si="18"/>
        <v>0</v>
      </c>
    </row>
    <row r="190" spans="1:16" x14ac:dyDescent="0.25">
      <c r="A190" s="11">
        <f t="shared" si="17"/>
        <v>135</v>
      </c>
      <c r="B190">
        <v>8.4412672083343008</v>
      </c>
      <c r="E190" s="11">
        <f>A190-'Mastercurve bestimmen'!$B$2</f>
        <v>85</v>
      </c>
      <c r="F190" s="11">
        <f t="shared" si="15"/>
        <v>8.4412672083343008</v>
      </c>
      <c r="G190" s="11"/>
      <c r="H190" s="11">
        <f t="shared" si="16"/>
        <v>2724905250390625</v>
      </c>
      <c r="I190" s="11">
        <f t="shared" si="20"/>
        <v>32057708828125</v>
      </c>
      <c r="J190" s="11">
        <f t="shared" si="20"/>
        <v>377149515625</v>
      </c>
      <c r="K190" s="11">
        <f t="shared" si="20"/>
        <v>4437053125</v>
      </c>
      <c r="L190" s="11">
        <f t="shared" si="20"/>
        <v>52200625</v>
      </c>
      <c r="M190" s="11">
        <f t="shared" si="20"/>
        <v>614125</v>
      </c>
      <c r="N190" s="11">
        <f t="shared" si="20"/>
        <v>7225</v>
      </c>
      <c r="O190" s="11">
        <f t="shared" si="20"/>
        <v>85</v>
      </c>
      <c r="P190" s="11">
        <f t="shared" si="18"/>
        <v>0</v>
      </c>
    </row>
    <row r="191" spans="1:16" x14ac:dyDescent="0.25">
      <c r="A191" s="11">
        <f t="shared" si="17"/>
        <v>136</v>
      </c>
      <c r="B191">
        <v>8.5721750651442683</v>
      </c>
      <c r="E191" s="11">
        <f>A191-'Mastercurve bestimmen'!$B$2</f>
        <v>86</v>
      </c>
      <c r="F191" s="11">
        <f t="shared" si="15"/>
        <v>8.5721750651442683</v>
      </c>
      <c r="G191" s="11"/>
      <c r="H191" s="11">
        <f t="shared" si="16"/>
        <v>2992179271065856</v>
      </c>
      <c r="I191" s="11">
        <f t="shared" si="20"/>
        <v>34792782221696</v>
      </c>
      <c r="J191" s="11">
        <f t="shared" si="20"/>
        <v>404567235136</v>
      </c>
      <c r="K191" s="11">
        <f t="shared" si="20"/>
        <v>4704270176</v>
      </c>
      <c r="L191" s="11">
        <f t="shared" si="20"/>
        <v>54700816</v>
      </c>
      <c r="M191" s="11">
        <f t="shared" si="20"/>
        <v>636056</v>
      </c>
      <c r="N191" s="11">
        <f t="shared" si="20"/>
        <v>7396</v>
      </c>
      <c r="O191" s="11">
        <f t="shared" si="20"/>
        <v>86</v>
      </c>
      <c r="P191" s="11">
        <f t="shared" si="18"/>
        <v>0</v>
      </c>
    </row>
    <row r="192" spans="1:16" x14ac:dyDescent="0.25">
      <c r="A192" s="11">
        <f t="shared" si="17"/>
        <v>137</v>
      </c>
      <c r="B192">
        <v>8.7036900466596201</v>
      </c>
      <c r="E192" s="11">
        <f>A192-'Mastercurve bestimmen'!$B$2</f>
        <v>87</v>
      </c>
      <c r="F192" s="11">
        <f t="shared" si="15"/>
        <v>8.7036900466596201</v>
      </c>
      <c r="G192" s="11"/>
      <c r="H192" s="11">
        <f t="shared" si="16"/>
        <v>3282116715437121</v>
      </c>
      <c r="I192" s="11">
        <f t="shared" si="20"/>
        <v>37725479487783</v>
      </c>
      <c r="J192" s="11">
        <f t="shared" si="20"/>
        <v>433626201009</v>
      </c>
      <c r="K192" s="11">
        <f t="shared" si="20"/>
        <v>4984209207</v>
      </c>
      <c r="L192" s="11">
        <f t="shared" si="20"/>
        <v>57289761</v>
      </c>
      <c r="M192" s="11">
        <f t="shared" si="20"/>
        <v>658503</v>
      </c>
      <c r="N192" s="11">
        <f t="shared" si="20"/>
        <v>7569</v>
      </c>
      <c r="O192" s="11">
        <f t="shared" si="20"/>
        <v>87</v>
      </c>
      <c r="P192" s="11">
        <f t="shared" si="18"/>
        <v>0</v>
      </c>
    </row>
    <row r="193" spans="1:16" x14ac:dyDescent="0.25">
      <c r="A193" s="11">
        <f t="shared" si="17"/>
        <v>138</v>
      </c>
      <c r="B193">
        <v>8.8357868560176342</v>
      </c>
      <c r="E193" s="11">
        <f>A193-'Mastercurve bestimmen'!$B$2</f>
        <v>88</v>
      </c>
      <c r="F193" s="11">
        <f t="shared" si="15"/>
        <v>8.8357868560176342</v>
      </c>
      <c r="G193" s="11"/>
      <c r="H193" s="11">
        <f t="shared" si="16"/>
        <v>3596345248055296</v>
      </c>
      <c r="I193" s="11">
        <f t="shared" si="20"/>
        <v>40867559636992</v>
      </c>
      <c r="J193" s="11">
        <f t="shared" si="20"/>
        <v>464404086784</v>
      </c>
      <c r="K193" s="11">
        <f t="shared" si="20"/>
        <v>5277319168</v>
      </c>
      <c r="L193" s="11">
        <f t="shared" si="20"/>
        <v>59969536</v>
      </c>
      <c r="M193" s="11">
        <f t="shared" si="20"/>
        <v>681472</v>
      </c>
      <c r="N193" s="11">
        <f t="shared" si="20"/>
        <v>7744</v>
      </c>
      <c r="O193" s="11">
        <f t="shared" si="20"/>
        <v>88</v>
      </c>
      <c r="P193" s="11">
        <f t="shared" si="18"/>
        <v>0</v>
      </c>
    </row>
    <row r="194" spans="1:16" x14ac:dyDescent="0.25">
      <c r="A194" s="11">
        <f t="shared" si="17"/>
        <v>139</v>
      </c>
      <c r="B194">
        <v>8.9684401963555835</v>
      </c>
      <c r="E194" s="11">
        <f>A194-'Mastercurve bestimmen'!$B$2</f>
        <v>89</v>
      </c>
      <c r="F194" s="11">
        <f t="shared" si="15"/>
        <v>8.9684401963555835</v>
      </c>
      <c r="G194" s="11"/>
      <c r="H194" s="11">
        <f t="shared" si="16"/>
        <v>3936588805702081</v>
      </c>
      <c r="I194" s="11">
        <f t="shared" si="20"/>
        <v>44231334895529</v>
      </c>
      <c r="J194" s="11">
        <f t="shared" si="20"/>
        <v>496981290961</v>
      </c>
      <c r="K194" s="11">
        <f t="shared" si="20"/>
        <v>5584059449</v>
      </c>
      <c r="L194" s="11">
        <f t="shared" si="20"/>
        <v>62742241</v>
      </c>
      <c r="M194" s="11">
        <f t="shared" si="20"/>
        <v>704969</v>
      </c>
      <c r="N194" s="11">
        <f t="shared" si="20"/>
        <v>7921</v>
      </c>
      <c r="O194" s="11">
        <f t="shared" si="20"/>
        <v>89</v>
      </c>
      <c r="P194" s="11">
        <f t="shared" si="18"/>
        <v>0</v>
      </c>
    </row>
    <row r="195" spans="1:16" x14ac:dyDescent="0.25">
      <c r="A195" s="11">
        <f t="shared" si="17"/>
        <v>140</v>
      </c>
      <c r="B195">
        <v>9.1016247708107443</v>
      </c>
      <c r="E195" s="11">
        <f>A195-'Mastercurve bestimmen'!$B$2</f>
        <v>90</v>
      </c>
      <c r="F195" s="11">
        <f t="shared" si="15"/>
        <v>9.1016247708107443</v>
      </c>
      <c r="G195" s="11"/>
      <c r="H195" s="11">
        <f t="shared" si="16"/>
        <v>4304672100000000</v>
      </c>
      <c r="I195" s="11">
        <f t="shared" si="20"/>
        <v>47829690000000</v>
      </c>
      <c r="J195" s="11">
        <f t="shared" si="20"/>
        <v>531441000000</v>
      </c>
      <c r="K195" s="11">
        <f t="shared" si="20"/>
        <v>5904900000</v>
      </c>
      <c r="L195" s="11">
        <f t="shared" si="20"/>
        <v>65610000</v>
      </c>
      <c r="M195" s="11">
        <f t="shared" si="20"/>
        <v>729000</v>
      </c>
      <c r="N195" s="11">
        <f t="shared" si="20"/>
        <v>8100</v>
      </c>
      <c r="O195" s="11">
        <f t="shared" si="20"/>
        <v>90</v>
      </c>
      <c r="P195" s="11">
        <f t="shared" si="18"/>
        <v>0</v>
      </c>
    </row>
    <row r="196" spans="1:16" x14ac:dyDescent="0.25">
      <c r="A196" s="11">
        <f t="shared" si="17"/>
        <v>141</v>
      </c>
      <c r="B196">
        <v>9.2353152825203928</v>
      </c>
      <c r="E196" s="11">
        <f>A196-'Mastercurve bestimmen'!$B$2</f>
        <v>91</v>
      </c>
      <c r="F196" s="11">
        <f t="shared" si="15"/>
        <v>9.2353152825203928</v>
      </c>
      <c r="G196" s="11"/>
      <c r="H196" s="11">
        <f t="shared" si="16"/>
        <v>4702525276151521</v>
      </c>
      <c r="I196" s="11">
        <f t="shared" si="20"/>
        <v>51676101935731</v>
      </c>
      <c r="J196" s="11">
        <f t="shared" si="20"/>
        <v>567869252041</v>
      </c>
      <c r="K196" s="11">
        <f t="shared" si="20"/>
        <v>6240321451</v>
      </c>
      <c r="L196" s="11">
        <f t="shared" si="20"/>
        <v>68574961</v>
      </c>
      <c r="M196" s="11">
        <f t="shared" si="20"/>
        <v>753571</v>
      </c>
      <c r="N196" s="11">
        <f t="shared" si="20"/>
        <v>8281</v>
      </c>
      <c r="O196" s="11">
        <f t="shared" si="20"/>
        <v>91</v>
      </c>
      <c r="P196" s="11">
        <f t="shared" si="18"/>
        <v>0</v>
      </c>
    </row>
    <row r="197" spans="1:16" x14ac:dyDescent="0.25">
      <c r="A197" s="11">
        <f t="shared" si="17"/>
        <v>142</v>
      </c>
      <c r="B197">
        <v>9.3694864346218036</v>
      </c>
      <c r="E197" s="11">
        <f>A197-'Mastercurve bestimmen'!$B$2</f>
        <v>92</v>
      </c>
      <c r="F197" s="11">
        <f t="shared" si="15"/>
        <v>9.3694864346218036</v>
      </c>
      <c r="G197" s="11"/>
      <c r="H197" s="11">
        <f t="shared" si="16"/>
        <v>5132188731375616</v>
      </c>
      <c r="I197" s="11">
        <f t="shared" si="20"/>
        <v>55784660123648</v>
      </c>
      <c r="J197" s="11">
        <f t="shared" si="20"/>
        <v>606355001344</v>
      </c>
      <c r="K197" s="11">
        <f t="shared" si="20"/>
        <v>6590815232</v>
      </c>
      <c r="L197" s="11">
        <f t="shared" si="20"/>
        <v>71639296</v>
      </c>
      <c r="M197" s="11">
        <f t="shared" si="20"/>
        <v>778688</v>
      </c>
      <c r="N197" s="11">
        <f t="shared" si="20"/>
        <v>8464</v>
      </c>
      <c r="O197" s="11">
        <f t="shared" si="20"/>
        <v>92</v>
      </c>
      <c r="P197" s="11">
        <f t="shared" si="18"/>
        <v>0</v>
      </c>
    </row>
    <row r="198" spans="1:16" x14ac:dyDescent="0.25">
      <c r="A198" s="11">
        <f t="shared" si="17"/>
        <v>143</v>
      </c>
      <c r="B198">
        <v>9.5041129302522513</v>
      </c>
      <c r="E198" s="11">
        <f>A198-'Mastercurve bestimmen'!$B$2</f>
        <v>93</v>
      </c>
      <c r="F198" s="11">
        <f t="shared" si="15"/>
        <v>9.5041129302522513</v>
      </c>
      <c r="G198" s="11"/>
      <c r="H198" s="11">
        <f t="shared" si="16"/>
        <v>5595818096650401</v>
      </c>
      <c r="I198" s="11">
        <f t="shared" si="20"/>
        <v>60170087060757</v>
      </c>
      <c r="J198" s="11">
        <f t="shared" si="20"/>
        <v>646990183449</v>
      </c>
      <c r="K198" s="11">
        <f t="shared" si="20"/>
        <v>6956883693</v>
      </c>
      <c r="L198" s="11">
        <f t="shared" si="20"/>
        <v>74805201</v>
      </c>
      <c r="M198" s="11">
        <f t="shared" si="20"/>
        <v>804357</v>
      </c>
      <c r="N198" s="11">
        <f t="shared" si="20"/>
        <v>8649</v>
      </c>
      <c r="O198" s="11">
        <f t="shared" si="20"/>
        <v>93</v>
      </c>
      <c r="P198" s="11">
        <f t="shared" si="18"/>
        <v>0</v>
      </c>
    </row>
    <row r="199" spans="1:16" x14ac:dyDescent="0.25">
      <c r="A199" s="11">
        <f t="shared" si="17"/>
        <v>144</v>
      </c>
      <c r="B199">
        <v>9.6391694725490158</v>
      </c>
      <c r="E199" s="11">
        <f>A199-'Mastercurve bestimmen'!$B$2</f>
        <v>94</v>
      </c>
      <c r="F199" s="11">
        <f t="shared" si="15"/>
        <v>9.6391694725490158</v>
      </c>
      <c r="G199" s="11"/>
      <c r="H199" s="11">
        <f t="shared" si="16"/>
        <v>6095689385410816</v>
      </c>
      <c r="I199" s="11">
        <f t="shared" si="20"/>
        <v>64847759419264</v>
      </c>
      <c r="J199" s="11">
        <f t="shared" si="20"/>
        <v>689869781056</v>
      </c>
      <c r="K199" s="11">
        <f t="shared" si="20"/>
        <v>7339040224</v>
      </c>
      <c r="L199" s="11">
        <f t="shared" si="20"/>
        <v>78074896</v>
      </c>
      <c r="M199" s="11">
        <f t="shared" si="20"/>
        <v>830584</v>
      </c>
      <c r="N199" s="11">
        <f t="shared" si="20"/>
        <v>8836</v>
      </c>
      <c r="O199" s="11">
        <f t="shared" si="20"/>
        <v>94</v>
      </c>
      <c r="P199" s="11">
        <f t="shared" si="18"/>
        <v>0</v>
      </c>
    </row>
    <row r="200" spans="1:16" x14ac:dyDescent="0.25">
      <c r="A200" s="11">
        <f t="shared" si="17"/>
        <v>145</v>
      </c>
      <c r="B200">
        <v>9.7746307646493698</v>
      </c>
      <c r="E200" s="11">
        <f>A200-'Mastercurve bestimmen'!$B$2</f>
        <v>95</v>
      </c>
      <c r="F200" s="11">
        <f t="shared" si="15"/>
        <v>9.7746307646493698</v>
      </c>
      <c r="G200" s="11"/>
      <c r="H200" s="11">
        <f t="shared" si="16"/>
        <v>6634204312890625</v>
      </c>
      <c r="I200" s="11">
        <f t="shared" si="20"/>
        <v>69833729609375</v>
      </c>
      <c r="J200" s="11">
        <f t="shared" si="20"/>
        <v>735091890625</v>
      </c>
      <c r="K200" s="11">
        <f t="shared" si="20"/>
        <v>7737809375</v>
      </c>
      <c r="L200" s="11">
        <f t="shared" si="20"/>
        <v>81450625</v>
      </c>
      <c r="M200" s="11">
        <f t="shared" si="20"/>
        <v>857375</v>
      </c>
      <c r="N200" s="11">
        <f t="shared" si="20"/>
        <v>9025</v>
      </c>
      <c r="O200" s="11">
        <f t="shared" si="20"/>
        <v>95</v>
      </c>
      <c r="P200" s="11">
        <f t="shared" si="18"/>
        <v>0</v>
      </c>
    </row>
    <row r="201" spans="1:16" x14ac:dyDescent="0.25">
      <c r="A201" s="11">
        <f t="shared" si="17"/>
        <v>146</v>
      </c>
      <c r="B201">
        <v>9.910471509690586</v>
      </c>
      <c r="E201" s="11">
        <f>A201-'Mastercurve bestimmen'!$B$2</f>
        <v>96</v>
      </c>
      <c r="F201" s="11">
        <f t="shared" si="15"/>
        <v>9.910471509690586</v>
      </c>
      <c r="G201" s="11"/>
      <c r="H201" s="11">
        <f t="shared" si="16"/>
        <v>7213895789838336</v>
      </c>
      <c r="I201" s="11">
        <f t="shared" si="20"/>
        <v>75144747810816</v>
      </c>
      <c r="J201" s="11">
        <f t="shared" si="20"/>
        <v>782757789696</v>
      </c>
      <c r="K201" s="11">
        <f t="shared" si="20"/>
        <v>8153726976</v>
      </c>
      <c r="L201" s="11">
        <f t="shared" si="20"/>
        <v>84934656</v>
      </c>
      <c r="M201" s="11">
        <f t="shared" si="20"/>
        <v>884736</v>
      </c>
      <c r="N201" s="11">
        <f t="shared" si="20"/>
        <v>9216</v>
      </c>
      <c r="O201" s="11">
        <f t="shared" si="20"/>
        <v>96</v>
      </c>
      <c r="P201" s="11">
        <f t="shared" si="18"/>
        <v>0</v>
      </c>
    </row>
    <row r="202" spans="1:16" x14ac:dyDescent="0.25">
      <c r="A202" s="11">
        <f t="shared" si="17"/>
        <v>147</v>
      </c>
      <c r="B202">
        <v>10.046666410809946</v>
      </c>
      <c r="E202" s="11">
        <f>A202-'Mastercurve bestimmen'!$B$2</f>
        <v>97</v>
      </c>
      <c r="F202" s="11">
        <f t="shared" si="15"/>
        <v>10.046666410809946</v>
      </c>
      <c r="G202" s="11"/>
      <c r="H202" s="11">
        <f t="shared" si="16"/>
        <v>7837433594376961</v>
      </c>
      <c r="I202" s="11">
        <f t="shared" si="20"/>
        <v>80798284478113</v>
      </c>
      <c r="J202" s="11">
        <f t="shared" si="20"/>
        <v>832972004929</v>
      </c>
      <c r="K202" s="11">
        <f t="shared" si="20"/>
        <v>8587340257</v>
      </c>
      <c r="L202" s="11">
        <f t="shared" si="20"/>
        <v>88529281</v>
      </c>
      <c r="M202" s="11">
        <f t="shared" si="20"/>
        <v>912673</v>
      </c>
      <c r="N202" s="11">
        <f t="shared" si="20"/>
        <v>9409</v>
      </c>
      <c r="O202" s="11">
        <f t="shared" si="20"/>
        <v>97</v>
      </c>
      <c r="P202" s="11">
        <f t="shared" si="18"/>
        <v>0</v>
      </c>
    </row>
    <row r="203" spans="1:16" x14ac:dyDescent="0.25">
      <c r="A203" s="11">
        <f t="shared" si="17"/>
        <v>148</v>
      </c>
      <c r="B203">
        <v>10.183190171144723</v>
      </c>
      <c r="E203" s="11">
        <f>A203-'Mastercurve bestimmen'!$B$2</f>
        <v>98</v>
      </c>
      <c r="F203" s="11">
        <f t="shared" si="15"/>
        <v>10.183190171144723</v>
      </c>
      <c r="G203" s="11"/>
      <c r="H203" s="11">
        <f t="shared" si="16"/>
        <v>8507630225817856</v>
      </c>
      <c r="I203" s="11">
        <f t="shared" si="20"/>
        <v>86812553324672</v>
      </c>
      <c r="J203" s="11">
        <f t="shared" si="20"/>
        <v>885842380864</v>
      </c>
      <c r="K203" s="11">
        <f t="shared" si="20"/>
        <v>9039207968</v>
      </c>
      <c r="L203" s="11">
        <f t="shared" si="20"/>
        <v>92236816</v>
      </c>
      <c r="M203" s="11">
        <f t="shared" si="20"/>
        <v>941192</v>
      </c>
      <c r="N203" s="11">
        <f t="shared" si="20"/>
        <v>9604</v>
      </c>
      <c r="O203" s="11">
        <f t="shared" si="20"/>
        <v>98</v>
      </c>
      <c r="P203" s="11">
        <f t="shared" si="18"/>
        <v>0</v>
      </c>
    </row>
    <row r="204" spans="1:16" x14ac:dyDescent="0.25">
      <c r="A204" s="11">
        <f t="shared" si="17"/>
        <v>149</v>
      </c>
      <c r="B204">
        <v>10.320017493832191</v>
      </c>
      <c r="E204" s="11">
        <f>A204-'Mastercurve bestimmen'!$B$2</f>
        <v>99</v>
      </c>
      <c r="F204" s="11">
        <f t="shared" si="15"/>
        <v>10.320017493832191</v>
      </c>
      <c r="G204" s="11"/>
      <c r="H204" s="11">
        <f t="shared" si="16"/>
        <v>9227446944279200</v>
      </c>
      <c r="I204" s="11">
        <f t="shared" si="20"/>
        <v>93206534790699</v>
      </c>
      <c r="J204" s="11">
        <f t="shared" si="20"/>
        <v>941480149401</v>
      </c>
      <c r="K204" s="11">
        <f t="shared" si="20"/>
        <v>9509900499</v>
      </c>
      <c r="L204" s="11">
        <f t="shared" si="20"/>
        <v>96059601</v>
      </c>
      <c r="M204" s="11">
        <f t="shared" si="20"/>
        <v>970299</v>
      </c>
      <c r="N204" s="11">
        <f t="shared" si="20"/>
        <v>9801</v>
      </c>
      <c r="O204" s="11">
        <f t="shared" si="20"/>
        <v>99</v>
      </c>
      <c r="P204" s="11">
        <f t="shared" si="18"/>
        <v>0</v>
      </c>
    </row>
    <row r="205" spans="1:16" x14ac:dyDescent="0.25">
      <c r="A205" s="11">
        <f t="shared" si="17"/>
        <v>150</v>
      </c>
      <c r="B205">
        <v>10.457123082009627</v>
      </c>
      <c r="E205" s="11">
        <f>A205-'Mastercurve bestimmen'!$B$2</f>
        <v>100</v>
      </c>
      <c r="F205" s="11">
        <f t="shared" si="15"/>
        <v>10.457123082009627</v>
      </c>
      <c r="G205" s="11"/>
      <c r="H205" s="11">
        <f t="shared" si="16"/>
        <v>1E+16</v>
      </c>
      <c r="I205" s="11">
        <f t="shared" si="20"/>
        <v>100000000000000</v>
      </c>
      <c r="J205" s="11">
        <f t="shared" si="20"/>
        <v>1000000000000</v>
      </c>
      <c r="K205" s="11">
        <f t="shared" si="20"/>
        <v>10000000000</v>
      </c>
      <c r="L205" s="11">
        <f t="shared" si="20"/>
        <v>100000000</v>
      </c>
      <c r="M205" s="11">
        <f t="shared" si="20"/>
        <v>1000000</v>
      </c>
      <c r="N205" s="11">
        <f t="shared" si="20"/>
        <v>10000</v>
      </c>
      <c r="O205" s="11">
        <f t="shared" si="20"/>
        <v>100</v>
      </c>
      <c r="P205" s="11">
        <f t="shared" si="18"/>
        <v>0</v>
      </c>
    </row>
    <row r="206" spans="1:16" x14ac:dyDescent="0.25">
      <c r="A206" s="11">
        <f t="shared" si="17"/>
        <v>151</v>
      </c>
      <c r="B206">
        <v>10.594481638814308</v>
      </c>
      <c r="E206" s="11">
        <f>A206-'Mastercurve bestimmen'!$B$2</f>
        <v>101</v>
      </c>
      <c r="F206" s="11">
        <f t="shared" si="15"/>
        <v>10.594481638814308</v>
      </c>
      <c r="G206" s="11"/>
      <c r="H206" s="11">
        <f t="shared" si="16"/>
        <v>1.08285670562808E+16</v>
      </c>
      <c r="I206" s="11">
        <f t="shared" si="20"/>
        <v>107213535210701</v>
      </c>
      <c r="J206" s="11">
        <f t="shared" si="20"/>
        <v>1061520150601</v>
      </c>
      <c r="K206" s="11">
        <f t="shared" si="20"/>
        <v>10510100501</v>
      </c>
      <c r="L206" s="11">
        <f t="shared" si="20"/>
        <v>104060401</v>
      </c>
      <c r="M206" s="11">
        <f t="shared" si="20"/>
        <v>1030301</v>
      </c>
      <c r="N206" s="11">
        <f t="shared" si="20"/>
        <v>10201</v>
      </c>
      <c r="O206" s="11">
        <f t="shared" si="20"/>
        <v>101</v>
      </c>
      <c r="P206" s="11">
        <f t="shared" si="18"/>
        <v>0</v>
      </c>
    </row>
    <row r="207" spans="1:16" x14ac:dyDescent="0.25">
      <c r="A207" s="11">
        <f t="shared" si="17"/>
        <v>152</v>
      </c>
      <c r="B207">
        <v>10.732067867383508</v>
      </c>
      <c r="E207" s="11">
        <f>A207-'Mastercurve bestimmen'!$B$2</f>
        <v>102</v>
      </c>
      <c r="F207" s="11">
        <f t="shared" si="15"/>
        <v>10.732067867383508</v>
      </c>
      <c r="G207" s="11"/>
      <c r="H207" s="11">
        <f t="shared" si="16"/>
        <v>1.1716593810022656E+16</v>
      </c>
      <c r="I207" s="11">
        <f t="shared" si="20"/>
        <v>114868566764928</v>
      </c>
      <c r="J207" s="11">
        <f t="shared" si="20"/>
        <v>1126162419264</v>
      </c>
      <c r="K207" s="11">
        <f t="shared" si="20"/>
        <v>11040808032</v>
      </c>
      <c r="L207" s="11">
        <f t="shared" si="20"/>
        <v>108243216</v>
      </c>
      <c r="M207" s="11">
        <f t="shared" si="20"/>
        <v>1061208</v>
      </c>
      <c r="N207" s="11">
        <f t="shared" si="20"/>
        <v>10404</v>
      </c>
      <c r="O207" s="11">
        <f t="shared" si="20"/>
        <v>102</v>
      </c>
      <c r="P207" s="11">
        <f t="shared" si="18"/>
        <v>0</v>
      </c>
    </row>
    <row r="208" spans="1:16" x14ac:dyDescent="0.25">
      <c r="A208" s="11">
        <f t="shared" si="17"/>
        <v>153</v>
      </c>
      <c r="B208">
        <v>10.869856470854502</v>
      </c>
      <c r="E208" s="11">
        <f>A208-'Mastercurve bestimmen'!$B$2</f>
        <v>103</v>
      </c>
      <c r="F208" s="11">
        <f t="shared" ref="F208:F215" si="21">B208</f>
        <v>10.869856470854502</v>
      </c>
      <c r="G208" s="11"/>
      <c r="H208" s="11">
        <f t="shared" ref="H208:H215" si="22">IF($H$12&gt;=H$14,$E208^H$14,0)</f>
        <v>1.266770081387616E+16</v>
      </c>
      <c r="I208" s="11">
        <f t="shared" si="20"/>
        <v>122987386542487</v>
      </c>
      <c r="J208" s="11">
        <f t="shared" si="20"/>
        <v>1194052296529</v>
      </c>
      <c r="K208" s="11">
        <f t="shared" si="20"/>
        <v>11592740743</v>
      </c>
      <c r="L208" s="11">
        <f t="shared" si="20"/>
        <v>112550881</v>
      </c>
      <c r="M208" s="11">
        <f t="shared" si="20"/>
        <v>1092727</v>
      </c>
      <c r="N208" s="11">
        <f t="shared" si="20"/>
        <v>10609</v>
      </c>
      <c r="O208" s="11">
        <f t="shared" si="20"/>
        <v>103</v>
      </c>
      <c r="P208" s="11">
        <f t="shared" si="18"/>
        <v>0</v>
      </c>
    </row>
    <row r="209" spans="1:16" x14ac:dyDescent="0.25">
      <c r="A209" s="11">
        <f t="shared" ref="A209:A215" si="23">A208+1</f>
        <v>154</v>
      </c>
      <c r="B209">
        <v>11.007822152364566</v>
      </c>
      <c r="E209" s="11">
        <f>A209-'Mastercurve bestimmen'!$B$2</f>
        <v>104</v>
      </c>
      <c r="F209" s="11">
        <f t="shared" si="21"/>
        <v>11.007822152364566</v>
      </c>
      <c r="G209" s="11"/>
      <c r="H209" s="11">
        <f t="shared" si="22"/>
        <v>1.3685690504052736E+16</v>
      </c>
      <c r="I209" s="11">
        <f t="shared" si="20"/>
        <v>131593177923584</v>
      </c>
      <c r="J209" s="11">
        <f t="shared" si="20"/>
        <v>1265319018496</v>
      </c>
      <c r="K209" s="11">
        <f t="shared" si="20"/>
        <v>12166529024</v>
      </c>
      <c r="L209" s="11">
        <f t="shared" si="20"/>
        <v>116985856</v>
      </c>
      <c r="M209" s="11">
        <f t="shared" si="20"/>
        <v>1124864</v>
      </c>
      <c r="N209" s="11">
        <f t="shared" si="20"/>
        <v>10816</v>
      </c>
      <c r="O209" s="11">
        <f t="shared" si="20"/>
        <v>104</v>
      </c>
      <c r="P209" s="11">
        <f t="shared" ref="P209:P215" si="24">P208</f>
        <v>0</v>
      </c>
    </row>
    <row r="210" spans="1:16" x14ac:dyDescent="0.25">
      <c r="A210" s="11">
        <f t="shared" si="23"/>
        <v>155</v>
      </c>
      <c r="B210">
        <v>11.145939615050978</v>
      </c>
      <c r="E210" s="11">
        <f>A210-'Mastercurve bestimmen'!$B$2</f>
        <v>105</v>
      </c>
      <c r="F210" s="11">
        <f t="shared" si="21"/>
        <v>11.145939615050978</v>
      </c>
      <c r="G210" s="11"/>
      <c r="H210" s="11">
        <f t="shared" si="22"/>
        <v>1.4774554437890624E+16</v>
      </c>
      <c r="I210" s="11">
        <f t="shared" si="20"/>
        <v>140710042265625</v>
      </c>
      <c r="J210" s="11">
        <f t="shared" si="20"/>
        <v>1340095640625</v>
      </c>
      <c r="K210" s="11">
        <f t="shared" si="20"/>
        <v>12762815625</v>
      </c>
      <c r="L210" s="11">
        <f t="shared" si="20"/>
        <v>121550625</v>
      </c>
      <c r="M210" s="11">
        <f t="shared" si="20"/>
        <v>1157625</v>
      </c>
      <c r="N210" s="11">
        <f t="shared" si="20"/>
        <v>11025</v>
      </c>
      <c r="O210" s="11">
        <f t="shared" si="20"/>
        <v>105</v>
      </c>
      <c r="P210" s="11">
        <f t="shared" si="24"/>
        <v>0</v>
      </c>
    </row>
    <row r="211" spans="1:16" x14ac:dyDescent="0.25">
      <c r="A211" s="11">
        <f t="shared" si="23"/>
        <v>156</v>
      </c>
      <c r="B211">
        <v>11.284183562051011</v>
      </c>
      <c r="E211" s="11">
        <f>A211-'Mastercurve bestimmen'!$B$2</f>
        <v>106</v>
      </c>
      <c r="F211" s="11">
        <f t="shared" si="21"/>
        <v>11.284183562051011</v>
      </c>
      <c r="G211" s="11"/>
      <c r="H211" s="11">
        <f t="shared" si="22"/>
        <v>1.5938480745308416E+16</v>
      </c>
      <c r="I211" s="11">
        <f t="shared" si="20"/>
        <v>150363025899136</v>
      </c>
      <c r="J211" s="11">
        <f t="shared" si="20"/>
        <v>1418519112256</v>
      </c>
      <c r="K211" s="11">
        <f t="shared" si="20"/>
        <v>13382255776</v>
      </c>
      <c r="L211" s="11">
        <f t="shared" si="20"/>
        <v>126247696</v>
      </c>
      <c r="M211" s="11">
        <f t="shared" si="20"/>
        <v>1191016</v>
      </c>
      <c r="N211" s="11">
        <f t="shared" si="20"/>
        <v>11236</v>
      </c>
      <c r="O211" s="11">
        <f t="shared" si="20"/>
        <v>106</v>
      </c>
      <c r="P211" s="11">
        <f t="shared" si="24"/>
        <v>0</v>
      </c>
    </row>
    <row r="212" spans="1:16" x14ac:dyDescent="0.25">
      <c r="A212" s="11">
        <f t="shared" si="23"/>
        <v>157</v>
      </c>
      <c r="B212">
        <v>11.42252869650194</v>
      </c>
      <c r="E212" s="11">
        <f>A212-'Mastercurve bestimmen'!$B$2</f>
        <v>107</v>
      </c>
      <c r="F212" s="11">
        <f t="shared" si="21"/>
        <v>11.42252869650194</v>
      </c>
      <c r="G212" s="11"/>
      <c r="H212" s="11">
        <f t="shared" si="22"/>
        <v>1.71818617983192E+16</v>
      </c>
      <c r="I212" s="11">
        <f t="shared" si="20"/>
        <v>160578147647843</v>
      </c>
      <c r="J212" s="11">
        <f t="shared" si="20"/>
        <v>1500730351849</v>
      </c>
      <c r="K212" s="11">
        <f t="shared" si="20"/>
        <v>14025517307</v>
      </c>
      <c r="L212" s="11">
        <f t="shared" si="20"/>
        <v>131079601</v>
      </c>
      <c r="M212" s="11">
        <f t="shared" si="20"/>
        <v>1225043</v>
      </c>
      <c r="N212" s="11">
        <f t="shared" si="20"/>
        <v>11449</v>
      </c>
      <c r="O212" s="11">
        <f t="shared" si="20"/>
        <v>107</v>
      </c>
      <c r="P212" s="11">
        <f t="shared" si="24"/>
        <v>0</v>
      </c>
    </row>
    <row r="213" spans="1:16" x14ac:dyDescent="0.25">
      <c r="A213" s="11">
        <f t="shared" si="23"/>
        <v>158</v>
      </c>
      <c r="B213">
        <v>11.560949721541045</v>
      </c>
      <c r="E213" s="11">
        <f>A213-'Mastercurve bestimmen'!$B$2</f>
        <v>108</v>
      </c>
      <c r="F213" s="11">
        <f t="shared" si="21"/>
        <v>11.560949721541045</v>
      </c>
      <c r="G213" s="11"/>
      <c r="H213" s="11">
        <f t="shared" si="22"/>
        <v>1.8509302102818816E+16</v>
      </c>
      <c r="I213" s="11">
        <f t="shared" si="20"/>
        <v>171382426877952</v>
      </c>
      <c r="J213" s="11">
        <f t="shared" si="20"/>
        <v>1586874322944</v>
      </c>
      <c r="K213" s="11">
        <f t="shared" si="20"/>
        <v>14693280768</v>
      </c>
      <c r="L213" s="11">
        <f t="shared" si="20"/>
        <v>136048896</v>
      </c>
      <c r="M213" s="11">
        <f t="shared" si="20"/>
        <v>1259712</v>
      </c>
      <c r="N213" s="11">
        <f t="shared" si="20"/>
        <v>11664</v>
      </c>
      <c r="O213" s="11">
        <f t="shared" si="20"/>
        <v>108</v>
      </c>
      <c r="P213" s="11">
        <f t="shared" si="24"/>
        <v>0</v>
      </c>
    </row>
    <row r="214" spans="1:16" x14ac:dyDescent="0.25">
      <c r="A214" s="11">
        <f t="shared" si="23"/>
        <v>159</v>
      </c>
      <c r="B214">
        <v>11.699421340305596</v>
      </c>
      <c r="E214" s="11">
        <f>A214-'Mastercurve bestimmen'!$B$2</f>
        <v>109</v>
      </c>
      <c r="F214" s="11">
        <f t="shared" si="21"/>
        <v>11.699421340305596</v>
      </c>
      <c r="G214" s="11"/>
      <c r="H214" s="11">
        <f t="shared" si="22"/>
        <v>1.992562641690192E+16</v>
      </c>
      <c r="I214" s="11">
        <f t="shared" si="20"/>
        <v>182803912081669</v>
      </c>
      <c r="J214" s="11">
        <f t="shared" si="20"/>
        <v>1677100110841</v>
      </c>
      <c r="K214" s="11">
        <f t="shared" si="20"/>
        <v>15386239549</v>
      </c>
      <c r="L214" s="11">
        <f t="shared" si="20"/>
        <v>141158161</v>
      </c>
      <c r="M214" s="11">
        <f t="shared" si="20"/>
        <v>1295029</v>
      </c>
      <c r="N214" s="11">
        <f t="shared" si="20"/>
        <v>11881</v>
      </c>
      <c r="O214" s="11">
        <f t="shared" si="20"/>
        <v>109</v>
      </c>
      <c r="P214" s="11">
        <f t="shared" si="24"/>
        <v>0</v>
      </c>
    </row>
    <row r="215" spans="1:16" x14ac:dyDescent="0.25">
      <c r="A215" s="11">
        <f t="shared" si="23"/>
        <v>160</v>
      </c>
      <c r="B215">
        <v>11.837918255932873</v>
      </c>
      <c r="E215" s="11">
        <f>A215-'Mastercurve bestimmen'!$B$2</f>
        <v>110</v>
      </c>
      <c r="F215" s="11">
        <f t="shared" si="21"/>
        <v>11.837918255932873</v>
      </c>
      <c r="G215" s="11"/>
      <c r="H215" s="11">
        <f t="shared" si="22"/>
        <v>2.14358881E+16</v>
      </c>
      <c r="I215" s="11">
        <f t="shared" si="20"/>
        <v>194871710000000</v>
      </c>
      <c r="J215" s="11">
        <f t="shared" si="20"/>
        <v>1771561000000</v>
      </c>
      <c r="K215" s="11">
        <f t="shared" si="20"/>
        <v>16105100000</v>
      </c>
      <c r="L215" s="11">
        <f t="shared" si="20"/>
        <v>146410000</v>
      </c>
      <c r="M215" s="11">
        <f t="shared" si="20"/>
        <v>1331000</v>
      </c>
      <c r="N215" s="11">
        <f t="shared" si="20"/>
        <v>12100</v>
      </c>
      <c r="O215" s="11">
        <f t="shared" si="20"/>
        <v>110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7.7562229513781805E-2</v>
      </c>
      <c r="J217" s="98">
        <v>-6.7651930201528238E-5</v>
      </c>
      <c r="K217" s="98">
        <v>7.4660503085432684E-6</v>
      </c>
      <c r="L217" s="98">
        <v>-1.5567447143458268E-8</v>
      </c>
      <c r="M217" s="98">
        <v>-9.8913670445838329E-10</v>
      </c>
      <c r="N217" s="98">
        <v>6.9119879224358693E-12</v>
      </c>
      <c r="O217" s="98">
        <v>4.3921111589846697E-14</v>
      </c>
      <c r="P217" s="98">
        <v>-3.9335066685635537E-16</v>
      </c>
    </row>
    <row r="218" spans="1:16" x14ac:dyDescent="0.25">
      <c r="G218" s="11"/>
      <c r="H218" s="11">
        <v>0</v>
      </c>
      <c r="I218" s="11">
        <v>2.2639457133844261E-4</v>
      </c>
      <c r="J218" s="11">
        <v>5.0848411421930697E-6</v>
      </c>
      <c r="K218" s="3">
        <v>1.9015917874924875E-7</v>
      </c>
      <c r="L218" s="3">
        <v>2.854805658711287E-9</v>
      </c>
      <c r="M218" s="3">
        <v>4.6429141751808099E-11</v>
      </c>
      <c r="N218" s="3">
        <v>5.367967132317375E-13</v>
      </c>
      <c r="O218" s="11">
        <v>3.3623163891703026E-15</v>
      </c>
      <c r="P218" s="11">
        <v>3.3938293822018707E-17</v>
      </c>
    </row>
    <row r="219" spans="1:16" x14ac:dyDescent="0.25">
      <c r="G219" s="11"/>
      <c r="H219" s="11">
        <v>0.99998125920595093</v>
      </c>
      <c r="I219" s="11">
        <v>2.5371983379987164E-2</v>
      </c>
      <c r="J219" s="11" t="e">
        <v>#N/A</v>
      </c>
      <c r="K219" s="11" t="e">
        <v>#N/A</v>
      </c>
      <c r="L219" s="11" t="e">
        <v>#N/A</v>
      </c>
      <c r="M219" s="11" t="e">
        <v>#N/A</v>
      </c>
      <c r="N219" s="11" t="e">
        <v>#N/A</v>
      </c>
      <c r="O219" s="11" t="e">
        <v>#N/A</v>
      </c>
      <c r="P219" s="11" t="e">
        <v>#N/A</v>
      </c>
    </row>
    <row r="222" spans="1:16" x14ac:dyDescent="0.25">
      <c r="E222">
        <f>E15</f>
        <v>-90</v>
      </c>
      <c r="F222">
        <f>$H$217*0+E222*$I$217+E222^2*$J$217+E222^3*$K$217+E222^4*$L$217+E222^5*$M$217+E222^6*$N$217+E222^7*$O$217+E222^8*$P$217</f>
        <v>-8.2726238661702531</v>
      </c>
      <c r="G222">
        <f>F15</f>
        <v>-8.2939414517803574</v>
      </c>
    </row>
    <row r="223" spans="1:16" x14ac:dyDescent="0.25">
      <c r="E223" s="11">
        <f t="shared" ref="E223:E286" si="25">E16</f>
        <v>-89</v>
      </c>
      <c r="F223" s="11">
        <f t="shared" ref="F223:F286" si="26">$H$217*0+E223*$I$217+E223^2*$J$217+E223^3*$K$217+E223^4*$L$217+E223^5*$M$217+E223^6*$N$217+E223^7*$O$217+E223^8*$P$217</f>
        <v>-8.2116022921399558</v>
      </c>
      <c r="G223" s="11">
        <f t="shared" ref="G223:G286" si="27">F16</f>
        <v>-8.2268435930639505</v>
      </c>
    </row>
    <row r="224" spans="1:16" x14ac:dyDescent="0.25">
      <c r="E224" s="11">
        <f t="shared" si="25"/>
        <v>-88</v>
      </c>
      <c r="F224" s="11">
        <f t="shared" si="26"/>
        <v>-8.1504774820525796</v>
      </c>
      <c r="G224" s="11">
        <f t="shared" si="27"/>
        <v>-8.1596484301826209</v>
      </c>
    </row>
    <row r="225" spans="5:7" x14ac:dyDescent="0.25">
      <c r="E225" s="11">
        <f t="shared" si="25"/>
        <v>-87</v>
      </c>
      <c r="F225" s="11">
        <f t="shared" si="26"/>
        <v>-8.0889277394618144</v>
      </c>
      <c r="G225" s="11">
        <f t="shared" si="27"/>
        <v>-8.092258658971442</v>
      </c>
    </row>
    <row r="226" spans="5:7" x14ac:dyDescent="0.25">
      <c r="E226" s="11">
        <f t="shared" si="25"/>
        <v>-86</v>
      </c>
      <c r="F226" s="11">
        <f t="shared" si="26"/>
        <v>-8.0266668110546302</v>
      </c>
      <c r="G226" s="11">
        <f t="shared" si="27"/>
        <v>-8.0245769752654894</v>
      </c>
    </row>
    <row r="227" spans="5:7" x14ac:dyDescent="0.25">
      <c r="E227" s="11">
        <f t="shared" si="25"/>
        <v>-85</v>
      </c>
      <c r="F227" s="11">
        <f t="shared" si="26"/>
        <v>-7.9634418222492354</v>
      </c>
      <c r="G227" s="11">
        <f t="shared" si="27"/>
        <v>-7.9565060748998402</v>
      </c>
    </row>
    <row r="228" spans="5:7" x14ac:dyDescent="0.25">
      <c r="E228" s="11">
        <f t="shared" si="25"/>
        <v>-84</v>
      </c>
      <c r="F228" s="11">
        <f t="shared" si="26"/>
        <v>-7.899031287100633</v>
      </c>
      <c r="G228" s="11">
        <f t="shared" si="27"/>
        <v>-7.8879486537095662</v>
      </c>
    </row>
    <row r="229" spans="5:7" x14ac:dyDescent="0.25">
      <c r="E229" s="11">
        <f t="shared" si="25"/>
        <v>-83</v>
      </c>
      <c r="F229" s="11">
        <f t="shared" si="26"/>
        <v>-7.8332431909206273</v>
      </c>
      <c r="G229" s="11">
        <f t="shared" si="27"/>
        <v>-7.8188074075297456</v>
      </c>
    </row>
    <row r="230" spans="5:7" x14ac:dyDescent="0.25">
      <c r="E230" s="11">
        <f t="shared" si="25"/>
        <v>-82</v>
      </c>
      <c r="F230" s="11">
        <f t="shared" si="26"/>
        <v>-7.7659131440348332</v>
      </c>
      <c r="G230" s="11">
        <f t="shared" si="27"/>
        <v>-7.7489850321954528</v>
      </c>
    </row>
    <row r="231" spans="5:7" x14ac:dyDescent="0.25">
      <c r="E231" s="11">
        <f t="shared" si="25"/>
        <v>-81</v>
      </c>
      <c r="F231" s="11">
        <f t="shared" si="26"/>
        <v>-7.6969026051151861</v>
      </c>
      <c r="G231" s="11">
        <f t="shared" si="27"/>
        <v>-7.678384223541765</v>
      </c>
    </row>
    <row r="232" spans="5:7" x14ac:dyDescent="0.25">
      <c r="E232" s="11">
        <f t="shared" si="25"/>
        <v>-80</v>
      </c>
      <c r="F232" s="11">
        <f t="shared" si="26"/>
        <v>-7.6260971725422833</v>
      </c>
      <c r="G232" s="11">
        <f t="shared" si="27"/>
        <v>-7.6069076774037558</v>
      </c>
    </row>
    <row r="233" spans="5:7" x14ac:dyDescent="0.25">
      <c r="E233" s="11">
        <f t="shared" si="25"/>
        <v>-79</v>
      </c>
      <c r="F233" s="11">
        <f t="shared" si="26"/>
        <v>-7.5534049422677692</v>
      </c>
      <c r="G233" s="11">
        <f t="shared" si="27"/>
        <v>-7.5344580896165008</v>
      </c>
    </row>
    <row r="234" spans="5:7" x14ac:dyDescent="0.25">
      <c r="E234" s="11">
        <f t="shared" si="25"/>
        <v>-78</v>
      </c>
      <c r="F234" s="11">
        <f t="shared" si="26"/>
        <v>-7.4787549306628005</v>
      </c>
      <c r="G234" s="11">
        <f t="shared" si="27"/>
        <v>-7.4609381560150769</v>
      </c>
    </row>
    <row r="235" spans="5:7" x14ac:dyDescent="0.25">
      <c r="E235" s="11">
        <f t="shared" si="25"/>
        <v>-77</v>
      </c>
      <c r="F235" s="11">
        <f t="shared" si="26"/>
        <v>-7.4020955608544963</v>
      </c>
      <c r="G235" s="11">
        <f t="shared" si="27"/>
        <v>-7.386250572434558</v>
      </c>
    </row>
    <row r="236" spans="5:7" x14ac:dyDescent="0.25">
      <c r="E236" s="11">
        <f t="shared" si="25"/>
        <v>-76</v>
      </c>
      <c r="F236" s="11">
        <f t="shared" si="26"/>
        <v>-7.3233932110682023</v>
      </c>
      <c r="G236" s="11">
        <f t="shared" si="27"/>
        <v>-7.3102980347100202</v>
      </c>
    </row>
    <row r="237" spans="5:7" x14ac:dyDescent="0.25">
      <c r="E237" s="11">
        <f t="shared" si="25"/>
        <v>-75</v>
      </c>
      <c r="F237" s="11">
        <f t="shared" si="26"/>
        <v>-7.2426308235091339</v>
      </c>
      <c r="G237" s="11">
        <f t="shared" si="27"/>
        <v>-7.2329832386765389</v>
      </c>
    </row>
    <row r="238" spans="5:7" x14ac:dyDescent="0.25">
      <c r="E238" s="11">
        <f t="shared" si="25"/>
        <v>-74</v>
      </c>
      <c r="F238" s="11">
        <f t="shared" si="26"/>
        <v>-7.1598065723329478</v>
      </c>
      <c r="G238" s="11">
        <f t="shared" si="27"/>
        <v>-7.1542088801691897</v>
      </c>
    </row>
    <row r="239" spans="5:7" x14ac:dyDescent="0.25">
      <c r="E239" s="11">
        <f t="shared" si="25"/>
        <v>-73</v>
      </c>
      <c r="F239" s="11">
        <f t="shared" si="26"/>
        <v>-7.074932589270567</v>
      </c>
      <c r="G239" s="11">
        <f t="shared" si="27"/>
        <v>-7.0738776550230469</v>
      </c>
    </row>
    <row r="240" spans="5:7" x14ac:dyDescent="0.25">
      <c r="E240" s="11">
        <f t="shared" si="25"/>
        <v>-72</v>
      </c>
      <c r="F240" s="11">
        <f t="shared" si="26"/>
        <v>-6.9880337454885018</v>
      </c>
      <c r="G240" s="11">
        <f t="shared" si="27"/>
        <v>-6.9918922590731878</v>
      </c>
    </row>
    <row r="241" spans="5:7" x14ac:dyDescent="0.25">
      <c r="E241" s="11">
        <f t="shared" si="25"/>
        <v>-71</v>
      </c>
      <c r="F241" s="11">
        <f t="shared" si="26"/>
        <v>-6.8991464882817022</v>
      </c>
      <c r="G241" s="11">
        <f t="shared" si="27"/>
        <v>-6.9081553881546878</v>
      </c>
    </row>
    <row r="242" spans="5:7" x14ac:dyDescent="0.25">
      <c r="E242" s="11">
        <f t="shared" si="25"/>
        <v>-70</v>
      </c>
      <c r="F242" s="11">
        <f t="shared" si="26"/>
        <v>-6.8083177312119156</v>
      </c>
      <c r="G242" s="11">
        <f t="shared" si="27"/>
        <v>-6.8225697381026222</v>
      </c>
    </row>
    <row r="243" spans="5:7" x14ac:dyDescent="0.25">
      <c r="E243" s="11">
        <f t="shared" si="25"/>
        <v>-69</v>
      </c>
      <c r="F243" s="11">
        <f t="shared" si="26"/>
        <v>-6.7156037963203357</v>
      </c>
      <c r="G243" s="11">
        <f t="shared" si="27"/>
        <v>-6.7350380047520648</v>
      </c>
    </row>
    <row r="244" spans="5:7" x14ac:dyDescent="0.25">
      <c r="E244" s="11">
        <f t="shared" si="25"/>
        <v>-68</v>
      </c>
      <c r="F244" s="11">
        <f t="shared" si="26"/>
        <v>-6.6210694070591591</v>
      </c>
      <c r="G244" s="11">
        <f t="shared" si="27"/>
        <v>-6.6454628839380927</v>
      </c>
    </row>
    <row r="245" spans="5:7" x14ac:dyDescent="0.25">
      <c r="E245" s="11">
        <f t="shared" si="25"/>
        <v>-67</v>
      </c>
      <c r="F245" s="11">
        <f t="shared" si="26"/>
        <v>-6.5247867306026404</v>
      </c>
      <c r="G245" s="11">
        <f t="shared" si="27"/>
        <v>-6.5537470714957813</v>
      </c>
    </row>
    <row r="246" spans="5:7" x14ac:dyDescent="0.25">
      <c r="E246" s="11">
        <f t="shared" si="25"/>
        <v>-66</v>
      </c>
      <c r="F246" s="11">
        <f t="shared" si="26"/>
        <v>-6.4268344682139373</v>
      </c>
      <c r="G246" s="11">
        <f t="shared" si="27"/>
        <v>-6.459793263260206</v>
      </c>
    </row>
    <row r="247" spans="5:7" x14ac:dyDescent="0.25">
      <c r="E247" s="11">
        <f t="shared" si="25"/>
        <v>-65</v>
      </c>
      <c r="F247" s="11">
        <f t="shared" si="26"/>
        <v>-6.3272969923600391</v>
      </c>
      <c r="G247" s="11">
        <f t="shared" si="27"/>
        <v>-6.3635041550664404</v>
      </c>
    </row>
    <row r="248" spans="5:7" x14ac:dyDescent="0.25">
      <c r="E248" s="11">
        <f t="shared" si="25"/>
        <v>-64</v>
      </c>
      <c r="F248" s="11">
        <f t="shared" si="26"/>
        <v>-6.2262635292828543</v>
      </c>
      <c r="G248" s="11">
        <f t="shared" si="27"/>
        <v>-6.2647824427495635</v>
      </c>
    </row>
    <row r="249" spans="5:7" x14ac:dyDescent="0.25">
      <c r="E249" s="11">
        <f t="shared" si="25"/>
        <v>-63</v>
      </c>
      <c r="F249" s="11">
        <f t="shared" si="26"/>
        <v>-6.1238273857503955</v>
      </c>
      <c r="G249" s="11">
        <f t="shared" si="27"/>
        <v>-6.1635308221446472</v>
      </c>
    </row>
    <row r="250" spans="5:7" x14ac:dyDescent="0.25">
      <c r="E250" s="11">
        <f t="shared" si="25"/>
        <v>-62</v>
      </c>
      <c r="F250" s="11">
        <f t="shared" si="26"/>
        <v>-6.0200852187279024</v>
      </c>
      <c r="G250" s="11">
        <f t="shared" si="27"/>
        <v>-6.0596519890867686</v>
      </c>
    </row>
    <row r="251" spans="5:7" x14ac:dyDescent="0.25">
      <c r="E251" s="11">
        <f t="shared" si="25"/>
        <v>-61</v>
      </c>
      <c r="F251" s="11">
        <f t="shared" si="26"/>
        <v>-5.9151363467245659</v>
      </c>
      <c r="G251" s="11">
        <f t="shared" si="27"/>
        <v>-5.9530486394110032</v>
      </c>
    </row>
    <row r="252" spans="5:7" x14ac:dyDescent="0.25">
      <c r="E252" s="11">
        <f t="shared" si="25"/>
        <v>-60</v>
      </c>
      <c r="F252" s="11">
        <f t="shared" si="26"/>
        <v>-5.8090821015873813</v>
      </c>
      <c r="G252" s="11">
        <f t="shared" si="27"/>
        <v>-5.8436234689524271</v>
      </c>
    </row>
    <row r="253" spans="5:7" x14ac:dyDescent="0.25">
      <c r="E253" s="11">
        <f t="shared" si="25"/>
        <v>-59</v>
      </c>
      <c r="F253" s="11">
        <f t="shared" si="26"/>
        <v>-5.7020252195295278</v>
      </c>
      <c r="G253" s="11">
        <f t="shared" si="27"/>
        <v>-5.731279173546115</v>
      </c>
    </row>
    <row r="254" spans="5:7" x14ac:dyDescent="0.25">
      <c r="E254" s="11">
        <f t="shared" si="25"/>
        <v>-58</v>
      </c>
      <c r="F254" s="11">
        <f t="shared" si="26"/>
        <v>-5.5940692701965355</v>
      </c>
      <c r="G254" s="11">
        <f t="shared" si="27"/>
        <v>-5.6159184490271423</v>
      </c>
    </row>
    <row r="255" spans="5:7" x14ac:dyDescent="0.25">
      <c r="E255" s="11">
        <f t="shared" si="25"/>
        <v>-57</v>
      </c>
      <c r="F255" s="11">
        <f t="shared" si="26"/>
        <v>-5.4853181225893515</v>
      </c>
      <c r="G255" s="11">
        <f t="shared" si="27"/>
        <v>-5.4974439912305852</v>
      </c>
    </row>
    <row r="256" spans="5:7" x14ac:dyDescent="0.25">
      <c r="E256" s="11">
        <f t="shared" si="25"/>
        <v>-56</v>
      </c>
      <c r="F256" s="11">
        <f t="shared" si="26"/>
        <v>-5.3758754466792569</v>
      </c>
      <c r="G256" s="11">
        <f t="shared" si="27"/>
        <v>-5.3757584959915174</v>
      </c>
    </row>
    <row r="257" spans="5:7" x14ac:dyDescent="0.25">
      <c r="E257" s="11">
        <f t="shared" si="25"/>
        <v>-55</v>
      </c>
      <c r="F257" s="11">
        <f t="shared" si="26"/>
        <v>-5.2658442495655171</v>
      </c>
      <c r="G257" s="11">
        <f t="shared" si="27"/>
        <v>-5.2507646591450161</v>
      </c>
    </row>
    <row r="258" spans="5:7" x14ac:dyDescent="0.25">
      <c r="E258" s="11">
        <f t="shared" si="25"/>
        <v>-54</v>
      </c>
      <c r="F258" s="11">
        <f t="shared" si="26"/>
        <v>-5.1553264450423999</v>
      </c>
      <c r="G258" s="11">
        <f t="shared" si="27"/>
        <v>-5.1223651765261566</v>
      </c>
    </row>
    <row r="259" spans="5:7" x14ac:dyDescent="0.25">
      <c r="E259" s="11">
        <f t="shared" si="25"/>
        <v>-53</v>
      </c>
      <c r="F259" s="11">
        <f t="shared" si="26"/>
        <v>-5.0444224554581583</v>
      </c>
      <c r="G259" s="11">
        <f t="shared" si="27"/>
        <v>-4.9904627439700135</v>
      </c>
    </row>
    <row r="260" spans="5:7" x14ac:dyDescent="0.25">
      <c r="E260" s="11">
        <f t="shared" si="25"/>
        <v>-52</v>
      </c>
      <c r="F260" s="11">
        <f t="shared" si="26"/>
        <v>-4.933230844764374</v>
      </c>
      <c r="G260" s="11">
        <f t="shared" si="27"/>
        <v>-4.8549600573116622</v>
      </c>
    </row>
    <row r="261" spans="5:7" x14ac:dyDescent="0.25">
      <c r="E261" s="11">
        <f t="shared" si="25"/>
        <v>-51</v>
      </c>
      <c r="F261" s="11">
        <f t="shared" si="26"/>
        <v>-4.8218479816699329</v>
      </c>
      <c r="G261" s="11">
        <f t="shared" si="27"/>
        <v>-4.7157598123861799</v>
      </c>
    </row>
    <row r="262" spans="5:7" x14ac:dyDescent="0.25">
      <c r="E262" s="11">
        <f t="shared" si="25"/>
        <v>-50</v>
      </c>
      <c r="F262" s="11">
        <f t="shared" si="26"/>
        <v>-4.7103677318297725</v>
      </c>
      <c r="G262" s="11">
        <f t="shared" si="27"/>
        <v>-4.5727647050286402</v>
      </c>
    </row>
    <row r="263" spans="5:7" x14ac:dyDescent="0.25">
      <c r="E263" s="11">
        <f t="shared" si="25"/>
        <v>-49</v>
      </c>
      <c r="F263" s="11">
        <f t="shared" si="26"/>
        <v>-4.5988811780143939</v>
      </c>
      <c r="G263" s="11">
        <f t="shared" si="27"/>
        <v>-4.4950428380138359</v>
      </c>
    </row>
    <row r="264" spans="5:7" x14ac:dyDescent="0.25">
      <c r="E264" s="11">
        <f t="shared" si="25"/>
        <v>-48</v>
      </c>
      <c r="F264" s="11">
        <f t="shared" si="26"/>
        <v>-4.4874763672219835</v>
      </c>
      <c r="G264" s="11">
        <f t="shared" si="27"/>
        <v>-4.4136655396152014</v>
      </c>
    </row>
    <row r="265" spans="5:7" x14ac:dyDescent="0.25">
      <c r="E265" s="11">
        <f t="shared" si="25"/>
        <v>-47</v>
      </c>
      <c r="F265" s="11">
        <f t="shared" si="26"/>
        <v>-4.3762380837108612</v>
      </c>
      <c r="G265" s="11">
        <f t="shared" si="27"/>
        <v>-4.3288695450458885</v>
      </c>
    </row>
    <row r="266" spans="5:7" x14ac:dyDescent="0.25">
      <c r="E266" s="11">
        <f t="shared" si="25"/>
        <v>-46</v>
      </c>
      <c r="F266" s="11">
        <f t="shared" si="26"/>
        <v>-4.2652476469458387</v>
      </c>
      <c r="G266" s="11">
        <f t="shared" si="27"/>
        <v>-4.2408915895190473</v>
      </c>
    </row>
    <row r="267" spans="5:7" x14ac:dyDescent="0.25">
      <c r="E267" s="11">
        <f t="shared" si="25"/>
        <v>-45</v>
      </c>
      <c r="F267" s="11">
        <f t="shared" si="26"/>
        <v>-4.1545827334678975</v>
      </c>
      <c r="G267" s="11">
        <f t="shared" si="27"/>
        <v>-4.1499684082478296</v>
      </c>
    </row>
    <row r="268" spans="5:7" x14ac:dyDescent="0.25">
      <c r="E268" s="11">
        <f t="shared" si="25"/>
        <v>-44</v>
      </c>
      <c r="F268" s="11">
        <f t="shared" si="26"/>
        <v>-4.0443172217124994</v>
      </c>
      <c r="G268" s="11">
        <f t="shared" si="27"/>
        <v>-4.0563367364453864</v>
      </c>
    </row>
    <row r="269" spans="5:7" x14ac:dyDescent="0.25">
      <c r="E269" s="11">
        <f t="shared" si="25"/>
        <v>-43</v>
      </c>
      <c r="F269" s="11">
        <f t="shared" si="26"/>
        <v>-3.9345210588176691</v>
      </c>
      <c r="G269" s="11">
        <f t="shared" si="27"/>
        <v>-3.9602333093248689</v>
      </c>
    </row>
    <row r="270" spans="5:7" x14ac:dyDescent="0.25">
      <c r="E270" s="11">
        <f t="shared" si="25"/>
        <v>-42</v>
      </c>
      <c r="F270" s="11">
        <f t="shared" si="26"/>
        <v>-3.8252601484788769</v>
      </c>
      <c r="G270" s="11">
        <f t="shared" si="27"/>
        <v>-3.8618948620994287</v>
      </c>
    </row>
    <row r="271" spans="5:7" x14ac:dyDescent="0.25">
      <c r="E271" s="11">
        <f t="shared" si="25"/>
        <v>-41</v>
      </c>
      <c r="F271" s="11">
        <f t="shared" si="26"/>
        <v>-3.716596258923567</v>
      </c>
      <c r="G271" s="11">
        <f t="shared" si="27"/>
        <v>-3.7615581299822156</v>
      </c>
    </row>
    <row r="272" spans="5:7" x14ac:dyDescent="0.25">
      <c r="E272" s="11">
        <f t="shared" si="25"/>
        <v>-40</v>
      </c>
      <c r="F272" s="11">
        <f t="shared" si="26"/>
        <v>-3.6085869500940944</v>
      </c>
      <c r="G272" s="11">
        <f t="shared" si="27"/>
        <v>-3.659459848186382</v>
      </c>
    </row>
    <row r="273" spans="5:7" x14ac:dyDescent="0.25">
      <c r="E273" s="11">
        <f t="shared" si="25"/>
        <v>-39</v>
      </c>
      <c r="F273" s="11">
        <f t="shared" si="26"/>
        <v>-3.5012855191436332</v>
      </c>
      <c r="G273" s="11">
        <f t="shared" si="27"/>
        <v>-3.5558367519250789</v>
      </c>
    </row>
    <row r="274" spans="5:7" x14ac:dyDescent="0.25">
      <c r="E274" s="11">
        <f t="shared" si="25"/>
        <v>-38</v>
      </c>
      <c r="F274" s="11">
        <f t="shared" si="26"/>
        <v>-3.3947409633655372</v>
      </c>
      <c r="G274" s="11">
        <f t="shared" si="27"/>
        <v>-3.4509255764114566</v>
      </c>
    </row>
    <row r="275" spans="5:7" x14ac:dyDescent="0.25">
      <c r="E275" s="11">
        <f t="shared" si="25"/>
        <v>-37</v>
      </c>
      <c r="F275" s="11">
        <f t="shared" si="26"/>
        <v>-3.2889979596924372</v>
      </c>
      <c r="G275" s="11">
        <f t="shared" si="27"/>
        <v>-3.3449630568586675</v>
      </c>
    </row>
    <row r="276" spans="5:7" x14ac:dyDescent="0.25">
      <c r="E276" s="11">
        <f t="shared" si="25"/>
        <v>-36</v>
      </c>
      <c r="F276" s="11">
        <f t="shared" si="26"/>
        <v>-3.1840968599172603</v>
      </c>
      <c r="G276" s="11">
        <f t="shared" si="27"/>
        <v>-3.2381859284798615</v>
      </c>
    </row>
    <row r="277" spans="5:7" x14ac:dyDescent="0.25">
      <c r="E277" s="11">
        <f t="shared" si="25"/>
        <v>-35</v>
      </c>
      <c r="F277" s="11">
        <f t="shared" si="26"/>
        <v>-3.0800737008042147</v>
      </c>
      <c r="G277" s="11">
        <f t="shared" si="27"/>
        <v>-3.1308309264881906</v>
      </c>
    </row>
    <row r="278" spans="5:7" x14ac:dyDescent="0.25">
      <c r="E278" s="11">
        <f t="shared" si="25"/>
        <v>-34</v>
      </c>
      <c r="F278" s="11">
        <f t="shared" si="26"/>
        <v>-2.9769602282735921</v>
      </c>
      <c r="G278" s="11">
        <f t="shared" si="27"/>
        <v>-3.0231347860968061</v>
      </c>
    </row>
    <row r="279" spans="5:7" x14ac:dyDescent="0.25">
      <c r="E279" s="11">
        <f t="shared" si="25"/>
        <v>-33</v>
      </c>
      <c r="F279" s="11">
        <f t="shared" si="26"/>
        <v>-2.8747839348601918</v>
      </c>
      <c r="G279" s="11">
        <f t="shared" si="27"/>
        <v>-2.9153342425188584</v>
      </c>
    </row>
    <row r="280" spans="5:7" x14ac:dyDescent="0.25">
      <c r="E280" s="11">
        <f t="shared" si="25"/>
        <v>-32</v>
      </c>
      <c r="F280" s="11">
        <f t="shared" si="26"/>
        <v>-2.7735681096609333</v>
      </c>
      <c r="G280" s="11">
        <f t="shared" si="27"/>
        <v>-2.807666030967499</v>
      </c>
    </row>
    <row r="281" spans="5:7" x14ac:dyDescent="0.25">
      <c r="E281" s="11">
        <f t="shared" si="25"/>
        <v>-31</v>
      </c>
      <c r="F281" s="11">
        <f t="shared" si="26"/>
        <v>-2.6733319000031508</v>
      </c>
      <c r="G281" s="11">
        <f t="shared" si="27"/>
        <v>-2.7003668866558792</v>
      </c>
    </row>
    <row r="282" spans="5:7" x14ac:dyDescent="0.25">
      <c r="E282" s="11">
        <f t="shared" si="25"/>
        <v>-30</v>
      </c>
      <c r="F282" s="11">
        <f t="shared" si="26"/>
        <v>-2.5740903840808986</v>
      </c>
      <c r="G282" s="11">
        <f t="shared" si="27"/>
        <v>-2.59367354479715</v>
      </c>
    </row>
    <row r="283" spans="5:7" x14ac:dyDescent="0.25">
      <c r="E283" s="11">
        <f t="shared" si="25"/>
        <v>-29</v>
      </c>
      <c r="F283" s="11">
        <f t="shared" si="26"/>
        <v>-2.4758546538224513</v>
      </c>
      <c r="G283" s="11">
        <f t="shared" si="27"/>
        <v>-2.4878227406044626</v>
      </c>
    </row>
    <row r="284" spans="5:7" x14ac:dyDescent="0.25">
      <c r="E284" s="11">
        <f t="shared" si="25"/>
        <v>-28</v>
      </c>
      <c r="F284" s="11">
        <f t="shared" si="26"/>
        <v>-2.3786319072680517</v>
      </c>
      <c r="G284" s="11">
        <f t="shared" si="27"/>
        <v>-2.3830512092909677</v>
      </c>
    </row>
    <row r="285" spans="5:7" x14ac:dyDescent="0.25">
      <c r="E285" s="11">
        <f t="shared" si="25"/>
        <v>-27</v>
      </c>
      <c r="F285" s="11">
        <f t="shared" si="26"/>
        <v>-2.2824255497528272</v>
      </c>
      <c r="G285" s="11">
        <f t="shared" si="27"/>
        <v>-2.279595686069817</v>
      </c>
    </row>
    <row r="286" spans="5:7" x14ac:dyDescent="0.25">
      <c r="E286" s="11">
        <f t="shared" si="25"/>
        <v>-26</v>
      </c>
      <c r="F286" s="11">
        <f t="shared" si="26"/>
        <v>-2.1872353032056298</v>
      </c>
      <c r="G286" s="11">
        <f t="shared" si="27"/>
        <v>-2.1776929061541614</v>
      </c>
    </row>
    <row r="287" spans="5:7" x14ac:dyDescent="0.25">
      <c r="E287" s="11">
        <f t="shared" ref="E287:E350" si="28">E80</f>
        <v>-25</v>
      </c>
      <c r="F287" s="11">
        <f t="shared" ref="F287:F350" si="29">$H$217*0+E287*$I$217+E287^2*$J$217+E287^3*$K$217+E287^4*$L$217+E287^5*$M$217+E287^6*$N$217+E287^7*$O$217+E287^8*$P$217</f>
        <v>-2.0930573228904379</v>
      </c>
      <c r="G287" s="11">
        <f t="shared" ref="G287:G350" si="30">F80</f>
        <v>-2.0775796047571524</v>
      </c>
    </row>
    <row r="288" spans="5:7" x14ac:dyDescent="0.25">
      <c r="E288" s="11">
        <f t="shared" si="28"/>
        <v>-24</v>
      </c>
      <c r="F288" s="11">
        <f t="shared" si="29"/>
        <v>-1.9998843209328112</v>
      </c>
      <c r="G288" s="11">
        <f t="shared" si="30"/>
        <v>-1.9794381952943818</v>
      </c>
    </row>
    <row r="289" spans="5:7" x14ac:dyDescent="0.25">
      <c r="E289" s="11">
        <f t="shared" si="28"/>
        <v>-23</v>
      </c>
      <c r="F289" s="11">
        <f t="shared" si="29"/>
        <v>-1.9077056959897534</v>
      </c>
      <c r="G289" s="11">
        <f t="shared" si="30"/>
        <v>-1.883233803991206</v>
      </c>
    </row>
    <row r="290" spans="5:7" x14ac:dyDescent="0.25">
      <c r="E290" s="11">
        <f t="shared" si="28"/>
        <v>-22</v>
      </c>
      <c r="F290" s="11">
        <f t="shared" si="29"/>
        <v>-1.8165076684371737</v>
      </c>
      <c r="G290" s="11">
        <f t="shared" si="30"/>
        <v>-1.7888772352754221</v>
      </c>
    </row>
    <row r="291" spans="5:7" x14ac:dyDescent="0.25">
      <c r="E291" s="11">
        <f t="shared" si="28"/>
        <v>-21</v>
      </c>
      <c r="F291" s="11">
        <f t="shared" si="29"/>
        <v>-1.726273420465041</v>
      </c>
      <c r="G291" s="11">
        <f t="shared" si="30"/>
        <v>-1.6962792935748277</v>
      </c>
    </row>
    <row r="292" spans="5:7" x14ac:dyDescent="0.25">
      <c r="E292" s="11">
        <f t="shared" si="28"/>
        <v>-20</v>
      </c>
      <c r="F292" s="11">
        <f t="shared" si="29"/>
        <v>-1.6369832404861506</v>
      </c>
      <c r="G292" s="11">
        <f t="shared" si="30"/>
        <v>-1.6053507833172196</v>
      </c>
    </row>
    <row r="293" spans="5:7" x14ac:dyDescent="0.25">
      <c r="E293" s="11">
        <f t="shared" si="28"/>
        <v>-19</v>
      </c>
      <c r="F293" s="11">
        <f t="shared" si="29"/>
        <v>-1.5486146712802855</v>
      </c>
      <c r="G293" s="11">
        <f t="shared" si="30"/>
        <v>-1.5160025089303952</v>
      </c>
    </row>
    <row r="294" spans="5:7" x14ac:dyDescent="0.25">
      <c r="E294" s="11">
        <f t="shared" si="28"/>
        <v>-18</v>
      </c>
      <c r="F294" s="11">
        <f t="shared" si="29"/>
        <v>-1.4611426613114347</v>
      </c>
      <c r="G294" s="11">
        <f t="shared" si="30"/>
        <v>-1.4281452748421517</v>
      </c>
    </row>
    <row r="295" spans="5:7" x14ac:dyDescent="0.25">
      <c r="E295" s="11">
        <f t="shared" si="28"/>
        <v>-17</v>
      </c>
      <c r="F295" s="11">
        <f t="shared" si="29"/>
        <v>-1.3745397186715751</v>
      </c>
      <c r="G295" s="11">
        <f t="shared" si="30"/>
        <v>-1.3416898854802868</v>
      </c>
    </row>
    <row r="296" spans="5:7" x14ac:dyDescent="0.25">
      <c r="E296" s="11">
        <f t="shared" si="28"/>
        <v>-16</v>
      </c>
      <c r="F296" s="11">
        <f t="shared" si="29"/>
        <v>-1.2887760671203763</v>
      </c>
      <c r="G296" s="11">
        <f t="shared" si="30"/>
        <v>-1.2565471452725974</v>
      </c>
    </row>
    <row r="297" spans="5:7" x14ac:dyDescent="0.25">
      <c r="E297" s="11">
        <f t="shared" si="28"/>
        <v>-15</v>
      </c>
      <c r="F297" s="11">
        <f t="shared" si="29"/>
        <v>-1.2038198037060768</v>
      </c>
      <c r="G297" s="11">
        <f t="shared" si="30"/>
        <v>-1.1726278586468808</v>
      </c>
    </row>
    <row r="298" spans="5:7" x14ac:dyDescent="0.25">
      <c r="E298" s="11">
        <f t="shared" si="28"/>
        <v>-14</v>
      </c>
      <c r="F298" s="11">
        <f t="shared" si="29"/>
        <v>-1.1196370574685999</v>
      </c>
      <c r="G298" s="11">
        <f t="shared" si="30"/>
        <v>-1.0898428300309342</v>
      </c>
    </row>
    <row r="299" spans="5:7" x14ac:dyDescent="0.25">
      <c r="E299" s="11">
        <f t="shared" si="28"/>
        <v>-13</v>
      </c>
      <c r="F299" s="11">
        <f t="shared" si="29"/>
        <v>-1.0361921487418755</v>
      </c>
      <c r="G299" s="11">
        <f t="shared" si="30"/>
        <v>-1.0081028638525549</v>
      </c>
    </row>
    <row r="300" spans="5:7" x14ac:dyDescent="0.25">
      <c r="E300" s="11">
        <f t="shared" si="28"/>
        <v>-12</v>
      </c>
      <c r="F300" s="11">
        <f t="shared" si="29"/>
        <v>-0.95344774858816739</v>
      </c>
      <c r="G300" s="11">
        <f t="shared" si="30"/>
        <v>-0.9273187645395401</v>
      </c>
    </row>
    <row r="301" spans="5:7" x14ac:dyDescent="0.25">
      <c r="E301" s="11">
        <f t="shared" si="28"/>
        <v>-11</v>
      </c>
      <c r="F301" s="11">
        <f t="shared" si="29"/>
        <v>-0.87136503791307851</v>
      </c>
      <c r="G301" s="11">
        <f t="shared" si="30"/>
        <v>-0.84740133651968719</v>
      </c>
    </row>
    <row r="302" spans="5:7" x14ac:dyDescent="0.25">
      <c r="E302" s="11">
        <f t="shared" si="28"/>
        <v>-10</v>
      </c>
      <c r="F302" s="11">
        <f t="shared" si="29"/>
        <v>-0.789903865825763</v>
      </c>
      <c r="G302" s="11">
        <f t="shared" si="30"/>
        <v>-0.76826138422079338</v>
      </c>
    </row>
    <row r="303" spans="5:7" x14ac:dyDescent="0.25">
      <c r="E303" s="11">
        <f t="shared" si="28"/>
        <v>-9</v>
      </c>
      <c r="F303" s="11">
        <f t="shared" si="29"/>
        <v>-0.7090229068247329</v>
      </c>
      <c r="G303" s="11">
        <f t="shared" si="30"/>
        <v>-0.68980971207065567</v>
      </c>
    </row>
    <row r="304" spans="5:7" x14ac:dyDescent="0.25">
      <c r="E304" s="11">
        <f t="shared" si="28"/>
        <v>-8</v>
      </c>
      <c r="F304" s="11">
        <f t="shared" si="29"/>
        <v>-0.62867981640550852</v>
      </c>
      <c r="G304" s="11">
        <f t="shared" si="30"/>
        <v>-0.61195712449707174</v>
      </c>
    </row>
    <row r="305" spans="5:7" x14ac:dyDescent="0.25">
      <c r="E305" s="11">
        <f t="shared" si="28"/>
        <v>-7</v>
      </c>
      <c r="F305" s="11">
        <f t="shared" si="29"/>
        <v>-0.54883138470222281</v>
      </c>
      <c r="G305" s="11">
        <f t="shared" si="30"/>
        <v>-0.5346144259278387</v>
      </c>
    </row>
    <row r="306" spans="5:7" x14ac:dyDescent="0.25">
      <c r="E306" s="11">
        <f t="shared" si="28"/>
        <v>-6</v>
      </c>
      <c r="F306" s="11">
        <f t="shared" si="29"/>
        <v>-0.46943368779114508</v>
      </c>
      <c r="G306" s="11">
        <f t="shared" si="30"/>
        <v>-0.45769242079075367</v>
      </c>
    </row>
    <row r="307" spans="5:7" x14ac:dyDescent="0.25">
      <c r="E307" s="11">
        <f t="shared" si="28"/>
        <v>-5</v>
      </c>
      <c r="F307" s="11">
        <f t="shared" si="29"/>
        <v>-0.3904422362999565</v>
      </c>
      <c r="G307" s="11">
        <f t="shared" si="30"/>
        <v>-0.38110191351361405</v>
      </c>
    </row>
    <row r="308" spans="5:7" x14ac:dyDescent="0.25">
      <c r="E308" s="11">
        <f t="shared" si="28"/>
        <v>-4</v>
      </c>
      <c r="F308" s="11">
        <f t="shared" si="29"/>
        <v>-0.31181212098246142</v>
      </c>
      <c r="G308" s="11">
        <f t="shared" si="30"/>
        <v>-0.30475370852421696</v>
      </c>
    </row>
    <row r="309" spans="5:7" x14ac:dyDescent="0.25">
      <c r="E309" s="11">
        <f t="shared" si="28"/>
        <v>-3</v>
      </c>
      <c r="F309" s="11">
        <f t="shared" si="29"/>
        <v>-0.23349815493428633</v>
      </c>
      <c r="G309" s="11">
        <f t="shared" si="30"/>
        <v>-0.22855861025035978</v>
      </c>
    </row>
    <row r="310" spans="5:7" x14ac:dyDescent="0.25">
      <c r="E310" s="11">
        <f t="shared" si="28"/>
        <v>-2</v>
      </c>
      <c r="F310" s="11">
        <f t="shared" si="29"/>
        <v>-0.15545501214097318</v>
      </c>
      <c r="G310" s="11">
        <f t="shared" si="30"/>
        <v>-0.15242742311983976</v>
      </c>
    </row>
    <row r="311" spans="5:7" x14ac:dyDescent="0.25">
      <c r="E311" s="11">
        <f t="shared" si="28"/>
        <v>-1</v>
      </c>
      <c r="F311" s="11">
        <f t="shared" si="29"/>
        <v>-7.7637362065734641E-2</v>
      </c>
      <c r="G311" s="11">
        <f t="shared" si="30"/>
        <v>-7.6270951560454048E-2</v>
      </c>
    </row>
    <row r="312" spans="5:7" x14ac:dyDescent="0.25">
      <c r="E312" s="11">
        <f t="shared" si="28"/>
        <v>0</v>
      </c>
      <c r="F312" s="11">
        <f t="shared" si="29"/>
        <v>0</v>
      </c>
      <c r="G312" s="11">
        <f t="shared" si="30"/>
        <v>0</v>
      </c>
    </row>
    <row r="313" spans="5:7" x14ac:dyDescent="0.25">
      <c r="E313" s="11">
        <f t="shared" si="28"/>
        <v>1</v>
      </c>
      <c r="F313" s="11">
        <f t="shared" si="29"/>
        <v>7.7502027084260502E-2</v>
      </c>
      <c r="G313" s="11">
        <f t="shared" si="30"/>
        <v>7.6462136706201278E-2</v>
      </c>
    </row>
    <row r="314" spans="5:7" x14ac:dyDescent="0.25">
      <c r="E314" s="11">
        <f t="shared" si="28"/>
        <v>2</v>
      </c>
      <c r="F314" s="11">
        <f t="shared" si="29"/>
        <v>0.1549132994255854</v>
      </c>
      <c r="G314" s="11">
        <f t="shared" si="30"/>
        <v>0.15314220199273307</v>
      </c>
    </row>
    <row r="315" spans="5:7" x14ac:dyDescent="0.25">
      <c r="E315" s="11">
        <f t="shared" si="28"/>
        <v>3</v>
      </c>
      <c r="F315" s="11">
        <f t="shared" si="29"/>
        <v>0.23227790833673845</v>
      </c>
      <c r="G315" s="11">
        <f t="shared" si="30"/>
        <v>0.2300544488666548</v>
      </c>
    </row>
    <row r="316" spans="5:7" x14ac:dyDescent="0.25">
      <c r="E316" s="11">
        <f t="shared" si="28"/>
        <v>4</v>
      </c>
      <c r="F316" s="11">
        <f t="shared" si="29"/>
        <v>0.3096393452545228</v>
      </c>
      <c r="G316" s="11">
        <f t="shared" si="30"/>
        <v>0.30721313033502584</v>
      </c>
    </row>
    <row r="317" spans="5:7" x14ac:dyDescent="0.25">
      <c r="E317" s="11">
        <f t="shared" si="28"/>
        <v>5</v>
      </c>
      <c r="F317" s="11">
        <f t="shared" si="29"/>
        <v>0.38704039617326808</v>
      </c>
      <c r="G317" s="11">
        <f t="shared" si="30"/>
        <v>0.38463249940490568</v>
      </c>
    </row>
    <row r="318" spans="5:7" x14ac:dyDescent="0.25">
      <c r="E318" s="11">
        <f t="shared" si="28"/>
        <v>6</v>
      </c>
      <c r="F318" s="11">
        <f t="shared" si="29"/>
        <v>0.46452304164370012</v>
      </c>
      <c r="G318" s="11">
        <f t="shared" si="30"/>
        <v>0.46232680908335366</v>
      </c>
    </row>
    <row r="319" spans="5:7" x14ac:dyDescent="0.25">
      <c r="E319" s="11">
        <f t="shared" si="28"/>
        <v>7</v>
      </c>
      <c r="F319" s="11">
        <f t="shared" si="29"/>
        <v>0.54212836250304774</v>
      </c>
      <c r="G319" s="11">
        <f t="shared" si="30"/>
        <v>0.5403103123774291</v>
      </c>
    </row>
    <row r="320" spans="5:7" x14ac:dyDescent="0.25">
      <c r="E320" s="11">
        <f t="shared" si="28"/>
        <v>8</v>
      </c>
      <c r="F320" s="11">
        <f t="shared" si="29"/>
        <v>0.61989645148637917</v>
      </c>
      <c r="G320" s="11">
        <f t="shared" si="30"/>
        <v>0.61859726229419176</v>
      </c>
    </row>
    <row r="321" spans="5:7" x14ac:dyDescent="0.25">
      <c r="E321" s="11">
        <f t="shared" si="28"/>
        <v>9</v>
      </c>
      <c r="F321" s="11">
        <f t="shared" si="29"/>
        <v>0.69786633085330285</v>
      </c>
      <c r="G321" s="11">
        <f t="shared" si="30"/>
        <v>0.69720191184070068</v>
      </c>
    </row>
    <row r="322" spans="5:7" x14ac:dyDescent="0.25">
      <c r="E322" s="11">
        <f t="shared" si="28"/>
        <v>10</v>
      </c>
      <c r="F322" s="11">
        <f t="shared" si="29"/>
        <v>0.77607587614829987</v>
      </c>
      <c r="G322" s="11">
        <f t="shared" si="30"/>
        <v>0.77613851402401535</v>
      </c>
    </row>
    <row r="323" spans="5:7" x14ac:dyDescent="0.25">
      <c r="E323" s="11">
        <f t="shared" si="28"/>
        <v>11</v>
      </c>
      <c r="F323" s="11">
        <f t="shared" si="29"/>
        <v>0.85456174619710812</v>
      </c>
      <c r="G323" s="11">
        <f t="shared" si="30"/>
        <v>0.85542132185119524</v>
      </c>
    </row>
    <row r="324" spans="5:7" x14ac:dyDescent="0.25">
      <c r="E324" s="11">
        <f t="shared" si="28"/>
        <v>12</v>
      </c>
      <c r="F324" s="11">
        <f t="shared" si="29"/>
        <v>0.93335931942570927</v>
      </c>
      <c r="G324" s="11">
        <f t="shared" si="30"/>
        <v>0.93506458832929984</v>
      </c>
    </row>
    <row r="325" spans="5:7" x14ac:dyDescent="0.25">
      <c r="E325" s="11">
        <f t="shared" si="28"/>
        <v>13</v>
      </c>
      <c r="F325" s="11">
        <f t="shared" si="29"/>
        <v>1.012502636572608</v>
      </c>
      <c r="G325" s="11">
        <f t="shared" si="30"/>
        <v>1.0150825664653884</v>
      </c>
    </row>
    <row r="326" spans="5:7" x14ac:dyDescent="0.25">
      <c r="E326" s="11">
        <f t="shared" si="28"/>
        <v>14</v>
      </c>
      <c r="F326" s="11">
        <f t="shared" si="29"/>
        <v>1.0920243498492435</v>
      </c>
      <c r="G326" s="11">
        <f t="shared" si="30"/>
        <v>1.0954895092665202</v>
      </c>
    </row>
    <row r="327" spans="5:7" x14ac:dyDescent="0.25">
      <c r="E327" s="11">
        <f t="shared" si="28"/>
        <v>15</v>
      </c>
      <c r="F327" s="11">
        <f t="shared" si="29"/>
        <v>1.1719556785874989</v>
      </c>
      <c r="G327" s="11">
        <f t="shared" si="30"/>
        <v>1.1762996697397552</v>
      </c>
    </row>
    <row r="328" spans="5:7" x14ac:dyDescent="0.25">
      <c r="E328" s="11">
        <f t="shared" si="28"/>
        <v>16</v>
      </c>
      <c r="F328" s="11">
        <f t="shared" si="29"/>
        <v>1.2523263713974351</v>
      </c>
      <c r="G328" s="11">
        <f t="shared" si="30"/>
        <v>1.2575273008921524</v>
      </c>
    </row>
    <row r="329" spans="5:7" x14ac:dyDescent="0.25">
      <c r="E329" s="11">
        <f t="shared" si="28"/>
        <v>17</v>
      </c>
      <c r="F329" s="11">
        <f t="shared" si="29"/>
        <v>1.3331646748424815</v>
      </c>
      <c r="G329" s="11">
        <f t="shared" si="30"/>
        <v>1.3391866557307712</v>
      </c>
    </row>
    <row r="330" spans="5:7" x14ac:dyDescent="0.25">
      <c r="E330" s="11">
        <f t="shared" si="28"/>
        <v>18</v>
      </c>
      <c r="F330" s="11">
        <f t="shared" si="29"/>
        <v>1.4144973086235049</v>
      </c>
      <c r="G330" s="11">
        <f t="shared" si="30"/>
        <v>1.421291987262671</v>
      </c>
    </row>
    <row r="331" spans="5:7" x14ac:dyDescent="0.25">
      <c r="E331" s="11">
        <f t="shared" si="28"/>
        <v>19</v>
      </c>
      <c r="F331" s="11">
        <f t="shared" si="29"/>
        <v>1.4963494472472656</v>
      </c>
      <c r="G331" s="11">
        <f t="shared" si="30"/>
        <v>1.5038575484949113</v>
      </c>
    </row>
    <row r="332" spans="5:7" x14ac:dyDescent="0.25">
      <c r="E332" s="11">
        <f t="shared" si="28"/>
        <v>20</v>
      </c>
      <c r="F332" s="11">
        <f t="shared" si="29"/>
        <v>1.5787447081389503</v>
      </c>
      <c r="G332" s="11">
        <f t="shared" si="30"/>
        <v>1.5868975924345514</v>
      </c>
    </row>
    <row r="333" spans="5:7" x14ac:dyDescent="0.25">
      <c r="E333" s="11">
        <f t="shared" si="28"/>
        <v>21</v>
      </c>
      <c r="F333" s="11">
        <f t="shared" si="29"/>
        <v>1.6617051461425878</v>
      </c>
      <c r="G333" s="11">
        <f t="shared" si="30"/>
        <v>1.6704263720886512</v>
      </c>
    </row>
    <row r="334" spans="5:7" x14ac:dyDescent="0.25">
      <c r="E334" s="11">
        <f t="shared" si="28"/>
        <v>22</v>
      </c>
      <c r="F334" s="11">
        <f t="shared" si="29"/>
        <v>1.7452512543373087</v>
      </c>
      <c r="G334" s="11">
        <f t="shared" si="30"/>
        <v>1.7544581404642692</v>
      </c>
    </row>
    <row r="335" spans="5:7" x14ac:dyDescent="0.25">
      <c r="E335" s="11">
        <f t="shared" si="28"/>
        <v>23</v>
      </c>
      <c r="F335" s="11">
        <f t="shared" si="29"/>
        <v>1.8294019710815368</v>
      </c>
      <c r="G335" s="11">
        <f t="shared" si="30"/>
        <v>1.8390071505684655</v>
      </c>
    </row>
    <row r="336" spans="5:7" x14ac:dyDescent="0.25">
      <c r="E336" s="11">
        <f t="shared" si="28"/>
        <v>24</v>
      </c>
      <c r="F336" s="11">
        <f t="shared" si="29"/>
        <v>1.9141746931813513</v>
      </c>
      <c r="G336" s="11">
        <f t="shared" si="30"/>
        <v>1.9240876554082995</v>
      </c>
    </row>
    <row r="337" spans="5:7" x14ac:dyDescent="0.25">
      <c r="E337" s="11">
        <f t="shared" si="28"/>
        <v>25</v>
      </c>
      <c r="F337" s="11">
        <f t="shared" si="29"/>
        <v>1.9995852950633892</v>
      </c>
      <c r="G337" s="11">
        <f t="shared" si="30"/>
        <v>2.0097139079908306</v>
      </c>
    </row>
    <row r="338" spans="5:7" x14ac:dyDescent="0.25">
      <c r="E338" s="11">
        <f t="shared" si="28"/>
        <v>26</v>
      </c>
      <c r="F338" s="11">
        <f t="shared" si="29"/>
        <v>2.0856481538168126</v>
      </c>
      <c r="G338" s="11">
        <f t="shared" si="30"/>
        <v>2.0959001613231178</v>
      </c>
    </row>
    <row r="339" spans="5:7" x14ac:dyDescent="0.25">
      <c r="E339" s="11">
        <f t="shared" si="28"/>
        <v>27</v>
      </c>
      <c r="F339" s="11">
        <f t="shared" si="29"/>
        <v>2.1723761799529813</v>
      </c>
      <c r="G339" s="11">
        <f t="shared" si="30"/>
        <v>2.1826606684122205</v>
      </c>
    </row>
    <row r="340" spans="5:7" x14ac:dyDescent="0.25">
      <c r="E340" s="11">
        <f t="shared" si="28"/>
        <v>28</v>
      </c>
      <c r="F340" s="11">
        <f t="shared" si="29"/>
        <v>2.2597808537156401</v>
      </c>
      <c r="G340" s="11">
        <f t="shared" si="30"/>
        <v>2.2700096822651985</v>
      </c>
    </row>
    <row r="341" spans="5:7" x14ac:dyDescent="0.25">
      <c r="E341" s="11">
        <f t="shared" si="28"/>
        <v>29</v>
      </c>
      <c r="F341" s="11">
        <f t="shared" si="29"/>
        <v>2.3478722667585448</v>
      </c>
      <c r="G341" s="11">
        <f t="shared" si="30"/>
        <v>2.3579614558891113</v>
      </c>
    </row>
    <row r="342" spans="5:7" x14ac:dyDescent="0.25">
      <c r="E342" s="11">
        <f t="shared" si="28"/>
        <v>30</v>
      </c>
      <c r="F342" s="11">
        <f t="shared" si="29"/>
        <v>2.4366591689916079</v>
      </c>
      <c r="G342" s="11">
        <f t="shared" si="30"/>
        <v>2.446530242291018</v>
      </c>
    </row>
    <row r="343" spans="5:7" x14ac:dyDescent="0.25">
      <c r="E343" s="11">
        <f t="shared" si="28"/>
        <v>31</v>
      </c>
      <c r="F343" s="11">
        <f t="shared" si="29"/>
        <v>2.5261490203807786</v>
      </c>
      <c r="G343" s="11">
        <f t="shared" si="30"/>
        <v>2.5357288601783212</v>
      </c>
    </row>
    <row r="344" spans="5:7" x14ac:dyDescent="0.25">
      <c r="E344" s="11">
        <f t="shared" si="28"/>
        <v>32</v>
      </c>
      <c r="F344" s="11">
        <f t="shared" si="29"/>
        <v>2.6163480474710057</v>
      </c>
      <c r="G344" s="11">
        <f t="shared" si="30"/>
        <v>2.6255643910597954</v>
      </c>
    </row>
    <row r="345" spans="5:7" x14ac:dyDescent="0.25">
      <c r="E345" s="11">
        <f t="shared" si="28"/>
        <v>33</v>
      </c>
      <c r="F345" s="11">
        <f t="shared" si="29"/>
        <v>2.7072613043857956</v>
      </c>
      <c r="G345" s="11">
        <f t="shared" si="30"/>
        <v>2.7160424821445588</v>
      </c>
    </row>
    <row r="346" spans="5:7" x14ac:dyDescent="0.25">
      <c r="E346" s="11">
        <f t="shared" si="28"/>
        <v>34</v>
      </c>
      <c r="F346" s="11">
        <f t="shared" si="29"/>
        <v>2.7988927380409763</v>
      </c>
      <c r="G346" s="11">
        <f t="shared" si="30"/>
        <v>2.8071687806417285</v>
      </c>
    </row>
    <row r="347" spans="5:7" x14ac:dyDescent="0.25">
      <c r="E347" s="11">
        <f t="shared" si="28"/>
        <v>35</v>
      </c>
      <c r="F347" s="11">
        <f t="shared" si="29"/>
        <v>2.8912452572944649</v>
      </c>
      <c r="G347" s="11">
        <f t="shared" si="30"/>
        <v>2.8989489337604231</v>
      </c>
    </row>
    <row r="348" spans="5:7" x14ac:dyDescent="0.25">
      <c r="E348" s="11">
        <f t="shared" si="28"/>
        <v>36</v>
      </c>
      <c r="F348" s="11">
        <f t="shared" si="29"/>
        <v>2.9843208057379478</v>
      </c>
      <c r="G348" s="11">
        <f t="shared" si="30"/>
        <v>2.9913885887097598</v>
      </c>
    </row>
    <row r="349" spans="5:7" x14ac:dyDescent="0.25">
      <c r="E349" s="11">
        <f t="shared" si="28"/>
        <v>37</v>
      </c>
      <c r="F349" s="11">
        <f t="shared" si="29"/>
        <v>3.0781204378205183</v>
      </c>
      <c r="G349" s="11">
        <f t="shared" si="30"/>
        <v>3.0844933926988558</v>
      </c>
    </row>
    <row r="350" spans="5:7" x14ac:dyDescent="0.25">
      <c r="E350" s="11">
        <f t="shared" si="28"/>
        <v>38</v>
      </c>
      <c r="F350" s="11">
        <f t="shared" si="29"/>
        <v>3.1726443979784804</v>
      </c>
      <c r="G350" s="11">
        <f t="shared" si="30"/>
        <v>3.1782689929368306</v>
      </c>
    </row>
    <row r="351" spans="5:7" x14ac:dyDescent="0.25">
      <c r="E351" s="11">
        <f t="shared" ref="E351:E414" si="31">E144</f>
        <v>39</v>
      </c>
      <c r="F351" s="11">
        <f t="shared" ref="F351:F414" si="32">$H$217*0+E351*$I$217+E351^2*$J$217+E351^3*$K$217+E351^4*$L$217+E351^5*$M$217+E351^6*$N$217+E351^7*$O$217+E351^8*$P$217</f>
        <v>3.2678922024296604</v>
      </c>
      <c r="G351" s="11">
        <f t="shared" ref="G351:G414" si="33">F144</f>
        <v>3.2727210366328001</v>
      </c>
    </row>
    <row r="352" spans="5:7" x14ac:dyDescent="0.25">
      <c r="E352" s="11">
        <f t="shared" si="31"/>
        <v>40</v>
      </c>
      <c r="F352" s="11">
        <f t="shared" si="32"/>
        <v>3.3638627232746727</v>
      </c>
      <c r="G352" s="11">
        <f t="shared" si="33"/>
        <v>3.3678551709958833</v>
      </c>
    </row>
    <row r="353" spans="5:7" x14ac:dyDescent="0.25">
      <c r="E353" s="11">
        <f t="shared" si="31"/>
        <v>41</v>
      </c>
      <c r="F353" s="11">
        <f t="shared" si="32"/>
        <v>3.4605542745317992</v>
      </c>
      <c r="G353" s="11">
        <f t="shared" si="33"/>
        <v>3.4636770432351973</v>
      </c>
    </row>
    <row r="354" spans="5:7" x14ac:dyDescent="0.25">
      <c r="E354" s="11">
        <f t="shared" si="31"/>
        <v>42</v>
      </c>
      <c r="F354" s="11">
        <f t="shared" si="32"/>
        <v>3.5579646997161976</v>
      </c>
      <c r="G354" s="11">
        <f t="shared" si="33"/>
        <v>3.5601923005598599</v>
      </c>
    </row>
    <row r="355" spans="5:7" x14ac:dyDescent="0.25">
      <c r="E355" s="11">
        <f t="shared" si="31"/>
        <v>43</v>
      </c>
      <c r="F355" s="11">
        <f t="shared" si="32"/>
        <v>3.6560914605583639</v>
      </c>
      <c r="G355" s="11">
        <f t="shared" si="33"/>
        <v>3.6574065901789892</v>
      </c>
    </row>
    <row r="356" spans="5:7" x14ac:dyDescent="0.25">
      <c r="E356" s="11">
        <f t="shared" si="31"/>
        <v>44</v>
      </c>
      <c r="F356" s="11">
        <f t="shared" si="32"/>
        <v>3.754931726440867</v>
      </c>
      <c r="G356" s="11">
        <f t="shared" si="33"/>
        <v>3.7553255593017028</v>
      </c>
    </row>
    <row r="357" spans="5:7" x14ac:dyDescent="0.25">
      <c r="E357" s="11">
        <f t="shared" si="31"/>
        <v>45</v>
      </c>
      <c r="F357" s="11">
        <f t="shared" si="32"/>
        <v>3.8544824641165469</v>
      </c>
      <c r="G357" s="11">
        <f t="shared" si="33"/>
        <v>3.8539548551371183</v>
      </c>
    </row>
    <row r="358" spans="5:7" x14ac:dyDescent="0.25">
      <c r="E358" s="11">
        <f t="shared" si="31"/>
        <v>46</v>
      </c>
      <c r="F358" s="11">
        <f t="shared" si="32"/>
        <v>3.954740527255479</v>
      </c>
      <c r="G358" s="11">
        <f t="shared" si="33"/>
        <v>3.953300124894354</v>
      </c>
    </row>
    <row r="359" spans="5:7" x14ac:dyDescent="0.25">
      <c r="E359" s="11">
        <f t="shared" si="31"/>
        <v>47</v>
      </c>
      <c r="F359" s="11">
        <f t="shared" si="32"/>
        <v>4.0557027453521783</v>
      </c>
      <c r="G359" s="11">
        <f t="shared" si="33"/>
        <v>4.053367015782527</v>
      </c>
    </row>
    <row r="360" spans="5:7" x14ac:dyDescent="0.25">
      <c r="E360" s="11">
        <f t="shared" si="31"/>
        <v>48</v>
      </c>
      <c r="F360" s="11">
        <f t="shared" si="32"/>
        <v>4.1573660115086151</v>
      </c>
      <c r="G360" s="11">
        <f t="shared" si="33"/>
        <v>4.1541611750107554</v>
      </c>
    </row>
    <row r="361" spans="5:7" x14ac:dyDescent="0.25">
      <c r="E361" s="11">
        <f t="shared" si="31"/>
        <v>49</v>
      </c>
      <c r="F361" s="11">
        <f t="shared" si="32"/>
        <v>4.2597273685928139</v>
      </c>
      <c r="G361" s="11">
        <f t="shared" si="33"/>
        <v>4.2556882497881574</v>
      </c>
    </row>
    <row r="362" spans="5:7" x14ac:dyDescent="0.25">
      <c r="E362" s="11">
        <f t="shared" si="31"/>
        <v>50</v>
      </c>
      <c r="F362" s="11">
        <f t="shared" si="32"/>
        <v>4.3627840932568711</v>
      </c>
      <c r="G362" s="11">
        <f t="shared" si="33"/>
        <v>4.3579538873238493</v>
      </c>
    </row>
    <row r="363" spans="5:7" x14ac:dyDescent="0.25">
      <c r="E363" s="11">
        <f t="shared" si="31"/>
        <v>51</v>
      </c>
      <c r="F363" s="11">
        <f t="shared" si="32"/>
        <v>4.4665337772824518</v>
      </c>
      <c r="G363" s="11">
        <f t="shared" si="33"/>
        <v>4.4609637348269509</v>
      </c>
    </row>
    <row r="364" spans="5:7" x14ac:dyDescent="0.25">
      <c r="E364" s="11">
        <f t="shared" si="31"/>
        <v>52</v>
      </c>
      <c r="F364" s="11">
        <f t="shared" si="32"/>
        <v>4.5709744057058899</v>
      </c>
      <c r="G364" s="11">
        <f t="shared" si="33"/>
        <v>4.5647234395065777</v>
      </c>
    </row>
    <row r="365" spans="5:7" x14ac:dyDescent="0.25">
      <c r="E365" s="11">
        <f t="shared" si="31"/>
        <v>53</v>
      </c>
      <c r="F365" s="11">
        <f t="shared" si="32"/>
        <v>4.6761044311592004</v>
      </c>
      <c r="G365" s="11">
        <f t="shared" si="33"/>
        <v>4.6692386485718496</v>
      </c>
    </row>
    <row r="366" spans="5:7" x14ac:dyDescent="0.25">
      <c r="E366" s="11">
        <f t="shared" si="31"/>
        <v>54</v>
      </c>
      <c r="F366" s="11">
        <f t="shared" si="32"/>
        <v>4.781922843847453</v>
      </c>
      <c r="G366" s="11">
        <f t="shared" si="33"/>
        <v>4.774515009231882</v>
      </c>
    </row>
    <row r="367" spans="5:7" x14ac:dyDescent="0.25">
      <c r="E367" s="11">
        <f t="shared" si="31"/>
        <v>55</v>
      </c>
      <c r="F367" s="11">
        <f t="shared" si="32"/>
        <v>4.8884292365670587</v>
      </c>
      <c r="G367" s="11">
        <f t="shared" si="33"/>
        <v>4.8805581686957957</v>
      </c>
    </row>
    <row r="368" spans="5:7" x14ac:dyDescent="0.25">
      <c r="E368" s="11">
        <f t="shared" si="31"/>
        <v>56</v>
      </c>
      <c r="F368" s="11">
        <f t="shared" si="32"/>
        <v>4.9956238641537114</v>
      </c>
      <c r="G368" s="11">
        <f t="shared" si="33"/>
        <v>4.9873737741727062</v>
      </c>
    </row>
    <row r="369" spans="5:7" x14ac:dyDescent="0.25">
      <c r="E369" s="11">
        <f t="shared" si="31"/>
        <v>57</v>
      </c>
      <c r="F369" s="11">
        <f t="shared" si="32"/>
        <v>5.1035076967328337</v>
      </c>
      <c r="G369" s="11">
        <f t="shared" si="33"/>
        <v>5.0949674728717316</v>
      </c>
    </row>
    <row r="370" spans="5:7" x14ac:dyDescent="0.25">
      <c r="E370" s="11">
        <f t="shared" si="31"/>
        <v>58</v>
      </c>
      <c r="F370" s="11">
        <f t="shared" si="32"/>
        <v>5.2120824661295222</v>
      </c>
      <c r="G370" s="11">
        <f t="shared" si="33"/>
        <v>5.2033449120019899</v>
      </c>
    </row>
    <row r="371" spans="5:7" x14ac:dyDescent="0.25">
      <c r="E371" s="11">
        <f t="shared" si="31"/>
        <v>59</v>
      </c>
      <c r="F371" s="11">
        <f t="shared" si="32"/>
        <v>5.3213507047791264</v>
      </c>
      <c r="G371" s="11">
        <f t="shared" si="33"/>
        <v>5.3125117387725993</v>
      </c>
    </row>
    <row r="372" spans="5:7" x14ac:dyDescent="0.25">
      <c r="E372" s="11">
        <f t="shared" si="31"/>
        <v>60</v>
      </c>
      <c r="F372" s="11">
        <f t="shared" si="32"/>
        <v>5.4313157764637543</v>
      </c>
      <c r="G372" s="11">
        <f t="shared" si="33"/>
        <v>5.422473600392677</v>
      </c>
    </row>
    <row r="373" spans="5:7" x14ac:dyDescent="0.25">
      <c r="E373" s="11">
        <f t="shared" si="31"/>
        <v>61</v>
      </c>
      <c r="F373" s="11">
        <f t="shared" si="32"/>
        <v>5.5419818981841118</v>
      </c>
      <c r="G373" s="11">
        <f t="shared" si="33"/>
        <v>5.5332361440713411</v>
      </c>
    </row>
    <row r="374" spans="5:7" x14ac:dyDescent="0.25">
      <c r="E374" s="11">
        <f t="shared" si="31"/>
        <v>62</v>
      </c>
      <c r="F374" s="11">
        <f t="shared" si="32"/>
        <v>5.6533541524602233</v>
      </c>
      <c r="G374" s="11">
        <f t="shared" si="33"/>
        <v>5.6448050170177089</v>
      </c>
    </row>
    <row r="375" spans="5:7" x14ac:dyDescent="0.25">
      <c r="E375" s="11">
        <f t="shared" si="31"/>
        <v>63</v>
      </c>
      <c r="F375" s="11">
        <f t="shared" si="32"/>
        <v>5.7654384893387682</v>
      </c>
      <c r="G375" s="11">
        <f t="shared" si="33"/>
        <v>5.7571858664408992</v>
      </c>
    </row>
    <row r="376" spans="5:7" x14ac:dyDescent="0.25">
      <c r="E376" s="11">
        <f t="shared" si="31"/>
        <v>64</v>
      </c>
      <c r="F376" s="11">
        <f t="shared" si="32"/>
        <v>5.8782417173688346</v>
      </c>
      <c r="G376" s="11">
        <f t="shared" si="33"/>
        <v>5.8703843395500286</v>
      </c>
    </row>
    <row r="377" spans="5:7" x14ac:dyDescent="0.25">
      <c r="E377" s="11">
        <f t="shared" si="31"/>
        <v>65</v>
      </c>
      <c r="F377" s="11">
        <f t="shared" si="32"/>
        <v>5.9917714827920685</v>
      </c>
      <c r="G377" s="11">
        <f t="shared" si="33"/>
        <v>5.9844060835542141</v>
      </c>
    </row>
    <row r="378" spans="5:7" x14ac:dyDescent="0.25">
      <c r="E378" s="11">
        <f t="shared" si="31"/>
        <v>66</v>
      </c>
      <c r="F378" s="11">
        <f t="shared" si="32"/>
        <v>6.106036236177391</v>
      </c>
      <c r="G378" s="11">
        <f t="shared" si="33"/>
        <v>6.0992567456625757</v>
      </c>
    </row>
    <row r="379" spans="5:7" x14ac:dyDescent="0.25">
      <c r="E379" s="11">
        <f t="shared" si="31"/>
        <v>67</v>
      </c>
      <c r="F379" s="11">
        <f t="shared" si="32"/>
        <v>6.2210451857144555</v>
      </c>
      <c r="G379" s="11">
        <f t="shared" si="33"/>
        <v>6.2149419730842306</v>
      </c>
    </row>
    <row r="380" spans="5:7" x14ac:dyDescent="0.25">
      <c r="E380" s="11">
        <f t="shared" si="31"/>
        <v>68</v>
      </c>
      <c r="F380" s="11">
        <f t="shared" si="32"/>
        <v>6.3368082363643294</v>
      </c>
      <c r="G380" s="11">
        <f t="shared" si="33"/>
        <v>6.3314674130282951</v>
      </c>
    </row>
    <row r="381" spans="5:7" x14ac:dyDescent="0.25">
      <c r="E381" s="11">
        <f t="shared" si="31"/>
        <v>69</v>
      </c>
      <c r="F381" s="11">
        <f t="shared" si="32"/>
        <v>6.4533359140498741</v>
      </c>
      <c r="G381" s="11">
        <f t="shared" si="33"/>
        <v>6.4488387127038882</v>
      </c>
    </row>
    <row r="382" spans="5:7" x14ac:dyDescent="0.25">
      <c r="E382" s="11">
        <f t="shared" si="31"/>
        <v>70</v>
      </c>
      <c r="F382" s="11">
        <f t="shared" si="32"/>
        <v>6.5706392740525521</v>
      </c>
      <c r="G382" s="11">
        <f t="shared" si="33"/>
        <v>6.5670615193201272</v>
      </c>
    </row>
    <row r="383" spans="5:7" x14ac:dyDescent="0.25">
      <c r="E383" s="11">
        <f t="shared" si="31"/>
        <v>71</v>
      </c>
      <c r="F383" s="11">
        <f t="shared" si="32"/>
        <v>6.6887297927664315</v>
      </c>
      <c r="G383" s="11">
        <f t="shared" si="33"/>
        <v>6.686141480086131</v>
      </c>
    </row>
    <row r="384" spans="5:7" x14ac:dyDescent="0.25">
      <c r="E384" s="11">
        <f t="shared" si="31"/>
        <v>72</v>
      </c>
      <c r="F384" s="11">
        <f t="shared" si="32"/>
        <v>6.8076192419443986</v>
      </c>
      <c r="G384" s="11">
        <f t="shared" si="33"/>
        <v>6.806084242211015</v>
      </c>
    </row>
    <row r="385" spans="5:7" x14ac:dyDescent="0.25">
      <c r="E385" s="11">
        <f t="shared" si="31"/>
        <v>73</v>
      </c>
      <c r="F385" s="11">
        <f t="shared" si="32"/>
        <v>6.9273195445556404</v>
      </c>
      <c r="G385" s="11">
        <f t="shared" si="33"/>
        <v>6.9268954529038993</v>
      </c>
    </row>
    <row r="386" spans="5:7" x14ac:dyDescent="0.25">
      <c r="E386" s="11">
        <f t="shared" si="31"/>
        <v>74</v>
      </c>
      <c r="F386" s="11">
        <f t="shared" si="32"/>
        <v>7.0478426113576491</v>
      </c>
      <c r="G386" s="11">
        <f t="shared" si="33"/>
        <v>7.0485807593739001</v>
      </c>
    </row>
    <row r="387" spans="5:7" x14ac:dyDescent="0.25">
      <c r="E387" s="11">
        <f t="shared" si="31"/>
        <v>75</v>
      </c>
      <c r="F387" s="11">
        <f t="shared" si="32"/>
        <v>7.1692001572701232</v>
      </c>
      <c r="G387" s="11">
        <f t="shared" si="33"/>
        <v>7.1711458088301363</v>
      </c>
    </row>
    <row r="388" spans="5:7" x14ac:dyDescent="0.25">
      <c r="E388" s="11">
        <f t="shared" si="31"/>
        <v>76</v>
      </c>
      <c r="F388" s="11">
        <f t="shared" si="32"/>
        <v>7.2914034966223067</v>
      </c>
      <c r="G388" s="11">
        <f t="shared" si="33"/>
        <v>7.294591091136418</v>
      </c>
    </row>
    <row r="389" spans="5:7" x14ac:dyDescent="0.25">
      <c r="E389" s="11">
        <f t="shared" si="31"/>
        <v>77</v>
      </c>
      <c r="F389" s="11">
        <f t="shared" si="32"/>
        <v>7.4144633163293854</v>
      </c>
      <c r="G389" s="11">
        <f t="shared" si="33"/>
        <v>7.418896466775327</v>
      </c>
    </row>
    <row r="390" spans="5:7" x14ac:dyDescent="0.25">
      <c r="E390" s="11">
        <f t="shared" si="31"/>
        <v>78</v>
      </c>
      <c r="F390" s="11">
        <f t="shared" si="32"/>
        <v>7.5383894260377904</v>
      </c>
      <c r="G390" s="11">
        <f t="shared" si="33"/>
        <v>7.5440366388841413</v>
      </c>
    </row>
    <row r="391" spans="5:7" x14ac:dyDescent="0.25">
      <c r="E391" s="11">
        <f t="shared" si="31"/>
        <v>79</v>
      </c>
      <c r="F391" s="11">
        <f t="shared" si="32"/>
        <v>7.6631904842633016</v>
      </c>
      <c r="G391" s="11">
        <f t="shared" si="33"/>
        <v>7.6699863106001347</v>
      </c>
    </row>
    <row r="392" spans="5:7" x14ac:dyDescent="0.25">
      <c r="E392" s="11">
        <f t="shared" si="31"/>
        <v>80</v>
      </c>
      <c r="F392" s="11">
        <f t="shared" si="32"/>
        <v>7.7888736995300549</v>
      </c>
      <c r="G392" s="11">
        <f t="shared" si="33"/>
        <v>7.7967201850605825</v>
      </c>
    </row>
    <row r="393" spans="5:7" x14ac:dyDescent="0.25">
      <c r="E393" s="11">
        <f t="shared" si="31"/>
        <v>81</v>
      </c>
      <c r="F393" s="11">
        <f t="shared" si="32"/>
        <v>7.9154445055026859</v>
      </c>
      <c r="G393" s="11">
        <f t="shared" si="33"/>
        <v>7.924212965402762</v>
      </c>
    </row>
    <row r="394" spans="5:7" x14ac:dyDescent="0.25">
      <c r="E394" s="11">
        <f t="shared" si="31"/>
        <v>82</v>
      </c>
      <c r="F394" s="11">
        <f t="shared" si="32"/>
        <v>8.0429062090879384</v>
      </c>
      <c r="G394" s="11">
        <f t="shared" si="33"/>
        <v>8.0524393547639477</v>
      </c>
    </row>
    <row r="395" spans="5:7" x14ac:dyDescent="0.25">
      <c r="E395" s="11">
        <f t="shared" si="31"/>
        <v>83</v>
      </c>
      <c r="F395" s="11">
        <f t="shared" si="32"/>
        <v>8.1712596104662634</v>
      </c>
      <c r="G395" s="11">
        <f t="shared" si="33"/>
        <v>8.1813740562814168</v>
      </c>
    </row>
    <row r="396" spans="5:7" x14ac:dyDescent="0.25">
      <c r="E396" s="11">
        <f t="shared" si="31"/>
        <v>84</v>
      </c>
      <c r="F396" s="11">
        <f t="shared" si="32"/>
        <v>8.3005025939980381</v>
      </c>
      <c r="G396" s="11">
        <f t="shared" si="33"/>
        <v>8.3109917730924412</v>
      </c>
    </row>
    <row r="397" spans="5:7" x14ac:dyDescent="0.25">
      <c r="E397" s="11">
        <f t="shared" si="31"/>
        <v>85</v>
      </c>
      <c r="F397" s="11">
        <f t="shared" si="32"/>
        <v>8.430629688933184</v>
      </c>
      <c r="G397" s="11">
        <f t="shared" si="33"/>
        <v>8.4412672083343008</v>
      </c>
    </row>
    <row r="398" spans="5:7" x14ac:dyDescent="0.25">
      <c r="E398" s="11">
        <f t="shared" si="31"/>
        <v>86</v>
      </c>
      <c r="F398" s="11">
        <f t="shared" si="32"/>
        <v>8.5616315988371259</v>
      </c>
      <c r="G398" s="11">
        <f t="shared" si="33"/>
        <v>8.5721750651442683</v>
      </c>
    </row>
    <row r="399" spans="5:7" x14ac:dyDescent="0.25">
      <c r="E399" s="11">
        <f t="shared" si="31"/>
        <v>87</v>
      </c>
      <c r="F399" s="11">
        <f t="shared" si="32"/>
        <v>8.6934946986301114</v>
      </c>
      <c r="G399" s="11">
        <f t="shared" si="33"/>
        <v>8.7036900466596201</v>
      </c>
    </row>
    <row r="400" spans="5:7" x14ac:dyDescent="0.25">
      <c r="E400" s="11">
        <f t="shared" si="31"/>
        <v>88</v>
      </c>
      <c r="F400" s="11">
        <f t="shared" si="32"/>
        <v>8.8262004981211408</v>
      </c>
      <c r="G400" s="11">
        <f t="shared" si="33"/>
        <v>8.8357868560176342</v>
      </c>
    </row>
    <row r="401" spans="5:7" x14ac:dyDescent="0.25">
      <c r="E401" s="11">
        <f t="shared" si="31"/>
        <v>89</v>
      </c>
      <c r="F401" s="11">
        <f t="shared" si="32"/>
        <v>8.9597250709017917</v>
      </c>
      <c r="G401" s="11">
        <f t="shared" si="33"/>
        <v>8.9684401963555835</v>
      </c>
    </row>
    <row r="402" spans="5:7" x14ac:dyDescent="0.25">
      <c r="E402" s="11">
        <f t="shared" si="31"/>
        <v>90</v>
      </c>
      <c r="F402" s="11">
        <f t="shared" si="32"/>
        <v>9.0940384474494884</v>
      </c>
      <c r="G402" s="11">
        <f t="shared" si="33"/>
        <v>9.1016247708107443</v>
      </c>
    </row>
    <row r="403" spans="5:7" x14ac:dyDescent="0.25">
      <c r="E403" s="11">
        <f t="shared" si="31"/>
        <v>91</v>
      </c>
      <c r="F403" s="11">
        <f t="shared" si="32"/>
        <v>9.2291039712737888</v>
      </c>
      <c r="G403" s="11">
        <f t="shared" si="33"/>
        <v>9.2353152825203928</v>
      </c>
    </row>
    <row r="404" spans="5:7" x14ac:dyDescent="0.25">
      <c r="E404" s="11">
        <f t="shared" si="31"/>
        <v>92</v>
      </c>
      <c r="F404" s="11">
        <f t="shared" si="32"/>
        <v>9.3648776169234331</v>
      </c>
      <c r="G404" s="11">
        <f t="shared" si="33"/>
        <v>9.3694864346218036</v>
      </c>
    </row>
    <row r="405" spans="5:7" x14ac:dyDescent="0.25">
      <c r="E405" s="11">
        <f t="shared" si="31"/>
        <v>93</v>
      </c>
      <c r="F405" s="11">
        <f t="shared" si="32"/>
        <v>9.5013072686561291</v>
      </c>
      <c r="G405" s="11">
        <f t="shared" si="33"/>
        <v>9.5041129302522513</v>
      </c>
    </row>
    <row r="406" spans="5:7" x14ac:dyDescent="0.25">
      <c r="E406" s="11">
        <f t="shared" si="31"/>
        <v>94</v>
      </c>
      <c r="F406" s="11">
        <f t="shared" si="32"/>
        <v>9.6383319585570355</v>
      </c>
      <c r="G406" s="11">
        <f t="shared" si="33"/>
        <v>9.6391694725490158</v>
      </c>
    </row>
    <row r="407" spans="5:7" x14ac:dyDescent="0.25">
      <c r="E407" s="11">
        <f t="shared" si="31"/>
        <v>95</v>
      </c>
      <c r="F407" s="11">
        <f t="shared" si="32"/>
        <v>9.775881062876195</v>
      </c>
      <c r="G407" s="11">
        <f t="shared" si="33"/>
        <v>9.7746307646493698</v>
      </c>
    </row>
    <row r="408" spans="5:7" x14ac:dyDescent="0.25">
      <c r="E408" s="11">
        <f t="shared" si="31"/>
        <v>96</v>
      </c>
      <c r="F408" s="11">
        <f t="shared" si="32"/>
        <v>9.913873455339159</v>
      </c>
      <c r="G408" s="11">
        <f t="shared" si="33"/>
        <v>9.910471509690586</v>
      </c>
    </row>
    <row r="409" spans="5:7" x14ac:dyDescent="0.25">
      <c r="E409" s="11">
        <f t="shared" si="31"/>
        <v>97</v>
      </c>
      <c r="F409" s="11">
        <f t="shared" si="32"/>
        <v>10.052216616169355</v>
      </c>
      <c r="G409" s="11">
        <f t="shared" si="33"/>
        <v>10.046666410809946</v>
      </c>
    </row>
    <row r="410" spans="5:7" x14ac:dyDescent="0.25">
      <c r="E410" s="11">
        <f t="shared" si="31"/>
        <v>98</v>
      </c>
      <c r="F410" s="11">
        <f t="shared" si="32"/>
        <v>10.19080569554473</v>
      </c>
      <c r="G410" s="11">
        <f t="shared" si="33"/>
        <v>10.183190171144723</v>
      </c>
    </row>
    <row r="411" spans="5:7" x14ac:dyDescent="0.25">
      <c r="E411" s="11">
        <f t="shared" si="31"/>
        <v>99</v>
      </c>
      <c r="F411" s="11">
        <f t="shared" si="32"/>
        <v>10.329522530195446</v>
      </c>
      <c r="G411" s="11">
        <f t="shared" si="33"/>
        <v>10.320017493832191</v>
      </c>
    </row>
    <row r="412" spans="5:7" x14ac:dyDescent="0.25">
      <c r="E412" s="11">
        <f t="shared" si="31"/>
        <v>100</v>
      </c>
      <c r="F412" s="11">
        <f t="shared" si="32"/>
        <v>10.468234611833489</v>
      </c>
      <c r="G412" s="11">
        <f t="shared" si="33"/>
        <v>10.457123082009627</v>
      </c>
    </row>
    <row r="413" spans="5:7" x14ac:dyDescent="0.25">
      <c r="E413" s="11">
        <f t="shared" si="31"/>
        <v>101</v>
      </c>
      <c r="F413" s="11">
        <f t="shared" si="32"/>
        <v>10.606794006089258</v>
      </c>
      <c r="G413" s="11">
        <f t="shared" si="33"/>
        <v>10.594481638814308</v>
      </c>
    </row>
    <row r="414" spans="5:7" x14ac:dyDescent="0.25">
      <c r="E414" s="11">
        <f t="shared" si="31"/>
        <v>102</v>
      </c>
      <c r="F414" s="11">
        <f t="shared" si="32"/>
        <v>10.745036220614189</v>
      </c>
      <c r="G414" s="11">
        <f t="shared" si="33"/>
        <v>10.732067867383508</v>
      </c>
    </row>
    <row r="415" spans="5:7" x14ac:dyDescent="0.25">
      <c r="E415" s="11">
        <f t="shared" ref="E415:E422" si="34">E208</f>
        <v>103</v>
      </c>
      <c r="F415" s="11">
        <f t="shared" ref="F415:F422" si="35">$H$217*0+E415*$I$217+E415^2*$J$217+E415^3*$K$217+E415^4*$L$217+E415^5*$M$217+E415^6*$N$217+E415^7*$O$217+E415^8*$P$217</f>
        <v>10.88277902099292</v>
      </c>
      <c r="G415" s="11">
        <f t="shared" ref="G415:G422" si="36">F208</f>
        <v>10.869856470854502</v>
      </c>
    </row>
    <row r="416" spans="5:7" x14ac:dyDescent="0.25">
      <c r="E416" s="11">
        <f t="shared" si="34"/>
        <v>104</v>
      </c>
      <c r="F416" s="11">
        <f t="shared" si="35"/>
        <v>11.019821193092152</v>
      </c>
      <c r="G416" s="11">
        <f t="shared" si="36"/>
        <v>11.007822152364566</v>
      </c>
    </row>
    <row r="417" spans="5:7" x14ac:dyDescent="0.25">
      <c r="E417" s="11">
        <f t="shared" si="34"/>
        <v>105</v>
      </c>
      <c r="F417" s="11">
        <f t="shared" si="35"/>
        <v>11.155941250458079</v>
      </c>
      <c r="G417" s="11">
        <f t="shared" si="36"/>
        <v>11.145939615050978</v>
      </c>
    </row>
    <row r="418" spans="5:7" x14ac:dyDescent="0.25">
      <c r="E418" s="11">
        <f t="shared" si="34"/>
        <v>106</v>
      </c>
      <c r="F418" s="11">
        <f t="shared" si="35"/>
        <v>11.290896085357916</v>
      </c>
      <c r="G418" s="11">
        <f t="shared" si="36"/>
        <v>11.284183562051011</v>
      </c>
    </row>
    <row r="419" spans="5:7" x14ac:dyDescent="0.25">
      <c r="E419" s="11">
        <f t="shared" si="34"/>
        <v>107</v>
      </c>
      <c r="F419" s="11">
        <f t="shared" si="35"/>
        <v>11.424419562045445</v>
      </c>
      <c r="G419" s="11">
        <f t="shared" si="36"/>
        <v>11.42252869650194</v>
      </c>
    </row>
    <row r="420" spans="5:7" x14ac:dyDescent="0.25">
      <c r="E420" s="11">
        <f t="shared" si="34"/>
        <v>108</v>
      </c>
      <c r="F420" s="11">
        <f t="shared" si="35"/>
        <v>11.556221050814628</v>
      </c>
      <c r="G420" s="11">
        <f t="shared" si="36"/>
        <v>11.560949721541045</v>
      </c>
    </row>
    <row r="421" spans="5:7" x14ac:dyDescent="0.25">
      <c r="E421" s="11">
        <f t="shared" si="34"/>
        <v>109</v>
      </c>
      <c r="F421" s="11">
        <f t="shared" si="35"/>
        <v>11.685983901389346</v>
      </c>
      <c r="G421" s="11">
        <f t="shared" si="36"/>
        <v>11.699421340305596</v>
      </c>
    </row>
    <row r="422" spans="5:7" x14ac:dyDescent="0.25">
      <c r="E422" s="11">
        <f t="shared" si="34"/>
        <v>110</v>
      </c>
      <c r="F422" s="11">
        <f t="shared" si="35"/>
        <v>11.813363854181608</v>
      </c>
      <c r="G422" s="11">
        <f t="shared" si="36"/>
        <v>11.837918255932873</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5.906E-5</v>
      </c>
      <c r="C3" s="2">
        <v>1.076E-4</v>
      </c>
      <c r="D3" s="2">
        <v>-2.9569999999999998E-4</v>
      </c>
      <c r="E3" s="2">
        <v>0</v>
      </c>
      <c r="F3" s="2">
        <v>0</v>
      </c>
      <c r="G3" s="2">
        <v>0</v>
      </c>
      <c r="H3" s="2">
        <v>1.9806686999999999E-5</v>
      </c>
      <c r="I3" s="2">
        <v>9.7742690000000008E-6</v>
      </c>
      <c r="J3" s="2">
        <v>-5.5589720999999998E-5</v>
      </c>
      <c r="K3" s="3"/>
      <c r="L3" s="3">
        <f>-B3/D3</f>
        <v>0.19972945552925264</v>
      </c>
      <c r="M3" s="3"/>
      <c r="N3" s="2">
        <f>IF('Modell einstellen'!$B$1="Voll",H3/0.35,H3/0.35*2)</f>
        <v>1.1318106857142858E-4</v>
      </c>
      <c r="O3" s="2">
        <f>IF('Modell einstellen'!$B$1="Voll",J3/0.35,J3/0.35*2)</f>
        <v>-3.1765554857142859E-4</v>
      </c>
      <c r="P3" s="3">
        <f>-N3/O3</f>
        <v>0.35630124857075646</v>
      </c>
      <c r="Q3" s="3"/>
      <c r="R3" s="3"/>
      <c r="S3" s="3"/>
      <c r="T3" s="3"/>
      <c r="U3" s="3"/>
      <c r="V3" s="3"/>
      <c r="W3" s="3"/>
    </row>
    <row r="4" spans="1:23" x14ac:dyDescent="0.25">
      <c r="A4" s="2">
        <v>1E-14</v>
      </c>
      <c r="B4" s="2">
        <v>5.8619999999999998E-5</v>
      </c>
      <c r="C4" s="2">
        <v>1.082E-4</v>
      </c>
      <c r="D4" s="2">
        <v>-2.9629999999999999E-4</v>
      </c>
      <c r="E4" s="2">
        <v>0</v>
      </c>
      <c r="F4" s="2">
        <v>0</v>
      </c>
      <c r="G4" s="2">
        <v>0</v>
      </c>
      <c r="H4" s="2">
        <v>1.9995453999999999E-5</v>
      </c>
      <c r="I4" s="2">
        <v>9.8378368000000006E-6</v>
      </c>
      <c r="J4" s="2">
        <v>-5.5924373999999998E-5</v>
      </c>
      <c r="K4" s="3"/>
      <c r="L4" s="3">
        <f t="shared" ref="L4:L33" si="0">-B4/D4</f>
        <v>0.19784002699966249</v>
      </c>
      <c r="M4" s="3"/>
      <c r="N4" s="2">
        <f>IF('Modell einstellen'!$B$1="Voll",H4/0.35,H4/0.35*2)</f>
        <v>1.1425973714285715E-4</v>
      </c>
      <c r="O4" s="2">
        <f>IF('Modell einstellen'!$B$1="Voll",J4/0.35,J4/0.35*2)</f>
        <v>-3.1956785142857146E-4</v>
      </c>
      <c r="P4" s="3">
        <f t="shared" ref="P4:P33" si="1">-N4/O4</f>
        <v>0.35754452968932648</v>
      </c>
      <c r="Q4" s="3"/>
      <c r="R4" s="3"/>
      <c r="S4" s="3"/>
      <c r="T4" s="3"/>
      <c r="U4" s="3"/>
      <c r="V4" s="3"/>
      <c r="W4" s="3"/>
    </row>
    <row r="5" spans="1:23" x14ac:dyDescent="0.25">
      <c r="A5" s="2">
        <v>1E-13</v>
      </c>
      <c r="B5" s="2">
        <v>5.7129999999999997E-5</v>
      </c>
      <c r="C5" s="2">
        <v>1.105E-4</v>
      </c>
      <c r="D5" s="2">
        <v>-2.9829999999999999E-4</v>
      </c>
      <c r="E5" s="2">
        <v>0</v>
      </c>
      <c r="F5" s="2">
        <v>0</v>
      </c>
      <c r="G5" s="2">
        <v>0</v>
      </c>
      <c r="H5" s="2">
        <v>2.0633842E-5</v>
      </c>
      <c r="I5" s="2">
        <v>1.0048222999999999E-5</v>
      </c>
      <c r="J5" s="2">
        <v>-5.7054237000000001E-5</v>
      </c>
      <c r="K5" s="3"/>
      <c r="L5" s="3">
        <f t="shared" si="0"/>
        <v>0.1915186054307744</v>
      </c>
      <c r="M5" s="3"/>
      <c r="N5" s="2">
        <f>IF('Modell einstellen'!$B$1="Voll",H5/0.35,H5/0.35*2)</f>
        <v>1.1790766857142859E-4</v>
      </c>
      <c r="O5" s="2">
        <f>IF('Modell einstellen'!$B$1="Voll",J5/0.35,J5/0.35*2)</f>
        <v>-3.2602421142857144E-4</v>
      </c>
      <c r="P5" s="3">
        <f t="shared" si="1"/>
        <v>0.36165310562298819</v>
      </c>
      <c r="Q5" s="3"/>
      <c r="R5" s="3"/>
      <c r="S5" s="3"/>
      <c r="T5" s="3"/>
      <c r="U5" s="3"/>
      <c r="V5" s="3"/>
      <c r="W5" s="3"/>
    </row>
    <row r="6" spans="1:23" x14ac:dyDescent="0.25">
      <c r="A6" s="2">
        <v>9.9999999999999998E-13</v>
      </c>
      <c r="B6" s="2">
        <v>5.6010000000000001E-5</v>
      </c>
      <c r="C6" s="2">
        <v>1.122E-4</v>
      </c>
      <c r="D6" s="2">
        <v>-2.9980000000000002E-4</v>
      </c>
      <c r="E6" s="2">
        <v>0</v>
      </c>
      <c r="F6" s="2">
        <v>0</v>
      </c>
      <c r="G6" s="2">
        <v>0</v>
      </c>
      <c r="H6" s="2">
        <v>2.1116618999999999E-5</v>
      </c>
      <c r="I6" s="2">
        <v>1.0209304999999999E-5</v>
      </c>
      <c r="J6" s="2">
        <v>-5.7907520000000002E-5</v>
      </c>
      <c r="K6" s="3"/>
      <c r="L6" s="3">
        <f t="shared" si="0"/>
        <v>0.18682454969979986</v>
      </c>
      <c r="M6" s="3"/>
      <c r="N6" s="2">
        <f>IF('Modell einstellen'!$B$1="Voll",H6/0.35,H6/0.35*2)</f>
        <v>1.2066639428571429E-4</v>
      </c>
      <c r="O6" s="2">
        <f>IF('Modell einstellen'!$B$1="Voll",J6/0.35,J6/0.35*2)</f>
        <v>-3.3090011428571432E-4</v>
      </c>
      <c r="P6" s="3">
        <f t="shared" si="1"/>
        <v>0.36466108374180073</v>
      </c>
      <c r="Q6" s="3"/>
      <c r="R6" s="3"/>
      <c r="S6" s="3"/>
      <c r="T6" s="3"/>
      <c r="U6" s="3"/>
      <c r="V6" s="3"/>
      <c r="W6" s="3"/>
    </row>
    <row r="7" spans="1:23" x14ac:dyDescent="0.25">
      <c r="A7" s="2">
        <v>9.9999999999999994E-12</v>
      </c>
      <c r="B7" s="2">
        <v>5.4809999999999999E-5</v>
      </c>
      <c r="C7" s="2">
        <v>1.139E-4</v>
      </c>
      <c r="D7" s="2">
        <v>-3.011E-4</v>
      </c>
      <c r="E7" s="2">
        <v>0</v>
      </c>
      <c r="F7" s="2">
        <v>0</v>
      </c>
      <c r="G7" s="2">
        <v>0</v>
      </c>
      <c r="H7" s="2">
        <v>2.1587054E-5</v>
      </c>
      <c r="I7" s="2">
        <v>1.036408E-5</v>
      </c>
      <c r="J7" s="2">
        <v>-5.873366E-5</v>
      </c>
      <c r="K7" s="3"/>
      <c r="L7" s="3">
        <f t="shared" si="0"/>
        <v>0.18203254732646962</v>
      </c>
      <c r="M7" s="3"/>
      <c r="N7" s="2">
        <f>IF('Modell einstellen'!$B$1="Voll",H7/0.35,H7/0.35*2)</f>
        <v>1.2335459428571428E-4</v>
      </c>
      <c r="O7" s="2">
        <f>IF('Modell einstellen'!$B$1="Voll",J7/0.35,J7/0.35*2)</f>
        <v>-3.3562091428571432E-4</v>
      </c>
      <c r="P7" s="3">
        <f t="shared" si="1"/>
        <v>0.36754144046190884</v>
      </c>
      <c r="Q7" s="3"/>
      <c r="R7" s="3"/>
      <c r="S7" s="3"/>
      <c r="T7" s="3"/>
      <c r="U7" s="3"/>
      <c r="V7" s="3"/>
      <c r="W7" s="3"/>
    </row>
    <row r="8" spans="1:23" x14ac:dyDescent="0.25">
      <c r="A8" s="2">
        <v>1E-10</v>
      </c>
      <c r="B8" s="2">
        <v>5.3270000000000003E-5</v>
      </c>
      <c r="C8" s="2">
        <v>1.158E-4</v>
      </c>
      <c r="D8" s="2">
        <v>-3.0239999999999998E-4</v>
      </c>
      <c r="E8" s="2">
        <v>0</v>
      </c>
      <c r="F8" s="2">
        <v>0</v>
      </c>
      <c r="G8" s="2">
        <v>0</v>
      </c>
      <c r="H8" s="2">
        <v>2.2124730000000001E-5</v>
      </c>
      <c r="I8" s="2">
        <v>1.0535739999999999E-5</v>
      </c>
      <c r="J8" s="2">
        <v>-5.9666770000000001E-5</v>
      </c>
      <c r="K8" s="3"/>
      <c r="L8" s="3">
        <f t="shared" si="0"/>
        <v>0.17615740740740743</v>
      </c>
      <c r="M8" s="3"/>
      <c r="N8" s="2">
        <f>IF('Modell einstellen'!$B$1="Voll",H8/0.35,H8/0.35*2)</f>
        <v>1.2642702857142859E-4</v>
      </c>
      <c r="O8" s="2">
        <f>IF('Modell einstellen'!$B$1="Voll",J8/0.35,J8/0.35*2)</f>
        <v>-3.4095297142857148E-4</v>
      </c>
      <c r="P8" s="3">
        <f t="shared" si="1"/>
        <v>0.370804888550193</v>
      </c>
      <c r="Q8" s="3"/>
      <c r="R8" s="3"/>
      <c r="S8" s="3"/>
      <c r="T8" s="3"/>
      <c r="U8" s="3"/>
      <c r="V8" s="3"/>
      <c r="W8" s="3"/>
    </row>
    <row r="9" spans="1:23" x14ac:dyDescent="0.25">
      <c r="A9" s="2">
        <v>1.0000000000000001E-9</v>
      </c>
      <c r="B9" s="2">
        <v>5.1419999999999999E-5</v>
      </c>
      <c r="C9" s="2">
        <v>1.1790000000000001E-4</v>
      </c>
      <c r="D9" s="2">
        <v>-3.0360000000000001E-4</v>
      </c>
      <c r="E9" s="2">
        <v>0</v>
      </c>
      <c r="F9" s="2">
        <v>0</v>
      </c>
      <c r="G9" s="2">
        <v>0</v>
      </c>
      <c r="H9" s="2">
        <v>2.2718249999999999E-5</v>
      </c>
      <c r="I9" s="2">
        <v>1.0720559E-5</v>
      </c>
      <c r="J9" s="2">
        <v>-6.0685908000000003E-5</v>
      </c>
      <c r="K9" s="3"/>
      <c r="L9" s="3">
        <f t="shared" si="0"/>
        <v>0.16936758893280632</v>
      </c>
      <c r="M9" s="3"/>
      <c r="N9" s="2">
        <f>IF('Modell einstellen'!$B$1="Voll",H9/0.35,H9/0.35*2)</f>
        <v>1.2981857142857142E-4</v>
      </c>
      <c r="O9" s="2">
        <f>IF('Modell einstellen'!$B$1="Voll",J9/0.35,J9/0.35*2)</f>
        <v>-3.4677661714285719E-4</v>
      </c>
      <c r="P9" s="3">
        <f t="shared" si="1"/>
        <v>0.37435791518518591</v>
      </c>
      <c r="Q9" s="3"/>
      <c r="R9" s="3"/>
      <c r="S9" s="3"/>
      <c r="T9" s="3"/>
      <c r="U9" s="3"/>
      <c r="V9" s="3"/>
      <c r="W9" s="3"/>
    </row>
    <row r="10" spans="1:23" x14ac:dyDescent="0.25">
      <c r="A10" s="2">
        <v>1E-8</v>
      </c>
      <c r="B10" s="2">
        <v>4.8959999999999999E-5</v>
      </c>
      <c r="C10" s="2">
        <v>1.2019999999999999E-4</v>
      </c>
      <c r="D10" s="2">
        <v>-3.0469999999999998E-4</v>
      </c>
      <c r="E10" s="2">
        <v>0</v>
      </c>
      <c r="F10" s="2">
        <v>0</v>
      </c>
      <c r="G10" s="2">
        <v>0</v>
      </c>
      <c r="H10" s="2">
        <v>2.3435806999999999E-5</v>
      </c>
      <c r="I10" s="2">
        <v>1.0936179E-5</v>
      </c>
      <c r="J10" s="2">
        <v>-6.1900651000000001E-5</v>
      </c>
      <c r="K10" s="3"/>
      <c r="L10" s="3">
        <f t="shared" si="0"/>
        <v>0.16068263866097801</v>
      </c>
      <c r="M10" s="3"/>
      <c r="N10" s="2">
        <f>IF('Modell einstellen'!$B$1="Voll",H10/0.35,H10/0.35*2)</f>
        <v>1.3391889714285714E-4</v>
      </c>
      <c r="O10" s="2">
        <f>IF('Modell einstellen'!$B$1="Voll",J10/0.35,J10/0.35*2)</f>
        <v>-3.5371800571428575E-4</v>
      </c>
      <c r="P10" s="3">
        <f t="shared" si="1"/>
        <v>0.37860356266689338</v>
      </c>
      <c r="Q10" s="3"/>
      <c r="R10" s="3"/>
      <c r="S10" s="3"/>
      <c r="T10" s="3"/>
      <c r="U10" s="3"/>
      <c r="V10" s="3"/>
      <c r="W10" s="3"/>
    </row>
    <row r="11" spans="1:23" x14ac:dyDescent="0.25">
      <c r="A11" s="2">
        <v>9.9999999999999995E-8</v>
      </c>
      <c r="B11" s="2">
        <v>4.6180000000000002E-5</v>
      </c>
      <c r="C11" s="2">
        <v>1.2349999999999999E-4</v>
      </c>
      <c r="D11" s="2">
        <v>-3.0650000000000002E-4</v>
      </c>
      <c r="E11" s="2">
        <v>0</v>
      </c>
      <c r="F11" s="2">
        <v>0</v>
      </c>
      <c r="G11" s="2">
        <v>0</v>
      </c>
      <c r="H11" s="2">
        <v>2.4257426E-5</v>
      </c>
      <c r="I11" s="2">
        <v>1.1206693999999999E-5</v>
      </c>
      <c r="J11" s="2">
        <v>-6.3329322000000004E-5</v>
      </c>
      <c r="K11" s="3"/>
      <c r="L11" s="3">
        <f t="shared" si="0"/>
        <v>0.15066884176182707</v>
      </c>
      <c r="M11" s="3"/>
      <c r="N11" s="2">
        <f>IF('Modell einstellen'!$B$1="Voll",H11/0.35,H11/0.35*2)</f>
        <v>1.3861386285714286E-4</v>
      </c>
      <c r="O11" s="2">
        <f>IF('Modell einstellen'!$B$1="Voll",J11/0.35,J11/0.35*2)</f>
        <v>-3.6188184000000005E-4</v>
      </c>
      <c r="P11" s="3">
        <f t="shared" si="1"/>
        <v>0.3830362497801571</v>
      </c>
      <c r="Q11" s="3"/>
      <c r="R11" s="3"/>
      <c r="S11" s="3"/>
      <c r="T11" s="3"/>
      <c r="U11" s="3"/>
      <c r="V11" s="3"/>
      <c r="W11" s="3"/>
    </row>
    <row r="12" spans="1:23" x14ac:dyDescent="0.25">
      <c r="A12" s="2">
        <v>9.9999999999999995E-7</v>
      </c>
      <c r="B12" s="2">
        <v>4.21E-5</v>
      </c>
      <c r="C12" s="2">
        <v>1.26E-4</v>
      </c>
      <c r="D12" s="2">
        <v>-3.0640000000000002E-4</v>
      </c>
      <c r="E12" s="2">
        <v>0</v>
      </c>
      <c r="F12" s="2">
        <v>0</v>
      </c>
      <c r="G12" s="2">
        <v>0</v>
      </c>
      <c r="H12" s="2">
        <v>2.5188472000000001E-5</v>
      </c>
      <c r="I12" s="2">
        <v>1.1446399E-5</v>
      </c>
      <c r="J12" s="2">
        <v>-6.4822742E-5</v>
      </c>
      <c r="K12" s="3"/>
      <c r="L12" s="3">
        <f t="shared" si="0"/>
        <v>0.13740208877284593</v>
      </c>
      <c r="M12" s="3"/>
      <c r="N12" s="2">
        <f>IF('Modell einstellen'!$B$1="Voll",H12/0.35,H12/0.35*2)</f>
        <v>1.4393412571428574E-4</v>
      </c>
      <c r="O12" s="2">
        <f>IF('Modell einstellen'!$B$1="Voll",J12/0.35,J12/0.35*2)</f>
        <v>-3.704156685714286E-4</v>
      </c>
      <c r="P12" s="3">
        <f t="shared" si="1"/>
        <v>0.3885746147548032</v>
      </c>
      <c r="Q12" s="3"/>
      <c r="R12" s="3"/>
      <c r="S12" s="3"/>
      <c r="T12" s="3"/>
      <c r="U12" s="3"/>
      <c r="V12" s="3"/>
      <c r="W12" s="3"/>
    </row>
    <row r="13" spans="1:23" x14ac:dyDescent="0.25">
      <c r="A13" s="2">
        <v>1.0000000000000001E-5</v>
      </c>
      <c r="B13" s="2">
        <v>3.8160000000000001E-5</v>
      </c>
      <c r="C13" s="2">
        <v>1.293E-4</v>
      </c>
      <c r="D13" s="2">
        <v>-3.0719999999999999E-4</v>
      </c>
      <c r="E13" s="2">
        <v>0</v>
      </c>
      <c r="F13" s="2">
        <v>0</v>
      </c>
      <c r="G13" s="2">
        <v>0</v>
      </c>
      <c r="H13" s="2">
        <v>2.6126614E-5</v>
      </c>
      <c r="I13" s="2">
        <v>1.1728173999999999E-5</v>
      </c>
      <c r="J13" s="2">
        <v>-6.6394811E-5</v>
      </c>
      <c r="K13" s="3"/>
      <c r="L13" s="3">
        <f t="shared" si="0"/>
        <v>0.12421875</v>
      </c>
      <c r="M13" s="3"/>
      <c r="N13" s="2">
        <f>IF('Modell einstellen'!$B$1="Voll",H13/0.35,H13/0.35*2)</f>
        <v>1.4929493714285714E-4</v>
      </c>
      <c r="O13" s="2">
        <f>IF('Modell einstellen'!$B$1="Voll",J13/0.35,J13/0.35*2)</f>
        <v>-3.7939892000000004E-4</v>
      </c>
      <c r="P13" s="3">
        <f t="shared" si="1"/>
        <v>0.39350385378760994</v>
      </c>
      <c r="Q13" s="3"/>
      <c r="R13" s="3"/>
      <c r="S13" s="3"/>
      <c r="T13" s="3"/>
      <c r="U13" s="3"/>
      <c r="V13" s="3"/>
      <c r="W13" s="3"/>
    </row>
    <row r="14" spans="1:23" x14ac:dyDescent="0.25">
      <c r="A14" s="2">
        <v>1E-4</v>
      </c>
      <c r="B14" s="2">
        <v>3.2929999999999998E-5</v>
      </c>
      <c r="C14" s="2">
        <v>1.3180000000000001E-4</v>
      </c>
      <c r="D14" s="2">
        <v>-3.0590000000000001E-4</v>
      </c>
      <c r="E14" s="2">
        <v>0</v>
      </c>
      <c r="F14" s="2">
        <v>0</v>
      </c>
      <c r="G14" s="2">
        <v>0</v>
      </c>
      <c r="H14" s="2">
        <v>2.7154771E-5</v>
      </c>
      <c r="I14" s="2">
        <v>1.1967990000000001E-5</v>
      </c>
      <c r="J14" s="2">
        <v>-6.7985897999999997E-5</v>
      </c>
      <c r="K14" s="3"/>
      <c r="L14" s="3">
        <f t="shared" si="0"/>
        <v>0.10764955867930695</v>
      </c>
      <c r="M14" s="3"/>
      <c r="N14" s="2">
        <f>IF('Modell einstellen'!$B$1="Voll",H14/0.35,H14/0.35*2)</f>
        <v>1.5517012E-4</v>
      </c>
      <c r="O14" s="2">
        <f>IF('Modell einstellen'!$B$1="Voll",J14/0.35,J14/0.35*2)</f>
        <v>-3.8849084571428573E-4</v>
      </c>
      <c r="P14" s="3">
        <f t="shared" si="1"/>
        <v>0.3994176998294558</v>
      </c>
      <c r="Q14" s="3"/>
      <c r="R14" s="3"/>
      <c r="S14" s="3"/>
      <c r="T14" s="3"/>
      <c r="U14" s="3"/>
      <c r="V14" s="3"/>
      <c r="W14" s="3"/>
    </row>
    <row r="15" spans="1:23" x14ac:dyDescent="0.25">
      <c r="A15" s="2">
        <v>1E-3</v>
      </c>
      <c r="B15" s="2">
        <v>2.5760000000000001E-5</v>
      </c>
      <c r="C15" s="2">
        <v>1.3630000000000001E-4</v>
      </c>
      <c r="D15" s="2">
        <v>-3.0509999999999999E-4</v>
      </c>
      <c r="E15" s="2">
        <v>0</v>
      </c>
      <c r="F15" s="2">
        <v>0</v>
      </c>
      <c r="G15" s="2">
        <v>0</v>
      </c>
      <c r="H15" s="2">
        <v>2.8573171E-5</v>
      </c>
      <c r="I15" s="2">
        <v>1.2346541E-5</v>
      </c>
      <c r="J15" s="2">
        <v>-7.0259930999999999E-5</v>
      </c>
      <c r="K15" s="3"/>
      <c r="L15" s="3">
        <f t="shared" si="0"/>
        <v>8.4431333988856119E-2</v>
      </c>
      <c r="M15" s="3"/>
      <c r="N15" s="2">
        <f>IF('Modell einstellen'!$B$1="Voll",H15/0.35,H15/0.35*2)</f>
        <v>1.6327526285714287E-4</v>
      </c>
      <c r="O15" s="2">
        <f>IF('Modell einstellen'!$B$1="Voll",J15/0.35,J15/0.35*2)</f>
        <v>-4.0148532E-4</v>
      </c>
      <c r="P15" s="3">
        <f t="shared" si="1"/>
        <v>0.40667803957849036</v>
      </c>
      <c r="Q15" s="3"/>
      <c r="R15" s="3"/>
      <c r="S15" s="3"/>
      <c r="T15" s="3"/>
      <c r="U15" s="3"/>
      <c r="V15" s="3"/>
      <c r="W15" s="3"/>
    </row>
    <row r="16" spans="1:23" x14ac:dyDescent="0.25">
      <c r="A16" s="2">
        <v>0.01</v>
      </c>
      <c r="B16" s="2">
        <v>1.5840000000000001E-5</v>
      </c>
      <c r="C16" s="2">
        <v>1.4080000000000001E-4</v>
      </c>
      <c r="D16" s="2">
        <v>-3.0180000000000002E-4</v>
      </c>
      <c r="E16" s="2">
        <v>0</v>
      </c>
      <c r="F16" s="2">
        <v>0</v>
      </c>
      <c r="G16" s="2">
        <v>0</v>
      </c>
      <c r="H16" s="2">
        <v>3.0295241999999999E-5</v>
      </c>
      <c r="I16" s="2">
        <v>1.2742461E-5</v>
      </c>
      <c r="J16" s="2">
        <v>-7.2889758000000007E-5</v>
      </c>
      <c r="K16" s="3"/>
      <c r="L16" s="3">
        <f t="shared" si="0"/>
        <v>5.2485089463220676E-2</v>
      </c>
      <c r="M16" s="3"/>
      <c r="N16" s="2">
        <f>IF('Modell einstellen'!$B$1="Voll",H16/0.35,H16/0.35*2)</f>
        <v>1.7311566857142858E-4</v>
      </c>
      <c r="O16" s="2">
        <f>IF('Modell einstellen'!$B$1="Voll",J16/0.35,J16/0.35*2)</f>
        <v>-4.165129028571429E-4</v>
      </c>
      <c r="P16" s="3">
        <f t="shared" si="1"/>
        <v>0.41563098618052757</v>
      </c>
      <c r="Q16" s="3"/>
      <c r="R16" s="3"/>
      <c r="S16" s="3"/>
      <c r="T16" s="3"/>
      <c r="U16" s="3"/>
      <c r="V16" s="3"/>
      <c r="W16" s="3"/>
    </row>
    <row r="17" spans="1:23" x14ac:dyDescent="0.25">
      <c r="A17" s="2">
        <v>0.1</v>
      </c>
      <c r="B17" s="2">
        <v>4.5109999999999997E-6</v>
      </c>
      <c r="C17" s="2">
        <v>1.45E-4</v>
      </c>
      <c r="D17" s="2">
        <v>-2.968E-4</v>
      </c>
      <c r="E17" s="2">
        <v>0</v>
      </c>
      <c r="F17" s="2">
        <v>0</v>
      </c>
      <c r="G17" s="2">
        <v>0</v>
      </c>
      <c r="H17" s="2">
        <v>3.2088775000000002E-5</v>
      </c>
      <c r="I17" s="2">
        <v>1.3120883E-5</v>
      </c>
      <c r="J17" s="2">
        <v>-7.5550995999999998E-5</v>
      </c>
      <c r="K17" s="3"/>
      <c r="L17" s="3">
        <f t="shared" si="0"/>
        <v>1.5198787061994607E-2</v>
      </c>
      <c r="M17" s="3"/>
      <c r="N17" s="2">
        <f>IF('Modell einstellen'!$B$1="Voll",H17/0.35,H17/0.35*2)</f>
        <v>1.833644285714286E-4</v>
      </c>
      <c r="O17" s="2">
        <f>IF('Modell einstellen'!$B$1="Voll",J17/0.35,J17/0.35*2)</f>
        <v>-4.3171997714285714E-4</v>
      </c>
      <c r="P17" s="3">
        <f t="shared" si="1"/>
        <v>0.42473000620666873</v>
      </c>
      <c r="Q17" s="3"/>
      <c r="R17" s="3"/>
      <c r="S17" s="3"/>
      <c r="T17" s="3"/>
      <c r="U17" s="3"/>
      <c r="V17" s="3"/>
      <c r="W17" s="3"/>
    </row>
    <row r="18" spans="1:23" x14ac:dyDescent="0.25">
      <c r="A18" s="2">
        <v>1</v>
      </c>
      <c r="B18" s="2">
        <v>-6.2469999999999997E-6</v>
      </c>
      <c r="C18" s="2">
        <v>1.485E-4</v>
      </c>
      <c r="D18" s="2">
        <v>-2.9119999999999998E-4</v>
      </c>
      <c r="E18" s="2">
        <v>0</v>
      </c>
      <c r="F18" s="2">
        <v>0</v>
      </c>
      <c r="G18" s="2">
        <v>0</v>
      </c>
      <c r="H18" s="2">
        <v>3.3672035999999997E-5</v>
      </c>
      <c r="I18" s="2">
        <v>1.3429962E-5</v>
      </c>
      <c r="J18" s="2">
        <v>-7.7842737E-5</v>
      </c>
      <c r="K18" s="3"/>
      <c r="L18" s="3">
        <f t="shared" si="0"/>
        <v>-2.145260989010989E-2</v>
      </c>
      <c r="M18" s="3"/>
      <c r="N18" s="2">
        <f>IF('Modell einstellen'!$B$1="Voll",H18/0.35,H18/0.35*2)</f>
        <v>1.9241163428571428E-4</v>
      </c>
      <c r="O18" s="2">
        <f>IF('Modell einstellen'!$B$1="Voll",J18/0.35,J18/0.35*2)</f>
        <v>-4.4481564000000003E-4</v>
      </c>
      <c r="P18" s="3">
        <f t="shared" si="1"/>
        <v>0.43256490326130231</v>
      </c>
      <c r="Q18" s="3"/>
      <c r="R18" s="3"/>
      <c r="S18" s="3"/>
      <c r="T18" s="3"/>
      <c r="U18" s="3"/>
      <c r="V18" s="3"/>
      <c r="W18" s="3"/>
    </row>
    <row r="19" spans="1:23" x14ac:dyDescent="0.25">
      <c r="A19" s="2">
        <v>10</v>
      </c>
      <c r="B19" s="2">
        <v>-1.9040000000000001E-5</v>
      </c>
      <c r="C19" s="2">
        <v>1.5220000000000001E-4</v>
      </c>
      <c r="D19" s="2">
        <v>-2.8390000000000002E-4</v>
      </c>
      <c r="E19" s="2">
        <v>0</v>
      </c>
      <c r="F19" s="2">
        <v>0</v>
      </c>
      <c r="G19" s="2">
        <v>0</v>
      </c>
      <c r="H19" s="2">
        <v>3.5455837999999997E-5</v>
      </c>
      <c r="I19" s="2">
        <v>1.3754799999999999E-5</v>
      </c>
      <c r="J19" s="2">
        <v>-8.0371351999999996E-5</v>
      </c>
      <c r="K19" s="3"/>
      <c r="L19" s="3">
        <f t="shared" si="0"/>
        <v>-6.706586826347305E-2</v>
      </c>
      <c r="M19" s="3"/>
      <c r="N19" s="2">
        <f>IF('Modell einstellen'!$B$1="Voll",H19/0.35,H19/0.35*2)</f>
        <v>2.0260478857142856E-4</v>
      </c>
      <c r="O19" s="2">
        <f>IF('Modell einstellen'!$B$1="Voll",J19/0.35,J19/0.35*2)</f>
        <v>-4.5926486857142857E-4</v>
      </c>
      <c r="P19" s="3">
        <f t="shared" si="1"/>
        <v>0.44115019988714382</v>
      </c>
      <c r="Q19" s="3"/>
      <c r="R19" s="3"/>
      <c r="S19" s="3"/>
      <c r="T19" s="3"/>
      <c r="U19" s="3"/>
      <c r="V19" s="3"/>
      <c r="W19" s="3"/>
    </row>
    <row r="20" spans="1:23" x14ac:dyDescent="0.25">
      <c r="A20" s="2">
        <v>100</v>
      </c>
      <c r="B20" s="2">
        <v>-3.3359999999999999E-5</v>
      </c>
      <c r="C20" s="2">
        <v>1.5579999999999999E-4</v>
      </c>
      <c r="D20" s="2">
        <v>-2.7490000000000001E-4</v>
      </c>
      <c r="E20" s="2">
        <v>0</v>
      </c>
      <c r="F20" s="2">
        <v>0</v>
      </c>
      <c r="G20" s="2">
        <v>0</v>
      </c>
      <c r="H20" s="2">
        <v>3.7344146E-5</v>
      </c>
      <c r="I20" s="2">
        <v>1.4073248000000001E-5</v>
      </c>
      <c r="J20" s="2">
        <v>-8.2989255999999995E-5</v>
      </c>
      <c r="K20" s="3"/>
      <c r="L20" s="3">
        <f t="shared" si="0"/>
        <v>-0.12135321935249181</v>
      </c>
      <c r="M20" s="3"/>
      <c r="N20" s="2">
        <f>IF('Modell einstellen'!$B$1="Voll",H20/0.35,H20/0.35*2)</f>
        <v>2.1339512000000002E-4</v>
      </c>
      <c r="O20" s="2">
        <f>IF('Modell einstellen'!$B$1="Voll",J20/0.35,J20/0.35*2)</f>
        <v>-4.7422432E-4</v>
      </c>
      <c r="P20" s="3">
        <f t="shared" si="1"/>
        <v>0.44998771889219014</v>
      </c>
      <c r="Q20" s="3"/>
      <c r="R20" s="3"/>
      <c r="S20" s="3"/>
      <c r="T20" s="3"/>
      <c r="U20" s="3"/>
      <c r="V20" s="3"/>
      <c r="W20" s="3"/>
    </row>
    <row r="21" spans="1:23" x14ac:dyDescent="0.25">
      <c r="A21" s="2">
        <v>1000</v>
      </c>
      <c r="B21" s="2">
        <v>-5.0800000000000002E-5</v>
      </c>
      <c r="C21" s="2">
        <v>1.5980000000000001E-4</v>
      </c>
      <c r="D21" s="2">
        <v>-2.633E-4</v>
      </c>
      <c r="E21" s="2">
        <v>0</v>
      </c>
      <c r="F21" s="2">
        <v>0</v>
      </c>
      <c r="G21" s="2">
        <v>0</v>
      </c>
      <c r="H21" s="2">
        <v>3.9560330999999999E-5</v>
      </c>
      <c r="I21" s="2">
        <v>1.442548E-5</v>
      </c>
      <c r="J21" s="2">
        <v>-8.6007707999999995E-5</v>
      </c>
      <c r="K21" s="3"/>
      <c r="L21" s="3">
        <f t="shared" si="0"/>
        <v>-0.19293581466008355</v>
      </c>
      <c r="M21" s="3"/>
      <c r="N21" s="2">
        <f>IF('Modell einstellen'!$B$1="Voll",H21/0.35,H21/0.35*2)</f>
        <v>2.2605903428571429E-4</v>
      </c>
      <c r="O21" s="2">
        <f>IF('Modell einstellen'!$B$1="Voll",J21/0.35,J21/0.35*2)</f>
        <v>-4.9147261714285718E-4</v>
      </c>
      <c r="P21" s="3">
        <f t="shared" si="1"/>
        <v>0.45996262334999088</v>
      </c>
      <c r="Q21" s="3"/>
      <c r="R21" s="3"/>
      <c r="S21" s="3"/>
      <c r="T21" s="3"/>
      <c r="U21" s="3"/>
      <c r="V21" s="3"/>
      <c r="W21" s="3"/>
    </row>
    <row r="22" spans="1:23" x14ac:dyDescent="0.25">
      <c r="A22" s="2">
        <v>10000</v>
      </c>
      <c r="B22" s="2">
        <v>-6.7840000000000001E-5</v>
      </c>
      <c r="C22" s="2">
        <v>1.6430000000000001E-4</v>
      </c>
      <c r="D22" s="2">
        <v>-2.522E-4</v>
      </c>
      <c r="E22" s="2">
        <v>0</v>
      </c>
      <c r="F22" s="2">
        <v>0</v>
      </c>
      <c r="G22" s="2">
        <v>0</v>
      </c>
      <c r="H22" s="2">
        <v>4.1974984E-5</v>
      </c>
      <c r="I22" s="2">
        <v>1.4872725000000001E-5</v>
      </c>
      <c r="J22" s="2">
        <v>-8.9390867999999997E-5</v>
      </c>
      <c r="K22" s="3"/>
      <c r="L22" s="3">
        <f t="shared" si="0"/>
        <v>-0.26899286280729579</v>
      </c>
      <c r="M22" s="3"/>
      <c r="N22" s="2">
        <f>IF('Modell einstellen'!$B$1="Voll",H22/0.35,H22/0.35*2)</f>
        <v>2.3985705142857145E-4</v>
      </c>
      <c r="O22" s="2">
        <f>IF('Modell einstellen'!$B$1="Voll",J22/0.35,J22/0.35*2)</f>
        <v>-5.1080495999999997E-4</v>
      </c>
      <c r="P22" s="3">
        <f t="shared" si="1"/>
        <v>0.46956680183483623</v>
      </c>
      <c r="Q22" s="3"/>
      <c r="R22" s="3"/>
      <c r="S22" s="3"/>
      <c r="T22" s="3"/>
      <c r="U22" s="3"/>
      <c r="V22" s="3"/>
      <c r="W22" s="3"/>
    </row>
    <row r="23" spans="1:23" x14ac:dyDescent="0.25">
      <c r="A23" s="2">
        <v>100000</v>
      </c>
      <c r="B23" s="2">
        <v>-7.6359999999999994E-5</v>
      </c>
      <c r="C23" s="2">
        <v>1.7550000000000001E-4</v>
      </c>
      <c r="D23" s="2">
        <v>-2.5520000000000002E-4</v>
      </c>
      <c r="E23" s="2">
        <v>0</v>
      </c>
      <c r="F23" s="2">
        <v>0</v>
      </c>
      <c r="G23" s="2">
        <v>0</v>
      </c>
      <c r="H23" s="2">
        <v>4.6306103999999998E-5</v>
      </c>
      <c r="I23" s="2">
        <v>1.6369997999999999E-5</v>
      </c>
      <c r="J23" s="2">
        <v>-9.6664837999999994E-5</v>
      </c>
      <c r="K23" s="3"/>
      <c r="L23" s="3">
        <f t="shared" si="0"/>
        <v>-0.29921630094043883</v>
      </c>
      <c r="M23" s="3"/>
      <c r="N23" s="2">
        <f>IF('Modell einstellen'!$B$1="Voll",H23/0.35,H23/0.35*2)</f>
        <v>2.6460630857142858E-4</v>
      </c>
      <c r="O23" s="2">
        <f>IF('Modell einstellen'!$B$1="Voll",J23/0.35,J23/0.35*2)</f>
        <v>-5.5237050285714281E-4</v>
      </c>
      <c r="P23" s="3">
        <f t="shared" si="1"/>
        <v>0.47903772414122292</v>
      </c>
      <c r="Q23" s="3"/>
      <c r="R23" s="3"/>
      <c r="S23" s="3"/>
      <c r="T23" s="3"/>
      <c r="U23" s="3"/>
      <c r="V23" s="3"/>
      <c r="W23" s="3"/>
    </row>
    <row r="24" spans="1:23" x14ac:dyDescent="0.25">
      <c r="A24" s="2">
        <v>1000000</v>
      </c>
      <c r="B24" s="2">
        <v>-2.565E-5</v>
      </c>
      <c r="C24" s="2">
        <v>2.0450000000000001E-4</v>
      </c>
      <c r="D24" s="2">
        <v>-3.2860000000000002E-4</v>
      </c>
      <c r="E24" s="2">
        <v>0</v>
      </c>
      <c r="F24" s="2">
        <v>0</v>
      </c>
      <c r="G24" s="2">
        <v>0</v>
      </c>
      <c r="H24" s="2">
        <v>5.4567519000000001E-5</v>
      </c>
      <c r="I24" s="2">
        <v>2.1369020999999999E-5</v>
      </c>
      <c r="J24" s="2">
        <v>-1.1435880999999999E-4</v>
      </c>
      <c r="K24" s="3"/>
      <c r="L24" s="3">
        <f t="shared" si="0"/>
        <v>-7.8058429701765061E-2</v>
      </c>
      <c r="M24" s="3"/>
      <c r="N24" s="2">
        <f>IF('Modell einstellen'!$B$1="Voll",H24/0.35,H24/0.35*2)</f>
        <v>3.1181439428571431E-4</v>
      </c>
      <c r="O24" s="2">
        <f>IF('Modell einstellen'!$B$1="Voll",J24/0.35,J24/0.35*2)</f>
        <v>-6.5347891428571428E-4</v>
      </c>
      <c r="P24" s="3">
        <f t="shared" si="1"/>
        <v>0.47716060529136328</v>
      </c>
      <c r="Q24" s="3"/>
      <c r="R24" s="3"/>
      <c r="S24" s="3"/>
      <c r="T24" s="3"/>
      <c r="U24" s="3"/>
      <c r="V24" s="3"/>
      <c r="W24" s="3"/>
    </row>
    <row r="25" spans="1:23" x14ac:dyDescent="0.25">
      <c r="A25" s="2">
        <v>10000000</v>
      </c>
      <c r="B25" s="2">
        <v>8.3570000000000001E-5</v>
      </c>
      <c r="C25" s="2">
        <v>2.5720000000000002E-4</v>
      </c>
      <c r="D25" s="2">
        <v>-4.7869999999999998E-4</v>
      </c>
      <c r="E25" s="2">
        <v>0</v>
      </c>
      <c r="F25" s="2">
        <v>0</v>
      </c>
      <c r="G25" s="2">
        <v>0</v>
      </c>
      <c r="H25" s="2">
        <v>6.7631170999999998E-5</v>
      </c>
      <c r="I25" s="2">
        <v>3.0813545000000002E-5</v>
      </c>
      <c r="J25" s="2">
        <v>-1.45241E-4</v>
      </c>
      <c r="K25" s="3"/>
      <c r="L25" s="3">
        <f t="shared" si="0"/>
        <v>0.17457697931898894</v>
      </c>
      <c r="M25" s="3"/>
      <c r="N25" s="2">
        <f>IF('Modell einstellen'!$B$1="Voll",H25/0.35,H25/0.35*2)</f>
        <v>3.8646383428571427E-4</v>
      </c>
      <c r="O25" s="2">
        <f>IF('Modell einstellen'!$B$1="Voll",J25/0.35,J25/0.35*2)</f>
        <v>-8.2994857142857151E-4</v>
      </c>
      <c r="P25" s="3">
        <f t="shared" si="1"/>
        <v>0.46564792999221977</v>
      </c>
      <c r="Q25" s="3"/>
      <c r="R25" s="3"/>
      <c r="S25" s="3"/>
      <c r="T25" s="3"/>
      <c r="U25" s="3"/>
      <c r="V25" s="3"/>
      <c r="W25" s="3"/>
    </row>
    <row r="26" spans="1:23" x14ac:dyDescent="0.25">
      <c r="A26" s="2">
        <v>100000000</v>
      </c>
      <c r="B26" s="2">
        <v>2.1240000000000001E-4</v>
      </c>
      <c r="C26" s="2">
        <v>3.2949999999999999E-4</v>
      </c>
      <c r="D26" s="2">
        <v>-6.6810000000000003E-4</v>
      </c>
      <c r="E26" s="2">
        <v>0</v>
      </c>
      <c r="F26" s="2">
        <v>0</v>
      </c>
      <c r="G26" s="2">
        <v>0</v>
      </c>
      <c r="H26" s="2">
        <v>8.4053103999999994E-5</v>
      </c>
      <c r="I26" s="2">
        <v>4.3394313999999997E-5</v>
      </c>
      <c r="J26" s="2">
        <v>-1.8558577000000001E-4</v>
      </c>
      <c r="K26" s="3"/>
      <c r="L26" s="3">
        <f t="shared" si="0"/>
        <v>0.31791647956892682</v>
      </c>
      <c r="M26" s="3"/>
      <c r="N26" s="2">
        <f>IF('Modell einstellen'!$B$1="Voll",H26/0.35,H26/0.35*2)</f>
        <v>4.803034514285714E-4</v>
      </c>
      <c r="O26" s="2">
        <f>IF('Modell einstellen'!$B$1="Voll",J26/0.35,J26/0.35*2)</f>
        <v>-1.0604901142857144E-3</v>
      </c>
      <c r="P26" s="3">
        <f t="shared" si="1"/>
        <v>0.45290705208702148</v>
      </c>
      <c r="Q26" s="3"/>
      <c r="R26" s="3"/>
      <c r="S26" s="3"/>
      <c r="T26" s="3"/>
      <c r="U26" s="3"/>
      <c r="V26" s="3"/>
      <c r="W26" s="3"/>
    </row>
    <row r="27" spans="1:23" x14ac:dyDescent="0.25">
      <c r="A27" s="2">
        <v>1000000000</v>
      </c>
      <c r="B27" s="2">
        <v>3.3520000000000002E-4</v>
      </c>
      <c r="C27" s="2">
        <v>4.261E-4</v>
      </c>
      <c r="D27" s="2">
        <v>-8.7830000000000004E-4</v>
      </c>
      <c r="E27" s="2">
        <v>0</v>
      </c>
      <c r="F27" s="2">
        <v>0</v>
      </c>
      <c r="G27" s="2">
        <v>0</v>
      </c>
      <c r="H27" s="2">
        <v>1.0549494E-4</v>
      </c>
      <c r="I27" s="2">
        <v>5.9769967000000002E-5</v>
      </c>
      <c r="J27" s="2">
        <v>-2.3846206E-4</v>
      </c>
      <c r="K27" s="3"/>
      <c r="L27" s="3">
        <f t="shared" si="0"/>
        <v>0.38164636229078902</v>
      </c>
      <c r="M27" s="3"/>
      <c r="N27" s="2">
        <f>IF('Modell einstellen'!$B$1="Voll",H27/0.35,H27/0.35*2)</f>
        <v>6.0282822857142863E-4</v>
      </c>
      <c r="O27" s="2">
        <f>IF('Modell einstellen'!$B$1="Voll",J27/0.35,J27/0.35*2)</f>
        <v>-1.3626403428571429E-3</v>
      </c>
      <c r="P27" s="3">
        <f t="shared" si="1"/>
        <v>0.44239716791845213</v>
      </c>
      <c r="Q27" s="3"/>
      <c r="R27" s="3"/>
      <c r="S27" s="3"/>
      <c r="T27" s="3"/>
      <c r="U27" s="3"/>
      <c r="V27" s="3"/>
      <c r="W27" s="3"/>
    </row>
    <row r="28" spans="1:23" x14ac:dyDescent="0.25">
      <c r="A28" s="2">
        <v>10000000000</v>
      </c>
      <c r="B28" s="2">
        <v>4.4799999999999999E-4</v>
      </c>
      <c r="C28" s="2">
        <v>5.6450000000000001E-4</v>
      </c>
      <c r="D28" s="2">
        <v>-1.122E-3</v>
      </c>
      <c r="E28" s="2">
        <v>0</v>
      </c>
      <c r="F28" s="2">
        <v>0</v>
      </c>
      <c r="G28" s="2">
        <v>0</v>
      </c>
      <c r="H28" s="2">
        <v>1.3578654999999999E-4</v>
      </c>
      <c r="I28" s="2">
        <v>8.3304609000000007E-5</v>
      </c>
      <c r="J28" s="2">
        <v>-3.1418534000000003E-4</v>
      </c>
      <c r="K28" s="3"/>
      <c r="L28" s="3">
        <f t="shared" si="0"/>
        <v>0.39928698752228164</v>
      </c>
      <c r="M28" s="3"/>
      <c r="N28" s="2">
        <f>IF('Modell einstellen'!$B$1="Voll",H28/0.35,H28/0.35*2)</f>
        <v>7.7592314285714287E-4</v>
      </c>
      <c r="O28" s="2">
        <f>IF('Modell einstellen'!$B$1="Voll",J28/0.35,J28/0.35*2)</f>
        <v>-1.7953448000000002E-3</v>
      </c>
      <c r="P28" s="3">
        <f t="shared" si="1"/>
        <v>0.43218614210325657</v>
      </c>
      <c r="Q28" s="3"/>
      <c r="R28" s="3"/>
      <c r="S28" s="3"/>
      <c r="T28" s="3"/>
      <c r="U28" s="3"/>
      <c r="V28" s="3"/>
      <c r="W28" s="3"/>
    </row>
    <row r="29" spans="1:23" x14ac:dyDescent="0.25">
      <c r="A29" s="2">
        <v>100000000000</v>
      </c>
      <c r="B29" s="2">
        <v>5.5210000000000003E-4</v>
      </c>
      <c r="C29" s="2">
        <v>7.9420000000000001E-4</v>
      </c>
      <c r="D29" s="2">
        <v>-1.449E-3</v>
      </c>
      <c r="E29" s="2">
        <v>0</v>
      </c>
      <c r="F29" s="2">
        <v>0</v>
      </c>
      <c r="G29" s="2">
        <v>0</v>
      </c>
      <c r="H29" s="2">
        <v>1.8564690000000001E-4</v>
      </c>
      <c r="I29" s="2">
        <v>1.2298754999999999E-4</v>
      </c>
      <c r="J29" s="2">
        <v>-4.4076776E-4</v>
      </c>
      <c r="K29" s="3"/>
      <c r="L29" s="3">
        <f t="shared" si="0"/>
        <v>0.38102139406487234</v>
      </c>
      <c r="M29" s="3"/>
      <c r="N29" s="2">
        <f>IF('Modell einstellen'!$B$1="Voll",H29/0.35,H29/0.35*2)</f>
        <v>1.0608394285714286E-3</v>
      </c>
      <c r="O29" s="2">
        <f>IF('Modell einstellen'!$B$1="Voll",J29/0.35,J29/0.35*2)</f>
        <v>-2.5186729142857144E-3</v>
      </c>
      <c r="P29" s="3">
        <f t="shared" si="1"/>
        <v>0.42118983475560917</v>
      </c>
      <c r="Q29" s="3"/>
      <c r="R29" s="3"/>
      <c r="S29" s="3"/>
      <c r="T29" s="3"/>
      <c r="U29" s="3"/>
      <c r="V29" s="3"/>
      <c r="W29" s="3"/>
    </row>
    <row r="30" spans="1:23" x14ac:dyDescent="0.25">
      <c r="A30" s="2">
        <v>1000000000000</v>
      </c>
      <c r="B30" s="2">
        <v>6.6399999999999999E-4</v>
      </c>
      <c r="C30" s="2">
        <v>1.139E-3</v>
      </c>
      <c r="D30" s="2">
        <v>-1.8990000000000001E-3</v>
      </c>
      <c r="E30" s="2">
        <v>0</v>
      </c>
      <c r="F30" s="2">
        <v>0</v>
      </c>
      <c r="G30" s="2">
        <v>0</v>
      </c>
      <c r="H30" s="2">
        <v>2.5920049000000001E-4</v>
      </c>
      <c r="I30" s="2">
        <v>1.8383363999999999E-4</v>
      </c>
      <c r="J30" s="2">
        <v>-6.3172369999999996E-4</v>
      </c>
      <c r="K30" s="3"/>
      <c r="L30" s="3">
        <f t="shared" si="0"/>
        <v>0.34965771458662454</v>
      </c>
      <c r="M30" s="3"/>
      <c r="N30" s="2">
        <f>IF('Modell einstellen'!$B$1="Voll",H30/0.35,H30/0.35*2)</f>
        <v>1.4811456571428572E-3</v>
      </c>
      <c r="O30" s="2">
        <f>IF('Modell einstellen'!$B$1="Voll",J30/0.35,J30/0.35*2)</f>
        <v>-3.6098497142857144E-3</v>
      </c>
      <c r="P30" s="3">
        <f t="shared" si="1"/>
        <v>0.41030673694844755</v>
      </c>
      <c r="Q30" s="3"/>
      <c r="R30" s="3"/>
      <c r="S30" s="3"/>
      <c r="T30" s="3"/>
      <c r="U30" s="3"/>
      <c r="V30" s="3"/>
      <c r="W30" s="3"/>
    </row>
    <row r="31" spans="1:23" x14ac:dyDescent="0.25">
      <c r="A31" s="2">
        <v>10000000000000</v>
      </c>
      <c r="B31" s="2">
        <v>8.0829999999999997E-4</v>
      </c>
      <c r="C31" s="2">
        <v>1.6280000000000001E-3</v>
      </c>
      <c r="D31" s="2">
        <v>-2.5249999999999999E-3</v>
      </c>
      <c r="E31" s="2">
        <v>0</v>
      </c>
      <c r="F31" s="2">
        <v>0</v>
      </c>
      <c r="G31" s="2">
        <v>0</v>
      </c>
      <c r="H31" s="2">
        <v>3.6388220000000001E-4</v>
      </c>
      <c r="I31" s="2">
        <v>2.7201653999999999E-4</v>
      </c>
      <c r="J31" s="2">
        <v>-9.0600939000000001E-4</v>
      </c>
      <c r="K31" s="3"/>
      <c r="L31" s="3">
        <f t="shared" si="0"/>
        <v>0.32011881188118813</v>
      </c>
      <c r="M31" s="3"/>
      <c r="N31" s="2">
        <f>IF('Modell einstellen'!$B$1="Voll",H31/0.35,H31/0.35*2)</f>
        <v>2.0793268571428574E-3</v>
      </c>
      <c r="O31" s="2">
        <f>IF('Modell einstellen'!$B$1="Voll",J31/0.35,J31/0.35*2)</f>
        <v>-5.1771965142857149E-3</v>
      </c>
      <c r="P31" s="3">
        <f t="shared" si="1"/>
        <v>0.40163181973202289</v>
      </c>
      <c r="Q31" s="3"/>
      <c r="R31" s="3"/>
      <c r="S31" s="3"/>
      <c r="T31" s="3"/>
      <c r="U31" s="3"/>
      <c r="V31" s="3"/>
      <c r="W31" s="3"/>
    </row>
    <row r="32" spans="1:23" x14ac:dyDescent="0.25">
      <c r="A32" s="2">
        <v>100000000000000</v>
      </c>
      <c r="B32" s="2">
        <v>1.0089999999999999E-3</v>
      </c>
      <c r="C32" s="2">
        <v>2.1090000000000002E-3</v>
      </c>
      <c r="D32" s="2">
        <v>-3.2009999999999999E-3</v>
      </c>
      <c r="E32" s="2">
        <v>0</v>
      </c>
      <c r="F32" s="2">
        <v>0</v>
      </c>
      <c r="G32" s="2">
        <v>0</v>
      </c>
      <c r="H32" s="2">
        <v>4.6090551999999999E-4</v>
      </c>
      <c r="I32" s="2">
        <v>3.5832810000000002E-4</v>
      </c>
      <c r="J32" s="2">
        <v>-1.1684054999999999E-3</v>
      </c>
      <c r="K32" s="3"/>
      <c r="L32" s="3">
        <f t="shared" si="0"/>
        <v>0.31521399562636676</v>
      </c>
      <c r="M32" s="3"/>
      <c r="N32" s="2">
        <f>IF('Modell einstellen'!$B$1="Voll",H32/0.35,H32/0.35*2)</f>
        <v>2.6337458285714288E-3</v>
      </c>
      <c r="O32" s="2">
        <f>IF('Modell einstellen'!$B$1="Voll",J32/0.35,J32/0.35*2)</f>
        <v>-6.6766028571428569E-3</v>
      </c>
      <c r="P32" s="3">
        <f t="shared" si="1"/>
        <v>0.39447393905626088</v>
      </c>
      <c r="Q32" s="3"/>
      <c r="R32" s="3"/>
      <c r="S32" s="3"/>
      <c r="T32" s="3"/>
      <c r="U32" s="3"/>
      <c r="V32" s="3"/>
      <c r="W32" s="3"/>
    </row>
    <row r="33" spans="1:23" x14ac:dyDescent="0.25">
      <c r="A33" s="2">
        <v>1000000000000000</v>
      </c>
      <c r="B33" s="2">
        <v>1.2210000000000001E-3</v>
      </c>
      <c r="C33" s="2">
        <v>2.526E-3</v>
      </c>
      <c r="D33" s="2">
        <v>-3.8270000000000001E-3</v>
      </c>
      <c r="E33" s="2">
        <v>0</v>
      </c>
      <c r="F33" s="2">
        <v>0</v>
      </c>
      <c r="G33" s="2">
        <v>0</v>
      </c>
      <c r="H33" s="2">
        <v>5.4235587E-4</v>
      </c>
      <c r="I33" s="2">
        <v>4.327736E-4</v>
      </c>
      <c r="J33" s="2">
        <v>-1.3920287E-3</v>
      </c>
      <c r="K33" s="3"/>
      <c r="L33" s="3">
        <f t="shared" si="0"/>
        <v>0.31904886333943039</v>
      </c>
      <c r="M33" s="3"/>
      <c r="N33" s="2">
        <f>IF('Modell einstellen'!$B$1="Voll",H33/0.35,H33/0.35*2)</f>
        <v>3.0991764000000001E-3</v>
      </c>
      <c r="O33" s="2">
        <f>IF('Modell einstellen'!$B$1="Voll",J33/0.35,J33/0.35*2)</f>
        <v>-7.9544497142857145E-3</v>
      </c>
      <c r="P33" s="3">
        <f t="shared" si="1"/>
        <v>0.38961543680816352</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6.2100000000000005E-5</v>
      </c>
      <c r="C3" s="3">
        <v>1.0959999999999999E-4</v>
      </c>
      <c r="D3" s="3">
        <v>-3.0069999999999999E-4</v>
      </c>
      <c r="E3" s="3">
        <v>0</v>
      </c>
      <c r="F3" s="3">
        <v>0</v>
      </c>
      <c r="G3" s="3">
        <v>0</v>
      </c>
      <c r="H3" s="3">
        <v>2.0301824000000002E-5</v>
      </c>
      <c r="I3" s="3">
        <v>1.0020302E-5</v>
      </c>
      <c r="J3" s="3">
        <v>-5.6673799999999999E-5</v>
      </c>
      <c r="L3" s="3">
        <f>-B3/D3</f>
        <v>0.20651812437645498</v>
      </c>
      <c r="M3" s="3"/>
      <c r="N3" s="2">
        <f>IF('Modell einstellen'!$B$1="Voll",H3/0.35,H3/0.35*2)</f>
        <v>1.1601042285714288E-4</v>
      </c>
      <c r="O3" s="2">
        <f>IF('Modell einstellen'!$B$1="Voll",J3/0.35,J3/0.35*2)</f>
        <v>-3.2385028571428571E-4</v>
      </c>
      <c r="P3" s="3">
        <f>-N3/O3</f>
        <v>0.35822238847580368</v>
      </c>
    </row>
    <row r="4" spans="1:16" x14ac:dyDescent="0.25">
      <c r="A4" s="3">
        <v>1E-14</v>
      </c>
      <c r="B4" s="3">
        <v>6.0340000000000002E-5</v>
      </c>
      <c r="C4" s="3">
        <v>1.121E-4</v>
      </c>
      <c r="D4" s="3">
        <v>-3.0289999999999999E-4</v>
      </c>
      <c r="E4" s="3">
        <v>0</v>
      </c>
      <c r="F4" s="3">
        <v>0</v>
      </c>
      <c r="G4" s="3">
        <v>0</v>
      </c>
      <c r="H4" s="3">
        <v>2.1051953999999999E-5</v>
      </c>
      <c r="I4" s="3">
        <v>1.0269155E-5</v>
      </c>
      <c r="J4" s="3">
        <v>-5.7998787999999998E-5</v>
      </c>
      <c r="L4" s="3">
        <f t="shared" ref="L4:L33" si="0">-B4/D4</f>
        <v>0.19920765929349621</v>
      </c>
      <c r="M4" s="3"/>
      <c r="N4" s="2">
        <f>IF('Modell einstellen'!$B$1="Voll",H4/0.35,H4/0.35*2)</f>
        <v>1.2029688E-4</v>
      </c>
      <c r="O4" s="2">
        <f>IF('Modell einstellen'!$B$1="Voll",J4/0.35,J4/0.35*2)</f>
        <v>-3.3142164571428574E-4</v>
      </c>
      <c r="P4" s="3">
        <f t="shared" ref="P4:P33" si="1">-N4/O4</f>
        <v>0.36297230900756061</v>
      </c>
    </row>
    <row r="5" spans="1:16" x14ac:dyDescent="0.25">
      <c r="A5" s="3">
        <v>1E-13</v>
      </c>
      <c r="B5" s="3">
        <v>5.931E-5</v>
      </c>
      <c r="C5" s="3">
        <v>1.139E-4</v>
      </c>
      <c r="D5" s="3">
        <v>-3.0449999999999997E-4</v>
      </c>
      <c r="E5" s="3">
        <v>0</v>
      </c>
      <c r="F5" s="3">
        <v>0</v>
      </c>
      <c r="G5" s="3">
        <v>0</v>
      </c>
      <c r="H5" s="3">
        <v>2.1531716999999999E-5</v>
      </c>
      <c r="I5" s="3">
        <v>1.0431962E-5</v>
      </c>
      <c r="J5" s="3">
        <v>-5.8849572999999999E-5</v>
      </c>
      <c r="L5" s="3">
        <f t="shared" si="0"/>
        <v>0.19477832512315271</v>
      </c>
      <c r="M5" s="3"/>
      <c r="N5" s="2">
        <f>IF('Modell einstellen'!$B$1="Voll",H5/0.35,H5/0.35*2)</f>
        <v>1.2303838285714286E-4</v>
      </c>
      <c r="O5" s="2">
        <f>IF('Modell einstellen'!$B$1="Voll",J5/0.35,J5/0.35*2)</f>
        <v>-3.362832742857143E-4</v>
      </c>
      <c r="P5" s="3">
        <f t="shared" si="1"/>
        <v>0.36587720016252284</v>
      </c>
    </row>
    <row r="6" spans="1:16" x14ac:dyDescent="0.25">
      <c r="A6" s="3">
        <v>9.9999999999999998E-13</v>
      </c>
      <c r="B6" s="3">
        <v>5.8069999999999998E-5</v>
      </c>
      <c r="C6" s="3">
        <v>1.1569999999999999E-4</v>
      </c>
      <c r="D6" s="3">
        <v>-3.0600000000000001E-4</v>
      </c>
      <c r="E6" s="3">
        <v>0</v>
      </c>
      <c r="F6" s="3">
        <v>0</v>
      </c>
      <c r="G6" s="3">
        <v>0</v>
      </c>
      <c r="H6" s="3">
        <v>2.2033420999999999E-5</v>
      </c>
      <c r="I6" s="3">
        <v>1.0598279000000001E-5</v>
      </c>
      <c r="J6" s="3">
        <v>-5.9730866000000001E-5</v>
      </c>
      <c r="L6" s="3">
        <f t="shared" si="0"/>
        <v>0.18977124183006536</v>
      </c>
      <c r="M6" s="3"/>
      <c r="N6" s="2">
        <f>IF('Modell einstellen'!$B$1="Voll",H6/0.35,H6/0.35*2)</f>
        <v>1.2590526285714287E-4</v>
      </c>
      <c r="O6" s="2">
        <f>IF('Modell einstellen'!$B$1="Voll",J6/0.35,J6/0.35*2)</f>
        <v>-3.4131923428571434E-4</v>
      </c>
      <c r="P6" s="3">
        <f t="shared" si="1"/>
        <v>0.36887831159186607</v>
      </c>
    </row>
    <row r="7" spans="1:16" x14ac:dyDescent="0.25">
      <c r="A7" s="3">
        <v>9.9999999999999994E-12</v>
      </c>
      <c r="B7" s="3">
        <v>5.6530000000000003E-5</v>
      </c>
      <c r="C7" s="3">
        <v>1.177E-4</v>
      </c>
      <c r="D7" s="3">
        <v>-3.0729999999999999E-4</v>
      </c>
      <c r="E7" s="3">
        <v>0</v>
      </c>
      <c r="F7" s="3">
        <v>0</v>
      </c>
      <c r="G7" s="3">
        <v>0</v>
      </c>
      <c r="H7" s="3">
        <v>2.2592985000000001E-5</v>
      </c>
      <c r="I7" s="3">
        <v>1.0778779999999999E-5</v>
      </c>
      <c r="J7" s="3">
        <v>-6.0702865000000002E-5</v>
      </c>
      <c r="L7" s="3">
        <f t="shared" si="0"/>
        <v>0.18395704523267167</v>
      </c>
      <c r="M7" s="3"/>
      <c r="N7" s="2">
        <f>IF('Modell einstellen'!$B$1="Voll",H7/0.35,H7/0.35*2)</f>
        <v>1.2910277142857144E-4</v>
      </c>
      <c r="O7" s="2">
        <f>IF('Modell einstellen'!$B$1="Voll",J7/0.35,J7/0.35*2)</f>
        <v>-3.4687351428571431E-4</v>
      </c>
      <c r="P7" s="3">
        <f t="shared" si="1"/>
        <v>0.37218976402514115</v>
      </c>
    </row>
    <row r="8" spans="1:16" x14ac:dyDescent="0.25">
      <c r="A8" s="3">
        <v>1E-10</v>
      </c>
      <c r="B8" s="3">
        <v>5.4549999999999998E-5</v>
      </c>
      <c r="C8" s="3">
        <v>1.199E-4</v>
      </c>
      <c r="D8" s="3">
        <v>-3.0870000000000002E-4</v>
      </c>
      <c r="E8" s="3">
        <v>0</v>
      </c>
      <c r="F8" s="3">
        <v>0</v>
      </c>
      <c r="G8" s="3">
        <v>0</v>
      </c>
      <c r="H8" s="3">
        <v>2.3241697999999999E-5</v>
      </c>
      <c r="I8" s="3">
        <v>1.0982056000000001E-5</v>
      </c>
      <c r="J8" s="3">
        <v>-6.1816356000000006E-5</v>
      </c>
      <c r="L8" s="3">
        <f t="shared" si="0"/>
        <v>0.17670877874959506</v>
      </c>
      <c r="M8" s="3"/>
      <c r="N8" s="2">
        <f>IF('Modell einstellen'!$B$1="Voll",H8/0.35,H8/0.35*2)</f>
        <v>1.3280970285714286E-4</v>
      </c>
      <c r="O8" s="2">
        <f>IF('Modell einstellen'!$B$1="Voll",J8/0.35,J8/0.35*2)</f>
        <v>-3.5323632000000007E-4</v>
      </c>
      <c r="P8" s="3">
        <f t="shared" si="1"/>
        <v>0.37597974879010976</v>
      </c>
    </row>
    <row r="9" spans="1:16" x14ac:dyDescent="0.25">
      <c r="A9" s="3">
        <v>1.0000000000000001E-9</v>
      </c>
      <c r="B9" s="3">
        <v>5.2030000000000002E-5</v>
      </c>
      <c r="C9" s="3">
        <v>1.2229999999999999E-4</v>
      </c>
      <c r="D9" s="3">
        <v>-3.098E-4</v>
      </c>
      <c r="E9" s="3">
        <v>0</v>
      </c>
      <c r="F9" s="3">
        <v>0</v>
      </c>
      <c r="G9" s="3">
        <v>0</v>
      </c>
      <c r="H9" s="3">
        <v>2.3989041999999998E-5</v>
      </c>
      <c r="I9" s="3">
        <v>1.1208861E-5</v>
      </c>
      <c r="J9" s="3">
        <v>-6.3082177000000001E-5</v>
      </c>
      <c r="L9" s="3">
        <f t="shared" si="0"/>
        <v>0.16794706262104583</v>
      </c>
      <c r="M9" s="3"/>
      <c r="N9" s="2">
        <f>IF('Modell einstellen'!$B$1="Voll",H9/0.35,H9/0.35*2)</f>
        <v>1.3708024E-4</v>
      </c>
      <c r="O9" s="2">
        <f>IF('Modell einstellen'!$B$1="Voll",J9/0.35,J9/0.35*2)</f>
        <v>-3.604695828571429E-4</v>
      </c>
      <c r="P9" s="3">
        <f t="shared" si="1"/>
        <v>0.38028240528223994</v>
      </c>
    </row>
    <row r="10" spans="1:16" x14ac:dyDescent="0.25">
      <c r="A10" s="3">
        <v>1E-8</v>
      </c>
      <c r="B10" s="3">
        <v>4.9030000000000003E-5</v>
      </c>
      <c r="C10" s="3">
        <v>1.2579999999999999E-4</v>
      </c>
      <c r="D10" s="3">
        <v>-3.1169999999999999E-4</v>
      </c>
      <c r="E10" s="3">
        <v>0</v>
      </c>
      <c r="F10" s="3">
        <v>0</v>
      </c>
      <c r="G10" s="3">
        <v>0</v>
      </c>
      <c r="H10" s="3">
        <v>2.4889954000000001E-5</v>
      </c>
      <c r="I10" s="3">
        <v>1.1505414999999999E-5</v>
      </c>
      <c r="J10" s="3">
        <v>-6.4645257000000005E-5</v>
      </c>
      <c r="L10" s="3">
        <f t="shared" si="0"/>
        <v>0.15729868463265961</v>
      </c>
      <c r="M10" s="3"/>
      <c r="N10" s="2">
        <f>IF('Modell einstellen'!$B$1="Voll",H10/0.35,H10/0.35*2)</f>
        <v>1.4222830857142858E-4</v>
      </c>
      <c r="O10" s="2">
        <f>IF('Modell einstellen'!$B$1="Voll",J10/0.35,J10/0.35*2)</f>
        <v>-3.6940146857142862E-4</v>
      </c>
      <c r="P10" s="3">
        <f t="shared" si="1"/>
        <v>0.38502366848042691</v>
      </c>
    </row>
    <row r="11" spans="1:16" x14ac:dyDescent="0.25">
      <c r="A11" s="3">
        <v>9.9999999999999995E-8</v>
      </c>
      <c r="B11" s="3">
        <v>4.5000000000000003E-5</v>
      </c>
      <c r="C11" s="3">
        <v>1.282E-4</v>
      </c>
      <c r="D11" s="3">
        <v>-3.1149999999999998E-4</v>
      </c>
      <c r="E11" s="3">
        <v>0</v>
      </c>
      <c r="F11" s="3">
        <v>0</v>
      </c>
      <c r="G11" s="3">
        <v>0</v>
      </c>
      <c r="H11" s="3">
        <v>2.5812558999999999E-5</v>
      </c>
      <c r="I11" s="3">
        <v>1.1744579E-5</v>
      </c>
      <c r="J11" s="3">
        <v>-6.6123516999999998E-5</v>
      </c>
      <c r="L11" s="3">
        <f t="shared" si="0"/>
        <v>0.14446227929373998</v>
      </c>
      <c r="M11" s="3"/>
      <c r="N11" s="2">
        <f>IF('Modell einstellen'!$B$1="Voll",H11/0.35,H11/0.35*2)</f>
        <v>1.4750033714285715E-4</v>
      </c>
      <c r="O11" s="2">
        <f>IF('Modell einstellen'!$B$1="Voll",J11/0.35,J11/0.35*2)</f>
        <v>-3.778486685714286E-4</v>
      </c>
      <c r="P11" s="3">
        <f t="shared" si="1"/>
        <v>0.39036881537925455</v>
      </c>
    </row>
    <row r="12" spans="1:16" x14ac:dyDescent="0.25">
      <c r="A12" s="3">
        <v>9.9999999999999995E-7</v>
      </c>
      <c r="B12" s="3">
        <v>4.0930000000000003E-5</v>
      </c>
      <c r="C12" s="3">
        <v>1.317E-4</v>
      </c>
      <c r="D12" s="3">
        <v>-3.123E-4</v>
      </c>
      <c r="E12" s="3">
        <v>0</v>
      </c>
      <c r="F12" s="3">
        <v>0</v>
      </c>
      <c r="G12" s="3">
        <v>0</v>
      </c>
      <c r="H12" s="3">
        <v>2.6788614000000001E-5</v>
      </c>
      <c r="I12" s="3">
        <v>1.2037723E-5</v>
      </c>
      <c r="J12" s="3">
        <v>-6.7755722000000006E-5</v>
      </c>
      <c r="L12" s="3">
        <f t="shared" si="0"/>
        <v>0.13105987832212618</v>
      </c>
      <c r="M12" s="3"/>
      <c r="N12" s="2">
        <f>IF('Modell einstellen'!$B$1="Voll",H12/0.35,H12/0.35*2)</f>
        <v>1.5307779428571429E-4</v>
      </c>
      <c r="O12" s="2">
        <f>IF('Modell einstellen'!$B$1="Voll",J12/0.35,J12/0.35*2)</f>
        <v>-3.8717555428571435E-4</v>
      </c>
      <c r="P12" s="3">
        <f t="shared" si="1"/>
        <v>0.39537050464903906</v>
      </c>
    </row>
    <row r="13" spans="1:16" x14ac:dyDescent="0.25">
      <c r="A13" s="3">
        <v>1.0000000000000001E-5</v>
      </c>
      <c r="B13" s="3">
        <v>3.523E-5</v>
      </c>
      <c r="C13" s="3">
        <v>1.351E-4</v>
      </c>
      <c r="D13" s="3">
        <v>-3.1159999999999998E-4</v>
      </c>
      <c r="E13" s="3">
        <v>0</v>
      </c>
      <c r="F13" s="3">
        <v>0</v>
      </c>
      <c r="G13" s="3">
        <v>0</v>
      </c>
      <c r="H13" s="3">
        <v>2.7971635000000001E-5</v>
      </c>
      <c r="I13" s="3">
        <v>1.234827E-5</v>
      </c>
      <c r="J13" s="3">
        <v>-6.9645441999999997E-5</v>
      </c>
      <c r="L13" s="3">
        <f t="shared" si="0"/>
        <v>0.11306161745827985</v>
      </c>
      <c r="M13" s="3"/>
      <c r="N13" s="2">
        <f>IF('Modell einstellen'!$B$1="Voll",H13/0.35,H13/0.35*2)</f>
        <v>1.598379142857143E-4</v>
      </c>
      <c r="O13" s="2">
        <f>IF('Modell einstellen'!$B$1="Voll",J13/0.35,J13/0.35*2)</f>
        <v>-3.9797395428571429E-4</v>
      </c>
      <c r="P13" s="3">
        <f t="shared" si="1"/>
        <v>0.40162908291974087</v>
      </c>
    </row>
    <row r="14" spans="1:16" x14ac:dyDescent="0.25">
      <c r="A14" s="3">
        <v>1E-4</v>
      </c>
      <c r="B14" s="3">
        <v>2.709E-5</v>
      </c>
      <c r="C14" s="3">
        <v>1.393E-4</v>
      </c>
      <c r="D14" s="3">
        <v>-3.0969999999999999E-4</v>
      </c>
      <c r="E14" s="3">
        <v>0</v>
      </c>
      <c r="F14" s="3">
        <v>0</v>
      </c>
      <c r="G14" s="3">
        <v>0</v>
      </c>
      <c r="H14" s="3">
        <v>2.9516060000000001E-5</v>
      </c>
      <c r="I14" s="3">
        <v>1.2728556E-5</v>
      </c>
      <c r="J14" s="3">
        <v>-7.2055614999999996E-5</v>
      </c>
      <c r="L14" s="3">
        <f t="shared" si="0"/>
        <v>8.7471746851792057E-2</v>
      </c>
      <c r="M14" s="3"/>
      <c r="N14" s="2">
        <f>IF('Modell einstellen'!$B$1="Voll",H14/0.35,H14/0.35*2)</f>
        <v>1.6866320000000001E-4</v>
      </c>
      <c r="O14" s="2">
        <f>IF('Modell einstellen'!$B$1="Voll",J14/0.35,J14/0.35*2)</f>
        <v>-4.1174637142857144E-4</v>
      </c>
      <c r="P14" s="3">
        <f t="shared" si="1"/>
        <v>0.40962886792375586</v>
      </c>
    </row>
    <row r="15" spans="1:16" x14ac:dyDescent="0.25">
      <c r="A15" s="3">
        <v>1E-3</v>
      </c>
      <c r="B15" s="3">
        <v>1.6670000000000001E-5</v>
      </c>
      <c r="C15" s="3">
        <v>1.438E-4</v>
      </c>
      <c r="D15" s="3">
        <v>-3.0590000000000001E-4</v>
      </c>
      <c r="E15" s="3">
        <v>0</v>
      </c>
      <c r="F15" s="3">
        <v>0</v>
      </c>
      <c r="G15" s="3">
        <v>0</v>
      </c>
      <c r="H15" s="3">
        <v>3.1306505000000003E-5</v>
      </c>
      <c r="I15" s="3">
        <v>1.3136494000000001E-5</v>
      </c>
      <c r="J15" s="3">
        <v>-7.4774592000000005E-5</v>
      </c>
      <c r="L15" s="3">
        <f t="shared" si="0"/>
        <v>5.4494932984635508E-2</v>
      </c>
      <c r="M15" s="3"/>
      <c r="N15" s="2">
        <f>IF('Modell einstellen'!$B$1="Voll",H15/0.35,H15/0.35*2)</f>
        <v>1.7889431428571431E-4</v>
      </c>
      <c r="O15" s="2">
        <f>IF('Modell einstellen'!$B$1="Voll",J15/0.35,J15/0.35*2)</f>
        <v>-4.2728338285714294E-4</v>
      </c>
      <c r="P15" s="3">
        <f t="shared" si="1"/>
        <v>0.41867837941529656</v>
      </c>
    </row>
    <row r="16" spans="1:16" x14ac:dyDescent="0.25">
      <c r="A16" s="3">
        <v>0.01</v>
      </c>
      <c r="B16" s="3">
        <v>5.8139999999999997E-6</v>
      </c>
      <c r="C16" s="3">
        <v>1.4779999999999999E-4</v>
      </c>
      <c r="D16" s="3">
        <v>-3.009E-4</v>
      </c>
      <c r="E16" s="3">
        <v>0</v>
      </c>
      <c r="F16" s="3">
        <v>0</v>
      </c>
      <c r="G16" s="3">
        <v>0</v>
      </c>
      <c r="H16" s="3">
        <v>3.3012536000000001E-5</v>
      </c>
      <c r="I16" s="3">
        <v>1.3494560999999999E-5</v>
      </c>
      <c r="J16" s="3">
        <v>-7.7295376999999996E-5</v>
      </c>
      <c r="L16" s="3">
        <f t="shared" si="0"/>
        <v>1.9322033898305085E-2</v>
      </c>
      <c r="M16" s="3"/>
      <c r="N16" s="2">
        <f>IF('Modell einstellen'!$B$1="Voll",H16/0.35,H16/0.35*2)</f>
        <v>1.8864306285714289E-4</v>
      </c>
      <c r="O16" s="2">
        <f>IF('Modell einstellen'!$B$1="Voll",J16/0.35,J16/0.35*2)</f>
        <v>-4.4168786857142855E-4</v>
      </c>
      <c r="P16" s="3">
        <f t="shared" si="1"/>
        <v>0.42709586628964896</v>
      </c>
    </row>
    <row r="17" spans="1:16" x14ac:dyDescent="0.25">
      <c r="A17" s="3">
        <v>0.1</v>
      </c>
      <c r="B17" s="3">
        <v>-5.4219999999999999E-6</v>
      </c>
      <c r="C17" s="3">
        <v>1.5139999999999999E-4</v>
      </c>
      <c r="D17" s="3">
        <v>-2.9500000000000001E-4</v>
      </c>
      <c r="E17" s="3">
        <v>0</v>
      </c>
      <c r="F17" s="3">
        <v>0</v>
      </c>
      <c r="G17" s="3">
        <v>0</v>
      </c>
      <c r="H17" s="3">
        <v>3.4669246999999999E-5</v>
      </c>
      <c r="I17" s="3">
        <v>1.3818923E-5</v>
      </c>
      <c r="J17" s="3">
        <v>-7.9690122000000005E-5</v>
      </c>
      <c r="L17" s="3">
        <f t="shared" si="0"/>
        <v>-1.8379661016949152E-2</v>
      </c>
      <c r="M17" s="3"/>
      <c r="N17" s="2">
        <f>IF('Modell einstellen'!$B$1="Voll",H17/0.35,H17/0.35*2)</f>
        <v>1.9810998285714286E-4</v>
      </c>
      <c r="O17" s="2">
        <f>IF('Modell einstellen'!$B$1="Voll",J17/0.35,J17/0.35*2)</f>
        <v>-4.5537212571428577E-4</v>
      </c>
      <c r="P17" s="3">
        <f t="shared" si="1"/>
        <v>0.43505074568715052</v>
      </c>
    </row>
    <row r="18" spans="1:16" x14ac:dyDescent="0.25">
      <c r="A18" s="3">
        <v>1</v>
      </c>
      <c r="B18" s="3">
        <v>-1.853E-5</v>
      </c>
      <c r="C18" s="3">
        <v>1.551E-4</v>
      </c>
      <c r="D18" s="3">
        <v>-2.8729999999999999E-4</v>
      </c>
      <c r="E18" s="3">
        <v>0</v>
      </c>
      <c r="F18" s="3">
        <v>0</v>
      </c>
      <c r="G18" s="3">
        <v>0</v>
      </c>
      <c r="H18" s="3">
        <v>3.6491062999999999E-5</v>
      </c>
      <c r="I18" s="3">
        <v>1.4150159E-5</v>
      </c>
      <c r="J18" s="3">
        <v>-8.2265480000000006E-5</v>
      </c>
      <c r="L18" s="3">
        <f t="shared" si="0"/>
        <v>-6.4497041420118348E-2</v>
      </c>
      <c r="M18" s="3"/>
      <c r="N18" s="2">
        <f>IF('Modell einstellen'!$B$1="Voll",H18/0.35,H18/0.35*2)</f>
        <v>2.0852036000000001E-4</v>
      </c>
      <c r="O18" s="2">
        <f>IF('Modell einstellen'!$B$1="Voll",J18/0.35,J18/0.35*2)</f>
        <v>-4.7008845714285722E-4</v>
      </c>
      <c r="P18" s="3">
        <f t="shared" si="1"/>
        <v>0.4435768562950097</v>
      </c>
    </row>
    <row r="19" spans="1:16" x14ac:dyDescent="0.25">
      <c r="A19" s="3">
        <v>10</v>
      </c>
      <c r="B19" s="3">
        <v>-3.3890000000000002E-5</v>
      </c>
      <c r="C19" s="3">
        <v>1.5890000000000001E-4</v>
      </c>
      <c r="D19" s="3">
        <v>-2.7750000000000002E-4</v>
      </c>
      <c r="E19" s="3">
        <v>0</v>
      </c>
      <c r="F19" s="3">
        <v>0</v>
      </c>
      <c r="G19" s="3">
        <v>0</v>
      </c>
      <c r="H19" s="3">
        <v>3.8528295000000001E-5</v>
      </c>
      <c r="I19" s="3">
        <v>1.4497084999999999E-5</v>
      </c>
      <c r="J19" s="3">
        <v>-8.5089511000000003E-5</v>
      </c>
      <c r="L19" s="3">
        <f t="shared" si="0"/>
        <v>-0.12212612612612612</v>
      </c>
      <c r="M19" s="3"/>
      <c r="N19" s="2">
        <f>IF('Modell einstellen'!$B$1="Voll",H19/0.35,H19/0.35*2)</f>
        <v>2.2016168571428575E-4</v>
      </c>
      <c r="O19" s="2">
        <f>IF('Modell einstellen'!$B$1="Voll",J19/0.35,J19/0.35*2)</f>
        <v>-4.8622577714285719E-4</v>
      </c>
      <c r="P19" s="3">
        <f t="shared" si="1"/>
        <v>0.45279723137673222</v>
      </c>
    </row>
    <row r="20" spans="1:16" x14ac:dyDescent="0.25">
      <c r="A20" s="3">
        <v>100</v>
      </c>
      <c r="B20" s="3">
        <v>-5.045E-5</v>
      </c>
      <c r="C20" s="3">
        <v>1.6310000000000001E-4</v>
      </c>
      <c r="D20" s="3">
        <v>-2.6679999999999998E-4</v>
      </c>
      <c r="E20" s="3">
        <v>0</v>
      </c>
      <c r="F20" s="3">
        <v>0</v>
      </c>
      <c r="G20" s="3">
        <v>0</v>
      </c>
      <c r="H20" s="3">
        <v>4.0795951E-5</v>
      </c>
      <c r="I20" s="3">
        <v>1.4900319000000001E-5</v>
      </c>
      <c r="J20" s="3">
        <v>-8.8245809999999995E-5</v>
      </c>
      <c r="L20" s="3">
        <f t="shared" si="0"/>
        <v>-0.18909295352323841</v>
      </c>
      <c r="M20" s="3"/>
      <c r="N20" s="2">
        <f>IF('Modell einstellen'!$B$1="Voll",H20/0.35,H20/0.35*2)</f>
        <v>2.3311972000000003E-4</v>
      </c>
      <c r="O20" s="2">
        <f>IF('Modell einstellen'!$B$1="Voll",J20/0.35,J20/0.35*2)</f>
        <v>-5.042617714285714E-4</v>
      </c>
      <c r="P20" s="3">
        <f t="shared" si="1"/>
        <v>0.46229901453678091</v>
      </c>
    </row>
    <row r="21" spans="1:16" x14ac:dyDescent="0.25">
      <c r="A21" s="3">
        <v>1000</v>
      </c>
      <c r="B21" s="3">
        <v>-6.1270000000000001E-5</v>
      </c>
      <c r="C21" s="3">
        <v>1.7110000000000001E-4</v>
      </c>
      <c r="D21" s="3">
        <v>-2.6479999999999999E-4</v>
      </c>
      <c r="E21" s="3">
        <v>0</v>
      </c>
      <c r="F21" s="3">
        <v>0</v>
      </c>
      <c r="G21" s="3">
        <v>0</v>
      </c>
      <c r="H21" s="3">
        <v>4.4067976E-5</v>
      </c>
      <c r="I21" s="3">
        <v>1.5898326000000001E-5</v>
      </c>
      <c r="J21" s="3">
        <v>-9.3513925000000001E-5</v>
      </c>
      <c r="L21" s="3">
        <f t="shared" si="0"/>
        <v>-0.23138217522658611</v>
      </c>
      <c r="M21" s="3"/>
      <c r="N21" s="2">
        <f>IF('Modell einstellen'!$B$1="Voll",H21/0.35,H21/0.35*2)</f>
        <v>2.5181700571428575E-4</v>
      </c>
      <c r="O21" s="2">
        <f>IF('Modell einstellen'!$B$1="Voll",J21/0.35,J21/0.35*2)</f>
        <v>-5.3436528571428575E-4</v>
      </c>
      <c r="P21" s="3">
        <f t="shared" si="1"/>
        <v>0.47124506858203208</v>
      </c>
    </row>
    <row r="22" spans="1:16" x14ac:dyDescent="0.25">
      <c r="A22" s="3">
        <v>10000</v>
      </c>
      <c r="B22" s="3">
        <v>-2.9269999999999999E-5</v>
      </c>
      <c r="C22" s="3">
        <v>1.94E-4</v>
      </c>
      <c r="D22" s="3">
        <v>-3.1540000000000002E-4</v>
      </c>
      <c r="E22" s="3">
        <v>0</v>
      </c>
      <c r="F22" s="3">
        <v>0</v>
      </c>
      <c r="G22" s="3">
        <v>0</v>
      </c>
      <c r="H22" s="3">
        <v>5.0792236999999999E-5</v>
      </c>
      <c r="I22" s="3">
        <v>1.9647924000000001E-5</v>
      </c>
      <c r="J22" s="3">
        <v>-1.0733526000000001E-4</v>
      </c>
      <c r="L22" s="3">
        <f t="shared" si="0"/>
        <v>-9.2802790107799613E-2</v>
      </c>
      <c r="M22" s="3"/>
      <c r="N22" s="2">
        <f>IF('Modell einstellen'!$B$1="Voll",H22/0.35,H22/0.35*2)</f>
        <v>2.9024135428571432E-4</v>
      </c>
      <c r="O22" s="2">
        <f>IF('Modell einstellen'!$B$1="Voll",J22/0.35,J22/0.35*2)</f>
        <v>-6.1334434285714289E-4</v>
      </c>
      <c r="P22" s="3">
        <f t="shared" si="1"/>
        <v>0.47321110509258563</v>
      </c>
    </row>
    <row r="23" spans="1:16" x14ac:dyDescent="0.25">
      <c r="A23" s="3">
        <v>100000</v>
      </c>
      <c r="B23" s="3">
        <v>6.7910000000000005E-5</v>
      </c>
      <c r="C23" s="3">
        <v>2.396E-4</v>
      </c>
      <c r="D23" s="3">
        <v>-4.4729999999999998E-4</v>
      </c>
      <c r="E23" s="3">
        <v>0</v>
      </c>
      <c r="F23" s="3">
        <v>0</v>
      </c>
      <c r="G23" s="3">
        <v>0</v>
      </c>
      <c r="H23" s="3">
        <v>6.1986800000000001E-5</v>
      </c>
      <c r="I23" s="3">
        <v>2.7697891999999999E-5</v>
      </c>
      <c r="J23" s="3">
        <v>-1.3366389999999999E-4</v>
      </c>
      <c r="L23" s="3">
        <f t="shared" si="0"/>
        <v>0.15182204337133917</v>
      </c>
      <c r="M23" s="3"/>
      <c r="N23" s="2">
        <f>IF('Modell einstellen'!$B$1="Voll",H23/0.35,H23/0.35*2)</f>
        <v>3.5421028571428577E-4</v>
      </c>
      <c r="O23" s="2">
        <f>IF('Modell einstellen'!$B$1="Voll",J23/0.35,J23/0.35*2)</f>
        <v>-7.6379371428571426E-4</v>
      </c>
      <c r="P23" s="3">
        <f t="shared" si="1"/>
        <v>0.46375124472651186</v>
      </c>
    </row>
    <row r="24" spans="1:16" x14ac:dyDescent="0.25">
      <c r="A24" s="3">
        <v>1000000</v>
      </c>
      <c r="B24" s="3">
        <v>1.9259999999999999E-4</v>
      </c>
      <c r="C24" s="3">
        <v>3.0449999999999997E-4</v>
      </c>
      <c r="D24" s="3">
        <v>-6.2480000000000001E-4</v>
      </c>
      <c r="E24" s="3">
        <v>0</v>
      </c>
      <c r="F24" s="3">
        <v>0</v>
      </c>
      <c r="G24" s="3">
        <v>0</v>
      </c>
      <c r="H24" s="3">
        <v>7.6467685999999995E-5</v>
      </c>
      <c r="I24" s="3">
        <v>3.8882913000000002E-5</v>
      </c>
      <c r="J24" s="3">
        <v>-1.6932448E-4</v>
      </c>
      <c r="L24" s="3">
        <f t="shared" si="0"/>
        <v>0.30825864276568499</v>
      </c>
      <c r="M24" s="3"/>
      <c r="N24" s="2">
        <f>IF('Modell einstellen'!$B$1="Voll",H24/0.35,H24/0.35*2)</f>
        <v>4.3695820571428571E-4</v>
      </c>
      <c r="O24" s="2">
        <f>IF('Modell einstellen'!$B$1="Voll",J24/0.35,J24/0.35*2)</f>
        <v>-9.6756845714285724E-4</v>
      </c>
      <c r="P24" s="3">
        <f t="shared" si="1"/>
        <v>0.45160443427908353</v>
      </c>
    </row>
    <row r="25" spans="1:16" x14ac:dyDescent="0.25">
      <c r="A25" s="3">
        <v>10000000</v>
      </c>
      <c r="B25" s="3">
        <v>3.1520000000000002E-4</v>
      </c>
      <c r="C25" s="3">
        <v>3.8759999999999999E-4</v>
      </c>
      <c r="D25" s="3">
        <v>-8.206E-4</v>
      </c>
      <c r="E25" s="3">
        <v>0</v>
      </c>
      <c r="F25" s="3">
        <v>0</v>
      </c>
      <c r="G25" s="3">
        <v>0</v>
      </c>
      <c r="H25" s="3">
        <v>9.4162888999999996E-5</v>
      </c>
      <c r="I25" s="3">
        <v>5.2719646000000002E-5</v>
      </c>
      <c r="J25" s="3">
        <v>-2.1347375000000001E-4</v>
      </c>
      <c r="L25" s="3">
        <f t="shared" si="0"/>
        <v>0.38410918839873265</v>
      </c>
      <c r="M25" s="3"/>
      <c r="N25" s="2">
        <f>IF('Modell einstellen'!$B$1="Voll",H25/0.35,H25/0.35*2)</f>
        <v>5.3807365142857148E-4</v>
      </c>
      <c r="O25" s="2">
        <f>IF('Modell einstellen'!$B$1="Voll",J25/0.35,J25/0.35*2)</f>
        <v>-1.2198500000000002E-3</v>
      </c>
      <c r="P25" s="3">
        <f t="shared" si="1"/>
        <v>0.44109820996726762</v>
      </c>
    </row>
    <row r="26" spans="1:16" x14ac:dyDescent="0.25">
      <c r="A26" s="3">
        <v>100000000</v>
      </c>
      <c r="B26" s="3">
        <v>4.2860000000000001E-4</v>
      </c>
      <c r="C26" s="3">
        <v>5.0029999999999996E-4</v>
      </c>
      <c r="D26" s="3">
        <v>-1.039E-3</v>
      </c>
      <c r="E26" s="3">
        <v>0</v>
      </c>
      <c r="F26" s="3">
        <v>0</v>
      </c>
      <c r="G26" s="3">
        <v>0</v>
      </c>
      <c r="H26" s="3">
        <v>1.1790231000000001E-4</v>
      </c>
      <c r="I26" s="3">
        <v>7.1394641999999997E-5</v>
      </c>
      <c r="J26" s="3">
        <v>-2.7319558000000002E-4</v>
      </c>
      <c r="L26" s="3">
        <f t="shared" si="0"/>
        <v>0.41251203079884508</v>
      </c>
      <c r="M26" s="3"/>
      <c r="N26" s="2">
        <f>IF('Modell einstellen'!$B$1="Voll",H26/0.35,H26/0.35*2)</f>
        <v>6.7372748571428579E-4</v>
      </c>
      <c r="O26" s="2">
        <f>IF('Modell einstellen'!$B$1="Voll",J26/0.35,J26/0.35*2)</f>
        <v>-1.5611176000000001E-3</v>
      </c>
      <c r="P26" s="3">
        <f t="shared" si="1"/>
        <v>0.43156741408481064</v>
      </c>
    </row>
    <row r="27" spans="1:16" x14ac:dyDescent="0.25">
      <c r="A27" s="3">
        <v>1000000000</v>
      </c>
      <c r="B27" s="3">
        <v>5.3399999999999997E-4</v>
      </c>
      <c r="C27" s="3">
        <v>6.7100000000000005E-4</v>
      </c>
      <c r="D27" s="3">
        <v>-1.3090000000000001E-3</v>
      </c>
      <c r="E27" s="3">
        <v>0</v>
      </c>
      <c r="F27" s="3">
        <v>0</v>
      </c>
      <c r="G27" s="3">
        <v>0</v>
      </c>
      <c r="H27" s="3">
        <v>1.5411006999999999E-4</v>
      </c>
      <c r="I27" s="3">
        <v>1.0030216E-4</v>
      </c>
      <c r="J27" s="3">
        <v>-3.6529046E-4</v>
      </c>
      <c r="L27" s="3">
        <f t="shared" si="0"/>
        <v>0.40794499618029023</v>
      </c>
      <c r="M27" s="3"/>
      <c r="N27" s="2">
        <f>IF('Modell einstellen'!$B$1="Voll",H27/0.35,H27/0.35*2)</f>
        <v>8.8062897142857143E-4</v>
      </c>
      <c r="O27" s="2">
        <f>IF('Modell einstellen'!$B$1="Voll",J27/0.35,J27/0.35*2)</f>
        <v>-2.0873740571428572E-3</v>
      </c>
      <c r="P27" s="3">
        <f t="shared" si="1"/>
        <v>0.42188364295087255</v>
      </c>
    </row>
    <row r="28" spans="1:16" x14ac:dyDescent="0.25">
      <c r="A28" s="3">
        <v>10000000000</v>
      </c>
      <c r="B28" s="3">
        <v>6.4249999999999995E-4</v>
      </c>
      <c r="C28" s="3">
        <v>9.5169999999999999E-4</v>
      </c>
      <c r="D28" s="3">
        <v>-1.691E-3</v>
      </c>
      <c r="E28" s="3">
        <v>0</v>
      </c>
      <c r="F28" s="3">
        <v>0</v>
      </c>
      <c r="G28" s="3">
        <v>0</v>
      </c>
      <c r="H28" s="3">
        <v>2.130686E-4</v>
      </c>
      <c r="I28" s="3">
        <v>1.4874771999999999E-4</v>
      </c>
      <c r="J28" s="3">
        <v>-5.1786422999999999E-4</v>
      </c>
      <c r="L28" s="3">
        <f t="shared" si="0"/>
        <v>0.37995269071555288</v>
      </c>
      <c r="M28" s="3"/>
      <c r="N28" s="2">
        <f>IF('Modell einstellen'!$B$1="Voll",H28/0.35,H28/0.35*2)</f>
        <v>1.2175348571428573E-3</v>
      </c>
      <c r="O28" s="2">
        <f>IF('Modell einstellen'!$B$1="Voll",J28/0.35,J28/0.35*2)</f>
        <v>-2.9592241714285717E-3</v>
      </c>
      <c r="P28" s="3">
        <f t="shared" si="1"/>
        <v>0.41143718306244093</v>
      </c>
    </row>
    <row r="29" spans="1:16" x14ac:dyDescent="0.25">
      <c r="A29" s="3">
        <v>100000000000</v>
      </c>
      <c r="B29" s="3">
        <v>7.7059999999999997E-4</v>
      </c>
      <c r="C29" s="3">
        <v>1.359E-3</v>
      </c>
      <c r="D29" s="3">
        <v>-2.2200000000000002E-3</v>
      </c>
      <c r="E29" s="3">
        <v>0</v>
      </c>
      <c r="F29" s="3">
        <v>0</v>
      </c>
      <c r="G29" s="3">
        <v>0</v>
      </c>
      <c r="H29" s="3">
        <v>2.9890264000000002E-4</v>
      </c>
      <c r="I29" s="3">
        <v>2.2082648000000001E-4</v>
      </c>
      <c r="J29" s="3">
        <v>-7.4261111999999996E-4</v>
      </c>
      <c r="L29" s="3">
        <f t="shared" si="0"/>
        <v>0.34711711711711707</v>
      </c>
      <c r="M29" s="3"/>
      <c r="N29" s="2">
        <f>IF('Modell einstellen'!$B$1="Voll",H29/0.35,H29/0.35*2)</f>
        <v>1.7080150857142859E-3</v>
      </c>
      <c r="O29" s="2">
        <f>IF('Modell einstellen'!$B$1="Voll",J29/0.35,J29/0.35*2)</f>
        <v>-4.2434921142857143E-3</v>
      </c>
      <c r="P29" s="3">
        <f t="shared" si="1"/>
        <v>0.40250224101141935</v>
      </c>
    </row>
    <row r="30" spans="1:16" x14ac:dyDescent="0.25">
      <c r="A30" s="3">
        <v>1000000000000</v>
      </c>
      <c r="B30" s="3">
        <v>9.4410000000000002E-4</v>
      </c>
      <c r="C30" s="3">
        <v>1.872E-3</v>
      </c>
      <c r="D30" s="3">
        <v>-2.9009999999999999E-3</v>
      </c>
      <c r="E30" s="3">
        <v>0</v>
      </c>
      <c r="F30" s="3">
        <v>0</v>
      </c>
      <c r="G30" s="3">
        <v>0</v>
      </c>
      <c r="H30" s="3">
        <v>4.0690438999999999E-4</v>
      </c>
      <c r="I30" s="3">
        <v>3.1346389000000001E-4</v>
      </c>
      <c r="J30" s="3">
        <v>-1.0284967999999999E-3</v>
      </c>
      <c r="L30" s="3">
        <f t="shared" si="0"/>
        <v>0.32543950361944157</v>
      </c>
      <c r="M30" s="3"/>
      <c r="N30" s="2">
        <f>IF('Modell einstellen'!$B$1="Voll",H30/0.35,H30/0.35*2)</f>
        <v>2.325167942857143E-3</v>
      </c>
      <c r="O30" s="2">
        <f>IF('Modell einstellen'!$B$1="Voll",J30/0.35,J30/0.35*2)</f>
        <v>-5.8771245714285712E-3</v>
      </c>
      <c r="P30" s="3">
        <f t="shared" si="1"/>
        <v>0.39563019544640299</v>
      </c>
    </row>
    <row r="31" spans="1:16" x14ac:dyDescent="0.25">
      <c r="A31" s="3">
        <v>10000000000000</v>
      </c>
      <c r="B31" s="3">
        <v>1.1490000000000001E-3</v>
      </c>
      <c r="C31" s="3">
        <v>2.3210000000000001E-3</v>
      </c>
      <c r="D31" s="3">
        <v>-3.5509999999999999E-3</v>
      </c>
      <c r="E31" s="3">
        <v>0</v>
      </c>
      <c r="F31" s="3">
        <v>0</v>
      </c>
      <c r="G31" s="3">
        <v>0</v>
      </c>
      <c r="H31" s="3">
        <v>4.9681034000000003E-4</v>
      </c>
      <c r="I31" s="3">
        <v>3.9408348000000002E-4</v>
      </c>
      <c r="J31" s="3">
        <v>-1.2726364000000001E-3</v>
      </c>
      <c r="L31" s="3">
        <f t="shared" si="0"/>
        <v>0.3235708251196846</v>
      </c>
      <c r="M31" s="3"/>
      <c r="N31" s="2">
        <f>IF('Modell einstellen'!$B$1="Voll",H31/0.35,H31/0.35*2)</f>
        <v>2.8389162285714291E-3</v>
      </c>
      <c r="O31" s="2">
        <f>IF('Modell einstellen'!$B$1="Voll",J31/0.35,J31/0.35*2)</f>
        <v>-7.2722080000000014E-3</v>
      </c>
      <c r="P31" s="3">
        <f t="shared" si="1"/>
        <v>0.39037885447878123</v>
      </c>
    </row>
    <row r="32" spans="1:16" x14ac:dyDescent="0.25">
      <c r="A32" s="3">
        <v>100000000000000</v>
      </c>
      <c r="B32" s="3">
        <v>1.341E-3</v>
      </c>
      <c r="C32" s="3">
        <v>2.666E-3</v>
      </c>
      <c r="D32" s="3">
        <v>-4.0850000000000001E-3</v>
      </c>
      <c r="E32" s="3">
        <v>0</v>
      </c>
      <c r="F32" s="3">
        <v>0</v>
      </c>
      <c r="G32" s="3">
        <v>0</v>
      </c>
      <c r="H32" s="3">
        <v>5.6264689999999996E-4</v>
      </c>
      <c r="I32" s="3">
        <v>4.5511348000000002E-4</v>
      </c>
      <c r="J32" s="3">
        <v>-1.4548979E-3</v>
      </c>
      <c r="L32" s="3">
        <f t="shared" si="0"/>
        <v>0.3282741738066095</v>
      </c>
      <c r="M32" s="3"/>
      <c r="N32" s="2">
        <f>IF('Modell einstellen'!$B$1="Voll",H32/0.35,H32/0.35*2)</f>
        <v>3.2151251428571429E-3</v>
      </c>
      <c r="O32" s="2">
        <f>IF('Modell einstellen'!$B$1="Voll",J32/0.35,J32/0.35*2)</f>
        <v>-8.3137022857142865E-3</v>
      </c>
      <c r="P32" s="3">
        <f t="shared" si="1"/>
        <v>0.38672603761404833</v>
      </c>
    </row>
    <row r="33" spans="1:16" x14ac:dyDescent="0.25">
      <c r="A33" s="3">
        <v>1000000000000000</v>
      </c>
      <c r="B33" s="3">
        <v>1.4859999999999999E-3</v>
      </c>
      <c r="C33" s="3">
        <v>2.882E-3</v>
      </c>
      <c r="D33" s="3">
        <v>-4.4450000000000002E-3</v>
      </c>
      <c r="E33" s="3">
        <v>0</v>
      </c>
      <c r="F33" s="3">
        <v>0</v>
      </c>
      <c r="G33" s="3">
        <v>0</v>
      </c>
      <c r="H33" s="3">
        <v>6.0091563999999998E-4</v>
      </c>
      <c r="I33" s="3">
        <v>4.9229883999999996E-4</v>
      </c>
      <c r="J33" s="3">
        <v>-1.5639718E-3</v>
      </c>
      <c r="L33" s="3">
        <f t="shared" si="0"/>
        <v>0.33430821147356576</v>
      </c>
      <c r="M33" s="3"/>
      <c r="N33" s="2">
        <f>IF('Modell einstellen'!$B$1="Voll",H33/0.35,H33/0.35*2)</f>
        <v>3.4338036571428571E-3</v>
      </c>
      <c r="O33" s="2">
        <f>IF('Modell einstellen'!$B$1="Voll",J33/0.35,J33/0.35*2)</f>
        <v>-8.936981714285714E-3</v>
      </c>
      <c r="P33" s="3">
        <f t="shared" si="1"/>
        <v>0.38422408895096449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6.3059999999999996E-5</v>
      </c>
      <c r="C3" s="3">
        <v>1.13E-4</v>
      </c>
      <c r="D3" s="3">
        <v>-3.0600000000000001E-4</v>
      </c>
      <c r="E3" s="3">
        <v>0</v>
      </c>
      <c r="F3" s="3">
        <v>0</v>
      </c>
      <c r="G3" s="3">
        <v>0</v>
      </c>
      <c r="H3" s="3">
        <v>2.1144722000000001E-5</v>
      </c>
      <c r="I3" s="3">
        <v>1.0372287E-5</v>
      </c>
      <c r="J3" s="3">
        <v>-5.8333437000000001E-5</v>
      </c>
      <c r="K3" s="3"/>
      <c r="L3" s="3">
        <f>-B3/D3</f>
        <v>0.206078431372549</v>
      </c>
      <c r="M3" s="3"/>
      <c r="N3" s="2">
        <f>IF('Modell einstellen'!$B$1="Voll",H3/0.35,H3/0.35*2)</f>
        <v>1.2082698285714287E-4</v>
      </c>
      <c r="O3" s="2">
        <f>IF('Modell einstellen'!$B$1="Voll",J3/0.35,J3/0.35*2)</f>
        <v>-3.3333392571428572E-4</v>
      </c>
      <c r="P3" s="3">
        <f>-N3/O3</f>
        <v>0.36248030439214479</v>
      </c>
      <c r="Q3" s="3"/>
      <c r="R3" s="3"/>
      <c r="S3" s="3"/>
      <c r="T3" s="3"/>
      <c r="U3" s="3"/>
    </row>
    <row r="4" spans="1:21" x14ac:dyDescent="0.25">
      <c r="A4" s="3">
        <v>1E-14</v>
      </c>
      <c r="B4" s="3">
        <v>6.1630000000000005E-5</v>
      </c>
      <c r="C4" s="3">
        <v>1.148E-4</v>
      </c>
      <c r="D4" s="3">
        <v>-3.0749999999999999E-4</v>
      </c>
      <c r="E4" s="3">
        <v>0</v>
      </c>
      <c r="F4" s="3">
        <v>0</v>
      </c>
      <c r="G4" s="3">
        <v>0</v>
      </c>
      <c r="H4" s="3">
        <v>2.1714305E-5</v>
      </c>
      <c r="I4" s="3">
        <v>1.0558233E-5</v>
      </c>
      <c r="J4" s="3">
        <v>-5.9329213000000003E-5</v>
      </c>
      <c r="K4" s="3"/>
      <c r="L4" s="3">
        <f t="shared" ref="L4:L33" si="0">-B4/D4</f>
        <v>0.2004227642276423</v>
      </c>
      <c r="M4" s="3"/>
      <c r="N4" s="2">
        <f>IF('Modell einstellen'!$B$1="Voll",H4/0.35,H4/0.35*2)</f>
        <v>1.2408174285714286E-4</v>
      </c>
      <c r="O4" s="2">
        <f>IF('Modell einstellen'!$B$1="Voll",J4/0.35,J4/0.35*2)</f>
        <v>-3.3902407428571435E-4</v>
      </c>
      <c r="P4" s="3">
        <f t="shared" ref="P4:P33" si="1">-N4/O4</f>
        <v>0.36599684880364075</v>
      </c>
      <c r="Q4" s="3"/>
      <c r="R4" s="3"/>
      <c r="S4" s="3"/>
      <c r="T4" s="3"/>
      <c r="U4" s="3"/>
    </row>
    <row r="5" spans="1:21" x14ac:dyDescent="0.25">
      <c r="A5" s="3">
        <v>1E-13</v>
      </c>
      <c r="B5" s="3">
        <v>6.0390000000000003E-5</v>
      </c>
      <c r="C5" s="3">
        <v>1.166E-4</v>
      </c>
      <c r="D5" s="3">
        <v>-3.0899999999999998E-4</v>
      </c>
      <c r="E5" s="3">
        <v>0</v>
      </c>
      <c r="F5" s="3">
        <v>0</v>
      </c>
      <c r="G5" s="3">
        <v>0</v>
      </c>
      <c r="H5" s="3">
        <v>2.2232509999999998E-5</v>
      </c>
      <c r="I5" s="3">
        <v>1.0728766999999999E-5</v>
      </c>
      <c r="J5" s="3">
        <v>-6.0236308E-5</v>
      </c>
      <c r="K5" s="3"/>
      <c r="L5" s="3">
        <f t="shared" si="0"/>
        <v>0.19543689320388352</v>
      </c>
      <c r="M5" s="3"/>
      <c r="N5" s="2">
        <f>IF('Modell einstellen'!$B$1="Voll",H5/0.35,H5/0.35*2)</f>
        <v>1.2704291428571428E-4</v>
      </c>
      <c r="O5" s="2">
        <f>IF('Modell einstellen'!$B$1="Voll",J5/0.35,J5/0.35*2)</f>
        <v>-3.4420747428571429E-4</v>
      </c>
      <c r="P5" s="3">
        <f t="shared" si="1"/>
        <v>0.3690881917928967</v>
      </c>
      <c r="Q5" s="3"/>
      <c r="R5" s="3"/>
      <c r="S5" s="3"/>
      <c r="T5" s="3"/>
      <c r="U5" s="3"/>
    </row>
    <row r="6" spans="1:21" x14ac:dyDescent="0.25">
      <c r="A6" s="3">
        <v>9.9999999999999998E-13</v>
      </c>
      <c r="B6" s="3">
        <v>5.8879999999999999E-5</v>
      </c>
      <c r="C6" s="3">
        <v>1.186E-4</v>
      </c>
      <c r="D6" s="3">
        <v>-3.1040000000000001E-4</v>
      </c>
      <c r="E6" s="3">
        <v>0</v>
      </c>
      <c r="F6" s="3">
        <v>0</v>
      </c>
      <c r="G6" s="3">
        <v>0</v>
      </c>
      <c r="H6" s="3">
        <v>2.2800314000000001E-5</v>
      </c>
      <c r="I6" s="3">
        <v>1.0912356E-5</v>
      </c>
      <c r="J6" s="3">
        <v>-6.1222061000000005E-5</v>
      </c>
      <c r="K6" s="3"/>
      <c r="L6" s="3">
        <f t="shared" si="0"/>
        <v>0.18969072164948453</v>
      </c>
      <c r="M6" s="3"/>
      <c r="N6" s="2">
        <f>IF('Modell einstellen'!$B$1="Voll",H6/0.35,H6/0.35*2)</f>
        <v>1.3028750857142858E-4</v>
      </c>
      <c r="O6" s="2">
        <f>IF('Modell einstellen'!$B$1="Voll",J6/0.35,J6/0.35*2)</f>
        <v>-3.4984034857142864E-4</v>
      </c>
      <c r="P6" s="3">
        <f t="shared" si="1"/>
        <v>0.37241990268834624</v>
      </c>
      <c r="Q6" s="3"/>
      <c r="R6" s="3"/>
      <c r="S6" s="3"/>
      <c r="T6" s="3"/>
      <c r="U6" s="3"/>
    </row>
    <row r="7" spans="1:21" x14ac:dyDescent="0.25">
      <c r="A7" s="3">
        <v>9.9999999999999994E-12</v>
      </c>
      <c r="B7" s="3">
        <v>5.6919999999999997E-5</v>
      </c>
      <c r="C7" s="3">
        <v>1.208E-4</v>
      </c>
      <c r="D7" s="3">
        <v>-3.1169999999999999E-4</v>
      </c>
      <c r="E7" s="3">
        <v>0</v>
      </c>
      <c r="F7" s="3">
        <v>0</v>
      </c>
      <c r="G7" s="3">
        <v>0</v>
      </c>
      <c r="H7" s="3">
        <v>2.3466014E-5</v>
      </c>
      <c r="I7" s="3">
        <v>1.1121946E-5</v>
      </c>
      <c r="J7" s="3">
        <v>-6.2364980000000002E-5</v>
      </c>
      <c r="K7" s="3"/>
      <c r="L7" s="3">
        <f t="shared" si="0"/>
        <v>0.18261148540263072</v>
      </c>
      <c r="M7" s="3"/>
      <c r="N7" s="2">
        <f>IF('Modell einstellen'!$B$1="Voll",H7/0.35,H7/0.35*2)</f>
        <v>1.3409150857142857E-4</v>
      </c>
      <c r="O7" s="2">
        <f>IF('Modell einstellen'!$B$1="Voll",J7/0.35,J7/0.35*2)</f>
        <v>-3.5637131428571434E-4</v>
      </c>
      <c r="P7" s="3">
        <f t="shared" si="1"/>
        <v>0.37626908563107048</v>
      </c>
      <c r="Q7" s="3"/>
      <c r="R7" s="3"/>
      <c r="S7" s="3"/>
      <c r="T7" s="3"/>
      <c r="U7" s="3"/>
    </row>
    <row r="8" spans="1:21" x14ac:dyDescent="0.25">
      <c r="A8" s="3">
        <v>1E-10</v>
      </c>
      <c r="B8" s="3">
        <v>5.4450000000000002E-5</v>
      </c>
      <c r="C8" s="3">
        <v>1.2329999999999999E-4</v>
      </c>
      <c r="D8" s="3">
        <v>-3.1300000000000002E-4</v>
      </c>
      <c r="E8" s="3">
        <v>0</v>
      </c>
      <c r="F8" s="3">
        <v>0</v>
      </c>
      <c r="G8" s="3">
        <v>0</v>
      </c>
      <c r="H8" s="3">
        <v>2.4222978000000002E-5</v>
      </c>
      <c r="I8" s="3">
        <v>1.1353355000000001E-5</v>
      </c>
      <c r="J8" s="3">
        <v>-6.3648451999999994E-5</v>
      </c>
      <c r="K8" s="3"/>
      <c r="L8" s="3">
        <f t="shared" si="0"/>
        <v>0.17396166134185304</v>
      </c>
      <c r="M8" s="3"/>
      <c r="N8" s="2">
        <f>IF('Modell einstellen'!$B$1="Voll",H8/0.35,H8/0.35*2)</f>
        <v>1.3841701714285715E-4</v>
      </c>
      <c r="O8" s="2">
        <f>IF('Modell einstellen'!$B$1="Voll",J8/0.35,J8/0.35*2)</f>
        <v>-3.6370544000000001E-4</v>
      </c>
      <c r="P8" s="3">
        <f t="shared" si="1"/>
        <v>0.38057450321022734</v>
      </c>
      <c r="Q8" s="3"/>
      <c r="R8" s="3"/>
      <c r="S8" s="3"/>
      <c r="T8" s="3"/>
      <c r="U8" s="3"/>
    </row>
    <row r="9" spans="1:21" x14ac:dyDescent="0.25">
      <c r="A9" s="3">
        <v>1.0000000000000001E-9</v>
      </c>
      <c r="B9" s="3">
        <v>5.1490000000000003E-5</v>
      </c>
      <c r="C9" s="3">
        <v>1.2689999999999999E-4</v>
      </c>
      <c r="D9" s="3">
        <v>-3.1500000000000001E-4</v>
      </c>
      <c r="E9" s="3">
        <v>0</v>
      </c>
      <c r="F9" s="3">
        <v>0</v>
      </c>
      <c r="G9" s="3">
        <v>0</v>
      </c>
      <c r="H9" s="3">
        <v>2.5149006999999998E-5</v>
      </c>
      <c r="I9" s="3">
        <v>1.1658258E-5</v>
      </c>
      <c r="J9" s="3">
        <v>-6.5253354999999998E-5</v>
      </c>
      <c r="K9" s="3"/>
      <c r="L9" s="3">
        <f t="shared" si="0"/>
        <v>0.16346031746031747</v>
      </c>
      <c r="M9" s="3"/>
      <c r="N9" s="2">
        <f>IF('Modell einstellen'!$B$1="Voll",H9/0.35,H9/0.35*2)</f>
        <v>1.4370861142857142E-4</v>
      </c>
      <c r="O9" s="2">
        <f>IF('Modell einstellen'!$B$1="Voll",J9/0.35,J9/0.35*2)</f>
        <v>-3.7287631428571427E-4</v>
      </c>
      <c r="P9" s="3">
        <f t="shared" si="1"/>
        <v>0.38540557799671754</v>
      </c>
      <c r="Q9" s="3"/>
      <c r="R9" s="3"/>
      <c r="S9" s="3"/>
      <c r="T9" s="3"/>
      <c r="U9" s="3"/>
    </row>
    <row r="10" spans="1:21" x14ac:dyDescent="0.25">
      <c r="A10" s="3">
        <v>1E-8</v>
      </c>
      <c r="B10" s="3">
        <v>4.7530000000000001E-5</v>
      </c>
      <c r="C10" s="3">
        <v>1.293E-4</v>
      </c>
      <c r="D10" s="3">
        <v>-3.1480000000000001E-4</v>
      </c>
      <c r="E10" s="3">
        <v>0</v>
      </c>
      <c r="F10" s="3">
        <v>0</v>
      </c>
      <c r="G10" s="3">
        <v>0</v>
      </c>
      <c r="H10" s="3">
        <v>2.606807E-5</v>
      </c>
      <c r="I10" s="3">
        <v>1.1899598E-5</v>
      </c>
      <c r="J10" s="3">
        <v>-6.6729690999999994E-5</v>
      </c>
      <c r="K10" s="3"/>
      <c r="L10" s="3">
        <f t="shared" si="0"/>
        <v>0.15098475222363406</v>
      </c>
      <c r="M10" s="3"/>
      <c r="N10" s="2">
        <f>IF('Modell einstellen'!$B$1="Voll",H10/0.35,H10/0.35*2)</f>
        <v>1.4896040000000001E-4</v>
      </c>
      <c r="O10" s="2">
        <f>IF('Modell einstellen'!$B$1="Voll",J10/0.35,J10/0.35*2)</f>
        <v>-3.8131252000000001E-4</v>
      </c>
      <c r="P10" s="3">
        <f t="shared" si="1"/>
        <v>0.39065174151638138</v>
      </c>
      <c r="Q10" s="3"/>
      <c r="R10" s="3"/>
      <c r="S10" s="3"/>
      <c r="T10" s="3"/>
      <c r="U10" s="3"/>
    </row>
    <row r="11" spans="1:21" x14ac:dyDescent="0.25">
      <c r="A11" s="3">
        <v>9.9999999999999995E-8</v>
      </c>
      <c r="B11" s="3">
        <v>4.3510000000000002E-5</v>
      </c>
      <c r="C11" s="3">
        <v>1.328E-4</v>
      </c>
      <c r="D11" s="3">
        <v>-3.1559999999999997E-4</v>
      </c>
      <c r="E11" s="3">
        <v>0</v>
      </c>
      <c r="F11" s="3">
        <v>0</v>
      </c>
      <c r="G11" s="3">
        <v>0</v>
      </c>
      <c r="H11" s="3">
        <v>2.7061317000000001E-5</v>
      </c>
      <c r="I11" s="3">
        <v>1.2199051000000001E-5</v>
      </c>
      <c r="J11" s="3">
        <v>-6.8391079999999995E-5</v>
      </c>
      <c r="K11" s="3"/>
      <c r="L11" s="3">
        <f t="shared" si="0"/>
        <v>0.13786438529784539</v>
      </c>
      <c r="M11" s="3"/>
      <c r="N11" s="2">
        <f>IF('Modell einstellen'!$B$1="Voll",H11/0.35,H11/0.35*2)</f>
        <v>1.5463609714285717E-4</v>
      </c>
      <c r="O11" s="2">
        <f>IF('Modell einstellen'!$B$1="Voll",J11/0.35,J11/0.35*2)</f>
        <v>-3.9080617142857142E-4</v>
      </c>
      <c r="P11" s="3">
        <f t="shared" si="1"/>
        <v>0.39568489048571837</v>
      </c>
      <c r="Q11" s="3"/>
      <c r="R11" s="3"/>
      <c r="S11" s="3"/>
      <c r="T11" s="3"/>
      <c r="U11" s="3"/>
    </row>
    <row r="12" spans="1:21" x14ac:dyDescent="0.25">
      <c r="A12" s="3">
        <v>9.9999999999999995E-7</v>
      </c>
      <c r="B12" s="3">
        <v>3.7719999999999998E-5</v>
      </c>
      <c r="C12" s="3">
        <v>1.3630000000000001E-4</v>
      </c>
      <c r="D12" s="3">
        <v>-3.1510000000000002E-4</v>
      </c>
      <c r="E12" s="3">
        <v>0</v>
      </c>
      <c r="F12" s="3">
        <v>0</v>
      </c>
      <c r="G12" s="3">
        <v>0</v>
      </c>
      <c r="H12" s="3">
        <v>2.8283920999999999E-5</v>
      </c>
      <c r="I12" s="3">
        <v>1.2523022E-5</v>
      </c>
      <c r="J12" s="3">
        <v>-7.0347503000000005E-5</v>
      </c>
      <c r="K12" s="3"/>
      <c r="L12" s="3">
        <f t="shared" si="0"/>
        <v>0.11970802919708028</v>
      </c>
      <c r="M12" s="3"/>
      <c r="N12" s="2">
        <f>IF('Modell einstellen'!$B$1="Voll",H12/0.35,H12/0.35*2)</f>
        <v>1.6162240571428573E-4</v>
      </c>
      <c r="O12" s="2">
        <f>IF('Modell einstellen'!$B$1="Voll",J12/0.35,J12/0.35*2)</f>
        <v>-4.0198573142857146E-4</v>
      </c>
      <c r="P12" s="3">
        <f t="shared" si="1"/>
        <v>0.40206005606197565</v>
      </c>
      <c r="Q12" s="3"/>
      <c r="R12" s="3"/>
      <c r="S12" s="3"/>
      <c r="T12" s="3"/>
      <c r="U12" s="3"/>
    </row>
    <row r="13" spans="1:21" x14ac:dyDescent="0.25">
      <c r="A13" s="3">
        <v>1.0000000000000001E-5</v>
      </c>
      <c r="B13" s="3">
        <v>2.9479999999999999E-5</v>
      </c>
      <c r="C13" s="3">
        <v>1.406E-4</v>
      </c>
      <c r="D13" s="3">
        <v>-3.1310000000000002E-4</v>
      </c>
      <c r="E13" s="3">
        <v>0</v>
      </c>
      <c r="F13" s="3">
        <v>0</v>
      </c>
      <c r="G13" s="3">
        <v>0</v>
      </c>
      <c r="H13" s="3">
        <v>2.9866336000000001E-5</v>
      </c>
      <c r="I13" s="3">
        <v>1.2916160000000001E-5</v>
      </c>
      <c r="J13" s="3">
        <v>-7.2820676000000007E-5</v>
      </c>
      <c r="K13" s="3"/>
      <c r="L13" s="3">
        <f t="shared" si="0"/>
        <v>9.415522197381028E-2</v>
      </c>
      <c r="M13" s="3"/>
      <c r="N13" s="2">
        <f>IF('Modell einstellen'!$B$1="Voll",H13/0.35,H13/0.35*2)</f>
        <v>1.7066477714285715E-4</v>
      </c>
      <c r="O13" s="2">
        <f>IF('Modell einstellen'!$B$1="Voll",J13/0.35,J13/0.35*2)</f>
        <v>-4.1611814857142864E-4</v>
      </c>
      <c r="P13" s="3">
        <f t="shared" si="1"/>
        <v>0.41013538517549597</v>
      </c>
      <c r="Q13" s="3"/>
      <c r="R13" s="3"/>
      <c r="S13" s="3"/>
      <c r="T13" s="3"/>
      <c r="U13" s="3"/>
    </row>
    <row r="14" spans="1:21" x14ac:dyDescent="0.25">
      <c r="A14" s="3">
        <v>1E-4</v>
      </c>
      <c r="B14" s="3">
        <v>1.9089999999999998E-5</v>
      </c>
      <c r="C14" s="3">
        <v>1.451E-4</v>
      </c>
      <c r="D14" s="3">
        <v>-3.0939999999999999E-4</v>
      </c>
      <c r="E14" s="3">
        <v>0</v>
      </c>
      <c r="F14" s="3">
        <v>0</v>
      </c>
      <c r="G14" s="3">
        <v>0</v>
      </c>
      <c r="H14" s="3">
        <v>3.1670608000000003E-5</v>
      </c>
      <c r="I14" s="3">
        <v>1.3330874E-5</v>
      </c>
      <c r="J14" s="3">
        <v>-7.5564392999999999E-5</v>
      </c>
      <c r="K14" s="3"/>
      <c r="L14" s="3">
        <f t="shared" si="0"/>
        <v>6.1700064641241108E-2</v>
      </c>
      <c r="M14" s="3"/>
      <c r="N14" s="2">
        <f>IF('Modell einstellen'!$B$1="Voll",H14/0.35,H14/0.35*2)</f>
        <v>1.809749028571429E-4</v>
      </c>
      <c r="O14" s="2">
        <f>IF('Modell einstellen'!$B$1="Voll",J14/0.35,J14/0.35*2)</f>
        <v>-4.3179653142857147E-4</v>
      </c>
      <c r="P14" s="3">
        <f t="shared" si="1"/>
        <v>0.41912078880855963</v>
      </c>
      <c r="Q14" s="3"/>
      <c r="R14" s="3"/>
      <c r="S14" s="3"/>
      <c r="T14" s="3"/>
      <c r="U14" s="3"/>
    </row>
    <row r="15" spans="1:21" x14ac:dyDescent="0.25">
      <c r="A15" s="3">
        <v>1E-3</v>
      </c>
      <c r="B15" s="3">
        <v>8.4659999999999999E-6</v>
      </c>
      <c r="C15" s="3">
        <v>1.4899999999999999E-4</v>
      </c>
      <c r="D15" s="3">
        <v>-3.0449999999999997E-4</v>
      </c>
      <c r="E15" s="3">
        <v>0</v>
      </c>
      <c r="F15" s="3">
        <v>0</v>
      </c>
      <c r="G15" s="3">
        <v>0</v>
      </c>
      <c r="H15" s="3">
        <v>3.3354530999999999E-5</v>
      </c>
      <c r="I15" s="3">
        <v>1.3687830999999999E-5</v>
      </c>
      <c r="J15" s="3">
        <v>-7.8056648999999995E-5</v>
      </c>
      <c r="K15" s="3"/>
      <c r="L15" s="3">
        <f t="shared" si="0"/>
        <v>2.7802955665024633E-2</v>
      </c>
      <c r="M15" s="3"/>
      <c r="N15" s="2">
        <f>IF('Modell einstellen'!$B$1="Voll",H15/0.35,H15/0.35*2)</f>
        <v>1.9059732E-4</v>
      </c>
      <c r="O15" s="2">
        <f>IF('Modell einstellen'!$B$1="Voll",J15/0.35,J15/0.35*2)</f>
        <v>-4.4603799428571429E-4</v>
      </c>
      <c r="P15" s="3">
        <f t="shared" si="1"/>
        <v>0.42731184885992224</v>
      </c>
      <c r="Q15" s="3"/>
      <c r="R15" s="3"/>
      <c r="S15" s="3"/>
      <c r="T15" s="3"/>
      <c r="U15" s="3"/>
    </row>
    <row r="16" spans="1:21" x14ac:dyDescent="0.25">
      <c r="A16" s="3">
        <v>0.01</v>
      </c>
      <c r="B16" s="3">
        <v>-2.8559999999999998E-6</v>
      </c>
      <c r="C16" s="3">
        <v>1.527E-4</v>
      </c>
      <c r="D16" s="3">
        <v>-2.9859999999999999E-4</v>
      </c>
      <c r="E16" s="3">
        <v>0</v>
      </c>
      <c r="F16" s="3">
        <v>0</v>
      </c>
      <c r="G16" s="3">
        <v>0</v>
      </c>
      <c r="H16" s="3">
        <v>3.5040031000000001E-5</v>
      </c>
      <c r="I16" s="3">
        <v>1.4021669E-5</v>
      </c>
      <c r="J16" s="3">
        <v>-8.0498156999999997E-5</v>
      </c>
      <c r="K16" s="3"/>
      <c r="L16" s="3">
        <f t="shared" si="0"/>
        <v>-9.5646349631614194E-3</v>
      </c>
      <c r="M16" s="3"/>
      <c r="N16" s="2">
        <f>IF('Modell einstellen'!$B$1="Voll",H16/0.35,H16/0.35*2)</f>
        <v>2.0022874857142858E-4</v>
      </c>
      <c r="O16" s="2">
        <f>IF('Modell einstellen'!$B$1="Voll",J16/0.35,J16/0.35*2)</f>
        <v>-4.5998946857142857E-4</v>
      </c>
      <c r="P16" s="3">
        <f t="shared" si="1"/>
        <v>0.43528985390311487</v>
      </c>
      <c r="Q16" s="3"/>
      <c r="R16" s="3"/>
      <c r="S16" s="3"/>
      <c r="T16" s="3"/>
      <c r="U16" s="3"/>
    </row>
    <row r="17" spans="1:25" x14ac:dyDescent="0.25">
      <c r="A17" s="3">
        <v>0.1</v>
      </c>
      <c r="B17" s="3">
        <v>-1.594E-5</v>
      </c>
      <c r="C17" s="3">
        <v>1.563E-4</v>
      </c>
      <c r="D17" s="3">
        <v>-2.9090000000000002E-4</v>
      </c>
      <c r="E17" s="3">
        <v>0</v>
      </c>
      <c r="F17" s="3">
        <v>0</v>
      </c>
      <c r="G17" s="3">
        <v>0</v>
      </c>
      <c r="H17" s="3">
        <v>3.6871693999999998E-5</v>
      </c>
      <c r="I17" s="3">
        <v>1.4358376000000001E-5</v>
      </c>
      <c r="J17" s="3">
        <v>-8.3092199000000001E-5</v>
      </c>
      <c r="K17" s="3"/>
      <c r="L17" s="3">
        <f t="shared" si="0"/>
        <v>-5.4795462358198689E-2</v>
      </c>
      <c r="M17" s="3"/>
      <c r="N17" s="2">
        <f>IF('Modell einstellen'!$B$1="Voll",H17/0.35,H17/0.35*2)</f>
        <v>2.106953942857143E-4</v>
      </c>
      <c r="O17" s="2">
        <f>IF('Modell einstellen'!$B$1="Voll",J17/0.35,J17/0.35*2)</f>
        <v>-4.7481256571428577E-4</v>
      </c>
      <c r="P17" s="3">
        <f t="shared" si="1"/>
        <v>0.44374435198182682</v>
      </c>
      <c r="Q17" s="3"/>
      <c r="R17" s="3"/>
      <c r="S17" s="3"/>
      <c r="T17" s="3"/>
      <c r="U17" s="3"/>
      <c r="V17" s="3"/>
      <c r="W17" s="3"/>
      <c r="X17" s="3"/>
      <c r="Y17" s="3"/>
    </row>
    <row r="18" spans="1:25" x14ac:dyDescent="0.25">
      <c r="A18" s="3">
        <v>1</v>
      </c>
      <c r="B18" s="3">
        <v>-3.1529999999999998E-5</v>
      </c>
      <c r="C18" s="3">
        <v>1.6019999999999999E-4</v>
      </c>
      <c r="D18" s="3">
        <v>-2.81E-4</v>
      </c>
      <c r="E18" s="3">
        <v>0</v>
      </c>
      <c r="F18" s="3">
        <v>0</v>
      </c>
      <c r="G18" s="3">
        <v>0</v>
      </c>
      <c r="H18" s="3">
        <v>3.8948264999999999E-5</v>
      </c>
      <c r="I18" s="3">
        <v>1.4714572E-5</v>
      </c>
      <c r="J18" s="3">
        <v>-8.5973596999999998E-5</v>
      </c>
      <c r="K18" s="3"/>
      <c r="L18" s="3">
        <f t="shared" si="0"/>
        <v>-0.11220640569395017</v>
      </c>
      <c r="M18" s="3"/>
      <c r="N18" s="2">
        <f>IF('Modell einstellen'!$B$1="Voll",H18/0.35,H18/0.35*2)</f>
        <v>2.225615142857143E-4</v>
      </c>
      <c r="O18" s="2">
        <f>IF('Modell einstellen'!$B$1="Voll",J18/0.35,J18/0.35*2)</f>
        <v>-4.9127769714285715E-4</v>
      </c>
      <c r="P18" s="3">
        <f t="shared" si="1"/>
        <v>0.4530258865404922</v>
      </c>
      <c r="Q18" s="3"/>
      <c r="R18" s="3"/>
      <c r="S18" s="3"/>
      <c r="T18" s="3"/>
      <c r="U18" s="3"/>
      <c r="V18" s="3"/>
      <c r="W18" s="3"/>
      <c r="X18" s="3"/>
      <c r="Y18" s="3"/>
    </row>
    <row r="19" spans="1:25" x14ac:dyDescent="0.25">
      <c r="A19" s="3">
        <v>10</v>
      </c>
      <c r="B19" s="3">
        <v>-4.8350000000000003E-5</v>
      </c>
      <c r="C19" s="3">
        <v>1.6430000000000001E-4</v>
      </c>
      <c r="D19" s="3">
        <v>-2.699E-4</v>
      </c>
      <c r="E19" s="3">
        <v>0</v>
      </c>
      <c r="F19" s="3">
        <v>0</v>
      </c>
      <c r="G19" s="3">
        <v>0</v>
      </c>
      <c r="H19" s="3">
        <v>4.1198980999999998E-5</v>
      </c>
      <c r="I19" s="3">
        <v>1.5103281E-5</v>
      </c>
      <c r="J19" s="3">
        <v>-8.9084417000000004E-5</v>
      </c>
      <c r="K19" s="3"/>
      <c r="L19" s="3">
        <f t="shared" si="0"/>
        <v>-0.17914042237865876</v>
      </c>
      <c r="M19" s="3"/>
      <c r="N19" s="2">
        <f>IF('Modell einstellen'!$B$1="Voll",H19/0.35,H19/0.35*2)</f>
        <v>2.3542274857142858E-4</v>
      </c>
      <c r="O19" s="2">
        <f>IF('Modell einstellen'!$B$1="Voll",J19/0.35,J19/0.35*2)</f>
        <v>-5.0905381142857145E-4</v>
      </c>
      <c r="P19" s="3">
        <f t="shared" si="1"/>
        <v>0.4624712423049252</v>
      </c>
      <c r="Q19" s="3"/>
      <c r="R19" s="3"/>
      <c r="S19" s="3"/>
      <c r="T19" s="3"/>
      <c r="U19" s="3"/>
      <c r="V19" s="3"/>
      <c r="W19" s="3"/>
      <c r="X19" s="3"/>
      <c r="Y19" s="3"/>
    </row>
    <row r="20" spans="1:25" x14ac:dyDescent="0.25">
      <c r="A20" s="3">
        <v>100</v>
      </c>
      <c r="B20" s="3">
        <v>-6.3020000000000003E-5</v>
      </c>
      <c r="C20" s="3">
        <v>1.7139999999999999E-4</v>
      </c>
      <c r="D20" s="3">
        <v>-2.6360000000000001E-4</v>
      </c>
      <c r="E20" s="3">
        <v>0</v>
      </c>
      <c r="F20" s="3">
        <v>0</v>
      </c>
      <c r="G20" s="3">
        <v>0</v>
      </c>
      <c r="H20" s="3">
        <v>4.4433481000000002E-5</v>
      </c>
      <c r="I20" s="3">
        <v>1.5965503999999999E-5</v>
      </c>
      <c r="J20" s="3">
        <v>-9.4071058E-5</v>
      </c>
      <c r="K20" s="3"/>
      <c r="L20" s="3">
        <f t="shared" si="0"/>
        <v>-0.23907435508345978</v>
      </c>
      <c r="M20" s="3"/>
      <c r="N20" s="2">
        <f>IF('Modell einstellen'!$B$1="Voll",H20/0.35,H20/0.35*2)</f>
        <v>2.5390560571428577E-4</v>
      </c>
      <c r="O20" s="2">
        <f>IF('Modell einstellen'!$B$1="Voll",J20/0.35,J20/0.35*2)</f>
        <v>-5.3754890285714289E-4</v>
      </c>
      <c r="P20" s="3">
        <f t="shared" si="1"/>
        <v>0.472339547834149</v>
      </c>
      <c r="Q20" s="3"/>
      <c r="R20" s="3"/>
      <c r="S20" s="3"/>
      <c r="T20" s="3"/>
      <c r="U20" s="3"/>
      <c r="V20" s="3"/>
      <c r="W20" s="3"/>
      <c r="X20" s="3"/>
      <c r="Y20" s="3"/>
    </row>
    <row r="21" spans="1:25" x14ac:dyDescent="0.25">
      <c r="A21" s="3">
        <v>1000</v>
      </c>
      <c r="B21" s="3">
        <v>-4.295E-5</v>
      </c>
      <c r="C21" s="3">
        <v>1.918E-4</v>
      </c>
      <c r="D21" s="3">
        <v>-3.01E-4</v>
      </c>
      <c r="E21" s="3">
        <v>0</v>
      </c>
      <c r="F21" s="3">
        <v>0</v>
      </c>
      <c r="G21" s="3">
        <v>0</v>
      </c>
      <c r="H21" s="3">
        <v>5.0612273000000003E-5</v>
      </c>
      <c r="I21" s="3">
        <v>1.9169187E-5</v>
      </c>
      <c r="J21" s="3">
        <v>-1.0633593E-4</v>
      </c>
      <c r="K21" s="3"/>
      <c r="L21" s="3">
        <f t="shared" si="0"/>
        <v>-0.14269102990033222</v>
      </c>
      <c r="M21" s="3"/>
      <c r="N21" s="2">
        <f>IF('Modell einstellen'!$B$1="Voll",H21/0.35,H21/0.35*2)</f>
        <v>2.8921298857142861E-4</v>
      </c>
      <c r="O21" s="2">
        <f>IF('Modell einstellen'!$B$1="Voll",J21/0.35,J21/0.35*2)</f>
        <v>-6.0763388571428577E-4</v>
      </c>
      <c r="P21" s="3">
        <f t="shared" si="1"/>
        <v>0.47596586591192652</v>
      </c>
      <c r="Q21" s="3"/>
      <c r="R21" s="3"/>
      <c r="S21" s="3"/>
      <c r="T21" s="3"/>
      <c r="U21" s="3"/>
      <c r="V21" s="3"/>
      <c r="W21" s="3"/>
      <c r="X21" s="3"/>
      <c r="Y21" s="3"/>
    </row>
    <row r="22" spans="1:25" x14ac:dyDescent="0.25">
      <c r="A22" s="3">
        <v>10000</v>
      </c>
      <c r="B22" s="3">
        <v>4.7700000000000001E-5</v>
      </c>
      <c r="C22" s="3">
        <v>2.3499999999999999E-4</v>
      </c>
      <c r="D22" s="3">
        <v>-4.2460000000000002E-4</v>
      </c>
      <c r="E22" s="3">
        <v>0</v>
      </c>
      <c r="F22" s="3">
        <v>0</v>
      </c>
      <c r="G22" s="3">
        <v>0</v>
      </c>
      <c r="H22" s="3">
        <v>6.1721644000000002E-5</v>
      </c>
      <c r="I22" s="3">
        <v>2.6891657000000001E-5</v>
      </c>
      <c r="J22" s="3">
        <v>-1.319723E-4</v>
      </c>
      <c r="K22" s="3"/>
      <c r="L22" s="3">
        <f t="shared" si="0"/>
        <v>0.11234102684879886</v>
      </c>
      <c r="M22" s="3"/>
      <c r="N22" s="2">
        <f>IF('Modell einstellen'!$B$1="Voll",H22/0.35,H22/0.35*2)</f>
        <v>3.5269510857142863E-4</v>
      </c>
      <c r="O22" s="2">
        <f>IF('Modell einstellen'!$B$1="Voll",J22/0.35,J22/0.35*2)</f>
        <v>-7.5412742857142862E-4</v>
      </c>
      <c r="P22" s="3">
        <f t="shared" si="1"/>
        <v>0.467686355394276</v>
      </c>
      <c r="Q22" s="3"/>
      <c r="R22" s="3"/>
      <c r="S22" s="3"/>
      <c r="T22" s="3"/>
      <c r="U22" s="3"/>
      <c r="V22" s="3"/>
      <c r="W22" s="3"/>
      <c r="X22" s="3"/>
      <c r="Y22" s="3"/>
    </row>
    <row r="23" spans="1:25" x14ac:dyDescent="0.25">
      <c r="A23" s="3">
        <v>100000</v>
      </c>
      <c r="B23" s="3">
        <v>1.718E-4</v>
      </c>
      <c r="C23" s="3">
        <v>2.9940000000000001E-4</v>
      </c>
      <c r="D23" s="3">
        <v>-6.0099999999999997E-4</v>
      </c>
      <c r="E23" s="3">
        <v>0</v>
      </c>
      <c r="F23" s="3">
        <v>0</v>
      </c>
      <c r="G23" s="3">
        <v>0</v>
      </c>
      <c r="H23" s="3">
        <v>7.6470255000000002E-5</v>
      </c>
      <c r="I23" s="3">
        <v>3.8134245999999997E-5</v>
      </c>
      <c r="J23" s="3">
        <v>-1.6799794000000001E-4</v>
      </c>
      <c r="K23" s="3"/>
      <c r="L23" s="3">
        <f t="shared" si="0"/>
        <v>0.28585690515806988</v>
      </c>
      <c r="M23" s="3"/>
      <c r="N23" s="2">
        <f>IF('Modell einstellen'!$B$1="Voll",H23/0.35,H23/0.35*2)</f>
        <v>4.3697288571428576E-4</v>
      </c>
      <c r="O23" s="2">
        <f>IF('Modell einstellen'!$B$1="Voll",J23/0.35,J23/0.35*2)</f>
        <v>-9.5998822857142866E-4</v>
      </c>
      <c r="P23" s="3">
        <f t="shared" si="1"/>
        <v>0.45518567072905775</v>
      </c>
      <c r="Q23" s="3"/>
      <c r="R23" s="3"/>
      <c r="S23" s="3"/>
      <c r="T23" s="3"/>
      <c r="U23" s="3"/>
      <c r="V23" s="3"/>
      <c r="W23" s="3"/>
      <c r="X23" s="3"/>
      <c r="Y23" s="3"/>
    </row>
    <row r="24" spans="1:25" x14ac:dyDescent="0.25">
      <c r="A24" s="3">
        <v>1000000</v>
      </c>
      <c r="B24" s="3">
        <v>2.966E-4</v>
      </c>
      <c r="C24" s="3">
        <v>3.836E-4</v>
      </c>
      <c r="D24" s="3">
        <v>-7.9980000000000003E-4</v>
      </c>
      <c r="E24" s="3">
        <v>0</v>
      </c>
      <c r="F24" s="3">
        <v>0</v>
      </c>
      <c r="G24" s="3">
        <v>0</v>
      </c>
      <c r="H24" s="3">
        <v>9.4876635000000001E-5</v>
      </c>
      <c r="I24" s="3">
        <v>5.2350035999999997E-5</v>
      </c>
      <c r="J24" s="3">
        <v>-2.1356922999999999E-4</v>
      </c>
      <c r="K24" s="3"/>
      <c r="L24" s="3">
        <f t="shared" si="0"/>
        <v>0.37084271067766938</v>
      </c>
      <c r="M24" s="3"/>
      <c r="N24" s="2">
        <f>IF('Modell einstellen'!$B$1="Voll",H24/0.35,H24/0.35*2)</f>
        <v>5.4215220000000002E-4</v>
      </c>
      <c r="O24" s="2">
        <f>IF('Modell einstellen'!$B$1="Voll",J24/0.35,J24/0.35*2)</f>
        <v>-1.2203956E-3</v>
      </c>
      <c r="P24" s="3">
        <f t="shared" si="1"/>
        <v>0.44424299792624622</v>
      </c>
      <c r="Q24" s="3"/>
      <c r="R24" s="3"/>
      <c r="S24" s="3"/>
      <c r="T24" s="3"/>
      <c r="U24" s="3"/>
      <c r="V24" s="3"/>
      <c r="W24" s="3"/>
      <c r="X24" s="3"/>
      <c r="Y24" s="3"/>
    </row>
    <row r="25" spans="1:25" x14ac:dyDescent="0.25">
      <c r="A25" s="3">
        <v>10000000</v>
      </c>
      <c r="B25" s="3">
        <v>4.126E-4</v>
      </c>
      <c r="C25" s="3">
        <v>4.9879999999999998E-4</v>
      </c>
      <c r="D25" s="3">
        <v>-1.023E-3</v>
      </c>
      <c r="E25" s="3">
        <v>0</v>
      </c>
      <c r="F25" s="3">
        <v>0</v>
      </c>
      <c r="G25" s="3">
        <v>0</v>
      </c>
      <c r="H25" s="3">
        <v>1.1969413000000001E-4</v>
      </c>
      <c r="I25" s="3">
        <v>7.1659267000000003E-5</v>
      </c>
      <c r="J25" s="3">
        <v>-2.7557419E-4</v>
      </c>
      <c r="K25" s="3"/>
      <c r="L25" s="3">
        <f t="shared" si="0"/>
        <v>0.40332355816226784</v>
      </c>
      <c r="M25" s="3"/>
      <c r="N25" s="2">
        <f>IF('Modell einstellen'!$B$1="Voll",H25/0.35,H25/0.35*2)</f>
        <v>6.8396645714285725E-4</v>
      </c>
      <c r="O25" s="2">
        <f>IF('Modell einstellen'!$B$1="Voll",J25/0.35,J25/0.35*2)</f>
        <v>-1.5747096571428571E-3</v>
      </c>
      <c r="P25" s="3">
        <f t="shared" si="1"/>
        <v>0.43434448632508005</v>
      </c>
      <c r="Q25" s="3"/>
      <c r="R25" s="3"/>
      <c r="S25" s="3"/>
      <c r="T25" s="3"/>
      <c r="U25" s="3"/>
      <c r="V25" s="3"/>
      <c r="W25" s="3"/>
      <c r="X25" s="3"/>
      <c r="Y25" s="3"/>
    </row>
    <row r="26" spans="1:25" x14ac:dyDescent="0.25">
      <c r="A26" s="3">
        <v>100000000</v>
      </c>
      <c r="B26" s="3">
        <v>5.1880000000000003E-4</v>
      </c>
      <c r="C26" s="3">
        <v>6.7540000000000005E-4</v>
      </c>
      <c r="D26" s="3">
        <v>-1.299E-3</v>
      </c>
      <c r="E26" s="3">
        <v>0</v>
      </c>
      <c r="F26" s="3">
        <v>0</v>
      </c>
      <c r="G26" s="3">
        <v>0</v>
      </c>
      <c r="H26" s="3">
        <v>1.5793200999999999E-4</v>
      </c>
      <c r="I26" s="3">
        <v>1.0185306999999999E-4</v>
      </c>
      <c r="J26" s="3">
        <v>-3.7216752E-4</v>
      </c>
      <c r="K26" s="3"/>
      <c r="L26" s="3">
        <f t="shared" si="0"/>
        <v>0.39938414164742109</v>
      </c>
      <c r="M26" s="3"/>
      <c r="N26" s="2">
        <f>IF('Modell einstellen'!$B$1="Voll",H26/0.35,H26/0.35*2)</f>
        <v>9.0246862857142854E-4</v>
      </c>
      <c r="O26" s="2">
        <f>IF('Modell einstellen'!$B$1="Voll",J26/0.35,J26/0.35*2)</f>
        <v>-2.126671542857143E-3</v>
      </c>
      <c r="P26" s="3">
        <f t="shared" si="1"/>
        <v>0.4243573162967042</v>
      </c>
      <c r="Q26" s="3"/>
      <c r="R26" s="3"/>
      <c r="S26" s="3"/>
      <c r="T26" s="3"/>
      <c r="U26" s="3"/>
      <c r="V26" s="3"/>
      <c r="W26" s="3"/>
      <c r="X26" s="3"/>
      <c r="Y26" s="3"/>
    </row>
    <row r="27" spans="1:25" x14ac:dyDescent="0.25">
      <c r="A27" s="3">
        <v>1000000000</v>
      </c>
      <c r="B27" s="3">
        <v>6.2629999999999999E-4</v>
      </c>
      <c r="C27" s="3">
        <v>9.634E-4</v>
      </c>
      <c r="D27" s="3">
        <v>-1.6869999999999999E-3</v>
      </c>
      <c r="E27" s="3">
        <v>0</v>
      </c>
      <c r="F27" s="3">
        <v>0</v>
      </c>
      <c r="G27" s="3">
        <v>0</v>
      </c>
      <c r="H27" s="3">
        <v>2.1896519E-4</v>
      </c>
      <c r="I27" s="3">
        <v>1.5183870999999999E-4</v>
      </c>
      <c r="J27" s="3">
        <v>-5.2975768000000005E-4</v>
      </c>
      <c r="K27" s="3"/>
      <c r="L27" s="3">
        <f t="shared" si="0"/>
        <v>0.37125074096028454</v>
      </c>
      <c r="M27" s="3"/>
      <c r="N27" s="2">
        <f>IF('Modell einstellen'!$B$1="Voll",H27/0.35,H27/0.35*2)</f>
        <v>1.2512296571428572E-3</v>
      </c>
      <c r="O27" s="2">
        <f>IF('Modell einstellen'!$B$1="Voll",J27/0.35,J27/0.35*2)</f>
        <v>-3.0271867428571433E-3</v>
      </c>
      <c r="P27" s="3">
        <f t="shared" si="1"/>
        <v>0.41333084590675495</v>
      </c>
      <c r="Q27" s="3"/>
      <c r="R27" s="3"/>
      <c r="S27" s="3"/>
      <c r="T27" s="3"/>
      <c r="U27" s="3"/>
      <c r="V27" s="3"/>
      <c r="W27" s="3"/>
      <c r="X27" s="3"/>
      <c r="Y27" s="3"/>
    </row>
    <row r="28" spans="1:25" x14ac:dyDescent="0.25">
      <c r="A28" s="3">
        <v>10000000000</v>
      </c>
      <c r="B28" s="3">
        <v>7.5339999999999999E-4</v>
      </c>
      <c r="C28" s="3">
        <v>1.3810000000000001E-3</v>
      </c>
      <c r="D28" s="3">
        <v>-2.2260000000000001E-3</v>
      </c>
      <c r="E28" s="3">
        <v>0</v>
      </c>
      <c r="F28" s="3">
        <v>0</v>
      </c>
      <c r="G28" s="3">
        <v>0</v>
      </c>
      <c r="H28" s="3">
        <v>3.0773615000000002E-4</v>
      </c>
      <c r="I28" s="3">
        <v>2.2622773E-4</v>
      </c>
      <c r="J28" s="3">
        <v>-7.6184620999999997E-4</v>
      </c>
      <c r="K28" s="3"/>
      <c r="L28" s="3">
        <f t="shared" si="0"/>
        <v>0.33845462713387242</v>
      </c>
      <c r="M28" s="3"/>
      <c r="N28" s="2">
        <f>IF('Modell einstellen'!$B$1="Voll",H28/0.35,H28/0.35*2)</f>
        <v>1.758492285714286E-3</v>
      </c>
      <c r="O28" s="2">
        <f>IF('Modell einstellen'!$B$1="Voll",J28/0.35,J28/0.35*2)</f>
        <v>-4.3534069142857146E-3</v>
      </c>
      <c r="P28" s="3">
        <f t="shared" si="1"/>
        <v>0.40393473900723353</v>
      </c>
      <c r="Q28" s="3"/>
      <c r="R28" s="3"/>
      <c r="S28" s="3"/>
      <c r="T28" s="3"/>
      <c r="U28" s="3"/>
      <c r="V28" s="3"/>
      <c r="W28" s="3"/>
      <c r="X28" s="3"/>
      <c r="Y28" s="3"/>
    </row>
    <row r="29" spans="1:25" x14ac:dyDescent="0.25">
      <c r="A29" s="3">
        <v>100000000000</v>
      </c>
      <c r="B29" s="3">
        <v>9.2940000000000004E-4</v>
      </c>
      <c r="C29" s="3">
        <v>1.892E-3</v>
      </c>
      <c r="D29" s="3">
        <v>-2.9069999999999999E-3</v>
      </c>
      <c r="E29" s="3">
        <v>0</v>
      </c>
      <c r="F29" s="3">
        <v>0</v>
      </c>
      <c r="G29" s="3">
        <v>0</v>
      </c>
      <c r="H29" s="3">
        <v>4.1475475000000002E-4</v>
      </c>
      <c r="I29" s="3">
        <v>3.1847287999999999E-4</v>
      </c>
      <c r="J29" s="3">
        <v>-1.0459375E-3</v>
      </c>
      <c r="K29" s="3"/>
      <c r="L29" s="3">
        <f t="shared" si="0"/>
        <v>0.31971104231166153</v>
      </c>
      <c r="M29" s="3"/>
      <c r="N29" s="2">
        <f>IF('Modell einstellen'!$B$1="Voll",H29/0.35,H29/0.35*2)</f>
        <v>2.370027142857143E-3</v>
      </c>
      <c r="O29" s="2">
        <f>IF('Modell einstellen'!$B$1="Voll",J29/0.35,J29/0.35*2)</f>
        <v>-5.9767857142857149E-3</v>
      </c>
      <c r="P29" s="3">
        <f t="shared" si="1"/>
        <v>0.39653875112040632</v>
      </c>
      <c r="Q29" s="3"/>
      <c r="R29" s="3"/>
      <c r="S29" s="3"/>
      <c r="T29" s="3"/>
      <c r="U29" s="3"/>
      <c r="V29" s="3"/>
      <c r="W29" s="3"/>
      <c r="X29" s="3"/>
      <c r="Y29" s="3"/>
    </row>
    <row r="30" spans="1:25" x14ac:dyDescent="0.25">
      <c r="A30" s="3">
        <v>1000000000000</v>
      </c>
      <c r="B30" s="3">
        <v>1.1379999999999999E-3</v>
      </c>
      <c r="C30" s="3">
        <v>2.3410000000000002E-3</v>
      </c>
      <c r="D30" s="3">
        <v>-3.5609999999999999E-3</v>
      </c>
      <c r="E30" s="3">
        <v>0</v>
      </c>
      <c r="F30" s="3">
        <v>0</v>
      </c>
      <c r="G30" s="3">
        <v>0</v>
      </c>
      <c r="H30" s="3">
        <v>5.0396733E-4</v>
      </c>
      <c r="I30" s="3">
        <v>3.9888765000000001E-4</v>
      </c>
      <c r="J30" s="3">
        <v>-1.2889526999999999E-3</v>
      </c>
      <c r="K30" s="3"/>
      <c r="L30" s="3">
        <f t="shared" si="0"/>
        <v>0.31957315360853689</v>
      </c>
      <c r="M30" s="3"/>
      <c r="N30" s="2">
        <f>IF('Modell einstellen'!$B$1="Voll",H30/0.35,H30/0.35*2)</f>
        <v>2.8798133142857144E-3</v>
      </c>
      <c r="O30" s="2">
        <f>IF('Modell einstellen'!$B$1="Voll",J30/0.35,J30/0.35*2)</f>
        <v>-7.3654439999999996E-3</v>
      </c>
      <c r="P30" s="3">
        <f t="shared" si="1"/>
        <v>0.39098977798021606</v>
      </c>
      <c r="Q30" s="3"/>
      <c r="R30" s="3"/>
      <c r="S30" s="3"/>
      <c r="T30" s="3"/>
      <c r="U30" s="3"/>
      <c r="V30" s="3"/>
      <c r="W30" s="3"/>
      <c r="X30" s="3"/>
      <c r="Y30" s="3"/>
    </row>
    <row r="31" spans="1:25" x14ac:dyDescent="0.25">
      <c r="A31" s="3">
        <v>10000000000000</v>
      </c>
      <c r="B31" s="3">
        <v>1.333E-3</v>
      </c>
      <c r="C31" s="3">
        <v>2.673E-3</v>
      </c>
      <c r="D31" s="3">
        <v>-4.084E-3</v>
      </c>
      <c r="E31" s="3">
        <v>0</v>
      </c>
      <c r="F31" s="3">
        <v>0</v>
      </c>
      <c r="G31" s="3">
        <v>0</v>
      </c>
      <c r="H31" s="3">
        <v>5.6582666999999999E-4</v>
      </c>
      <c r="I31" s="3">
        <v>4.5713976000000001E-4</v>
      </c>
      <c r="J31" s="3">
        <v>-1.4619218E-3</v>
      </c>
      <c r="K31" s="3"/>
      <c r="L31" s="3">
        <f t="shared" si="0"/>
        <v>0.32639569049951028</v>
      </c>
      <c r="M31" s="3"/>
      <c r="N31" s="2">
        <f>IF('Modell einstellen'!$B$1="Voll",H31/0.35,H31/0.35*2)</f>
        <v>3.2332952571428571E-3</v>
      </c>
      <c r="O31" s="2">
        <f>IF('Modell einstellen'!$B$1="Voll",J31/0.35,J31/0.35*2)</f>
        <v>-8.3538388571428573E-3</v>
      </c>
      <c r="P31" s="3">
        <f t="shared" si="1"/>
        <v>0.3870430484038202</v>
      </c>
      <c r="Q31" s="3"/>
      <c r="R31" s="3"/>
      <c r="S31" s="3"/>
      <c r="T31" s="3"/>
      <c r="U31" s="3"/>
      <c r="V31" s="3"/>
      <c r="W31" s="3"/>
      <c r="X31" s="3"/>
      <c r="Y31" s="3"/>
    </row>
    <row r="32" spans="1:25" x14ac:dyDescent="0.25">
      <c r="A32" s="3">
        <v>100000000000000</v>
      </c>
      <c r="B32" s="3">
        <v>1.4809999999999999E-3</v>
      </c>
      <c r="C32" s="3">
        <v>2.8909999999999999E-3</v>
      </c>
      <c r="D32" s="3">
        <v>-4.4489999999999998E-3</v>
      </c>
      <c r="E32" s="3">
        <v>0</v>
      </c>
      <c r="F32" s="3">
        <v>0</v>
      </c>
      <c r="G32" s="3">
        <v>0</v>
      </c>
      <c r="H32" s="3">
        <v>6.0437405999999995E-4</v>
      </c>
      <c r="I32" s="3">
        <v>4.9466606000000003E-4</v>
      </c>
      <c r="J32" s="3">
        <v>-1.5719162000000001E-3</v>
      </c>
      <c r="K32" s="3"/>
      <c r="L32" s="3">
        <f t="shared" si="0"/>
        <v>0.33288379411103619</v>
      </c>
      <c r="M32" s="3"/>
      <c r="N32" s="2">
        <f>IF('Modell einstellen'!$B$1="Voll",H32/0.35,H32/0.35*2)</f>
        <v>3.4535660571428572E-3</v>
      </c>
      <c r="O32" s="2">
        <f>IF('Modell einstellen'!$B$1="Voll",J32/0.35,J32/0.35*2)</f>
        <v>-8.9823782857142865E-3</v>
      </c>
      <c r="P32" s="3">
        <f t="shared" si="1"/>
        <v>0.38448236617193715</v>
      </c>
      <c r="Q32" s="3"/>
      <c r="R32" s="3"/>
      <c r="S32" s="3"/>
      <c r="T32" s="3"/>
      <c r="U32" s="3"/>
      <c r="V32" s="3"/>
      <c r="W32" s="3"/>
      <c r="X32" s="3"/>
      <c r="Y32" s="3"/>
    </row>
    <row r="33" spans="1:25" x14ac:dyDescent="0.25">
      <c r="A33" s="2">
        <v>1000000000000000</v>
      </c>
      <c r="B33" s="3">
        <v>1.4729999999999999E-3</v>
      </c>
      <c r="C33" s="3">
        <v>2.97E-3</v>
      </c>
      <c r="D33" s="3">
        <v>-4.5209999999999998E-3</v>
      </c>
      <c r="E33" s="3">
        <v>0</v>
      </c>
      <c r="F33" s="3">
        <v>0</v>
      </c>
      <c r="G33" s="3">
        <v>0</v>
      </c>
      <c r="H33" s="3">
        <v>6.3125439999999996E-4</v>
      </c>
      <c r="I33" s="3">
        <v>5.1252372000000002E-4</v>
      </c>
      <c r="J33" s="3">
        <v>-1.6326901E-3</v>
      </c>
      <c r="K33" s="3"/>
      <c r="L33" s="3">
        <f t="shared" si="0"/>
        <v>0.32581287325812874</v>
      </c>
      <c r="M33" s="3"/>
      <c r="N33" s="2">
        <f>IF('Modell einstellen'!$B$1="Voll",H33/0.35,H33/0.35*2)</f>
        <v>3.607168E-3</v>
      </c>
      <c r="O33" s="2">
        <f>IF('Modell einstellen'!$B$1="Voll",J33/0.35,J33/0.35*2)</f>
        <v>-9.3296577142857155E-3</v>
      </c>
      <c r="P33" s="3">
        <f t="shared" si="1"/>
        <v>0.38663454871196923</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6.4610000000000007E-5</v>
      </c>
      <c r="C3" s="3">
        <v>1.153E-4</v>
      </c>
      <c r="D3" s="3">
        <v>-3.1040000000000001E-4</v>
      </c>
      <c r="E3" s="3">
        <v>0</v>
      </c>
      <c r="F3" s="3">
        <v>0</v>
      </c>
      <c r="G3" s="3">
        <v>0</v>
      </c>
      <c r="H3" s="3">
        <v>2.1749181999999999E-5</v>
      </c>
      <c r="I3" s="3">
        <v>1.0638167000000001E-5</v>
      </c>
      <c r="J3" s="3">
        <v>-5.9556908999999997E-5</v>
      </c>
      <c r="K3" s="3"/>
      <c r="L3" s="3">
        <f>-B3/D3</f>
        <v>0.2081507731958763</v>
      </c>
      <c r="M3" s="3"/>
      <c r="N3" s="2">
        <f>IF('Modell einstellen'!$B$1="Voll",H3/0.35,H3/0.35*2)</f>
        <v>1.2428104000000001E-4</v>
      </c>
      <c r="O3" s="2">
        <f>IF('Modell einstellen'!$B$1="Voll",J3/0.35,J3/0.35*2)</f>
        <v>-3.403251942857143E-4</v>
      </c>
      <c r="P3" s="3">
        <f>-N3/O3</f>
        <v>0.36518318974545844</v>
      </c>
      <c r="Q3" s="3"/>
      <c r="R3" s="3"/>
      <c r="S3" s="3"/>
      <c r="T3" s="3"/>
      <c r="U3" s="3"/>
    </row>
    <row r="4" spans="1:21" x14ac:dyDescent="0.25">
      <c r="A4" s="3">
        <v>1E-14</v>
      </c>
      <c r="B4" s="3">
        <v>6.3029999999999998E-5</v>
      </c>
      <c r="C4" s="3">
        <v>1.1730000000000001E-4</v>
      </c>
      <c r="D4" s="3">
        <v>-3.1179999999999999E-4</v>
      </c>
      <c r="E4" s="3">
        <v>0</v>
      </c>
      <c r="F4" s="3">
        <v>0</v>
      </c>
      <c r="G4" s="3">
        <v>0</v>
      </c>
      <c r="H4" s="3">
        <v>2.2353666999999999E-5</v>
      </c>
      <c r="I4" s="3">
        <v>1.0833878E-5</v>
      </c>
      <c r="J4" s="3">
        <v>-6.0607399000000002E-5</v>
      </c>
      <c r="K4" s="3"/>
      <c r="L4" s="3">
        <f t="shared" ref="L4:L33" si="0">-B4/D4</f>
        <v>0.20214881334188584</v>
      </c>
      <c r="M4" s="3"/>
      <c r="N4" s="2">
        <f>IF('Modell einstellen'!$B$1="Voll",H4/0.35,H4/0.35*2)</f>
        <v>1.2773524000000001E-4</v>
      </c>
      <c r="O4" s="2">
        <f>IF('Modell einstellen'!$B$1="Voll",J4/0.35,J4/0.35*2)</f>
        <v>-3.4632799428571432E-4</v>
      </c>
      <c r="P4" s="3">
        <f t="shared" ref="P4:P33" si="1">-N4/O4</f>
        <v>0.36882736050098436</v>
      </c>
      <c r="Q4" s="3"/>
      <c r="R4" s="3"/>
      <c r="S4" s="3"/>
      <c r="T4" s="3"/>
      <c r="U4" s="3"/>
    </row>
    <row r="5" spans="1:21" x14ac:dyDescent="0.25">
      <c r="A5" s="3">
        <v>1E-13</v>
      </c>
      <c r="B5" s="3">
        <v>6.1569999999999995E-5</v>
      </c>
      <c r="C5" s="3">
        <v>1.193E-4</v>
      </c>
      <c r="D5" s="3">
        <v>-3.1330000000000003E-4</v>
      </c>
      <c r="E5" s="3">
        <v>0</v>
      </c>
      <c r="F5" s="3">
        <v>0</v>
      </c>
      <c r="G5" s="3">
        <v>0</v>
      </c>
      <c r="H5" s="3">
        <v>2.2931129000000001E-5</v>
      </c>
      <c r="I5" s="3">
        <v>1.1021543E-5</v>
      </c>
      <c r="J5" s="3">
        <v>-6.1610794999999996E-5</v>
      </c>
      <c r="K5" s="3"/>
      <c r="L5" s="3">
        <f t="shared" si="0"/>
        <v>0.19652090647941267</v>
      </c>
      <c r="M5" s="3"/>
      <c r="N5" s="2">
        <f>IF('Modell einstellen'!$B$1="Voll",H5/0.35,H5/0.35*2)</f>
        <v>1.3103502285714288E-4</v>
      </c>
      <c r="O5" s="2">
        <f>IF('Modell einstellen'!$B$1="Voll",J5/0.35,J5/0.35*2)</f>
        <v>-3.5206168571428573E-4</v>
      </c>
      <c r="P5" s="3">
        <f t="shared" si="1"/>
        <v>0.37219336319227825</v>
      </c>
      <c r="Q5" s="3"/>
      <c r="R5" s="3"/>
      <c r="S5" s="3"/>
      <c r="T5" s="3"/>
      <c r="U5" s="3"/>
    </row>
    <row r="6" spans="1:21" x14ac:dyDescent="0.25">
      <c r="A6" s="3">
        <v>9.9999999999999998E-13</v>
      </c>
      <c r="B6" s="3">
        <v>5.9719999999999997E-5</v>
      </c>
      <c r="C6" s="3">
        <v>1.215E-4</v>
      </c>
      <c r="D6" s="3">
        <v>-3.1480000000000001E-4</v>
      </c>
      <c r="E6" s="3">
        <v>0</v>
      </c>
      <c r="F6" s="3">
        <v>0</v>
      </c>
      <c r="G6" s="3">
        <v>0</v>
      </c>
      <c r="H6" s="3">
        <v>2.3595212E-5</v>
      </c>
      <c r="I6" s="3">
        <v>1.1232962E-5</v>
      </c>
      <c r="J6" s="3">
        <v>-6.2754045999999995E-5</v>
      </c>
      <c r="K6" s="3"/>
      <c r="L6" s="3">
        <f t="shared" si="0"/>
        <v>0.189707750952986</v>
      </c>
      <c r="M6" s="3"/>
      <c r="N6" s="2">
        <f>IF('Modell einstellen'!$B$1="Voll",H6/0.35,H6/0.35*2)</f>
        <v>1.3482978285714287E-4</v>
      </c>
      <c r="O6" s="2">
        <f>IF('Modell einstellen'!$B$1="Voll",J6/0.35,J6/0.35*2)</f>
        <v>-3.5859454857142857E-4</v>
      </c>
      <c r="P6" s="3">
        <f t="shared" si="1"/>
        <v>0.37599507129787302</v>
      </c>
      <c r="Q6" s="3"/>
      <c r="R6" s="3"/>
      <c r="S6" s="3"/>
      <c r="T6" s="3"/>
      <c r="U6" s="3"/>
    </row>
    <row r="7" spans="1:21" x14ac:dyDescent="0.25">
      <c r="A7" s="3">
        <v>9.9999999999999994E-12</v>
      </c>
      <c r="B7" s="3">
        <v>5.736E-5</v>
      </c>
      <c r="C7" s="3">
        <v>1.2400000000000001E-4</v>
      </c>
      <c r="D7" s="3">
        <v>-3.1609999999999999E-4</v>
      </c>
      <c r="E7" s="3">
        <v>0</v>
      </c>
      <c r="F7" s="3">
        <v>0</v>
      </c>
      <c r="G7" s="3">
        <v>0</v>
      </c>
      <c r="H7" s="3">
        <v>2.4353440999999998E-5</v>
      </c>
      <c r="I7" s="3">
        <v>1.1467678E-5</v>
      </c>
      <c r="J7" s="3">
        <v>-6.4043796000000001E-5</v>
      </c>
      <c r="K7" s="3"/>
      <c r="L7" s="3">
        <f t="shared" si="0"/>
        <v>0.18146156279658338</v>
      </c>
      <c r="M7" s="3"/>
      <c r="N7" s="2">
        <f>IF('Modell einstellen'!$B$1="Voll",H7/0.35,H7/0.35*2)</f>
        <v>1.3916252E-4</v>
      </c>
      <c r="O7" s="2">
        <f>IF('Modell einstellen'!$B$1="Voll",J7/0.35,J7/0.35*2)</f>
        <v>-3.6596454857142861E-4</v>
      </c>
      <c r="P7" s="3">
        <f t="shared" si="1"/>
        <v>0.38026229738162298</v>
      </c>
      <c r="Q7" s="3"/>
      <c r="R7" s="3"/>
      <c r="S7" s="3"/>
      <c r="T7" s="3"/>
      <c r="U7" s="3"/>
    </row>
    <row r="8" spans="1:21" x14ac:dyDescent="0.25">
      <c r="A8" s="3">
        <v>1E-10</v>
      </c>
      <c r="B8" s="3">
        <v>5.4559999999999999E-5</v>
      </c>
      <c r="C8" s="3">
        <v>1.2750000000000001E-4</v>
      </c>
      <c r="D8" s="3">
        <v>-3.1819999999999998E-4</v>
      </c>
      <c r="E8" s="3">
        <v>0</v>
      </c>
      <c r="F8" s="3">
        <v>0</v>
      </c>
      <c r="G8" s="3">
        <v>0</v>
      </c>
      <c r="H8" s="3">
        <v>2.5277583E-5</v>
      </c>
      <c r="I8" s="3">
        <v>1.1774434999999999E-5</v>
      </c>
      <c r="J8" s="3">
        <v>-6.5648682000000005E-5</v>
      </c>
      <c r="K8" s="3"/>
      <c r="L8" s="3">
        <f t="shared" si="0"/>
        <v>0.17146448774355752</v>
      </c>
      <c r="M8" s="3"/>
      <c r="N8" s="2">
        <f>IF('Modell einstellen'!$B$1="Voll",H8/0.35,H8/0.35*2)</f>
        <v>1.4444333142857145E-4</v>
      </c>
      <c r="O8" s="2">
        <f>IF('Modell einstellen'!$B$1="Voll",J8/0.35,J8/0.35*2)</f>
        <v>-3.7513532571428575E-4</v>
      </c>
      <c r="P8" s="3">
        <f t="shared" si="1"/>
        <v>0.38504326712911008</v>
      </c>
      <c r="Q8" s="3"/>
      <c r="R8" s="3"/>
      <c r="S8" s="3"/>
      <c r="T8" s="3"/>
      <c r="U8" s="3"/>
    </row>
    <row r="9" spans="1:21" x14ac:dyDescent="0.25">
      <c r="A9" s="3">
        <v>1.0000000000000001E-9</v>
      </c>
      <c r="B9" s="3">
        <v>5.0710000000000001E-5</v>
      </c>
      <c r="C9" s="3">
        <v>1.2999999999999999E-4</v>
      </c>
      <c r="D9" s="3">
        <v>-3.1819999999999998E-4</v>
      </c>
      <c r="E9" s="3">
        <v>0</v>
      </c>
      <c r="F9" s="3">
        <v>0</v>
      </c>
      <c r="G9" s="3">
        <v>0</v>
      </c>
      <c r="H9" s="3">
        <v>2.6202189000000001E-5</v>
      </c>
      <c r="I9" s="3">
        <v>1.2022158999999999E-5</v>
      </c>
      <c r="J9" s="3">
        <v>-6.7141760999999995E-5</v>
      </c>
      <c r="K9" s="3"/>
      <c r="L9" s="3">
        <f t="shared" si="0"/>
        <v>0.15936517913262099</v>
      </c>
      <c r="M9" s="3"/>
      <c r="N9" s="2">
        <f>IF('Modell einstellen'!$B$1="Voll",H9/0.35,H9/0.35*2)</f>
        <v>1.497267942857143E-4</v>
      </c>
      <c r="O9" s="2">
        <f>IF('Modell einstellen'!$B$1="Voll",J9/0.35,J9/0.35*2)</f>
        <v>-3.8366720571428569E-4</v>
      </c>
      <c r="P9" s="3">
        <f t="shared" si="1"/>
        <v>0.3902517391523288</v>
      </c>
      <c r="Q9" s="3"/>
      <c r="R9" s="3"/>
      <c r="S9" s="3"/>
      <c r="T9" s="3"/>
      <c r="U9" s="3"/>
    </row>
    <row r="10" spans="1:21" x14ac:dyDescent="0.25">
      <c r="A10" s="3">
        <v>1E-8</v>
      </c>
      <c r="B10" s="3">
        <v>4.6839999999999999E-5</v>
      </c>
      <c r="C10" s="3">
        <v>1.3339999999999999E-4</v>
      </c>
      <c r="D10" s="3">
        <v>-3.1920000000000001E-4</v>
      </c>
      <c r="E10" s="3">
        <v>0</v>
      </c>
      <c r="F10" s="3">
        <v>0</v>
      </c>
      <c r="G10" s="3">
        <v>0</v>
      </c>
      <c r="H10" s="3">
        <v>2.7195444000000001E-5</v>
      </c>
      <c r="I10" s="3">
        <v>1.2325492000000001E-5</v>
      </c>
      <c r="J10" s="3">
        <v>-6.8809267000000002E-5</v>
      </c>
      <c r="K10" s="3"/>
      <c r="L10" s="3">
        <f t="shared" si="0"/>
        <v>0.14674185463659148</v>
      </c>
      <c r="M10" s="3"/>
      <c r="N10" s="2">
        <f>IF('Modell einstellen'!$B$1="Voll",H10/0.35,H10/0.35*2)</f>
        <v>1.5540253714285717E-4</v>
      </c>
      <c r="O10" s="2">
        <f>IF('Modell einstellen'!$B$1="Voll",J10/0.35,J10/0.35*2)</f>
        <v>-3.9319581142857146E-4</v>
      </c>
      <c r="P10" s="3">
        <f t="shared" si="1"/>
        <v>0.3952293809495166</v>
      </c>
      <c r="Q10" s="3"/>
      <c r="R10" s="3"/>
      <c r="S10" s="3"/>
      <c r="T10" s="3"/>
      <c r="U10" s="3"/>
    </row>
    <row r="11" spans="1:21" x14ac:dyDescent="0.25">
      <c r="A11" s="3">
        <v>9.9999999999999995E-8</v>
      </c>
      <c r="B11" s="3">
        <v>4.1279999999999998E-5</v>
      </c>
      <c r="C11" s="3">
        <v>1.37E-4</v>
      </c>
      <c r="D11" s="3">
        <v>-3.188E-4</v>
      </c>
      <c r="E11" s="3">
        <v>0</v>
      </c>
      <c r="F11" s="3">
        <v>0</v>
      </c>
      <c r="G11" s="3">
        <v>0</v>
      </c>
      <c r="H11" s="3">
        <v>2.8406935E-5</v>
      </c>
      <c r="I11" s="3">
        <v>1.2652179999999999E-5</v>
      </c>
      <c r="J11" s="3">
        <v>-7.0757169999999999E-5</v>
      </c>
      <c r="K11" s="3"/>
      <c r="L11" s="3">
        <f t="shared" si="0"/>
        <v>0.12948557089084065</v>
      </c>
      <c r="M11" s="3"/>
      <c r="N11" s="2">
        <f>IF('Modell einstellen'!$B$1="Voll",H11/0.35,H11/0.35*2)</f>
        <v>1.6232534285714288E-4</v>
      </c>
      <c r="O11" s="2">
        <f>IF('Modell einstellen'!$B$1="Voll",J11/0.35,J11/0.35*2)</f>
        <v>-4.0432668571428575E-4</v>
      </c>
      <c r="P11" s="3">
        <f t="shared" si="1"/>
        <v>0.40147076260964087</v>
      </c>
      <c r="Q11" s="3"/>
      <c r="R11" s="3"/>
      <c r="S11" s="3"/>
      <c r="T11" s="3"/>
      <c r="U11" s="3"/>
    </row>
    <row r="12" spans="1:21" x14ac:dyDescent="0.25">
      <c r="A12" s="3">
        <v>9.9999999999999995E-7</v>
      </c>
      <c r="B12" s="3">
        <v>3.3309999999999998E-5</v>
      </c>
      <c r="C12" s="3">
        <v>1.4129999999999999E-4</v>
      </c>
      <c r="D12" s="3">
        <v>-3.1710000000000001E-4</v>
      </c>
      <c r="E12" s="3">
        <v>0</v>
      </c>
      <c r="F12" s="3">
        <v>0</v>
      </c>
      <c r="G12" s="3">
        <v>0</v>
      </c>
      <c r="H12" s="3">
        <v>2.9980218000000001E-5</v>
      </c>
      <c r="I12" s="3">
        <v>1.3050636E-5</v>
      </c>
      <c r="J12" s="3">
        <v>-7.3228888E-5</v>
      </c>
      <c r="K12" s="3"/>
      <c r="L12" s="3">
        <f t="shared" si="0"/>
        <v>0.10504572690003153</v>
      </c>
      <c r="M12" s="3"/>
      <c r="N12" s="2">
        <f>IF('Modell einstellen'!$B$1="Voll",H12/0.35,H12/0.35*2)</f>
        <v>1.7131553142857143E-4</v>
      </c>
      <c r="O12" s="2">
        <f>IF('Modell einstellen'!$B$1="Voll",J12/0.35,J12/0.35*2)</f>
        <v>-4.1845078857142859E-4</v>
      </c>
      <c r="P12" s="3">
        <f t="shared" si="1"/>
        <v>0.40940425041002942</v>
      </c>
      <c r="Q12" s="3"/>
      <c r="R12" s="3"/>
      <c r="S12" s="3"/>
      <c r="T12" s="3"/>
      <c r="U12" s="3"/>
    </row>
    <row r="13" spans="1:21" x14ac:dyDescent="0.25">
      <c r="A13" s="3">
        <v>1.0000000000000001E-5</v>
      </c>
      <c r="B13" s="3">
        <v>2.315E-5</v>
      </c>
      <c r="C13" s="3">
        <v>1.4579999999999999E-4</v>
      </c>
      <c r="D13" s="3">
        <v>-3.1359999999999998E-4</v>
      </c>
      <c r="E13" s="3">
        <v>0</v>
      </c>
      <c r="F13" s="3">
        <v>0</v>
      </c>
      <c r="G13" s="3">
        <v>0</v>
      </c>
      <c r="H13" s="3">
        <v>3.1786589000000001E-5</v>
      </c>
      <c r="I13" s="3">
        <v>1.3474529E-5</v>
      </c>
      <c r="J13" s="3">
        <v>-7.5990842000000006E-5</v>
      </c>
      <c r="K13" s="3"/>
      <c r="L13" s="3">
        <f t="shared" si="0"/>
        <v>7.3820153061224497E-2</v>
      </c>
      <c r="M13" s="3"/>
      <c r="N13" s="2">
        <f>IF('Modell einstellen'!$B$1="Voll",H13/0.35,H13/0.35*2)</f>
        <v>1.8163765142857144E-4</v>
      </c>
      <c r="O13" s="2">
        <f>IF('Modell einstellen'!$B$1="Voll",J13/0.35,J13/0.35*2)</f>
        <v>-4.3423338285714292E-4</v>
      </c>
      <c r="P13" s="3">
        <f t="shared" si="1"/>
        <v>0.41829499665235975</v>
      </c>
      <c r="Q13" s="3"/>
      <c r="R13" s="3"/>
      <c r="S13" s="3"/>
      <c r="T13" s="3"/>
      <c r="U13" s="3"/>
    </row>
    <row r="14" spans="1:21" x14ac:dyDescent="0.25">
      <c r="A14" s="3">
        <v>1E-4</v>
      </c>
      <c r="B14" s="3">
        <v>1.2649999999999999E-5</v>
      </c>
      <c r="C14" s="3">
        <v>1.4980000000000001E-4</v>
      </c>
      <c r="D14" s="3">
        <v>-3.0899999999999998E-4</v>
      </c>
      <c r="E14" s="3">
        <v>0</v>
      </c>
      <c r="F14" s="3">
        <v>0</v>
      </c>
      <c r="G14" s="3">
        <v>0</v>
      </c>
      <c r="H14" s="3">
        <v>3.3487193999999997E-5</v>
      </c>
      <c r="I14" s="3">
        <v>1.3842846999999999E-5</v>
      </c>
      <c r="J14" s="3">
        <v>-7.8521472E-5</v>
      </c>
      <c r="K14" s="3"/>
      <c r="L14" s="3">
        <f t="shared" si="0"/>
        <v>4.0938511326860841E-2</v>
      </c>
      <c r="M14" s="3"/>
      <c r="N14" s="2">
        <f>IF('Modell einstellen'!$B$1="Voll",H14/0.35,H14/0.35*2)</f>
        <v>1.9135539428571428E-4</v>
      </c>
      <c r="O14" s="2">
        <f>IF('Modell einstellen'!$B$1="Voll",J14/0.35,J14/0.35*2)</f>
        <v>-4.4869412571428574E-4</v>
      </c>
      <c r="P14" s="3">
        <f t="shared" si="1"/>
        <v>0.42647180633597898</v>
      </c>
      <c r="Q14" s="3"/>
      <c r="R14" s="3"/>
      <c r="S14" s="3"/>
      <c r="T14" s="3"/>
      <c r="U14" s="3"/>
    </row>
    <row r="15" spans="1:21" x14ac:dyDescent="0.25">
      <c r="A15" s="3">
        <v>1E-3</v>
      </c>
      <c r="B15" s="3">
        <v>1.5770000000000001E-6</v>
      </c>
      <c r="C15" s="3">
        <v>1.5339999999999999E-4</v>
      </c>
      <c r="D15" s="3">
        <v>-3.033E-4</v>
      </c>
      <c r="E15" s="3">
        <v>0</v>
      </c>
      <c r="F15" s="3">
        <v>0</v>
      </c>
      <c r="G15" s="3">
        <v>0</v>
      </c>
      <c r="H15" s="3">
        <v>3.5166119000000001E-5</v>
      </c>
      <c r="I15" s="3">
        <v>1.4182682E-5</v>
      </c>
      <c r="J15" s="3">
        <v>-8.0966235000000007E-5</v>
      </c>
      <c r="K15" s="3"/>
      <c r="L15" s="3">
        <f t="shared" si="0"/>
        <v>5.199472469502143E-3</v>
      </c>
      <c r="M15" s="3"/>
      <c r="N15" s="2">
        <f>IF('Modell einstellen'!$B$1="Voll",H15/0.35,H15/0.35*2)</f>
        <v>2.0094925142857145E-4</v>
      </c>
      <c r="O15" s="2">
        <f>IF('Modell einstellen'!$B$1="Voll",J15/0.35,J15/0.35*2)</f>
        <v>-4.6266420000000007E-4</v>
      </c>
      <c r="P15" s="3">
        <f t="shared" si="1"/>
        <v>0.43433066882756743</v>
      </c>
      <c r="Q15" s="3"/>
      <c r="R15" s="3"/>
      <c r="S15" s="3"/>
      <c r="T15" s="3"/>
      <c r="U15" s="3"/>
    </row>
    <row r="16" spans="1:21" x14ac:dyDescent="0.25">
      <c r="A16" s="3">
        <v>0.01</v>
      </c>
      <c r="B16" s="3">
        <v>-1.13E-5</v>
      </c>
      <c r="C16" s="3">
        <v>1.572E-4</v>
      </c>
      <c r="D16" s="3">
        <v>-2.9579999999999998E-4</v>
      </c>
      <c r="E16" s="3">
        <v>0</v>
      </c>
      <c r="F16" s="3">
        <v>0</v>
      </c>
      <c r="G16" s="3">
        <v>0</v>
      </c>
      <c r="H16" s="3">
        <v>3.6999407999999999E-5</v>
      </c>
      <c r="I16" s="3">
        <v>1.4527301999999999E-5</v>
      </c>
      <c r="J16" s="3">
        <v>-8.3576111000000004E-5</v>
      </c>
      <c r="K16" s="3"/>
      <c r="L16" s="3">
        <f t="shared" si="0"/>
        <v>-3.820148749154835E-2</v>
      </c>
      <c r="M16" s="3"/>
      <c r="N16" s="2">
        <f>IF('Modell einstellen'!$B$1="Voll",H16/0.35,H16/0.35*2)</f>
        <v>2.1142518857142858E-4</v>
      </c>
      <c r="O16" s="2">
        <f>IF('Modell einstellen'!$B$1="Voll",J16/0.35,J16/0.35*2)</f>
        <v>-4.775777771428572E-4</v>
      </c>
      <c r="P16" s="3">
        <f t="shared" si="1"/>
        <v>0.44270315473281591</v>
      </c>
      <c r="Q16" s="3"/>
      <c r="R16" s="3"/>
      <c r="S16" s="3"/>
      <c r="T16" s="3"/>
      <c r="U16" s="3"/>
    </row>
    <row r="17" spans="1:21" x14ac:dyDescent="0.25">
      <c r="A17" s="3">
        <v>0.1</v>
      </c>
      <c r="B17" s="3">
        <v>-2.6610000000000001E-5</v>
      </c>
      <c r="C17" s="3">
        <v>1.6100000000000001E-4</v>
      </c>
      <c r="D17" s="3">
        <v>-2.8620000000000002E-4</v>
      </c>
      <c r="E17" s="3">
        <v>0</v>
      </c>
      <c r="F17" s="3">
        <v>0</v>
      </c>
      <c r="G17" s="3">
        <v>0</v>
      </c>
      <c r="H17" s="3">
        <v>3.9062488999999997E-5</v>
      </c>
      <c r="I17" s="3">
        <v>1.4887880000000001E-5</v>
      </c>
      <c r="J17" s="3">
        <v>-8.6450868999999998E-5</v>
      </c>
      <c r="K17" s="3"/>
      <c r="L17" s="3">
        <f t="shared" si="0"/>
        <v>-9.29769392033543E-2</v>
      </c>
      <c r="M17" s="3"/>
      <c r="N17" s="2">
        <f>IF('Modell einstellen'!$B$1="Voll",H17/0.35,H17/0.35*2)</f>
        <v>2.2321422285714285E-4</v>
      </c>
      <c r="O17" s="2">
        <f>IF('Modell einstellen'!$B$1="Voll",J17/0.35,J17/0.35*2)</f>
        <v>-4.940049657142857E-4</v>
      </c>
      <c r="P17" s="3">
        <f t="shared" si="1"/>
        <v>0.45184611157581306</v>
      </c>
      <c r="Q17" s="3"/>
      <c r="R17" s="3"/>
      <c r="S17" s="3"/>
      <c r="T17" s="3"/>
      <c r="U17" s="3"/>
    </row>
    <row r="18" spans="1:21" x14ac:dyDescent="0.25">
      <c r="A18" s="3">
        <v>1</v>
      </c>
      <c r="B18" s="3">
        <v>-4.3659999999999999E-5</v>
      </c>
      <c r="C18" s="3">
        <v>1.65E-4</v>
      </c>
      <c r="D18" s="3">
        <v>-2.7490000000000001E-4</v>
      </c>
      <c r="E18" s="3">
        <v>0</v>
      </c>
      <c r="F18" s="3">
        <v>0</v>
      </c>
      <c r="G18" s="3">
        <v>0</v>
      </c>
      <c r="H18" s="3">
        <v>4.1297939999999999E-5</v>
      </c>
      <c r="I18" s="3">
        <v>1.5263712E-5</v>
      </c>
      <c r="J18" s="3">
        <v>-8.9523112000000003E-5</v>
      </c>
      <c r="K18" s="3"/>
      <c r="L18" s="3">
        <f t="shared" si="0"/>
        <v>-0.15882138959621681</v>
      </c>
      <c r="M18" s="3"/>
      <c r="N18" s="2">
        <f>IF('Modell einstellen'!$B$1="Voll",H18/0.35,H18/0.35*2)</f>
        <v>2.3598822857142859E-4</v>
      </c>
      <c r="O18" s="2">
        <f>IF('Modell einstellen'!$B$1="Voll",J18/0.35,J18/0.35*2)</f>
        <v>-5.1156064000000003E-4</v>
      </c>
      <c r="P18" s="3">
        <f t="shared" si="1"/>
        <v>0.46131037089059196</v>
      </c>
      <c r="Q18" s="3"/>
      <c r="R18" s="3"/>
      <c r="S18" s="3"/>
      <c r="T18" s="3"/>
      <c r="U18" s="3"/>
    </row>
    <row r="19" spans="1:21" x14ac:dyDescent="0.25">
      <c r="A19" s="3">
        <v>10</v>
      </c>
      <c r="B19" s="3">
        <v>-6.1740000000000002E-5</v>
      </c>
      <c r="C19" s="3">
        <v>1.708E-4</v>
      </c>
      <c r="D19" s="3">
        <v>-2.6420000000000003E-4</v>
      </c>
      <c r="E19" s="3">
        <v>0</v>
      </c>
      <c r="F19" s="3">
        <v>0</v>
      </c>
      <c r="G19" s="3">
        <v>0</v>
      </c>
      <c r="H19" s="3">
        <v>4.4287730999999998E-5</v>
      </c>
      <c r="I19" s="3">
        <v>1.5917714E-5</v>
      </c>
      <c r="J19" s="3">
        <v>-9.3880491000000006E-5</v>
      </c>
      <c r="K19" s="3"/>
      <c r="L19" s="3">
        <f t="shared" si="0"/>
        <v>-0.23368660105980316</v>
      </c>
      <c r="M19" s="3"/>
      <c r="N19" s="2">
        <f>IF('Modell einstellen'!$B$1="Voll",H19/0.35,H19/0.35*2)</f>
        <v>2.5307274857142855E-4</v>
      </c>
      <c r="O19" s="2">
        <f>IF('Modell einstellen'!$B$1="Voll",J19/0.35,J19/0.35*2)</f>
        <v>-5.3645994857142863E-4</v>
      </c>
      <c r="P19" s="3">
        <f t="shared" si="1"/>
        <v>0.47174583907960166</v>
      </c>
      <c r="Q19" s="3"/>
      <c r="R19" s="3"/>
      <c r="S19" s="3"/>
      <c r="T19" s="3"/>
      <c r="U19" s="3"/>
    </row>
    <row r="20" spans="1:21" x14ac:dyDescent="0.25">
      <c r="A20" s="3">
        <v>100</v>
      </c>
      <c r="B20" s="3">
        <v>-5.7970000000000002E-5</v>
      </c>
      <c r="C20" s="3">
        <v>1.863E-4</v>
      </c>
      <c r="D20" s="3">
        <v>-2.8229999999999998E-4</v>
      </c>
      <c r="E20" s="3">
        <v>0</v>
      </c>
      <c r="F20" s="3">
        <v>0</v>
      </c>
      <c r="G20" s="3">
        <v>0</v>
      </c>
      <c r="H20" s="3">
        <v>4.9616590000000001E-5</v>
      </c>
      <c r="I20" s="3">
        <v>1.8245507999999999E-5</v>
      </c>
      <c r="J20" s="3">
        <v>-1.0368206000000001E-4</v>
      </c>
      <c r="K20" s="3"/>
      <c r="L20" s="3">
        <f t="shared" si="0"/>
        <v>-0.20534891958908966</v>
      </c>
      <c r="M20" s="3"/>
      <c r="N20" s="2">
        <f>IF('Modell einstellen'!$B$1="Voll",H20/0.35,H20/0.35*2)</f>
        <v>2.8352337142857143E-4</v>
      </c>
      <c r="O20" s="2">
        <f>IF('Modell einstellen'!$B$1="Voll",J20/0.35,J20/0.35*2)</f>
        <v>-5.9246891428571438E-4</v>
      </c>
      <c r="P20" s="3">
        <f t="shared" si="1"/>
        <v>0.4785455651633464</v>
      </c>
      <c r="Q20" s="3"/>
      <c r="R20" s="3"/>
      <c r="S20" s="3"/>
      <c r="T20" s="3"/>
      <c r="U20" s="3"/>
    </row>
    <row r="21" spans="1:21" x14ac:dyDescent="0.25">
      <c r="A21" s="3">
        <v>1000</v>
      </c>
      <c r="B21" s="3">
        <v>1.4080000000000001E-5</v>
      </c>
      <c r="C21" s="3">
        <v>2.2359999999999999E-4</v>
      </c>
      <c r="D21" s="3">
        <v>-3.8309999999999999E-4</v>
      </c>
      <c r="E21" s="3">
        <v>0</v>
      </c>
      <c r="F21" s="3">
        <v>0</v>
      </c>
      <c r="G21" s="3">
        <v>0</v>
      </c>
      <c r="H21" s="3">
        <v>5.9746427999999998E-5</v>
      </c>
      <c r="I21" s="3">
        <v>2.4873671999999999E-5</v>
      </c>
      <c r="J21" s="3">
        <v>-1.2628910999999999E-4</v>
      </c>
      <c r="K21" s="3"/>
      <c r="L21" s="3">
        <f t="shared" si="0"/>
        <v>3.6752806055860093E-2</v>
      </c>
      <c r="M21" s="3"/>
      <c r="N21" s="2">
        <f>IF('Modell einstellen'!$B$1="Voll",H21/0.35,H21/0.35*2)</f>
        <v>3.4140816000000003E-4</v>
      </c>
      <c r="O21" s="2">
        <f>IF('Modell einstellen'!$B$1="Voll",J21/0.35,J21/0.35*2)</f>
        <v>-7.2165205714285711E-4</v>
      </c>
      <c r="P21" s="3">
        <f t="shared" si="1"/>
        <v>0.47309247804501914</v>
      </c>
      <c r="Q21" s="3"/>
      <c r="R21" s="3"/>
      <c r="S21" s="3"/>
      <c r="T21" s="3"/>
      <c r="U21" s="3"/>
    </row>
    <row r="22" spans="1:21" x14ac:dyDescent="0.25">
      <c r="A22" s="3">
        <v>10000</v>
      </c>
      <c r="B22" s="3">
        <v>1.3320000000000001E-4</v>
      </c>
      <c r="C22" s="3">
        <v>2.8449999999999998E-4</v>
      </c>
      <c r="D22" s="3">
        <v>-5.5099999999999995E-4</v>
      </c>
      <c r="E22" s="3">
        <v>0</v>
      </c>
      <c r="F22" s="3">
        <v>0</v>
      </c>
      <c r="G22" s="3">
        <v>0</v>
      </c>
      <c r="H22" s="3">
        <v>7.4246235000000003E-5</v>
      </c>
      <c r="I22" s="3">
        <v>3.5664323E-5</v>
      </c>
      <c r="J22" s="3">
        <v>-1.6117959000000001E-4</v>
      </c>
      <c r="K22" s="3"/>
      <c r="L22" s="3">
        <f t="shared" si="0"/>
        <v>0.2417422867513612</v>
      </c>
      <c r="M22" s="3"/>
      <c r="N22" s="2">
        <f>IF('Modell einstellen'!$B$1="Voll",H22/0.35,H22/0.35*2)</f>
        <v>4.2426420000000006E-4</v>
      </c>
      <c r="O22" s="2">
        <f>IF('Modell einstellen'!$B$1="Voll",J22/0.35,J22/0.35*2)</f>
        <v>-9.2102622857142874E-4</v>
      </c>
      <c r="P22" s="3">
        <f t="shared" si="1"/>
        <v>0.46064290770314031</v>
      </c>
      <c r="Q22" s="3"/>
      <c r="R22" s="3"/>
      <c r="S22" s="3"/>
      <c r="T22" s="3"/>
      <c r="U22" s="3"/>
    </row>
    <row r="23" spans="1:21" x14ac:dyDescent="0.25">
      <c r="A23" s="3">
        <v>100000</v>
      </c>
      <c r="B23" s="3">
        <v>2.6039999999999999E-4</v>
      </c>
      <c r="C23" s="3">
        <v>3.6640000000000002E-4</v>
      </c>
      <c r="D23" s="3">
        <v>-7.4930000000000005E-4</v>
      </c>
      <c r="E23" s="3">
        <v>0</v>
      </c>
      <c r="F23" s="3">
        <v>0</v>
      </c>
      <c r="G23" s="3">
        <v>0</v>
      </c>
      <c r="H23" s="3">
        <v>9.2668220999999999E-5</v>
      </c>
      <c r="I23" s="3">
        <v>4.9720557000000002E-5</v>
      </c>
      <c r="J23" s="3">
        <v>-2.0641138000000001E-4</v>
      </c>
      <c r="K23" s="3"/>
      <c r="L23" s="3">
        <f t="shared" si="0"/>
        <v>0.34752435606566123</v>
      </c>
      <c r="M23" s="3"/>
      <c r="N23" s="2">
        <f>IF('Modell einstellen'!$B$1="Voll",H23/0.35,H23/0.35*2)</f>
        <v>5.295326914285715E-4</v>
      </c>
      <c r="O23" s="2">
        <f>IF('Modell einstellen'!$B$1="Voll",J23/0.35,J23/0.35*2)</f>
        <v>-1.1794936000000002E-3</v>
      </c>
      <c r="P23" s="3">
        <f t="shared" si="1"/>
        <v>0.4489491858443076</v>
      </c>
      <c r="Q23" s="3"/>
      <c r="R23" s="3"/>
      <c r="S23" s="3"/>
      <c r="T23" s="3"/>
      <c r="U23" s="3"/>
    </row>
    <row r="24" spans="1:21" x14ac:dyDescent="0.25">
      <c r="A24" s="3">
        <v>1000000</v>
      </c>
      <c r="B24" s="3">
        <v>3.8000000000000002E-4</v>
      </c>
      <c r="C24" s="3">
        <v>4.7849999999999998E-4</v>
      </c>
      <c r="D24" s="3">
        <v>-9.7249999999999995E-4</v>
      </c>
      <c r="E24" s="3">
        <v>0</v>
      </c>
      <c r="F24" s="3">
        <v>0</v>
      </c>
      <c r="G24" s="3">
        <v>0</v>
      </c>
      <c r="H24" s="3">
        <v>1.1746431999999999E-4</v>
      </c>
      <c r="I24" s="3">
        <v>6.8736947999999994E-5</v>
      </c>
      <c r="J24" s="3">
        <v>-2.6778453000000002E-4</v>
      </c>
      <c r="K24" s="3"/>
      <c r="L24" s="3">
        <f t="shared" si="0"/>
        <v>0.39074550128534707</v>
      </c>
      <c r="M24" s="3"/>
      <c r="N24" s="2">
        <f>IF('Modell einstellen'!$B$1="Voll",H24/0.35,H24/0.35*2)</f>
        <v>6.712246857142857E-4</v>
      </c>
      <c r="O24" s="2">
        <f>IF('Modell einstellen'!$B$1="Voll",J24/0.35,J24/0.35*2)</f>
        <v>-1.5301973142857145E-3</v>
      </c>
      <c r="P24" s="3">
        <f t="shared" si="1"/>
        <v>0.4386523747282936</v>
      </c>
      <c r="Q24" s="3"/>
      <c r="R24" s="3"/>
      <c r="S24" s="3"/>
      <c r="T24" s="3"/>
      <c r="U24" s="3"/>
    </row>
    <row r="25" spans="1:21" x14ac:dyDescent="0.25">
      <c r="A25" s="3">
        <v>10000000</v>
      </c>
      <c r="B25" s="3">
        <v>4.8799999999999999E-4</v>
      </c>
      <c r="C25" s="3">
        <v>6.4919999999999995E-4</v>
      </c>
      <c r="D25" s="3">
        <v>-1.2440000000000001E-3</v>
      </c>
      <c r="E25" s="3">
        <v>0</v>
      </c>
      <c r="F25" s="3">
        <v>0</v>
      </c>
      <c r="G25" s="3">
        <v>0</v>
      </c>
      <c r="H25" s="3">
        <v>1.5519087E-4</v>
      </c>
      <c r="I25" s="3">
        <v>9.8127203000000006E-5</v>
      </c>
      <c r="J25" s="3">
        <v>-3.6228144000000003E-4</v>
      </c>
      <c r="K25" s="3"/>
      <c r="L25" s="3">
        <f t="shared" si="0"/>
        <v>0.39228295819935688</v>
      </c>
      <c r="M25" s="3"/>
      <c r="N25" s="2">
        <f>IF('Modell einstellen'!$B$1="Voll",H25/0.35,H25/0.35*2)</f>
        <v>8.8680497142857152E-4</v>
      </c>
      <c r="O25" s="2">
        <f>IF('Modell einstellen'!$B$1="Voll",J25/0.35,J25/0.35*2)</f>
        <v>-2.0701796571428576E-3</v>
      </c>
      <c r="P25" s="3">
        <f t="shared" si="1"/>
        <v>0.42837102005556782</v>
      </c>
      <c r="Q25" s="3"/>
      <c r="R25" s="3"/>
      <c r="S25" s="3"/>
      <c r="T25" s="3"/>
      <c r="U25" s="3"/>
    </row>
    <row r="26" spans="1:21" x14ac:dyDescent="0.25">
      <c r="A26" s="3">
        <v>100000000</v>
      </c>
      <c r="B26" s="3">
        <v>5.9329999999999995E-4</v>
      </c>
      <c r="C26" s="3">
        <v>9.2969999999999999E-4</v>
      </c>
      <c r="D26" s="3">
        <v>-1.622E-3</v>
      </c>
      <c r="E26" s="3">
        <v>0</v>
      </c>
      <c r="F26" s="3">
        <v>0</v>
      </c>
      <c r="G26" s="3">
        <v>0</v>
      </c>
      <c r="H26" s="3">
        <v>2.1550656999999999E-4</v>
      </c>
      <c r="I26" s="3">
        <v>1.4702617E-4</v>
      </c>
      <c r="J26" s="3">
        <v>-5.1704555000000002E-4</v>
      </c>
      <c r="K26" s="3"/>
      <c r="L26" s="3">
        <f t="shared" si="0"/>
        <v>0.36578298397040687</v>
      </c>
      <c r="M26" s="3"/>
      <c r="N26" s="2">
        <f>IF('Modell einstellen'!$B$1="Voll",H26/0.35,H26/0.35*2)</f>
        <v>1.2314661142857144E-3</v>
      </c>
      <c r="O26" s="2">
        <f>IF('Modell einstellen'!$B$1="Voll",J26/0.35,J26/0.35*2)</f>
        <v>-2.9545460000000002E-3</v>
      </c>
      <c r="P26" s="3">
        <f t="shared" si="1"/>
        <v>0.41680383865599463</v>
      </c>
      <c r="Q26" s="3"/>
      <c r="R26" s="3"/>
      <c r="S26" s="3"/>
      <c r="T26" s="3"/>
      <c r="U26" s="3"/>
    </row>
    <row r="27" spans="1:21" x14ac:dyDescent="0.25">
      <c r="A27" s="3">
        <v>1000000000</v>
      </c>
      <c r="B27" s="3">
        <v>7.1509999999999998E-4</v>
      </c>
      <c r="C27" s="3">
        <v>1.3389999999999999E-3</v>
      </c>
      <c r="D27" s="3">
        <v>-2.147E-3</v>
      </c>
      <c r="E27" s="3">
        <v>0</v>
      </c>
      <c r="F27" s="3">
        <v>0</v>
      </c>
      <c r="G27" s="3">
        <v>0</v>
      </c>
      <c r="H27" s="3">
        <v>3.0298135999999999E-4</v>
      </c>
      <c r="I27" s="3">
        <v>2.2002434E-4</v>
      </c>
      <c r="J27" s="3">
        <v>-7.4516844999999998E-4</v>
      </c>
      <c r="K27" s="3"/>
      <c r="L27" s="3">
        <f t="shared" si="0"/>
        <v>0.33306939916162087</v>
      </c>
      <c r="M27" s="3"/>
      <c r="N27" s="2">
        <f>IF('Modell einstellen'!$B$1="Voll",H27/0.35,H27/0.35*2)</f>
        <v>1.7313220571428573E-3</v>
      </c>
      <c r="O27" s="2">
        <f>IF('Modell einstellen'!$B$1="Voll",J27/0.35,J27/0.35*2)</f>
        <v>-4.2581054285714291E-3</v>
      </c>
      <c r="P27" s="3">
        <f t="shared" si="1"/>
        <v>0.40659445525370808</v>
      </c>
      <c r="Q27" s="3"/>
      <c r="R27" s="3"/>
      <c r="S27" s="3"/>
      <c r="T27" s="3"/>
      <c r="U27" s="3"/>
    </row>
    <row r="28" spans="1:21" x14ac:dyDescent="0.25">
      <c r="A28" s="3">
        <v>10000000000</v>
      </c>
      <c r="B28" s="3">
        <v>8.8650000000000003E-4</v>
      </c>
      <c r="C28" s="3">
        <v>1.8500000000000001E-3</v>
      </c>
      <c r="D28" s="3">
        <v>-2.8240000000000001E-3</v>
      </c>
      <c r="E28" s="3">
        <v>0</v>
      </c>
      <c r="F28" s="3">
        <v>0</v>
      </c>
      <c r="G28" s="3">
        <v>0</v>
      </c>
      <c r="H28" s="3">
        <v>4.1044912999999998E-4</v>
      </c>
      <c r="I28" s="3">
        <v>3.1246183999999999E-4</v>
      </c>
      <c r="J28" s="3">
        <v>-1.0301074000000001E-3</v>
      </c>
      <c r="K28" s="3"/>
      <c r="L28" s="3">
        <f t="shared" si="0"/>
        <v>0.31391643059490082</v>
      </c>
      <c r="M28" s="3"/>
      <c r="N28" s="2">
        <f>IF('Modell einstellen'!$B$1="Voll",H28/0.35,H28/0.35*2)</f>
        <v>2.3454235999999999E-3</v>
      </c>
      <c r="O28" s="2">
        <f>IF('Modell einstellen'!$B$1="Voll",J28/0.35,J28/0.35*2)</f>
        <v>-5.8863280000000006E-3</v>
      </c>
      <c r="P28" s="3">
        <f t="shared" si="1"/>
        <v>0.39845275356724935</v>
      </c>
      <c r="Q28" s="3"/>
      <c r="R28" s="3"/>
      <c r="S28" s="3"/>
      <c r="T28" s="3"/>
      <c r="U28" s="3"/>
    </row>
    <row r="29" spans="1:21" x14ac:dyDescent="0.25">
      <c r="A29" s="3">
        <v>100000000000</v>
      </c>
      <c r="B29" s="3">
        <v>1.098E-3</v>
      </c>
      <c r="C29" s="3">
        <v>2.3040000000000001E-3</v>
      </c>
      <c r="D29" s="3">
        <v>-3.4840000000000001E-3</v>
      </c>
      <c r="E29" s="3">
        <v>0</v>
      </c>
      <c r="F29" s="3">
        <v>0</v>
      </c>
      <c r="G29" s="3">
        <v>0</v>
      </c>
      <c r="H29" s="3">
        <v>5.0002730999999996E-4</v>
      </c>
      <c r="I29" s="3">
        <v>3.9353836E-4</v>
      </c>
      <c r="J29" s="3">
        <v>-1.2747809E-3</v>
      </c>
      <c r="K29" s="3"/>
      <c r="L29" s="3">
        <f t="shared" si="0"/>
        <v>0.31515499425947185</v>
      </c>
      <c r="M29" s="3"/>
      <c r="N29" s="2">
        <f>IF('Modell einstellen'!$B$1="Voll",H29/0.35,H29/0.35*2)</f>
        <v>2.8572989142857143E-3</v>
      </c>
      <c r="O29" s="2">
        <f>IF('Modell einstellen'!$B$1="Voll",J29/0.35,J29/0.35*2)</f>
        <v>-7.2844622857142858E-3</v>
      </c>
      <c r="P29" s="3">
        <f t="shared" si="1"/>
        <v>0.39224568708238411</v>
      </c>
      <c r="Q29" s="3"/>
      <c r="R29" s="3"/>
      <c r="S29" s="3"/>
      <c r="T29" s="3"/>
      <c r="U29" s="3"/>
    </row>
    <row r="30" spans="1:21" x14ac:dyDescent="0.25">
      <c r="A30" s="3">
        <v>1000000000000</v>
      </c>
      <c r="B30" s="3">
        <v>1.3010000000000001E-3</v>
      </c>
      <c r="C30" s="3">
        <v>2.647E-3</v>
      </c>
      <c r="D30" s="3">
        <v>-4.0280000000000003E-3</v>
      </c>
      <c r="E30" s="3">
        <v>0</v>
      </c>
      <c r="F30" s="3">
        <v>0</v>
      </c>
      <c r="G30" s="3">
        <v>0</v>
      </c>
      <c r="H30" s="3">
        <v>5.6381160999999995E-4</v>
      </c>
      <c r="I30" s="3">
        <v>4.5382890999999997E-4</v>
      </c>
      <c r="J30" s="3">
        <v>-1.4535793999999999E-3</v>
      </c>
      <c r="K30" s="3"/>
      <c r="L30" s="3">
        <f t="shared" si="0"/>
        <v>0.32298907646474678</v>
      </c>
      <c r="M30" s="3"/>
      <c r="N30" s="2">
        <f>IF('Modell einstellen'!$B$1="Voll",H30/0.35,H30/0.35*2)</f>
        <v>3.2217806285714285E-3</v>
      </c>
      <c r="O30" s="2">
        <f>IF('Modell einstellen'!$B$1="Voll",J30/0.35,J30/0.35*2)</f>
        <v>-8.3061679999999992E-3</v>
      </c>
      <c r="P30" s="3">
        <f t="shared" si="1"/>
        <v>0.38787809596090866</v>
      </c>
      <c r="Q30" s="3"/>
      <c r="R30" s="3"/>
      <c r="S30" s="3"/>
      <c r="T30" s="3"/>
      <c r="U30" s="3"/>
    </row>
    <row r="31" spans="1:21" x14ac:dyDescent="0.25">
      <c r="A31" s="3">
        <v>10000000000000</v>
      </c>
      <c r="B31" s="3">
        <v>1.4580000000000001E-3</v>
      </c>
      <c r="C31" s="3">
        <v>2.8709999999999999E-3</v>
      </c>
      <c r="D31" s="3">
        <v>-4.4060000000000002E-3</v>
      </c>
      <c r="E31" s="3">
        <v>0</v>
      </c>
      <c r="F31" s="3">
        <v>0</v>
      </c>
      <c r="G31" s="3">
        <v>0</v>
      </c>
      <c r="H31" s="3">
        <v>6.0239690000000003E-4</v>
      </c>
      <c r="I31" s="3">
        <v>4.9192531E-4</v>
      </c>
      <c r="J31" s="3">
        <v>-1.5647066999999999E-3</v>
      </c>
      <c r="K31" s="3"/>
      <c r="L31" s="3">
        <f t="shared" si="0"/>
        <v>0.33091239219246482</v>
      </c>
      <c r="M31" s="3"/>
      <c r="N31" s="2">
        <f>IF('Modell einstellen'!$B$1="Voll",H31/0.35,H31/0.35*2)</f>
        <v>3.4422680000000005E-3</v>
      </c>
      <c r="O31" s="2">
        <f>IF('Modell einstellen'!$B$1="Voll",J31/0.35,J31/0.35*2)</f>
        <v>-8.9411811428571422E-3</v>
      </c>
      <c r="P31" s="3">
        <f t="shared" si="1"/>
        <v>0.38499029882085894</v>
      </c>
      <c r="Q31" s="3"/>
      <c r="R31" s="3"/>
      <c r="S31" s="3"/>
      <c r="T31" s="3"/>
      <c r="U31" s="3"/>
    </row>
    <row r="32" spans="1:21" x14ac:dyDescent="0.25">
      <c r="A32" s="3">
        <v>100000000000000</v>
      </c>
      <c r="B32" s="3">
        <v>1.4480000000000001E-3</v>
      </c>
      <c r="C32" s="3">
        <v>2.9520000000000002E-3</v>
      </c>
      <c r="D32" s="3">
        <v>-4.4780000000000002E-3</v>
      </c>
      <c r="E32" s="3">
        <v>0</v>
      </c>
      <c r="F32" s="3">
        <v>0</v>
      </c>
      <c r="G32" s="3">
        <v>0</v>
      </c>
      <c r="H32" s="3">
        <v>6.3006805999999999E-4</v>
      </c>
      <c r="I32" s="3">
        <v>5.1025075E-4</v>
      </c>
      <c r="J32" s="3">
        <v>-1.6271606000000001E-3</v>
      </c>
      <c r="K32" s="3"/>
      <c r="L32" s="3">
        <f t="shared" si="0"/>
        <v>0.32335864225100491</v>
      </c>
      <c r="M32" s="3"/>
      <c r="N32" s="2">
        <f>IF('Modell einstellen'!$B$1="Voll",H32/0.35,H32/0.35*2)</f>
        <v>3.6003889142857144E-3</v>
      </c>
      <c r="O32" s="2">
        <f>IF('Modell einstellen'!$B$1="Voll",J32/0.35,J32/0.35*2)</f>
        <v>-9.2980605714285732E-3</v>
      </c>
      <c r="P32" s="3">
        <f t="shared" si="1"/>
        <v>0.38721934392954199</v>
      </c>
      <c r="Q32" s="3"/>
      <c r="R32" s="3"/>
      <c r="S32" s="3"/>
      <c r="T32" s="3"/>
      <c r="U32" s="3"/>
    </row>
    <row r="33" spans="1:21" x14ac:dyDescent="0.25">
      <c r="A33" s="2">
        <v>1000000000000000</v>
      </c>
      <c r="B33" s="3">
        <v>1.6440000000000001E-3</v>
      </c>
      <c r="C33" s="3">
        <v>3.1189999999999998E-3</v>
      </c>
      <c r="D33" s="3">
        <v>-4.8390000000000004E-3</v>
      </c>
      <c r="E33" s="3">
        <v>0</v>
      </c>
      <c r="F33" s="3">
        <v>0</v>
      </c>
      <c r="G33" s="3">
        <v>0</v>
      </c>
      <c r="H33" s="3">
        <v>6.4626503999999998E-4</v>
      </c>
      <c r="I33" s="3">
        <v>5.3493541000000004E-4</v>
      </c>
      <c r="J33" s="3">
        <v>-1.6903407000000001E-3</v>
      </c>
      <c r="K33" s="3"/>
      <c r="L33" s="3">
        <f t="shared" si="0"/>
        <v>0.3397396156230626</v>
      </c>
      <c r="M33" s="3"/>
      <c r="N33" s="2">
        <f>IF('Modell einstellen'!$B$1="Voll",H33/0.35,H33/0.35*2)</f>
        <v>3.6929430857142857E-3</v>
      </c>
      <c r="O33" s="2">
        <f>IF('Modell einstellen'!$B$1="Voll",J33/0.35,J33/0.35*2)</f>
        <v>-9.6590897142857148E-3</v>
      </c>
      <c r="P33" s="3">
        <f t="shared" si="1"/>
        <v>0.38232827263758129</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6.6470000000000006E-5</v>
      </c>
      <c r="C3" s="3">
        <v>1.184E-4</v>
      </c>
      <c r="D3" s="3">
        <v>-3.1589999999999998E-4</v>
      </c>
      <c r="E3" s="3">
        <v>0</v>
      </c>
      <c r="F3" s="3">
        <v>0</v>
      </c>
      <c r="G3" s="3">
        <v>0</v>
      </c>
      <c r="H3" s="3">
        <v>2.254163E-5</v>
      </c>
      <c r="I3" s="3">
        <v>1.0983850999999999E-5</v>
      </c>
      <c r="J3" s="3">
        <v>-6.1149377000000005E-5</v>
      </c>
      <c r="K3" s="2"/>
      <c r="L3" s="3"/>
      <c r="M3" s="3"/>
      <c r="N3" s="2">
        <f>IF('Modell einstellen'!$B$1="Voll",H3/0.35,H3/0.35*2)</f>
        <v>1.2880931428571428E-4</v>
      </c>
      <c r="O3" s="2">
        <f>IF('Modell einstellen'!$B$1="Voll",J3/0.35,J3/0.35*2)</f>
        <v>-3.4942501142857146E-4</v>
      </c>
      <c r="P3" s="3">
        <f>-N3/O3</f>
        <v>0.36863221026765319</v>
      </c>
      <c r="Q3" s="3"/>
      <c r="R3" s="3"/>
      <c r="S3" s="3"/>
      <c r="T3" s="3"/>
      <c r="U3" s="3"/>
    </row>
    <row r="4" spans="1:21" x14ac:dyDescent="0.25">
      <c r="A4" s="3">
        <v>1E-14</v>
      </c>
      <c r="B4" s="3">
        <v>6.4499999999999996E-5</v>
      </c>
      <c r="C4" s="3">
        <v>1.2070000000000001E-4</v>
      </c>
      <c r="D4" s="3">
        <v>-3.1740000000000002E-4</v>
      </c>
      <c r="E4" s="3">
        <v>0</v>
      </c>
      <c r="F4" s="3">
        <v>0</v>
      </c>
      <c r="G4" s="3">
        <v>0</v>
      </c>
      <c r="H4" s="3">
        <v>2.3258552999999999E-5</v>
      </c>
      <c r="I4" s="3">
        <v>1.1212945E-5</v>
      </c>
      <c r="J4" s="3">
        <v>-6.2385052999999998E-5</v>
      </c>
      <c r="K4" s="2"/>
      <c r="L4" s="3"/>
      <c r="M4" s="3"/>
      <c r="N4" s="2">
        <f>IF('Modell einstellen'!$B$1="Voll",H4/0.35,H4/0.35*2)</f>
        <v>1.3290601714285714E-4</v>
      </c>
      <c r="O4" s="2">
        <f>IF('Modell einstellen'!$B$1="Voll",J4/0.35,J4/0.35*2)</f>
        <v>-3.5648601714285716E-4</v>
      </c>
      <c r="P4" s="3">
        <f t="shared" ref="P4:P33" si="0">-N4/O4</f>
        <v>0.37282252529303772</v>
      </c>
      <c r="Q4" s="3"/>
      <c r="R4" s="3"/>
      <c r="S4" s="3"/>
      <c r="T4" s="3"/>
      <c r="U4" s="3"/>
    </row>
    <row r="5" spans="1:21" x14ac:dyDescent="0.25">
      <c r="A5" s="3">
        <v>1E-13</v>
      </c>
      <c r="B5" s="3">
        <v>6.2570000000000006E-5</v>
      </c>
      <c r="C5" s="3">
        <v>1.2300000000000001E-4</v>
      </c>
      <c r="D5" s="3">
        <v>-3.189E-4</v>
      </c>
      <c r="E5" s="3">
        <v>0</v>
      </c>
      <c r="F5" s="3">
        <v>0</v>
      </c>
      <c r="G5" s="3">
        <v>0</v>
      </c>
      <c r="H5" s="3">
        <v>2.3970517E-5</v>
      </c>
      <c r="I5" s="3">
        <v>1.1440042E-5</v>
      </c>
      <c r="J5" s="3">
        <v>-6.3609303000000003E-5</v>
      </c>
      <c r="K5" s="2"/>
      <c r="L5" s="3"/>
      <c r="M5" s="3"/>
      <c r="N5" s="2">
        <f>IF('Modell einstellen'!$B$1="Voll",H5/0.35,H5/0.35*2)</f>
        <v>1.3697438285714287E-4</v>
      </c>
      <c r="O5" s="2">
        <f>IF('Modell einstellen'!$B$1="Voll",J5/0.35,J5/0.35*2)</f>
        <v>-3.6348173142857149E-4</v>
      </c>
      <c r="P5" s="3">
        <f t="shared" si="0"/>
        <v>0.37683979967521414</v>
      </c>
      <c r="Q5" s="3"/>
      <c r="R5" s="3"/>
      <c r="S5" s="3"/>
      <c r="T5" s="3"/>
      <c r="U5" s="3"/>
    </row>
    <row r="6" spans="1:21" x14ac:dyDescent="0.25">
      <c r="A6" s="3">
        <v>9.9999999999999998E-13</v>
      </c>
      <c r="B6" s="3">
        <v>6.0510000000000002E-5</v>
      </c>
      <c r="C6" s="3">
        <v>1.262E-4</v>
      </c>
      <c r="D6" s="3">
        <v>-3.213E-4</v>
      </c>
      <c r="E6" s="3">
        <v>0</v>
      </c>
      <c r="F6" s="3">
        <v>0</v>
      </c>
      <c r="G6" s="3">
        <v>0</v>
      </c>
      <c r="H6" s="3">
        <v>2.4787664000000001E-5</v>
      </c>
      <c r="I6" s="3">
        <v>1.1718235E-5</v>
      </c>
      <c r="J6" s="3">
        <v>-6.5041674000000007E-5</v>
      </c>
      <c r="K6" s="2"/>
      <c r="L6" s="3"/>
      <c r="M6" s="3"/>
      <c r="N6" s="2">
        <f>IF('Modell einstellen'!$B$1="Voll",H6/0.35,H6/0.35*2)</f>
        <v>1.4164379428571429E-4</v>
      </c>
      <c r="O6" s="2">
        <f>IF('Modell einstellen'!$B$1="Voll",J6/0.35,J6/0.35*2)</f>
        <v>-3.7166670857142863E-4</v>
      </c>
      <c r="P6" s="3">
        <f t="shared" si="0"/>
        <v>0.38110433627523177</v>
      </c>
      <c r="Q6" s="3"/>
      <c r="R6" s="3"/>
      <c r="S6" s="3"/>
      <c r="T6" s="3"/>
      <c r="U6" s="3"/>
    </row>
    <row r="7" spans="1:21" x14ac:dyDescent="0.25">
      <c r="A7" s="3">
        <v>9.9999999999999994E-12</v>
      </c>
      <c r="B7" s="3">
        <v>5.7120000000000002E-5</v>
      </c>
      <c r="C7" s="3">
        <v>1.2870000000000001E-4</v>
      </c>
      <c r="D7" s="3">
        <v>-3.2180000000000002E-4</v>
      </c>
      <c r="E7" s="3">
        <v>0</v>
      </c>
      <c r="F7" s="3">
        <v>0</v>
      </c>
      <c r="G7" s="3">
        <v>0</v>
      </c>
      <c r="H7" s="3">
        <v>2.5698279E-5</v>
      </c>
      <c r="I7" s="3">
        <v>1.1977004999999999E-5</v>
      </c>
      <c r="J7" s="3">
        <v>-6.6541623999999999E-5</v>
      </c>
      <c r="K7" s="2"/>
      <c r="L7" s="3"/>
      <c r="M7" s="3"/>
      <c r="N7" s="2">
        <f>IF('Modell einstellen'!$B$1="Voll",H7/0.35,H7/0.35*2)</f>
        <v>1.4684730857142858E-4</v>
      </c>
      <c r="O7" s="2">
        <f>IF('Modell einstellen'!$B$1="Voll",J7/0.35,J7/0.35*2)</f>
        <v>-3.8023785142857143E-4</v>
      </c>
      <c r="P7" s="3">
        <f t="shared" si="0"/>
        <v>0.38619855445668116</v>
      </c>
      <c r="Q7" s="3"/>
      <c r="R7" s="3"/>
      <c r="S7" s="3"/>
      <c r="T7" s="3"/>
      <c r="U7" s="3"/>
    </row>
    <row r="8" spans="1:21" x14ac:dyDescent="0.25">
      <c r="A8" s="3">
        <v>1E-10</v>
      </c>
      <c r="B8" s="3">
        <v>5.3810000000000001E-5</v>
      </c>
      <c r="C8" s="3">
        <v>1.3219999999999999E-4</v>
      </c>
      <c r="D8" s="3">
        <v>-3.233E-4</v>
      </c>
      <c r="E8" s="3">
        <v>0</v>
      </c>
      <c r="F8" s="3">
        <v>0</v>
      </c>
      <c r="G8" s="3">
        <v>0</v>
      </c>
      <c r="H8" s="3">
        <v>2.6667211000000001E-5</v>
      </c>
      <c r="I8" s="3">
        <v>1.2284389E-5</v>
      </c>
      <c r="J8" s="3">
        <v>-6.8190935999999996E-5</v>
      </c>
      <c r="K8" s="2"/>
      <c r="L8" s="3"/>
      <c r="M8" s="3"/>
      <c r="N8" s="2">
        <f>IF('Modell einstellen'!$B$1="Voll",H8/0.35,H8/0.35*2)</f>
        <v>1.5238406285714287E-4</v>
      </c>
      <c r="O8" s="2">
        <f>IF('Modell einstellen'!$B$1="Voll",J8/0.35,J8/0.35*2)</f>
        <v>-3.8966249142857143E-4</v>
      </c>
      <c r="P8" s="3">
        <f t="shared" si="0"/>
        <v>0.39106679808589229</v>
      </c>
      <c r="Q8" s="3"/>
      <c r="R8" s="3"/>
      <c r="S8" s="3"/>
      <c r="T8" s="3"/>
      <c r="U8" s="3"/>
    </row>
    <row r="9" spans="1:21" x14ac:dyDescent="0.25">
      <c r="A9" s="3">
        <v>1.0000000000000001E-9</v>
      </c>
      <c r="B9" s="3">
        <v>4.9440000000000001E-5</v>
      </c>
      <c r="C9" s="3">
        <v>1.3459999999999999E-4</v>
      </c>
      <c r="D9" s="3">
        <v>-3.2279999999999999E-4</v>
      </c>
      <c r="E9" s="3">
        <v>0</v>
      </c>
      <c r="F9" s="3">
        <v>0</v>
      </c>
      <c r="G9" s="3">
        <v>0</v>
      </c>
      <c r="H9" s="3">
        <v>2.7648361000000001E-5</v>
      </c>
      <c r="I9" s="3">
        <v>1.2538389999999999E-5</v>
      </c>
      <c r="J9" s="3">
        <v>-6.9750753000000001E-5</v>
      </c>
      <c r="K9" s="2"/>
      <c r="L9" s="3"/>
      <c r="M9" s="3"/>
      <c r="N9" s="2">
        <f>IF('Modell einstellen'!$B$1="Voll",H9/0.35,H9/0.35*2)</f>
        <v>1.5799063428571431E-4</v>
      </c>
      <c r="O9" s="2">
        <f>IF('Modell einstellen'!$B$1="Voll",J9/0.35,J9/0.35*2)</f>
        <v>-3.9857573142857144E-4</v>
      </c>
      <c r="P9" s="3">
        <f t="shared" si="0"/>
        <v>0.3963879931160027</v>
      </c>
      <c r="Q9" s="3"/>
      <c r="R9" s="3"/>
      <c r="S9" s="3"/>
      <c r="T9" s="3"/>
      <c r="U9" s="3"/>
    </row>
    <row r="10" spans="1:21" x14ac:dyDescent="0.25">
      <c r="A10" s="3">
        <v>1E-8</v>
      </c>
      <c r="B10" s="3">
        <v>4.3739999999999998E-5</v>
      </c>
      <c r="C10" s="3">
        <v>1.3889999999999999E-4</v>
      </c>
      <c r="D10" s="3">
        <v>-3.2309999999999999E-4</v>
      </c>
      <c r="E10" s="3">
        <v>0</v>
      </c>
      <c r="F10" s="3">
        <v>0</v>
      </c>
      <c r="G10" s="3">
        <v>0</v>
      </c>
      <c r="H10" s="3">
        <v>2.8980475999999999E-5</v>
      </c>
      <c r="I10" s="3">
        <v>1.2923810000000001E-5</v>
      </c>
      <c r="J10" s="3">
        <v>-7.1937665999999994E-5</v>
      </c>
      <c r="K10" s="2"/>
      <c r="L10" s="3"/>
      <c r="M10" s="3"/>
      <c r="N10" s="2">
        <f>IF('Modell einstellen'!$B$1="Voll",H10/0.35,H10/0.35*2)</f>
        <v>1.6560272000000001E-4</v>
      </c>
      <c r="O10" s="2">
        <f>IF('Modell einstellen'!$B$1="Voll",J10/0.35,J10/0.35*2)</f>
        <v>-4.1107237714285716E-4</v>
      </c>
      <c r="P10" s="3">
        <f t="shared" si="0"/>
        <v>0.40285538315908109</v>
      </c>
      <c r="Q10" s="3"/>
      <c r="R10" s="3"/>
      <c r="S10" s="3"/>
      <c r="T10" s="3"/>
      <c r="U10" s="3"/>
    </row>
    <row r="11" spans="1:21" x14ac:dyDescent="0.25">
      <c r="A11" s="3">
        <v>9.9999999999999995E-8</v>
      </c>
      <c r="B11" s="3">
        <v>3.5370000000000002E-5</v>
      </c>
      <c r="C11" s="3">
        <v>1.4339999999999999E-4</v>
      </c>
      <c r="D11" s="3">
        <v>-3.213E-4</v>
      </c>
      <c r="E11" s="3">
        <v>0</v>
      </c>
      <c r="F11" s="3">
        <v>0</v>
      </c>
      <c r="G11" s="3">
        <v>0</v>
      </c>
      <c r="H11" s="3">
        <v>3.0640043000000002E-5</v>
      </c>
      <c r="I11" s="3">
        <v>1.3346376000000001E-5</v>
      </c>
      <c r="J11" s="3">
        <v>-7.4544074999999995E-5</v>
      </c>
      <c r="K11" s="2"/>
      <c r="L11" s="3"/>
      <c r="M11" s="3"/>
      <c r="N11" s="2">
        <f>IF('Modell einstellen'!$B$1="Voll",H11/0.35,H11/0.35*2)</f>
        <v>1.7508596000000002E-4</v>
      </c>
      <c r="O11" s="2">
        <f>IF('Modell einstellen'!$B$1="Voll",J11/0.35,J11/0.35*2)</f>
        <v>-4.2596614285714284E-4</v>
      </c>
      <c r="P11" s="3">
        <f t="shared" si="0"/>
        <v>0.41103257368208007</v>
      </c>
      <c r="Q11" s="3"/>
      <c r="R11" s="3"/>
      <c r="S11" s="3"/>
      <c r="T11" s="3"/>
      <c r="U11" s="3"/>
    </row>
    <row r="12" spans="1:21" x14ac:dyDescent="0.25">
      <c r="A12" s="3">
        <v>9.9999999999999995E-7</v>
      </c>
      <c r="B12" s="3">
        <v>2.5089999999999999E-5</v>
      </c>
      <c r="C12" s="3">
        <v>1.4799999999999999E-4</v>
      </c>
      <c r="D12" s="3">
        <v>-3.1770000000000002E-4</v>
      </c>
      <c r="E12" s="3">
        <v>0</v>
      </c>
      <c r="F12" s="3">
        <v>0</v>
      </c>
      <c r="G12" s="3">
        <v>0</v>
      </c>
      <c r="H12" s="3">
        <v>3.2468585999999998E-5</v>
      </c>
      <c r="I12" s="3">
        <v>1.3776478000000001E-5</v>
      </c>
      <c r="J12" s="3">
        <v>-7.7336375999999995E-5</v>
      </c>
      <c r="K12" s="2"/>
      <c r="L12" s="3"/>
      <c r="M12" s="3"/>
      <c r="N12" s="2">
        <f>IF('Modell einstellen'!$B$1="Voll",H12/0.35,H12/0.35*2)</f>
        <v>1.8553477714285715E-4</v>
      </c>
      <c r="O12" s="2">
        <f>IF('Modell einstellen'!$B$1="Voll",J12/0.35,J12/0.35*2)</f>
        <v>-4.4192214857142857E-4</v>
      </c>
      <c r="P12" s="3">
        <f t="shared" si="0"/>
        <v>0.41983588680183309</v>
      </c>
      <c r="Q12" s="3"/>
      <c r="R12" s="3"/>
      <c r="S12" s="3"/>
      <c r="T12" s="3"/>
      <c r="U12" s="3"/>
    </row>
    <row r="13" spans="1:21" x14ac:dyDescent="0.25">
      <c r="A13" s="3">
        <v>1.0000000000000001E-5</v>
      </c>
      <c r="B13" s="3">
        <v>1.4960000000000001E-5</v>
      </c>
      <c r="C13" s="3">
        <v>1.518E-4</v>
      </c>
      <c r="D13" s="3">
        <v>-3.1310000000000002E-4</v>
      </c>
      <c r="E13" s="3">
        <v>0</v>
      </c>
      <c r="F13" s="3">
        <v>0</v>
      </c>
      <c r="G13" s="3">
        <v>0</v>
      </c>
      <c r="H13" s="3">
        <v>3.4113462999999997E-5</v>
      </c>
      <c r="I13" s="3">
        <v>1.4134279E-5</v>
      </c>
      <c r="J13" s="3">
        <v>-7.9782727999999994E-5</v>
      </c>
      <c r="K13" s="2"/>
      <c r="L13" s="3"/>
      <c r="M13" s="3"/>
      <c r="N13" s="2">
        <f>IF('Modell einstellen'!$B$1="Voll",H13/0.35,H13/0.35*2)</f>
        <v>1.9493407428571429E-4</v>
      </c>
      <c r="O13" s="2">
        <f>IF('Modell einstellen'!$B$1="Voll",J13/0.35,J13/0.35*2)</f>
        <v>-4.5590130285714283E-4</v>
      </c>
      <c r="P13" s="3">
        <f t="shared" si="0"/>
        <v>0.42757955080202326</v>
      </c>
      <c r="Q13" s="3"/>
      <c r="R13" s="3"/>
      <c r="S13" s="3"/>
      <c r="T13" s="3"/>
      <c r="U13" s="3"/>
    </row>
    <row r="14" spans="1:21" x14ac:dyDescent="0.25">
      <c r="A14" s="3">
        <v>1E-4</v>
      </c>
      <c r="B14" s="3">
        <v>3.523E-6</v>
      </c>
      <c r="C14" s="3">
        <v>1.5550000000000001E-4</v>
      </c>
      <c r="D14" s="3">
        <v>-3.0719999999999999E-4</v>
      </c>
      <c r="E14" s="3">
        <v>0</v>
      </c>
      <c r="F14" s="3">
        <v>0</v>
      </c>
      <c r="G14" s="3">
        <v>0</v>
      </c>
      <c r="H14" s="3">
        <v>3.5857605999999997E-5</v>
      </c>
      <c r="I14" s="3">
        <v>1.4489721E-5</v>
      </c>
      <c r="J14" s="3">
        <v>-8.2323184000000001E-5</v>
      </c>
      <c r="K14" s="2"/>
      <c r="L14" s="3"/>
      <c r="M14" s="3"/>
      <c r="N14" s="2">
        <f>IF('Modell einstellen'!$B$1="Voll",H14/0.35,H14/0.35*2)</f>
        <v>2.0490060571428571E-4</v>
      </c>
      <c r="O14" s="2">
        <f>IF('Modell einstellen'!$B$1="Voll",J14/0.35,J14/0.35*2)</f>
        <v>-4.7041819428571432E-4</v>
      </c>
      <c r="P14" s="3">
        <f t="shared" si="0"/>
        <v>0.43557117518681004</v>
      </c>
      <c r="Q14" s="3"/>
      <c r="R14" s="3"/>
      <c r="S14" s="3"/>
      <c r="T14" s="3"/>
      <c r="U14" s="3"/>
    </row>
    <row r="15" spans="1:21" x14ac:dyDescent="0.25">
      <c r="A15" s="3">
        <v>1E-3</v>
      </c>
      <c r="B15" s="3">
        <v>-9.4860000000000003E-6</v>
      </c>
      <c r="C15" s="3">
        <v>1.5919999999999999E-4</v>
      </c>
      <c r="D15" s="3">
        <v>-2.9960000000000002E-4</v>
      </c>
      <c r="E15" s="3">
        <v>0</v>
      </c>
      <c r="F15" s="3">
        <v>0</v>
      </c>
      <c r="G15" s="3">
        <v>0</v>
      </c>
      <c r="H15" s="3">
        <v>3.7715027000000001E-5</v>
      </c>
      <c r="I15" s="3">
        <v>1.4840872000000001E-5</v>
      </c>
      <c r="J15" s="3">
        <v>-8.4967196000000004E-5</v>
      </c>
      <c r="K15" s="2"/>
      <c r="L15" s="3"/>
      <c r="M15" s="3"/>
      <c r="N15" s="2">
        <f>IF('Modell einstellen'!$B$1="Voll",H15/0.35,H15/0.35*2)</f>
        <v>2.1551444000000001E-4</v>
      </c>
      <c r="O15" s="2">
        <f>IF('Modell einstellen'!$B$1="Voll",J15/0.35,J15/0.35*2)</f>
        <v>-4.8552683428571436E-4</v>
      </c>
      <c r="P15" s="3">
        <f t="shared" si="0"/>
        <v>0.44387750538454862</v>
      </c>
      <c r="Q15" s="3"/>
      <c r="R15" s="3"/>
      <c r="S15" s="3"/>
      <c r="T15" s="3"/>
      <c r="U15" s="3"/>
    </row>
    <row r="16" spans="1:21" x14ac:dyDescent="0.25">
      <c r="A16" s="3">
        <v>0.01</v>
      </c>
      <c r="B16" s="3">
        <v>-2.546E-5</v>
      </c>
      <c r="C16" s="3">
        <v>1.6320000000000001E-4</v>
      </c>
      <c r="D16" s="3">
        <v>-2.8949999999999999E-4</v>
      </c>
      <c r="E16" s="3">
        <v>0</v>
      </c>
      <c r="F16" s="3">
        <v>0</v>
      </c>
      <c r="G16" s="3">
        <v>0</v>
      </c>
      <c r="H16" s="3">
        <v>3.9868942999999998E-5</v>
      </c>
      <c r="I16" s="3">
        <v>1.5218452E-5</v>
      </c>
      <c r="J16" s="3">
        <v>-8.7966473999999994E-5</v>
      </c>
      <c r="K16" s="2"/>
      <c r="L16" s="3"/>
      <c r="M16" s="3"/>
      <c r="N16" s="2">
        <f>IF('Modell einstellen'!$B$1="Voll",H16/0.35,H16/0.35*2)</f>
        <v>2.2782253142857142E-4</v>
      </c>
      <c r="O16" s="2">
        <f>IF('Modell einstellen'!$B$1="Voll",J16/0.35,J16/0.35*2)</f>
        <v>-5.0266556571428576E-4</v>
      </c>
      <c r="P16" s="3">
        <f t="shared" si="0"/>
        <v>0.45322884034206029</v>
      </c>
      <c r="Q16" s="3"/>
      <c r="R16" s="3"/>
      <c r="S16" s="3"/>
      <c r="T16" s="3"/>
      <c r="U16" s="3"/>
    </row>
    <row r="17" spans="1:21" x14ac:dyDescent="0.25">
      <c r="A17" s="3">
        <v>0.1</v>
      </c>
      <c r="B17" s="3">
        <v>-4.278E-5</v>
      </c>
      <c r="C17" s="3">
        <v>1.6699999999999999E-4</v>
      </c>
      <c r="D17" s="3">
        <v>-2.7769999999999997E-4</v>
      </c>
      <c r="E17" s="3">
        <v>0</v>
      </c>
      <c r="F17" s="3">
        <v>0</v>
      </c>
      <c r="G17" s="3">
        <v>0</v>
      </c>
      <c r="H17" s="3">
        <v>4.2105353999999999E-5</v>
      </c>
      <c r="I17" s="3">
        <v>1.5586730999999999E-5</v>
      </c>
      <c r="J17" s="3">
        <v>-9.1022491999999996E-5</v>
      </c>
      <c r="K17" s="2"/>
      <c r="L17" s="3"/>
      <c r="M17" s="3"/>
      <c r="N17" s="2">
        <f>IF('Modell einstellen'!$B$1="Voll",H17/0.35,H17/0.35*2)</f>
        <v>2.4060202285714288E-4</v>
      </c>
      <c r="O17" s="2">
        <f>IF('Modell einstellen'!$B$1="Voll",J17/0.35,J17/0.35*2)</f>
        <v>-5.2012852571428571E-4</v>
      </c>
      <c r="P17" s="3">
        <f t="shared" si="0"/>
        <v>0.46258186383207356</v>
      </c>
      <c r="Q17" s="3"/>
      <c r="R17" s="3"/>
      <c r="S17" s="3"/>
      <c r="T17" s="3"/>
      <c r="U17" s="3"/>
    </row>
    <row r="18" spans="1:21" x14ac:dyDescent="0.25">
      <c r="A18" s="3">
        <v>1</v>
      </c>
      <c r="B18" s="3">
        <v>-6.5289999999999993E-5</v>
      </c>
      <c r="C18" s="3">
        <v>1.7249999999999999E-4</v>
      </c>
      <c r="D18" s="3">
        <v>-2.6259999999999999E-4</v>
      </c>
      <c r="E18" s="3">
        <v>0</v>
      </c>
      <c r="F18" s="3">
        <v>0</v>
      </c>
      <c r="G18" s="3">
        <v>0</v>
      </c>
      <c r="H18" s="3">
        <v>4.5265641999999997E-5</v>
      </c>
      <c r="I18" s="3">
        <v>1.6169909E-5</v>
      </c>
      <c r="J18" s="3">
        <v>-9.5432157E-5</v>
      </c>
      <c r="K18" s="2"/>
      <c r="L18" s="3"/>
      <c r="M18" s="3"/>
      <c r="N18" s="2">
        <f>IF('Modell einstellen'!$B$1="Voll",H18/0.35,H18/0.35*2)</f>
        <v>2.5866081142857144E-4</v>
      </c>
      <c r="O18" s="2">
        <f>IF('Modell einstellen'!$B$1="Voll",J18/0.35,J18/0.35*2)</f>
        <v>-5.4532661142857146E-4</v>
      </c>
      <c r="P18" s="3">
        <f t="shared" si="0"/>
        <v>0.47432273798443014</v>
      </c>
      <c r="Q18" s="3"/>
      <c r="R18" s="3"/>
      <c r="S18" s="3"/>
      <c r="T18" s="3"/>
      <c r="U18" s="3"/>
    </row>
    <row r="19" spans="1:21" x14ac:dyDescent="0.25">
      <c r="A19" s="3">
        <v>10</v>
      </c>
      <c r="B19" s="3">
        <v>-7.5080000000000006E-5</v>
      </c>
      <c r="C19" s="3">
        <v>1.8450000000000001E-4</v>
      </c>
      <c r="D19" s="3">
        <v>-2.6489999999999999E-4</v>
      </c>
      <c r="E19" s="3">
        <v>0</v>
      </c>
      <c r="F19" s="3">
        <v>0</v>
      </c>
      <c r="G19" s="3">
        <v>0</v>
      </c>
      <c r="H19" s="3">
        <v>5.0132285E-5</v>
      </c>
      <c r="I19" s="3">
        <v>1.7875525E-5</v>
      </c>
      <c r="J19" s="3">
        <v>-1.0362925E-4</v>
      </c>
      <c r="K19" s="2"/>
      <c r="L19" s="3"/>
      <c r="M19" s="3"/>
      <c r="N19" s="2">
        <f>IF('Modell einstellen'!$B$1="Voll",H19/0.35,H19/0.35*2)</f>
        <v>2.864702E-4</v>
      </c>
      <c r="O19" s="2">
        <f>IF('Modell einstellen'!$B$1="Voll",J19/0.35,J19/0.35*2)</f>
        <v>-5.9216714285714289E-4</v>
      </c>
      <c r="P19" s="3">
        <f t="shared" si="0"/>
        <v>0.48376578041431351</v>
      </c>
      <c r="Q19" s="3"/>
      <c r="R19" s="3"/>
      <c r="S19" s="3"/>
      <c r="T19" s="3"/>
      <c r="U19" s="3"/>
    </row>
    <row r="20" spans="1:21" x14ac:dyDescent="0.25">
      <c r="A20" s="3">
        <v>100</v>
      </c>
      <c r="B20" s="3">
        <v>-2.5040000000000001E-5</v>
      </c>
      <c r="C20" s="3">
        <v>2.165E-4</v>
      </c>
      <c r="D20" s="3">
        <v>-3.4059999999999998E-4</v>
      </c>
      <c r="E20" s="3">
        <v>0</v>
      </c>
      <c r="F20" s="3">
        <v>0</v>
      </c>
      <c r="G20" s="3">
        <v>0</v>
      </c>
      <c r="H20" s="3">
        <v>5.9741328E-5</v>
      </c>
      <c r="I20" s="3">
        <v>2.3545891E-5</v>
      </c>
      <c r="J20" s="3">
        <v>-1.2394825E-4</v>
      </c>
      <c r="K20" s="2"/>
      <c r="L20" s="3"/>
      <c r="M20" s="3"/>
      <c r="N20" s="2">
        <f>IF('Modell einstellen'!$B$1="Voll",H20/0.35,H20/0.35*2)</f>
        <v>3.4137901714285717E-4</v>
      </c>
      <c r="O20" s="2">
        <f>IF('Modell einstellen'!$B$1="Voll",J20/0.35,J20/0.35*2)</f>
        <v>-7.0827571428571431E-4</v>
      </c>
      <c r="P20" s="3">
        <f t="shared" si="0"/>
        <v>0.48198605466394245</v>
      </c>
      <c r="Q20" s="3"/>
      <c r="R20" s="3"/>
      <c r="S20" s="3"/>
      <c r="T20" s="3"/>
      <c r="U20" s="3"/>
    </row>
    <row r="21" spans="1:21" x14ac:dyDescent="0.25">
      <c r="A21" s="3">
        <v>1000</v>
      </c>
      <c r="B21" s="3">
        <v>8.5760000000000006E-5</v>
      </c>
      <c r="C21" s="3">
        <v>2.7480000000000001E-4</v>
      </c>
      <c r="D21" s="3">
        <v>-4.9810000000000002E-4</v>
      </c>
      <c r="E21" s="3">
        <v>0</v>
      </c>
      <c r="F21" s="3">
        <v>0</v>
      </c>
      <c r="G21" s="3">
        <v>0</v>
      </c>
      <c r="H21" s="3">
        <v>7.4608661000000003E-5</v>
      </c>
      <c r="I21" s="3">
        <v>3.4135328999999998E-5</v>
      </c>
      <c r="J21" s="3">
        <v>-1.5882375000000001E-4</v>
      </c>
      <c r="K21" s="2"/>
      <c r="L21" s="3"/>
      <c r="M21" s="3"/>
      <c r="N21" s="2">
        <f>IF('Modell einstellen'!$B$1="Voll",H21/0.35,H21/0.35*2)</f>
        <v>4.2633520571428574E-4</v>
      </c>
      <c r="O21" s="2">
        <f>IF('Modell einstellen'!$B$1="Voll",J21/0.35,J21/0.35*2)</f>
        <v>-9.0756428571428581E-4</v>
      </c>
      <c r="P21" s="3">
        <f t="shared" si="0"/>
        <v>0.4697575834848377</v>
      </c>
      <c r="Q21" s="3"/>
      <c r="R21" s="3"/>
      <c r="S21" s="3"/>
      <c r="T21" s="3"/>
      <c r="U21" s="3"/>
    </row>
    <row r="22" spans="1:21" x14ac:dyDescent="0.25">
      <c r="A22" s="3">
        <v>10000</v>
      </c>
      <c r="B22" s="3">
        <v>2.1359999999999999E-4</v>
      </c>
      <c r="C22" s="3">
        <v>3.5829999999999998E-4</v>
      </c>
      <c r="D22" s="3">
        <v>-6.9830000000000001E-4</v>
      </c>
      <c r="E22" s="3">
        <v>0</v>
      </c>
      <c r="F22" s="3">
        <v>0</v>
      </c>
      <c r="G22" s="3">
        <v>0</v>
      </c>
      <c r="H22" s="3">
        <v>9.4667483999999997E-5</v>
      </c>
      <c r="I22" s="3">
        <v>4.8921322999999998E-5</v>
      </c>
      <c r="J22" s="3">
        <v>-2.0707005E-4</v>
      </c>
      <c r="K22" s="2"/>
      <c r="L22" s="3"/>
      <c r="M22" s="3"/>
      <c r="N22" s="2">
        <f>IF('Modell einstellen'!$B$1="Voll",H22/0.35,H22/0.35*2)</f>
        <v>5.4095705142857148E-4</v>
      </c>
      <c r="O22" s="2">
        <f>IF('Modell einstellen'!$B$1="Voll",J22/0.35,J22/0.35*2)</f>
        <v>-1.1832574285714286E-3</v>
      </c>
      <c r="P22" s="3">
        <f t="shared" si="0"/>
        <v>0.45717612952718178</v>
      </c>
      <c r="Q22" s="3"/>
      <c r="R22" s="3"/>
      <c r="S22" s="3"/>
      <c r="T22" s="3"/>
      <c r="U22" s="3"/>
    </row>
    <row r="23" spans="1:21" x14ac:dyDescent="0.25">
      <c r="A23" s="3">
        <v>100000</v>
      </c>
      <c r="B23" s="3">
        <v>3.3639999999999999E-4</v>
      </c>
      <c r="C23" s="3">
        <v>4.7580000000000002E-4</v>
      </c>
      <c r="D23" s="3">
        <v>-9.2949999999999999E-4</v>
      </c>
      <c r="E23" s="3">
        <v>0</v>
      </c>
      <c r="F23" s="3">
        <v>0</v>
      </c>
      <c r="G23" s="3">
        <v>0</v>
      </c>
      <c r="H23" s="3">
        <v>1.2222154999999999E-4</v>
      </c>
      <c r="I23" s="3">
        <v>6.9444545999999995E-5</v>
      </c>
      <c r="J23" s="3">
        <v>-2.7407339000000002E-4</v>
      </c>
      <c r="K23" s="2"/>
      <c r="L23" s="3"/>
      <c r="M23" s="3"/>
      <c r="N23" s="2">
        <f>IF('Modell einstellen'!$B$1="Voll",H23/0.35,H23/0.35*2)</f>
        <v>6.984088571428571E-4</v>
      </c>
      <c r="O23" s="2">
        <f>IF('Modell einstellen'!$B$1="Voll",J23/0.35,J23/0.35*2)</f>
        <v>-1.5661336571428574E-3</v>
      </c>
      <c r="P23" s="3">
        <f t="shared" si="0"/>
        <v>0.44594460629687532</v>
      </c>
      <c r="Q23" s="3"/>
      <c r="R23" s="3"/>
      <c r="S23" s="3"/>
      <c r="T23" s="3"/>
      <c r="U23" s="3"/>
    </row>
    <row r="24" spans="1:21" x14ac:dyDescent="0.25">
      <c r="A24" s="3">
        <v>1000000</v>
      </c>
      <c r="B24" s="3">
        <v>4.4319999999999999E-4</v>
      </c>
      <c r="C24" s="3">
        <v>6.602E-4</v>
      </c>
      <c r="D24" s="3">
        <v>-1.2130000000000001E-3</v>
      </c>
      <c r="E24" s="3">
        <v>0</v>
      </c>
      <c r="F24" s="3">
        <v>0</v>
      </c>
      <c r="G24" s="3">
        <v>0</v>
      </c>
      <c r="H24" s="3">
        <v>1.6533235000000001E-4</v>
      </c>
      <c r="I24" s="3">
        <v>1.0205235E-4</v>
      </c>
      <c r="J24" s="3">
        <v>-3.8013589E-4</v>
      </c>
      <c r="K24" s="2"/>
      <c r="L24" s="3"/>
      <c r="M24" s="3"/>
      <c r="N24" s="2">
        <f>IF('Modell einstellen'!$B$1="Voll",H24/0.35,H24/0.35*2)</f>
        <v>9.4475628571428583E-4</v>
      </c>
      <c r="O24" s="2">
        <f>IF('Modell einstellen'!$B$1="Voll",J24/0.35,J24/0.35*2)</f>
        <v>-2.1722050857142859E-3</v>
      </c>
      <c r="P24" s="3">
        <f t="shared" si="0"/>
        <v>0.434929598465433</v>
      </c>
      <c r="Q24" s="3"/>
      <c r="R24" s="3"/>
      <c r="S24" s="3"/>
      <c r="T24" s="3"/>
      <c r="U24" s="3"/>
    </row>
    <row r="25" spans="1:21" x14ac:dyDescent="0.25">
      <c r="A25" s="3">
        <v>10000000</v>
      </c>
      <c r="B25" s="3">
        <v>5.4569999999999998E-4</v>
      </c>
      <c r="C25" s="3">
        <v>9.5859999999999999E-4</v>
      </c>
      <c r="D25" s="3">
        <v>-1.606E-3</v>
      </c>
      <c r="E25" s="3">
        <v>0</v>
      </c>
      <c r="F25" s="3">
        <v>0</v>
      </c>
      <c r="G25" s="3">
        <v>0</v>
      </c>
      <c r="H25" s="3">
        <v>2.3106455000000001E-4</v>
      </c>
      <c r="I25" s="3">
        <v>1.5487378999999999E-4</v>
      </c>
      <c r="J25" s="3">
        <v>-5.4781629000000005E-4</v>
      </c>
      <c r="K25" s="2"/>
      <c r="L25" s="3"/>
      <c r="M25" s="3"/>
      <c r="N25" s="2">
        <f>IF('Modell einstellen'!$B$1="Voll",H25/0.35,H25/0.35*2)</f>
        <v>1.3203688571428573E-3</v>
      </c>
      <c r="O25" s="2">
        <f>IF('Modell einstellen'!$B$1="Voll",J25/0.35,J25/0.35*2)</f>
        <v>-3.1303788000000003E-3</v>
      </c>
      <c r="P25" s="3">
        <f t="shared" si="0"/>
        <v>0.42179203907937823</v>
      </c>
      <c r="Q25" s="3"/>
      <c r="R25" s="3"/>
      <c r="S25" s="3"/>
      <c r="T25" s="3"/>
      <c r="U25" s="3"/>
    </row>
    <row r="26" spans="1:21" x14ac:dyDescent="0.25">
      <c r="A26" s="3">
        <v>100000000</v>
      </c>
      <c r="B26" s="3">
        <v>6.6450000000000005E-4</v>
      </c>
      <c r="C26" s="3">
        <v>1.3960000000000001E-3</v>
      </c>
      <c r="D26" s="3">
        <v>-2.1540000000000001E-3</v>
      </c>
      <c r="E26" s="3">
        <v>0</v>
      </c>
      <c r="F26" s="3">
        <v>0</v>
      </c>
      <c r="G26" s="3">
        <v>0</v>
      </c>
      <c r="H26" s="3">
        <v>3.2606322000000001E-4</v>
      </c>
      <c r="I26" s="3">
        <v>2.3372939E-4</v>
      </c>
      <c r="J26" s="3">
        <v>-7.9463221000000001E-4</v>
      </c>
      <c r="K26" s="2"/>
      <c r="L26" s="3"/>
      <c r="M26" s="3"/>
      <c r="N26" s="2">
        <f>IF('Modell einstellen'!$B$1="Voll",H26/0.35,H26/0.35*2)</f>
        <v>1.8632184000000002E-3</v>
      </c>
      <c r="O26" s="2">
        <f>IF('Modell einstellen'!$B$1="Voll",J26/0.35,J26/0.35*2)</f>
        <v>-4.5407554857142861E-3</v>
      </c>
      <c r="P26" s="3">
        <f t="shared" si="0"/>
        <v>0.41033224666289325</v>
      </c>
      <c r="Q26" s="3"/>
      <c r="R26" s="3"/>
      <c r="S26" s="3"/>
      <c r="T26" s="3"/>
      <c r="U26" s="3"/>
    </row>
    <row r="27" spans="1:21" x14ac:dyDescent="0.25">
      <c r="A27" s="3">
        <v>1000000000</v>
      </c>
      <c r="B27" s="3">
        <v>8.4719999999999999E-4</v>
      </c>
      <c r="C27" s="3">
        <v>1.9E-3</v>
      </c>
      <c r="D27" s="3">
        <v>-2.8340000000000001E-3</v>
      </c>
      <c r="E27" s="3">
        <v>0</v>
      </c>
      <c r="F27" s="3">
        <v>0</v>
      </c>
      <c r="G27" s="3">
        <v>0</v>
      </c>
      <c r="H27" s="3">
        <v>4.3010215999999998E-4</v>
      </c>
      <c r="I27" s="3">
        <v>3.2476698999999999E-4</v>
      </c>
      <c r="J27" s="3">
        <v>-1.0733191999999999E-3</v>
      </c>
      <c r="K27" s="2"/>
      <c r="L27" s="3"/>
      <c r="M27" s="3"/>
      <c r="N27" s="2">
        <f>IF('Modell einstellen'!$B$1="Voll",H27/0.35,H27/0.35*2)</f>
        <v>2.4577266285714288E-3</v>
      </c>
      <c r="O27" s="2">
        <f>IF('Modell einstellen'!$B$1="Voll",J27/0.35,J27/0.35*2)</f>
        <v>-6.1332525714285716E-3</v>
      </c>
      <c r="P27" s="3">
        <f t="shared" si="0"/>
        <v>0.4007215747188721</v>
      </c>
      <c r="Q27" s="3"/>
      <c r="R27" s="3"/>
      <c r="S27" s="3"/>
      <c r="T27" s="3"/>
      <c r="U27" s="3"/>
    </row>
    <row r="28" spans="1:21" x14ac:dyDescent="0.25">
      <c r="A28" s="3">
        <v>10000000000</v>
      </c>
      <c r="B28" s="3">
        <v>1.07E-3</v>
      </c>
      <c r="C28" s="3">
        <v>2.3519999999999999E-3</v>
      </c>
      <c r="D28" s="3">
        <v>-3.5049999999999999E-3</v>
      </c>
      <c r="E28" s="3">
        <v>0</v>
      </c>
      <c r="F28" s="3">
        <v>0</v>
      </c>
      <c r="G28" s="3">
        <v>0</v>
      </c>
      <c r="H28" s="3">
        <v>5.1774738000000004E-4</v>
      </c>
      <c r="I28" s="3">
        <v>4.0530960000000001E-4</v>
      </c>
      <c r="J28" s="3">
        <v>-1.3149469999999999E-3</v>
      </c>
      <c r="K28" s="2"/>
      <c r="L28" s="3"/>
      <c r="M28" s="3"/>
      <c r="N28" s="2">
        <f>IF('Modell einstellen'!$B$1="Voll",H28/0.35,H28/0.35*2)</f>
        <v>2.9585564571428576E-3</v>
      </c>
      <c r="O28" s="2">
        <f>IF('Modell einstellen'!$B$1="Voll",J28/0.35,J28/0.35*2)</f>
        <v>-7.5139828571428573E-3</v>
      </c>
      <c r="P28" s="3">
        <f t="shared" si="0"/>
        <v>0.39374011271937204</v>
      </c>
      <c r="Q28" s="3"/>
      <c r="R28" s="3"/>
      <c r="S28" s="3"/>
      <c r="T28" s="3"/>
      <c r="U28" s="3"/>
    </row>
    <row r="29" spans="1:21" x14ac:dyDescent="0.25">
      <c r="A29" s="3">
        <v>100000000000</v>
      </c>
      <c r="B29" s="3">
        <v>1.2830000000000001E-3</v>
      </c>
      <c r="C29" s="3">
        <v>2.6640000000000001E-3</v>
      </c>
      <c r="D29" s="3">
        <v>-4.0270000000000002E-3</v>
      </c>
      <c r="E29" s="3">
        <v>0</v>
      </c>
      <c r="F29" s="3">
        <v>0</v>
      </c>
      <c r="G29" s="3">
        <v>0</v>
      </c>
      <c r="H29" s="3">
        <v>5.7171119999999999E-4</v>
      </c>
      <c r="I29" s="3">
        <v>4.5892761999999999E-4</v>
      </c>
      <c r="J29" s="3">
        <v>-1.4711651E-3</v>
      </c>
      <c r="K29" s="2"/>
      <c r="L29" s="3"/>
      <c r="M29" s="3"/>
      <c r="N29" s="2">
        <f>IF('Modell einstellen'!$B$1="Voll",H29/0.35,H29/0.35*2)</f>
        <v>3.2669211428571431E-3</v>
      </c>
      <c r="O29" s="2">
        <f>IF('Modell einstellen'!$B$1="Voll",J29/0.35,J29/0.35*2)</f>
        <v>-8.4066577142857153E-3</v>
      </c>
      <c r="P29" s="3">
        <f t="shared" si="0"/>
        <v>0.38861117627110647</v>
      </c>
      <c r="Q29" s="3"/>
      <c r="R29" s="3"/>
      <c r="S29" s="3"/>
      <c r="T29" s="3"/>
      <c r="U29" s="3"/>
    </row>
    <row r="30" spans="1:21" x14ac:dyDescent="0.25">
      <c r="A30" s="3">
        <v>1000000000000</v>
      </c>
      <c r="B30" s="3">
        <v>1.4450000000000001E-3</v>
      </c>
      <c r="C30" s="3">
        <v>2.8939999999999999E-3</v>
      </c>
      <c r="D30" s="3">
        <v>-4.4169999999999999E-3</v>
      </c>
      <c r="E30" s="3">
        <v>0</v>
      </c>
      <c r="F30" s="3">
        <v>0</v>
      </c>
      <c r="G30" s="3">
        <v>0</v>
      </c>
      <c r="H30" s="3">
        <v>6.1082113000000002E-4</v>
      </c>
      <c r="I30" s="3">
        <v>4.9769623999999996E-4</v>
      </c>
      <c r="J30" s="3">
        <v>-1.5840791E-3</v>
      </c>
      <c r="K30" s="2"/>
      <c r="L30" s="3"/>
      <c r="M30" s="3"/>
      <c r="N30" s="2">
        <f>IF('Modell einstellen'!$B$1="Voll",H30/0.35,H30/0.35*2)</f>
        <v>3.4904064571428576E-3</v>
      </c>
      <c r="O30" s="2">
        <f>IF('Modell einstellen'!$B$1="Voll",J30/0.35,J30/0.35*2)</f>
        <v>-9.0518805714285711E-3</v>
      </c>
      <c r="P30" s="3">
        <f t="shared" si="0"/>
        <v>0.38560014458873937</v>
      </c>
      <c r="Q30" s="3"/>
      <c r="R30" s="3"/>
      <c r="S30" s="3"/>
      <c r="T30" s="3"/>
      <c r="U30" s="3"/>
    </row>
    <row r="31" spans="1:21" x14ac:dyDescent="0.25">
      <c r="A31" s="3">
        <v>10000000000000</v>
      </c>
      <c r="B31" s="3">
        <v>1.446E-3</v>
      </c>
      <c r="C31" s="3">
        <v>2.9680000000000002E-3</v>
      </c>
      <c r="D31" s="3">
        <v>-4.4929999999999996E-3</v>
      </c>
      <c r="E31" s="3">
        <v>0</v>
      </c>
      <c r="F31" s="3">
        <v>0</v>
      </c>
      <c r="G31" s="3">
        <v>0</v>
      </c>
      <c r="H31" s="3">
        <v>6.3388251000000002E-4</v>
      </c>
      <c r="I31" s="3">
        <v>5.1362059999999999E-4</v>
      </c>
      <c r="J31" s="3">
        <v>-1.6373627000000001E-3</v>
      </c>
      <c r="K31" s="2"/>
      <c r="L31" s="3"/>
      <c r="M31" s="3"/>
      <c r="N31" s="2">
        <f>IF('Modell einstellen'!$B$1="Voll",H31/0.35,H31/0.35*2)</f>
        <v>3.6221857714285716E-3</v>
      </c>
      <c r="O31" s="2">
        <f>IF('Modell einstellen'!$B$1="Voll",J31/0.35,J31/0.35*2)</f>
        <v>-9.3563582857142859E-3</v>
      </c>
      <c r="P31" s="3">
        <f t="shared" si="0"/>
        <v>0.3871362832437798</v>
      </c>
      <c r="Q31" s="3"/>
      <c r="R31" s="3"/>
      <c r="S31" s="3"/>
      <c r="T31" s="3"/>
      <c r="U31" s="3"/>
    </row>
    <row r="32" spans="1:21" x14ac:dyDescent="0.25">
      <c r="A32" s="3">
        <v>100000000000000</v>
      </c>
      <c r="B32" s="3">
        <v>1.6379999999999999E-3</v>
      </c>
      <c r="C32" s="3">
        <v>3.1259999999999999E-3</v>
      </c>
      <c r="D32" s="3">
        <v>-4.8390000000000004E-3</v>
      </c>
      <c r="E32" s="3">
        <v>0</v>
      </c>
      <c r="F32" s="3">
        <v>0</v>
      </c>
      <c r="G32" s="3">
        <v>0</v>
      </c>
      <c r="H32" s="3">
        <v>6.4927829000000002E-4</v>
      </c>
      <c r="I32" s="3">
        <v>5.3696813999999995E-4</v>
      </c>
      <c r="J32" s="3">
        <v>-1.6971915E-3</v>
      </c>
      <c r="K32" s="2"/>
      <c r="L32" s="3"/>
      <c r="M32" s="3"/>
      <c r="N32" s="2">
        <f>IF('Modell einstellen'!$B$1="Voll",H32/0.35,H32/0.35*2)</f>
        <v>3.7101616571428575E-3</v>
      </c>
      <c r="O32" s="2">
        <f>IF('Modell einstellen'!$B$1="Voll",J32/0.35,J32/0.35*2)</f>
        <v>-9.698237142857143E-3</v>
      </c>
      <c r="P32" s="3">
        <f t="shared" si="0"/>
        <v>0.38256041819676806</v>
      </c>
      <c r="Q32" s="3"/>
      <c r="R32" s="3"/>
      <c r="S32" s="3"/>
      <c r="T32" s="3"/>
      <c r="U32" s="3"/>
    </row>
    <row r="33" spans="1:21" x14ac:dyDescent="0.25">
      <c r="A33" s="2">
        <v>1000000000000000</v>
      </c>
      <c r="B33" s="3">
        <v>1.634E-3</v>
      </c>
      <c r="C33" s="3">
        <v>3.2299999999999998E-3</v>
      </c>
      <c r="D33" s="3">
        <v>-4.9399999999999999E-3</v>
      </c>
      <c r="E33" s="3">
        <v>0</v>
      </c>
      <c r="F33" s="3">
        <v>0</v>
      </c>
      <c r="G33" s="3">
        <v>0</v>
      </c>
      <c r="H33" s="3">
        <v>6.8097815999999995E-4</v>
      </c>
      <c r="I33" s="3">
        <v>5.5924947999999998E-4</v>
      </c>
      <c r="J33" s="3">
        <v>-1.7711140000000001E-3</v>
      </c>
      <c r="K33" s="2"/>
      <c r="L33" s="3"/>
      <c r="M33" s="3"/>
      <c r="N33" s="2">
        <f>IF('Modell einstellen'!$B$1="Voll",H33/0.35,H33/0.35*2)</f>
        <v>3.8913037714285712E-3</v>
      </c>
      <c r="O33" s="2">
        <f>IF('Modell einstellen'!$B$1="Voll",J33/0.35,J33/0.35*2)</f>
        <v>-1.012065142857143E-2</v>
      </c>
      <c r="P33" s="3">
        <f t="shared" si="0"/>
        <v>0.38449143307545414</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6.7340000000000002E-5</v>
      </c>
      <c r="C3" s="3">
        <v>1.26E-4</v>
      </c>
      <c r="D3" s="3">
        <v>-3.2640000000000002E-4</v>
      </c>
      <c r="E3" s="3">
        <v>0</v>
      </c>
      <c r="F3" s="3">
        <v>0</v>
      </c>
      <c r="G3" s="3">
        <v>0</v>
      </c>
      <c r="H3" s="3">
        <v>2.4586145000000001E-5</v>
      </c>
      <c r="I3" s="3">
        <v>1.1802269000000001E-5</v>
      </c>
      <c r="J3" s="3">
        <v>-6.5053676999999994E-5</v>
      </c>
      <c r="L3" s="3">
        <f>-B3/D3</f>
        <v>0.20631127450980391</v>
      </c>
      <c r="M3" s="3"/>
      <c r="N3" s="2">
        <f>IF('Modell einstellen'!$B$1="Voll",H3/0.35,H3/0.35*2)</f>
        <v>1.4049225714285715E-4</v>
      </c>
      <c r="O3" s="2">
        <f>IF('Modell einstellen'!$B$1="Voll",J3/0.35,J3/0.35*2)</f>
        <v>-3.7173529714285713E-4</v>
      </c>
      <c r="P3" s="3">
        <f>-N3/O3</f>
        <v>0.37793628483137087</v>
      </c>
    </row>
    <row r="4" spans="1:16" x14ac:dyDescent="0.25">
      <c r="A4" s="3">
        <v>1E-14</v>
      </c>
      <c r="B4" s="3">
        <v>6.4330000000000002E-5</v>
      </c>
      <c r="C4" s="3">
        <v>1.295E-4</v>
      </c>
      <c r="D4" s="3">
        <v>-3.2850000000000002E-4</v>
      </c>
      <c r="E4" s="3">
        <v>0</v>
      </c>
      <c r="F4" s="3">
        <v>0</v>
      </c>
      <c r="G4" s="3">
        <v>0</v>
      </c>
      <c r="H4" s="3">
        <v>2.5651515000000001E-5</v>
      </c>
      <c r="I4" s="3">
        <v>1.2141925999999999E-5</v>
      </c>
      <c r="J4" s="3">
        <v>-6.6872195999999996E-5</v>
      </c>
      <c r="L4" s="3">
        <f t="shared" ref="L4:L33" si="0">-B4/D4</f>
        <v>0.19582952815829527</v>
      </c>
      <c r="M4" s="3"/>
      <c r="N4" s="2">
        <f>IF('Modell einstellen'!$B$1="Voll",H4/0.35,H4/0.35*2)</f>
        <v>1.4658008571428574E-4</v>
      </c>
      <c r="O4" s="2">
        <f>IF('Modell einstellen'!$B$1="Voll",J4/0.35,J4/0.35*2)</f>
        <v>-3.8212683428571429E-4</v>
      </c>
      <c r="P4" s="3">
        <f t="shared" ref="P4:P33" si="1">-N4/O4</f>
        <v>0.38359013961497546</v>
      </c>
    </row>
    <row r="5" spans="1:16" x14ac:dyDescent="0.25">
      <c r="A5" s="3">
        <v>1E-13</v>
      </c>
      <c r="B5" s="3">
        <v>6.0730000000000003E-5</v>
      </c>
      <c r="C5" s="3">
        <v>1.3219999999999999E-4</v>
      </c>
      <c r="D5" s="3">
        <v>-3.2890000000000003E-4</v>
      </c>
      <c r="E5" s="3">
        <v>0</v>
      </c>
      <c r="F5" s="3">
        <v>0</v>
      </c>
      <c r="G5" s="3">
        <v>0</v>
      </c>
      <c r="H5" s="3">
        <v>2.6614454000000002E-5</v>
      </c>
      <c r="I5" s="3">
        <v>1.2416367E-5</v>
      </c>
      <c r="J5" s="3">
        <v>-6.8453160000000001E-5</v>
      </c>
      <c r="L5" s="3">
        <f t="shared" si="0"/>
        <v>0.18464578899361508</v>
      </c>
      <c r="M5" s="3"/>
      <c r="N5" s="2">
        <f>IF('Modell einstellen'!$B$1="Voll",H5/0.35,H5/0.35*2)</f>
        <v>1.5208259428571431E-4</v>
      </c>
      <c r="O5" s="2">
        <f>IF('Modell einstellen'!$B$1="Voll",J5/0.35,J5/0.35*2)</f>
        <v>-3.9116091428571429E-4</v>
      </c>
      <c r="P5" s="3">
        <f t="shared" si="1"/>
        <v>0.38879803357507531</v>
      </c>
    </row>
    <row r="6" spans="1:16" x14ac:dyDescent="0.25">
      <c r="A6" s="3">
        <v>9.9999999999999998E-13</v>
      </c>
      <c r="B6" s="3">
        <v>5.7420000000000003E-5</v>
      </c>
      <c r="C6" s="3">
        <v>1.3559999999999999E-4</v>
      </c>
      <c r="D6" s="3">
        <v>-3.3040000000000001E-4</v>
      </c>
      <c r="E6" s="3">
        <v>0</v>
      </c>
      <c r="F6" s="3">
        <v>0</v>
      </c>
      <c r="G6" s="3">
        <v>0</v>
      </c>
      <c r="H6" s="3">
        <v>2.7616499E-5</v>
      </c>
      <c r="I6" s="3">
        <v>1.2731067000000001E-5</v>
      </c>
      <c r="J6" s="3">
        <v>-7.0147123000000001E-5</v>
      </c>
      <c r="L6" s="3">
        <f t="shared" si="0"/>
        <v>0.17378934624697337</v>
      </c>
      <c r="M6" s="3"/>
      <c r="N6" s="2">
        <f>IF('Modell einstellen'!$B$1="Voll",H6/0.35,H6/0.35*2)</f>
        <v>1.5780856571428572E-4</v>
      </c>
      <c r="O6" s="2">
        <f>IF('Modell einstellen'!$B$1="Voll",J6/0.35,J6/0.35*2)</f>
        <v>-4.0084070285714289E-4</v>
      </c>
      <c r="P6" s="3">
        <f t="shared" si="1"/>
        <v>0.39369396518229266</v>
      </c>
    </row>
    <row r="7" spans="1:16" x14ac:dyDescent="0.25">
      <c r="A7" s="3">
        <v>9.9999999999999994E-12</v>
      </c>
      <c r="B7" s="3">
        <v>5.2580000000000001E-5</v>
      </c>
      <c r="C7" s="3">
        <v>1.3909999999999999E-4</v>
      </c>
      <c r="D7" s="3">
        <v>-3.3060000000000001E-4</v>
      </c>
      <c r="E7" s="3">
        <v>0</v>
      </c>
      <c r="F7" s="3">
        <v>0</v>
      </c>
      <c r="G7" s="3">
        <v>0</v>
      </c>
      <c r="H7" s="3">
        <v>2.8794595999999999E-5</v>
      </c>
      <c r="I7" s="3">
        <v>1.3064977999999999E-5</v>
      </c>
      <c r="J7" s="3">
        <v>-7.2067026000000004E-5</v>
      </c>
      <c r="L7" s="3">
        <f t="shared" si="0"/>
        <v>0.15904416212946157</v>
      </c>
      <c r="M7" s="3"/>
      <c r="N7" s="2">
        <f>IF('Modell einstellen'!$B$1="Voll",H7/0.35,H7/0.35*2)</f>
        <v>1.6454054857142859E-4</v>
      </c>
      <c r="O7" s="2">
        <f>IF('Modell einstellen'!$B$1="Voll",J7/0.35,J7/0.35*2)</f>
        <v>-4.1181157714285721E-4</v>
      </c>
      <c r="P7" s="3">
        <f t="shared" si="1"/>
        <v>0.39955299390320337</v>
      </c>
    </row>
    <row r="8" spans="1:16" x14ac:dyDescent="0.25">
      <c r="A8" s="3">
        <v>1E-10</v>
      </c>
      <c r="B8" s="3">
        <v>4.5500000000000001E-5</v>
      </c>
      <c r="C8" s="3">
        <v>1.4339999999999999E-4</v>
      </c>
      <c r="D8" s="3">
        <v>-3.2969999999999999E-4</v>
      </c>
      <c r="E8" s="3">
        <v>0</v>
      </c>
      <c r="F8" s="3">
        <v>0</v>
      </c>
      <c r="G8" s="3">
        <v>0</v>
      </c>
      <c r="H8" s="3">
        <v>3.0339592000000001E-5</v>
      </c>
      <c r="I8" s="3">
        <v>1.3479242E-5</v>
      </c>
      <c r="J8" s="3">
        <v>-7.4532390999999993E-5</v>
      </c>
      <c r="L8" s="3">
        <f t="shared" si="0"/>
        <v>0.13800424628450106</v>
      </c>
      <c r="M8" s="3"/>
      <c r="N8" s="2">
        <f>IF('Modell einstellen'!$B$1="Voll",H8/0.35,H8/0.35*2)</f>
        <v>1.7336909714285717E-4</v>
      </c>
      <c r="O8" s="2">
        <f>IF('Modell einstellen'!$B$1="Voll",J8/0.35,J8/0.35*2)</f>
        <v>-4.2589937714285713E-4</v>
      </c>
      <c r="P8" s="3">
        <f t="shared" si="1"/>
        <v>0.40706586214307822</v>
      </c>
    </row>
    <row r="9" spans="1:16" x14ac:dyDescent="0.25">
      <c r="A9" s="3">
        <v>1.0000000000000001E-9</v>
      </c>
      <c r="B9" s="3">
        <v>3.6149999999999998E-5</v>
      </c>
      <c r="C9" s="3">
        <v>1.4799999999999999E-4</v>
      </c>
      <c r="D9" s="3">
        <v>-3.2719999999999998E-4</v>
      </c>
      <c r="E9" s="3">
        <v>0</v>
      </c>
      <c r="F9" s="3">
        <v>0</v>
      </c>
      <c r="G9" s="3">
        <v>0</v>
      </c>
      <c r="H9" s="3">
        <v>3.2152756999999997E-5</v>
      </c>
      <c r="I9" s="3">
        <v>1.3932403000000001E-5</v>
      </c>
      <c r="J9" s="3">
        <v>-7.7352021999999994E-5</v>
      </c>
      <c r="L9" s="3">
        <f t="shared" si="0"/>
        <v>0.11048288508557456</v>
      </c>
      <c r="M9" s="3"/>
      <c r="N9" s="2">
        <f>IF('Modell einstellen'!$B$1="Voll",H9/0.35,H9/0.35*2)</f>
        <v>1.8373004000000001E-4</v>
      </c>
      <c r="O9" s="2">
        <f>IF('Modell einstellen'!$B$1="Voll",J9/0.35,J9/0.35*2)</f>
        <v>-4.420115542857143E-4</v>
      </c>
      <c r="P9" s="3">
        <f t="shared" si="1"/>
        <v>0.41566795758745645</v>
      </c>
    </row>
    <row r="10" spans="1:16" x14ac:dyDescent="0.25">
      <c r="A10" s="3">
        <v>1E-8</v>
      </c>
      <c r="B10" s="3">
        <v>2.6060000000000001E-5</v>
      </c>
      <c r="C10" s="3">
        <v>1.5220000000000001E-4</v>
      </c>
      <c r="D10" s="3">
        <v>-3.232E-4</v>
      </c>
      <c r="E10" s="3">
        <v>0</v>
      </c>
      <c r="F10" s="3">
        <v>0</v>
      </c>
      <c r="G10" s="3">
        <v>0</v>
      </c>
      <c r="H10" s="3">
        <v>3.3910635000000003E-5</v>
      </c>
      <c r="I10" s="3">
        <v>1.4339204000000001E-5</v>
      </c>
      <c r="J10" s="3">
        <v>-8.0013066999999998E-5</v>
      </c>
      <c r="L10" s="3">
        <f t="shared" si="0"/>
        <v>8.0631188118811883E-2</v>
      </c>
      <c r="M10" s="3"/>
      <c r="N10" s="2">
        <f>IF('Modell einstellen'!$B$1="Voll",H10/0.35,H10/0.35*2)</f>
        <v>1.9377505714285716E-4</v>
      </c>
      <c r="O10" s="2">
        <f>IF('Modell einstellen'!$B$1="Voll",J10/0.35,J10/0.35*2)</f>
        <v>-4.5721752571428574E-4</v>
      </c>
      <c r="P10" s="3">
        <f t="shared" si="1"/>
        <v>0.42381371282768104</v>
      </c>
    </row>
    <row r="11" spans="1:16" x14ac:dyDescent="0.25">
      <c r="A11" s="3">
        <v>9.9999999999999995E-8</v>
      </c>
      <c r="B11" s="3">
        <v>1.579E-5</v>
      </c>
      <c r="C11" s="3">
        <v>1.5589999999999999E-4</v>
      </c>
      <c r="D11" s="3">
        <v>-3.1829999999999998E-4</v>
      </c>
      <c r="E11" s="3">
        <v>0</v>
      </c>
      <c r="F11" s="3">
        <v>0</v>
      </c>
      <c r="G11" s="3">
        <v>0</v>
      </c>
      <c r="H11" s="3">
        <v>3.5569572000000003E-5</v>
      </c>
      <c r="I11" s="3">
        <v>1.4698388E-5</v>
      </c>
      <c r="J11" s="3">
        <v>-8.2469332999999997E-5</v>
      </c>
      <c r="L11" s="3">
        <f t="shared" si="0"/>
        <v>4.9607288721332077E-2</v>
      </c>
      <c r="M11" s="3"/>
      <c r="N11" s="2">
        <f>IF('Modell einstellen'!$B$1="Voll",H11/0.35,H11/0.35*2)</f>
        <v>2.0325469714285716E-4</v>
      </c>
      <c r="O11" s="2">
        <f>IF('Modell einstellen'!$B$1="Voll",J11/0.35,J11/0.35*2)</f>
        <v>-4.7125333142857142E-4</v>
      </c>
      <c r="P11" s="3">
        <f t="shared" si="1"/>
        <v>0.4313066531046153</v>
      </c>
    </row>
    <row r="12" spans="1:16" x14ac:dyDescent="0.25">
      <c r="A12" s="3">
        <v>9.9999999999999995E-7</v>
      </c>
      <c r="B12" s="3">
        <v>3.5920000000000001E-6</v>
      </c>
      <c r="C12" s="3">
        <v>1.5970000000000001E-4</v>
      </c>
      <c r="D12" s="3">
        <v>-3.1169999999999999E-4</v>
      </c>
      <c r="E12" s="3">
        <v>0</v>
      </c>
      <c r="F12" s="3">
        <v>0</v>
      </c>
      <c r="G12" s="3">
        <v>0</v>
      </c>
      <c r="H12" s="3">
        <v>3.7410531999999998E-5</v>
      </c>
      <c r="I12" s="3">
        <v>1.5069913999999999E-5</v>
      </c>
      <c r="J12" s="3">
        <v>-8.5135076999999994E-5</v>
      </c>
      <c r="L12" s="3">
        <f t="shared" si="0"/>
        <v>1.152390118703882E-2</v>
      </c>
      <c r="M12" s="3"/>
      <c r="N12" s="2">
        <f>IF('Modell einstellen'!$B$1="Voll",H12/0.35,H12/0.35*2)</f>
        <v>2.1377446857142858E-4</v>
      </c>
      <c r="O12" s="2">
        <f>IF('Modell einstellen'!$B$1="Voll",J12/0.35,J12/0.35*2)</f>
        <v>-4.8648615428571431E-4</v>
      </c>
      <c r="P12" s="3">
        <f t="shared" si="1"/>
        <v>0.43942559657284386</v>
      </c>
    </row>
    <row r="13" spans="1:16" x14ac:dyDescent="0.25">
      <c r="A13" s="3">
        <v>1.0000000000000001E-5</v>
      </c>
      <c r="B13" s="3">
        <v>-1.0710000000000001E-5</v>
      </c>
      <c r="C13" s="3">
        <v>1.6359999999999999E-4</v>
      </c>
      <c r="D13" s="3">
        <v>-3.0309999999999999E-4</v>
      </c>
      <c r="E13" s="3">
        <v>0</v>
      </c>
      <c r="F13" s="3">
        <v>0</v>
      </c>
      <c r="G13" s="3">
        <v>0</v>
      </c>
      <c r="H13" s="3">
        <v>3.9433593999999998E-5</v>
      </c>
      <c r="I13" s="3">
        <v>1.5448887000000002E-5</v>
      </c>
      <c r="J13" s="3">
        <v>-8.7999335999999995E-5</v>
      </c>
      <c r="L13" s="3">
        <f t="shared" si="0"/>
        <v>-3.5334872979214782E-2</v>
      </c>
      <c r="M13" s="3"/>
      <c r="N13" s="2">
        <f>IF('Modell einstellen'!$B$1="Voll",H13/0.35,H13/0.35*2)</f>
        <v>2.2533482285714285E-4</v>
      </c>
      <c r="O13" s="2">
        <f>IF('Modell einstellen'!$B$1="Voll",J13/0.35,J13/0.35*2)</f>
        <v>-5.028533485714286E-4</v>
      </c>
      <c r="P13" s="3">
        <f t="shared" si="1"/>
        <v>0.44811240393904789</v>
      </c>
    </row>
    <row r="14" spans="1:16" x14ac:dyDescent="0.25">
      <c r="A14" s="3">
        <v>1E-4</v>
      </c>
      <c r="B14" s="3">
        <v>-2.756E-5</v>
      </c>
      <c r="C14" s="3">
        <v>1.6750000000000001E-4</v>
      </c>
      <c r="D14" s="3">
        <v>-2.92E-4</v>
      </c>
      <c r="E14" s="3">
        <v>0</v>
      </c>
      <c r="F14" s="3">
        <v>0</v>
      </c>
      <c r="G14" s="3">
        <v>0</v>
      </c>
      <c r="H14" s="3">
        <v>4.1670488999999997E-5</v>
      </c>
      <c r="I14" s="3">
        <v>1.5833922000000001E-5</v>
      </c>
      <c r="J14" s="3">
        <v>-9.1090711999999998E-5</v>
      </c>
      <c r="L14" s="3">
        <f t="shared" si="0"/>
        <v>-9.4383561643835615E-2</v>
      </c>
      <c r="M14" s="3"/>
      <c r="N14" s="2">
        <f>IF('Modell einstellen'!$B$1="Voll",H14/0.35,H14/0.35*2)</f>
        <v>2.3811707999999999E-4</v>
      </c>
      <c r="O14" s="2">
        <f>IF('Modell einstellen'!$B$1="Voll",J14/0.35,J14/0.35*2)</f>
        <v>-5.2051835428571435E-4</v>
      </c>
      <c r="P14" s="3">
        <f t="shared" si="1"/>
        <v>0.45746144788065762</v>
      </c>
    </row>
    <row r="15" spans="1:16" x14ac:dyDescent="0.25">
      <c r="A15" s="3">
        <v>1E-3</v>
      </c>
      <c r="B15" s="3">
        <v>-4.8359999999999998E-5</v>
      </c>
      <c r="C15" s="3">
        <v>1.717E-4</v>
      </c>
      <c r="D15" s="3">
        <v>-2.7730000000000002E-4</v>
      </c>
      <c r="E15" s="3">
        <v>0</v>
      </c>
      <c r="F15" s="3">
        <v>0</v>
      </c>
      <c r="G15" s="3">
        <v>0</v>
      </c>
      <c r="H15" s="3">
        <v>4.4286480999999998E-5</v>
      </c>
      <c r="I15" s="3">
        <v>1.6248192999999999E-5</v>
      </c>
      <c r="J15" s="3">
        <v>-9.4625595000000004E-5</v>
      </c>
      <c r="L15" s="3">
        <f t="shared" si="0"/>
        <v>-0.17439596105301117</v>
      </c>
      <c r="M15" s="3"/>
      <c r="N15" s="2">
        <f>IF('Modell einstellen'!$B$1="Voll",H15/0.35,H15/0.35*2)</f>
        <v>2.5306560571428571E-4</v>
      </c>
      <c r="O15" s="2">
        <f>IF('Modell einstellen'!$B$1="Voll",J15/0.35,J15/0.35*2)</f>
        <v>-5.4071768571428572E-4</v>
      </c>
      <c r="P15" s="3">
        <f t="shared" si="1"/>
        <v>0.46801799238356173</v>
      </c>
    </row>
    <row r="16" spans="1:16" x14ac:dyDescent="0.25">
      <c r="A16" s="3">
        <v>0.01</v>
      </c>
      <c r="B16" s="3">
        <v>-7.8250000000000005E-5</v>
      </c>
      <c r="C16" s="3">
        <v>1.7679999999999999E-4</v>
      </c>
      <c r="D16" s="3">
        <v>-2.5490000000000002E-4</v>
      </c>
      <c r="E16" s="3">
        <v>0</v>
      </c>
      <c r="F16" s="3">
        <v>0</v>
      </c>
      <c r="G16" s="3">
        <v>0</v>
      </c>
      <c r="H16" s="3">
        <v>4.7847055999999998E-5</v>
      </c>
      <c r="I16" s="3">
        <v>1.6760588000000001E-5</v>
      </c>
      <c r="J16" s="3">
        <v>-9.9318565000000006E-5</v>
      </c>
      <c r="L16" s="3">
        <f t="shared" si="0"/>
        <v>-0.30698313063946647</v>
      </c>
      <c r="M16" s="3"/>
      <c r="N16" s="2">
        <f>IF('Modell einstellen'!$B$1="Voll",H16/0.35,H16/0.35*2)</f>
        <v>2.7341174857142857E-4</v>
      </c>
      <c r="O16" s="2">
        <f>IF('Modell einstellen'!$B$1="Voll",J16/0.35,J16/0.35*2)</f>
        <v>-5.6753465714285724E-4</v>
      </c>
      <c r="P16" s="3">
        <f t="shared" si="1"/>
        <v>0.48175339625577546</v>
      </c>
    </row>
    <row r="17" spans="1:16" x14ac:dyDescent="0.25">
      <c r="A17" s="3">
        <v>0.1</v>
      </c>
      <c r="B17" s="3">
        <v>-1.1569999999999999E-4</v>
      </c>
      <c r="C17" s="3">
        <v>1.8310000000000001E-4</v>
      </c>
      <c r="D17" s="3">
        <v>-2.2609999999999999E-4</v>
      </c>
      <c r="E17" s="3">
        <v>0</v>
      </c>
      <c r="F17" s="3">
        <v>0</v>
      </c>
      <c r="G17" s="3">
        <v>0</v>
      </c>
      <c r="H17" s="3">
        <v>5.2387423999999998E-5</v>
      </c>
      <c r="I17" s="3">
        <v>1.7439590000000001E-5</v>
      </c>
      <c r="J17" s="3">
        <v>-1.0531449E-4</v>
      </c>
      <c r="L17" s="3">
        <f t="shared" si="0"/>
        <v>-0.51172047766475015</v>
      </c>
      <c r="M17" s="3"/>
      <c r="N17" s="2">
        <f>IF('Modell einstellen'!$B$1="Voll",H17/0.35,H17/0.35*2)</f>
        <v>2.9935670857142855E-4</v>
      </c>
      <c r="O17" s="2">
        <f>IF('Modell einstellen'!$B$1="Voll",J17/0.35,J17/0.35*2)</f>
        <v>-6.0179708571428576E-4</v>
      </c>
      <c r="P17" s="3">
        <f t="shared" si="1"/>
        <v>0.49743794989654311</v>
      </c>
    </row>
    <row r="18" spans="1:16" x14ac:dyDescent="0.25">
      <c r="A18" s="3">
        <v>1</v>
      </c>
      <c r="B18" s="3">
        <v>-1.5029999999999999E-4</v>
      </c>
      <c r="C18" s="3">
        <v>1.9599999999999999E-4</v>
      </c>
      <c r="D18" s="3">
        <v>-2.0550000000000001E-4</v>
      </c>
      <c r="E18" s="3">
        <v>0</v>
      </c>
      <c r="F18" s="3">
        <v>0</v>
      </c>
      <c r="G18" s="3">
        <v>0</v>
      </c>
      <c r="H18" s="3">
        <v>5.9615799000000003E-5</v>
      </c>
      <c r="I18" s="3">
        <v>1.9344374999999999E-5</v>
      </c>
      <c r="J18" s="3">
        <v>-1.1630265E-4</v>
      </c>
      <c r="L18" s="3">
        <f t="shared" si="0"/>
        <v>-0.73138686131386854</v>
      </c>
      <c r="M18" s="3"/>
      <c r="N18" s="2">
        <f>IF('Modell einstellen'!$B$1="Voll",H18/0.35,H18/0.35*2)</f>
        <v>3.4066170857142861E-4</v>
      </c>
      <c r="O18" s="2">
        <f>IF('Modell einstellen'!$B$1="Voll",J18/0.35,J18/0.35*2)</f>
        <v>-6.6458657142857145E-4</v>
      </c>
      <c r="P18" s="3">
        <f t="shared" si="1"/>
        <v>0.51259192288395838</v>
      </c>
    </row>
    <row r="19" spans="1:16" x14ac:dyDescent="0.25">
      <c r="A19" s="3">
        <v>10</v>
      </c>
      <c r="B19" s="3">
        <v>-1.2779999999999999E-4</v>
      </c>
      <c r="C19" s="3">
        <v>2.31E-4</v>
      </c>
      <c r="D19" s="3">
        <v>-2.5779999999999998E-4</v>
      </c>
      <c r="E19" s="3">
        <v>0</v>
      </c>
      <c r="F19" s="3">
        <v>0</v>
      </c>
      <c r="G19" s="3">
        <v>0</v>
      </c>
      <c r="H19" s="3">
        <v>7.3502628E-5</v>
      </c>
      <c r="I19" s="3">
        <v>2.6070837999999998E-5</v>
      </c>
      <c r="J19" s="3">
        <v>-1.4299116000000001E-4</v>
      </c>
      <c r="L19" s="3">
        <f t="shared" si="0"/>
        <v>-0.49573312645461598</v>
      </c>
      <c r="M19" s="3"/>
      <c r="N19" s="2">
        <f>IF('Modell einstellen'!$B$1="Voll",H19/0.35,H19/0.35*2)</f>
        <v>4.2001501714285716E-4</v>
      </c>
      <c r="O19" s="2">
        <f>IF('Modell einstellen'!$B$1="Voll",J19/0.35,J19/0.35*2)</f>
        <v>-8.1709234285714302E-4</v>
      </c>
      <c r="P19" s="3">
        <f t="shared" si="1"/>
        <v>0.51403616838971011</v>
      </c>
    </row>
    <row r="20" spans="1:16" x14ac:dyDescent="0.25">
      <c r="A20" s="3">
        <v>100</v>
      </c>
      <c r="B20" s="3">
        <v>-4.159E-5</v>
      </c>
      <c r="C20" s="3">
        <v>3.0219999999999997E-4</v>
      </c>
      <c r="D20" s="3">
        <v>-4.0470000000000002E-4</v>
      </c>
      <c r="E20" s="3">
        <v>0</v>
      </c>
      <c r="F20" s="3">
        <v>0</v>
      </c>
      <c r="G20" s="3">
        <v>0</v>
      </c>
      <c r="H20" s="3">
        <v>9.7487250999999997E-5</v>
      </c>
      <c r="I20" s="3">
        <v>4.0475042999999999E-5</v>
      </c>
      <c r="J20" s="3">
        <v>-1.9440024E-4</v>
      </c>
      <c r="L20" s="3">
        <f t="shared" si="0"/>
        <v>-0.10276748208549542</v>
      </c>
      <c r="M20" s="3"/>
      <c r="N20" s="2">
        <f>IF('Modell einstellen'!$B$1="Voll",H20/0.35,H20/0.35*2)</f>
        <v>5.5707000571428571E-4</v>
      </c>
      <c r="O20" s="2">
        <f>IF('Modell einstellen'!$B$1="Voll",J20/0.35,J20/0.35*2)</f>
        <v>-1.1108585142857144E-3</v>
      </c>
      <c r="P20" s="3">
        <f t="shared" si="1"/>
        <v>0.5014770094934039</v>
      </c>
    </row>
    <row r="21" spans="1:16" x14ac:dyDescent="0.25">
      <c r="A21" s="3">
        <v>1000</v>
      </c>
      <c r="B21" s="3">
        <v>5.9150000000000001E-5</v>
      </c>
      <c r="C21" s="3">
        <v>4.215E-4</v>
      </c>
      <c r="D21" s="3">
        <v>-6.1379999999999996E-4</v>
      </c>
      <c r="E21" s="3">
        <v>0</v>
      </c>
      <c r="F21" s="3">
        <v>0</v>
      </c>
      <c r="G21" s="3">
        <v>0</v>
      </c>
      <c r="H21" s="3">
        <v>1.3513881E-4</v>
      </c>
      <c r="I21" s="3">
        <v>6.4340236000000003E-5</v>
      </c>
      <c r="J21" s="3">
        <v>-2.7780357999999998E-4</v>
      </c>
      <c r="L21" s="3">
        <f t="shared" si="0"/>
        <v>9.636689475399153E-2</v>
      </c>
      <c r="M21" s="3"/>
      <c r="N21" s="2">
        <f>IF('Modell einstellen'!$B$1="Voll",H21/0.35,H21/0.35*2)</f>
        <v>7.7222177142857143E-4</v>
      </c>
      <c r="O21" s="2">
        <f>IF('Modell einstellen'!$B$1="Voll",J21/0.35,J21/0.35*2)</f>
        <v>-1.5874490285714285E-3</v>
      </c>
      <c r="P21" s="3">
        <f t="shared" si="1"/>
        <v>0.48645453021159774</v>
      </c>
    </row>
    <row r="22" spans="1:16" x14ac:dyDescent="0.25">
      <c r="A22" s="3">
        <v>10000</v>
      </c>
      <c r="B22" s="3">
        <v>1.3880000000000001E-4</v>
      </c>
      <c r="C22" s="3">
        <v>6.2600000000000004E-4</v>
      </c>
      <c r="D22" s="3">
        <v>-8.8739999999999999E-4</v>
      </c>
      <c r="E22" s="3">
        <v>0</v>
      </c>
      <c r="F22" s="3">
        <v>0</v>
      </c>
      <c r="G22" s="3">
        <v>0</v>
      </c>
      <c r="H22" s="3">
        <v>1.9542297E-4</v>
      </c>
      <c r="I22" s="3">
        <v>1.0461228E-4</v>
      </c>
      <c r="J22" s="3">
        <v>-4.1565104000000001E-4</v>
      </c>
      <c r="L22" s="3">
        <f t="shared" si="0"/>
        <v>0.15641199008338968</v>
      </c>
      <c r="M22" s="3"/>
      <c r="N22" s="2">
        <f>IF('Modell einstellen'!$B$1="Voll",H22/0.35,H22/0.35*2)</f>
        <v>1.1167026857142857E-3</v>
      </c>
      <c r="O22" s="2">
        <f>IF('Modell einstellen'!$B$1="Voll",J22/0.35,J22/0.35*2)</f>
        <v>-2.3751488000000004E-3</v>
      </c>
      <c r="P22" s="3">
        <f t="shared" si="1"/>
        <v>0.4701611476781099</v>
      </c>
    </row>
    <row r="23" spans="1:16" x14ac:dyDescent="0.25">
      <c r="A23" s="3">
        <v>100000</v>
      </c>
      <c r="B23" s="3">
        <v>2.1479999999999999E-4</v>
      </c>
      <c r="C23" s="3">
        <v>9.5870000000000005E-4</v>
      </c>
      <c r="D23" s="3">
        <v>-1.2849999999999999E-3</v>
      </c>
      <c r="E23" s="3">
        <v>0</v>
      </c>
      <c r="F23" s="3">
        <v>0</v>
      </c>
      <c r="G23" s="3">
        <v>0</v>
      </c>
      <c r="H23" s="3">
        <v>2.8062410000000002E-4</v>
      </c>
      <c r="I23" s="3">
        <v>1.6826864E-4</v>
      </c>
      <c r="J23" s="3">
        <v>-6.2345238000000003E-4</v>
      </c>
      <c r="L23" s="3">
        <f t="shared" si="0"/>
        <v>0.16715953307392997</v>
      </c>
      <c r="M23" s="3"/>
      <c r="N23" s="2">
        <f>IF('Modell einstellen'!$B$1="Voll",H23/0.35,H23/0.35*2)</f>
        <v>1.6035662857142858E-3</v>
      </c>
      <c r="O23" s="2">
        <f>IF('Modell einstellen'!$B$1="Voll",J23/0.35,J23/0.35*2)</f>
        <v>-3.5625850285714291E-3</v>
      </c>
      <c r="P23" s="3">
        <f t="shared" si="1"/>
        <v>0.45011312652299118</v>
      </c>
    </row>
    <row r="24" spans="1:16" x14ac:dyDescent="0.25">
      <c r="A24" s="3">
        <v>1000000</v>
      </c>
      <c r="B24" s="3">
        <v>3.3649999999999999E-4</v>
      </c>
      <c r="C24" s="3">
        <v>1.4369999999999999E-3</v>
      </c>
      <c r="D24" s="3">
        <v>-1.8749999999999999E-3</v>
      </c>
      <c r="E24" s="3">
        <v>0</v>
      </c>
      <c r="F24" s="3">
        <v>0</v>
      </c>
      <c r="G24" s="3">
        <v>0</v>
      </c>
      <c r="H24" s="3">
        <v>3.8971060000000002E-4</v>
      </c>
      <c r="I24" s="3">
        <v>2.5821603000000001E-4</v>
      </c>
      <c r="J24" s="3">
        <v>-9.0536356E-4</v>
      </c>
      <c r="L24" s="3">
        <f t="shared" si="0"/>
        <v>0.17946666666666666</v>
      </c>
      <c r="M24" s="3"/>
      <c r="N24" s="2">
        <f>IF('Modell einstellen'!$B$1="Voll",H24/0.35,H24/0.35*2)</f>
        <v>2.2269177142857145E-3</v>
      </c>
      <c r="O24" s="2">
        <f>IF('Modell einstellen'!$B$1="Voll",J24/0.35,J24/0.35*2)</f>
        <v>-5.1735060571428577E-3</v>
      </c>
      <c r="P24" s="3">
        <f t="shared" si="1"/>
        <v>0.4304465269178715</v>
      </c>
    </row>
    <row r="25" spans="1:16" x14ac:dyDescent="0.25">
      <c r="A25" s="3">
        <v>10000000</v>
      </c>
      <c r="B25" s="3">
        <v>5.8520000000000002E-4</v>
      </c>
      <c r="C25" s="3">
        <v>1.9239999999999999E-3</v>
      </c>
      <c r="D25" s="3">
        <v>-2.6020000000000001E-3</v>
      </c>
      <c r="E25" s="3">
        <v>0</v>
      </c>
      <c r="F25" s="3">
        <v>0</v>
      </c>
      <c r="G25" s="3">
        <v>0</v>
      </c>
      <c r="H25" s="3">
        <v>4.8141503E-4</v>
      </c>
      <c r="I25" s="3">
        <v>3.4555168999999999E-4</v>
      </c>
      <c r="J25" s="3">
        <v>-1.1643395999999999E-3</v>
      </c>
      <c r="L25" s="3">
        <f t="shared" si="0"/>
        <v>0.22490392006149115</v>
      </c>
      <c r="M25" s="3"/>
      <c r="N25" s="2">
        <f>IF('Modell einstellen'!$B$1="Voll",H25/0.35,H25/0.35*2)</f>
        <v>2.7509430285714287E-3</v>
      </c>
      <c r="O25" s="2">
        <f>IF('Modell einstellen'!$B$1="Voll",J25/0.35,J25/0.35*2)</f>
        <v>-6.6533691428571429E-3</v>
      </c>
      <c r="P25" s="3">
        <f t="shared" si="1"/>
        <v>0.4134661657131648</v>
      </c>
    </row>
    <row r="26" spans="1:16" x14ac:dyDescent="0.25">
      <c r="A26" s="3">
        <v>100000000</v>
      </c>
      <c r="B26" s="3">
        <v>8.7460000000000001E-4</v>
      </c>
      <c r="C26" s="3">
        <v>2.3519999999999999E-3</v>
      </c>
      <c r="D26" s="3">
        <v>-3.313E-3</v>
      </c>
      <c r="E26" s="3">
        <v>0</v>
      </c>
      <c r="F26" s="3">
        <v>0</v>
      </c>
      <c r="G26" s="3">
        <v>0</v>
      </c>
      <c r="H26" s="3">
        <v>5.5219052000000002E-4</v>
      </c>
      <c r="I26" s="3">
        <v>4.1902756999999998E-4</v>
      </c>
      <c r="J26" s="3">
        <v>-1.3754628999999999E-3</v>
      </c>
      <c r="L26" s="3">
        <f t="shared" si="0"/>
        <v>0.26399034108059161</v>
      </c>
      <c r="M26" s="3"/>
      <c r="N26" s="2">
        <f>IF('Modell einstellen'!$B$1="Voll",H26/0.35,H26/0.35*2)</f>
        <v>3.1553744000000004E-3</v>
      </c>
      <c r="O26" s="2">
        <f>IF('Modell einstellen'!$B$1="Voll",J26/0.35,J26/0.35*2)</f>
        <v>-7.8597879999999995E-3</v>
      </c>
      <c r="P26" s="3">
        <f t="shared" si="1"/>
        <v>0.40145795280992319</v>
      </c>
    </row>
    <row r="27" spans="1:16" x14ac:dyDescent="0.25">
      <c r="A27" s="3">
        <v>1000000000</v>
      </c>
      <c r="B27" s="3">
        <v>1.1180000000000001E-3</v>
      </c>
      <c r="C27" s="3">
        <v>2.624E-3</v>
      </c>
      <c r="D27" s="3">
        <v>-3.8249999999999998E-3</v>
      </c>
      <c r="E27" s="3">
        <v>0</v>
      </c>
      <c r="F27" s="3">
        <v>0</v>
      </c>
      <c r="G27" s="3">
        <v>0</v>
      </c>
      <c r="H27" s="3">
        <v>5.9173457999999997E-4</v>
      </c>
      <c r="I27" s="3">
        <v>4.6480787000000002E-4</v>
      </c>
      <c r="J27" s="3">
        <v>-1.502293E-3</v>
      </c>
      <c r="L27" s="3">
        <f t="shared" si="0"/>
        <v>0.29228758169934643</v>
      </c>
      <c r="M27" s="3"/>
      <c r="N27" s="2">
        <f>IF('Modell einstellen'!$B$1="Voll",H27/0.35,H27/0.35*2)</f>
        <v>3.381340457142857E-3</v>
      </c>
      <c r="O27" s="2">
        <f>IF('Modell einstellen'!$B$1="Voll",J27/0.35,J27/0.35*2)</f>
        <v>-8.5845314285714295E-3</v>
      </c>
      <c r="P27" s="3">
        <f t="shared" si="1"/>
        <v>0.39388759715980831</v>
      </c>
    </row>
    <row r="28" spans="1:16" x14ac:dyDescent="0.25">
      <c r="A28" s="3">
        <v>10000000000</v>
      </c>
      <c r="B28" s="3">
        <v>1.317E-3</v>
      </c>
      <c r="C28" s="3">
        <v>2.8570000000000002E-3</v>
      </c>
      <c r="D28" s="3">
        <v>-4.254E-3</v>
      </c>
      <c r="E28" s="3">
        <v>0</v>
      </c>
      <c r="F28" s="3">
        <v>0</v>
      </c>
      <c r="G28" s="3">
        <v>0</v>
      </c>
      <c r="H28" s="3">
        <v>6.2541569999999996E-4</v>
      </c>
      <c r="I28" s="3">
        <v>5.0222663999999998E-4</v>
      </c>
      <c r="J28" s="3">
        <v>-1.6072044E-3</v>
      </c>
      <c r="L28" s="3">
        <f t="shared" si="0"/>
        <v>0.30959097320169254</v>
      </c>
      <c r="M28" s="3"/>
      <c r="N28" s="2">
        <f>IF('Modell einstellen'!$B$1="Voll",H28/0.35,H28/0.35*2)</f>
        <v>3.5738039999999999E-3</v>
      </c>
      <c r="O28" s="2">
        <f>IF('Modell einstellen'!$B$1="Voll",J28/0.35,J28/0.35*2)</f>
        <v>-9.184025142857143E-3</v>
      </c>
      <c r="P28" s="3">
        <f t="shared" si="1"/>
        <v>0.38913264548056237</v>
      </c>
    </row>
    <row r="29" spans="1:16" x14ac:dyDescent="0.25">
      <c r="A29" s="3">
        <v>100000000000</v>
      </c>
      <c r="B29" s="3">
        <v>1.485E-3</v>
      </c>
      <c r="C29" s="3">
        <v>3.0209999999999998E-3</v>
      </c>
      <c r="D29" s="3">
        <v>-4.5830000000000003E-3</v>
      </c>
      <c r="E29" s="3">
        <v>0</v>
      </c>
      <c r="F29" s="3">
        <v>0</v>
      </c>
      <c r="G29" s="3">
        <v>0</v>
      </c>
      <c r="H29" s="3">
        <v>6.4212297999999995E-4</v>
      </c>
      <c r="I29" s="3">
        <v>5.2456878000000002E-4</v>
      </c>
      <c r="J29" s="3">
        <v>-1.6664200000000001E-3</v>
      </c>
      <c r="L29" s="3">
        <f t="shared" si="0"/>
        <v>0.32402356535020727</v>
      </c>
      <c r="M29" s="3"/>
      <c r="N29" s="2">
        <f>IF('Modell einstellen'!$B$1="Voll",H29/0.35,H29/0.35*2)</f>
        <v>3.6692741714285716E-3</v>
      </c>
      <c r="O29" s="2">
        <f>IF('Modell einstellen'!$B$1="Voll",J29/0.35,J29/0.35*2)</f>
        <v>-9.5224000000000003E-3</v>
      </c>
      <c r="P29" s="3">
        <f t="shared" si="1"/>
        <v>0.38533081696091021</v>
      </c>
    </row>
    <row r="30" spans="1:16" x14ac:dyDescent="0.25">
      <c r="A30" s="3">
        <v>1000000000000</v>
      </c>
      <c r="B30" s="3">
        <v>1.4829999999999999E-3</v>
      </c>
      <c r="C30" s="3">
        <v>3.0990000000000002E-3</v>
      </c>
      <c r="D30" s="3">
        <v>-4.6600000000000001E-3</v>
      </c>
      <c r="E30" s="3">
        <v>0</v>
      </c>
      <c r="F30" s="3">
        <v>0</v>
      </c>
      <c r="G30" s="3">
        <v>0</v>
      </c>
      <c r="H30" s="3">
        <v>6.6374070999999999E-4</v>
      </c>
      <c r="I30" s="3">
        <v>5.3964069000000004E-4</v>
      </c>
      <c r="J30" s="3">
        <v>-1.7166055999999999E-3</v>
      </c>
      <c r="L30" s="3">
        <f t="shared" si="0"/>
        <v>0.31824034334763945</v>
      </c>
      <c r="M30" s="3"/>
      <c r="N30" s="2">
        <f>IF('Modell einstellen'!$B$1="Voll",H30/0.35,H30/0.35*2)</f>
        <v>3.7928040571428572E-3</v>
      </c>
      <c r="O30" s="2">
        <f>IF('Modell einstellen'!$B$1="Voll",J30/0.35,J30/0.35*2)</f>
        <v>-9.8091748571428571E-3</v>
      </c>
      <c r="P30" s="3">
        <f t="shared" si="1"/>
        <v>0.38665882832958254</v>
      </c>
    </row>
    <row r="31" spans="1:16" x14ac:dyDescent="0.25">
      <c r="A31" s="3">
        <v>10000000000000</v>
      </c>
      <c r="B31" s="3">
        <v>1.6949999999999999E-3</v>
      </c>
      <c r="C31" s="3">
        <v>3.3279999999999998E-3</v>
      </c>
      <c r="D31" s="3">
        <v>-5.0980000000000001E-3</v>
      </c>
      <c r="E31" s="3">
        <v>0</v>
      </c>
      <c r="F31" s="3">
        <v>0</v>
      </c>
      <c r="G31" s="3">
        <v>0</v>
      </c>
      <c r="H31" s="3">
        <v>6.9598253999999995E-4</v>
      </c>
      <c r="I31" s="3">
        <v>5.7565050999999995E-4</v>
      </c>
      <c r="J31" s="3">
        <v>-1.8172278000000001E-3</v>
      </c>
      <c r="L31" s="3">
        <f t="shared" si="0"/>
        <v>0.33248332679482145</v>
      </c>
      <c r="M31" s="3"/>
      <c r="N31" s="2">
        <f>IF('Modell einstellen'!$B$1="Voll",H31/0.35,H31/0.35*2)</f>
        <v>3.9770430857142859E-3</v>
      </c>
      <c r="O31" s="2">
        <f>IF('Modell einstellen'!$B$1="Voll",J31/0.35,J31/0.35*2)</f>
        <v>-1.0384158857142858E-2</v>
      </c>
      <c r="P31" s="3">
        <f t="shared" si="1"/>
        <v>0.38299135639461379</v>
      </c>
    </row>
    <row r="32" spans="1:16" x14ac:dyDescent="0.25">
      <c r="A32" s="3">
        <v>100000000000000</v>
      </c>
      <c r="B32" s="3">
        <v>1.6559999999999999E-3</v>
      </c>
      <c r="C32" s="3">
        <v>3.3310000000000002E-3</v>
      </c>
      <c r="D32" s="3">
        <v>-5.0629999999999998E-3</v>
      </c>
      <c r="E32" s="3">
        <v>0</v>
      </c>
      <c r="F32" s="3">
        <v>0</v>
      </c>
      <c r="G32" s="3">
        <v>0</v>
      </c>
      <c r="H32" s="3">
        <v>7.0014366000000004E-4</v>
      </c>
      <c r="I32" s="3">
        <v>5.7642448E-4</v>
      </c>
      <c r="J32" s="3">
        <v>-1.8228204000000001E-3</v>
      </c>
      <c r="L32" s="3">
        <f t="shared" si="0"/>
        <v>0.3270788070314043</v>
      </c>
      <c r="M32" s="3"/>
      <c r="N32" s="2">
        <f>IF('Modell einstellen'!$B$1="Voll",H32/0.35,H32/0.35*2)</f>
        <v>4.0008209142857144E-3</v>
      </c>
      <c r="O32" s="2">
        <f>IF('Modell einstellen'!$B$1="Voll",J32/0.35,J32/0.35*2)</f>
        <v>-1.0416116571428572E-2</v>
      </c>
      <c r="P32" s="3">
        <f t="shared" si="1"/>
        <v>0.38409909171523421</v>
      </c>
    </row>
    <row r="33" spans="1:16" x14ac:dyDescent="0.25">
      <c r="A33" s="3">
        <v>1000000000000000</v>
      </c>
      <c r="B33" s="3">
        <v>1.7849999999999999E-3</v>
      </c>
      <c r="C33" s="3">
        <v>3.3930000000000002E-3</v>
      </c>
      <c r="D33" s="3">
        <v>-5.2529999999999999E-3</v>
      </c>
      <c r="E33" s="3">
        <v>0</v>
      </c>
      <c r="F33" s="3">
        <v>0</v>
      </c>
      <c r="G33" s="3">
        <v>0</v>
      </c>
      <c r="H33" s="3">
        <v>7.0276235000000002E-4</v>
      </c>
      <c r="I33" s="3">
        <v>5.8551073000000003E-4</v>
      </c>
      <c r="J33" s="3">
        <v>-1.8427283E-3</v>
      </c>
      <c r="L33" s="3">
        <f t="shared" si="0"/>
        <v>0.33980582524271846</v>
      </c>
      <c r="M33" s="3"/>
      <c r="N33" s="2">
        <f>IF('Modell einstellen'!$B$1="Voll",H33/0.35,H33/0.35*2)</f>
        <v>4.0157848571428572E-3</v>
      </c>
      <c r="O33" s="2">
        <f>IF('Modell einstellen'!$B$1="Voll",J33/0.35,J33/0.35*2)</f>
        <v>-1.0529876000000001E-2</v>
      </c>
      <c r="P33" s="3">
        <f t="shared" si="1"/>
        <v>0.3813705742729408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6.4919999999999995E-5</v>
      </c>
      <c r="C3" s="3">
        <v>1.348E-4</v>
      </c>
      <c r="D3" s="3">
        <v>-3.3540000000000002E-4</v>
      </c>
      <c r="E3" s="3">
        <v>0</v>
      </c>
      <c r="F3" s="3">
        <v>0</v>
      </c>
      <c r="G3" s="3">
        <v>0</v>
      </c>
      <c r="H3" s="3">
        <v>2.7120073000000001E-5</v>
      </c>
      <c r="I3" s="3">
        <v>1.273458E-5</v>
      </c>
      <c r="J3" s="3">
        <v>-6.9673385999999998E-5</v>
      </c>
      <c r="L3" s="3">
        <f>-B3/D3</f>
        <v>0.19355992844364936</v>
      </c>
      <c r="M3" s="3"/>
      <c r="N3" s="2">
        <f>IF('Modell einstellen'!$B$1="Voll",H3/0.35,H3/0.35*2)</f>
        <v>1.5497184571428574E-4</v>
      </c>
      <c r="O3" s="2">
        <f>IF('Modell einstellen'!$B$1="Voll",J3/0.35,J3/0.35*2)</f>
        <v>-3.9813363428571429E-4</v>
      </c>
      <c r="P3" s="3">
        <f>-N3/O3</f>
        <v>0.38924580183314195</v>
      </c>
    </row>
    <row r="4" spans="1:16" x14ac:dyDescent="0.25">
      <c r="A4" s="3">
        <v>1E-14</v>
      </c>
      <c r="B4" s="3">
        <v>6.0229999999999998E-5</v>
      </c>
      <c r="C4" s="3">
        <v>1.3870000000000001E-4</v>
      </c>
      <c r="D4" s="3">
        <v>-3.3639999999999999E-4</v>
      </c>
      <c r="E4" s="3">
        <v>0</v>
      </c>
      <c r="F4" s="3">
        <v>0</v>
      </c>
      <c r="G4" s="3">
        <v>0</v>
      </c>
      <c r="H4" s="3">
        <v>2.8446374000000001E-5</v>
      </c>
      <c r="I4" s="3">
        <v>1.3126029E-5</v>
      </c>
      <c r="J4" s="3">
        <v>-7.1861599999999997E-5</v>
      </c>
      <c r="L4" s="3">
        <f t="shared" ref="L4:L33" si="0">-B4/D4</f>
        <v>0.17904280618311533</v>
      </c>
      <c r="M4" s="3"/>
      <c r="N4" s="2">
        <f>IF('Modell einstellen'!$B$1="Voll",H4/0.35,H4/0.35*2)</f>
        <v>1.625507085714286E-4</v>
      </c>
      <c r="O4" s="2">
        <f>IF('Modell einstellen'!$B$1="Voll",J4/0.35,J4/0.35*2)</f>
        <v>-4.1063771428571428E-4</v>
      </c>
      <c r="P4" s="3">
        <f t="shared" ref="P4:P33" si="1">-N4/O4</f>
        <v>0.39584943836485698</v>
      </c>
    </row>
    <row r="5" spans="1:16" x14ac:dyDescent="0.25">
      <c r="A5" s="3">
        <v>1E-13</v>
      </c>
      <c r="B5" s="3">
        <v>5.4429999999999999E-5</v>
      </c>
      <c r="C5" s="3">
        <v>1.427E-4</v>
      </c>
      <c r="D5" s="3">
        <v>-3.3639999999999999E-4</v>
      </c>
      <c r="E5" s="3">
        <v>0</v>
      </c>
      <c r="F5" s="3">
        <v>0</v>
      </c>
      <c r="G5" s="3">
        <v>0</v>
      </c>
      <c r="H5" s="3">
        <v>2.9861342E-5</v>
      </c>
      <c r="I5" s="3">
        <v>1.3522327E-5</v>
      </c>
      <c r="J5" s="3">
        <v>-7.4151272999999995E-5</v>
      </c>
      <c r="L5" s="3">
        <f t="shared" si="0"/>
        <v>0.16180142687277052</v>
      </c>
      <c r="M5" s="3"/>
      <c r="N5" s="2">
        <f>IF('Modell einstellen'!$B$1="Voll",H5/0.35,H5/0.35*2)</f>
        <v>1.7063624000000001E-4</v>
      </c>
      <c r="O5" s="2">
        <f>IF('Modell einstellen'!$B$1="Voll",J5/0.35,J5/0.35*2)</f>
        <v>-4.2372155999999999E-4</v>
      </c>
      <c r="P5" s="3">
        <f t="shared" si="1"/>
        <v>0.40270842012381908</v>
      </c>
    </row>
    <row r="6" spans="1:16" x14ac:dyDescent="0.25">
      <c r="A6" s="3">
        <v>9.9999999999999998E-13</v>
      </c>
      <c r="B6" s="3">
        <v>4.634E-5</v>
      </c>
      <c r="C6" s="3">
        <v>1.474E-4</v>
      </c>
      <c r="D6" s="3">
        <v>-3.3500000000000001E-4</v>
      </c>
      <c r="E6" s="3">
        <v>0</v>
      </c>
      <c r="F6" s="3">
        <v>0</v>
      </c>
      <c r="G6" s="3">
        <v>0</v>
      </c>
      <c r="H6" s="3">
        <v>3.1600634000000003E-5</v>
      </c>
      <c r="I6" s="3">
        <v>1.3981389E-5</v>
      </c>
      <c r="J6" s="3">
        <v>-7.6903374999999998E-5</v>
      </c>
      <c r="L6" s="3">
        <f t="shared" si="0"/>
        <v>0.13832835820895523</v>
      </c>
      <c r="M6" s="3"/>
      <c r="N6" s="2">
        <f>IF('Modell einstellen'!$B$1="Voll",H6/0.35,H6/0.35*2)</f>
        <v>1.8057505142857146E-4</v>
      </c>
      <c r="O6" s="2">
        <f>IF('Modell einstellen'!$B$1="Voll",J6/0.35,J6/0.35*2)</f>
        <v>-4.3944785714285716E-4</v>
      </c>
      <c r="P6" s="3">
        <f t="shared" si="1"/>
        <v>0.41091348721691345</v>
      </c>
    </row>
    <row r="7" spans="1:16" x14ac:dyDescent="0.25">
      <c r="A7" s="3">
        <v>9.9999999999999994E-12</v>
      </c>
      <c r="B7" s="3">
        <v>3.6579999999999999E-5</v>
      </c>
      <c r="C7" s="3">
        <v>1.5190000000000001E-4</v>
      </c>
      <c r="D7" s="3">
        <v>-3.3189999999999999E-4</v>
      </c>
      <c r="E7" s="3">
        <v>0</v>
      </c>
      <c r="F7" s="3">
        <v>0</v>
      </c>
      <c r="G7" s="3">
        <v>0</v>
      </c>
      <c r="H7" s="3">
        <v>3.3455630000000001E-5</v>
      </c>
      <c r="I7" s="3">
        <v>1.4436581E-5</v>
      </c>
      <c r="J7" s="3">
        <v>-7.9762151000000006E-5</v>
      </c>
      <c r="L7" s="3">
        <f t="shared" si="0"/>
        <v>0.11021391985537812</v>
      </c>
      <c r="M7" s="3"/>
      <c r="N7" s="2">
        <f>IF('Modell einstellen'!$B$1="Voll",H7/0.35,H7/0.35*2)</f>
        <v>1.9117502857142859E-4</v>
      </c>
      <c r="O7" s="2">
        <f>IF('Modell einstellen'!$B$1="Voll",J7/0.35,J7/0.35*2)</f>
        <v>-4.5578372000000007E-4</v>
      </c>
      <c r="P7" s="3">
        <f t="shared" si="1"/>
        <v>0.4194424245153569</v>
      </c>
    </row>
    <row r="8" spans="1:16" x14ac:dyDescent="0.25">
      <c r="A8" s="3">
        <v>1E-10</v>
      </c>
      <c r="B8" s="3">
        <v>2.7080000000000002E-5</v>
      </c>
      <c r="C8" s="3">
        <v>1.5569999999999999E-4</v>
      </c>
      <c r="D8" s="3">
        <v>-3.279E-4</v>
      </c>
      <c r="E8" s="3">
        <v>0</v>
      </c>
      <c r="F8" s="3">
        <v>0</v>
      </c>
      <c r="G8" s="3">
        <v>0</v>
      </c>
      <c r="H8" s="3">
        <v>3.5090309999999999E-5</v>
      </c>
      <c r="I8" s="3">
        <v>1.4809872E-5</v>
      </c>
      <c r="J8" s="3">
        <v>-8.2219629999999997E-5</v>
      </c>
      <c r="L8" s="3">
        <f t="shared" si="0"/>
        <v>8.2586154315340041E-2</v>
      </c>
      <c r="M8" s="3"/>
      <c r="N8" s="2">
        <f>IF('Modell einstellen'!$B$1="Voll",H8/0.35,H8/0.35*2)</f>
        <v>2.0051605714285715E-4</v>
      </c>
      <c r="O8" s="2">
        <f>IF('Modell einstellen'!$B$1="Voll",J8/0.35,J8/0.35*2)</f>
        <v>-4.6982645714285716E-4</v>
      </c>
      <c r="P8" s="3">
        <f t="shared" si="1"/>
        <v>0.42678749588145798</v>
      </c>
    </row>
    <row r="9" spans="1:16" x14ac:dyDescent="0.25">
      <c r="A9" s="3">
        <v>1.0000000000000001E-9</v>
      </c>
      <c r="B9" s="3">
        <v>1.588E-5</v>
      </c>
      <c r="C9" s="3">
        <v>1.596E-4</v>
      </c>
      <c r="D9" s="3">
        <v>-3.2229999999999997E-4</v>
      </c>
      <c r="E9" s="3">
        <v>0</v>
      </c>
      <c r="F9" s="3">
        <v>0</v>
      </c>
      <c r="G9" s="3">
        <v>0</v>
      </c>
      <c r="H9" s="3">
        <v>3.6888382000000002E-5</v>
      </c>
      <c r="I9" s="3">
        <v>1.5195988E-5</v>
      </c>
      <c r="J9" s="3">
        <v>-8.4868810000000004E-5</v>
      </c>
      <c r="L9" s="3">
        <f t="shared" si="0"/>
        <v>4.9270865653118216E-2</v>
      </c>
      <c r="M9" s="3"/>
      <c r="N9" s="2">
        <f>IF('Modell einstellen'!$B$1="Voll",H9/0.35,H9/0.35*2)</f>
        <v>2.107907542857143E-4</v>
      </c>
      <c r="O9" s="2">
        <f>IF('Modell einstellen'!$B$1="Voll",J9/0.35,J9/0.35*2)</f>
        <v>-4.8496462857142863E-4</v>
      </c>
      <c r="P9" s="3">
        <f t="shared" si="1"/>
        <v>0.43465181142518666</v>
      </c>
    </row>
    <row r="10" spans="1:16" x14ac:dyDescent="0.25">
      <c r="A10" s="3">
        <v>1E-8</v>
      </c>
      <c r="B10" s="3">
        <v>3.1939999999999998E-6</v>
      </c>
      <c r="C10" s="3">
        <v>1.6330000000000001E-4</v>
      </c>
      <c r="D10" s="3">
        <v>-3.1510000000000002E-4</v>
      </c>
      <c r="E10" s="3">
        <v>0</v>
      </c>
      <c r="F10" s="3">
        <v>0</v>
      </c>
      <c r="G10" s="3">
        <v>0</v>
      </c>
      <c r="H10" s="3">
        <v>3.8784359999999998E-5</v>
      </c>
      <c r="I10" s="3">
        <v>1.5574631999999999E-5</v>
      </c>
      <c r="J10" s="3">
        <v>-8.7599233000000003E-5</v>
      </c>
      <c r="L10" s="3">
        <f t="shared" si="0"/>
        <v>1.0136464614408123E-2</v>
      </c>
      <c r="M10" s="3"/>
      <c r="N10" s="2">
        <f>IF('Modell einstellen'!$B$1="Voll",H10/0.35,H10/0.35*2)</f>
        <v>2.2162491428571429E-4</v>
      </c>
      <c r="O10" s="2">
        <f>IF('Modell einstellen'!$B$1="Voll",J10/0.35,J10/0.35*2)</f>
        <v>-5.0056704571428581E-4</v>
      </c>
      <c r="P10" s="3">
        <f t="shared" si="1"/>
        <v>0.44274771218601872</v>
      </c>
    </row>
    <row r="11" spans="1:16" x14ac:dyDescent="0.25">
      <c r="A11" s="3">
        <v>9.9999999999999995E-8</v>
      </c>
      <c r="B11" s="3">
        <v>-1.2649999999999999E-5</v>
      </c>
      <c r="C11" s="3">
        <v>1.674E-4</v>
      </c>
      <c r="D11" s="3">
        <v>-3.0529999999999999E-4</v>
      </c>
      <c r="E11" s="3">
        <v>0</v>
      </c>
      <c r="F11" s="3">
        <v>0</v>
      </c>
      <c r="G11" s="3">
        <v>0</v>
      </c>
      <c r="H11" s="3">
        <v>4.1002784000000003E-5</v>
      </c>
      <c r="I11" s="3">
        <v>1.5985185999999999E-5</v>
      </c>
      <c r="J11" s="3">
        <v>-9.0722349000000005E-5</v>
      </c>
      <c r="L11" s="3">
        <f t="shared" si="0"/>
        <v>-4.1434654438257452E-2</v>
      </c>
      <c r="M11" s="3"/>
      <c r="N11" s="2">
        <f>IF('Modell einstellen'!$B$1="Voll",H11/0.35,H11/0.35*2)</f>
        <v>2.3430162285714289E-4</v>
      </c>
      <c r="O11" s="2">
        <f>IF('Modell einstellen'!$B$1="Voll",J11/0.35,J11/0.35*2)</f>
        <v>-5.1841342285714287E-4</v>
      </c>
      <c r="P11" s="3">
        <f t="shared" si="1"/>
        <v>0.45195902059370185</v>
      </c>
    </row>
    <row r="12" spans="1:16" x14ac:dyDescent="0.25">
      <c r="A12" s="3">
        <v>9.9999999999999995E-7</v>
      </c>
      <c r="B12" s="3">
        <v>-2.9960000000000001E-5</v>
      </c>
      <c r="C12" s="3">
        <v>1.7119999999999999E-4</v>
      </c>
      <c r="D12" s="3">
        <v>-2.9359999999999998E-4</v>
      </c>
      <c r="E12" s="3">
        <v>0</v>
      </c>
      <c r="F12" s="3">
        <v>0</v>
      </c>
      <c r="G12" s="3">
        <v>0</v>
      </c>
      <c r="H12" s="3">
        <v>4.3275605000000003E-5</v>
      </c>
      <c r="I12" s="3">
        <v>1.6370953000000001E-5</v>
      </c>
      <c r="J12" s="3">
        <v>-9.3844936000000005E-5</v>
      </c>
      <c r="L12" s="3">
        <f t="shared" si="0"/>
        <v>-0.10204359673024524</v>
      </c>
      <c r="M12" s="3"/>
      <c r="N12" s="2">
        <f>IF('Modell einstellen'!$B$1="Voll",H12/0.35,H12/0.35*2)</f>
        <v>2.4728917142857146E-4</v>
      </c>
      <c r="O12" s="2">
        <f>IF('Modell einstellen'!$B$1="Voll",J12/0.35,J12/0.35*2)</f>
        <v>-5.3625677714285716E-4</v>
      </c>
      <c r="P12" s="3">
        <f t="shared" si="1"/>
        <v>0.46113948013135203</v>
      </c>
    </row>
    <row r="13" spans="1:16" x14ac:dyDescent="0.25">
      <c r="A13" s="3">
        <v>1.0000000000000001E-5</v>
      </c>
      <c r="B13" s="3">
        <v>-5.5930000000000002E-5</v>
      </c>
      <c r="C13" s="3">
        <v>1.762E-4</v>
      </c>
      <c r="D13" s="3">
        <v>-2.7480000000000001E-4</v>
      </c>
      <c r="E13" s="3">
        <v>0</v>
      </c>
      <c r="F13" s="3">
        <v>0</v>
      </c>
      <c r="G13" s="3">
        <v>0</v>
      </c>
      <c r="H13" s="3">
        <v>4.6497394999999999E-5</v>
      </c>
      <c r="I13" s="3">
        <v>1.6870271000000001E-5</v>
      </c>
      <c r="J13" s="3">
        <v>-9.8166656000000003E-5</v>
      </c>
      <c r="L13" s="3">
        <f t="shared" si="0"/>
        <v>-0.20352983988355167</v>
      </c>
      <c r="M13" s="3"/>
      <c r="N13" s="2">
        <f>IF('Modell einstellen'!$B$1="Voll",H13/0.35,H13/0.35*2)</f>
        <v>2.6569940000000002E-4</v>
      </c>
      <c r="O13" s="2">
        <f>IF('Modell einstellen'!$B$1="Voll",J13/0.35,J13/0.35*2)</f>
        <v>-5.6095232E-4</v>
      </c>
      <c r="P13" s="3">
        <f t="shared" si="1"/>
        <v>0.47365772549082252</v>
      </c>
    </row>
    <row r="14" spans="1:16" x14ac:dyDescent="0.25">
      <c r="A14" s="3">
        <v>1E-4</v>
      </c>
      <c r="B14" s="3">
        <v>-8.9549999999999995E-5</v>
      </c>
      <c r="C14" s="3">
        <v>1.8129999999999999E-4</v>
      </c>
      <c r="D14" s="3">
        <v>-2.4879999999999998E-4</v>
      </c>
      <c r="E14" s="3">
        <v>0</v>
      </c>
      <c r="F14" s="3">
        <v>0</v>
      </c>
      <c r="G14" s="3">
        <v>0</v>
      </c>
      <c r="H14" s="3">
        <v>5.0383253999999997E-5</v>
      </c>
      <c r="I14" s="3">
        <v>1.7399932E-5</v>
      </c>
      <c r="J14" s="3">
        <v>-1.0321844E-4</v>
      </c>
      <c r="L14" s="3">
        <f t="shared" si="0"/>
        <v>-0.359927652733119</v>
      </c>
      <c r="M14" s="3"/>
      <c r="N14" s="2">
        <f>IF('Modell einstellen'!$B$1="Voll",H14/0.35,H14/0.35*2)</f>
        <v>2.8790430857142857E-4</v>
      </c>
      <c r="O14" s="2">
        <f>IF('Modell einstellen'!$B$1="Voll",J14/0.35,J14/0.35*2)</f>
        <v>-5.8981965714285716E-4</v>
      </c>
      <c r="P14" s="3">
        <f t="shared" si="1"/>
        <v>0.4881226067745259</v>
      </c>
    </row>
    <row r="15" spans="1:16" x14ac:dyDescent="0.25">
      <c r="A15" s="3">
        <v>1E-3</v>
      </c>
      <c r="B15" s="3">
        <v>-1.384E-4</v>
      </c>
      <c r="C15" s="3">
        <v>1.874E-4</v>
      </c>
      <c r="D15" s="3">
        <v>-2.0890000000000001E-4</v>
      </c>
      <c r="E15" s="3">
        <v>0</v>
      </c>
      <c r="F15" s="3">
        <v>0</v>
      </c>
      <c r="G15" s="3">
        <v>0</v>
      </c>
      <c r="H15" s="3">
        <v>5.5688156E-5</v>
      </c>
      <c r="I15" s="3">
        <v>1.8028703000000001E-5</v>
      </c>
      <c r="J15" s="3">
        <v>-1.0990501E-4</v>
      </c>
      <c r="L15" s="3">
        <f t="shared" si="0"/>
        <v>-0.66251795117280998</v>
      </c>
      <c r="M15" s="3"/>
      <c r="N15" s="2">
        <f>IF('Modell einstellen'!$B$1="Voll",H15/0.35,H15/0.35*2)</f>
        <v>3.1821803428571429E-4</v>
      </c>
      <c r="O15" s="2">
        <f>IF('Modell einstellen'!$B$1="Voll",J15/0.35,J15/0.35*2)</f>
        <v>-6.2802862857142862E-4</v>
      </c>
      <c r="P15" s="3">
        <f t="shared" si="1"/>
        <v>0.50669351651940164</v>
      </c>
    </row>
    <row r="16" spans="1:16" x14ac:dyDescent="0.25">
      <c r="A16" s="3">
        <v>0.01</v>
      </c>
      <c r="B16" s="3">
        <v>-2.0939999999999999E-4</v>
      </c>
      <c r="C16" s="3">
        <v>1.9440000000000001E-4</v>
      </c>
      <c r="D16" s="3">
        <v>-1.482E-4</v>
      </c>
      <c r="E16" s="3">
        <v>0</v>
      </c>
      <c r="F16" s="3">
        <v>0</v>
      </c>
      <c r="G16" s="3">
        <v>0</v>
      </c>
      <c r="H16" s="3">
        <v>6.3040757000000004E-5</v>
      </c>
      <c r="I16" s="3">
        <v>1.8800813E-5</v>
      </c>
      <c r="J16" s="3">
        <v>-1.1893222999999999E-4</v>
      </c>
      <c r="L16" s="3">
        <f t="shared" si="0"/>
        <v>-1.4129554655870444</v>
      </c>
      <c r="M16" s="3"/>
      <c r="N16" s="2">
        <f>IF('Modell einstellen'!$B$1="Voll",H16/0.35,H16/0.35*2)</f>
        <v>3.6023289714285717E-4</v>
      </c>
      <c r="O16" s="2">
        <f>IF('Modell einstellen'!$B$1="Voll",J16/0.35,J16/0.35*2)</f>
        <v>-6.7961274285714289E-4</v>
      </c>
      <c r="P16" s="3">
        <f t="shared" si="1"/>
        <v>0.53005612524039958</v>
      </c>
    </row>
    <row r="17" spans="1:16" x14ac:dyDescent="0.25">
      <c r="A17" s="3">
        <v>0.1</v>
      </c>
      <c r="B17" s="3">
        <v>-3.1550000000000003E-4</v>
      </c>
      <c r="C17" s="3">
        <v>2.0599999999999999E-4</v>
      </c>
      <c r="D17" s="3">
        <v>-5.6669999999999998E-5</v>
      </c>
      <c r="E17" s="3">
        <v>0</v>
      </c>
      <c r="F17" s="3">
        <v>0</v>
      </c>
      <c r="G17" s="3">
        <v>0</v>
      </c>
      <c r="H17" s="3">
        <v>7.5065020999999998E-5</v>
      </c>
      <c r="I17" s="3">
        <v>2.0408179000000001E-5</v>
      </c>
      <c r="J17" s="3">
        <v>-1.3423648000000001E-4</v>
      </c>
      <c r="L17" s="3">
        <f t="shared" si="0"/>
        <v>-5.5673195694370925</v>
      </c>
      <c r="M17" s="3"/>
      <c r="N17" s="2">
        <f>IF('Modell einstellen'!$B$1="Voll",H17/0.35,H17/0.35*2)</f>
        <v>4.2894297714285716E-4</v>
      </c>
      <c r="O17" s="2">
        <f>IF('Modell einstellen'!$B$1="Voll",J17/0.35,J17/0.35*2)</f>
        <v>-7.6706560000000014E-4</v>
      </c>
      <c r="P17" s="3">
        <f t="shared" si="1"/>
        <v>0.55919986131936705</v>
      </c>
    </row>
    <row r="18" spans="1:16" x14ac:dyDescent="0.25">
      <c r="A18" s="3">
        <v>1</v>
      </c>
      <c r="B18" s="3">
        <v>-4.2480000000000003E-4</v>
      </c>
      <c r="C18" s="3">
        <v>2.351E-4</v>
      </c>
      <c r="D18" s="3">
        <v>2.4530000000000001E-5</v>
      </c>
      <c r="E18" s="3">
        <v>0</v>
      </c>
      <c r="F18" s="3">
        <v>0</v>
      </c>
      <c r="G18" s="3">
        <v>0</v>
      </c>
      <c r="H18" s="3">
        <v>9.7672135999999995E-5</v>
      </c>
      <c r="I18" s="3">
        <v>2.6557007999999999E-5</v>
      </c>
      <c r="J18" s="3">
        <v>-1.6869039E-4</v>
      </c>
      <c r="L18" s="3">
        <f t="shared" si="0"/>
        <v>17.317570322054628</v>
      </c>
      <c r="M18" s="3"/>
      <c r="N18" s="2">
        <f>IF('Modell einstellen'!$B$1="Voll",H18/0.35,H18/0.35*2)</f>
        <v>5.5812649142857138E-4</v>
      </c>
      <c r="O18" s="2">
        <f>IF('Modell einstellen'!$B$1="Voll",J18/0.35,J18/0.35*2)</f>
        <v>-9.6394508571428573E-4</v>
      </c>
      <c r="P18" s="3">
        <f t="shared" si="1"/>
        <v>0.57900237233431018</v>
      </c>
    </row>
    <row r="19" spans="1:16" x14ac:dyDescent="0.25">
      <c r="A19" s="3">
        <v>10</v>
      </c>
      <c r="B19" s="3">
        <v>-5.2240000000000001E-4</v>
      </c>
      <c r="C19" s="3">
        <v>3.0689999999999998E-4</v>
      </c>
      <c r="D19" s="3">
        <v>5.7779999999999999E-5</v>
      </c>
      <c r="E19" s="3">
        <v>0</v>
      </c>
      <c r="F19" s="3">
        <v>0</v>
      </c>
      <c r="G19" s="3">
        <v>0</v>
      </c>
      <c r="H19" s="3">
        <v>1.4230115E-4</v>
      </c>
      <c r="I19" s="3">
        <v>4.4378761999999999E-5</v>
      </c>
      <c r="J19" s="3">
        <v>-2.4740255E-4</v>
      </c>
      <c r="L19" s="3">
        <f t="shared" si="0"/>
        <v>9.041190723433715</v>
      </c>
      <c r="M19" s="3"/>
      <c r="N19" s="2">
        <f>IF('Modell einstellen'!$B$1="Voll",H19/0.35,H19/0.35*2)</f>
        <v>8.1314942857142866E-4</v>
      </c>
      <c r="O19" s="2">
        <f>IF('Modell einstellen'!$B$1="Voll",J19/0.35,J19/0.35*2)</f>
        <v>-1.4137288571428573E-3</v>
      </c>
      <c r="P19" s="3">
        <f t="shared" si="1"/>
        <v>0.57518061151754496</v>
      </c>
    </row>
    <row r="20" spans="1:16" x14ac:dyDescent="0.25">
      <c r="A20" s="3">
        <v>100</v>
      </c>
      <c r="B20" s="3">
        <v>-5.9360000000000001E-4</v>
      </c>
      <c r="C20" s="3">
        <v>4.5249999999999999E-4</v>
      </c>
      <c r="D20" s="3">
        <v>-5.3229999999999997E-6</v>
      </c>
      <c r="E20" s="3">
        <v>0</v>
      </c>
      <c r="F20" s="3">
        <v>0</v>
      </c>
      <c r="G20" s="3">
        <v>0</v>
      </c>
      <c r="H20" s="3">
        <v>2.1381091000000001E-4</v>
      </c>
      <c r="I20" s="3">
        <v>8.0171760000000001E-5</v>
      </c>
      <c r="J20" s="3">
        <v>-3.8754787000000001E-4</v>
      </c>
      <c r="L20" s="3">
        <f t="shared" si="0"/>
        <v>-111.51606237084351</v>
      </c>
      <c r="M20" s="3"/>
      <c r="N20" s="2">
        <f>IF('Modell einstellen'!$B$1="Voll",H20/0.35,H20/0.35*2)</f>
        <v>1.2217766285714288E-3</v>
      </c>
      <c r="O20" s="2">
        <f>IF('Modell einstellen'!$B$1="Voll",J20/0.35,J20/0.35*2)</f>
        <v>-2.2145592571428574E-3</v>
      </c>
      <c r="P20" s="3">
        <f t="shared" si="1"/>
        <v>0.55170193555701907</v>
      </c>
    </row>
    <row r="21" spans="1:16" x14ac:dyDescent="0.25">
      <c r="A21" s="3">
        <v>1000</v>
      </c>
      <c r="B21" s="3">
        <v>-6.244E-4</v>
      </c>
      <c r="C21" s="3">
        <v>7.3349999999999999E-4</v>
      </c>
      <c r="D21" s="3">
        <v>-2.4169999999999999E-4</v>
      </c>
      <c r="E21" s="3">
        <v>0</v>
      </c>
      <c r="F21" s="3">
        <v>0</v>
      </c>
      <c r="G21" s="3">
        <v>0</v>
      </c>
      <c r="H21" s="3">
        <v>3.1767754E-4</v>
      </c>
      <c r="I21" s="3">
        <v>1.436664E-4</v>
      </c>
      <c r="J21" s="3">
        <v>-6.1341719E-4</v>
      </c>
      <c r="L21" s="3">
        <f t="shared" si="0"/>
        <v>-2.5833678113363674</v>
      </c>
      <c r="M21" s="3"/>
      <c r="N21" s="2">
        <f>IF('Modell einstellen'!$B$1="Voll",H21/0.35,H21/0.35*2)</f>
        <v>1.8153002285714287E-3</v>
      </c>
      <c r="O21" s="2">
        <f>IF('Modell einstellen'!$B$1="Voll",J21/0.35,J21/0.35*2)</f>
        <v>-3.505241085714286E-3</v>
      </c>
      <c r="P21" s="3">
        <f t="shared" si="1"/>
        <v>0.51788170461933092</v>
      </c>
    </row>
    <row r="22" spans="1:16" x14ac:dyDescent="0.25">
      <c r="A22" s="3">
        <v>10000</v>
      </c>
      <c r="B22" s="3">
        <v>-4.1790000000000002E-4</v>
      </c>
      <c r="C22" s="3">
        <v>1.163E-3</v>
      </c>
      <c r="D22" s="3">
        <v>-8.6240000000000004E-4</v>
      </c>
      <c r="E22" s="3">
        <v>0</v>
      </c>
      <c r="F22" s="3">
        <v>0</v>
      </c>
      <c r="G22" s="3">
        <v>0</v>
      </c>
      <c r="H22" s="3">
        <v>4.2359282000000001E-4</v>
      </c>
      <c r="I22" s="3">
        <v>2.3098904E-4</v>
      </c>
      <c r="J22" s="3">
        <v>-8.8694958999999997E-4</v>
      </c>
      <c r="L22" s="3">
        <f t="shared" si="0"/>
        <v>-0.48457792207792211</v>
      </c>
      <c r="M22" s="3"/>
      <c r="N22" s="2">
        <f>IF('Modell einstellen'!$B$1="Voll",H22/0.35,H22/0.35*2)</f>
        <v>2.4205304000000003E-3</v>
      </c>
      <c r="O22" s="2">
        <f>IF('Modell einstellen'!$B$1="Voll",J22/0.35,J22/0.35*2)</f>
        <v>-5.0682833714285717E-3</v>
      </c>
      <c r="P22" s="3">
        <f t="shared" si="1"/>
        <v>0.47758387260768681</v>
      </c>
    </row>
    <row r="23" spans="1:16" x14ac:dyDescent="0.25">
      <c r="A23" s="3">
        <v>100000</v>
      </c>
      <c r="B23" s="3">
        <v>-4.4360000000000002E-5</v>
      </c>
      <c r="C23" s="3">
        <v>1.6620000000000001E-3</v>
      </c>
      <c r="D23" s="3">
        <v>-1.722E-3</v>
      </c>
      <c r="E23" s="3">
        <v>0</v>
      </c>
      <c r="F23" s="3">
        <v>0</v>
      </c>
      <c r="G23" s="3">
        <v>0</v>
      </c>
      <c r="H23" s="3">
        <v>5.1334636999999996E-4</v>
      </c>
      <c r="I23" s="3">
        <v>3.2364577999999998E-4</v>
      </c>
      <c r="J23" s="3">
        <v>-1.1541571000000001E-3</v>
      </c>
      <c r="L23" s="3">
        <f t="shared" si="0"/>
        <v>-2.5760743321718932E-2</v>
      </c>
      <c r="M23" s="3"/>
      <c r="N23" s="2">
        <f>IF('Modell einstellen'!$B$1="Voll",H23/0.35,H23/0.35*2)</f>
        <v>2.9334078285714283E-3</v>
      </c>
      <c r="O23" s="2">
        <f>IF('Modell einstellen'!$B$1="Voll",J23/0.35,J23/0.35*2)</f>
        <v>-6.5951834285714293E-3</v>
      </c>
      <c r="P23" s="3">
        <f t="shared" si="1"/>
        <v>0.44478032496615921</v>
      </c>
    </row>
    <row r="24" spans="1:16" x14ac:dyDescent="0.25">
      <c r="A24" s="3">
        <v>1000000</v>
      </c>
      <c r="B24" s="3">
        <v>4.215E-4</v>
      </c>
      <c r="C24" s="3">
        <v>2.0990000000000002E-3</v>
      </c>
      <c r="D24" s="3">
        <v>-2.6150000000000001E-3</v>
      </c>
      <c r="E24" s="3">
        <v>0</v>
      </c>
      <c r="F24" s="3">
        <v>0</v>
      </c>
      <c r="G24" s="3">
        <v>0</v>
      </c>
      <c r="H24" s="3">
        <v>5.6528144000000003E-4</v>
      </c>
      <c r="I24" s="3">
        <v>3.9618090999999999E-4</v>
      </c>
      <c r="J24" s="3">
        <v>-1.3447521999999999E-3</v>
      </c>
      <c r="L24" s="3">
        <f t="shared" si="0"/>
        <v>0.16118546845124282</v>
      </c>
      <c r="M24" s="3"/>
      <c r="N24" s="2">
        <f>IF('Modell einstellen'!$B$1="Voll",H24/0.35,H24/0.35*2)</f>
        <v>3.2301796571428576E-3</v>
      </c>
      <c r="O24" s="2">
        <f>IF('Modell einstellen'!$B$1="Voll",J24/0.35,J24/0.35*2)</f>
        <v>-7.6842982857142856E-3</v>
      </c>
      <c r="P24" s="3">
        <f t="shared" si="1"/>
        <v>0.42036104495683302</v>
      </c>
    </row>
    <row r="25" spans="1:16" x14ac:dyDescent="0.25">
      <c r="A25" s="3">
        <v>10000000</v>
      </c>
      <c r="B25" s="3">
        <v>7.8249999999999999E-4</v>
      </c>
      <c r="C25" s="3">
        <v>2.4680000000000001E-3</v>
      </c>
      <c r="D25" s="3">
        <v>-3.3379999999999998E-3</v>
      </c>
      <c r="E25" s="3">
        <v>0</v>
      </c>
      <c r="F25" s="3">
        <v>0</v>
      </c>
      <c r="G25" s="3">
        <v>0</v>
      </c>
      <c r="H25" s="3">
        <v>6.0667540999999998E-4</v>
      </c>
      <c r="I25" s="3">
        <v>4.5373945999999999E-4</v>
      </c>
      <c r="J25" s="3">
        <v>-1.4959654000000001E-3</v>
      </c>
      <c r="L25" s="3">
        <f t="shared" si="0"/>
        <v>0.23442180946674657</v>
      </c>
      <c r="M25" s="3"/>
      <c r="N25" s="2">
        <f>IF('Modell einstellen'!$B$1="Voll",H25/0.35,H25/0.35*2)</f>
        <v>3.4667166285714287E-3</v>
      </c>
      <c r="O25" s="2">
        <f>IF('Modell einstellen'!$B$1="Voll",J25/0.35,J25/0.35*2)</f>
        <v>-8.5483737142857154E-3</v>
      </c>
      <c r="P25" s="3">
        <f t="shared" si="1"/>
        <v>0.4055410706691478</v>
      </c>
    </row>
    <row r="26" spans="1:16" x14ac:dyDescent="0.25">
      <c r="A26" s="3">
        <v>100000000</v>
      </c>
      <c r="B26" s="3">
        <v>1.0839999999999999E-3</v>
      </c>
      <c r="C26" s="3">
        <v>2.7369999999999998E-3</v>
      </c>
      <c r="D26" s="3">
        <v>-3.9039999999999999E-3</v>
      </c>
      <c r="E26" s="3">
        <v>0</v>
      </c>
      <c r="F26" s="3">
        <v>0</v>
      </c>
      <c r="G26" s="3">
        <v>0</v>
      </c>
      <c r="H26" s="3">
        <v>6.3097331000000001E-4</v>
      </c>
      <c r="I26" s="3">
        <v>4.9267992E-4</v>
      </c>
      <c r="J26" s="3">
        <v>-1.594477E-3</v>
      </c>
      <c r="L26" s="3">
        <f t="shared" si="0"/>
        <v>0.2776639344262295</v>
      </c>
      <c r="M26" s="3"/>
      <c r="N26" s="2">
        <f>IF('Modell einstellen'!$B$1="Voll",H26/0.35,H26/0.35*2)</f>
        <v>3.6055617714285718E-3</v>
      </c>
      <c r="O26" s="2">
        <f>IF('Modell einstellen'!$B$1="Voll",J26/0.35,J26/0.35*2)</f>
        <v>-9.1112971428571436E-3</v>
      </c>
      <c r="P26" s="3">
        <f t="shared" si="1"/>
        <v>0.39572430960120469</v>
      </c>
    </row>
    <row r="27" spans="1:16" x14ac:dyDescent="0.25">
      <c r="A27" s="3">
        <v>1000000000</v>
      </c>
      <c r="B27" s="3">
        <v>1.3029999999999999E-3</v>
      </c>
      <c r="C27" s="3">
        <v>2.9269999999999999E-3</v>
      </c>
      <c r="D27" s="3">
        <v>-4.3099999999999996E-3</v>
      </c>
      <c r="E27" s="3">
        <v>0</v>
      </c>
      <c r="F27" s="3">
        <v>0</v>
      </c>
      <c r="G27" s="3">
        <v>0</v>
      </c>
      <c r="H27" s="3">
        <v>6.4686487000000003E-4</v>
      </c>
      <c r="I27" s="3">
        <v>5.1855127999999998E-4</v>
      </c>
      <c r="J27" s="3">
        <v>-1.6596267E-3</v>
      </c>
      <c r="L27" s="3">
        <f t="shared" si="0"/>
        <v>0.30232018561484919</v>
      </c>
      <c r="M27" s="3"/>
      <c r="N27" s="2">
        <f>IF('Modell einstellen'!$B$1="Voll",H27/0.35,H27/0.35*2)</f>
        <v>3.6963706857142862E-3</v>
      </c>
      <c r="O27" s="2">
        <f>IF('Modell einstellen'!$B$1="Voll",J27/0.35,J27/0.35*2)</f>
        <v>-9.4835811428571441E-3</v>
      </c>
      <c r="P27" s="3">
        <f t="shared" si="1"/>
        <v>0.38976528275906863</v>
      </c>
    </row>
    <row r="28" spans="1:16" x14ac:dyDescent="0.25">
      <c r="A28" s="3">
        <v>10000000000</v>
      </c>
      <c r="B28" s="3">
        <v>1.4660000000000001E-3</v>
      </c>
      <c r="C28" s="3">
        <v>3.1580000000000002E-3</v>
      </c>
      <c r="D28" s="3">
        <v>-4.7019999999999996E-3</v>
      </c>
      <c r="E28" s="3">
        <v>0</v>
      </c>
      <c r="F28" s="3">
        <v>0</v>
      </c>
      <c r="G28" s="3">
        <v>0</v>
      </c>
      <c r="H28" s="3">
        <v>6.8354798000000005E-4</v>
      </c>
      <c r="I28" s="3">
        <v>5.5494381999999999E-4</v>
      </c>
      <c r="J28" s="3">
        <v>-1.7654201E-3</v>
      </c>
      <c r="L28" s="3">
        <f t="shared" si="0"/>
        <v>0.31178222033177377</v>
      </c>
      <c r="M28" s="3"/>
      <c r="N28" s="2">
        <f>IF('Modell einstellen'!$B$1="Voll",H28/0.35,H28/0.35*2)</f>
        <v>3.9059884571428579E-3</v>
      </c>
      <c r="O28" s="2">
        <f>IF('Modell einstellen'!$B$1="Voll",J28/0.35,J28/0.35*2)</f>
        <v>-1.0088114857142857E-2</v>
      </c>
      <c r="P28" s="3">
        <f t="shared" si="1"/>
        <v>0.38718715165869028</v>
      </c>
    </row>
    <row r="29" spans="1:16" x14ac:dyDescent="0.25">
      <c r="A29" s="3">
        <v>100000000000</v>
      </c>
      <c r="B29" s="3">
        <v>1.5009999999999999E-3</v>
      </c>
      <c r="C29" s="3">
        <v>3.2209999999999999E-3</v>
      </c>
      <c r="D29" s="3">
        <v>-4.7999999999999996E-3</v>
      </c>
      <c r="E29" s="3">
        <v>0</v>
      </c>
      <c r="F29" s="3">
        <v>0</v>
      </c>
      <c r="G29" s="3">
        <v>0</v>
      </c>
      <c r="H29" s="3">
        <v>6.9665107E-4</v>
      </c>
      <c r="I29" s="3">
        <v>5.6592665000000002E-4</v>
      </c>
      <c r="J29" s="3">
        <v>-1.7993296000000001E-3</v>
      </c>
      <c r="L29" s="3">
        <f t="shared" si="0"/>
        <v>0.31270833333333337</v>
      </c>
      <c r="M29" s="3"/>
      <c r="N29" s="2">
        <f>IF('Modell einstellen'!$B$1="Voll",H29/0.35,H29/0.35*2)</f>
        <v>3.9808632571428576E-3</v>
      </c>
      <c r="O29" s="2">
        <f>IF('Modell einstellen'!$B$1="Voll",J29/0.35,J29/0.35*2)</f>
        <v>-1.028188342857143E-2</v>
      </c>
      <c r="P29" s="3">
        <f t="shared" si="1"/>
        <v>0.38717257249588954</v>
      </c>
    </row>
    <row r="30" spans="1:16" x14ac:dyDescent="0.25">
      <c r="A30" s="3">
        <v>1000000000000</v>
      </c>
      <c r="B30" s="3">
        <v>1.683E-3</v>
      </c>
      <c r="C30" s="3">
        <v>3.3319999999999999E-3</v>
      </c>
      <c r="D30" s="3">
        <v>-5.091E-3</v>
      </c>
      <c r="E30" s="3">
        <v>0</v>
      </c>
      <c r="F30" s="3">
        <v>0</v>
      </c>
      <c r="G30" s="3">
        <v>0</v>
      </c>
      <c r="H30" s="3">
        <v>7.0122070000000003E-4</v>
      </c>
      <c r="I30" s="3">
        <v>5.7960764000000004E-4</v>
      </c>
      <c r="J30" s="3">
        <v>-1.8299321999999999E-3</v>
      </c>
      <c r="L30" s="3">
        <f t="shared" si="0"/>
        <v>0.33058338243959928</v>
      </c>
      <c r="M30" s="3"/>
      <c r="N30" s="2">
        <f>IF('Modell einstellen'!$B$1="Voll",H30/0.35,H30/0.35*2)</f>
        <v>4.0069754285714286E-3</v>
      </c>
      <c r="O30" s="2">
        <f>IF('Modell einstellen'!$B$1="Voll",J30/0.35,J30/0.35*2)</f>
        <v>-1.0456755428571428E-2</v>
      </c>
      <c r="P30" s="3">
        <f t="shared" si="1"/>
        <v>0.38319490743974016</v>
      </c>
    </row>
    <row r="31" spans="1:16" x14ac:dyDescent="0.25">
      <c r="A31" s="3">
        <v>10000000000000</v>
      </c>
      <c r="B31" s="3">
        <v>1.691E-3</v>
      </c>
      <c r="C31" s="3">
        <v>3.3370000000000001E-3</v>
      </c>
      <c r="D31" s="3">
        <v>-5.1029999999999999E-3</v>
      </c>
      <c r="E31" s="3">
        <v>0</v>
      </c>
      <c r="F31" s="3">
        <v>0</v>
      </c>
      <c r="G31" s="3">
        <v>0</v>
      </c>
      <c r="H31" s="3">
        <v>7.0161914999999995E-4</v>
      </c>
      <c r="I31" s="3">
        <v>5.8028682000000004E-4</v>
      </c>
      <c r="J31" s="3">
        <v>-1.8316145E-3</v>
      </c>
      <c r="L31" s="3">
        <f t="shared" si="0"/>
        <v>0.3313737017440721</v>
      </c>
      <c r="M31" s="3"/>
      <c r="N31" s="2">
        <f>IF('Modell einstellen'!$B$1="Voll",H31/0.35,H31/0.35*2)</f>
        <v>4.009252285714286E-3</v>
      </c>
      <c r="O31" s="2">
        <f>IF('Modell einstellen'!$B$1="Voll",J31/0.35,J31/0.35*2)</f>
        <v>-1.0466368571428573E-2</v>
      </c>
      <c r="P31" s="3">
        <f t="shared" si="1"/>
        <v>0.38306049116776481</v>
      </c>
    </row>
    <row r="32" spans="1:16" x14ac:dyDescent="0.25">
      <c r="A32" s="3">
        <v>100000000000000</v>
      </c>
      <c r="B32" s="3">
        <v>1.769E-3</v>
      </c>
      <c r="C32" s="3">
        <v>3.3939999999999999E-3</v>
      </c>
      <c r="D32" s="3">
        <v>-5.2370000000000003E-3</v>
      </c>
      <c r="E32" s="3">
        <v>0</v>
      </c>
      <c r="F32" s="3">
        <v>0</v>
      </c>
      <c r="G32" s="3">
        <v>0</v>
      </c>
      <c r="H32" s="3">
        <v>7.0325102000000003E-4</v>
      </c>
      <c r="I32" s="3">
        <v>5.8588170000000003E-4</v>
      </c>
      <c r="J32" s="3">
        <v>-1.8438947E-3</v>
      </c>
      <c r="L32" s="3">
        <f t="shared" si="0"/>
        <v>0.33778881038762648</v>
      </c>
      <c r="M32" s="3"/>
      <c r="N32" s="2">
        <f>IF('Modell einstellen'!$B$1="Voll",H32/0.35,H32/0.35*2)</f>
        <v>4.018577257142858E-3</v>
      </c>
      <c r="O32" s="2">
        <f>IF('Modell einstellen'!$B$1="Voll",J32/0.35,J32/0.35*2)</f>
        <v>-1.0536541142857144E-2</v>
      </c>
      <c r="P32" s="3">
        <f t="shared" si="1"/>
        <v>0.38139434968818992</v>
      </c>
    </row>
    <row r="33" spans="1:16" x14ac:dyDescent="0.25">
      <c r="A33" s="3">
        <v>1000000000000000</v>
      </c>
      <c r="B33" s="3">
        <v>1.8259999999999999E-3</v>
      </c>
      <c r="C33" s="3">
        <v>3.4359999999999998E-3</v>
      </c>
      <c r="D33" s="3">
        <v>-5.3350000000000003E-3</v>
      </c>
      <c r="E33" s="3">
        <v>0</v>
      </c>
      <c r="F33" s="3">
        <v>0</v>
      </c>
      <c r="G33" s="3">
        <v>0</v>
      </c>
      <c r="H33" s="3">
        <v>7.0419090000000003E-4</v>
      </c>
      <c r="I33" s="3">
        <v>5.8939878999999997E-4</v>
      </c>
      <c r="J33" s="3">
        <v>-1.8515252E-3</v>
      </c>
      <c r="L33" s="3">
        <f t="shared" si="0"/>
        <v>0.34226804123711335</v>
      </c>
      <c r="M33" s="3"/>
      <c r="N33" s="2">
        <f>IF('Modell einstellen'!$B$1="Voll",H33/0.35,H33/0.35*2)</f>
        <v>4.0239480000000003E-3</v>
      </c>
      <c r="O33" s="2">
        <f>IF('Modell einstellen'!$B$1="Voll",J33/0.35,J33/0.35*2)</f>
        <v>-1.0580144000000001E-2</v>
      </c>
      <c r="P33" s="3">
        <f t="shared" si="1"/>
        <v>0.38033017319991108</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2022-01-12T17:34:54Z</dcterms:modified>
</cp:coreProperties>
</file>