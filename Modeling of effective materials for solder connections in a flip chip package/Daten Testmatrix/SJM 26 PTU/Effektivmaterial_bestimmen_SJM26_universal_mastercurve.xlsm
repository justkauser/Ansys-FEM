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J73" i="52" l="1"/>
  <c r="J74" i="52" s="1"/>
  <c r="J75" i="52" s="1"/>
  <c r="J76" i="52" s="1"/>
  <c r="J77" i="52" s="1"/>
  <c r="J78" i="52"/>
  <c r="J79" i="52"/>
  <c r="J80" i="52"/>
  <c r="J81" i="52"/>
  <c r="J82" i="52"/>
  <c r="J83" i="52"/>
  <c r="J84" i="52"/>
  <c r="J85" i="52"/>
  <c r="J86" i="52"/>
  <c r="J87" i="52"/>
  <c r="J88" i="52"/>
  <c r="J89" i="52"/>
  <c r="J90" i="52"/>
  <c r="J91" i="52"/>
  <c r="J92" i="52"/>
  <c r="J93" i="52"/>
  <c r="J94" i="52"/>
  <c r="J95" i="52"/>
  <c r="J96" i="52"/>
  <c r="J97" i="52" s="1"/>
  <c r="J98" i="52" s="1"/>
  <c r="J99" i="52" s="1"/>
  <c r="J100" i="52" s="1"/>
  <c r="J101" i="52" s="1"/>
  <c r="J102" i="52" s="1"/>
  <c r="J72" i="52"/>
  <c r="K72" i="52"/>
  <c r="M11" i="8" l="1"/>
  <c r="M12" i="8" s="1"/>
  <c r="M13" i="8" s="1"/>
  <c r="M14" i="8" s="1"/>
  <c r="M15" i="8" s="1"/>
  <c r="M16" i="8" s="1"/>
  <c r="M17" i="8" s="1"/>
  <c r="M18" i="8" s="1"/>
  <c r="M19" i="8" s="1"/>
  <c r="M20" i="8" s="1"/>
  <c r="M21" i="8" s="1"/>
  <c r="M22" i="8" s="1"/>
  <c r="M23" i="8" s="1"/>
  <c r="M24" i="8" s="1"/>
  <c r="M25" i="8" s="1"/>
  <c r="M26" i="8" s="1"/>
  <c r="M27" i="8" s="1"/>
  <c r="M28" i="8" s="1"/>
  <c r="M29" i="8" s="1"/>
  <c r="M30" i="8" s="1"/>
  <c r="M31" i="8" s="1"/>
  <c r="M32" i="8" s="1"/>
  <c r="L1" i="37"/>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G140" i="52" l="1"/>
  <c r="J140" i="52"/>
  <c r="P140" i="52"/>
  <c r="C112" i="52"/>
  <c r="L112" i="52" s="1"/>
  <c r="C127" i="52"/>
  <c r="L127" i="52" s="1"/>
  <c r="C134" i="52"/>
  <c r="W134" i="52" s="1"/>
  <c r="O140" i="52"/>
  <c r="C141" i="52"/>
  <c r="L141" i="52" s="1"/>
  <c r="K140" i="52"/>
  <c r="C137" i="52"/>
  <c r="N137" i="52" s="1"/>
  <c r="W140" i="52"/>
  <c r="C131" i="52"/>
  <c r="O131" i="52" s="1"/>
  <c r="I140" i="52"/>
  <c r="C120" i="52"/>
  <c r="H120" i="52" s="1"/>
  <c r="C125" i="52"/>
  <c r="G125" i="52" s="1"/>
  <c r="C119" i="52"/>
  <c r="B82" i="39" s="1"/>
  <c r="C113" i="52"/>
  <c r="G113" i="52" s="1"/>
  <c r="AE140" i="52"/>
  <c r="AA140" i="52"/>
  <c r="AC140" i="52"/>
  <c r="C121" i="52"/>
  <c r="H121" i="52" s="1"/>
  <c r="C128" i="52"/>
  <c r="G128" i="52" s="1"/>
  <c r="C135" i="52"/>
  <c r="B98" i="39" s="1"/>
  <c r="C129" i="52"/>
  <c r="M129" i="52" s="1"/>
  <c r="C123" i="52"/>
  <c r="L123" i="52" s="1"/>
  <c r="AI140" i="52"/>
  <c r="C116" i="52"/>
  <c r="K116" i="52" s="1"/>
  <c r="AB140" i="52"/>
  <c r="AD140" i="52"/>
  <c r="H140" i="52"/>
  <c r="C115" i="52"/>
  <c r="B78" i="39" s="1"/>
  <c r="C122" i="52"/>
  <c r="B85" i="39" s="1"/>
  <c r="Y140" i="52"/>
  <c r="T140" i="52"/>
  <c r="AH140" i="52"/>
  <c r="U140" i="52"/>
  <c r="M140" i="52"/>
  <c r="V140" i="52"/>
  <c r="C133" i="52"/>
  <c r="AJ133" i="52" s="1"/>
  <c r="AF140" i="52"/>
  <c r="C136" i="52"/>
  <c r="H136" i="52" s="1"/>
  <c r="X140" i="52"/>
  <c r="C111" i="52"/>
  <c r="AH111" i="52" s="1"/>
  <c r="Q140" i="52"/>
  <c r="C110" i="52"/>
  <c r="C138" i="52"/>
  <c r="B101" i="39" s="1"/>
  <c r="Z140" i="52"/>
  <c r="C139" i="52"/>
  <c r="O139" i="52" s="1"/>
  <c r="F140" i="52"/>
  <c r="L140" i="52"/>
  <c r="C126" i="52"/>
  <c r="Z126" i="52" s="1"/>
  <c r="R140" i="52"/>
  <c r="C130" i="52"/>
  <c r="U130" i="52" s="1"/>
  <c r="C132" i="52"/>
  <c r="S132" i="52" s="1"/>
  <c r="AJ140" i="52"/>
  <c r="AG140" i="52"/>
  <c r="C124" i="52"/>
  <c r="AJ124" i="52" s="1"/>
  <c r="C117" i="52"/>
  <c r="F117" i="52" s="1"/>
  <c r="C118" i="52"/>
  <c r="I118" i="52" s="1"/>
  <c r="C114" i="52"/>
  <c r="AB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M123" i="52" l="1"/>
  <c r="AG115" i="52"/>
  <c r="AD115" i="52"/>
  <c r="AG123" i="52"/>
  <c r="Q123" i="52"/>
  <c r="U115" i="52"/>
  <c r="AB123" i="52"/>
  <c r="AH120" i="52"/>
  <c r="P123" i="52"/>
  <c r="U123" i="52"/>
  <c r="O123" i="52"/>
  <c r="F115" i="52"/>
  <c r="AI123" i="52"/>
  <c r="K115" i="52"/>
  <c r="G115" i="52"/>
  <c r="AH115" i="52"/>
  <c r="T115" i="52"/>
  <c r="AB115" i="52"/>
  <c r="Y115" i="52"/>
  <c r="AE123" i="52"/>
  <c r="AF123" i="52"/>
  <c r="N111" i="52"/>
  <c r="AG122" i="52"/>
  <c r="AI115" i="52"/>
  <c r="N115" i="52"/>
  <c r="J115" i="52"/>
  <c r="V115" i="52"/>
  <c r="V123" i="52"/>
  <c r="AA123" i="52"/>
  <c r="X123" i="52"/>
  <c r="Z123" i="52"/>
  <c r="H115" i="52"/>
  <c r="G123" i="52"/>
  <c r="Z115" i="52"/>
  <c r="AA115" i="52"/>
  <c r="AF115" i="52"/>
  <c r="AE115" i="52"/>
  <c r="P115" i="52"/>
  <c r="AJ123" i="52"/>
  <c r="R123" i="52"/>
  <c r="N123" i="52"/>
  <c r="T123" i="52"/>
  <c r="L115" i="52"/>
  <c r="R115" i="52"/>
  <c r="AJ115" i="52"/>
  <c r="W115" i="52"/>
  <c r="X115" i="52"/>
  <c r="F123" i="52"/>
  <c r="H123" i="52"/>
  <c r="AH123" i="52"/>
  <c r="AD123" i="52"/>
  <c r="K123" i="52"/>
  <c r="I123" i="52"/>
  <c r="AC115" i="52"/>
  <c r="S115" i="52"/>
  <c r="M115" i="52"/>
  <c r="Q115" i="52"/>
  <c r="S123" i="52"/>
  <c r="AC123" i="52"/>
  <c r="Y123" i="52"/>
  <c r="W123" i="52"/>
  <c r="AD120" i="52"/>
  <c r="O115" i="52"/>
  <c r="B86" i="39"/>
  <c r="N122" i="52"/>
  <c r="AG141" i="52"/>
  <c r="Y141" i="52"/>
  <c r="S122" i="52"/>
  <c r="L120" i="52"/>
  <c r="AA141" i="52"/>
  <c r="V122" i="52"/>
  <c r="T120" i="52"/>
  <c r="O120" i="52"/>
  <c r="U114" i="52"/>
  <c r="AI111" i="52"/>
  <c r="J123" i="52"/>
  <c r="I115" i="52"/>
  <c r="AB122" i="52"/>
  <c r="G141" i="52"/>
  <c r="Q120" i="52"/>
  <c r="AI120" i="52"/>
  <c r="T141" i="52"/>
  <c r="AC122" i="52"/>
  <c r="R122" i="52"/>
  <c r="P120" i="52"/>
  <c r="AE120" i="52"/>
  <c r="B83" i="39"/>
  <c r="AA122" i="52"/>
  <c r="K120" i="52"/>
  <c r="Y120" i="52"/>
  <c r="I120" i="52"/>
  <c r="K122" i="52"/>
  <c r="M120" i="52"/>
  <c r="G122" i="52"/>
  <c r="R141" i="52"/>
  <c r="P141" i="52"/>
  <c r="J141" i="52"/>
  <c r="O141" i="52"/>
  <c r="U141" i="52"/>
  <c r="AJ122" i="52"/>
  <c r="W122" i="52"/>
  <c r="L122" i="52"/>
  <c r="M141" i="52"/>
  <c r="AB120" i="52"/>
  <c r="N120" i="52"/>
  <c r="AD141" i="52"/>
  <c r="S141" i="52"/>
  <c r="AE141" i="52"/>
  <c r="AI141" i="52"/>
  <c r="AE122" i="52"/>
  <c r="T122" i="52"/>
  <c r="Q112" i="52"/>
  <c r="W120" i="52"/>
  <c r="AJ120" i="52"/>
  <c r="F141" i="52"/>
  <c r="K141" i="52"/>
  <c r="Q141" i="52"/>
  <c r="O122" i="52"/>
  <c r="AF113" i="52"/>
  <c r="X112" i="52"/>
  <c r="U122" i="52"/>
  <c r="P122" i="52"/>
  <c r="Y122" i="52"/>
  <c r="AC113" i="52"/>
  <c r="W127" i="52"/>
  <c r="X120" i="52"/>
  <c r="Z120" i="52"/>
  <c r="S120" i="52"/>
  <c r="H141" i="52"/>
  <c r="AF141" i="52"/>
  <c r="G120" i="52"/>
  <c r="AC112" i="52"/>
  <c r="AB112" i="52"/>
  <c r="Q122" i="52"/>
  <c r="X122" i="52"/>
  <c r="AD122" i="52"/>
  <c r="Z122" i="52"/>
  <c r="T121" i="52"/>
  <c r="J120" i="52"/>
  <c r="Y112" i="52"/>
  <c r="I141" i="52"/>
  <c r="F120" i="52"/>
  <c r="AF120" i="52"/>
  <c r="R120" i="52"/>
  <c r="V120" i="52"/>
  <c r="Z141" i="52"/>
  <c r="N141" i="52"/>
  <c r="AB141" i="52"/>
  <c r="AH141" i="52"/>
  <c r="W141" i="52"/>
  <c r="H122" i="52"/>
  <c r="M122" i="52"/>
  <c r="X138" i="52"/>
  <c r="AG113" i="52"/>
  <c r="R112" i="52"/>
  <c r="N112" i="52"/>
  <c r="H125" i="52"/>
  <c r="AI122" i="52"/>
  <c r="AH122" i="52"/>
  <c r="F122" i="52"/>
  <c r="AF122" i="52"/>
  <c r="AG121" i="52"/>
  <c r="I112" i="52"/>
  <c r="F112" i="52"/>
  <c r="AF112" i="52"/>
  <c r="U120" i="52"/>
  <c r="AG120" i="52"/>
  <c r="AA120" i="52"/>
  <c r="AC120" i="52"/>
  <c r="V141" i="52"/>
  <c r="AJ141" i="52"/>
  <c r="X141" i="52"/>
  <c r="AC141" i="52"/>
  <c r="I122" i="52"/>
  <c r="R114" i="52"/>
  <c r="O113" i="52"/>
  <c r="P114" i="52"/>
  <c r="Y111" i="52"/>
  <c r="T111" i="52"/>
  <c r="AG111" i="52"/>
  <c r="AC121" i="52"/>
  <c r="AJ121" i="52"/>
  <c r="X121" i="52"/>
  <c r="Y121" i="52"/>
  <c r="AF125" i="52"/>
  <c r="AI121" i="52"/>
  <c r="AD116" i="52"/>
  <c r="Z121" i="52"/>
  <c r="V121" i="52"/>
  <c r="AA121" i="52"/>
  <c r="W113" i="52"/>
  <c r="Q113" i="52"/>
  <c r="AJ130" i="52"/>
  <c r="AI125" i="52"/>
  <c r="N121" i="52"/>
  <c r="U121" i="52"/>
  <c r="AE121" i="52"/>
  <c r="L113" i="52"/>
  <c r="AA113" i="52"/>
  <c r="AE127" i="52"/>
  <c r="AJ125" i="52"/>
  <c r="W121" i="52"/>
  <c r="P121" i="52"/>
  <c r="AB121" i="52"/>
  <c r="S121" i="52"/>
  <c r="AH113" i="52"/>
  <c r="F121" i="52"/>
  <c r="AD121" i="52"/>
  <c r="R121" i="52"/>
  <c r="F113" i="52"/>
  <c r="Y113" i="52"/>
  <c r="AI135" i="52"/>
  <c r="K137" i="52"/>
  <c r="AA116" i="52"/>
  <c r="Y135" i="52"/>
  <c r="S127" i="52"/>
  <c r="P125" i="52"/>
  <c r="AG125" i="52"/>
  <c r="AB135" i="52"/>
  <c r="V130" i="52"/>
  <c r="W125" i="52"/>
  <c r="L125" i="52"/>
  <c r="H127" i="52"/>
  <c r="AF121" i="52"/>
  <c r="Q121" i="52"/>
  <c r="M121" i="52"/>
  <c r="AH121" i="52"/>
  <c r="J121" i="52"/>
  <c r="S113" i="52"/>
  <c r="U113" i="52"/>
  <c r="V136" i="52"/>
  <c r="J127" i="52"/>
  <c r="X125" i="52"/>
  <c r="K127" i="52"/>
  <c r="U116" i="52"/>
  <c r="AI116" i="52"/>
  <c r="F125" i="52"/>
  <c r="AD125" i="52"/>
  <c r="AB125" i="52"/>
  <c r="Z125" i="52"/>
  <c r="K125" i="52"/>
  <c r="X116" i="52"/>
  <c r="Q116" i="52"/>
  <c r="AA125" i="52"/>
  <c r="V125" i="52"/>
  <c r="S125" i="52"/>
  <c r="T125" i="52"/>
  <c r="Z116" i="52"/>
  <c r="AE125" i="52"/>
  <c r="Q125" i="52"/>
  <c r="AC125" i="52"/>
  <c r="Y125" i="52"/>
  <c r="O125" i="52"/>
  <c r="AG116" i="52"/>
  <c r="N125" i="52"/>
  <c r="AH125" i="52"/>
  <c r="U125" i="52"/>
  <c r="R125" i="52"/>
  <c r="P113" i="52"/>
  <c r="AJ113" i="52"/>
  <c r="AI113" i="52"/>
  <c r="N113" i="52"/>
  <c r="AA112" i="52"/>
  <c r="AE112" i="52"/>
  <c r="Z112" i="52"/>
  <c r="AI137" i="52"/>
  <c r="AD127" i="52"/>
  <c r="AF127" i="52"/>
  <c r="O136" i="52"/>
  <c r="V135" i="52"/>
  <c r="I127" i="52"/>
  <c r="V113" i="52"/>
  <c r="AD113" i="52"/>
  <c r="Z113" i="52"/>
  <c r="AB113" i="52"/>
  <c r="U112" i="52"/>
  <c r="W112" i="52"/>
  <c r="M112" i="52"/>
  <c r="V137" i="52"/>
  <c r="AH127" i="52"/>
  <c r="S135" i="52"/>
  <c r="H135" i="52"/>
  <c r="M113" i="52"/>
  <c r="X113" i="52"/>
  <c r="AE113" i="52"/>
  <c r="R113" i="52"/>
  <c r="T113" i="52"/>
  <c r="AA134" i="52"/>
  <c r="Y131" i="52"/>
  <c r="AH112" i="52"/>
  <c r="J112" i="52"/>
  <c r="Y129" i="52"/>
  <c r="Y127" i="52"/>
  <c r="M135" i="52"/>
  <c r="F135" i="52"/>
  <c r="T135" i="52"/>
  <c r="AB116" i="52"/>
  <c r="AE116" i="52"/>
  <c r="R116" i="52"/>
  <c r="V116" i="52"/>
  <c r="T116" i="52"/>
  <c r="AJ116" i="52"/>
  <c r="F116" i="52"/>
  <c r="N116" i="52"/>
  <c r="AF116" i="52"/>
  <c r="S116" i="52"/>
  <c r="Y116" i="52"/>
  <c r="AC116" i="52"/>
  <c r="L121" i="52"/>
  <c r="L116" i="52"/>
  <c r="AH116" i="52"/>
  <c r="P116" i="52"/>
  <c r="W116" i="52"/>
  <c r="AC134" i="52"/>
  <c r="X129" i="52"/>
  <c r="O132" i="52"/>
  <c r="AE134" i="52"/>
  <c r="AB129" i="52"/>
  <c r="P134" i="52"/>
  <c r="AJ131" i="52"/>
  <c r="W129" i="52"/>
  <c r="K134" i="52"/>
  <c r="AI131" i="52"/>
  <c r="AG139" i="52"/>
  <c r="W131" i="52"/>
  <c r="B97" i="39"/>
  <c r="L136" i="52"/>
  <c r="AG130" i="52"/>
  <c r="AI136" i="52"/>
  <c r="R127" i="52"/>
  <c r="AC127" i="52"/>
  <c r="P127" i="52"/>
  <c r="U127" i="52"/>
  <c r="AJ135" i="52"/>
  <c r="AE135" i="52"/>
  <c r="AH135" i="52"/>
  <c r="U135" i="52"/>
  <c r="O127" i="52"/>
  <c r="K113" i="52"/>
  <c r="G127" i="52"/>
  <c r="O112" i="52"/>
  <c r="B90" i="39"/>
  <c r="G135" i="52"/>
  <c r="AI112" i="52"/>
  <c r="AG112" i="52"/>
  <c r="AJ112" i="52"/>
  <c r="T112" i="52"/>
  <c r="J130" i="52"/>
  <c r="R137" i="52"/>
  <c r="AA127" i="52"/>
  <c r="Q127" i="52"/>
  <c r="N127" i="52"/>
  <c r="Z127" i="52"/>
  <c r="J135" i="52"/>
  <c r="AF135" i="52"/>
  <c r="R135" i="52"/>
  <c r="AC135" i="52"/>
  <c r="N135" i="52"/>
  <c r="K135" i="52"/>
  <c r="K112" i="52"/>
  <c r="J113" i="52"/>
  <c r="B76" i="39"/>
  <c r="F136" i="52"/>
  <c r="V119" i="52"/>
  <c r="V127" i="52"/>
  <c r="AG127" i="52"/>
  <c r="AI127" i="52"/>
  <c r="T127" i="52"/>
  <c r="I135" i="52"/>
  <c r="AD135" i="52"/>
  <c r="Z135" i="52"/>
  <c r="W135" i="52"/>
  <c r="AG135" i="52"/>
  <c r="H112" i="52"/>
  <c r="I113" i="52"/>
  <c r="B75" i="39"/>
  <c r="L135" i="52"/>
  <c r="AD112" i="52"/>
  <c r="S112" i="52"/>
  <c r="P112" i="52"/>
  <c r="V112" i="52"/>
  <c r="Z136" i="52"/>
  <c r="AF137" i="52"/>
  <c r="AJ127" i="52"/>
  <c r="F127" i="52"/>
  <c r="X127" i="52"/>
  <c r="AB127" i="52"/>
  <c r="M127" i="52"/>
  <c r="O135" i="52"/>
  <c r="Q135" i="52"/>
  <c r="X135" i="52"/>
  <c r="P135" i="52"/>
  <c r="AA135" i="52"/>
  <c r="G112" i="52"/>
  <c r="AJ114" i="52"/>
  <c r="U111" i="52"/>
  <c r="AJ117" i="52"/>
  <c r="H111" i="52"/>
  <c r="B104" i="39"/>
  <c r="L133" i="52"/>
  <c r="R111" i="52"/>
  <c r="U138" i="52"/>
  <c r="Y137" i="52"/>
  <c r="AJ137" i="52"/>
  <c r="P137" i="52"/>
  <c r="Z137" i="52"/>
  <c r="L119" i="52"/>
  <c r="I128" i="52"/>
  <c r="J138" i="52"/>
  <c r="J128" i="52"/>
  <c r="B100" i="39"/>
  <c r="S137" i="52"/>
  <c r="L137" i="52"/>
  <c r="X137" i="52"/>
  <c r="AG137" i="52"/>
  <c r="T137" i="52"/>
  <c r="H128" i="52"/>
  <c r="AH119" i="52"/>
  <c r="I137" i="52"/>
  <c r="AD137" i="52"/>
  <c r="F137" i="52"/>
  <c r="H137" i="52"/>
  <c r="AA137" i="52"/>
  <c r="M137" i="52"/>
  <c r="V128" i="52"/>
  <c r="AF119" i="52"/>
  <c r="AE138" i="52"/>
  <c r="J137" i="52"/>
  <c r="AC137" i="52"/>
  <c r="W137" i="52"/>
  <c r="AH137" i="52"/>
  <c r="U137" i="52"/>
  <c r="Q128" i="52"/>
  <c r="G137" i="52"/>
  <c r="B91" i="39"/>
  <c r="Y138" i="52"/>
  <c r="O137" i="52"/>
  <c r="Q137" i="52"/>
  <c r="AE137" i="52"/>
  <c r="AB137" i="52"/>
  <c r="Y128" i="52"/>
  <c r="I138" i="52"/>
  <c r="AB126" i="52"/>
  <c r="F124" i="52"/>
  <c r="AE133" i="52"/>
  <c r="J111" i="52"/>
  <c r="I124" i="52"/>
  <c r="H113" i="52"/>
  <c r="F114" i="52"/>
  <c r="B99" i="39"/>
  <c r="V124" i="52"/>
  <c r="H134" i="52"/>
  <c r="AI134" i="52"/>
  <c r="X134" i="52"/>
  <c r="AF134" i="52"/>
  <c r="U131" i="52"/>
  <c r="S131" i="52"/>
  <c r="N131" i="52"/>
  <c r="R131" i="52"/>
  <c r="AH129" i="52"/>
  <c r="AG129" i="52"/>
  <c r="S129" i="52"/>
  <c r="P129" i="52"/>
  <c r="U139" i="52"/>
  <c r="AG132" i="52"/>
  <c r="J134" i="52"/>
  <c r="G134" i="52"/>
  <c r="I134" i="52"/>
  <c r="AJ134" i="52"/>
  <c r="U134" i="52"/>
  <c r="Q134" i="52"/>
  <c r="Z134" i="52"/>
  <c r="O129" i="52"/>
  <c r="AH131" i="52"/>
  <c r="AG131" i="52"/>
  <c r="AD131" i="52"/>
  <c r="Z131" i="52"/>
  <c r="Q129" i="52"/>
  <c r="N129" i="52"/>
  <c r="AI129" i="52"/>
  <c r="AF129" i="52"/>
  <c r="I129" i="52"/>
  <c r="AB132" i="52"/>
  <c r="AF132" i="52"/>
  <c r="M134" i="52"/>
  <c r="B92" i="39"/>
  <c r="V134" i="52"/>
  <c r="AG134" i="52"/>
  <c r="F134" i="52"/>
  <c r="T134" i="52"/>
  <c r="Q131" i="52"/>
  <c r="X131" i="52"/>
  <c r="V131" i="52"/>
  <c r="T131" i="52"/>
  <c r="AE129" i="52"/>
  <c r="AC129" i="52"/>
  <c r="AA129" i="52"/>
  <c r="Z129" i="52"/>
  <c r="L129" i="52"/>
  <c r="AA132" i="52"/>
  <c r="N134" i="52"/>
  <c r="AH134" i="52"/>
  <c r="Y134" i="52"/>
  <c r="AD134" i="52"/>
  <c r="L134" i="52"/>
  <c r="AA131" i="52"/>
  <c r="AB131" i="52"/>
  <c r="P131" i="52"/>
  <c r="H131" i="52"/>
  <c r="L131" i="52"/>
  <c r="H129" i="52"/>
  <c r="U129" i="52"/>
  <c r="R129" i="52"/>
  <c r="T129" i="52"/>
  <c r="Z132" i="52"/>
  <c r="O134" i="52"/>
  <c r="AB134" i="52"/>
  <c r="S134" i="52"/>
  <c r="R134" i="52"/>
  <c r="G129" i="52"/>
  <c r="AC131" i="52"/>
  <c r="F131" i="52"/>
  <c r="AE131" i="52"/>
  <c r="AF131" i="52"/>
  <c r="V129" i="52"/>
  <c r="F129" i="52"/>
  <c r="AJ129" i="52"/>
  <c r="AD129" i="52"/>
  <c r="K129" i="52"/>
  <c r="P118" i="52"/>
  <c r="M132" i="52"/>
  <c r="W132" i="52"/>
  <c r="J132" i="52"/>
  <c r="AH126" i="52"/>
  <c r="T132" i="52"/>
  <c r="AE132" i="52"/>
  <c r="V132" i="52"/>
  <c r="F132" i="52"/>
  <c r="G131" i="52"/>
  <c r="K132" i="52"/>
  <c r="AI132" i="52"/>
  <c r="R132" i="52"/>
  <c r="X132" i="52"/>
  <c r="AF133" i="52"/>
  <c r="M131" i="52"/>
  <c r="Z139" i="52"/>
  <c r="P132" i="52"/>
  <c r="G132" i="52"/>
  <c r="L132" i="52"/>
  <c r="N132" i="52"/>
  <c r="K126" i="52"/>
  <c r="K131" i="52"/>
  <c r="R118" i="52"/>
  <c r="J129" i="52"/>
  <c r="AJ132" i="52"/>
  <c r="Q139" i="52"/>
  <c r="AH132" i="52"/>
  <c r="O126" i="52"/>
  <c r="AD132" i="52"/>
  <c r="Q132" i="52"/>
  <c r="AE118" i="52"/>
  <c r="I131" i="52"/>
  <c r="AG118" i="52"/>
  <c r="H132" i="52"/>
  <c r="I132" i="52"/>
  <c r="AC132" i="52"/>
  <c r="B94" i="39"/>
  <c r="V117" i="52"/>
  <c r="U132" i="52"/>
  <c r="B102" i="39"/>
  <c r="J131" i="52"/>
  <c r="B74" i="39"/>
  <c r="Y114" i="52"/>
  <c r="P111" i="52"/>
  <c r="AC111" i="52"/>
  <c r="V139" i="52"/>
  <c r="AG126" i="52"/>
  <c r="AI126" i="52"/>
  <c r="I125" i="52"/>
  <c r="AA126" i="52"/>
  <c r="M125" i="52"/>
  <c r="AE126" i="52"/>
  <c r="G126" i="52"/>
  <c r="V133" i="52"/>
  <c r="AA133" i="52"/>
  <c r="B84" i="39"/>
  <c r="J126" i="52"/>
  <c r="AF126" i="52"/>
  <c r="I126" i="52"/>
  <c r="N126" i="52"/>
  <c r="Q126" i="52"/>
  <c r="AD126" i="52"/>
  <c r="U126" i="52"/>
  <c r="AH133" i="52"/>
  <c r="R133" i="52"/>
  <c r="S133" i="52"/>
  <c r="I116" i="52"/>
  <c r="H126" i="52"/>
  <c r="R126" i="52"/>
  <c r="S126" i="52"/>
  <c r="Y126" i="52"/>
  <c r="G116" i="52"/>
  <c r="X126" i="52"/>
  <c r="J125" i="52"/>
  <c r="W133" i="52"/>
  <c r="K121" i="52"/>
  <c r="AB133" i="52"/>
  <c r="I133" i="52"/>
  <c r="AD133" i="52"/>
  <c r="B88" i="39"/>
  <c r="M126" i="52"/>
  <c r="P126" i="52"/>
  <c r="L126" i="52"/>
  <c r="F126" i="52"/>
  <c r="G121" i="52"/>
  <c r="I121" i="52"/>
  <c r="AC126" i="52"/>
  <c r="AJ126" i="52"/>
  <c r="V126" i="52"/>
  <c r="H116" i="52"/>
  <c r="W126" i="52"/>
  <c r="T126" i="52"/>
  <c r="AC133" i="52"/>
  <c r="Z133" i="52"/>
  <c r="G133" i="52"/>
  <c r="O121" i="52"/>
  <c r="AI133" i="52"/>
  <c r="B89" i="39"/>
  <c r="B79" i="39"/>
  <c r="AC138" i="52"/>
  <c r="AC128" i="52"/>
  <c r="AJ128" i="52"/>
  <c r="F128" i="52"/>
  <c r="R128" i="52"/>
  <c r="U119" i="52"/>
  <c r="AB119" i="52"/>
  <c r="Z119" i="52"/>
  <c r="X119" i="52"/>
  <c r="M128" i="52"/>
  <c r="K119" i="52"/>
  <c r="M119" i="52"/>
  <c r="L138" i="52"/>
  <c r="N124" i="52"/>
  <c r="H119" i="52"/>
  <c r="O119" i="52"/>
  <c r="N138" i="52"/>
  <c r="W138" i="52"/>
  <c r="AF138" i="52"/>
  <c r="N128" i="52"/>
  <c r="AB128" i="52"/>
  <c r="AH128" i="52"/>
  <c r="AF128" i="52"/>
  <c r="F119" i="52"/>
  <c r="AC119" i="52"/>
  <c r="P119" i="52"/>
  <c r="Q119" i="52"/>
  <c r="C142" i="52"/>
  <c r="Z124" i="52"/>
  <c r="G138" i="52"/>
  <c r="AF124" i="52"/>
  <c r="J119" i="52"/>
  <c r="P124" i="52"/>
  <c r="O138" i="52"/>
  <c r="AB138" i="52"/>
  <c r="S138" i="52"/>
  <c r="AD138" i="52"/>
  <c r="P138" i="52"/>
  <c r="Z138" i="52"/>
  <c r="W128" i="52"/>
  <c r="S128" i="52"/>
  <c r="X128" i="52"/>
  <c r="Z128" i="52"/>
  <c r="AJ119" i="52"/>
  <c r="AI119" i="52"/>
  <c r="AG119" i="52"/>
  <c r="AE119" i="52"/>
  <c r="Q124" i="52"/>
  <c r="I119" i="52"/>
  <c r="AH124" i="52"/>
  <c r="Y124" i="52"/>
  <c r="AG124" i="52"/>
  <c r="H138" i="52"/>
  <c r="V138" i="52"/>
  <c r="R138" i="52"/>
  <c r="F138" i="52"/>
  <c r="AG138" i="52"/>
  <c r="T138" i="52"/>
  <c r="U128" i="52"/>
  <c r="AI128" i="52"/>
  <c r="P128" i="52"/>
  <c r="T128" i="52"/>
  <c r="T119" i="52"/>
  <c r="AA119" i="52"/>
  <c r="W119" i="52"/>
  <c r="Y119" i="52"/>
  <c r="S124" i="52"/>
  <c r="AE124" i="52"/>
  <c r="M124" i="52"/>
  <c r="Q138" i="52"/>
  <c r="AH138" i="52"/>
  <c r="AJ138" i="52"/>
  <c r="AI138" i="52"/>
  <c r="AA138" i="52"/>
  <c r="K138" i="52"/>
  <c r="AD128" i="52"/>
  <c r="AE128" i="52"/>
  <c r="AA128" i="52"/>
  <c r="AG128" i="52"/>
  <c r="L128" i="52"/>
  <c r="AD119" i="52"/>
  <c r="R119" i="52"/>
  <c r="N119" i="52"/>
  <c r="S119" i="52"/>
  <c r="K128" i="52"/>
  <c r="O128" i="52"/>
  <c r="X124" i="52"/>
  <c r="AI124" i="52"/>
  <c r="J124" i="52"/>
  <c r="R124" i="52"/>
  <c r="AA124" i="52"/>
  <c r="J122" i="52"/>
  <c r="M138" i="52"/>
  <c r="Y133" i="52"/>
  <c r="J116" i="52"/>
  <c r="G119" i="52"/>
  <c r="AI139" i="52"/>
  <c r="Y132" i="52"/>
  <c r="B95" i="39"/>
  <c r="J139" i="52"/>
  <c r="T118" i="52"/>
  <c r="L139" i="52"/>
  <c r="AB124" i="52"/>
  <c r="AC124" i="52"/>
  <c r="T139" i="52"/>
  <c r="T114" i="52"/>
  <c r="O111" i="52"/>
  <c r="AF139" i="52"/>
  <c r="T133" i="52"/>
  <c r="AD139" i="52"/>
  <c r="H139" i="52"/>
  <c r="AH114" i="52"/>
  <c r="B81" i="39"/>
  <c r="B96" i="39"/>
  <c r="AJ139" i="52"/>
  <c r="AB111" i="52"/>
  <c r="Q133" i="52"/>
  <c r="M116" i="52"/>
  <c r="AA111" i="52"/>
  <c r="P130" i="52"/>
  <c r="Y130" i="52"/>
  <c r="AC130" i="52"/>
  <c r="AF130" i="52"/>
  <c r="S136" i="52"/>
  <c r="M136" i="52"/>
  <c r="AC136" i="52"/>
  <c r="P136" i="52"/>
  <c r="W117" i="52"/>
  <c r="O117" i="52"/>
  <c r="AA117" i="52"/>
  <c r="X117" i="52"/>
  <c r="Q117" i="52"/>
  <c r="L117" i="52"/>
  <c r="I117" i="52"/>
  <c r="K136" i="52"/>
  <c r="H130" i="52"/>
  <c r="F130" i="52"/>
  <c r="AE130" i="52"/>
  <c r="S130" i="52"/>
  <c r="Z130" i="52"/>
  <c r="AD136" i="52"/>
  <c r="X136" i="52"/>
  <c r="W136" i="52"/>
  <c r="AG136" i="52"/>
  <c r="N117" i="52"/>
  <c r="L130" i="52"/>
  <c r="AC117" i="52"/>
  <c r="G117" i="52"/>
  <c r="AB117" i="52"/>
  <c r="I136" i="52"/>
  <c r="K130" i="52"/>
  <c r="X130" i="52"/>
  <c r="W130" i="52"/>
  <c r="AI130" i="52"/>
  <c r="T130" i="52"/>
  <c r="R136" i="52"/>
  <c r="T136" i="52"/>
  <c r="Q136" i="52"/>
  <c r="AA136" i="52"/>
  <c r="G130" i="52"/>
  <c r="J117" i="52"/>
  <c r="B93" i="39"/>
  <c r="I130" i="52"/>
  <c r="R130" i="52"/>
  <c r="Q130" i="52"/>
  <c r="N130" i="52"/>
  <c r="AB130" i="52"/>
  <c r="M130" i="52"/>
  <c r="AF136" i="52"/>
  <c r="Y136" i="52"/>
  <c r="AH136" i="52"/>
  <c r="U136" i="52"/>
  <c r="S117" i="52"/>
  <c r="K117" i="52"/>
  <c r="AF117" i="52"/>
  <c r="G136" i="52"/>
  <c r="O130" i="52"/>
  <c r="AH130" i="52"/>
  <c r="AA130" i="52"/>
  <c r="AD130" i="52"/>
  <c r="AJ136" i="52"/>
  <c r="AE136" i="52"/>
  <c r="J136" i="52"/>
  <c r="AB136" i="52"/>
  <c r="N136" i="52"/>
  <c r="H117" i="52"/>
  <c r="M111" i="52"/>
  <c r="U124" i="52"/>
  <c r="H133" i="52"/>
  <c r="N133" i="52"/>
  <c r="O116" i="52"/>
  <c r="AD111" i="52"/>
  <c r="Y139" i="52"/>
  <c r="AB139" i="52"/>
  <c r="P139" i="52"/>
  <c r="AI117" i="52"/>
  <c r="K133" i="52"/>
  <c r="B77" i="39"/>
  <c r="L111" i="52"/>
  <c r="M133" i="52"/>
  <c r="K111" i="52"/>
  <c r="O133" i="52"/>
  <c r="F133" i="52"/>
  <c r="B87" i="39"/>
  <c r="S111" i="52"/>
  <c r="W124" i="52"/>
  <c r="T124" i="52"/>
  <c r="X133" i="52"/>
  <c r="B80" i="39"/>
  <c r="J133" i="52"/>
  <c r="AJ111" i="52"/>
  <c r="R139" i="52"/>
  <c r="AE139" i="52"/>
  <c r="V111" i="52"/>
  <c r="Z111" i="52"/>
  <c r="Q111" i="52"/>
  <c r="U133" i="52"/>
  <c r="AG133" i="52"/>
  <c r="AD124" i="52"/>
  <c r="P133" i="52"/>
  <c r="X111" i="52"/>
  <c r="I111" i="52"/>
  <c r="Z117" i="52"/>
  <c r="F111" i="52"/>
  <c r="G111" i="52"/>
  <c r="AE111" i="52"/>
  <c r="M118" i="52"/>
  <c r="W111" i="52"/>
  <c r="AF111" i="52"/>
  <c r="P117" i="52"/>
  <c r="U117" i="52"/>
  <c r="AH139" i="52"/>
  <c r="N139" i="52"/>
  <c r="N114" i="52"/>
  <c r="AE117" i="52"/>
  <c r="F139" i="52"/>
  <c r="S139" i="52"/>
  <c r="G139" i="52"/>
  <c r="AA139" i="52"/>
  <c r="R117" i="52"/>
  <c r="Y117" i="52"/>
  <c r="I139" i="52"/>
  <c r="AD117" i="52"/>
  <c r="X139" i="52"/>
  <c r="AC139" i="52"/>
  <c r="AG117" i="52"/>
  <c r="W139" i="52"/>
  <c r="AH117" i="52"/>
  <c r="M139" i="52"/>
  <c r="K139" i="52"/>
  <c r="AI118" i="52"/>
  <c r="AD118" i="52"/>
  <c r="AJ118" i="52"/>
  <c r="H118" i="52"/>
  <c r="F118" i="52"/>
  <c r="Z118" i="52"/>
  <c r="J118" i="52"/>
  <c r="H124" i="52"/>
  <c r="G124" i="52"/>
  <c r="AA118" i="52"/>
  <c r="N118" i="52"/>
  <c r="W118" i="52"/>
  <c r="K124" i="52"/>
  <c r="O124" i="52"/>
  <c r="L124" i="52"/>
  <c r="Q118" i="52"/>
  <c r="H114" i="52"/>
  <c r="X114" i="52"/>
  <c r="AC118" i="52"/>
  <c r="AB118" i="52"/>
  <c r="G118" i="52"/>
  <c r="T117" i="52"/>
  <c r="M117" i="52"/>
  <c r="AF114" i="52"/>
  <c r="AG114" i="52"/>
  <c r="AA114" i="52"/>
  <c r="AC114" i="52"/>
  <c r="Q114" i="52"/>
  <c r="W114" i="52"/>
  <c r="M114" i="52"/>
  <c r="AD114" i="52"/>
  <c r="Y118" i="52"/>
  <c r="X118" i="52"/>
  <c r="S118" i="52"/>
  <c r="K118" i="52"/>
  <c r="U118" i="52"/>
  <c r="V118" i="52"/>
  <c r="L118" i="52"/>
  <c r="AH118" i="52"/>
  <c r="AF118" i="52"/>
  <c r="O118" i="52"/>
  <c r="AE114" i="52"/>
  <c r="AI114" i="52"/>
  <c r="S114" i="52"/>
  <c r="L114" i="52"/>
  <c r="J114" i="52"/>
  <c r="I114" i="52"/>
  <c r="G114" i="52"/>
  <c r="V114" i="52"/>
  <c r="K114" i="52"/>
  <c r="Z114" i="52"/>
  <c r="O114" i="52"/>
  <c r="A136" i="52"/>
  <c r="N122" i="43"/>
  <c r="O33" i="11"/>
  <c r="N33" i="11"/>
  <c r="O32" i="11"/>
  <c r="N32" i="11"/>
  <c r="O31" i="11"/>
  <c r="N31" i="11"/>
  <c r="O30" i="11"/>
  <c r="N30" i="11"/>
  <c r="O29" i="11"/>
  <c r="N29" i="11"/>
  <c r="O28" i="11"/>
  <c r="N28" i="11"/>
  <c r="P28" i="11" s="1"/>
  <c r="O27" i="11"/>
  <c r="N27" i="11"/>
  <c r="O26" i="11"/>
  <c r="N26" i="11"/>
  <c r="O25" i="11"/>
  <c r="N25" i="11"/>
  <c r="P25" i="11" s="1"/>
  <c r="O24" i="11"/>
  <c r="N24" i="11"/>
  <c r="O23" i="11"/>
  <c r="N23" i="11"/>
  <c r="O22" i="11"/>
  <c r="N22" i="11"/>
  <c r="O21" i="11"/>
  <c r="N21" i="11"/>
  <c r="O20" i="11"/>
  <c r="N20" i="11"/>
  <c r="O19" i="11"/>
  <c r="N19" i="11"/>
  <c r="P19" i="11" s="1"/>
  <c r="O18" i="11"/>
  <c r="N18" i="11"/>
  <c r="O17" i="11"/>
  <c r="N17" i="11"/>
  <c r="O16" i="11"/>
  <c r="N16" i="11"/>
  <c r="O15" i="11"/>
  <c r="N15" i="11"/>
  <c r="O14" i="11"/>
  <c r="N14" i="11"/>
  <c r="O13" i="11"/>
  <c r="N13" i="11"/>
  <c r="P13" i="11" s="1"/>
  <c r="O12" i="11"/>
  <c r="N12" i="11"/>
  <c r="O11" i="11"/>
  <c r="N11" i="11"/>
  <c r="O10" i="11"/>
  <c r="N10" i="11"/>
  <c r="O9" i="11"/>
  <c r="N9" i="11"/>
  <c r="O8" i="11"/>
  <c r="N8" i="11"/>
  <c r="O7" i="11"/>
  <c r="N7" i="11"/>
  <c r="P7" i="11" s="1"/>
  <c r="O6" i="11"/>
  <c r="N6" i="11"/>
  <c r="O5" i="11"/>
  <c r="N5" i="11"/>
  <c r="O4" i="11"/>
  <c r="N4" i="11"/>
  <c r="P4" i="11" s="1"/>
  <c r="O3" i="11"/>
  <c r="N3" i="11"/>
  <c r="P21" i="11" l="1"/>
  <c r="P24" i="11"/>
  <c r="P33" i="11"/>
  <c r="V110" i="52"/>
  <c r="AI110" i="52"/>
  <c r="AB110" i="52"/>
  <c r="I110" i="52"/>
  <c r="AG110" i="52"/>
  <c r="N110" i="52"/>
  <c r="AA110" i="52"/>
  <c r="T110" i="52"/>
  <c r="X110" i="52"/>
  <c r="AJ110" i="52"/>
  <c r="Q110" i="52"/>
  <c r="Y110" i="52"/>
  <c r="H110" i="52"/>
  <c r="AH110" i="52"/>
  <c r="AC110" i="52"/>
  <c r="P110" i="52"/>
  <c r="R110" i="52"/>
  <c r="Z110" i="52"/>
  <c r="F110" i="52"/>
  <c r="W110" i="52"/>
  <c r="K110" i="52"/>
  <c r="AE110" i="52"/>
  <c r="M110" i="52"/>
  <c r="AD110" i="52"/>
  <c r="G110" i="52"/>
  <c r="U110" i="52"/>
  <c r="S110" i="52"/>
  <c r="O110" i="52"/>
  <c r="J110" i="52"/>
  <c r="AF110" i="52"/>
  <c r="L110" i="52"/>
  <c r="P5" i="11"/>
  <c r="P8" i="11"/>
  <c r="P17" i="11"/>
  <c r="P26" i="11"/>
  <c r="P29" i="11"/>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P5" i="37" s="1"/>
  <c r="B30" i="39" s="1"/>
  <c r="R7" i="37"/>
  <c r="R8" i="37"/>
  <c r="R9" i="37"/>
  <c r="R10" i="37"/>
  <c r="R11" i="37"/>
  <c r="P8" i="37" s="1"/>
  <c r="B32" i="39" s="1"/>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F87" i="52" l="1"/>
  <c r="F90" i="52"/>
  <c r="F89" i="52"/>
  <c r="F86" i="52"/>
  <c r="F82" i="52"/>
  <c r="F93" i="52"/>
  <c r="F97" i="52"/>
  <c r="F96" i="52"/>
  <c r="F91" i="52"/>
  <c r="F88" i="52"/>
  <c r="F83" i="52"/>
  <c r="F80" i="52"/>
  <c r="F98" i="52"/>
  <c r="F100" i="52"/>
  <c r="F99" i="52"/>
  <c r="F94" i="52"/>
  <c r="F92" i="52"/>
  <c r="F84" i="52"/>
  <c r="F74" i="52"/>
  <c r="F73" i="52"/>
  <c r="F101" i="52"/>
  <c r="F72" i="52"/>
  <c r="F95" i="52"/>
  <c r="F85" i="52"/>
  <c r="F76" i="52"/>
  <c r="F79" i="52"/>
  <c r="F78" i="52"/>
  <c r="F77" i="52"/>
  <c r="F75" i="52"/>
  <c r="F102" i="52"/>
  <c r="F81" i="52"/>
  <c r="D76" i="52"/>
  <c r="D82" i="52"/>
  <c r="D88" i="52"/>
  <c r="D94" i="52"/>
  <c r="D100" i="52"/>
  <c r="D77" i="52"/>
  <c r="D83" i="52"/>
  <c r="D89" i="52"/>
  <c r="D95" i="52"/>
  <c r="D101" i="52"/>
  <c r="D81" i="52"/>
  <c r="D99" i="52"/>
  <c r="D72" i="52"/>
  <c r="D78" i="52"/>
  <c r="D84" i="52"/>
  <c r="D90" i="52"/>
  <c r="D96" i="52"/>
  <c r="D102" i="52"/>
  <c r="D93" i="52"/>
  <c r="D73" i="52"/>
  <c r="D79" i="52"/>
  <c r="D85" i="52"/>
  <c r="D91" i="52"/>
  <c r="D97" i="52"/>
  <c r="D87" i="52"/>
  <c r="D74" i="52"/>
  <c r="D80" i="52"/>
  <c r="D86" i="52"/>
  <c r="D92" i="52"/>
  <c r="D98" i="52"/>
  <c r="D75" i="52"/>
  <c r="H73" i="52"/>
  <c r="H79" i="52"/>
  <c r="H85" i="52"/>
  <c r="H91" i="52"/>
  <c r="H97" i="52"/>
  <c r="H74" i="52"/>
  <c r="H80" i="52"/>
  <c r="H86" i="52"/>
  <c r="H92" i="52"/>
  <c r="H98" i="52"/>
  <c r="H96" i="52"/>
  <c r="H75" i="52"/>
  <c r="H81" i="52"/>
  <c r="H87" i="52"/>
  <c r="H93" i="52"/>
  <c r="H99" i="52"/>
  <c r="H78" i="52"/>
  <c r="H102" i="52"/>
  <c r="H76" i="52"/>
  <c r="H82" i="52"/>
  <c r="H88" i="52"/>
  <c r="H94" i="52"/>
  <c r="H100" i="52"/>
  <c r="H72" i="52"/>
  <c r="H90" i="52"/>
  <c r="H77" i="52"/>
  <c r="H83" i="52"/>
  <c r="H89" i="52"/>
  <c r="H95" i="52"/>
  <c r="H101" i="52"/>
  <c r="H84" i="52"/>
  <c r="B96" i="52"/>
  <c r="B90" i="52"/>
  <c r="B74" i="52"/>
  <c r="B100" i="52"/>
  <c r="B101" i="52"/>
  <c r="B85" i="52"/>
  <c r="B86" i="52"/>
  <c r="B77" i="52"/>
  <c r="B80" i="52"/>
  <c r="B75" i="52"/>
  <c r="B76" i="52"/>
  <c r="B91" i="52"/>
  <c r="B81" i="52"/>
  <c r="B84" i="52"/>
  <c r="B78" i="52"/>
  <c r="B95" i="52"/>
  <c r="B92" i="52"/>
  <c r="B102" i="52"/>
  <c r="B94" i="52"/>
  <c r="B97" i="52"/>
  <c r="B98" i="52"/>
  <c r="B87" i="52"/>
  <c r="B82" i="52"/>
  <c r="B83" i="52"/>
  <c r="B79" i="52"/>
  <c r="B72" i="52"/>
  <c r="B73" i="52"/>
  <c r="B93" i="52"/>
  <c r="B88" i="52"/>
  <c r="B89" i="52"/>
  <c r="B99" i="52"/>
  <c r="G72" i="52"/>
  <c r="G78" i="52"/>
  <c r="G84" i="52"/>
  <c r="G90" i="52"/>
  <c r="G96" i="52"/>
  <c r="G102" i="52"/>
  <c r="G73" i="52"/>
  <c r="G79" i="52"/>
  <c r="G85" i="52"/>
  <c r="G91" i="52"/>
  <c r="G97" i="52"/>
  <c r="G89" i="52"/>
  <c r="G74" i="52"/>
  <c r="G80" i="52"/>
  <c r="G86" i="52"/>
  <c r="G92" i="52"/>
  <c r="G98" i="52"/>
  <c r="G101" i="52"/>
  <c r="G75" i="52"/>
  <c r="G81" i="52"/>
  <c r="G87" i="52"/>
  <c r="G93" i="52"/>
  <c r="G99" i="52"/>
  <c r="G83" i="52"/>
  <c r="G76" i="52"/>
  <c r="G82" i="52"/>
  <c r="G88" i="52"/>
  <c r="G94" i="52"/>
  <c r="G100" i="52"/>
  <c r="G77" i="52"/>
  <c r="G95" i="52"/>
  <c r="C75" i="52"/>
  <c r="C81" i="52"/>
  <c r="C87" i="52"/>
  <c r="C93" i="52"/>
  <c r="C99" i="52"/>
  <c r="C76" i="52"/>
  <c r="C82" i="52"/>
  <c r="C88" i="52"/>
  <c r="C94" i="52"/>
  <c r="C100" i="52"/>
  <c r="C86" i="52"/>
  <c r="C77" i="52"/>
  <c r="C83" i="52"/>
  <c r="C89" i="52"/>
  <c r="C95" i="52"/>
  <c r="C101" i="52"/>
  <c r="C92" i="52"/>
  <c r="C72" i="52"/>
  <c r="C78" i="52"/>
  <c r="C84" i="52"/>
  <c r="C90" i="52"/>
  <c r="C96" i="52"/>
  <c r="C102" i="52"/>
  <c r="C80" i="52"/>
  <c r="C73" i="52"/>
  <c r="C79" i="52"/>
  <c r="C85" i="52"/>
  <c r="C91" i="52"/>
  <c r="C97" i="52"/>
  <c r="C74" i="52"/>
  <c r="C98" i="52"/>
  <c r="E77" i="52"/>
  <c r="E83" i="52"/>
  <c r="E89" i="52"/>
  <c r="E95" i="52"/>
  <c r="E101" i="52"/>
  <c r="E72" i="52"/>
  <c r="E78" i="52"/>
  <c r="E84" i="52"/>
  <c r="E90" i="52"/>
  <c r="E96" i="52"/>
  <c r="E102" i="52"/>
  <c r="E76" i="52"/>
  <c r="E100" i="52"/>
  <c r="E73" i="52"/>
  <c r="E79" i="52"/>
  <c r="E85" i="52"/>
  <c r="E91" i="52"/>
  <c r="E97" i="52"/>
  <c r="E94" i="52"/>
  <c r="E74" i="52"/>
  <c r="E80" i="52"/>
  <c r="E86" i="52"/>
  <c r="E92" i="52"/>
  <c r="E98" i="52"/>
  <c r="E88" i="52"/>
  <c r="E75" i="52"/>
  <c r="E81" i="52"/>
  <c r="E87" i="52"/>
  <c r="E93" i="52"/>
  <c r="E99" i="52"/>
  <c r="E82" i="52"/>
  <c r="H217" i="44" a="1"/>
  <c r="A8" i="43"/>
  <c r="M14" i="43"/>
  <c r="R109" i="52" l="1"/>
  <c r="X109" i="52"/>
  <c r="AB109" i="52"/>
  <c r="O109" i="52"/>
  <c r="T109" i="52"/>
  <c r="W109" i="52"/>
  <c r="Q109" i="52"/>
  <c r="Y109" i="52"/>
  <c r="S109" i="52"/>
  <c r="V109" i="52"/>
  <c r="P109" i="52"/>
  <c r="Z109" i="52"/>
  <c r="N109" i="52"/>
  <c r="AA109" i="52"/>
  <c r="U109" i="52"/>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Z142" i="52" l="1"/>
  <c r="Z143" i="52" s="1"/>
  <c r="Z148" i="52"/>
  <c r="Z144" i="52"/>
  <c r="P142" i="52"/>
  <c r="P143" i="52" s="1"/>
  <c r="P148" i="52"/>
  <c r="P144" i="52"/>
  <c r="W144" i="52"/>
  <c r="W148" i="52"/>
  <c r="W142" i="52"/>
  <c r="W143" i="52" s="1"/>
  <c r="U148" i="52"/>
  <c r="U142" i="52"/>
  <c r="U143" i="52" s="1"/>
  <c r="U144" i="52"/>
  <c r="V148" i="52"/>
  <c r="V142" i="52"/>
  <c r="V143" i="52" s="1"/>
  <c r="V144" i="52"/>
  <c r="X148" i="52"/>
  <c r="X142" i="52"/>
  <c r="X143" i="52" s="1"/>
  <c r="X144" i="52"/>
  <c r="N144" i="52"/>
  <c r="N148" i="52"/>
  <c r="N142" i="52"/>
  <c r="N143" i="52" s="1"/>
  <c r="Q148" i="52"/>
  <c r="Q142" i="52"/>
  <c r="Q143" i="52" s="1"/>
  <c r="Q144" i="52"/>
  <c r="S144" i="52"/>
  <c r="S148" i="52"/>
  <c r="S142" i="52"/>
  <c r="S143" i="52" s="1"/>
  <c r="T148" i="52"/>
  <c r="T142" i="52"/>
  <c r="T143" i="52" s="1"/>
  <c r="T144" i="52"/>
  <c r="AA144" i="52"/>
  <c r="AA148" i="52"/>
  <c r="AA142" i="52"/>
  <c r="AA143" i="52" s="1"/>
  <c r="Y144" i="52"/>
  <c r="Y148" i="52"/>
  <c r="Y142" i="52"/>
  <c r="Y143" i="52" s="1"/>
  <c r="O148" i="52"/>
  <c r="O144" i="52"/>
  <c r="O142" i="52"/>
  <c r="O143" i="52" s="1"/>
  <c r="R148" i="52"/>
  <c r="R144" i="52"/>
  <c r="R142" i="52"/>
  <c r="R143" i="52" s="1"/>
  <c r="AB148" i="52"/>
  <c r="AB144" i="52"/>
  <c r="AB142" i="52"/>
  <c r="AB143" i="52" s="1"/>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C109" i="52" l="1"/>
  <c r="F150" i="52"/>
  <c r="A12" i="43"/>
  <c r="P14" i="43"/>
  <c r="AD109" i="52" l="1"/>
  <c r="AC142" i="52"/>
  <c r="AC143" i="52" s="1"/>
  <c r="AC144" i="52"/>
  <c r="AC148" i="52"/>
  <c r="A13" i="43"/>
  <c r="Q14" i="43"/>
  <c r="AE109" i="52" l="1"/>
  <c r="AD144" i="52"/>
  <c r="AD142" i="52"/>
  <c r="AD143" i="52" s="1"/>
  <c r="AD148" i="52"/>
  <c r="R14" i="43"/>
  <c r="AF109" i="52" l="1"/>
  <c r="AE148" i="52"/>
  <c r="AE142" i="52"/>
  <c r="AE143" i="52" s="1"/>
  <c r="AE144" i="52"/>
  <c r="S14" i="43"/>
  <c r="AG109" i="52" l="1"/>
  <c r="AF142" i="52"/>
  <c r="AF143" i="52" s="1"/>
  <c r="AF144" i="52"/>
  <c r="AF148" i="52"/>
  <c r="T14" i="43"/>
  <c r="AG142" i="52" l="1"/>
  <c r="AG143" i="52" s="1"/>
  <c r="AG144" i="52"/>
  <c r="AG148" i="52"/>
  <c r="AH109" i="52"/>
  <c r="U14" i="43"/>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H148" i="52" l="1"/>
  <c r="AH142" i="52"/>
  <c r="AH143" i="52" s="1"/>
  <c r="AH144" i="52"/>
  <c r="AI109" i="52"/>
  <c r="AJ109" i="52"/>
  <c r="AE3" i="8"/>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AJ144" i="52" l="1"/>
  <c r="AJ142" i="52"/>
  <c r="AJ143" i="52" s="1"/>
  <c r="AJ148" i="52"/>
  <c r="AI142" i="52"/>
  <c r="AI143" i="52" s="1"/>
  <c r="AI148" i="52"/>
  <c r="AI144" i="52"/>
  <c r="W14" i="43"/>
  <c r="K146" i="52" l="1"/>
  <c r="X14" i="43"/>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 r="L109" i="52"/>
  <c r="L142" i="52" s="1"/>
  <c r="L143" i="52" s="1"/>
  <c r="M109" i="52"/>
  <c r="M144" i="52" l="1"/>
  <c r="M148" i="52"/>
  <c r="M142" i="52"/>
  <c r="M143" i="52" s="1"/>
  <c r="L148" i="52"/>
  <c r="L144" i="52"/>
  <c r="F142" i="52"/>
  <c r="F143" i="52" s="1"/>
  <c r="H109" i="52"/>
  <c r="F109" i="52"/>
  <c r="F148" i="52" s="1"/>
  <c r="G109" i="52"/>
  <c r="G148" i="52" l="1"/>
  <c r="G142" i="52"/>
  <c r="G143" i="52" s="1"/>
  <c r="G144" i="52"/>
  <c r="H142" i="52"/>
  <c r="H143" i="52" s="1"/>
  <c r="H144" i="52"/>
  <c r="H148" i="52"/>
  <c r="F144" i="52"/>
  <c r="I109" i="52" l="1"/>
  <c r="I144" i="52" l="1"/>
  <c r="I148" i="52"/>
  <c r="I142" i="52"/>
  <c r="I143" i="52" s="1"/>
  <c r="K109" i="52"/>
  <c r="J109" i="52"/>
  <c r="J144" i="52" l="1"/>
  <c r="J142" i="52"/>
  <c r="J143" i="52" s="1"/>
  <c r="J148" i="52"/>
  <c r="K148" i="52"/>
  <c r="K142" i="52"/>
  <c r="K143" i="52" s="1"/>
  <c r="K144" i="52"/>
  <c r="F149" i="52" l="1"/>
  <c r="G146" i="52"/>
  <c r="I146" i="52" s="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<sst xmlns="http://schemas.openxmlformats.org/spreadsheetml/2006/main" count="326" uniqueCount="166">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</sst>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5704568"/>
        <c:axId val="4457080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04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8096"/>
        <c:crossesAt val="-8.0000000000000019E-3"/>
        <c:crossBetween val="midCat"/>
      </c:valAx>
      <c:valAx>
        <c:axId val="445708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4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5710448"/>
        <c:axId val="445706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104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6920"/>
        <c:crosses val="autoZero"/>
        <c:crossBetween val="midCat"/>
      </c:valAx>
      <c:valAx>
        <c:axId val="4457069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1044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5706136"/>
        <c:axId val="4457073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5706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7312"/>
        <c:crosses val="autoZero"/>
        <c:crossBetween val="midCat"/>
        <c:majorUnit val="10000"/>
      </c:valAx>
      <c:valAx>
        <c:axId val="44570731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613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5709272"/>
        <c:axId val="4457108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09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710840"/>
        <c:crosses val="autoZero"/>
        <c:crossBetween val="midCat"/>
        <c:majorUnit val="10000"/>
      </c:valAx>
      <c:valAx>
        <c:axId val="4457108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709272"/>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7903240"/>
        <c:axId val="447900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9032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0888"/>
        <c:crosses val="autoZero"/>
        <c:crossBetween val="midCat"/>
        <c:majorUnit val="10000"/>
      </c:valAx>
      <c:valAx>
        <c:axId val="44790088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324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6.2587768733702708E-3</c:v>
                </c:pt>
                <c:pt idx="1">
                  <c:v>8.2840814042691585E-3</c:v>
                </c:pt>
                <c:pt idx="2">
                  <c:v>2.2423821917179512E-3</c:v>
                </c:pt>
                <c:pt idx="3">
                  <c:v>3.7563318081551637E-4</c:v>
                </c:pt>
                <c:pt idx="4">
                  <c:v>5.5113098445669001E-5</c:v>
                </c:pt>
                <c:pt idx="5">
                  <c:v>1.206657644146553E-5</c:v>
                </c:pt>
                <c:pt idx="6">
                  <c:v>1.999622682142038E-5</c:v>
                </c:pt>
                <c:pt idx="7">
                  <c:v>6.0378340250890705E-5</c:v>
                </c:pt>
                <c:pt idx="8">
                  <c:v>1.5408563950744265E-4</c:v>
                </c:pt>
                <c:pt idx="9">
                  <c:v>3.2602645425504313E-4</c:v>
                </c:pt>
                <c:pt idx="10">
                  <c:v>5.772716058895026E-4</c:v>
                </c:pt>
                <c:pt idx="11">
                  <c:v>8.6688379315572766E-4</c:v>
                </c:pt>
                <c:pt idx="12">
                  <c:v>1.1070566381729079E-3</c:v>
                </c:pt>
                <c:pt idx="13">
                  <c:v>1.2104283129978244E-3</c:v>
                </c:pt>
                <c:pt idx="14">
                  <c:v>1.1328800536546185E-3</c:v>
                </c:pt>
                <c:pt idx="15">
                  <c:v>9.2449523660435753E-4</c:v>
                </c:pt>
                <c:pt idx="16">
                  <c:v>6.7169177682605973E-4</c:v>
                </c:pt>
                <c:pt idx="17">
                  <c:v>4.612513781443904E-4</c:v>
                </c:pt>
                <c:pt idx="18">
                  <c:v>2.9293678966458767E-4</c:v>
                </c:pt>
                <c:pt idx="19">
                  <c:v>1.6294375057544235E-4</c:v>
                </c:pt>
                <c:pt idx="20">
                  <c:v>7.5367921739365415E-5</c:v>
                </c:pt>
                <c:pt idx="21">
                  <c:v>2.6498929468781122E-5</c:v>
                </c:pt>
                <c:pt idx="22">
                  <c:v>9.3753377658349923E-7</c:v>
                </c:pt>
                <c:pt idx="23">
                  <c:v>2.0852743315373953E-5</c:v>
                </c:pt>
                <c:pt idx="24">
                  <c:v>4.0937781204583686E-5</c:v>
                </c:pt>
                <c:pt idx="25">
                  <c:v>4.7820286684782548E-5</c:v>
                </c:pt>
                <c:pt idx="26">
                  <c:v>6.027551541076527E-5</c:v>
                </c:pt>
                <c:pt idx="27">
                  <c:v>8.4932010917061992E-5</c:v>
                </c:pt>
                <c:pt idx="28">
                  <c:v>8.2432520657312199E-5</c:v>
                </c:pt>
                <c:pt idx="29">
                  <c:v>4.5771115275973946E-5</c:v>
                </c:pt>
                <c:pt idx="30">
                  <c:v>1.0858329376975408E-5</c:v>
                </c:pt>
              </c:numCache>
            </c:numRef>
          </c:yVal>
          <c:smooth val="1"/>
        </c:ser>
        <c:dLbls>
          <c:showLegendKey val="0"/>
          <c:showVal val="0"/>
          <c:showCatName val="0"/>
          <c:showSerName val="0"/>
          <c:showPercent val="0"/>
          <c:showBubbleSize val="0"/>
        </c:dLbls>
        <c:axId val="447905200"/>
        <c:axId val="447904024"/>
      </c:scatterChart>
      <c:valAx>
        <c:axId val="4479052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4024"/>
        <c:crossesAt val="-1.5000000000000005E-3"/>
        <c:crossBetween val="midCat"/>
      </c:valAx>
      <c:valAx>
        <c:axId val="44790402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520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10389.689423091791</c:v>
                </c:pt>
                <c:pt idx="1">
                  <c:v>10301.394493229716</c:v>
                </c:pt>
                <c:pt idx="2">
                  <c:v>9968.4826434017177</c:v>
                </c:pt>
                <c:pt idx="3">
                  <c:v>9744.3518846060451</c:v>
                </c:pt>
                <c:pt idx="4">
                  <c:v>9485.6103224529616</c:v>
                </c:pt>
                <c:pt idx="5">
                  <c:v>9224.4112490873995</c:v>
                </c:pt>
                <c:pt idx="6">
                  <c:v>8983.4749759790539</c:v>
                </c:pt>
                <c:pt idx="7">
                  <c:v>8670.9169798996045</c:v>
                </c:pt>
                <c:pt idx="8">
                  <c:v>8317.4645726024064</c:v>
                </c:pt>
                <c:pt idx="9">
                  <c:v>7971.2724926535939</c:v>
                </c:pt>
                <c:pt idx="10">
                  <c:v>7677.9994104003599</c:v>
                </c:pt>
                <c:pt idx="11">
                  <c:v>7410.3288979453528</c:v>
                </c:pt>
                <c:pt idx="12">
                  <c:v>7124.3518748563811</c:v>
                </c:pt>
                <c:pt idx="13">
                  <c:v>6853.0235621155989</c:v>
                </c:pt>
                <c:pt idx="14">
                  <c:v>6565.1834399322606</c:v>
                </c:pt>
                <c:pt idx="15">
                  <c:v>6224.7521962445817</c:v>
                </c:pt>
                <c:pt idx="16">
                  <c:v>5686.8076251663142</c:v>
                </c:pt>
                <c:pt idx="17">
                  <c:v>4765.6682784467839</c:v>
                </c:pt>
                <c:pt idx="18">
                  <c:v>3747.3103094884427</c:v>
                </c:pt>
                <c:pt idx="19">
                  <c:v>2900.3437662539964</c:v>
                </c:pt>
                <c:pt idx="20">
                  <c:v>2207.7850730783443</c:v>
                </c:pt>
                <c:pt idx="21">
                  <c:v>1604.1689000321724</c:v>
                </c:pt>
                <c:pt idx="22">
                  <c:v>1123.4057056249392</c:v>
                </c:pt>
                <c:pt idx="23">
                  <c:v>780.7489264497126</c:v>
                </c:pt>
                <c:pt idx="24">
                  <c:v>582.02965837771114</c:v>
                </c:pt>
                <c:pt idx="25">
                  <c:v>477.41629308054667</c:v>
                </c:pt>
                <c:pt idx="26">
                  <c:v>428.34347878820876</c:v>
                </c:pt>
                <c:pt idx="27">
                  <c:v>398.61751916188354</c:v>
                </c:pt>
                <c:pt idx="28">
                  <c:v>385.28298248147991</c:v>
                </c:pt>
                <c:pt idx="29">
                  <c:v>372.88353508874008</c:v>
                </c:pt>
                <c:pt idx="30">
                  <c:v>356.84201242999154</c:v>
                </c:pt>
              </c:numCache>
            </c:numRef>
          </c:yVal>
          <c:smooth val="1"/>
        </c:ser>
        <c:dLbls>
          <c:showLegendKey val="0"/>
          <c:showVal val="0"/>
          <c:showCatName val="0"/>
          <c:showSerName val="0"/>
          <c:showPercent val="0"/>
          <c:showBubbleSize val="0"/>
        </c:dLbls>
        <c:axId val="447905592"/>
        <c:axId val="447904416"/>
      </c:scatterChart>
      <c:valAx>
        <c:axId val="447905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4416"/>
        <c:crosses val="autoZero"/>
        <c:crossBetween val="midCat"/>
      </c:valAx>
      <c:valAx>
        <c:axId val="4479044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5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8.1527783807176665E-2</c:v>
                </c:pt>
                <c:pt idx="1">
                  <c:v>9.7573457863902729E-2</c:v>
                </c:pt>
                <c:pt idx="2">
                  <c:v>7.6556342075046163E-2</c:v>
                </c:pt>
                <c:pt idx="3">
                  <c:v>6.068755148142016E-2</c:v>
                </c:pt>
                <c:pt idx="4">
                  <c:v>4.5401371649057831E-2</c:v>
                </c:pt>
                <c:pt idx="5">
                  <c:v>2.9177756275941984E-2</c:v>
                </c:pt>
                <c:pt idx="6">
                  <c:v>2.0952141119622823E-2</c:v>
                </c:pt>
                <c:pt idx="7">
                  <c:v>3.1142133596688482E-2</c:v>
                </c:pt>
                <c:pt idx="8">
                  <c:v>2.7560055367044048E-2</c:v>
                </c:pt>
                <c:pt idx="9">
                  <c:v>2.781384579444968E-2</c:v>
                </c:pt>
                <c:pt idx="10">
                  <c:v>2.8248224219811977E-2</c:v>
                </c:pt>
                <c:pt idx="11">
                  <c:v>2.720432843114625E-2</c:v>
                </c:pt>
                <c:pt idx="12">
                  <c:v>2.6194860483390509E-2</c:v>
                </c:pt>
                <c:pt idx="13">
                  <c:v>2.5400841998337864E-2</c:v>
                </c:pt>
                <c:pt idx="14">
                  <c:v>2.5482692449418375E-2</c:v>
                </c:pt>
                <c:pt idx="15">
                  <c:v>2.6609874133331188E-2</c:v>
                </c:pt>
                <c:pt idx="16">
                  <c:v>2.4464265106583564E-2</c:v>
                </c:pt>
                <c:pt idx="17">
                  <c:v>2.6268551294470199E-2</c:v>
                </c:pt>
                <c:pt idx="18">
                  <c:v>2.1789348140633078E-2</c:v>
                </c:pt>
                <c:pt idx="19">
                  <c:v>2.154767693356132E-2</c:v>
                </c:pt>
                <c:pt idx="20">
                  <c:v>8.774655152575592E-3</c:v>
                </c:pt>
                <c:pt idx="21">
                  <c:v>7.6160895371648135E-2</c:v>
                </c:pt>
                <c:pt idx="22">
                  <c:v>0.12622331662565198</c:v>
                </c:pt>
                <c:pt idx="23">
                  <c:v>0.12024057532336192</c:v>
                </c:pt>
                <c:pt idx="24">
                  <c:v>0.10658851865425445</c:v>
                </c:pt>
                <c:pt idx="25">
                  <c:v>9.5470585484209003E-2</c:v>
                </c:pt>
                <c:pt idx="26">
                  <c:v>0.11241212174171511</c:v>
                </c:pt>
                <c:pt idx="27">
                  <c:v>7.6063696595803296E-2</c:v>
                </c:pt>
                <c:pt idx="28">
                  <c:v>8.0332006645434426E-2</c:v>
                </c:pt>
                <c:pt idx="29">
                  <c:v>4.4536477408687707E-2</c:v>
                </c:pt>
                <c:pt idx="30">
                  <c:v>3.4594410310244184E-2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3.3623400120352788E-2</c:v>
                </c:pt>
                <c:pt idx="1">
                  <c:v>1.4628142225573975E-2</c:v>
                </c:pt>
                <c:pt idx="2">
                  <c:v>2.1698576443562414E-3</c:v>
                </c:pt>
                <c:pt idx="3">
                  <c:v>1.1565447631305468E-2</c:v>
                </c:pt>
                <c:pt idx="4">
                  <c:v>1.210236239926139E-2</c:v>
                </c:pt>
                <c:pt idx="5">
                  <c:v>9.8797514168224541E-3</c:v>
                </c:pt>
                <c:pt idx="6">
                  <c:v>1.1499603741601179E-2</c:v>
                </c:pt>
                <c:pt idx="7">
                  <c:v>9.8520662479773102E-3</c:v>
                </c:pt>
                <c:pt idx="8">
                  <c:v>1.0953339525831385E-2</c:v>
                </c:pt>
                <c:pt idx="9">
                  <c:v>1.1918149599445697E-2</c:v>
                </c:pt>
                <c:pt idx="10">
                  <c:v>1.1380727323687213E-2</c:v>
                </c:pt>
                <c:pt idx="11">
                  <c:v>1.163480038163584E-2</c:v>
                </c:pt>
                <c:pt idx="12">
                  <c:v>1.0872112333428408E-2</c:v>
                </c:pt>
                <c:pt idx="13">
                  <c:v>1.20111177346058E-2</c:v>
                </c:pt>
                <c:pt idx="14">
                  <c:v>1.1765837336713388E-2</c:v>
                </c:pt>
                <c:pt idx="15">
                  <c:v>1.1339019006190396E-2</c:v>
                </c:pt>
                <c:pt idx="16">
                  <c:v>9.4249455639343598E-3</c:v>
                </c:pt>
                <c:pt idx="17">
                  <c:v>1.5145211817387302E-2</c:v>
                </c:pt>
                <c:pt idx="18">
                  <c:v>4.1959818782027716E-2</c:v>
                </c:pt>
                <c:pt idx="19">
                  <c:v>3.9954222393437044E-2</c:v>
                </c:pt>
                <c:pt idx="20">
                  <c:v>2.3450060954905361E-2</c:v>
                </c:pt>
                <c:pt idx="21">
                  <c:v>9.8657068542806099E-3</c:v>
                </c:pt>
                <c:pt idx="22">
                  <c:v>1.3743579183198672E-2</c:v>
                </c:pt>
                <c:pt idx="23">
                  <c:v>6.3314082000076018E-3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6.262918277680384E-3</c:v>
                </c:pt>
                <c:pt idx="1">
                  <c:v>8.2500567566559449E-3</c:v>
                </c:pt>
                <c:pt idx="2">
                  <c:v>2.2920328686408258E-3</c:v>
                </c:pt>
                <c:pt idx="3">
                  <c:v>3.3540985362622179E-4</c:v>
                </c:pt>
                <c:pt idx="4">
                  <c:v>1.0530346224015669E-4</c:v>
                </c:pt>
                <c:pt idx="5">
                  <c:v>3.876316916748122E-5</c:v>
                </c:pt>
                <c:pt idx="6">
                  <c:v>7.3447027771377784E-5</c:v>
                </c:pt>
                <c:pt idx="7">
                  <c:v>1.5243591470888566E-5</c:v>
                </c:pt>
                <c:pt idx="8">
                  <c:v>2.3804889118993964E-4</c:v>
                </c:pt>
                <c:pt idx="9">
                  <c:v>2.444854070187256E-4</c:v>
                </c:pt>
                <c:pt idx="10">
                  <c:v>6.447763203588252E-4</c:v>
                </c:pt>
                <c:pt idx="11">
                  <c:v>7.9707578514349434E-4</c:v>
                </c:pt>
                <c:pt idx="12">
                  <c:v>1.1849560013426365E-3</c:v>
                </c:pt>
                <c:pt idx="13">
                  <c:v>1.1444301444923819E-3</c:v>
                </c:pt>
                <c:pt idx="14">
                  <c:v>1.2229809100230582E-3</c:v>
                </c:pt>
                <c:pt idx="15">
                  <c:v>8.2608184201685782E-4</c:v>
                </c:pt>
                <c:pt idx="16">
                  <c:v>9.1112063538495533E-4</c:v>
                </c:pt>
                <c:pt idx="17">
                  <c:v>1.1131094981601672E-4</c:v>
                </c:pt>
                <c:pt idx="18">
                  <c:v>6.6453208206163766E-4</c:v>
                </c:pt>
                <c:pt idx="19">
                  <c:v>2.0840261051557028E-4</c:v>
                </c:pt>
                <c:pt idx="20">
                  <c:v>5.214790570038857E-4</c:v>
                </c:pt>
                <c:pt idx="21">
                  <c:v>3.9377564964862132E-4</c:v>
                </c:pt>
                <c:pt idx="22">
                  <c:v>7.9566085573451342E-4</c:v>
                </c:pt>
                <c:pt idx="23">
                  <c:v>6.1966042576723621E-4</c:v>
                </c:pt>
                <c:pt idx="24">
                  <c:v>4.2715113999846645E-4</c:v>
                </c:pt>
                <c:pt idx="25">
                  <c:v>3.0259653358442293E-4</c:v>
                </c:pt>
                <c:pt idx="26">
                  <c:v>8.8025907295289908E-5</c:v>
                </c:pt>
                <c:pt idx="27">
                  <c:v>1.9801301548501567E-4</c:v>
                </c:pt>
                <c:pt idx="28">
                  <c:v>5.9321573359910775E-5</c:v>
                </c:pt>
                <c:pt idx="29">
                  <c:v>1.3917405977908028E-4</c:v>
                </c:pt>
                <c:pt idx="30">
                  <c:v>6.2273725814239689E-5</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4.101578621123083E-2</c:v>
                </c:pt>
                <c:pt idx="1">
                  <c:v>4.9200335681016644E-2</c:v>
                </c:pt>
                <c:pt idx="2">
                  <c:v>5.8116783997140625E-2</c:v>
                </c:pt>
                <c:pt idx="3">
                  <c:v>6.1946915508492469E-2</c:v>
                </c:pt>
                <c:pt idx="4">
                  <c:v>6.1446755043276263E-2</c:v>
                </c:pt>
                <c:pt idx="5">
                  <c:v>5.4442521862493119E-2</c:v>
                </c:pt>
                <c:pt idx="6">
                  <c:v>5.5980214518020661E-2</c:v>
                </c:pt>
                <c:pt idx="7">
                  <c:v>5.7007624982356488E-2</c:v>
                </c:pt>
                <c:pt idx="8">
                  <c:v>5.7615678096862459E-2</c:v>
                </c:pt>
                <c:pt idx="9">
                  <c:v>6.0495631378394345E-2</c:v>
                </c:pt>
                <c:pt idx="10">
                  <c:v>6.6865351392246974E-2</c:v>
                </c:pt>
                <c:pt idx="11">
                  <c:v>7.0629830722269485E-2</c:v>
                </c:pt>
                <c:pt idx="12">
                  <c:v>2.46006990840675E-2</c:v>
                </c:pt>
                <c:pt idx="13">
                  <c:v>7.737933654861788E-2</c:v>
                </c:pt>
                <c:pt idx="14">
                  <c:v>0.16822130266149818</c:v>
                </c:pt>
                <c:pt idx="15">
                  <c:v>0.17956060783993535</c:v>
                </c:pt>
                <c:pt idx="16">
                  <c:v>9.9443357766491228E-2</c:v>
                </c:pt>
                <c:pt idx="17">
                  <c:v>2.1769012651145638E-2</c:v>
                </c:pt>
                <c:pt idx="18">
                  <c:v>4.442162519831773E-2</c:v>
                </c:pt>
                <c:pt idx="19">
                  <c:v>4.9387655690553159E-2</c:v>
                </c:pt>
                <c:pt idx="20">
                  <c:v>2.1602906233801965E-2</c:v>
                </c:pt>
                <c:pt idx="21">
                  <c:v>2.9234776224543006E-3</c:v>
                </c:pt>
                <c:pt idx="22">
                  <c:v>2.7157869376893654E-3</c:v>
                </c:pt>
                <c:pt idx="23">
                  <c:v>4.8025924871987228E-3</c:v>
                </c:pt>
                <c:pt idx="24">
                  <c:v>1.0154549503486668E-2</c:v>
                </c:pt>
                <c:pt idx="25">
                  <c:v>2.6741864025399402E-2</c:v>
                </c:pt>
                <c:pt idx="26">
                  <c:v>4.1542268541055116E-3</c:v>
                </c:pt>
                <c:pt idx="27">
                  <c:v>2.9812682268024641E-2</c:v>
                </c:pt>
                <c:pt idx="28">
                  <c:v>3.7518483985524868E-2</c:v>
                </c:pt>
                <c:pt idx="29">
                  <c:v>3.2232706293412738E-2</c:v>
                </c:pt>
                <c:pt idx="30">
                  <c:v>2.8976460137760174E-2</c:v>
                </c:pt>
              </c:numCache>
            </c:numRef>
          </c:yVal>
          <c:smooth val="1"/>
        </c:ser>
        <c:dLbls>
          <c:showLegendKey val="0"/>
          <c:showVal val="0"/>
          <c:showCatName val="0"/>
          <c:showSerName val="0"/>
          <c:showPercent val="0"/>
          <c:showBubbleSize val="0"/>
        </c:dLbls>
        <c:axId val="447901672"/>
        <c:axId val="447902848"/>
      </c:scatterChart>
      <c:valAx>
        <c:axId val="4479016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848"/>
        <c:crossesAt val="1.0000000000000005E-9"/>
        <c:crossBetween val="midCat"/>
      </c:valAx>
      <c:valAx>
        <c:axId val="44790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16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-11.206695345231019</c:v>
                </c:pt>
                <c:pt idx="1">
                  <c:v>-7.2627352784508794</c:v>
                </c:pt>
                <c:pt idx="2">
                  <c:v>-4.793342440994997</c:v>
                </c:pt>
                <c:pt idx="3">
                  <c:v>-2.6402158025209772</c:v>
                </c:pt>
                <c:pt idx="4">
                  <c:v>0</c:v>
                </c:pt>
                <c:pt idx="5">
                  <c:v>5.0254399219607917</c:v>
                </c:pt>
                <c:pt idx="6">
                  <c:v>9.907215664523255</c:v>
                </c:pt>
              </c:numCache>
            </c:numRef>
          </c:yVal>
          <c:smooth val="0"/>
        </c:ser>
        <c:dLbls>
          <c:showLegendKey val="0"/>
          <c:showVal val="0"/>
          <c:showCatName val="0"/>
          <c:showSerName val="0"/>
          <c:showPercent val="0"/>
          <c:showBubbleSize val="0"/>
        </c:dLbls>
        <c:axId val="447898536"/>
        <c:axId val="447901280"/>
      </c:scatterChart>
      <c:valAx>
        <c:axId val="447898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1280"/>
        <c:crossesAt val="-100"/>
        <c:crossBetween val="midCat"/>
      </c:valAx>
      <c:valAx>
        <c:axId val="447901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8985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7902064"/>
        <c:axId val="447902456"/>
      </c:scatterChart>
      <c:valAx>
        <c:axId val="4479020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456"/>
        <c:crosses val="autoZero"/>
        <c:crossBetween val="midCat"/>
      </c:valAx>
      <c:valAx>
        <c:axId val="4479024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06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1.3582948410409256E-20</c:v>
                </c:pt>
                <c:pt idx="1">
                  <c:v>1.3582948410409254E-19</c:v>
                </c:pt>
                <c:pt idx="2">
                  <c:v>1.3582948410409256E-18</c:v>
                </c:pt>
                <c:pt idx="3">
                  <c:v>1.3582948410409254E-17</c:v>
                </c:pt>
                <c:pt idx="4">
                  <c:v>1.3582948410409254E-16</c:v>
                </c:pt>
                <c:pt idx="5">
                  <c:v>1.3582948410409256E-15</c:v>
                </c:pt>
                <c:pt idx="6">
                  <c:v>1.3582948410409256E-14</c:v>
                </c:pt>
                <c:pt idx="7">
                  <c:v>1.3582948410409256E-13</c:v>
                </c:pt>
                <c:pt idx="8">
                  <c:v>1.3582948410409254E-12</c:v>
                </c:pt>
                <c:pt idx="9">
                  <c:v>1.3582948410409254E-11</c:v>
                </c:pt>
                <c:pt idx="10">
                  <c:v>1.3582948410409256E-10</c:v>
                </c:pt>
                <c:pt idx="11">
                  <c:v>1.3582948410409255E-9</c:v>
                </c:pt>
                <c:pt idx="12">
                  <c:v>1.3582948410409256E-8</c:v>
                </c:pt>
                <c:pt idx="13">
                  <c:v>1.3582948410409254E-7</c:v>
                </c:pt>
                <c:pt idx="14">
                  <c:v>1.3582948410409255E-6</c:v>
                </c:pt>
                <c:pt idx="15">
                  <c:v>1.3582948410409255E-5</c:v>
                </c:pt>
                <c:pt idx="16">
                  <c:v>1.3582948410409255E-4</c:v>
                </c:pt>
                <c:pt idx="17">
                  <c:v>1.3582948410409254E-3</c:v>
                </c:pt>
                <c:pt idx="18">
                  <c:v>1.3582948410409254E-2</c:v>
                </c:pt>
                <c:pt idx="19">
                  <c:v>0.13582948410409254</c:v>
                </c:pt>
                <c:pt idx="20">
                  <c:v>1.3582948410409255</c:v>
                </c:pt>
                <c:pt idx="21">
                  <c:v>13.582948410409255</c:v>
                </c:pt>
                <c:pt idx="22">
                  <c:v>135.82948410409256</c:v>
                </c:pt>
                <c:pt idx="23">
                  <c:v>1358.2948410409256</c:v>
                </c:pt>
                <c:pt idx="24">
                  <c:v>13582.948410409255</c:v>
                </c:pt>
                <c:pt idx="25">
                  <c:v>135829.48410409255</c:v>
                </c:pt>
                <c:pt idx="26">
                  <c:v>1358294.8410409256</c:v>
                </c:pt>
                <c:pt idx="27">
                  <c:v>13582948.410409255</c:v>
                </c:pt>
                <c:pt idx="28">
                  <c:v>135829484.10409254</c:v>
                </c:pt>
                <c:pt idx="29">
                  <c:v>1358294841.0409255</c:v>
                </c:pt>
                <c:pt idx="30">
                  <c:v>13582948410.409254</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7.0118746719018344E-19</c:v>
                </c:pt>
                <c:pt idx="1">
                  <c:v>7.0118746719018336E-18</c:v>
                </c:pt>
                <c:pt idx="2">
                  <c:v>7.0118746719018346E-17</c:v>
                </c:pt>
                <c:pt idx="3">
                  <c:v>7.0118746719018338E-16</c:v>
                </c:pt>
                <c:pt idx="4">
                  <c:v>7.0118746719018332E-15</c:v>
                </c:pt>
                <c:pt idx="5">
                  <c:v>7.0118746719018348E-14</c:v>
                </c:pt>
                <c:pt idx="6">
                  <c:v>7.0118746719018346E-13</c:v>
                </c:pt>
                <c:pt idx="7">
                  <c:v>7.0118746719018338E-12</c:v>
                </c:pt>
                <c:pt idx="8">
                  <c:v>7.0118746719018333E-11</c:v>
                </c:pt>
                <c:pt idx="9">
                  <c:v>7.011874671901834E-10</c:v>
                </c:pt>
                <c:pt idx="10">
                  <c:v>7.0118746719018342E-9</c:v>
                </c:pt>
                <c:pt idx="11">
                  <c:v>7.0118746719018342E-8</c:v>
                </c:pt>
                <c:pt idx="12">
                  <c:v>7.0118746719018337E-7</c:v>
                </c:pt>
                <c:pt idx="13">
                  <c:v>7.0118746719018341E-6</c:v>
                </c:pt>
                <c:pt idx="14">
                  <c:v>7.0118746719018347E-5</c:v>
                </c:pt>
                <c:pt idx="15">
                  <c:v>7.0118746719018338E-4</c:v>
                </c:pt>
                <c:pt idx="16">
                  <c:v>7.0118746719018341E-3</c:v>
                </c:pt>
                <c:pt idx="17">
                  <c:v>7.0118746719018341E-2</c:v>
                </c:pt>
                <c:pt idx="18">
                  <c:v>0.70118746719018343</c:v>
                </c:pt>
                <c:pt idx="19">
                  <c:v>7.0118746719018343</c:v>
                </c:pt>
                <c:pt idx="20">
                  <c:v>70.118746719018347</c:v>
                </c:pt>
                <c:pt idx="21">
                  <c:v>701.18746719018338</c:v>
                </c:pt>
                <c:pt idx="22">
                  <c:v>7011.8746719018336</c:v>
                </c:pt>
                <c:pt idx="23">
                  <c:v>70118.746719018338</c:v>
                </c:pt>
                <c:pt idx="24">
                  <c:v>701187.46719018335</c:v>
                </c:pt>
                <c:pt idx="25">
                  <c:v>7011874.6719018342</c:v>
                </c:pt>
                <c:pt idx="26">
                  <c:v>70118746.71901834</c:v>
                </c:pt>
                <c:pt idx="27">
                  <c:v>701187467.1901834</c:v>
                </c:pt>
                <c:pt idx="28">
                  <c:v>7011874671.9018335</c:v>
                </c:pt>
                <c:pt idx="29">
                  <c:v>70118746719.018341</c:v>
                </c:pt>
                <c:pt idx="30">
                  <c:v>701187467190.18335</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8.2847198649309814E-18</c:v>
                </c:pt>
                <c:pt idx="1">
                  <c:v>8.2847198649309811E-17</c:v>
                </c:pt>
                <c:pt idx="2">
                  <c:v>8.2847198649309811E-16</c:v>
                </c:pt>
                <c:pt idx="3">
                  <c:v>8.2847198649309813E-15</c:v>
                </c:pt>
                <c:pt idx="4">
                  <c:v>8.2847198649309803E-14</c:v>
                </c:pt>
                <c:pt idx="5">
                  <c:v>8.2847198649309808E-13</c:v>
                </c:pt>
                <c:pt idx="6">
                  <c:v>8.2847198649309818E-12</c:v>
                </c:pt>
                <c:pt idx="7">
                  <c:v>8.2847198649309809E-11</c:v>
                </c:pt>
                <c:pt idx="8">
                  <c:v>8.2847198649309811E-10</c:v>
                </c:pt>
                <c:pt idx="9">
                  <c:v>8.2847198649309809E-9</c:v>
                </c:pt>
                <c:pt idx="10">
                  <c:v>8.2847198649309812E-8</c:v>
                </c:pt>
                <c:pt idx="11">
                  <c:v>8.2847198649309812E-7</c:v>
                </c:pt>
                <c:pt idx="12">
                  <c:v>8.2847198649309812E-6</c:v>
                </c:pt>
                <c:pt idx="13">
                  <c:v>8.2847198649309812E-5</c:v>
                </c:pt>
                <c:pt idx="14">
                  <c:v>8.2847198649309815E-4</c:v>
                </c:pt>
                <c:pt idx="15">
                  <c:v>8.2847198649309804E-3</c:v>
                </c:pt>
                <c:pt idx="16">
                  <c:v>8.2847198649309811E-2</c:v>
                </c:pt>
                <c:pt idx="17">
                  <c:v>0.82847198649309806</c:v>
                </c:pt>
                <c:pt idx="18">
                  <c:v>8.284719864930981</c:v>
                </c:pt>
                <c:pt idx="19">
                  <c:v>82.847198649309803</c:v>
                </c:pt>
                <c:pt idx="20">
                  <c:v>828.47198649309814</c:v>
                </c:pt>
                <c:pt idx="21">
                  <c:v>8284.7198649309812</c:v>
                </c:pt>
                <c:pt idx="22">
                  <c:v>82847.198649309808</c:v>
                </c:pt>
                <c:pt idx="23">
                  <c:v>828471.98649309808</c:v>
                </c:pt>
                <c:pt idx="24">
                  <c:v>8284719.8649309808</c:v>
                </c:pt>
                <c:pt idx="25">
                  <c:v>82847198.649309814</c:v>
                </c:pt>
                <c:pt idx="26">
                  <c:v>828471986.49309814</c:v>
                </c:pt>
                <c:pt idx="27">
                  <c:v>8284719864.9309807</c:v>
                </c:pt>
                <c:pt idx="28">
                  <c:v>82847198649.309814</c:v>
                </c:pt>
                <c:pt idx="29">
                  <c:v>828471986493.09814</c:v>
                </c:pt>
                <c:pt idx="30">
                  <c:v>8284719864930.9814</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7.1345871276069284E-17</c:v>
                </c:pt>
                <c:pt idx="1">
                  <c:v>7.1345871276069279E-16</c:v>
                </c:pt>
                <c:pt idx="2">
                  <c:v>7.1345871276069285E-15</c:v>
                </c:pt>
                <c:pt idx="3">
                  <c:v>7.1345871276069269E-14</c:v>
                </c:pt>
                <c:pt idx="4">
                  <c:v>7.1345871276069269E-13</c:v>
                </c:pt>
                <c:pt idx="5">
                  <c:v>7.1345871276069281E-12</c:v>
                </c:pt>
                <c:pt idx="6">
                  <c:v>7.1345871276069286E-11</c:v>
                </c:pt>
                <c:pt idx="7">
                  <c:v>7.1345871276069273E-10</c:v>
                </c:pt>
                <c:pt idx="8">
                  <c:v>7.1345871276069269E-9</c:v>
                </c:pt>
                <c:pt idx="9">
                  <c:v>7.1345871276069271E-8</c:v>
                </c:pt>
                <c:pt idx="10">
                  <c:v>7.1345871276069284E-7</c:v>
                </c:pt>
                <c:pt idx="11">
                  <c:v>7.1345871276069277E-6</c:v>
                </c:pt>
                <c:pt idx="12">
                  <c:v>7.1345871276069279E-5</c:v>
                </c:pt>
                <c:pt idx="13">
                  <c:v>7.1345871276069274E-4</c:v>
                </c:pt>
                <c:pt idx="14">
                  <c:v>7.134587127606928E-3</c:v>
                </c:pt>
                <c:pt idx="15">
                  <c:v>7.134587127606927E-2</c:v>
                </c:pt>
                <c:pt idx="16">
                  <c:v>0.71345871276069273</c:v>
                </c:pt>
                <c:pt idx="17">
                  <c:v>7.1345871276069275</c:v>
                </c:pt>
                <c:pt idx="18">
                  <c:v>71.345871276069275</c:v>
                </c:pt>
                <c:pt idx="19">
                  <c:v>713.45871276069272</c:v>
                </c:pt>
                <c:pt idx="20">
                  <c:v>7134.5871276069274</c:v>
                </c:pt>
                <c:pt idx="21">
                  <c:v>71345.871276069272</c:v>
                </c:pt>
                <c:pt idx="22">
                  <c:v>713458.7127606927</c:v>
                </c:pt>
                <c:pt idx="23">
                  <c:v>7134587.1276069274</c:v>
                </c:pt>
                <c:pt idx="24">
                  <c:v>71345871.276069269</c:v>
                </c:pt>
                <c:pt idx="25">
                  <c:v>713458712.76069272</c:v>
                </c:pt>
                <c:pt idx="26">
                  <c:v>7134587127.6069279</c:v>
                </c:pt>
                <c:pt idx="27">
                  <c:v>71345871276.069275</c:v>
                </c:pt>
                <c:pt idx="28">
                  <c:v>713458712760.69275</c:v>
                </c:pt>
                <c:pt idx="29">
                  <c:v>7134587127606.9277</c:v>
                </c:pt>
                <c:pt idx="30">
                  <c:v>71345871276069.281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1.5223721387712849E-13</c:v>
                </c:pt>
                <c:pt idx="1">
                  <c:v>1.5223721387712848E-12</c:v>
                </c:pt>
                <c:pt idx="2">
                  <c:v>1.5223721387712849E-11</c:v>
                </c:pt>
                <c:pt idx="3">
                  <c:v>1.5223721387712849E-10</c:v>
                </c:pt>
                <c:pt idx="4">
                  <c:v>1.5223721387712846E-9</c:v>
                </c:pt>
                <c:pt idx="5">
                  <c:v>1.5223721387712849E-8</c:v>
                </c:pt>
                <c:pt idx="6">
                  <c:v>1.522372138771285E-7</c:v>
                </c:pt>
                <c:pt idx="7">
                  <c:v>1.5223721387712849E-6</c:v>
                </c:pt>
                <c:pt idx="8">
                  <c:v>1.5223721387712847E-5</c:v>
                </c:pt>
                <c:pt idx="9">
                  <c:v>1.5223721387712846E-4</c:v>
                </c:pt>
                <c:pt idx="10">
                  <c:v>1.522372138771285E-3</c:v>
                </c:pt>
                <c:pt idx="11">
                  <c:v>1.5223721387712849E-2</c:v>
                </c:pt>
                <c:pt idx="12">
                  <c:v>0.15223721387712849</c:v>
                </c:pt>
                <c:pt idx="13">
                  <c:v>1.5223721387712847</c:v>
                </c:pt>
                <c:pt idx="14">
                  <c:v>15.22372138771285</c:v>
                </c:pt>
                <c:pt idx="15">
                  <c:v>152.23721387712848</c:v>
                </c:pt>
                <c:pt idx="16">
                  <c:v>1522.3721387712849</c:v>
                </c:pt>
                <c:pt idx="17">
                  <c:v>15223.721387712849</c:v>
                </c:pt>
                <c:pt idx="18">
                  <c:v>152237.21387712847</c:v>
                </c:pt>
                <c:pt idx="19">
                  <c:v>1522372.1387712848</c:v>
                </c:pt>
                <c:pt idx="20">
                  <c:v>15223721.387712847</c:v>
                </c:pt>
                <c:pt idx="21">
                  <c:v>152237213.87712848</c:v>
                </c:pt>
                <c:pt idx="22">
                  <c:v>1522372138.7712848</c:v>
                </c:pt>
                <c:pt idx="23">
                  <c:v>15223721387.712849</c:v>
                </c:pt>
                <c:pt idx="24">
                  <c:v>152237213877.12848</c:v>
                </c:pt>
                <c:pt idx="25">
                  <c:v>1522372138771.2849</c:v>
                </c:pt>
                <c:pt idx="26">
                  <c:v>15223721387712.848</c:v>
                </c:pt>
                <c:pt idx="27">
                  <c:v>152237213877128.47</c:v>
                </c:pt>
                <c:pt idx="28">
                  <c:v>1522372138771284.7</c:v>
                </c:pt>
                <c:pt idx="29">
                  <c:v>1.5223721387712848E+16</c:v>
                </c:pt>
                <c:pt idx="30">
                  <c:v>1.5223721387712848E+17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2.0074701400814706E-11</c:v>
                </c:pt>
                <c:pt idx="1">
                  <c:v>2.0074701400814706E-10</c:v>
                </c:pt>
                <c:pt idx="2">
                  <c:v>2.0074701400814704E-9</c:v>
                </c:pt>
                <c:pt idx="3">
                  <c:v>2.0074701400814704E-8</c:v>
                </c:pt>
                <c:pt idx="4">
                  <c:v>2.0074701400814704E-7</c:v>
                </c:pt>
                <c:pt idx="5">
                  <c:v>2.0074701400814705E-6</c:v>
                </c:pt>
                <c:pt idx="6">
                  <c:v>2.0074701400814705E-5</c:v>
                </c:pt>
                <c:pt idx="7">
                  <c:v>2.0074701400814705E-4</c:v>
                </c:pt>
                <c:pt idx="8">
                  <c:v>2.0074701400814702E-3</c:v>
                </c:pt>
                <c:pt idx="9">
                  <c:v>2.0074701400814705E-2</c:v>
                </c:pt>
                <c:pt idx="10">
                  <c:v>0.20074701400814707</c:v>
                </c:pt>
                <c:pt idx="11">
                  <c:v>2.0074701400814705</c:v>
                </c:pt>
                <c:pt idx="12">
                  <c:v>20.074701400814707</c:v>
                </c:pt>
                <c:pt idx="13">
                  <c:v>200.74701400814706</c:v>
                </c:pt>
                <c:pt idx="14">
                  <c:v>2007.4701400814706</c:v>
                </c:pt>
                <c:pt idx="15">
                  <c:v>20074.701400814705</c:v>
                </c:pt>
                <c:pt idx="16">
                  <c:v>200747.01400814706</c:v>
                </c:pt>
                <c:pt idx="17">
                  <c:v>2007470.1400814706</c:v>
                </c:pt>
                <c:pt idx="18">
                  <c:v>20074701.400814705</c:v>
                </c:pt>
                <c:pt idx="19">
                  <c:v>200747014.00814706</c:v>
                </c:pt>
                <c:pt idx="20">
                  <c:v>2007470140.0814705</c:v>
                </c:pt>
                <c:pt idx="21">
                  <c:v>20074701400.814705</c:v>
                </c:pt>
                <c:pt idx="22">
                  <c:v>200747014008.14706</c:v>
                </c:pt>
                <c:pt idx="23">
                  <c:v>2007470140081.4705</c:v>
                </c:pt>
                <c:pt idx="24">
                  <c:v>20074701400814.703</c:v>
                </c:pt>
                <c:pt idx="25">
                  <c:v>200747014008147.06</c:v>
                </c:pt>
                <c:pt idx="26">
                  <c:v>2007470140081470.5</c:v>
                </c:pt>
                <c:pt idx="27">
                  <c:v>2.0074701400814704E+16</c:v>
                </c:pt>
                <c:pt idx="28">
                  <c:v>2.0074701400814704E+17</c:v>
                </c:pt>
                <c:pt idx="29">
                  <c:v>2.0074701400814705E+18</c:v>
                </c:pt>
                <c:pt idx="30">
                  <c:v>2.0074701400814707E+19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7899712"/>
        <c:axId val="445707704"/>
      </c:scatterChart>
      <c:valAx>
        <c:axId val="447899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7704"/>
        <c:crosses val="autoZero"/>
        <c:crossBetween val="midCat"/>
      </c:valAx>
      <c:valAx>
        <c:axId val="445707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8997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1.3582948410409256E-20</c:v>
                </c:pt>
                <c:pt idx="1">
                  <c:v>1.3582948410409254E-19</c:v>
                </c:pt>
                <c:pt idx="2">
                  <c:v>1.3582948410409256E-18</c:v>
                </c:pt>
                <c:pt idx="3">
                  <c:v>1.3582948410409254E-17</c:v>
                </c:pt>
                <c:pt idx="4">
                  <c:v>1.3582948410409254E-16</c:v>
                </c:pt>
                <c:pt idx="5">
                  <c:v>1.3582948410409256E-15</c:v>
                </c:pt>
                <c:pt idx="6">
                  <c:v>1.3582948410409256E-14</c:v>
                </c:pt>
                <c:pt idx="7">
                  <c:v>1.3582948410409256E-13</c:v>
                </c:pt>
                <c:pt idx="8">
                  <c:v>1.3582948410409254E-12</c:v>
                </c:pt>
                <c:pt idx="9">
                  <c:v>1.3582948410409254E-11</c:v>
                </c:pt>
                <c:pt idx="10">
                  <c:v>1.3582948410409256E-10</c:v>
                </c:pt>
                <c:pt idx="11">
                  <c:v>1.3582948410409255E-9</c:v>
                </c:pt>
                <c:pt idx="12">
                  <c:v>1.3582948410409256E-8</c:v>
                </c:pt>
                <c:pt idx="13">
                  <c:v>1.3582948410409254E-7</c:v>
                </c:pt>
                <c:pt idx="14">
                  <c:v>1.3582948410409255E-6</c:v>
                </c:pt>
                <c:pt idx="15">
                  <c:v>1.3582948410409255E-5</c:v>
                </c:pt>
                <c:pt idx="16">
                  <c:v>1.3582948410409255E-4</c:v>
                </c:pt>
                <c:pt idx="17">
                  <c:v>1.3582948410409254E-3</c:v>
                </c:pt>
                <c:pt idx="18">
                  <c:v>1.3582948410409254E-2</c:v>
                </c:pt>
                <c:pt idx="19">
                  <c:v>0.13582948410409254</c:v>
                </c:pt>
                <c:pt idx="20">
                  <c:v>1.3582948410409255</c:v>
                </c:pt>
                <c:pt idx="21">
                  <c:v>13.582948410409255</c:v>
                </c:pt>
                <c:pt idx="22">
                  <c:v>135.82948410409256</c:v>
                </c:pt>
                <c:pt idx="23">
                  <c:v>1358.2948410409256</c:v>
                </c:pt>
                <c:pt idx="24">
                  <c:v>13582.948410409255</c:v>
                </c:pt>
                <c:pt idx="25">
                  <c:v>135829.48410409255</c:v>
                </c:pt>
                <c:pt idx="26">
                  <c:v>1358294.8410409256</c:v>
                </c:pt>
                <c:pt idx="27">
                  <c:v>13582948.410409255</c:v>
                </c:pt>
                <c:pt idx="28">
                  <c:v>135829484.10409254</c:v>
                </c:pt>
                <c:pt idx="29">
                  <c:v>1358294841.0409255</c:v>
                </c:pt>
                <c:pt idx="30">
                  <c:v>13582948410.409254</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7.0118746719018344E-19</c:v>
                </c:pt>
                <c:pt idx="1">
                  <c:v>7.0118746719018336E-18</c:v>
                </c:pt>
                <c:pt idx="2">
                  <c:v>7.0118746719018346E-17</c:v>
                </c:pt>
                <c:pt idx="3">
                  <c:v>7.0118746719018338E-16</c:v>
                </c:pt>
                <c:pt idx="4">
                  <c:v>7.0118746719018332E-15</c:v>
                </c:pt>
                <c:pt idx="5">
                  <c:v>7.0118746719018348E-14</c:v>
                </c:pt>
                <c:pt idx="6">
                  <c:v>7.0118746719018346E-13</c:v>
                </c:pt>
                <c:pt idx="7">
                  <c:v>7.0118746719018338E-12</c:v>
                </c:pt>
                <c:pt idx="8">
                  <c:v>7.0118746719018333E-11</c:v>
                </c:pt>
                <c:pt idx="9">
                  <c:v>7.011874671901834E-10</c:v>
                </c:pt>
                <c:pt idx="10">
                  <c:v>7.0118746719018342E-9</c:v>
                </c:pt>
                <c:pt idx="11">
                  <c:v>7.0118746719018342E-8</c:v>
                </c:pt>
                <c:pt idx="12">
                  <c:v>7.0118746719018337E-7</c:v>
                </c:pt>
                <c:pt idx="13">
                  <c:v>7.0118746719018341E-6</c:v>
                </c:pt>
                <c:pt idx="14">
                  <c:v>7.0118746719018347E-5</c:v>
                </c:pt>
                <c:pt idx="15">
                  <c:v>7.0118746719018338E-4</c:v>
                </c:pt>
                <c:pt idx="16">
                  <c:v>7.0118746719018341E-3</c:v>
                </c:pt>
                <c:pt idx="17">
                  <c:v>7.0118746719018341E-2</c:v>
                </c:pt>
                <c:pt idx="18">
                  <c:v>0.70118746719018343</c:v>
                </c:pt>
                <c:pt idx="19">
                  <c:v>7.0118746719018343</c:v>
                </c:pt>
                <c:pt idx="20">
                  <c:v>70.118746719018347</c:v>
                </c:pt>
                <c:pt idx="21">
                  <c:v>701.18746719018338</c:v>
                </c:pt>
                <c:pt idx="22">
                  <c:v>7011.8746719018336</c:v>
                </c:pt>
                <c:pt idx="23">
                  <c:v>70118.746719018338</c:v>
                </c:pt>
                <c:pt idx="24">
                  <c:v>701187.46719018335</c:v>
                </c:pt>
                <c:pt idx="25">
                  <c:v>7011874.6719018342</c:v>
                </c:pt>
                <c:pt idx="26">
                  <c:v>70118746.71901834</c:v>
                </c:pt>
                <c:pt idx="27">
                  <c:v>701187467.1901834</c:v>
                </c:pt>
                <c:pt idx="28">
                  <c:v>7011874671.9018335</c:v>
                </c:pt>
                <c:pt idx="29">
                  <c:v>70118746719.018341</c:v>
                </c:pt>
                <c:pt idx="30">
                  <c:v>701187467190.18335</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8.2847198649309814E-18</c:v>
                </c:pt>
                <c:pt idx="1">
                  <c:v>8.2847198649309811E-17</c:v>
                </c:pt>
                <c:pt idx="2">
                  <c:v>8.2847198649309811E-16</c:v>
                </c:pt>
                <c:pt idx="3">
                  <c:v>8.2847198649309813E-15</c:v>
                </c:pt>
                <c:pt idx="4">
                  <c:v>8.2847198649309803E-14</c:v>
                </c:pt>
                <c:pt idx="5">
                  <c:v>8.2847198649309808E-13</c:v>
                </c:pt>
                <c:pt idx="6">
                  <c:v>8.2847198649309818E-12</c:v>
                </c:pt>
                <c:pt idx="7">
                  <c:v>8.2847198649309809E-11</c:v>
                </c:pt>
                <c:pt idx="8">
                  <c:v>8.2847198649309811E-10</c:v>
                </c:pt>
                <c:pt idx="9">
                  <c:v>8.2847198649309809E-9</c:v>
                </c:pt>
                <c:pt idx="10">
                  <c:v>8.2847198649309812E-8</c:v>
                </c:pt>
                <c:pt idx="11">
                  <c:v>8.2847198649309812E-7</c:v>
                </c:pt>
                <c:pt idx="12">
                  <c:v>8.2847198649309812E-6</c:v>
                </c:pt>
                <c:pt idx="13">
                  <c:v>8.2847198649309812E-5</c:v>
                </c:pt>
                <c:pt idx="14">
                  <c:v>8.2847198649309815E-4</c:v>
                </c:pt>
                <c:pt idx="15">
                  <c:v>8.2847198649309804E-3</c:v>
                </c:pt>
                <c:pt idx="16">
                  <c:v>8.2847198649309811E-2</c:v>
                </c:pt>
                <c:pt idx="17">
                  <c:v>0.82847198649309806</c:v>
                </c:pt>
                <c:pt idx="18">
                  <c:v>8.284719864930981</c:v>
                </c:pt>
                <c:pt idx="19">
                  <c:v>82.847198649309803</c:v>
                </c:pt>
                <c:pt idx="20">
                  <c:v>828.47198649309814</c:v>
                </c:pt>
                <c:pt idx="21">
                  <c:v>8284.7198649309812</c:v>
                </c:pt>
                <c:pt idx="22">
                  <c:v>82847.198649309808</c:v>
                </c:pt>
                <c:pt idx="23">
                  <c:v>828471.98649309808</c:v>
                </c:pt>
                <c:pt idx="24">
                  <c:v>8284719.8649309808</c:v>
                </c:pt>
                <c:pt idx="25">
                  <c:v>82847198.649309814</c:v>
                </c:pt>
                <c:pt idx="26">
                  <c:v>828471986.49309814</c:v>
                </c:pt>
                <c:pt idx="27">
                  <c:v>8284719864.9309807</c:v>
                </c:pt>
                <c:pt idx="28">
                  <c:v>82847198649.309814</c:v>
                </c:pt>
                <c:pt idx="29">
                  <c:v>828471986493.09814</c:v>
                </c:pt>
                <c:pt idx="30">
                  <c:v>8284719864930.9814</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7.1345871276069284E-17</c:v>
                </c:pt>
                <c:pt idx="1">
                  <c:v>7.1345871276069279E-16</c:v>
                </c:pt>
                <c:pt idx="2">
                  <c:v>7.1345871276069285E-15</c:v>
                </c:pt>
                <c:pt idx="3">
                  <c:v>7.1345871276069269E-14</c:v>
                </c:pt>
                <c:pt idx="4">
                  <c:v>7.1345871276069269E-13</c:v>
                </c:pt>
                <c:pt idx="5">
                  <c:v>7.1345871276069281E-12</c:v>
                </c:pt>
                <c:pt idx="6">
                  <c:v>7.1345871276069286E-11</c:v>
                </c:pt>
                <c:pt idx="7">
                  <c:v>7.1345871276069273E-10</c:v>
                </c:pt>
                <c:pt idx="8">
                  <c:v>7.1345871276069269E-9</c:v>
                </c:pt>
                <c:pt idx="9">
                  <c:v>7.1345871276069271E-8</c:v>
                </c:pt>
                <c:pt idx="10">
                  <c:v>7.1345871276069284E-7</c:v>
                </c:pt>
                <c:pt idx="11">
                  <c:v>7.1345871276069277E-6</c:v>
                </c:pt>
                <c:pt idx="12">
                  <c:v>7.1345871276069279E-5</c:v>
                </c:pt>
                <c:pt idx="13">
                  <c:v>7.1345871276069274E-4</c:v>
                </c:pt>
                <c:pt idx="14">
                  <c:v>7.134587127606928E-3</c:v>
                </c:pt>
                <c:pt idx="15">
                  <c:v>7.134587127606927E-2</c:v>
                </c:pt>
                <c:pt idx="16">
                  <c:v>0.71345871276069273</c:v>
                </c:pt>
                <c:pt idx="17">
                  <c:v>7.1345871276069275</c:v>
                </c:pt>
                <c:pt idx="18">
                  <c:v>71.345871276069275</c:v>
                </c:pt>
                <c:pt idx="19">
                  <c:v>713.45871276069272</c:v>
                </c:pt>
                <c:pt idx="20">
                  <c:v>7134.5871276069274</c:v>
                </c:pt>
                <c:pt idx="21">
                  <c:v>71345.871276069272</c:v>
                </c:pt>
                <c:pt idx="22">
                  <c:v>713458.7127606927</c:v>
                </c:pt>
                <c:pt idx="23">
                  <c:v>7134587.1276069274</c:v>
                </c:pt>
                <c:pt idx="24">
                  <c:v>71345871.276069269</c:v>
                </c:pt>
                <c:pt idx="25">
                  <c:v>713458712.76069272</c:v>
                </c:pt>
                <c:pt idx="26">
                  <c:v>7134587127.6069279</c:v>
                </c:pt>
                <c:pt idx="27">
                  <c:v>71345871276.069275</c:v>
                </c:pt>
                <c:pt idx="28">
                  <c:v>713458712760.69275</c:v>
                </c:pt>
                <c:pt idx="29">
                  <c:v>7134587127606.9277</c:v>
                </c:pt>
                <c:pt idx="30">
                  <c:v>71345871276069.281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1.5223721387712849E-13</c:v>
                </c:pt>
                <c:pt idx="1">
                  <c:v>1.5223721387712848E-12</c:v>
                </c:pt>
                <c:pt idx="2">
                  <c:v>1.5223721387712849E-11</c:v>
                </c:pt>
                <c:pt idx="3">
                  <c:v>1.5223721387712849E-10</c:v>
                </c:pt>
                <c:pt idx="4">
                  <c:v>1.5223721387712846E-9</c:v>
                </c:pt>
                <c:pt idx="5">
                  <c:v>1.5223721387712849E-8</c:v>
                </c:pt>
                <c:pt idx="6">
                  <c:v>1.522372138771285E-7</c:v>
                </c:pt>
                <c:pt idx="7">
                  <c:v>1.5223721387712849E-6</c:v>
                </c:pt>
                <c:pt idx="8">
                  <c:v>1.5223721387712847E-5</c:v>
                </c:pt>
                <c:pt idx="9">
                  <c:v>1.5223721387712846E-4</c:v>
                </c:pt>
                <c:pt idx="10">
                  <c:v>1.522372138771285E-3</c:v>
                </c:pt>
                <c:pt idx="11">
                  <c:v>1.5223721387712849E-2</c:v>
                </c:pt>
                <c:pt idx="12">
                  <c:v>0.15223721387712849</c:v>
                </c:pt>
                <c:pt idx="13">
                  <c:v>1.5223721387712847</c:v>
                </c:pt>
                <c:pt idx="14">
                  <c:v>15.22372138771285</c:v>
                </c:pt>
                <c:pt idx="15">
                  <c:v>152.23721387712848</c:v>
                </c:pt>
                <c:pt idx="16">
                  <c:v>1522.3721387712849</c:v>
                </c:pt>
                <c:pt idx="17">
                  <c:v>15223.721387712849</c:v>
                </c:pt>
                <c:pt idx="18">
                  <c:v>152237.21387712847</c:v>
                </c:pt>
                <c:pt idx="19">
                  <c:v>1522372.1387712848</c:v>
                </c:pt>
                <c:pt idx="20">
                  <c:v>15223721.387712847</c:v>
                </c:pt>
                <c:pt idx="21">
                  <c:v>152237213.87712848</c:v>
                </c:pt>
                <c:pt idx="22">
                  <c:v>1522372138.7712848</c:v>
                </c:pt>
                <c:pt idx="23">
                  <c:v>15223721387.712849</c:v>
                </c:pt>
                <c:pt idx="24">
                  <c:v>152237213877.12848</c:v>
                </c:pt>
                <c:pt idx="25">
                  <c:v>1522372138771.2849</c:v>
                </c:pt>
                <c:pt idx="26">
                  <c:v>15223721387712.848</c:v>
                </c:pt>
                <c:pt idx="27">
                  <c:v>152237213877128.47</c:v>
                </c:pt>
                <c:pt idx="28">
                  <c:v>1522372138771284.7</c:v>
                </c:pt>
                <c:pt idx="29">
                  <c:v>1.5223721387712848E+16</c:v>
                </c:pt>
                <c:pt idx="30">
                  <c:v>1.5223721387712848E+17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2.0074701400814706E-11</c:v>
                </c:pt>
                <c:pt idx="1">
                  <c:v>2.0074701400814706E-10</c:v>
                </c:pt>
                <c:pt idx="2">
                  <c:v>2.0074701400814704E-9</c:v>
                </c:pt>
                <c:pt idx="3">
                  <c:v>2.0074701400814704E-8</c:v>
                </c:pt>
                <c:pt idx="4">
                  <c:v>2.0074701400814704E-7</c:v>
                </c:pt>
                <c:pt idx="5">
                  <c:v>2.0074701400814705E-6</c:v>
                </c:pt>
                <c:pt idx="6">
                  <c:v>2.0074701400814705E-5</c:v>
                </c:pt>
                <c:pt idx="7">
                  <c:v>2.0074701400814705E-4</c:v>
                </c:pt>
                <c:pt idx="8">
                  <c:v>2.0074701400814702E-3</c:v>
                </c:pt>
                <c:pt idx="9">
                  <c:v>2.0074701400814705E-2</c:v>
                </c:pt>
                <c:pt idx="10">
                  <c:v>0.20074701400814707</c:v>
                </c:pt>
                <c:pt idx="11">
                  <c:v>2.0074701400814705</c:v>
                </c:pt>
                <c:pt idx="12">
                  <c:v>20.074701400814707</c:v>
                </c:pt>
                <c:pt idx="13">
                  <c:v>200.74701400814706</c:v>
                </c:pt>
                <c:pt idx="14">
                  <c:v>2007.4701400814706</c:v>
                </c:pt>
                <c:pt idx="15">
                  <c:v>20074.701400814705</c:v>
                </c:pt>
                <c:pt idx="16">
                  <c:v>200747.01400814706</c:v>
                </c:pt>
                <c:pt idx="17">
                  <c:v>2007470.1400814706</c:v>
                </c:pt>
                <c:pt idx="18">
                  <c:v>20074701.400814705</c:v>
                </c:pt>
                <c:pt idx="19">
                  <c:v>200747014.00814706</c:v>
                </c:pt>
                <c:pt idx="20">
                  <c:v>2007470140.0814705</c:v>
                </c:pt>
                <c:pt idx="21">
                  <c:v>20074701400.814705</c:v>
                </c:pt>
                <c:pt idx="22">
                  <c:v>200747014008.14706</c:v>
                </c:pt>
                <c:pt idx="23">
                  <c:v>2007470140081.4705</c:v>
                </c:pt>
                <c:pt idx="24">
                  <c:v>20074701400814.703</c:v>
                </c:pt>
                <c:pt idx="25">
                  <c:v>200747014008147.06</c:v>
                </c:pt>
                <c:pt idx="26">
                  <c:v>2007470140081470.5</c:v>
                </c:pt>
                <c:pt idx="27">
                  <c:v>2.0074701400814704E+16</c:v>
                </c:pt>
                <c:pt idx="28">
                  <c:v>2.0074701400814704E+17</c:v>
                </c:pt>
                <c:pt idx="29">
                  <c:v>2.0074701400814705E+18</c:v>
                </c:pt>
                <c:pt idx="30">
                  <c:v>2.0074701400814707E+19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8440400"/>
        <c:axId val="448440792"/>
      </c:scatterChart>
      <c:valAx>
        <c:axId val="4484404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792"/>
        <c:crosses val="autoZero"/>
        <c:crossBetween val="midCat"/>
      </c:valAx>
      <c:valAx>
        <c:axId val="448440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4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1.3582948410409256E-20</c:v>
                </c:pt>
                <c:pt idx="1">
                  <c:v>1.3582948410409254E-19</c:v>
                </c:pt>
                <c:pt idx="2">
                  <c:v>1.3582948410409256E-18</c:v>
                </c:pt>
                <c:pt idx="3">
                  <c:v>1.3582948410409254E-17</c:v>
                </c:pt>
                <c:pt idx="4">
                  <c:v>1.3582948410409254E-16</c:v>
                </c:pt>
                <c:pt idx="5">
                  <c:v>1.3582948410409256E-15</c:v>
                </c:pt>
                <c:pt idx="6">
                  <c:v>1.3582948410409256E-14</c:v>
                </c:pt>
                <c:pt idx="7">
                  <c:v>1.3582948410409256E-13</c:v>
                </c:pt>
                <c:pt idx="8">
                  <c:v>1.3582948410409254E-12</c:v>
                </c:pt>
                <c:pt idx="9">
                  <c:v>1.3582948410409254E-11</c:v>
                </c:pt>
                <c:pt idx="10">
                  <c:v>1.3582948410409256E-10</c:v>
                </c:pt>
                <c:pt idx="11">
                  <c:v>1.3582948410409255E-9</c:v>
                </c:pt>
                <c:pt idx="12">
                  <c:v>1.3582948410409256E-8</c:v>
                </c:pt>
                <c:pt idx="13">
                  <c:v>1.3582948410409254E-7</c:v>
                </c:pt>
                <c:pt idx="14">
                  <c:v>1.3582948410409255E-6</c:v>
                </c:pt>
                <c:pt idx="15">
                  <c:v>1.3582948410409255E-5</c:v>
                </c:pt>
                <c:pt idx="16">
                  <c:v>1.3582948410409255E-4</c:v>
                </c:pt>
                <c:pt idx="17">
                  <c:v>1.3582948410409254E-3</c:v>
                </c:pt>
                <c:pt idx="18">
                  <c:v>1.3582948410409254E-2</c:v>
                </c:pt>
                <c:pt idx="19">
                  <c:v>0.13582948410409254</c:v>
                </c:pt>
                <c:pt idx="20">
                  <c:v>1.3582948410409255</c:v>
                </c:pt>
                <c:pt idx="21">
                  <c:v>13.582948410409255</c:v>
                </c:pt>
                <c:pt idx="22">
                  <c:v>135.82948410409256</c:v>
                </c:pt>
                <c:pt idx="23">
                  <c:v>1358.2948410409256</c:v>
                </c:pt>
                <c:pt idx="24">
                  <c:v>13582.948410409255</c:v>
                </c:pt>
                <c:pt idx="25">
                  <c:v>135829.48410409255</c:v>
                </c:pt>
                <c:pt idx="26">
                  <c:v>1358294.8410409256</c:v>
                </c:pt>
                <c:pt idx="27">
                  <c:v>13582948.410409255</c:v>
                </c:pt>
                <c:pt idx="28">
                  <c:v>135829484.10409254</c:v>
                </c:pt>
                <c:pt idx="29">
                  <c:v>1358294841.0409255</c:v>
                </c:pt>
                <c:pt idx="30">
                  <c:v>13582948410.409254</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7.0118746719018344E-19</c:v>
                </c:pt>
                <c:pt idx="1">
                  <c:v>7.0118746719018336E-18</c:v>
                </c:pt>
                <c:pt idx="2">
                  <c:v>7.0118746719018346E-17</c:v>
                </c:pt>
                <c:pt idx="3">
                  <c:v>7.0118746719018338E-16</c:v>
                </c:pt>
                <c:pt idx="4">
                  <c:v>7.0118746719018332E-15</c:v>
                </c:pt>
                <c:pt idx="5">
                  <c:v>7.0118746719018348E-14</c:v>
                </c:pt>
                <c:pt idx="6">
                  <c:v>7.0118746719018346E-13</c:v>
                </c:pt>
                <c:pt idx="7">
                  <c:v>7.0118746719018338E-12</c:v>
                </c:pt>
                <c:pt idx="8">
                  <c:v>7.0118746719018333E-11</c:v>
                </c:pt>
                <c:pt idx="9">
                  <c:v>7.011874671901834E-10</c:v>
                </c:pt>
                <c:pt idx="10">
                  <c:v>7.0118746719018342E-9</c:v>
                </c:pt>
                <c:pt idx="11">
                  <c:v>7.0118746719018342E-8</c:v>
                </c:pt>
                <c:pt idx="12">
                  <c:v>7.0118746719018337E-7</c:v>
                </c:pt>
                <c:pt idx="13">
                  <c:v>7.0118746719018341E-6</c:v>
                </c:pt>
                <c:pt idx="14">
                  <c:v>7.0118746719018347E-5</c:v>
                </c:pt>
                <c:pt idx="15">
                  <c:v>7.0118746719018338E-4</c:v>
                </c:pt>
                <c:pt idx="16">
                  <c:v>7.0118746719018341E-3</c:v>
                </c:pt>
                <c:pt idx="17">
                  <c:v>7.0118746719018341E-2</c:v>
                </c:pt>
                <c:pt idx="18">
                  <c:v>0.70118746719018343</c:v>
                </c:pt>
                <c:pt idx="19">
                  <c:v>7.0118746719018343</c:v>
                </c:pt>
                <c:pt idx="20">
                  <c:v>70.118746719018347</c:v>
                </c:pt>
                <c:pt idx="21">
                  <c:v>701.18746719018338</c:v>
                </c:pt>
                <c:pt idx="22">
                  <c:v>7011.8746719018336</c:v>
                </c:pt>
                <c:pt idx="23">
                  <c:v>70118.746719018338</c:v>
                </c:pt>
                <c:pt idx="24">
                  <c:v>701187.46719018335</c:v>
                </c:pt>
                <c:pt idx="25">
                  <c:v>7011874.6719018342</c:v>
                </c:pt>
                <c:pt idx="26">
                  <c:v>70118746.71901834</c:v>
                </c:pt>
                <c:pt idx="27">
                  <c:v>701187467.1901834</c:v>
                </c:pt>
                <c:pt idx="28">
                  <c:v>7011874671.9018335</c:v>
                </c:pt>
                <c:pt idx="29">
                  <c:v>70118746719.018341</c:v>
                </c:pt>
                <c:pt idx="30">
                  <c:v>701187467190.18335</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8.2847198649309814E-18</c:v>
                </c:pt>
                <c:pt idx="1">
                  <c:v>8.2847198649309811E-17</c:v>
                </c:pt>
                <c:pt idx="2">
                  <c:v>8.2847198649309811E-16</c:v>
                </c:pt>
                <c:pt idx="3">
                  <c:v>8.2847198649309813E-15</c:v>
                </c:pt>
                <c:pt idx="4">
                  <c:v>8.2847198649309803E-14</c:v>
                </c:pt>
                <c:pt idx="5">
                  <c:v>8.2847198649309808E-13</c:v>
                </c:pt>
                <c:pt idx="6">
                  <c:v>8.2847198649309818E-12</c:v>
                </c:pt>
                <c:pt idx="7">
                  <c:v>8.2847198649309809E-11</c:v>
                </c:pt>
                <c:pt idx="8">
                  <c:v>8.2847198649309811E-10</c:v>
                </c:pt>
                <c:pt idx="9">
                  <c:v>8.2847198649309809E-9</c:v>
                </c:pt>
                <c:pt idx="10">
                  <c:v>8.2847198649309812E-8</c:v>
                </c:pt>
                <c:pt idx="11">
                  <c:v>8.2847198649309812E-7</c:v>
                </c:pt>
                <c:pt idx="12">
                  <c:v>8.2847198649309812E-6</c:v>
                </c:pt>
                <c:pt idx="13">
                  <c:v>8.2847198649309812E-5</c:v>
                </c:pt>
                <c:pt idx="14">
                  <c:v>8.2847198649309815E-4</c:v>
                </c:pt>
                <c:pt idx="15">
                  <c:v>8.2847198649309804E-3</c:v>
                </c:pt>
                <c:pt idx="16">
                  <c:v>8.2847198649309811E-2</c:v>
                </c:pt>
                <c:pt idx="17">
                  <c:v>0.82847198649309806</c:v>
                </c:pt>
                <c:pt idx="18">
                  <c:v>8.284719864930981</c:v>
                </c:pt>
                <c:pt idx="19">
                  <c:v>82.847198649309803</c:v>
                </c:pt>
                <c:pt idx="20">
                  <c:v>828.47198649309814</c:v>
                </c:pt>
                <c:pt idx="21">
                  <c:v>8284.7198649309812</c:v>
                </c:pt>
                <c:pt idx="22">
                  <c:v>82847.198649309808</c:v>
                </c:pt>
                <c:pt idx="23">
                  <c:v>828471.98649309808</c:v>
                </c:pt>
                <c:pt idx="24">
                  <c:v>8284719.8649309808</c:v>
                </c:pt>
                <c:pt idx="25">
                  <c:v>82847198.649309814</c:v>
                </c:pt>
                <c:pt idx="26">
                  <c:v>828471986.49309814</c:v>
                </c:pt>
                <c:pt idx="27">
                  <c:v>8284719864.9309807</c:v>
                </c:pt>
                <c:pt idx="28">
                  <c:v>82847198649.309814</c:v>
                </c:pt>
                <c:pt idx="29">
                  <c:v>828471986493.09814</c:v>
                </c:pt>
                <c:pt idx="30">
                  <c:v>8284719864930.9814</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7.1345871276069284E-17</c:v>
                </c:pt>
                <c:pt idx="1">
                  <c:v>7.1345871276069279E-16</c:v>
                </c:pt>
                <c:pt idx="2">
                  <c:v>7.1345871276069285E-15</c:v>
                </c:pt>
                <c:pt idx="3">
                  <c:v>7.1345871276069269E-14</c:v>
                </c:pt>
                <c:pt idx="4">
                  <c:v>7.1345871276069269E-13</c:v>
                </c:pt>
                <c:pt idx="5">
                  <c:v>7.1345871276069281E-12</c:v>
                </c:pt>
                <c:pt idx="6">
                  <c:v>7.1345871276069286E-11</c:v>
                </c:pt>
                <c:pt idx="7">
                  <c:v>7.1345871276069273E-10</c:v>
                </c:pt>
                <c:pt idx="8">
                  <c:v>7.1345871276069269E-9</c:v>
                </c:pt>
                <c:pt idx="9">
                  <c:v>7.1345871276069271E-8</c:v>
                </c:pt>
                <c:pt idx="10">
                  <c:v>7.1345871276069284E-7</c:v>
                </c:pt>
                <c:pt idx="11">
                  <c:v>7.1345871276069277E-6</c:v>
                </c:pt>
                <c:pt idx="12">
                  <c:v>7.1345871276069279E-5</c:v>
                </c:pt>
                <c:pt idx="13">
                  <c:v>7.1345871276069274E-4</c:v>
                </c:pt>
                <c:pt idx="14">
                  <c:v>7.134587127606928E-3</c:v>
                </c:pt>
                <c:pt idx="15">
                  <c:v>7.134587127606927E-2</c:v>
                </c:pt>
                <c:pt idx="16">
                  <c:v>0.71345871276069273</c:v>
                </c:pt>
                <c:pt idx="17">
                  <c:v>7.1345871276069275</c:v>
                </c:pt>
                <c:pt idx="18">
                  <c:v>71.345871276069275</c:v>
                </c:pt>
                <c:pt idx="19">
                  <c:v>713.45871276069272</c:v>
                </c:pt>
                <c:pt idx="20">
                  <c:v>7134.5871276069274</c:v>
                </c:pt>
                <c:pt idx="21">
                  <c:v>71345.871276069272</c:v>
                </c:pt>
                <c:pt idx="22">
                  <c:v>713458.7127606927</c:v>
                </c:pt>
                <c:pt idx="23">
                  <c:v>7134587.1276069274</c:v>
                </c:pt>
                <c:pt idx="24">
                  <c:v>71345871.276069269</c:v>
                </c:pt>
                <c:pt idx="25">
                  <c:v>713458712.76069272</c:v>
                </c:pt>
                <c:pt idx="26">
                  <c:v>7134587127.6069279</c:v>
                </c:pt>
                <c:pt idx="27">
                  <c:v>71345871276.069275</c:v>
                </c:pt>
                <c:pt idx="28">
                  <c:v>713458712760.69275</c:v>
                </c:pt>
                <c:pt idx="29">
                  <c:v>7134587127606.9277</c:v>
                </c:pt>
                <c:pt idx="30">
                  <c:v>71345871276069.281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1.5223721387712849E-13</c:v>
                </c:pt>
                <c:pt idx="1">
                  <c:v>1.5223721387712848E-12</c:v>
                </c:pt>
                <c:pt idx="2">
                  <c:v>1.5223721387712849E-11</c:v>
                </c:pt>
                <c:pt idx="3">
                  <c:v>1.5223721387712849E-10</c:v>
                </c:pt>
                <c:pt idx="4">
                  <c:v>1.5223721387712846E-9</c:v>
                </c:pt>
                <c:pt idx="5">
                  <c:v>1.5223721387712849E-8</c:v>
                </c:pt>
                <c:pt idx="6">
                  <c:v>1.522372138771285E-7</c:v>
                </c:pt>
                <c:pt idx="7">
                  <c:v>1.5223721387712849E-6</c:v>
                </c:pt>
                <c:pt idx="8">
                  <c:v>1.5223721387712847E-5</c:v>
                </c:pt>
                <c:pt idx="9">
                  <c:v>1.5223721387712846E-4</c:v>
                </c:pt>
                <c:pt idx="10">
                  <c:v>1.522372138771285E-3</c:v>
                </c:pt>
                <c:pt idx="11">
                  <c:v>1.5223721387712849E-2</c:v>
                </c:pt>
                <c:pt idx="12">
                  <c:v>0.15223721387712849</c:v>
                </c:pt>
                <c:pt idx="13">
                  <c:v>1.5223721387712847</c:v>
                </c:pt>
                <c:pt idx="14">
                  <c:v>15.22372138771285</c:v>
                </c:pt>
                <c:pt idx="15">
                  <c:v>152.23721387712848</c:v>
                </c:pt>
                <c:pt idx="16">
                  <c:v>1522.3721387712849</c:v>
                </c:pt>
                <c:pt idx="17">
                  <c:v>15223.721387712849</c:v>
                </c:pt>
                <c:pt idx="18">
                  <c:v>152237.21387712847</c:v>
                </c:pt>
                <c:pt idx="19">
                  <c:v>1522372.1387712848</c:v>
                </c:pt>
                <c:pt idx="20">
                  <c:v>15223721.387712847</c:v>
                </c:pt>
                <c:pt idx="21">
                  <c:v>152237213.87712848</c:v>
                </c:pt>
                <c:pt idx="22">
                  <c:v>1522372138.7712848</c:v>
                </c:pt>
                <c:pt idx="23">
                  <c:v>15223721387.712849</c:v>
                </c:pt>
                <c:pt idx="24">
                  <c:v>152237213877.12848</c:v>
                </c:pt>
                <c:pt idx="25">
                  <c:v>1522372138771.2849</c:v>
                </c:pt>
                <c:pt idx="26">
                  <c:v>15223721387712.848</c:v>
                </c:pt>
                <c:pt idx="27">
                  <c:v>152237213877128.47</c:v>
                </c:pt>
                <c:pt idx="28">
                  <c:v>1522372138771284.7</c:v>
                </c:pt>
                <c:pt idx="29">
                  <c:v>1.5223721387712848E+16</c:v>
                </c:pt>
                <c:pt idx="30">
                  <c:v>1.5223721387712848E+17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2.0074701400814706E-11</c:v>
                </c:pt>
                <c:pt idx="1">
                  <c:v>2.0074701400814706E-10</c:v>
                </c:pt>
                <c:pt idx="2">
                  <c:v>2.0074701400814704E-9</c:v>
                </c:pt>
                <c:pt idx="3">
                  <c:v>2.0074701400814704E-8</c:v>
                </c:pt>
                <c:pt idx="4">
                  <c:v>2.0074701400814704E-7</c:v>
                </c:pt>
                <c:pt idx="5">
                  <c:v>2.0074701400814705E-6</c:v>
                </c:pt>
                <c:pt idx="6">
                  <c:v>2.0074701400814705E-5</c:v>
                </c:pt>
                <c:pt idx="7">
                  <c:v>2.0074701400814705E-4</c:v>
                </c:pt>
                <c:pt idx="8">
                  <c:v>2.0074701400814702E-3</c:v>
                </c:pt>
                <c:pt idx="9">
                  <c:v>2.0074701400814705E-2</c:v>
                </c:pt>
                <c:pt idx="10">
                  <c:v>0.20074701400814707</c:v>
                </c:pt>
                <c:pt idx="11">
                  <c:v>2.0074701400814705</c:v>
                </c:pt>
                <c:pt idx="12">
                  <c:v>20.074701400814707</c:v>
                </c:pt>
                <c:pt idx="13">
                  <c:v>200.74701400814706</c:v>
                </c:pt>
                <c:pt idx="14">
                  <c:v>2007.4701400814706</c:v>
                </c:pt>
                <c:pt idx="15">
                  <c:v>20074.701400814705</c:v>
                </c:pt>
                <c:pt idx="16">
                  <c:v>200747.01400814706</c:v>
                </c:pt>
                <c:pt idx="17">
                  <c:v>2007470.1400814706</c:v>
                </c:pt>
                <c:pt idx="18">
                  <c:v>20074701.400814705</c:v>
                </c:pt>
                <c:pt idx="19">
                  <c:v>200747014.00814706</c:v>
                </c:pt>
                <c:pt idx="20">
                  <c:v>2007470140.0814705</c:v>
                </c:pt>
                <c:pt idx="21">
                  <c:v>20074701400.814705</c:v>
                </c:pt>
                <c:pt idx="22">
                  <c:v>200747014008.14706</c:v>
                </c:pt>
                <c:pt idx="23">
                  <c:v>2007470140081.4705</c:v>
                </c:pt>
                <c:pt idx="24">
                  <c:v>20074701400814.703</c:v>
                </c:pt>
                <c:pt idx="25">
                  <c:v>200747014008147.06</c:v>
                </c:pt>
                <c:pt idx="26">
                  <c:v>2007470140081470.5</c:v>
                </c:pt>
                <c:pt idx="27">
                  <c:v>2.0074701400814704E+16</c:v>
                </c:pt>
                <c:pt idx="28">
                  <c:v>2.0074701400814704E+17</c:v>
                </c:pt>
                <c:pt idx="29">
                  <c:v>2.0074701400814705E+18</c:v>
                </c:pt>
                <c:pt idx="30">
                  <c:v>2.0074701400814707E+19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9251.8682861384877</c:v>
                </c:pt>
                <c:pt idx="1">
                  <c:v>9251.8682861384877</c:v>
                </c:pt>
                <c:pt idx="2">
                  <c:v>9251.8682861384877</c:v>
                </c:pt>
                <c:pt idx="3">
                  <c:v>9251.8682861384877</c:v>
                </c:pt>
                <c:pt idx="4">
                  <c:v>9251.8682861384877</c:v>
                </c:pt>
                <c:pt idx="5">
                  <c:v>9251.8682861384877</c:v>
                </c:pt>
                <c:pt idx="6">
                  <c:v>9251.8682861384877</c:v>
                </c:pt>
                <c:pt idx="7">
                  <c:v>8917.1568702061377</c:v>
                </c:pt>
                <c:pt idx="8">
                  <c:v>8535.3590516167569</c:v>
                </c:pt>
                <c:pt idx="9">
                  <c:v>8148.0836522453683</c:v>
                </c:pt>
                <c:pt idx="10">
                  <c:v>7813.7695933146406</c:v>
                </c:pt>
                <c:pt idx="11">
                  <c:v>7529.2127676484961</c:v>
                </c:pt>
                <c:pt idx="12">
                  <c:v>7250.5864526226242</c:v>
                </c:pt>
                <c:pt idx="13">
                  <c:v>6909.5770929565988</c:v>
                </c:pt>
                <c:pt idx="14">
                  <c:v>6619.3807728650027</c:v>
                </c:pt>
                <c:pt idx="15">
                  <c:v>6152.7765479292475</c:v>
                </c:pt>
                <c:pt idx="16">
                  <c:v>5534.0924749630894</c:v>
                </c:pt>
                <c:pt idx="17">
                  <c:v>4761.6124933919618</c:v>
                </c:pt>
                <c:pt idx="18">
                  <c:v>3991.5151760664094</c:v>
                </c:pt>
                <c:pt idx="19">
                  <c:v>3221.4293084721198</c:v>
                </c:pt>
                <c:pt idx="20">
                  <c:v>2340.6624240744027</c:v>
                </c:pt>
                <c:pt idx="21">
                  <c:v>1600.7906091045293</c:v>
                </c:pt>
                <c:pt idx="22">
                  <c:v>1055.9245277054724</c:v>
                </c:pt>
                <c:pt idx="23">
                  <c:v>730.09820628828561</c:v>
                </c:pt>
                <c:pt idx="24">
                  <c:v>562.20924765160123</c:v>
                </c:pt>
                <c:pt idx="25">
                  <c:v>562.20924765160123</c:v>
                </c:pt>
                <c:pt idx="26">
                  <c:v>562.20924765160123</c:v>
                </c:pt>
                <c:pt idx="27">
                  <c:v>562.20924765160123</c:v>
                </c:pt>
                <c:pt idx="28">
                  <c:v>562.20924765160123</c:v>
                </c:pt>
                <c:pt idx="29">
                  <c:v>562.20924765160123</c:v>
                </c:pt>
                <c:pt idx="30">
                  <c:v>562.20924765160123</c:v>
                </c:pt>
              </c:numCache>
            </c:numRef>
          </c:yVal>
          <c:smooth val="1"/>
        </c:ser>
        <c:dLbls>
          <c:showLegendKey val="0"/>
          <c:showVal val="0"/>
          <c:showCatName val="0"/>
          <c:showSerName val="0"/>
          <c:showPercent val="0"/>
          <c:showBubbleSize val="0"/>
        </c:dLbls>
        <c:axId val="448434912"/>
        <c:axId val="448441576"/>
      </c:scatterChart>
      <c:valAx>
        <c:axId val="448434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576"/>
        <c:crosses val="autoZero"/>
        <c:crossBetween val="midCat"/>
      </c:valAx>
      <c:valAx>
        <c:axId val="448441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4912"/>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9251.8682861384877</c:v>
                </c:pt>
                <c:pt idx="1">
                  <c:v>9251.8682861384877</c:v>
                </c:pt>
                <c:pt idx="2">
                  <c:v>9251.8682861384877</c:v>
                </c:pt>
                <c:pt idx="3">
                  <c:v>9251.8682861384877</c:v>
                </c:pt>
                <c:pt idx="4">
                  <c:v>9251.8682861384877</c:v>
                </c:pt>
                <c:pt idx="5">
                  <c:v>9251.8682861384877</c:v>
                </c:pt>
                <c:pt idx="6">
                  <c:v>9251.8682861384877</c:v>
                </c:pt>
                <c:pt idx="7">
                  <c:v>8917.1568702061377</c:v>
                </c:pt>
                <c:pt idx="8">
                  <c:v>8535.3590516167569</c:v>
                </c:pt>
                <c:pt idx="9">
                  <c:v>8148.0836522453683</c:v>
                </c:pt>
                <c:pt idx="10">
                  <c:v>7813.7695933146406</c:v>
                </c:pt>
                <c:pt idx="11">
                  <c:v>7529.2127676484961</c:v>
                </c:pt>
                <c:pt idx="12">
                  <c:v>7250.5864526226242</c:v>
                </c:pt>
                <c:pt idx="13">
                  <c:v>6909.5770929565988</c:v>
                </c:pt>
                <c:pt idx="14">
                  <c:v>6619.3807728650027</c:v>
                </c:pt>
                <c:pt idx="15">
                  <c:v>6152.7765479292475</c:v>
                </c:pt>
                <c:pt idx="16">
                  <c:v>5534.0924749630894</c:v>
                </c:pt>
                <c:pt idx="17">
                  <c:v>4761.6124933919618</c:v>
                </c:pt>
                <c:pt idx="18">
                  <c:v>3991.5151760664094</c:v>
                </c:pt>
                <c:pt idx="19">
                  <c:v>3221.4293084721198</c:v>
                </c:pt>
                <c:pt idx="20">
                  <c:v>2340.6624240744027</c:v>
                </c:pt>
                <c:pt idx="21">
                  <c:v>1600.7906091045293</c:v>
                </c:pt>
                <c:pt idx="22">
                  <c:v>1055.9245277054724</c:v>
                </c:pt>
                <c:pt idx="23">
                  <c:v>730.09820628828561</c:v>
                </c:pt>
                <c:pt idx="24">
                  <c:v>562.20924765160123</c:v>
                </c:pt>
                <c:pt idx="25">
                  <c:v>562.20924765160123</c:v>
                </c:pt>
                <c:pt idx="26">
                  <c:v>562.20924765160123</c:v>
                </c:pt>
                <c:pt idx="27">
                  <c:v>562.20924765160123</c:v>
                </c:pt>
                <c:pt idx="28">
                  <c:v>562.20924765160123</c:v>
                </c:pt>
                <c:pt idx="29">
                  <c:v>562.20924765160123</c:v>
                </c:pt>
                <c:pt idx="30">
                  <c:v>562.20924765160123</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10389.689423091791</c:v>
                </c:pt>
                <c:pt idx="1">
                  <c:v>10301.394493229716</c:v>
                </c:pt>
                <c:pt idx="2">
                  <c:v>9968.4826434017177</c:v>
                </c:pt>
                <c:pt idx="3">
                  <c:v>9744.3518846060451</c:v>
                </c:pt>
                <c:pt idx="4">
                  <c:v>9485.6103224529616</c:v>
                </c:pt>
                <c:pt idx="5">
                  <c:v>9224.4112490873995</c:v>
                </c:pt>
                <c:pt idx="6">
                  <c:v>8983.4749759790539</c:v>
                </c:pt>
                <c:pt idx="7">
                  <c:v>8670.9169798996045</c:v>
                </c:pt>
                <c:pt idx="8">
                  <c:v>8317.4645726024064</c:v>
                </c:pt>
                <c:pt idx="9">
                  <c:v>7971.2724926535939</c:v>
                </c:pt>
                <c:pt idx="10">
                  <c:v>7677.9994104003599</c:v>
                </c:pt>
                <c:pt idx="11">
                  <c:v>7410.3288979453528</c:v>
                </c:pt>
                <c:pt idx="12">
                  <c:v>7124.3518748563811</c:v>
                </c:pt>
                <c:pt idx="13">
                  <c:v>6853.0235621155989</c:v>
                </c:pt>
                <c:pt idx="14">
                  <c:v>6565.1834399322606</c:v>
                </c:pt>
                <c:pt idx="15">
                  <c:v>6224.7521962445817</c:v>
                </c:pt>
                <c:pt idx="16">
                  <c:v>5686.8076251663142</c:v>
                </c:pt>
                <c:pt idx="17">
                  <c:v>4765.6682784467839</c:v>
                </c:pt>
                <c:pt idx="18">
                  <c:v>3747.3103094884427</c:v>
                </c:pt>
                <c:pt idx="19">
                  <c:v>2900.3437662539964</c:v>
                </c:pt>
                <c:pt idx="20">
                  <c:v>2207.7850730783443</c:v>
                </c:pt>
                <c:pt idx="21">
                  <c:v>1604.1689000321724</c:v>
                </c:pt>
                <c:pt idx="22">
                  <c:v>1123.4057056249392</c:v>
                </c:pt>
                <c:pt idx="23">
                  <c:v>780.7489264497126</c:v>
                </c:pt>
                <c:pt idx="24">
                  <c:v>582.02965837771114</c:v>
                </c:pt>
                <c:pt idx="25">
                  <c:v>477.41629308054667</c:v>
                </c:pt>
                <c:pt idx="26">
                  <c:v>428.34347878820876</c:v>
                </c:pt>
                <c:pt idx="27">
                  <c:v>398.61751916188354</c:v>
                </c:pt>
                <c:pt idx="28">
                  <c:v>385.28298248147991</c:v>
                </c:pt>
                <c:pt idx="29">
                  <c:v>372.88353508874008</c:v>
                </c:pt>
                <c:pt idx="30">
                  <c:v>356.84201242999154</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9259.4299850126572</c:v>
                </c:pt>
                <c:pt idx="1">
                  <c:v>9259.4294517358558</c:v>
                </c:pt>
                <c:pt idx="2">
                  <c:v>9259.4241190040757</c:v>
                </c:pt>
                <c:pt idx="3">
                  <c:v>9259.3707953082358</c:v>
                </c:pt>
                <c:pt idx="4">
                  <c:v>9258.8379203630957</c:v>
                </c:pt>
                <c:pt idx="5">
                  <c:v>9253.5451902141667</c:v>
                </c:pt>
                <c:pt idx="6">
                  <c:v>9204.0445496232478</c:v>
                </c:pt>
                <c:pt idx="7">
                  <c:v>8927.5401188928445</c:v>
                </c:pt>
                <c:pt idx="8">
                  <c:v>8532.5729579193267</c:v>
                </c:pt>
                <c:pt idx="9">
                  <c:v>8152.0503811339877</c:v>
                </c:pt>
                <c:pt idx="10">
                  <c:v>7807.0930590307698</c:v>
                </c:pt>
                <c:pt idx="11">
                  <c:v>7538.8634656106733</c:v>
                </c:pt>
                <c:pt idx="12">
                  <c:v>7238.7190318071725</c:v>
                </c:pt>
                <c:pt idx="13">
                  <c:v>6922.0376434984682</c:v>
                </c:pt>
                <c:pt idx="14">
                  <c:v>6608.1703988529653</c:v>
                </c:pt>
                <c:pt idx="15">
                  <c:v>6161.4437615835432</c:v>
                </c:pt>
                <c:pt idx="16">
                  <c:v>5528.3196760220981</c:v>
                </c:pt>
                <c:pt idx="17">
                  <c:v>4764.9319126986775</c:v>
                </c:pt>
                <c:pt idx="18">
                  <c:v>3989.8642608909072</c:v>
                </c:pt>
                <c:pt idx="19">
                  <c:v>3222.1406837945628</c:v>
                </c:pt>
                <c:pt idx="20">
                  <c:v>2340.3964261252763</c:v>
                </c:pt>
                <c:pt idx="21">
                  <c:v>1600.8775595899531</c:v>
                </c:pt>
                <c:pt idx="22">
                  <c:v>1055.8869374905705</c:v>
                </c:pt>
                <c:pt idx="23">
                  <c:v>730.13795367967327</c:v>
                </c:pt>
                <c:pt idx="24">
                  <c:v>562.22383472435831</c:v>
                </c:pt>
                <c:pt idx="25">
                  <c:v>562.20311090420796</c:v>
                </c:pt>
                <c:pt idx="26">
                  <c:v>562.20311090420796</c:v>
                </c:pt>
                <c:pt idx="27">
                  <c:v>562.20311090420796</c:v>
                </c:pt>
                <c:pt idx="28">
                  <c:v>562.20311090420796</c:v>
                </c:pt>
                <c:pt idx="29">
                  <c:v>562.20311090420796</c:v>
                </c:pt>
                <c:pt idx="30">
                  <c:v>562.20311090420796</c:v>
                </c:pt>
              </c:numCache>
            </c:numRef>
          </c:yVal>
          <c:smooth val="1"/>
        </c:ser>
        <c:dLbls>
          <c:showLegendKey val="0"/>
          <c:showVal val="0"/>
          <c:showCatName val="0"/>
          <c:showSerName val="0"/>
          <c:showPercent val="0"/>
          <c:showBubbleSize val="0"/>
        </c:dLbls>
        <c:axId val="448441184"/>
        <c:axId val="448441968"/>
      </c:scatterChart>
      <c:valAx>
        <c:axId val="448441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968"/>
        <c:crosses val="autoZero"/>
        <c:crossBetween val="midCat"/>
      </c:valAx>
      <c:valAx>
        <c:axId val="4484419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18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8.1731588045829459E-4</c:v>
                </c:pt>
                <c:pt idx="1">
                  <c:v>8.1725824055412161E-4</c:v>
                </c:pt>
                <c:pt idx="2">
                  <c:v>8.1668184542881895E-4</c:v>
                </c:pt>
                <c:pt idx="3">
                  <c:v>8.1091828566005018E-4</c:v>
                </c:pt>
                <c:pt idx="4">
                  <c:v>7.5332181663784854E-4</c:v>
                </c:pt>
                <c:pt idx="5">
                  <c:v>1.8125031872658412E-4</c:v>
                </c:pt>
                <c:pt idx="6">
                  <c:v>5.1690896407260078E-3</c:v>
                </c:pt>
                <c:pt idx="7">
                  <c:v>1.1644124733746848E-3</c:v>
                </c:pt>
                <c:pt idx="8">
                  <c:v>3.2641786720179298E-4</c:v>
                </c:pt>
                <c:pt idx="9">
                  <c:v>4.8682967160336996E-4</c:v>
                </c:pt>
                <c:pt idx="10">
                  <c:v>8.5445753219842919E-4</c:v>
                </c:pt>
                <c:pt idx="11">
                  <c:v>1.2817671993072524E-3</c:v>
                </c:pt>
                <c:pt idx="12">
                  <c:v>1.636753232720787E-3</c:v>
                </c:pt>
                <c:pt idx="13">
                  <c:v>1.8033738352194286E-3</c:v>
                </c:pt>
                <c:pt idx="14">
                  <c:v>1.693568386032779E-3</c:v>
                </c:pt>
                <c:pt idx="15">
                  <c:v>1.4086670605992779E-3</c:v>
                </c:pt>
                <c:pt idx="16">
                  <c:v>1.0431338050652798E-3</c:v>
                </c:pt>
                <c:pt idx="17">
                  <c:v>6.9712084116929835E-4</c:v>
                </c:pt>
                <c:pt idx="18">
                  <c:v>4.1360613768958154E-4</c:v>
                </c:pt>
                <c:pt idx="19">
                  <c:v>2.2082599191984567E-4</c:v>
                </c:pt>
                <c:pt idx="20">
                  <c:v>1.1364216658946251E-4</c:v>
                </c:pt>
                <c:pt idx="21">
                  <c:v>5.4317213587636227E-5</c:v>
                </c:pt>
                <c:pt idx="22">
                  <c:v>3.559933869856668E-5</c:v>
                </c:pt>
                <c:pt idx="23">
                  <c:v>5.444115742967489E-5</c:v>
                </c:pt>
                <c:pt idx="24">
                  <c:v>2.5945985090093149E-5</c:v>
                </c:pt>
                <c:pt idx="25">
                  <c:v>1.0915415246021429E-5</c:v>
                </c:pt>
                <c:pt idx="26">
                  <c:v>1.0915415246021429E-5</c:v>
                </c:pt>
                <c:pt idx="27">
                  <c:v>1.0915415246021429E-5</c:v>
                </c:pt>
                <c:pt idx="28">
                  <c:v>1.0915415246021429E-5</c:v>
                </c:pt>
                <c:pt idx="29">
                  <c:v>1.0915415246021429E-5</c:v>
                </c:pt>
                <c:pt idx="30">
                  <c:v>1.0915415246021429E-5</c:v>
                </c:pt>
              </c:numCache>
            </c:numRef>
          </c:yVal>
          <c:smooth val="1"/>
        </c:ser>
        <c:dLbls>
          <c:showLegendKey val="0"/>
          <c:showVal val="0"/>
          <c:showCatName val="0"/>
          <c:showSerName val="0"/>
          <c:showPercent val="0"/>
          <c:showBubbleSize val="0"/>
        </c:dLbls>
        <c:axId val="448440008"/>
        <c:axId val="448434520"/>
      </c:scatterChart>
      <c:valAx>
        <c:axId val="448440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4520"/>
        <c:crossesAt val="-1.5000000000000005E-3"/>
        <c:crossBetween val="midCat"/>
      </c:valAx>
      <c:valAx>
        <c:axId val="4484345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00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-11.206695345231019</c:v>
                </c:pt>
                <c:pt idx="1">
                  <c:v>-11.133003281522667</c:v>
                </c:pt>
                <c:pt idx="2">
                  <c:v>-11.059217758384815</c:v>
                </c:pt>
                <c:pt idx="3">
                  <c:v>-10.985245316387973</c:v>
                </c:pt>
                <c:pt idx="4">
                  <c:v>-10.910992496102633</c:v>
                </c:pt>
                <c:pt idx="5">
                  <c:v>-10.836365838099304</c:v>
                </c:pt>
                <c:pt idx="6">
                  <c:v>-10.761271882948483</c:v>
                </c:pt>
                <c:pt idx="7">
                  <c:v>-10.685617171220679</c:v>
                </c:pt>
                <c:pt idx="8">
                  <c:v>-10.609308243486389</c:v>
                </c:pt>
                <c:pt idx="9">
                  <c:v>-10.532251640316117</c:v>
                </c:pt>
                <c:pt idx="10">
                  <c:v>-10.454353902280367</c:v>
                </c:pt>
                <c:pt idx="11">
                  <c:v>-10.375521569949637</c:v>
                </c:pt>
                <c:pt idx="12">
                  <c:v>-10.295661183894435</c:v>
                </c:pt>
                <c:pt idx="13">
                  <c:v>-10.214679284685257</c:v>
                </c:pt>
                <c:pt idx="14">
                  <c:v>-10.132482412892609</c:v>
                </c:pt>
                <c:pt idx="15">
                  <c:v>-10.048977109086993</c:v>
                </c:pt>
                <c:pt idx="16">
                  <c:v>-9.9640699138389088</c:v>
                </c:pt>
                <c:pt idx="17">
                  <c:v>-9.877667367718864</c:v>
                </c:pt>
                <c:pt idx="18">
                  <c:v>-9.789676011297356</c:v>
                </c:pt>
                <c:pt idx="19">
                  <c:v>-9.7000023851448862</c:v>
                </c:pt>
                <c:pt idx="20">
                  <c:v>-9.6085530298319615</c:v>
                </c:pt>
                <c:pt idx="21">
                  <c:v>-9.5152344859290814</c:v>
                </c:pt>
                <c:pt idx="22">
                  <c:v>-9.4199532940067474</c:v>
                </c:pt>
                <c:pt idx="23">
                  <c:v>-9.3226159946354628</c:v>
                </c:pt>
                <c:pt idx="24">
                  <c:v>-9.2231291283857324</c:v>
                </c:pt>
                <c:pt idx="25">
                  <c:v>-9.1213992358280525</c:v>
                </c:pt>
                <c:pt idx="26">
                  <c:v>-9.0173328575329315</c:v>
                </c:pt>
                <c:pt idx="27">
                  <c:v>-8.9108365340708673</c:v>
                </c:pt>
                <c:pt idx="28">
                  <c:v>-8.8018168060123649</c:v>
                </c:pt>
                <c:pt idx="29">
                  <c:v>-8.6901802139279241</c:v>
                </c:pt>
                <c:pt idx="30">
                  <c:v>-8.5758332983880496</c:v>
                </c:pt>
                <c:pt idx="31">
                  <c:v>-8.4586825999632431</c:v>
                </c:pt>
                <c:pt idx="32">
                  <c:v>-8.3386346592240042</c:v>
                </c:pt>
                <c:pt idx="33">
                  <c:v>-8.2155960167408377</c:v>
                </c:pt>
                <c:pt idx="34">
                  <c:v>-8.089473213084247</c:v>
                </c:pt>
                <c:pt idx="35">
                  <c:v>-7.9601727888247318</c:v>
                </c:pt>
                <c:pt idx="36">
                  <c:v>-7.8276012845327951</c:v>
                </c:pt>
                <c:pt idx="37">
                  <c:v>-7.6916652407789394</c:v>
                </c:pt>
                <c:pt idx="38">
                  <c:v>-7.5522711981336661</c:v>
                </c:pt>
                <c:pt idx="39">
                  <c:v>-7.4093256971674801</c:v>
                </c:pt>
                <c:pt idx="40">
                  <c:v>-7.2627352784508812</c:v>
                </c:pt>
                <c:pt idx="41">
                  <c:v>-7.1858713151458637</c:v>
                </c:pt>
                <c:pt idx="42">
                  <c:v>-7.1054896359683006</c:v>
                </c:pt>
                <c:pt idx="43">
                  <c:v>-7.0218109022255533</c:v>
                </c:pt>
                <c:pt idx="44">
                  <c:v>-6.9350557752249822</c:v>
                </c:pt>
                <c:pt idx="45">
                  <c:v>-6.8454449162739515</c:v>
                </c:pt>
                <c:pt idx="46">
                  <c:v>-6.7531989866798234</c:v>
                </c:pt>
                <c:pt idx="47">
                  <c:v>-6.6585386477499577</c:v>
                </c:pt>
                <c:pt idx="48">
                  <c:v>-6.561684560791722</c:v>
                </c:pt>
                <c:pt idx="49">
                  <c:v>-6.4628573871124768</c:v>
                </c:pt>
                <c:pt idx="50">
                  <c:v>-6.3622777880195835</c:v>
                </c:pt>
                <c:pt idx="51">
                  <c:v>-6.2601664248204054</c:v>
                </c:pt>
                <c:pt idx="52">
                  <c:v>-6.1567439588223039</c:v>
                </c:pt>
                <c:pt idx="53">
                  <c:v>-6.0522310513326429</c:v>
                </c:pt>
                <c:pt idx="54">
                  <c:v>-5.9468483636587841</c:v>
                </c:pt>
                <c:pt idx="55">
                  <c:v>-5.8408165571080914</c:v>
                </c:pt>
                <c:pt idx="56">
                  <c:v>-5.7343562929879264</c:v>
                </c:pt>
                <c:pt idx="57">
                  <c:v>-5.6276882326056512</c:v>
                </c:pt>
                <c:pt idx="58">
                  <c:v>-5.5210330372686292</c:v>
                </c:pt>
                <c:pt idx="59">
                  <c:v>-5.4146113682842207</c:v>
                </c:pt>
                <c:pt idx="60">
                  <c:v>-5.3086438869597918</c:v>
                </c:pt>
                <c:pt idx="61">
                  <c:v>-5.2033512546027021</c:v>
                </c:pt>
                <c:pt idx="62">
                  <c:v>-5.0989541325203156</c:v>
                </c:pt>
                <c:pt idx="63">
                  <c:v>-4.9956731820199938</c:v>
                </c:pt>
                <c:pt idx="64">
                  <c:v>-4.8937290644091007</c:v>
                </c:pt>
                <c:pt idx="65">
                  <c:v>-4.793342440994997</c:v>
                </c:pt>
                <c:pt idx="66">
                  <c:v>-4.6946830879016153</c:v>
                </c:pt>
                <c:pt idx="67">
                  <c:v>-4.5977172405191613</c:v>
                </c:pt>
                <c:pt idx="68">
                  <c:v>-4.5023602490544095</c:v>
                </c:pt>
                <c:pt idx="69">
                  <c:v>-4.408527463714135</c:v>
                </c:pt>
                <c:pt idx="70">
                  <c:v>-4.316134234705113</c:v>
                </c:pt>
                <c:pt idx="71">
                  <c:v>-4.225095912234119</c:v>
                </c:pt>
                <c:pt idx="72">
                  <c:v>-4.1353278465079262</c:v>
                </c:pt>
                <c:pt idx="73">
                  <c:v>-4.0467453877333108</c:v>
                </c:pt>
                <c:pt idx="74">
                  <c:v>-3.9592638861170468</c:v>
                </c:pt>
                <c:pt idx="75">
                  <c:v>-3.8727986918659103</c:v>
                </c:pt>
                <c:pt idx="76">
                  <c:v>-3.7872651551866747</c:v>
                </c:pt>
                <c:pt idx="77">
                  <c:v>-3.7025786262861158</c:v>
                </c:pt>
                <c:pt idx="78">
                  <c:v>-3.6186544553710083</c:v>
                </c:pt>
                <c:pt idx="79">
                  <c:v>-3.5354079926481266</c:v>
                </c:pt>
                <c:pt idx="80">
                  <c:v>-3.4527545883242468</c:v>
                </c:pt>
                <c:pt idx="81">
                  <c:v>-3.3706095926061419</c:v>
                </c:pt>
                <c:pt idx="82">
                  <c:v>-3.2888883557005886</c:v>
                </c:pt>
                <c:pt idx="83">
                  <c:v>-3.2075062278143607</c:v>
                </c:pt>
                <c:pt idx="84">
                  <c:v>-3.1263785591542339</c:v>
                </c:pt>
                <c:pt idx="85">
                  <c:v>-3.0454206999269822</c:v>
                </c:pt>
                <c:pt idx="86">
                  <c:v>-2.9645480003393807</c:v>
                </c:pt>
                <c:pt idx="87">
                  <c:v>-2.8836758105982052</c:v>
                </c:pt>
                <c:pt idx="88">
                  <c:v>-2.8027194809102292</c:v>
                </c:pt>
                <c:pt idx="89">
                  <c:v>-2.7215943614822282</c:v>
                </c:pt>
                <c:pt idx="90">
                  <c:v>-2.6402158025209772</c:v>
                </c:pt>
                <c:pt idx="91">
                  <c:v>-2.5585117043563499</c:v>
                </c:pt>
                <c:pt idx="92">
                  <c:v>-2.4764601678106164</c:v>
                </c:pt>
                <c:pt idx="93">
                  <c:v>-2.3940518438291467</c:v>
                </c:pt>
                <c:pt idx="94">
                  <c:v>-2.311277383357309</c:v>
                </c:pt>
                <c:pt idx="95">
                  <c:v>-2.2281274373404729</c:v>
                </c:pt>
                <c:pt idx="96">
                  <c:v>-2.144592656724007</c:v>
                </c:pt>
                <c:pt idx="97">
                  <c:v>-2.0606636924532822</c:v>
                </c:pt>
                <c:pt idx="98">
                  <c:v>-1.9763311954736662</c:v>
                </c:pt>
                <c:pt idx="99">
                  <c:v>-1.8915858167305282</c:v>
                </c:pt>
                <c:pt idx="100">
                  <c:v>-1.8064182071692381</c:v>
                </c:pt>
                <c:pt idx="101">
                  <c:v>-1.7208190177351648</c:v>
                </c:pt>
                <c:pt idx="102">
                  <c:v>-1.6347788993736774</c:v>
                </c:pt>
                <c:pt idx="103">
                  <c:v>-1.5482885030301452</c:v>
                </c:pt>
                <c:pt idx="104">
                  <c:v>-1.4613384796499373</c:v>
                </c:pt>
                <c:pt idx="105">
                  <c:v>-1.3739194801784231</c:v>
                </c:pt>
                <c:pt idx="106">
                  <c:v>-1.2860221555609717</c:v>
                </c:pt>
                <c:pt idx="107">
                  <c:v>-1.1976371567429522</c:v>
                </c:pt>
                <c:pt idx="108">
                  <c:v>-1.108755134669734</c:v>
                </c:pt>
                <c:pt idx="109">
                  <c:v>-1.0193667402866864</c:v>
                </c:pt>
                <c:pt idx="110">
                  <c:v>-0.92946262453917827</c:v>
                </c:pt>
                <c:pt idx="111">
                  <c:v>-0.83903343837257893</c:v>
                </c:pt>
                <c:pt idx="112">
                  <c:v>-0.74806983273225747</c:v>
                </c:pt>
                <c:pt idx="113">
                  <c:v>-0.65656245856358342</c:v>
                </c:pt>
                <c:pt idx="114">
                  <c:v>-0.56450196681192566</c:v>
                </c:pt>
                <c:pt idx="115">
                  <c:v>-0.47187900842265373</c:v>
                </c:pt>
                <c:pt idx="116">
                  <c:v>-0.37868423434113646</c:v>
                </c:pt>
                <c:pt idx="117">
                  <c:v>-0.28490829551274333</c:v>
                </c:pt>
                <c:pt idx="118">
                  <c:v>-0.19054184288284337</c:v>
                </c:pt>
                <c:pt idx="119">
                  <c:v>-9.5575527396805873E-2</c:v>
                </c:pt>
                <c:pt idx="120">
                  <c:v>-1.3877787807814457E-17</c:v>
                </c:pt>
                <c:pt idx="121">
                  <c:v>9.6193456394475241E-2</c:v>
                </c:pt>
                <c:pt idx="122">
                  <c:v>0.1930110310026015</c:v>
                </c:pt>
                <c:pt idx="123">
                  <c:v>0.29045828107263083</c:v>
                </c:pt>
                <c:pt idx="124">
                  <c:v>0.388540763852815</c:v>
                </c:pt>
                <c:pt idx="125">
                  <c:v>0.4872640365914061</c:v>
                </c:pt>
                <c:pt idx="126">
                  <c:v>0.586633656536656</c:v>
                </c:pt>
                <c:pt idx="127">
                  <c:v>0.68665518093681654</c:v>
                </c:pt>
                <c:pt idx="128">
                  <c:v>0.7873341670401397</c:v>
                </c:pt>
                <c:pt idx="129">
                  <c:v>0.88867617209487759</c:v>
                </c:pt>
                <c:pt idx="130">
                  <c:v>0.9906867533492818</c:v>
                </c:pt>
                <c:pt idx="131">
                  <c:v>1.0933714680516047</c:v>
                </c:pt>
                <c:pt idx="132">
                  <c:v>1.1967358734500975</c:v>
                </c:pt>
                <c:pt idx="133">
                  <c:v>1.3007855267930128</c:v>
                </c:pt>
                <c:pt idx="134">
                  <c:v>1.4055259853286024</c:v>
                </c:pt>
                <c:pt idx="135">
                  <c:v>1.5109628063051181</c:v>
                </c:pt>
                <c:pt idx="136">
                  <c:v>1.6171015469708117</c:v>
                </c:pt>
                <c:pt idx="137">
                  <c:v>1.7239477645739354</c:v>
                </c:pt>
                <c:pt idx="138">
                  <c:v>1.8315070163627409</c:v>
                </c:pt>
                <c:pt idx="139">
                  <c:v>1.9397848595854805</c:v>
                </c:pt>
                <c:pt idx="140">
                  <c:v>2.0487868514904055</c:v>
                </c:pt>
                <c:pt idx="141">
                  <c:v>2.1585185493257684</c:v>
                </c:pt>
                <c:pt idx="142">
                  <c:v>2.2689855103398213</c:v>
                </c:pt>
                <c:pt idx="143">
                  <c:v>2.3801932917808148</c:v>
                </c:pt>
                <c:pt idx="144">
                  <c:v>2.4921474508970025</c:v>
                </c:pt>
                <c:pt idx="145">
                  <c:v>2.6048535449366352</c:v>
                </c:pt>
                <c:pt idx="146">
                  <c:v>2.7183171311479652</c:v>
                </c:pt>
                <c:pt idx="147">
                  <c:v>2.8325437667792448</c:v>
                </c:pt>
                <c:pt idx="148">
                  <c:v>2.9475390090787252</c:v>
                </c:pt>
                <c:pt idx="149">
                  <c:v>3.0633084152946592</c:v>
                </c:pt>
                <c:pt idx="150">
                  <c:v>3.1798575426752982</c:v>
                </c:pt>
                <c:pt idx="151">
                  <c:v>3.2971919484688939</c:v>
                </c:pt>
                <c:pt idx="152">
                  <c:v>3.415317189923698</c:v>
                </c:pt>
                <c:pt idx="153">
                  <c:v>3.5342388242879634</c:v>
                </c:pt>
                <c:pt idx="154">
                  <c:v>3.6539624088099414</c:v>
                </c:pt>
                <c:pt idx="155">
                  <c:v>3.7744935007378841</c:v>
                </c:pt>
                <c:pt idx="156">
                  <c:v>3.8958376573200435</c:v>
                </c:pt>
                <c:pt idx="157">
                  <c:v>4.0180004358046713</c:v>
                </c:pt>
                <c:pt idx="158">
                  <c:v>4.1409873934400201</c:v>
                </c:pt>
                <c:pt idx="159">
                  <c:v>4.2648040874743396</c:v>
                </c:pt>
                <c:pt idx="160">
                  <c:v>4.3894560751558851</c:v>
                </c:pt>
                <c:pt idx="161">
                  <c:v>4.5149489137329066</c:v>
                </c:pt>
                <c:pt idx="162">
                  <c:v>4.6412881604536551</c:v>
                </c:pt>
                <c:pt idx="163">
                  <c:v>4.768479372566385</c:v>
                </c:pt>
                <c:pt idx="164">
                  <c:v>4.8965281073193463</c:v>
                </c:pt>
                <c:pt idx="165">
                  <c:v>5.0254399219607917</c:v>
                </c:pt>
                <c:pt idx="166">
                  <c:v>5.1552153111636132</c:v>
                </c:pt>
                <c:pt idx="167">
                  <c:v>5.2858345192992644</c:v>
                </c:pt>
                <c:pt idx="168">
                  <c:v>5.4172727281638364</c:v>
                </c:pt>
                <c:pt idx="169">
                  <c:v>5.5495051195534248</c:v>
                </c:pt>
                <c:pt idx="170">
                  <c:v>5.6825068752641226</c:v>
                </c:pt>
                <c:pt idx="171">
                  <c:v>5.8162531770920216</c:v>
                </c:pt>
                <c:pt idx="172">
                  <c:v>5.9507192068332166</c:v>
                </c:pt>
                <c:pt idx="173">
                  <c:v>6.0858801462838006</c:v>
                </c:pt>
                <c:pt idx="174">
                  <c:v>6.2217111772398663</c:v>
                </c:pt>
                <c:pt idx="175">
                  <c:v>6.3581874814975068</c:v>
                </c:pt>
                <c:pt idx="176">
                  <c:v>6.4952842408528157</c:v>
                </c:pt>
                <c:pt idx="177">
                  <c:v>6.632976637101887</c:v>
                </c:pt>
                <c:pt idx="178">
                  <c:v>6.7712398520408126</c:v>
                </c:pt>
                <c:pt idx="179">
                  <c:v>6.9100490674656863</c:v>
                </c:pt>
                <c:pt idx="180">
                  <c:v>7.0493794651726027</c:v>
                </c:pt>
                <c:pt idx="181">
                  <c:v>7.1892062269576531</c:v>
                </c:pt>
                <c:pt idx="182">
                  <c:v>7.3295045346169312</c:v>
                </c:pt>
                <c:pt idx="183">
                  <c:v>7.4702495699465317</c:v>
                </c:pt>
                <c:pt idx="184">
                  <c:v>7.6114165147425457</c:v>
                </c:pt>
                <c:pt idx="185">
                  <c:v>7.7529805508010678</c:v>
                </c:pt>
                <c:pt idx="186">
                  <c:v>7.8949168599181911</c:v>
                </c:pt>
                <c:pt idx="187">
                  <c:v>8.0372006238900084</c:v>
                </c:pt>
                <c:pt idx="188">
                  <c:v>8.1798070245126144</c:v>
                </c:pt>
                <c:pt idx="189">
                  <c:v>8.3227112435820985</c:v>
                </c:pt>
                <c:pt idx="190">
                  <c:v>8.4658884628945597</c:v>
                </c:pt>
                <c:pt idx="191">
                  <c:v>8.6093138642460865</c:v>
                </c:pt>
                <c:pt idx="192">
                  <c:v>8.7529626294327745</c:v>
                </c:pt>
                <c:pt idx="193">
                  <c:v>8.8968099402507175</c:v>
                </c:pt>
                <c:pt idx="194">
                  <c:v>9.0408309784960075</c:v>
                </c:pt>
                <c:pt idx="195">
                  <c:v>9.1850009259647365</c:v>
                </c:pt>
                <c:pt idx="196">
                  <c:v>9.3292949644529983</c:v>
                </c:pt>
                <c:pt idx="197">
                  <c:v>9.4736882757568903</c:v>
                </c:pt>
                <c:pt idx="198">
                  <c:v>9.6181560416725009</c:v>
                </c:pt>
                <c:pt idx="199">
                  <c:v>9.762673443995924</c:v>
                </c:pt>
                <c:pt idx="200">
                  <c:v>9.907215664523255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-11.206695345231019</c:v>
                </c:pt>
                <c:pt idx="1">
                  <c:v>-7.2627352784508794</c:v>
                </c:pt>
                <c:pt idx="2">
                  <c:v>-4.793342440994997</c:v>
                </c:pt>
                <c:pt idx="3">
                  <c:v>-2.6402158025209772</c:v>
                </c:pt>
                <c:pt idx="4">
                  <c:v>0</c:v>
                </c:pt>
                <c:pt idx="5">
                  <c:v>5.0254399219607917</c:v>
                </c:pt>
                <c:pt idx="6">
                  <c:v>9.907215664523255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-11.168613655119856</c:v>
                </c:pt>
                <c:pt idx="1">
                  <c:v>-11.108705973829704</c:v>
                </c:pt>
                <c:pt idx="2">
                  <c:v>-11.047091001618808</c:v>
                </c:pt>
                <c:pt idx="3">
                  <c:v>-10.98364279117467</c:v>
                </c:pt>
                <c:pt idx="4">
                  <c:v>-10.918256815054759</c:v>
                </c:pt>
                <c:pt idx="5">
                  <c:v>-10.85084856627744</c:v>
                </c:pt>
                <c:pt idx="6">
                  <c:v>-10.781352212165782</c:v>
                </c:pt>
                <c:pt idx="7">
                  <c:v>-10.709719300261902</c:v>
                </c:pt>
                <c:pt idx="8">
                  <c:v>-10.635917515141276</c:v>
                </c:pt>
                <c:pt idx="9">
                  <c:v>-10.559929484968809</c:v>
                </c:pt>
                <c:pt idx="10">
                  <c:v>-10.481751636650369</c:v>
                </c:pt>
                <c:pt idx="11">
                  <c:v>-10.401393098445505</c:v>
                </c:pt>
                <c:pt idx="12">
                  <c:v>-10.318874648919422</c:v>
                </c:pt>
                <c:pt idx="13">
                  <c:v>-10.234227711123982</c:v>
                </c:pt>
                <c:pt idx="14">
                  <c:v>-10.147493390909951</c:v>
                </c:pt>
                <c:pt idx="15">
                  <c:v>-10.058721558284422</c:v>
                </c:pt>
                <c:pt idx="16">
                  <c:v>-9.9679699707398512</c:v>
                </c:pt>
                <c:pt idx="17">
                  <c:v>-9.8753034374926862</c:v>
                </c:pt>
                <c:pt idx="18">
                  <c:v>-9.7807930235822127</c:v>
                </c:pt>
                <c:pt idx="19">
                  <c:v>-9.6845152927918363</c:v>
                </c:pt>
                <c:pt idx="20">
                  <c:v>-9.5865515883674099</c:v>
                </c:pt>
                <c:pt idx="21">
                  <c:v>-9.4869873505191258</c:v>
                </c:pt>
                <c:pt idx="22">
                  <c:v>-9.3859114697056629</c:v>
                </c:pt>
                <c:pt idx="23">
                  <c:v>-9.2834156747112768</c:v>
                </c:pt>
                <c:pt idx="24">
                  <c:v>-9.1795939545386656</c:v>
                </c:pt>
                <c:pt idx="25">
                  <c:v>-9.0745420131524543</c:v>
                </c:pt>
                <c:pt idx="26">
                  <c:v>-8.9683567561202988</c:v>
                </c:pt>
                <c:pt idx="27">
                  <c:v>-8.861135808210598</c:v>
                </c:pt>
                <c:pt idx="28">
                  <c:v>-8.7529770610179245</c:v>
                </c:pt>
                <c:pt idx="29">
                  <c:v>-8.6439782496993995</c:v>
                </c:pt>
                <c:pt idx="30">
                  <c:v>-8.5342365579171773</c:v>
                </c:pt>
                <c:pt idx="31">
                  <c:v>-8.4238482500944993</c:v>
                </c:pt>
                <c:pt idx="32">
                  <c:v>-8.3129083301045945</c:v>
                </c:pt>
                <c:pt idx="33">
                  <c:v>-8.2015102255240091</c:v>
                </c:pt>
                <c:pt idx="34">
                  <c:v>-8.0897454965938991</c:v>
                </c:pt>
                <c:pt idx="35">
                  <c:v>-7.9777035690448725</c:v>
                </c:pt>
                <c:pt idx="36">
                  <c:v>-7.8654714899531868</c:v>
                </c:pt>
                <c:pt idx="37">
                  <c:v>-7.7531337058079952</c:v>
                </c:pt>
                <c:pt idx="38">
                  <c:v>-7.6407718619816034</c:v>
                </c:pt>
                <c:pt idx="39">
                  <c:v>-7.5284646228065686</c:v>
                </c:pt>
                <c:pt idx="40">
                  <c:v>-7.41628751147576</c:v>
                </c:pt>
                <c:pt idx="41">
                  <c:v>-7.3043127689934026</c:v>
                </c:pt>
                <c:pt idx="42">
                  <c:v>-7.1926092314173156</c:v>
                </c:pt>
                <c:pt idx="43">
                  <c:v>-7.0812422246445514</c:v>
                </c:pt>
                <c:pt idx="44">
                  <c:v>-6.9702734760047989</c:v>
                </c:pt>
                <c:pt idx="45">
                  <c:v>-6.8597610419379089</c:v>
                </c:pt>
                <c:pt idx="46">
                  <c:v>-6.7497592510440452</c:v>
                </c:pt>
                <c:pt idx="47">
                  <c:v>-6.6403186618069761</c:v>
                </c:pt>
                <c:pt idx="48">
                  <c:v>-6.5314860343031667</c:v>
                </c:pt>
                <c:pt idx="49">
                  <c:v>-6.4233043152213432</c:v>
                </c:pt>
                <c:pt idx="50">
                  <c:v>-6.3158126355293192</c:v>
                </c:pt>
                <c:pt idx="51">
                  <c:v>-6.209046320136939</c:v>
                </c:pt>
                <c:pt idx="52">
                  <c:v>-6.1030369089160423</c:v>
                </c:pt>
                <c:pt idx="53">
                  <c:v>-5.9978121884505038</c:v>
                </c:pt>
                <c:pt idx="54">
                  <c:v>-5.893396233901349</c:v>
                </c:pt>
                <c:pt idx="55">
                  <c:v>-5.7898094603842001</c:v>
                </c:pt>
                <c:pt idx="56">
                  <c:v>-5.6870686832681878</c:v>
                </c:pt>
                <c:pt idx="57">
                  <c:v>-5.5851871868177012</c:v>
                </c:pt>
                <c:pt idx="58">
                  <c:v>-5.4841748006103499</c:v>
                </c:pt>
                <c:pt idx="59">
                  <c:v>-5.384037983176543</c:v>
                </c:pt>
                <c:pt idx="60">
                  <c:v>-5.2847799123183208</c:v>
                </c:pt>
                <c:pt idx="61">
                  <c:v>-5.1864005815769483</c:v>
                </c:pt>
                <c:pt idx="62">
                  <c:v>-5.0888969023310198</c:v>
                </c:pt>
                <c:pt idx="63">
                  <c:v>-4.9922628110188239</c:v>
                </c:pt>
                <c:pt idx="64">
                  <c:v>-4.8964893809907988</c:v>
                </c:pt>
                <c:pt idx="65">
                  <c:v>-4.8015649385099932</c:v>
                </c:pt>
                <c:pt idx="66">
                  <c:v>-4.7074751824305459</c:v>
                </c:pt>
                <c:pt idx="67">
                  <c:v>-4.6142033070962185</c:v>
                </c:pt>
                <c:pt idx="68">
                  <c:v>-4.5217301280131394</c:v>
                </c:pt>
                <c:pt idx="69">
                  <c:v>-4.4300342098629963</c:v>
                </c:pt>
                <c:pt idx="70">
                  <c:v>-4.3390919964349308</c:v>
                </c:pt>
                <c:pt idx="71">
                  <c:v>-4.2488779420665459</c:v>
                </c:pt>
                <c:pt idx="72">
                  <c:v>-4.1593646441964447</c:v>
                </c:pt>
                <c:pt idx="73">
                  <c:v>-4.0705229766428417</c:v>
                </c:pt>
                <c:pt idx="74">
                  <c:v>-3.9823222232348297</c:v>
                </c:pt>
                <c:pt idx="75">
                  <c:v>-3.8947302114349891</c:v>
                </c:pt>
                <c:pt idx="76">
                  <c:v>-3.8077134456040858</c:v>
                </c:pt>
                <c:pt idx="77">
                  <c:v>-3.7212372395706788</c:v>
                </c:pt>
                <c:pt idx="78">
                  <c:v>-3.6352658481805493</c:v>
                </c:pt>
                <c:pt idx="79">
                  <c:v>-3.5497625975129119</c:v>
                </c:pt>
                <c:pt idx="80">
                  <c:v>-3.4646900134624916</c:v>
                </c:pt>
                <c:pt idx="81">
                  <c:v>-3.3800099483985666</c:v>
                </c:pt>
                <c:pt idx="82">
                  <c:v>-3.2956837056241963</c:v>
                </c:pt>
                <c:pt idx="83">
                  <c:v>-3.2116721613709207</c:v>
                </c:pt>
                <c:pt idx="84">
                  <c:v>-3.127935884076273</c:v>
                </c:pt>
                <c:pt idx="85">
                  <c:v>-3.0444352507035664</c:v>
                </c:pt>
                <c:pt idx="86">
                  <c:v>-2.961130559875425</c:v>
                </c:pt>
                <c:pt idx="87">
                  <c:v>-2.8779821416046873</c:v>
                </c:pt>
                <c:pt idx="88">
                  <c:v>-2.7949504634183131</c:v>
                </c:pt>
                <c:pt idx="89">
                  <c:v>-2.7119962326820435</c:v>
                </c:pt>
                <c:pt idx="90">
                  <c:v>-2.6290804949456255</c:v>
                </c:pt>
                <c:pt idx="91">
                  <c:v>-2.5461647281404942</c:v>
                </c:pt>
                <c:pt idx="92">
                  <c:v>-2.4632109324738631</c:v>
                </c:pt>
                <c:pt idx="93">
                  <c:v>-2.3801817158752927</c:v>
                </c:pt>
                <c:pt idx="94">
                  <c:v>-2.2970403748638164</c:v>
                </c:pt>
                <c:pt idx="95">
                  <c:v>-2.2137509707158523</c:v>
                </c:pt>
                <c:pt idx="96">
                  <c:v>-2.1302784008261435</c:v>
                </c:pt>
                <c:pt idx="97">
                  <c:v>-2.0465884651660948</c:v>
                </c:pt>
                <c:pt idx="98">
                  <c:v>-1.9626479277558979</c:v>
                </c:pt>
                <c:pt idx="99">
                  <c:v>-1.8784245730789721</c:v>
                </c:pt>
                <c:pt idx="100">
                  <c:v>-1.793887257379277</c:v>
                </c:pt>
                <c:pt idx="101">
                  <c:v>-1.709005954794141</c:v>
                </c:pt>
                <c:pt idx="102">
                  <c:v>-1.6237517982873453</c:v>
                </c:pt>
                <c:pt idx="103">
                  <c:v>-1.538097115359252</c:v>
                </c:pt>
                <c:pt idx="104">
                  <c:v>-1.4520154585228593</c:v>
                </c:pt>
                <c:pt idx="105">
                  <c:v>-1.3654816305467312</c:v>
                </c:pt>
                <c:pt idx="106">
                  <c:v>-1.2784717044778335</c:v>
                </c:pt>
                <c:pt idx="107">
                  <c:v>-1.1909630384693779</c:v>
                </c:pt>
                <c:pt idx="108">
                  <c:v>-1.1029342854508593</c:v>
                </c:pt>
                <c:pt idx="109">
                  <c:v>-1.0143653976895357</c:v>
                </c:pt>
                <c:pt idx="110">
                  <c:v>-0.9252376263046842</c:v>
                </c:pt>
                <c:pt idx="111">
                  <c:v>-0.83553351580804713</c:v>
                </c:pt>
                <c:pt idx="112">
                  <c:v>-0.74523689375594593</c:v>
                </c:pt>
                <c:pt idx="113">
                  <c:v>-0.65433285561062227</c:v>
                </c:pt>
                <c:pt idx="114">
                  <c:v>-0.56280774492044761</c:v>
                </c:pt>
                <c:pt idx="115">
                  <c:v>-0.4706491289407071</c:v>
                </c:pt>
                <c:pt idx="116">
                  <c:v>-0.37784576982875023</c:v>
                </c:pt>
                <c:pt idx="117">
                  <c:v>-0.28438759155936699</c:v>
                </c:pt>
                <c:pt idx="118">
                  <c:v>-0.19026564271833413</c:v>
                </c:pt>
                <c:pt idx="119">
                  <c:v>-9.5472055344142534E-2</c:v>
                </c:pt>
                <c:pt idx="120">
                  <c:v>0</c:v>
                </c:pt>
                <c:pt idx="121">
                  <c:v>9.6156362729724623E-2</c:v>
                </c:pt>
                <c:pt idx="122">
                  <c:v>0.19300193411237243</c:v>
                </c:pt>
                <c:pt idx="123">
                  <c:v>0.29054073229086119</c:v>
                </c:pt>
                <c:pt idx="124">
                  <c:v>0.38877595022815298</c:v>
                </c:pt>
                <c:pt idx="125">
                  <c:v>0.487710016329852</c:v>
                </c:pt>
                <c:pt idx="126">
                  <c:v>0.58734465749038378</c:v>
                </c:pt>
                <c:pt idx="127">
                  <c:v>0.68768096429613679</c:v>
                </c:pt>
                <c:pt idx="128">
                  <c:v>0.7887194581068615</c:v>
                </c:pt>
                <c:pt idx="129">
                  <c:v>0.89046015972455972</c:v>
                </c:pt>
                <c:pt idx="130">
                  <c:v>0.99290265934700717</c:v>
                </c:pt>
                <c:pt idx="131">
                  <c:v>1.0960461874909835</c:v>
                </c:pt>
                <c:pt idx="132">
                  <c:v>1.1998896865582132</c:v>
                </c:pt>
                <c:pt idx="133">
                  <c:v>1.3044318827049297</c:v>
                </c:pt>
                <c:pt idx="134">
                  <c:v>1.4096713576639153</c:v>
                </c:pt>
                <c:pt idx="135">
                  <c:v>1.5156066201557836</c:v>
                </c:pt>
                <c:pt idx="136">
                  <c:v>1.6222361765141999</c:v>
                </c:pt>
                <c:pt idx="137">
                  <c:v>1.7295586001376511</c:v>
                </c:pt>
                <c:pt idx="138">
                  <c:v>1.8375725993683198</c:v>
                </c:pt>
                <c:pt idx="139">
                  <c:v>1.9462770833865131</c:v>
                </c:pt>
                <c:pt idx="140">
                  <c:v>2.055671225697048</c:v>
                </c:pt>
                <c:pt idx="141">
                  <c:v>2.1657545247719003</c:v>
                </c:pt>
                <c:pt idx="142">
                  <c:v>2.2765268614013645</c:v>
                </c:pt>
                <c:pt idx="143">
                  <c:v>2.3879885522938595</c:v>
                </c:pt>
                <c:pt idx="144">
                  <c:v>2.5001403994525244</c:v>
                </c:pt>
                <c:pt idx="145">
                  <c:v>2.6129837348445331</c:v>
                </c:pt>
                <c:pt idx="146">
                  <c:v>2.7265204598671406</c:v>
                </c:pt>
                <c:pt idx="147">
                  <c:v>2.8407530791022664</c:v>
                </c:pt>
                <c:pt idx="148">
                  <c:v>2.9556847278394227</c:v>
                </c:pt>
                <c:pt idx="149">
                  <c:v>3.0713191928346864</c:v>
                </c:pt>
                <c:pt idx="150">
                  <c:v>3.1876609257613455</c:v>
                </c:pt>
                <c:pt idx="151">
                  <c:v>3.3047150487957744</c:v>
                </c:pt>
                <c:pt idx="152">
                  <c:v>3.4224873517700209</c:v>
                </c:pt>
                <c:pt idx="153">
                  <c:v>3.5409842803105001</c:v>
                </c:pt>
                <c:pt idx="154">
                  <c:v>3.6602129143701374</c:v>
                </c:pt>
                <c:pt idx="155">
                  <c:v>3.7801809365491792</c:v>
                </c:pt>
                <c:pt idx="156">
                  <c:v>3.9008965895878931</c:v>
                </c:pt>
                <c:pt idx="157">
                  <c:v>4.0223686224022153</c:v>
                </c:pt>
                <c:pt idx="158">
                  <c:v>4.1446062240213912</c:v>
                </c:pt>
                <c:pt idx="159">
                  <c:v>4.2676189447745436</c:v>
                </c:pt>
                <c:pt idx="160">
                  <c:v>4.3914166040610523</c:v>
                </c:pt>
                <c:pt idx="161">
                  <c:v>4.5160091840275314</c:v>
                </c:pt>
                <c:pt idx="162">
                  <c:v>4.6414067084621236</c:v>
                </c:pt>
                <c:pt idx="163">
                  <c:v>4.7676191062047666</c:v>
                </c:pt>
                <c:pt idx="164">
                  <c:v>4.8946560583599794</c:v>
                </c:pt>
                <c:pt idx="165">
                  <c:v>5.0225268285866722</c:v>
                </c:pt>
                <c:pt idx="166">
                  <c:v>5.1512400757274088</c:v>
                </c:pt>
                <c:pt idx="167">
                  <c:v>5.280803648027419</c:v>
                </c:pt>
                <c:pt idx="168">
                  <c:v>5.4112243581816877</c:v>
                </c:pt>
                <c:pt idx="169">
                  <c:v>5.5425077384362389</c:v>
                </c:pt>
                <c:pt idx="170">
                  <c:v>5.674657774957784</c:v>
                </c:pt>
                <c:pt idx="171">
                  <c:v>5.807676620673738</c:v>
                </c:pt>
                <c:pt idx="172">
                  <c:v>5.9415642857725821</c:v>
                </c:pt>
                <c:pt idx="173">
                  <c:v>6.0763183050424274</c:v>
                </c:pt>
                <c:pt idx="174">
                  <c:v>6.2119333812136333</c:v>
                </c:pt>
                <c:pt idx="175">
                  <c:v>6.3484010034591707</c:v>
                </c:pt>
                <c:pt idx="176">
                  <c:v>6.4857090401944149</c:v>
                </c:pt>
                <c:pt idx="177">
                  <c:v>6.6238413053059144</c:v>
                </c:pt>
                <c:pt idx="178">
                  <c:v>6.7627770969267091</c:v>
                </c:pt>
                <c:pt idx="179">
                  <c:v>6.90249070786352</c:v>
                </c:pt>
                <c:pt idx="180">
                  <c:v>7.0429509067692759</c:v>
                </c:pt>
                <c:pt idx="181">
                  <c:v>7.1841203891421666</c:v>
                </c:pt>
                <c:pt idx="182">
                  <c:v>7.3259551972204759</c:v>
                </c:pt>
                <c:pt idx="183">
                  <c:v>7.4684041078302874</c:v>
                </c:pt>
                <c:pt idx="184">
                  <c:v>7.6114079872311473</c:v>
                </c:pt>
                <c:pt idx="185">
                  <c:v>7.7548991119926098</c:v>
                </c:pt>
                <c:pt idx="186">
                  <c:v>7.8988004549226032</c:v>
                </c:pt>
                <c:pt idx="187">
                  <c:v>8.0430249350564154</c:v>
                </c:pt>
                <c:pt idx="188">
                  <c:v>8.1874746307030559</c:v>
                </c:pt>
                <c:pt idx="189">
                  <c:v>8.3320399545336539</c:v>
                </c:pt>
                <c:pt idx="190">
                  <c:v>8.4765987896845072</c:v>
                </c:pt>
                <c:pt idx="191">
                  <c:v>8.6210155858352344</c:v>
                </c:pt>
                <c:pt idx="192">
                  <c:v>8.7651404142105847</c:v>
                </c:pt>
                <c:pt idx="193">
                  <c:v>8.9088079804421572</c:v>
                </c:pt>
                <c:pt idx="194">
                  <c:v>9.0518365942143877</c:v>
                </c:pt>
                <c:pt idx="195">
                  <c:v>9.1940270946069873</c:v>
                </c:pt>
                <c:pt idx="196">
                  <c:v>9.3351617300340006</c:v>
                </c:pt>
                <c:pt idx="197">
                  <c:v>9.4750029916674805</c:v>
                </c:pt>
                <c:pt idx="198">
                  <c:v>9.6132923992218746</c:v>
                </c:pt>
                <c:pt idx="199">
                  <c:v>9.7497492379628916</c:v>
                </c:pt>
                <c:pt idx="200">
                  <c:v>9.884069245792821</c:v>
                </c:pt>
              </c:numCache>
            </c:numRef>
          </c:yVal>
          <c:smooth val="1"/>
        </c:ser>
        <c:dLbls>
          <c:showLegendKey val="0"/>
          <c:showVal val="0"/>
          <c:showCatName val="0"/>
          <c:showSerName val="0"/>
          <c:showPercent val="0"/>
          <c:showBubbleSize val="0"/>
        </c:dLbls>
        <c:axId val="448435696"/>
        <c:axId val="448436088"/>
      </c:scatterChart>
      <c:valAx>
        <c:axId val="4484356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6088"/>
        <c:crossesAt val="-1000"/>
        <c:crossBetween val="midCat"/>
      </c:valAx>
      <c:valAx>
        <c:axId val="448436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56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E11" sqref="E11"/>
    </sheetView>
  </sheetViews>
  <sheetFormatPr baseColWidth="10" defaultRowHeight="15" x14ac:dyDescent="0.25"/>
  <cols>
    <col min="1" max="1" width="22.140625" customWidth="1"/>
  </cols>
  <sheetData>
    <row r="1" spans="1:13" x14ac:dyDescent="0.25">
      <c r="A1" s="13" t="s">
        <v>102</v>
      </c>
      <c r="B1" s="63" t="s">
        <v>165</v>
      </c>
      <c r="D1" t="s">
        <v>103</v>
      </c>
    </row>
    <row r="2" spans="1:13" x14ac:dyDescent="0.25">
      <c r="A2" s="13" t="s">
        <v>104</v>
      </c>
      <c r="B2" s="63" t="s">
        <v>105</v>
      </c>
      <c r="D2" s="124" t="s">
        <v>106</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9.5813315763234083E-2</v>
      </c>
      <c r="D59" s="55">
        <v>1</v>
      </c>
    </row>
    <row r="60" spans="1:4" s="11" customFormat="1" x14ac:dyDescent="0.25">
      <c r="A60" s="54">
        <v>2</v>
      </c>
      <c r="B60" s="56">
        <f>'Shiftfunktion bestimmen'!N2</f>
        <v>3.4219279981944999E-4</v>
      </c>
      <c r="D60" s="55">
        <v>2</v>
      </c>
    </row>
    <row r="61" spans="1:4" s="11" customFormat="1" x14ac:dyDescent="0.25">
      <c r="A61" s="54">
        <v>3</v>
      </c>
      <c r="B61" s="56">
        <f>'Shiftfunktion bestimmen'!N3</f>
        <v>8.9282771773298823E-7</v>
      </c>
      <c r="D61" s="55">
        <v>3</v>
      </c>
    </row>
    <row r="62" spans="1:4" s="11" customFormat="1" x14ac:dyDescent="0.25">
      <c r="A62" s="54">
        <v>4</v>
      </c>
      <c r="B62" s="56">
        <f>'Shiftfunktion bestimmen'!N4</f>
        <v>-3.9111408679181262E-8</v>
      </c>
      <c r="D62" s="55">
        <v>4</v>
      </c>
    </row>
    <row r="63" spans="1:4" s="11" customFormat="1" x14ac:dyDescent="0.25">
      <c r="A63" s="54">
        <v>5</v>
      </c>
      <c r="B63" s="56">
        <f>'Shiftfunktion bestimmen'!N5</f>
        <v>4.460262882470063E-10</v>
      </c>
      <c r="D63" s="55">
        <v>5</v>
      </c>
    </row>
    <row r="64" spans="1:4" s="11" customFormat="1" x14ac:dyDescent="0.25">
      <c r="A64" s="54">
        <v>6</v>
      </c>
      <c r="B64" s="56">
        <f>'Shiftfunktion bestimmen'!N6</f>
        <v>4.3805762414856282E-12</v>
      </c>
      <c r="D64" s="55">
        <v>6</v>
      </c>
    </row>
    <row r="65" spans="1:5" s="11" customFormat="1" x14ac:dyDescent="0.25">
      <c r="A65" s="54">
        <v>7</v>
      </c>
      <c r="B65" s="56">
        <f>'Shiftfunktion bestimmen'!N7</f>
        <v>-4.4515305291725012E-14</v>
      </c>
      <c r="D65" s="55">
        <v>7</v>
      </c>
    </row>
    <row r="66" spans="1:5" x14ac:dyDescent="0.25">
      <c r="A66" s="54">
        <v>8</v>
      </c>
      <c r="B66" s="56">
        <f>'Shiftfunktion bestimmen'!N8</f>
        <v>-2.9950233127754521E-16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0.18818865901064982</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0</v>
      </c>
      <c r="D79" s="51">
        <v>6</v>
      </c>
      <c r="E79" s="56">
        <f>'Universal Mastercurve'!A116</f>
        <v>5.8953789402578301E-10</v>
      </c>
    </row>
    <row r="80" spans="1:5" x14ac:dyDescent="0.25">
      <c r="A80" s="50">
        <f t="shared" si="0"/>
        <v>7</v>
      </c>
      <c r="B80" s="56">
        <f>'Universal Mastercurve'!C117</f>
        <v>3.0125303092814672E-2</v>
      </c>
      <c r="D80" s="51">
        <v>7</v>
      </c>
      <c r="E80" s="56">
        <f>'Universal Mastercurve'!A117</f>
        <v>6.5352940755699598E-9</v>
      </c>
    </row>
    <row r="81" spans="1:5" x14ac:dyDescent="0.25">
      <c r="A81" s="50">
        <f t="shared" si="0"/>
        <v>8</v>
      </c>
      <c r="B81" s="56">
        <f>'Universal Mastercurve'!C118</f>
        <v>3.9054432250810484E-2</v>
      </c>
      <c r="D81" s="51">
        <v>8</v>
      </c>
      <c r="E81" s="56">
        <f>'Universal Mastercurve'!A118</f>
        <v>7.2446689325643296E-8</v>
      </c>
    </row>
    <row r="82" spans="1:5" x14ac:dyDescent="0.25">
      <c r="A82" s="50">
        <f t="shared" si="0"/>
        <v>9</v>
      </c>
      <c r="B82" s="56">
        <f>'Universal Mastercurve'!C119</f>
        <v>3.401362256485007E-2</v>
      </c>
      <c r="D82" s="51">
        <f>A82</f>
        <v>9</v>
      </c>
      <c r="E82" s="56">
        <f>'Universal Mastercurve'!A119</f>
        <v>8.03104303120212E-7</v>
      </c>
    </row>
    <row r="83" spans="1:5" x14ac:dyDescent="0.25">
      <c r="A83" s="50">
        <f t="shared" si="0"/>
        <v>10</v>
      </c>
      <c r="B83" s="56">
        <f>'Universal Mastercurve'!C120</f>
        <v>3.2632303043339729E-2</v>
      </c>
      <c r="C83" s="11"/>
      <c r="D83" s="51">
        <f t="shared" ref="D83:D104" si="1">A83</f>
        <v>10</v>
      </c>
      <c r="E83" s="56">
        <f>'Universal Mastercurve'!A120</f>
        <v>8.9027742702096099E-6</v>
      </c>
    </row>
    <row r="84" spans="1:5" x14ac:dyDescent="0.25">
      <c r="A84" s="50">
        <f t="shared" si="0"/>
        <v>11</v>
      </c>
      <c r="B84" s="56">
        <f>'Universal Mastercurve'!C121</f>
        <v>1.8504538155784553E-2</v>
      </c>
      <c r="C84" s="11"/>
      <c r="D84" s="51">
        <f t="shared" si="1"/>
        <v>11</v>
      </c>
      <c r="E84" s="56">
        <f>'Universal Mastercurve'!A121</f>
        <v>9.86912775817142E-5</v>
      </c>
    </row>
    <row r="85" spans="1:5" x14ac:dyDescent="0.25">
      <c r="A85" s="50">
        <f t="shared" si="0"/>
        <v>12</v>
      </c>
      <c r="B85" s="56">
        <f>'Universal Mastercurve'!C122</f>
        <v>3.4483122551352184E-2</v>
      </c>
      <c r="C85" s="11"/>
      <c r="D85" s="51">
        <f t="shared" si="1"/>
        <v>12</v>
      </c>
      <c r="E85" s="56">
        <f>'Universal Mastercurve'!A122</f>
        <v>1.0940374286813801E-3</v>
      </c>
    </row>
    <row r="86" spans="1:5" x14ac:dyDescent="0.25">
      <c r="A86" s="50">
        <f t="shared" si="0"/>
        <v>13</v>
      </c>
      <c r="B86" s="56">
        <f>'Universal Mastercurve'!C123</f>
        <v>2.4193592080371897E-2</v>
      </c>
      <c r="C86" s="11"/>
      <c r="D86" s="51">
        <f t="shared" si="1"/>
        <v>13</v>
      </c>
      <c r="E86" s="56">
        <f>'Universal Mastercurve'!A123</f>
        <v>1.2127899493091E-2</v>
      </c>
    </row>
    <row r="87" spans="1:5" x14ac:dyDescent="0.25">
      <c r="A87" s="50">
        <f t="shared" si="0"/>
        <v>14</v>
      </c>
      <c r="B87" s="56">
        <f>'Universal Mastercurve'!C124</f>
        <v>3.0093886251029458E-2</v>
      </c>
      <c r="C87" s="11"/>
      <c r="D87" s="51">
        <f t="shared" si="1"/>
        <v>14</v>
      </c>
      <c r="E87" s="56">
        <f>'Universal Mastercurve'!A124</f>
        <v>0.13444324870292301</v>
      </c>
    </row>
    <row r="88" spans="1:5" x14ac:dyDescent="0.25">
      <c r="A88" s="50">
        <f t="shared" si="0"/>
        <v>15</v>
      </c>
      <c r="B88" s="56">
        <f>'Universal Mastercurve'!C125</f>
        <v>4.9441048082279379E-2</v>
      </c>
      <c r="C88" s="11"/>
      <c r="D88" s="51">
        <f t="shared" si="1"/>
        <v>15</v>
      </c>
      <c r="E88" s="56">
        <f>'Universal Mastercurve'!A125</f>
        <v>1.49036419143257</v>
      </c>
    </row>
    <row r="89" spans="1:5" x14ac:dyDescent="0.25">
      <c r="A89" s="50">
        <f t="shared" si="0"/>
        <v>16</v>
      </c>
      <c r="B89" s="56">
        <f>'Universal Mastercurve'!C126</f>
        <v>6.6758736354801632E-2</v>
      </c>
      <c r="C89" s="11"/>
      <c r="D89" s="51">
        <f t="shared" si="1"/>
        <v>16</v>
      </c>
      <c r="E89" s="56">
        <f>'Universal Mastercurve'!A126</f>
        <v>16.521360830937301</v>
      </c>
    </row>
    <row r="90" spans="1:5" x14ac:dyDescent="0.25">
      <c r="A90" s="50">
        <f t="shared" si="0"/>
        <v>17</v>
      </c>
      <c r="B90" s="56">
        <f>'Universal Mastercurve'!C127</f>
        <v>7.4917701539925927E-2</v>
      </c>
      <c r="C90" s="11"/>
      <c r="D90" s="51">
        <f t="shared" si="1"/>
        <v>17</v>
      </c>
      <c r="E90" s="56">
        <f>'Universal Mastercurve'!A127</f>
        <v>183.146753843879</v>
      </c>
    </row>
    <row r="91" spans="1:5" x14ac:dyDescent="0.25">
      <c r="A91" s="50">
        <f t="shared" si="0"/>
        <v>18</v>
      </c>
      <c r="B91" s="56">
        <f>'Universal Mastercurve'!C128</f>
        <v>6.1952801151083994E-2</v>
      </c>
      <c r="C91" s="11"/>
      <c r="D91" s="51">
        <f t="shared" si="1"/>
        <v>18</v>
      </c>
      <c r="E91" s="56">
        <f>'Universal Mastercurve'!A128</f>
        <v>2030.26456396616</v>
      </c>
    </row>
    <row r="92" spans="1:5" x14ac:dyDescent="0.25">
      <c r="A92" s="50">
        <f t="shared" si="0"/>
        <v>19</v>
      </c>
      <c r="B92" s="56">
        <f>'Universal Mastercurve'!C129</f>
        <v>8.49507876262805E-2</v>
      </c>
      <c r="C92" s="11"/>
      <c r="D92" s="51">
        <f t="shared" si="1"/>
        <v>19</v>
      </c>
      <c r="E92" s="56">
        <f>'Universal Mastercurve'!A129</f>
        <v>22506.400540467101</v>
      </c>
    </row>
    <row r="93" spans="1:5" x14ac:dyDescent="0.25">
      <c r="A93" s="50">
        <f t="shared" si="0"/>
        <v>20</v>
      </c>
      <c r="B93" s="56">
        <f>'Universal Mastercurve'!C130</f>
        <v>7.4073104636108056E-2</v>
      </c>
      <c r="C93" s="11"/>
      <c r="D93" s="51">
        <f t="shared" si="1"/>
        <v>20</v>
      </c>
      <c r="E93" s="56">
        <f>'Universal Mastercurve'!A130</f>
        <v>249493.62476110301</v>
      </c>
    </row>
    <row r="94" spans="1:5" x14ac:dyDescent="0.25">
      <c r="A94" s="50">
        <f t="shared" si="0"/>
        <v>21</v>
      </c>
      <c r="B94" s="56">
        <f>'Universal Mastercurve'!C131</f>
        <v>5.1877432230855988E-2</v>
      </c>
      <c r="C94" s="11"/>
      <c r="D94" s="51">
        <f t="shared" si="1"/>
        <v>21</v>
      </c>
      <c r="E94" s="56">
        <f>'Universal Mastercurve'!A131</f>
        <v>2765749.6224023802</v>
      </c>
    </row>
    <row r="95" spans="1:5" x14ac:dyDescent="0.25">
      <c r="A95" s="50">
        <f t="shared" si="0"/>
        <v>22</v>
      </c>
      <c r="B95" s="56">
        <f>'Universal Mastercurve'!C132</f>
        <v>1.5427554649862323E-2</v>
      </c>
      <c r="C95" s="11"/>
      <c r="D95" s="51">
        <f t="shared" si="1"/>
        <v>22</v>
      </c>
      <c r="E95" s="56">
        <f>'Universal Mastercurve'!A132</f>
        <v>10000000</v>
      </c>
    </row>
    <row r="96" spans="1:5" x14ac:dyDescent="0.25">
      <c r="A96" s="50">
        <f t="shared" si="0"/>
        <v>23</v>
      </c>
      <c r="B96" s="56">
        <f>'Universal Mastercurve'!C133</f>
        <v>4.002077485397891E-2</v>
      </c>
      <c r="C96" s="11"/>
      <c r="D96" s="51">
        <f t="shared" si="1"/>
        <v>23</v>
      </c>
      <c r="E96" s="56">
        <f>'Universal Mastercurve'!A133</f>
        <v>100000000</v>
      </c>
    </row>
    <row r="97" spans="1:5" x14ac:dyDescent="0.25">
      <c r="A97" s="50">
        <f t="shared" si="0"/>
        <v>24</v>
      </c>
      <c r="B97" s="56">
        <f>'Universal Mastercurve'!C134</f>
        <v>0</v>
      </c>
      <c r="C97" s="11"/>
      <c r="D97" s="51">
        <f t="shared" si="1"/>
        <v>24</v>
      </c>
      <c r="E97" s="56">
        <f>'Universal Mastercurve'!A134</f>
        <v>1000000000</v>
      </c>
    </row>
    <row r="98" spans="1:5" x14ac:dyDescent="0.25">
      <c r="A98" s="50">
        <f t="shared" si="0"/>
        <v>25</v>
      </c>
      <c r="B98" s="56">
        <f>'Universal Mastercurve'!C135</f>
        <v>0</v>
      </c>
      <c r="C98" s="11"/>
      <c r="D98" s="51">
        <f t="shared" si="1"/>
        <v>25</v>
      </c>
      <c r="E98" s="56">
        <f>'Universal Mastercurve'!A135</f>
        <v>10000000000</v>
      </c>
    </row>
    <row r="99" spans="1:5" x14ac:dyDescent="0.25">
      <c r="A99" s="50">
        <f t="shared" si="0"/>
        <v>26</v>
      </c>
      <c r="B99" s="56">
        <f>'Universal Mastercurve'!C136</f>
        <v>0</v>
      </c>
      <c r="C99" s="11"/>
      <c r="D99" s="51">
        <f t="shared" si="1"/>
        <v>26</v>
      </c>
      <c r="E99" s="56">
        <f>'Universal Mastercurve'!A136</f>
        <v>100000000000</v>
      </c>
    </row>
    <row r="100" spans="1:5" x14ac:dyDescent="0.25">
      <c r="A100" s="50">
        <f t="shared" si="0"/>
        <v>27</v>
      </c>
      <c r="B100" s="56">
        <f>'Universal Mastercurve'!C137</f>
        <v>0</v>
      </c>
      <c r="C100" s="11"/>
      <c r="D100" s="51">
        <f t="shared" si="1"/>
        <v>27</v>
      </c>
      <c r="E100" s="56">
        <f>'Universal Mastercurve'!A137</f>
        <v>1000000000000</v>
      </c>
    </row>
    <row r="101" spans="1:5" x14ac:dyDescent="0.25">
      <c r="A101" s="50">
        <f t="shared" si="0"/>
        <v>28</v>
      </c>
      <c r="B101" s="56">
        <f>'Universal Mastercurve'!C138</f>
        <v>0</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0</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25">
        <f>STUTT!D8</f>
        <v>11405.888999999999</v>
      </c>
      <c r="D113" s="125"/>
    </row>
    <row r="114" spans="1:4" s="11" customFormat="1" x14ac:dyDescent="0.25">
      <c r="A114" s="61" t="str">
        <f>STUTT!B9</f>
        <v>MP,GXY,</v>
      </c>
      <c r="B114" s="52" t="str">
        <f>STUTT!C9</f>
        <v>MatID,</v>
      </c>
      <c r="C114" s="125">
        <f>STUTT!D9</f>
        <v>11852.276</v>
      </c>
      <c r="D114" s="125"/>
    </row>
    <row r="115" spans="1:4" x14ac:dyDescent="0.25">
      <c r="A115" s="61" t="str">
        <f>STUTT!B10</f>
        <v>MP,GYZ,</v>
      </c>
      <c r="B115" s="52" t="str">
        <f>STUTT!C10</f>
        <v>MatID,</v>
      </c>
      <c r="C115" s="125">
        <f>STUTT!D10</f>
        <v>11852.276</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N22" sqref="N22"/>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s="11">
        <f>0.35/2</f>
        <v>0.17499999999999999</v>
      </c>
      <c r="M1" s="11"/>
      <c r="N1" s="11"/>
      <c r="O1" s="11"/>
      <c r="P1" s="11"/>
      <c r="Q1" s="11" t="s">
        <v>129</v>
      </c>
      <c r="R1" s="1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B19" zoomScaleNormal="100" workbookViewId="0">
      <selection activeCell="K6" sqref="K6"/>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v>-10</v>
      </c>
      <c r="N3" s="2">
        <f t="shared" ref="N3:N33" si="4">A3</f>
        <v>1.0000000000000001E-15</v>
      </c>
      <c r="O3" s="2">
        <f t="shared" ref="O3:O33" si="5">$M$3/B3</f>
        <v>31480.640098913249</v>
      </c>
      <c r="P3" s="2">
        <f t="shared" ref="P3:P33" si="6">$M$3/C3</f>
        <v>30878.465887235372</v>
      </c>
      <c r="Q3" s="2">
        <f t="shared" ref="Q3:Q33" si="7">$M$3/D3</f>
        <v>29999.946685809031</v>
      </c>
      <c r="R3" s="2">
        <f t="shared" ref="R3:R33" si="8">$M$3/E3</f>
        <v>29383.660592593882</v>
      </c>
      <c r="S3" s="2">
        <f t="shared" ref="S3:S33" si="9">$M$3/F3</f>
        <v>28618.44365151913</v>
      </c>
      <c r="T3" s="2">
        <f t="shared" ref="T3:T33" si="10">$M$3/G3</f>
        <v>26900.86219107953</v>
      </c>
      <c r="U3" s="2">
        <f t="shared" ref="U3:U33" si="11">$M$3/H3</f>
        <v>25117.194677462641</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2">Z3</f>
        <v>1.0000000000000001E-15</v>
      </c>
      <c r="AM3" s="2">
        <f t="shared" ref="AM3:AM33" si="13">O3/(2*(1+AA3))</f>
        <v>11605.327404987251</v>
      </c>
      <c r="AN3" s="2">
        <f t="shared" ref="AN3:AN33" si="14">P3/(2*(1+AB3))</f>
        <v>11367.234905429283</v>
      </c>
      <c r="AO3" s="2">
        <f t="shared" ref="AO3:AO33" si="15">Q3/(2*(1+AC3))</f>
        <v>11009.313892134818</v>
      </c>
      <c r="AP3" s="2">
        <f t="shared" ref="AP3:AP33" si="16">R3/(2*(1+AD3))</f>
        <v>10761.801351389528</v>
      </c>
      <c r="AQ3" s="2">
        <f t="shared" ref="AQ3:AQ33" si="17">S3/(2*(1+AE3))</f>
        <v>10455.125722169887</v>
      </c>
      <c r="AR3" s="2">
        <f t="shared" ref="AR3:AR33" si="18">T3/(2*(1+AF3))</f>
        <v>9761.2866745763949</v>
      </c>
      <c r="AS3" s="2">
        <f t="shared" ref="AS3:AS33" si="19">U3/(2*(1+AG3))</f>
        <v>9039.8670430819093</v>
      </c>
      <c r="AX3" s="2">
        <f>AL3</f>
        <v>1.0000000000000001E-15</v>
      </c>
      <c r="AY3" s="37">
        <f t="shared" ref="AY3:AY33" si="20">O3/(3*(1-(2*AA3)))</f>
        <v>36512.309937517843</v>
      </c>
      <c r="AZ3" s="37">
        <f t="shared" ref="AZ3:AZ33" si="21">P3/(3*(1-(2*AB3)))</f>
        <v>36299.179580462805</v>
      </c>
      <c r="BA3" s="37">
        <f t="shared" ref="BA3:BA33" si="22">Q3/(3*(1-(2*AC3)))</f>
        <v>36358.36373983293</v>
      </c>
      <c r="BB3" s="37">
        <f t="shared" ref="BB3:BB33" si="23">R3/(3*(1-(2*AD3)))</f>
        <v>36325.416364517048</v>
      </c>
      <c r="BC3" s="37">
        <f t="shared" ref="BC3:BC33" si="24">S3/(3*(1-(2*AE3)))</f>
        <v>36308.296107474693</v>
      </c>
      <c r="BD3" s="37">
        <f t="shared" ref="BD3:BD33" si="25">T3/(3*(1-(2*AF3)))</f>
        <v>36730.628964166252</v>
      </c>
      <c r="BE3" s="37">
        <f t="shared" ref="BE3:BE33" si="26">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7">M3</f>
        <v>-10</v>
      </c>
      <c r="N4" s="2">
        <f t="shared" si="4"/>
        <v>1E-14</v>
      </c>
      <c r="O4" s="2">
        <f t="shared" si="5"/>
        <v>31292.259078304567</v>
      </c>
      <c r="P4" s="2">
        <f t="shared" si="6"/>
        <v>30173.044305684456</v>
      </c>
      <c r="Q4" s="2">
        <f t="shared" si="7"/>
        <v>29496.430367279601</v>
      </c>
      <c r="R4" s="2">
        <f t="shared" si="8"/>
        <v>28874.362353018976</v>
      </c>
      <c r="S4" s="2">
        <f t="shared" si="9"/>
        <v>28051.591139948217</v>
      </c>
      <c r="T4" s="2">
        <f t="shared" si="10"/>
        <v>26169.321551815046</v>
      </c>
      <c r="U4" s="2">
        <f t="shared" si="11"/>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2"/>
        <v>1E-14</v>
      </c>
      <c r="AM4" s="2">
        <f t="shared" si="13"/>
        <v>11525.315889809444</v>
      </c>
      <c r="AN4" s="2">
        <f t="shared" si="14"/>
        <v>11068.839809245561</v>
      </c>
      <c r="AO4" s="2">
        <f t="shared" si="15"/>
        <v>10796.668525667899</v>
      </c>
      <c r="AP4" s="2">
        <f t="shared" si="16"/>
        <v>10547.11616169445</v>
      </c>
      <c r="AQ4" s="2">
        <f t="shared" si="17"/>
        <v>10216.758037955571</v>
      </c>
      <c r="AR4" s="2">
        <f t="shared" si="18"/>
        <v>9457.0352890406648</v>
      </c>
      <c r="AS4" s="2">
        <f t="shared" si="19"/>
        <v>8723.1350121775959</v>
      </c>
      <c r="AX4" s="2">
        <f t="shared" ref="AX4:AX32" si="28">AL4</f>
        <v>1E-14</v>
      </c>
      <c r="AY4" s="37">
        <f t="shared" si="20"/>
        <v>36610.57382827648</v>
      </c>
      <c r="AZ4" s="37">
        <f t="shared" si="21"/>
        <v>36699.448711367004</v>
      </c>
      <c r="BA4" s="37">
        <f t="shared" si="22"/>
        <v>36686.239718917139</v>
      </c>
      <c r="BB4" s="37">
        <f t="shared" si="23"/>
        <v>36687.481046985231</v>
      </c>
      <c r="BC4" s="37">
        <f t="shared" si="24"/>
        <v>36761.739457116491</v>
      </c>
      <c r="BD4" s="37">
        <f t="shared" si="25"/>
        <v>37467.217790171519</v>
      </c>
      <c r="BE4" s="37">
        <f t="shared" si="26"/>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7"/>
        <v>-10</v>
      </c>
      <c r="N5" s="2">
        <f t="shared" si="4"/>
        <v>1E-13</v>
      </c>
      <c r="O5" s="2">
        <f t="shared" si="5"/>
        <v>30672.568629740854</v>
      </c>
      <c r="P5" s="2">
        <f t="shared" si="6"/>
        <v>29736.834284252152</v>
      </c>
      <c r="Q5" s="2">
        <f t="shared" si="7"/>
        <v>29052.245366698105</v>
      </c>
      <c r="R5" s="2">
        <f t="shared" si="8"/>
        <v>28404.113272682163</v>
      </c>
      <c r="S5" s="2">
        <f t="shared" si="9"/>
        <v>27511.699035595466</v>
      </c>
      <c r="T5" s="2">
        <f t="shared" si="10"/>
        <v>25564.926440211086</v>
      </c>
      <c r="U5" s="2">
        <f t="shared" si="11"/>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2"/>
        <v>1E-13</v>
      </c>
      <c r="AM5" s="2">
        <f t="shared" si="13"/>
        <v>11262.989267632682</v>
      </c>
      <c r="AN5" s="2">
        <f t="shared" si="14"/>
        <v>10885.617784934777</v>
      </c>
      <c r="AO5" s="2">
        <f t="shared" si="15"/>
        <v>10610.07082701246</v>
      </c>
      <c r="AP5" s="2">
        <f t="shared" si="16"/>
        <v>10349.894568285434</v>
      </c>
      <c r="AQ5" s="2">
        <f t="shared" si="17"/>
        <v>9990.8860283110862</v>
      </c>
      <c r="AR5" s="2">
        <f t="shared" si="18"/>
        <v>9203.9756041421206</v>
      </c>
      <c r="AS5" s="2">
        <f t="shared" si="19"/>
        <v>8412.4411255307823</v>
      </c>
      <c r="AX5" s="2">
        <f t="shared" si="28"/>
        <v>1E-13</v>
      </c>
      <c r="AY5" s="37">
        <f t="shared" si="20"/>
        <v>36951.279568968181</v>
      </c>
      <c r="AZ5" s="37">
        <f t="shared" si="21"/>
        <v>36952.248636182238</v>
      </c>
      <c r="BA5" s="37">
        <f t="shared" si="22"/>
        <v>36987.044642982437</v>
      </c>
      <c r="BB5" s="37">
        <f t="shared" si="23"/>
        <v>37040.477685853191</v>
      </c>
      <c r="BC5" s="37">
        <f t="shared" si="24"/>
        <v>37230.23477152027</v>
      </c>
      <c r="BD5" s="37">
        <f t="shared" si="25"/>
        <v>38316.058702479007</v>
      </c>
      <c r="BE5" s="37">
        <f t="shared" si="26"/>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7"/>
        <v>-10</v>
      </c>
      <c r="N6" s="2">
        <f t="shared" si="4"/>
        <v>9.9999999999999998E-13</v>
      </c>
      <c r="O6" s="2">
        <f t="shared" si="5"/>
        <v>30220.600018788577</v>
      </c>
      <c r="P6" s="2">
        <f t="shared" si="6"/>
        <v>29298.085180951497</v>
      </c>
      <c r="Q6" s="2">
        <f t="shared" si="7"/>
        <v>28584.467288678825</v>
      </c>
      <c r="R6" s="2">
        <f t="shared" si="8"/>
        <v>27886.648137396591</v>
      </c>
      <c r="S6" s="2">
        <f t="shared" si="9"/>
        <v>26905.826562828006</v>
      </c>
      <c r="T6" s="2">
        <f t="shared" si="10"/>
        <v>24947.566274385907</v>
      </c>
      <c r="U6" s="2">
        <f t="shared" si="11"/>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2"/>
        <v>9.9999999999999998E-13</v>
      </c>
      <c r="AM6" s="2">
        <f t="shared" si="13"/>
        <v>11072.566067439215</v>
      </c>
      <c r="AN6" s="2">
        <f t="shared" si="14"/>
        <v>10701.493672903915</v>
      </c>
      <c r="AO6" s="2">
        <f t="shared" si="15"/>
        <v>10413.892727978708</v>
      </c>
      <c r="AP6" s="2">
        <f t="shared" si="16"/>
        <v>10133.265997491257</v>
      </c>
      <c r="AQ6" s="2">
        <f t="shared" si="17"/>
        <v>9740.6929571272121</v>
      </c>
      <c r="AR6" s="2">
        <f t="shared" si="18"/>
        <v>8950.159395690147</v>
      </c>
      <c r="AS6" s="2">
        <f t="shared" si="19"/>
        <v>8064.2181617455262</v>
      </c>
      <c r="AX6" s="2">
        <f t="shared" si="28"/>
        <v>9.9999999999999998E-13</v>
      </c>
      <c r="AY6" s="37">
        <f t="shared" si="20"/>
        <v>37215.952432993952</v>
      </c>
      <c r="AZ6" s="37">
        <f t="shared" si="21"/>
        <v>37240.32428278539</v>
      </c>
      <c r="BA6" s="37">
        <f t="shared" si="22"/>
        <v>37341.858031419586</v>
      </c>
      <c r="BB6" s="37">
        <f t="shared" si="23"/>
        <v>37480.564185723189</v>
      </c>
      <c r="BC6" s="37">
        <f t="shared" si="24"/>
        <v>37716.299204306764</v>
      </c>
      <c r="BD6" s="37">
        <f t="shared" si="25"/>
        <v>39112.809724562008</v>
      </c>
      <c r="BE6" s="37">
        <f t="shared" si="26"/>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7"/>
        <v>-10</v>
      </c>
      <c r="N7" s="2">
        <f t="shared" si="4"/>
        <v>9.9999999999999994E-12</v>
      </c>
      <c r="O7" s="2">
        <f t="shared" si="5"/>
        <v>29795.52100107502</v>
      </c>
      <c r="P7" s="2">
        <f t="shared" si="6"/>
        <v>28828.952307275773</v>
      </c>
      <c r="Q7" s="2">
        <f t="shared" si="7"/>
        <v>28060.619918422162</v>
      </c>
      <c r="R7" s="2">
        <f t="shared" si="8"/>
        <v>27325.05112595137</v>
      </c>
      <c r="S7" s="2">
        <f t="shared" si="9"/>
        <v>26299.328071704411</v>
      </c>
      <c r="T7" s="2">
        <f t="shared" si="10"/>
        <v>24282.950152542715</v>
      </c>
      <c r="U7" s="2">
        <f t="shared" si="11"/>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2"/>
        <v>9.9999999999999994E-12</v>
      </c>
      <c r="AM7" s="2">
        <f t="shared" si="13"/>
        <v>10893.827462738938</v>
      </c>
      <c r="AN7" s="2">
        <f t="shared" si="14"/>
        <v>10504.725025316387</v>
      </c>
      <c r="AO7" s="2">
        <f t="shared" si="15"/>
        <v>10194.452600653791</v>
      </c>
      <c r="AP7" s="2">
        <f t="shared" si="16"/>
        <v>9898.4994293430227</v>
      </c>
      <c r="AQ7" s="2">
        <f t="shared" si="17"/>
        <v>9486.1331326421696</v>
      </c>
      <c r="AR7" s="2">
        <f t="shared" si="18"/>
        <v>8675.2521191856285</v>
      </c>
      <c r="AS7" s="2">
        <f t="shared" si="19"/>
        <v>7728.4680221740073</v>
      </c>
      <c r="AX7" s="2">
        <f t="shared" si="28"/>
        <v>9.9999999999999994E-12</v>
      </c>
      <c r="AY7" s="37">
        <f t="shared" si="20"/>
        <v>37490.368188835579</v>
      </c>
      <c r="AZ7" s="37">
        <f t="shared" si="21"/>
        <v>37593.431761530461</v>
      </c>
      <c r="BA7" s="37">
        <f t="shared" si="22"/>
        <v>37797.91016866592</v>
      </c>
      <c r="BB7" s="37">
        <f t="shared" si="23"/>
        <v>38034.596355781418</v>
      </c>
      <c r="BC7" s="37">
        <f t="shared" si="24"/>
        <v>38516.394272123573</v>
      </c>
      <c r="BD7" s="37">
        <f t="shared" si="25"/>
        <v>40291.478223423001</v>
      </c>
      <c r="BE7" s="37">
        <f t="shared" si="26"/>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7"/>
        <v>-10</v>
      </c>
      <c r="N8" s="2">
        <f t="shared" si="4"/>
        <v>1E-10</v>
      </c>
      <c r="O8" s="2">
        <f t="shared" si="5"/>
        <v>29329.558144340641</v>
      </c>
      <c r="P8" s="2">
        <f t="shared" si="6"/>
        <v>28309.659663536291</v>
      </c>
      <c r="Q8" s="2">
        <f t="shared" si="7"/>
        <v>27494.777092143577</v>
      </c>
      <c r="R8" s="2">
        <f t="shared" si="8"/>
        <v>26657.046976205856</v>
      </c>
      <c r="S8" s="2">
        <f t="shared" si="9"/>
        <v>25663.234773606862</v>
      </c>
      <c r="T8" s="2">
        <f t="shared" si="10"/>
        <v>23479.724405996851</v>
      </c>
      <c r="U8" s="2">
        <f t="shared" si="11"/>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2"/>
        <v>1E-10</v>
      </c>
      <c r="AM8" s="2">
        <f t="shared" si="13"/>
        <v>10697.933159313619</v>
      </c>
      <c r="AN8" s="2">
        <f t="shared" si="14"/>
        <v>10287.091684462941</v>
      </c>
      <c r="AO8" s="2">
        <f t="shared" si="15"/>
        <v>9957.7302884452874</v>
      </c>
      <c r="AP8" s="2">
        <f t="shared" si="16"/>
        <v>9623.1820365655622</v>
      </c>
      <c r="AQ8" s="2">
        <f t="shared" si="17"/>
        <v>9224.2999433670138</v>
      </c>
      <c r="AR8" s="2">
        <f t="shared" si="18"/>
        <v>8343.5058150850455</v>
      </c>
      <c r="AS8" s="2">
        <f t="shared" si="19"/>
        <v>7458.8734765357476</v>
      </c>
      <c r="AX8" s="2">
        <f t="shared" si="28"/>
        <v>1E-10</v>
      </c>
      <c r="AY8" s="37">
        <f t="shared" si="20"/>
        <v>37836.258940978238</v>
      </c>
      <c r="AZ8" s="37">
        <f t="shared" si="21"/>
        <v>38044.404559415321</v>
      </c>
      <c r="BA8" s="37">
        <f t="shared" si="22"/>
        <v>38370.8920780728</v>
      </c>
      <c r="BB8" s="37">
        <f t="shared" si="23"/>
        <v>38647.942158297199</v>
      </c>
      <c r="BC8" s="37">
        <f t="shared" si="24"/>
        <v>39264.482457549166</v>
      </c>
      <c r="BD8" s="37">
        <f t="shared" si="25"/>
        <v>42108.179956694046</v>
      </c>
      <c r="BE8" s="37">
        <f t="shared" si="26"/>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7"/>
        <v>-10</v>
      </c>
      <c r="N9" s="2">
        <f t="shared" si="4"/>
        <v>1.0000000000000001E-9</v>
      </c>
      <c r="O9" s="2">
        <f t="shared" si="5"/>
        <v>28837.00776134057</v>
      </c>
      <c r="P9" s="2">
        <f t="shared" si="6"/>
        <v>27741.591733589026</v>
      </c>
      <c r="Q9" s="2">
        <f t="shared" si="7"/>
        <v>26818.544425800024</v>
      </c>
      <c r="R9" s="2">
        <f t="shared" si="8"/>
        <v>26064.255300065783</v>
      </c>
      <c r="S9" s="2">
        <f t="shared" si="9"/>
        <v>25089.33487786146</v>
      </c>
      <c r="T9" s="2">
        <f t="shared" si="10"/>
        <v>22623.842981118192</v>
      </c>
      <c r="U9" s="2">
        <f t="shared" si="11"/>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2"/>
        <v>1.0000000000000001E-9</v>
      </c>
      <c r="AM9" s="2">
        <f t="shared" si="13"/>
        <v>10491.083669953241</v>
      </c>
      <c r="AN9" s="2">
        <f t="shared" si="14"/>
        <v>10049.244860118473</v>
      </c>
      <c r="AO9" s="2">
        <f t="shared" si="15"/>
        <v>9678.9506451169946</v>
      </c>
      <c r="AP9" s="2">
        <f t="shared" si="16"/>
        <v>9373.9337150399151</v>
      </c>
      <c r="AQ9" s="2">
        <f t="shared" si="17"/>
        <v>8983.6546151744242</v>
      </c>
      <c r="AR9" s="2">
        <f t="shared" si="18"/>
        <v>7990.5188430178014</v>
      </c>
      <c r="AS9" s="2">
        <f t="shared" si="19"/>
        <v>7186.4338001487413</v>
      </c>
      <c r="AX9" s="2">
        <f t="shared" si="28"/>
        <v>1.0000000000000001E-9</v>
      </c>
      <c r="AY9" s="37">
        <f t="shared" si="20"/>
        <v>38252.851083355687</v>
      </c>
      <c r="AZ9" s="37">
        <f t="shared" si="21"/>
        <v>38620.878018516763</v>
      </c>
      <c r="BA9" s="37">
        <f t="shared" si="22"/>
        <v>39005.017226510136</v>
      </c>
      <c r="BB9" s="37">
        <f t="shared" si="23"/>
        <v>39581.880536953788</v>
      </c>
      <c r="BC9" s="37">
        <f t="shared" si="24"/>
        <v>40357.830513393368</v>
      </c>
      <c r="BD9" s="37">
        <f t="shared" si="25"/>
        <v>44711.836556826791</v>
      </c>
      <c r="BE9" s="37">
        <f t="shared" si="26"/>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7"/>
        <v>-10</v>
      </c>
      <c r="N10" s="2">
        <f t="shared" si="4"/>
        <v>1E-8</v>
      </c>
      <c r="O10" s="2">
        <f t="shared" si="5"/>
        <v>28271.10816653608</v>
      </c>
      <c r="P10" s="2">
        <f t="shared" si="6"/>
        <v>27070.818204033123</v>
      </c>
      <c r="Q10" s="2">
        <f t="shared" si="7"/>
        <v>26225.207606610977</v>
      </c>
      <c r="R10" s="2">
        <f t="shared" si="8"/>
        <v>25432.620870674291</v>
      </c>
      <c r="S10" s="2">
        <f t="shared" si="9"/>
        <v>24326.616323637743</v>
      </c>
      <c r="T10" s="2">
        <f t="shared" si="10"/>
        <v>21871.427575698352</v>
      </c>
      <c r="U10" s="2">
        <f t="shared" si="11"/>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2"/>
        <v>1E-8</v>
      </c>
      <c r="AM10" s="2">
        <f t="shared" si="13"/>
        <v>10253.530794540358</v>
      </c>
      <c r="AN10" s="2">
        <f t="shared" si="14"/>
        <v>9772.6915503667024</v>
      </c>
      <c r="AO10" s="2">
        <f t="shared" si="15"/>
        <v>9429.10680786792</v>
      </c>
      <c r="AP10" s="2">
        <f t="shared" si="16"/>
        <v>9114.1360760931802</v>
      </c>
      <c r="AQ10" s="2">
        <f t="shared" si="17"/>
        <v>8670.3934759322055</v>
      </c>
      <c r="AR10" s="2">
        <f t="shared" si="18"/>
        <v>7680.5790598342728</v>
      </c>
      <c r="AS10" s="2">
        <f t="shared" si="19"/>
        <v>6923.3670228065112</v>
      </c>
      <c r="AX10" s="2">
        <f t="shared" si="28"/>
        <v>1E-8</v>
      </c>
      <c r="AY10" s="37">
        <f t="shared" si="20"/>
        <v>38813.753225395143</v>
      </c>
      <c r="AZ10" s="37">
        <f t="shared" si="21"/>
        <v>39241.146193966451</v>
      </c>
      <c r="BA10" s="37">
        <f t="shared" si="22"/>
        <v>39971.994022108353</v>
      </c>
      <c r="BB10" s="37">
        <f t="shared" si="23"/>
        <v>40457.622409102529</v>
      </c>
      <c r="BC10" s="37">
        <f t="shared" si="24"/>
        <v>41736.08570178465</v>
      </c>
      <c r="BD10" s="37">
        <f t="shared" si="25"/>
        <v>47846.378457034145</v>
      </c>
      <c r="BE10" s="37">
        <f t="shared" si="26"/>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7"/>
        <v>-10</v>
      </c>
      <c r="N11" s="2">
        <f t="shared" si="4"/>
        <v>9.9999999999999995E-8</v>
      </c>
      <c r="O11" s="2">
        <f t="shared" si="5"/>
        <v>27633.32915517396</v>
      </c>
      <c r="P11" s="2">
        <f t="shared" si="6"/>
        <v>26465.621905743457</v>
      </c>
      <c r="Q11" s="2">
        <f t="shared" si="7"/>
        <v>25588.132253504406</v>
      </c>
      <c r="R11" s="2">
        <f t="shared" si="8"/>
        <v>24732.475874883068</v>
      </c>
      <c r="S11" s="2">
        <f t="shared" si="9"/>
        <v>23476.044206061986</v>
      </c>
      <c r="T11" s="2">
        <f t="shared" si="10"/>
        <v>21220.009139639824</v>
      </c>
      <c r="U11" s="2">
        <f t="shared" si="11"/>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2"/>
        <v>9.9999999999999995E-8</v>
      </c>
      <c r="AM11" s="2">
        <f t="shared" si="13"/>
        <v>9990.0957619753135</v>
      </c>
      <c r="AN11" s="2">
        <f t="shared" si="14"/>
        <v>9517.4825603824975</v>
      </c>
      <c r="AO11" s="2">
        <f t="shared" si="15"/>
        <v>9166.8729911518094</v>
      </c>
      <c r="AP11" s="2">
        <f t="shared" si="16"/>
        <v>8823.7573464712859</v>
      </c>
      <c r="AQ11" s="2">
        <f t="shared" si="17"/>
        <v>8318.7463719570296</v>
      </c>
      <c r="AR11" s="2">
        <f t="shared" si="18"/>
        <v>7412.8102086341796</v>
      </c>
      <c r="AS11" s="2">
        <f t="shared" si="19"/>
        <v>6642.6199774647403</v>
      </c>
      <c r="AX11" s="2">
        <f t="shared" si="28"/>
        <v>9.9999999999999995E-8</v>
      </c>
      <c r="AY11" s="37">
        <f t="shared" si="20"/>
        <v>39375.916474455924</v>
      </c>
      <c r="AZ11" s="37">
        <f t="shared" si="21"/>
        <v>40234.327482181536</v>
      </c>
      <c r="BA11" s="37">
        <f t="shared" si="22"/>
        <v>40882.751585795231</v>
      </c>
      <c r="BB11" s="37">
        <f t="shared" si="23"/>
        <v>41836.102883344225</v>
      </c>
      <c r="BC11" s="37">
        <f t="shared" si="24"/>
        <v>43978.725655859154</v>
      </c>
      <c r="BD11" s="37">
        <f t="shared" si="25"/>
        <v>51484.872258824078</v>
      </c>
      <c r="BE11" s="37">
        <f t="shared" si="26"/>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7"/>
        <v>-10</v>
      </c>
      <c r="N12" s="2">
        <f t="shared" si="4"/>
        <v>9.9999999999999995E-7</v>
      </c>
      <c r="O12" s="2">
        <f t="shared" si="5"/>
        <v>26996.698164974259</v>
      </c>
      <c r="P12" s="2">
        <f t="shared" si="6"/>
        <v>25828.07692610817</v>
      </c>
      <c r="Q12" s="2">
        <f t="shared" si="7"/>
        <v>24876.504856185158</v>
      </c>
      <c r="R12" s="2">
        <f t="shared" si="8"/>
        <v>23897.672732651627</v>
      </c>
      <c r="S12" s="2">
        <f t="shared" si="9"/>
        <v>22628.420033542818</v>
      </c>
      <c r="T12" s="2">
        <f t="shared" si="10"/>
        <v>20555.569592073076</v>
      </c>
      <c r="U12" s="2">
        <f t="shared" si="11"/>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2"/>
        <v>9.9999999999999995E-7</v>
      </c>
      <c r="AM12" s="2">
        <f t="shared" si="13"/>
        <v>9721.0109842535821</v>
      </c>
      <c r="AN12" s="2">
        <f t="shared" si="14"/>
        <v>9254.9171850971579</v>
      </c>
      <c r="AO12" s="2">
        <f t="shared" si="15"/>
        <v>8871.4120157080979</v>
      </c>
      <c r="AP12" s="2">
        <f t="shared" si="16"/>
        <v>8477.9341078683501</v>
      </c>
      <c r="AQ12" s="2">
        <f t="shared" si="17"/>
        <v>7968.6744939632144</v>
      </c>
      <c r="AR12" s="2">
        <f t="shared" si="18"/>
        <v>7140.1987157287695</v>
      </c>
      <c r="AS12" s="2">
        <f t="shared" si="19"/>
        <v>6381.2467017614817</v>
      </c>
      <c r="AX12" s="2">
        <f t="shared" si="28"/>
        <v>9.9999999999999995E-7</v>
      </c>
      <c r="AY12" s="37">
        <f t="shared" si="20"/>
        <v>40380.83139009236</v>
      </c>
      <c r="AZ12" s="37">
        <f t="shared" si="21"/>
        <v>41142.122240439152</v>
      </c>
      <c r="BA12" s="37">
        <f t="shared" si="22"/>
        <v>42332.923381303306</v>
      </c>
      <c r="BB12" s="37">
        <f t="shared" si="23"/>
        <v>43963.932893854777</v>
      </c>
      <c r="BC12" s="37">
        <f t="shared" si="24"/>
        <v>47046.030804343041</v>
      </c>
      <c r="BD12" s="37">
        <f t="shared" si="25"/>
        <v>56557.358744199089</v>
      </c>
      <c r="BE12" s="37">
        <f t="shared" si="26"/>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7"/>
        <v>-10</v>
      </c>
      <c r="N13" s="2">
        <f t="shared" si="4"/>
        <v>1.0000000000000001E-5</v>
      </c>
      <c r="O13" s="2">
        <f t="shared" si="5"/>
        <v>26357.481460411112</v>
      </c>
      <c r="P13" s="2">
        <f t="shared" si="6"/>
        <v>25127.272506935918</v>
      </c>
      <c r="Q13" s="2">
        <f t="shared" si="7"/>
        <v>24031.636289671351</v>
      </c>
      <c r="R13" s="2">
        <f t="shared" si="8"/>
        <v>23029.090794914468</v>
      </c>
      <c r="S13" s="2">
        <f t="shared" si="9"/>
        <v>21934.572104378283</v>
      </c>
      <c r="T13" s="2">
        <f t="shared" si="10"/>
        <v>19886.513689148745</v>
      </c>
      <c r="U13" s="2">
        <f t="shared" si="11"/>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2"/>
        <v>1.0000000000000001E-5</v>
      </c>
      <c r="AM13" s="2">
        <f t="shared" si="13"/>
        <v>9457.2689514888043</v>
      </c>
      <c r="AN13" s="2">
        <f t="shared" si="14"/>
        <v>8963.5955807199589</v>
      </c>
      <c r="AO13" s="2">
        <f t="shared" si="15"/>
        <v>8521.038668453999</v>
      </c>
      <c r="AP13" s="2">
        <f t="shared" si="16"/>
        <v>8118.5828227804013</v>
      </c>
      <c r="AQ13" s="2">
        <f t="shared" si="17"/>
        <v>7682.4342615636733</v>
      </c>
      <c r="AR13" s="2">
        <f t="shared" si="18"/>
        <v>6866.3570711275343</v>
      </c>
      <c r="AS13" s="2">
        <f t="shared" si="19"/>
        <v>6048.4964574924006</v>
      </c>
      <c r="AX13" s="2">
        <f t="shared" si="28"/>
        <v>1.0000000000000001E-5</v>
      </c>
      <c r="AY13" s="37">
        <f t="shared" si="20"/>
        <v>41249.50745141707</v>
      </c>
      <c r="AZ13" s="37">
        <f t="shared" si="21"/>
        <v>42572.326003011323</v>
      </c>
      <c r="BA13" s="37">
        <f t="shared" si="22"/>
        <v>44570.076027890333</v>
      </c>
      <c r="BB13" s="37">
        <f t="shared" si="23"/>
        <v>46976.092551170099</v>
      </c>
      <c r="BC13" s="37">
        <f t="shared" si="24"/>
        <v>50479.692654247083</v>
      </c>
      <c r="BD13" s="37">
        <f t="shared" si="25"/>
        <v>63876.903148452388</v>
      </c>
      <c r="BE13" s="37">
        <f t="shared" si="26"/>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7"/>
        <v>-10</v>
      </c>
      <c r="N14" s="2">
        <f t="shared" si="4"/>
        <v>1E-4</v>
      </c>
      <c r="O14" s="2">
        <f t="shared" si="5"/>
        <v>25740.632270533515</v>
      </c>
      <c r="P14" s="2">
        <f t="shared" si="6"/>
        <v>24286.795692466159</v>
      </c>
      <c r="Q14" s="2">
        <f t="shared" si="7"/>
        <v>23159.055879665437</v>
      </c>
      <c r="R14" s="2">
        <f t="shared" si="8"/>
        <v>22286.897525303651</v>
      </c>
      <c r="S14" s="2">
        <f t="shared" si="9"/>
        <v>21257.681189784882</v>
      </c>
      <c r="T14" s="2">
        <f t="shared" si="10"/>
        <v>19211.618413960798</v>
      </c>
      <c r="U14" s="2">
        <f t="shared" si="11"/>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2"/>
        <v>1E-4</v>
      </c>
      <c r="AM14" s="2">
        <f t="shared" si="13"/>
        <v>9196.9082117763955</v>
      </c>
      <c r="AN14" s="2">
        <f t="shared" si="14"/>
        <v>8614.6063850970258</v>
      </c>
      <c r="AO14" s="2">
        <f t="shared" si="15"/>
        <v>8159.6492921187164</v>
      </c>
      <c r="AP14" s="2">
        <f t="shared" si="16"/>
        <v>7811.8955545814642</v>
      </c>
      <c r="AQ14" s="2">
        <f t="shared" si="17"/>
        <v>7403.9105678680935</v>
      </c>
      <c r="AR14" s="2">
        <f t="shared" si="18"/>
        <v>6590.7809918049779</v>
      </c>
      <c r="AS14" s="2">
        <f t="shared" si="19"/>
        <v>5696.5517580815231</v>
      </c>
      <c r="AX14" s="2">
        <f t="shared" si="28"/>
        <v>1E-4</v>
      </c>
      <c r="AY14" s="37">
        <f t="shared" si="20"/>
        <v>42652.687114413609</v>
      </c>
      <c r="AZ14" s="37">
        <f t="shared" si="21"/>
        <v>44790.844034825786</v>
      </c>
      <c r="BA14" s="37">
        <f t="shared" si="22"/>
        <v>47723.544650734701</v>
      </c>
      <c r="BB14" s="37">
        <f t="shared" si="23"/>
        <v>50517.80461052616</v>
      </c>
      <c r="BC14" s="37">
        <f t="shared" si="24"/>
        <v>54990.08984312298</v>
      </c>
      <c r="BD14" s="37">
        <f t="shared" si="25"/>
        <v>75271.400713022202</v>
      </c>
      <c r="BE14" s="37">
        <f t="shared" si="26"/>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7"/>
        <v>-10</v>
      </c>
      <c r="N15" s="2">
        <f t="shared" si="4"/>
        <v>1E-3</v>
      </c>
      <c r="O15" s="2">
        <f t="shared" si="5"/>
        <v>24907.510939627879</v>
      </c>
      <c r="P15" s="2">
        <f t="shared" si="6"/>
        <v>23403.671664300084</v>
      </c>
      <c r="Q15" s="2">
        <f t="shared" si="7"/>
        <v>22419.614759531887</v>
      </c>
      <c r="R15" s="2">
        <f t="shared" si="8"/>
        <v>21613.94808589037</v>
      </c>
      <c r="S15" s="2">
        <f t="shared" si="9"/>
        <v>20596.183967280733</v>
      </c>
      <c r="T15" s="2">
        <f t="shared" si="10"/>
        <v>18493.939192667691</v>
      </c>
      <c r="U15" s="2">
        <f t="shared" si="11"/>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2"/>
        <v>1E-3</v>
      </c>
      <c r="AM15" s="2">
        <f t="shared" si="13"/>
        <v>8853.3090866661241</v>
      </c>
      <c r="AN15" s="2">
        <f t="shared" si="14"/>
        <v>8248.4064055257641</v>
      </c>
      <c r="AO15" s="2">
        <f t="shared" si="15"/>
        <v>7853.7898979258625</v>
      </c>
      <c r="AP15" s="2">
        <f t="shared" si="16"/>
        <v>7534.5067060295696</v>
      </c>
      <c r="AQ15" s="2">
        <f t="shared" si="17"/>
        <v>7132.2476769922887</v>
      </c>
      <c r="AR15" s="2">
        <f t="shared" si="18"/>
        <v>6298.9484082003064</v>
      </c>
      <c r="AS15" s="2">
        <f t="shared" si="19"/>
        <v>5284.0344872686346</v>
      </c>
      <c r="AX15" s="2">
        <f t="shared" si="28"/>
        <v>1E-3</v>
      </c>
      <c r="AY15" s="37">
        <f t="shared" si="20"/>
        <v>44483.118491309542</v>
      </c>
      <c r="AZ15" s="37">
        <f t="shared" si="21"/>
        <v>47965.25101202567</v>
      </c>
      <c r="BA15" s="37">
        <f t="shared" si="22"/>
        <v>51405.936198888216</v>
      </c>
      <c r="BB15" s="37">
        <f t="shared" si="23"/>
        <v>54855.510428800502</v>
      </c>
      <c r="BC15" s="37">
        <f t="shared" si="24"/>
        <v>61164.375379262776</v>
      </c>
      <c r="BD15" s="37">
        <f t="shared" si="25"/>
        <v>96376.788966608874</v>
      </c>
      <c r="BE15" s="37">
        <f t="shared" si="26"/>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7"/>
        <v>-10</v>
      </c>
      <c r="N16" s="2">
        <f t="shared" si="4"/>
        <v>0.01</v>
      </c>
      <c r="O16" s="2">
        <f t="shared" si="5"/>
        <v>24008.860065086232</v>
      </c>
      <c r="P16" s="2">
        <f t="shared" si="6"/>
        <v>22640.42259603702</v>
      </c>
      <c r="Q16" s="2">
        <f t="shared" si="7"/>
        <v>21739.628150741388</v>
      </c>
      <c r="R16" s="2">
        <f t="shared" si="8"/>
        <v>20938.997747813366</v>
      </c>
      <c r="S16" s="2">
        <f t="shared" si="9"/>
        <v>19893.942776426389</v>
      </c>
      <c r="T16" s="2">
        <f t="shared" si="10"/>
        <v>17620.069319366423</v>
      </c>
      <c r="U16" s="2">
        <f t="shared" si="11"/>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2"/>
        <v>0.01</v>
      </c>
      <c r="AM16" s="2">
        <f t="shared" si="13"/>
        <v>8479.914716286281</v>
      </c>
      <c r="AN16" s="2">
        <f t="shared" si="14"/>
        <v>7932.3411730217404</v>
      </c>
      <c r="AO16" s="2">
        <f t="shared" si="15"/>
        <v>7573.2536155058961</v>
      </c>
      <c r="AP16" s="2">
        <f t="shared" si="16"/>
        <v>7256.8628130889483</v>
      </c>
      <c r="AQ16" s="2">
        <f t="shared" si="17"/>
        <v>6844.7384968439528</v>
      </c>
      <c r="AR16" s="2">
        <f t="shared" si="18"/>
        <v>5945.6821100901007</v>
      </c>
      <c r="AS16" s="2">
        <f t="shared" si="19"/>
        <v>4808.4059861038604</v>
      </c>
      <c r="AX16" s="2">
        <f t="shared" si="28"/>
        <v>0.01</v>
      </c>
      <c r="AY16" s="37">
        <f t="shared" si="20"/>
        <v>47428.273679676793</v>
      </c>
      <c r="AZ16" s="37">
        <f t="shared" si="21"/>
        <v>51758.433630086693</v>
      </c>
      <c r="BA16" s="37">
        <f t="shared" si="22"/>
        <v>55992.32233276176</v>
      </c>
      <c r="BB16" s="37">
        <f t="shared" si="23"/>
        <v>60907.942517520132</v>
      </c>
      <c r="BC16" s="37">
        <f t="shared" si="24"/>
        <v>70891.060936983718</v>
      </c>
      <c r="BD16" s="37">
        <f t="shared" si="25"/>
        <v>160943.82609826379</v>
      </c>
      <c r="BE16" s="37">
        <f t="shared" si="26"/>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7"/>
        <v>-10</v>
      </c>
      <c r="N17" s="2">
        <f t="shared" si="4"/>
        <v>0.1</v>
      </c>
      <c r="O17" s="2">
        <f t="shared" si="5"/>
        <v>23163.16253461437</v>
      </c>
      <c r="P17" s="2">
        <f t="shared" si="6"/>
        <v>21960.061750187804</v>
      </c>
      <c r="Q17" s="2">
        <f t="shared" si="7"/>
        <v>21060.942195066949</v>
      </c>
      <c r="R17" s="2">
        <f t="shared" si="8"/>
        <v>20242.711498943983</v>
      </c>
      <c r="S17" s="2">
        <f t="shared" si="9"/>
        <v>19226.017235388372</v>
      </c>
      <c r="T17" s="2">
        <f t="shared" si="10"/>
        <v>16616.896687245979</v>
      </c>
      <c r="U17" s="2">
        <f t="shared" si="11"/>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2"/>
        <v>0.1</v>
      </c>
      <c r="AM17" s="2">
        <f t="shared" si="13"/>
        <v>8128.965640404419</v>
      </c>
      <c r="AN17" s="2">
        <f t="shared" si="14"/>
        <v>7651.3188875674869</v>
      </c>
      <c r="AO17" s="2">
        <f t="shared" si="15"/>
        <v>7293.8613287583112</v>
      </c>
      <c r="AP17" s="2">
        <f t="shared" si="16"/>
        <v>6971.3695334324493</v>
      </c>
      <c r="AQ17" s="2">
        <f t="shared" si="17"/>
        <v>6572.6294407257219</v>
      </c>
      <c r="AR17" s="2">
        <f t="shared" si="18"/>
        <v>5548.4424875147679</v>
      </c>
      <c r="AS17" s="2">
        <f t="shared" si="19"/>
        <v>4180.5720256158129</v>
      </c>
      <c r="AX17" s="2">
        <f t="shared" si="28"/>
        <v>0.1</v>
      </c>
      <c r="AY17" s="37">
        <f t="shared" si="20"/>
        <v>51289.058156457933</v>
      </c>
      <c r="AZ17" s="37">
        <f t="shared" si="21"/>
        <v>56351.844688906232</v>
      </c>
      <c r="BA17" s="37">
        <f t="shared" si="22"/>
        <v>62396.526503031571</v>
      </c>
      <c r="BB17" s="37">
        <f t="shared" si="23"/>
        <v>70062.571481338528</v>
      </c>
      <c r="BC17" s="37">
        <f t="shared" si="24"/>
        <v>85635.911727872503</v>
      </c>
      <c r="BD17" s="37">
        <f t="shared" si="25"/>
        <v>1080963.5523797481</v>
      </c>
      <c r="BE17" s="37">
        <f t="shared" si="26"/>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7"/>
        <v>-10</v>
      </c>
      <c r="N18" s="2">
        <f t="shared" si="4"/>
        <v>1</v>
      </c>
      <c r="O18" s="2">
        <f t="shared" si="5"/>
        <v>22481.223906605439</v>
      </c>
      <c r="P18" s="2">
        <f t="shared" si="6"/>
        <v>21272.592100599177</v>
      </c>
      <c r="Q18" s="2">
        <f t="shared" si="7"/>
        <v>20355.086457531841</v>
      </c>
      <c r="R18" s="2">
        <f t="shared" si="8"/>
        <v>19548.024648651623</v>
      </c>
      <c r="S18" s="2">
        <f t="shared" si="9"/>
        <v>18337.634346879531</v>
      </c>
      <c r="T18" s="2">
        <f t="shared" si="10"/>
        <v>15046.948629287466</v>
      </c>
      <c r="U18" s="2">
        <f t="shared" si="11"/>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2"/>
        <v>1</v>
      </c>
      <c r="AM18" s="2">
        <f t="shared" si="13"/>
        <v>7846.4940246078413</v>
      </c>
      <c r="AN18" s="2">
        <f t="shared" si="14"/>
        <v>7368.015082756323</v>
      </c>
      <c r="AO18" s="2">
        <f t="shared" si="15"/>
        <v>7004.3784649959834</v>
      </c>
      <c r="AP18" s="2">
        <f t="shared" si="16"/>
        <v>6688.5259415281262</v>
      </c>
      <c r="AQ18" s="2">
        <f t="shared" si="17"/>
        <v>6219.0027578185491</v>
      </c>
      <c r="AR18" s="2">
        <f t="shared" si="18"/>
        <v>4973.8956031837224</v>
      </c>
      <c r="AS18" s="2">
        <f t="shared" si="19"/>
        <v>3284.9966289927738</v>
      </c>
      <c r="AX18" s="2">
        <f t="shared" si="28"/>
        <v>1</v>
      </c>
      <c r="AY18" s="37">
        <f t="shared" si="20"/>
        <v>55562.619945805782</v>
      </c>
      <c r="AZ18" s="37">
        <f t="shared" si="21"/>
        <v>62836.484888256178</v>
      </c>
      <c r="BA18" s="37">
        <f t="shared" si="22"/>
        <v>72220.935313936774</v>
      </c>
      <c r="BB18" s="37">
        <f t="shared" si="23"/>
        <v>84208.71905738597</v>
      </c>
      <c r="BC18" s="37">
        <f t="shared" si="24"/>
        <v>119026.41291323678</v>
      </c>
      <c r="BD18" s="37">
        <f t="shared" si="25"/>
        <v>-199161.38263066887</v>
      </c>
      <c r="BE18" s="37">
        <f t="shared" si="26"/>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7"/>
        <v>-10</v>
      </c>
      <c r="N19" s="2">
        <f t="shared" si="4"/>
        <v>10</v>
      </c>
      <c r="O19" s="2">
        <f t="shared" si="5"/>
        <v>21773.927605448269</v>
      </c>
      <c r="P19" s="2">
        <f t="shared" si="6"/>
        <v>20566.577236529185</v>
      </c>
      <c r="Q19" s="2">
        <f t="shared" si="7"/>
        <v>19644.288630187701</v>
      </c>
      <c r="R19" s="2">
        <f t="shared" si="8"/>
        <v>18640.720573138031</v>
      </c>
      <c r="S19" s="2">
        <f t="shared" si="9"/>
        <v>16887.124050400827</v>
      </c>
      <c r="T19" s="2">
        <f t="shared" si="10"/>
        <v>12238.518800742644</v>
      </c>
      <c r="U19" s="2">
        <f t="shared" si="11"/>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2"/>
        <v>10</v>
      </c>
      <c r="AM19" s="2">
        <f t="shared" si="13"/>
        <v>7554.3574872186746</v>
      </c>
      <c r="AN19" s="2">
        <f t="shared" si="14"/>
        <v>7078.2683200185556</v>
      </c>
      <c r="AO19" s="2">
        <f t="shared" si="15"/>
        <v>6716.1281746734903</v>
      </c>
      <c r="AP19" s="2">
        <f t="shared" si="16"/>
        <v>6332.8599538611707</v>
      </c>
      <c r="AQ19" s="2">
        <f t="shared" si="17"/>
        <v>5690.6299745251627</v>
      </c>
      <c r="AR19" s="2">
        <f t="shared" si="18"/>
        <v>4041.6864062630743</v>
      </c>
      <c r="AS19" s="2">
        <f t="shared" si="19"/>
        <v>2245.2955925232422</v>
      </c>
      <c r="AX19" s="2">
        <f t="shared" si="28"/>
        <v>10</v>
      </c>
      <c r="AY19" s="37">
        <f t="shared" si="20"/>
        <v>61665.255060885051</v>
      </c>
      <c r="AZ19" s="37">
        <f t="shared" si="21"/>
        <v>72617.835197599168</v>
      </c>
      <c r="BA19" s="37">
        <f t="shared" si="22"/>
        <v>87241.046762945829</v>
      </c>
      <c r="BB19" s="37">
        <f t="shared" si="23"/>
        <v>109958.55693405851</v>
      </c>
      <c r="BC19" s="37">
        <f t="shared" si="24"/>
        <v>173369.63198085185</v>
      </c>
      <c r="BD19" s="37">
        <f t="shared" si="25"/>
        <v>-145321.22134929974</v>
      </c>
      <c r="BE19" s="37">
        <f t="shared" si="26"/>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7"/>
        <v>-10</v>
      </c>
      <c r="N20" s="2">
        <f t="shared" si="4"/>
        <v>100</v>
      </c>
      <c r="O20" s="2">
        <f t="shared" si="5"/>
        <v>21087.066981296954</v>
      </c>
      <c r="P20" s="2">
        <f t="shared" si="6"/>
        <v>19830.969878343232</v>
      </c>
      <c r="Q20" s="2">
        <f t="shared" si="7"/>
        <v>18602.958627296397</v>
      </c>
      <c r="R20" s="2">
        <f t="shared" si="8"/>
        <v>16878.522668241734</v>
      </c>
      <c r="S20" s="2">
        <f t="shared" si="9"/>
        <v>14118.795545721701</v>
      </c>
      <c r="T20" s="2">
        <f t="shared" si="10"/>
        <v>9002.0464995310685</v>
      </c>
      <c r="U20" s="2">
        <f t="shared" si="11"/>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2"/>
        <v>100</v>
      </c>
      <c r="AM20" s="2">
        <f t="shared" si="13"/>
        <v>7271.4639946770558</v>
      </c>
      <c r="AN20" s="2">
        <f t="shared" si="14"/>
        <v>6780.7506129740432</v>
      </c>
      <c r="AO20" s="2">
        <f t="shared" si="15"/>
        <v>6317.4824905918776</v>
      </c>
      <c r="AP20" s="2">
        <f t="shared" si="16"/>
        <v>5707.8128215740962</v>
      </c>
      <c r="AQ20" s="2">
        <f t="shared" si="17"/>
        <v>4763.4711208275512</v>
      </c>
      <c r="AR20" s="2">
        <f t="shared" si="18"/>
        <v>2997.7303823547541</v>
      </c>
      <c r="AS20" s="2">
        <f t="shared" si="19"/>
        <v>1455.0382053123094</v>
      </c>
      <c r="AX20" s="2">
        <f t="shared" si="28"/>
        <v>100</v>
      </c>
      <c r="AY20" s="37">
        <f t="shared" si="20"/>
        <v>70272.962674375391</v>
      </c>
      <c r="AZ20" s="37">
        <f t="shared" si="21"/>
        <v>87667.778594674644</v>
      </c>
      <c r="BA20" s="37">
        <f t="shared" si="22"/>
        <v>112091.19380836448</v>
      </c>
      <c r="BB20" s="37">
        <f t="shared" si="23"/>
        <v>131119.14309519043</v>
      </c>
      <c r="BC20" s="37">
        <f t="shared" si="24"/>
        <v>130628.38523460364</v>
      </c>
      <c r="BD20" s="37">
        <f t="shared" si="25"/>
        <v>-1015796.5063565745</v>
      </c>
      <c r="BE20" s="37">
        <f t="shared" si="26"/>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7"/>
        <v>-10</v>
      </c>
      <c r="N21" s="2">
        <f t="shared" si="4"/>
        <v>1000</v>
      </c>
      <c r="O21" s="2">
        <f t="shared" si="5"/>
        <v>20347.013549064694</v>
      </c>
      <c r="P21" s="2">
        <f t="shared" si="6"/>
        <v>18713.790486283193</v>
      </c>
      <c r="Q21" s="2">
        <f t="shared" si="7"/>
        <v>16457.278363014269</v>
      </c>
      <c r="R21" s="2">
        <f t="shared" si="8"/>
        <v>13857.093458018669</v>
      </c>
      <c r="S21" s="2">
        <f t="shared" si="9"/>
        <v>11018.50321504183</v>
      </c>
      <c r="T21" s="2">
        <f t="shared" si="10"/>
        <v>6299.4148599524888</v>
      </c>
      <c r="U21" s="2">
        <f t="shared" si="11"/>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2"/>
        <v>1000</v>
      </c>
      <c r="AM21" s="2">
        <f t="shared" si="13"/>
        <v>6968.3337174677063</v>
      </c>
      <c r="AN21" s="2">
        <f t="shared" si="14"/>
        <v>6359.8481605512916</v>
      </c>
      <c r="AO21" s="2">
        <f t="shared" si="15"/>
        <v>5575.0877249610812</v>
      </c>
      <c r="AP21" s="2">
        <f t="shared" si="16"/>
        <v>4703.4024219609055</v>
      </c>
      <c r="AQ21" s="2">
        <f t="shared" si="17"/>
        <v>3748.4083561986595</v>
      </c>
      <c r="AR21" s="2">
        <f t="shared" si="18"/>
        <v>2118.9396419195423</v>
      </c>
      <c r="AS21" s="2">
        <f t="shared" si="19"/>
        <v>939.75400333325899</v>
      </c>
      <c r="AX21" s="2">
        <f t="shared" si="28"/>
        <v>1000</v>
      </c>
      <c r="AY21" s="37">
        <f t="shared" si="20"/>
        <v>84700.077991831757</v>
      </c>
      <c r="AZ21" s="37">
        <f t="shared" si="21"/>
        <v>108467.1368438135</v>
      </c>
      <c r="BA21" s="37">
        <f t="shared" si="22"/>
        <v>114124.34153515651</v>
      </c>
      <c r="BB21" s="37">
        <f t="shared" si="23"/>
        <v>85831.596837512931</v>
      </c>
      <c r="BC21" s="37">
        <f t="shared" si="24"/>
        <v>60723.229626384789</v>
      </c>
      <c r="BD21" s="37">
        <f t="shared" si="25"/>
        <v>77509.491590884703</v>
      </c>
      <c r="BE21" s="37">
        <f t="shared" si="26"/>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7"/>
        <v>-10</v>
      </c>
      <c r="N22" s="2">
        <f t="shared" si="4"/>
        <v>10000</v>
      </c>
      <c r="O22" s="2">
        <f t="shared" si="5"/>
        <v>19576.943810412493</v>
      </c>
      <c r="P22" s="2">
        <f t="shared" si="6"/>
        <v>16304.055163233405</v>
      </c>
      <c r="Q22" s="2">
        <f t="shared" si="7"/>
        <v>13260.358423699518</v>
      </c>
      <c r="R22" s="2">
        <f t="shared" si="8"/>
        <v>10857.454098251519</v>
      </c>
      <c r="S22" s="2">
        <f t="shared" si="9"/>
        <v>8451.2463294426198</v>
      </c>
      <c r="T22" s="2">
        <f t="shared" si="10"/>
        <v>4210.2625317622196</v>
      </c>
      <c r="U22" s="2">
        <f t="shared" si="11"/>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2"/>
        <v>10000</v>
      </c>
      <c r="AM22" s="2">
        <f t="shared" si="13"/>
        <v>6660.7873102364538</v>
      </c>
      <c r="AN22" s="2">
        <f t="shared" si="14"/>
        <v>5533.5094566127227</v>
      </c>
      <c r="AO22" s="2">
        <f t="shared" si="15"/>
        <v>4517.4360226770941</v>
      </c>
      <c r="AP22" s="2">
        <f t="shared" si="16"/>
        <v>3716.6695709784594</v>
      </c>
      <c r="AQ22" s="2">
        <f t="shared" si="17"/>
        <v>2899.8712503562774</v>
      </c>
      <c r="AR22" s="2">
        <f t="shared" si="18"/>
        <v>1431.9051140793895</v>
      </c>
      <c r="AS22" s="2">
        <f t="shared" si="19"/>
        <v>667.66248335298053</v>
      </c>
      <c r="AX22" s="2">
        <f t="shared" si="28"/>
        <v>10000</v>
      </c>
      <c r="AY22" s="37">
        <f t="shared" si="20"/>
        <v>107212.65476912535</v>
      </c>
      <c r="AZ22" s="37">
        <f t="shared" si="21"/>
        <v>101435.40958285246</v>
      </c>
      <c r="BA22" s="37">
        <f t="shared" si="22"/>
        <v>68394.010154204807</v>
      </c>
      <c r="BB22" s="37">
        <f t="shared" si="23"/>
        <v>45978.388580965024</v>
      </c>
      <c r="BC22" s="37">
        <f t="shared" si="24"/>
        <v>32891.493444086351</v>
      </c>
      <c r="BD22" s="37">
        <f t="shared" si="25"/>
        <v>23516.669287095461</v>
      </c>
      <c r="BE22" s="37">
        <f t="shared" si="26"/>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7"/>
        <v>-10</v>
      </c>
      <c r="N23" s="2">
        <f t="shared" si="4"/>
        <v>100000</v>
      </c>
      <c r="O23" s="2">
        <f t="shared" si="5"/>
        <v>18103.790749641561</v>
      </c>
      <c r="P23" s="2">
        <f t="shared" si="6"/>
        <v>13092.540319413096</v>
      </c>
      <c r="Q23" s="2">
        <f t="shared" si="7"/>
        <v>10416.794396407478</v>
      </c>
      <c r="R23" s="2">
        <f t="shared" si="8"/>
        <v>8478.2147185877038</v>
      </c>
      <c r="S23" s="2">
        <f t="shared" si="9"/>
        <v>6385.151072127067</v>
      </c>
      <c r="T23" s="2">
        <f t="shared" si="10"/>
        <v>2806.9505484925726</v>
      </c>
      <c r="U23" s="2">
        <f t="shared" si="11"/>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2"/>
        <v>100000</v>
      </c>
      <c r="AM23" s="2">
        <f t="shared" si="13"/>
        <v>6120.1247453486039</v>
      </c>
      <c r="AN23" s="2">
        <f t="shared" si="14"/>
        <v>4472.2559132167689</v>
      </c>
      <c r="AO23" s="2">
        <f t="shared" si="15"/>
        <v>3579.1976948167016</v>
      </c>
      <c r="AP23" s="2">
        <f t="shared" si="16"/>
        <v>2925.6425281910142</v>
      </c>
      <c r="AQ23" s="2">
        <f t="shared" si="17"/>
        <v>2207.9514817928284</v>
      </c>
      <c r="AR23" s="2">
        <f t="shared" si="18"/>
        <v>967.83847313448518</v>
      </c>
      <c r="AS23" s="2">
        <f t="shared" si="19"/>
        <v>524.73653922891083</v>
      </c>
      <c r="AX23" s="2">
        <f t="shared" si="28"/>
        <v>100000</v>
      </c>
      <c r="AY23" s="37">
        <f t="shared" si="20"/>
        <v>143939.45001969935</v>
      </c>
      <c r="AZ23" s="37">
        <f t="shared" si="21"/>
        <v>60197.654699373015</v>
      </c>
      <c r="BA23" s="37">
        <f t="shared" si="22"/>
        <v>38740.564182156799</v>
      </c>
      <c r="BB23" s="37">
        <f t="shared" si="23"/>
        <v>27679.005904232457</v>
      </c>
      <c r="BC23" s="37">
        <f t="shared" si="24"/>
        <v>19687.06122462291</v>
      </c>
      <c r="BD23" s="37">
        <f t="shared" si="25"/>
        <v>9377.7192036505076</v>
      </c>
      <c r="BE23" s="37">
        <f t="shared" si="26"/>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7"/>
        <v>-10</v>
      </c>
      <c r="N24" s="2">
        <f t="shared" si="4"/>
        <v>1000000</v>
      </c>
      <c r="O24" s="2">
        <f t="shared" si="5"/>
        <v>15302.712576320093</v>
      </c>
      <c r="P24" s="2">
        <f t="shared" si="6"/>
        <v>10335.186028623857</v>
      </c>
      <c r="Q24" s="2">
        <f t="shared" si="7"/>
        <v>8194.0642853841819</v>
      </c>
      <c r="R24" s="2">
        <f t="shared" si="8"/>
        <v>6535.1049218563885</v>
      </c>
      <c r="S24" s="2">
        <f t="shared" si="9"/>
        <v>4603.6168802687898</v>
      </c>
      <c r="T24" s="2">
        <f t="shared" si="10"/>
        <v>1932.9251555032763</v>
      </c>
      <c r="U24" s="2">
        <f t="shared" si="11"/>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2"/>
        <v>1000000</v>
      </c>
      <c r="AM24" s="2">
        <f t="shared" si="13"/>
        <v>5179.772775385416</v>
      </c>
      <c r="AN24" s="2">
        <f t="shared" si="14"/>
        <v>3559.9181790033126</v>
      </c>
      <c r="AO24" s="2">
        <f t="shared" si="15"/>
        <v>2836.8024969308635</v>
      </c>
      <c r="AP24" s="2">
        <f t="shared" si="16"/>
        <v>2271.2592133629987</v>
      </c>
      <c r="AQ24" s="2">
        <f t="shared" si="17"/>
        <v>1604.1263924000411</v>
      </c>
      <c r="AR24" s="2">
        <f t="shared" si="18"/>
        <v>675.63698437161315</v>
      </c>
      <c r="AS24" s="2">
        <f t="shared" si="19"/>
        <v>458.1071148045329</v>
      </c>
      <c r="AX24" s="2">
        <f t="shared" si="28"/>
        <v>1000000</v>
      </c>
      <c r="AY24" s="37">
        <f t="shared" si="20"/>
        <v>111668.9881054026</v>
      </c>
      <c r="AZ24" s="37">
        <f t="shared" si="21"/>
        <v>35592.744482087299</v>
      </c>
      <c r="BA24" s="37">
        <f t="shared" si="22"/>
        <v>24493.378949802292</v>
      </c>
      <c r="BB24" s="37">
        <f t="shared" si="23"/>
        <v>17754.300167590423</v>
      </c>
      <c r="BC24" s="37">
        <f t="shared" si="24"/>
        <v>11791.37460274017</v>
      </c>
      <c r="BD24" s="37">
        <f t="shared" si="25"/>
        <v>4631.7484707554549</v>
      </c>
      <c r="BE24" s="37">
        <f t="shared" si="26"/>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7"/>
        <v>-10</v>
      </c>
      <c r="N25" s="2">
        <f t="shared" si="4"/>
        <v>10000000</v>
      </c>
      <c r="O25" s="2">
        <f t="shared" si="5"/>
        <v>12048.939349081869</v>
      </c>
      <c r="P25" s="2">
        <f t="shared" si="6"/>
        <v>8197.7292290035639</v>
      </c>
      <c r="Q25" s="2">
        <f t="shared" si="7"/>
        <v>6350.3770073677797</v>
      </c>
      <c r="R25" s="2">
        <f t="shared" si="8"/>
        <v>4830.4986311194953</v>
      </c>
      <c r="S25" s="2">
        <f t="shared" si="9"/>
        <v>3194.5015727809041</v>
      </c>
      <c r="T25" s="2">
        <f t="shared" si="10"/>
        <v>1502.9979225992142</v>
      </c>
      <c r="U25" s="2">
        <f t="shared" si="11"/>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2"/>
        <v>10000000</v>
      </c>
      <c r="AM25" s="2">
        <f t="shared" si="13"/>
        <v>4110.4480491252179</v>
      </c>
      <c r="AN25" s="2">
        <f t="shared" si="14"/>
        <v>2844.2645935941323</v>
      </c>
      <c r="AO25" s="2">
        <f t="shared" si="15"/>
        <v>2213.6861360404496</v>
      </c>
      <c r="AP25" s="2">
        <f t="shared" si="16"/>
        <v>1690.9117320692962</v>
      </c>
      <c r="AQ25" s="2">
        <f t="shared" si="17"/>
        <v>1123.4067588567204</v>
      </c>
      <c r="AR25" s="2">
        <f t="shared" si="18"/>
        <v>531.67099399258564</v>
      </c>
      <c r="AS25" s="2">
        <f t="shared" si="19"/>
        <v>416.14335450856197</v>
      </c>
      <c r="AX25" s="2">
        <f t="shared" si="28"/>
        <v>10000000</v>
      </c>
      <c r="AY25" s="37">
        <f t="shared" si="20"/>
        <v>58458.094598826036</v>
      </c>
      <c r="AZ25" s="37">
        <f t="shared" si="21"/>
        <v>23196.038763417302</v>
      </c>
      <c r="BA25" s="37">
        <f t="shared" si="22"/>
        <v>16120.446077614522</v>
      </c>
      <c r="BB25" s="37">
        <f t="shared" si="23"/>
        <v>11239.628231633958</v>
      </c>
      <c r="BC25" s="37">
        <f t="shared" si="24"/>
        <v>6807.7075853850884</v>
      </c>
      <c r="BD25" s="37">
        <f t="shared" si="25"/>
        <v>2894.8174529768339</v>
      </c>
      <c r="BE25" s="37">
        <f t="shared" si="26"/>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7"/>
        <v>-10</v>
      </c>
      <c r="N26" s="2">
        <f t="shared" si="4"/>
        <v>100000000</v>
      </c>
      <c r="O26" s="2">
        <f t="shared" si="5"/>
        <v>9429.6022803903543</v>
      </c>
      <c r="P26" s="2">
        <f t="shared" si="6"/>
        <v>6405.6673244859958</v>
      </c>
      <c r="Q26" s="2">
        <f t="shared" si="7"/>
        <v>4702.1835758262832</v>
      </c>
      <c r="R26" s="2">
        <f t="shared" si="8"/>
        <v>3384.614759763429</v>
      </c>
      <c r="S26" s="2">
        <f t="shared" si="9"/>
        <v>2202.2766985496346</v>
      </c>
      <c r="T26" s="2">
        <f t="shared" si="10"/>
        <v>1272.2989475034187</v>
      </c>
      <c r="U26" s="2">
        <f t="shared" si="11"/>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2"/>
        <v>100000000</v>
      </c>
      <c r="AM26" s="2">
        <f t="shared" si="13"/>
        <v>3245.0810486621449</v>
      </c>
      <c r="AN26" s="2">
        <f t="shared" si="14"/>
        <v>2237.2915384432267</v>
      </c>
      <c r="AO26" s="2">
        <f t="shared" si="15"/>
        <v>1650.6334197278006</v>
      </c>
      <c r="AP26" s="2">
        <f t="shared" si="16"/>
        <v>1194.4542594457305</v>
      </c>
      <c r="AQ26" s="2">
        <f t="shared" si="17"/>
        <v>780.76520754617513</v>
      </c>
      <c r="AR26" s="2">
        <f t="shared" si="18"/>
        <v>453.91977153237434</v>
      </c>
      <c r="AS26" s="2">
        <f t="shared" si="19"/>
        <v>393.17885286775953</v>
      </c>
      <c r="AX26" s="2">
        <f t="shared" si="28"/>
        <v>100000000</v>
      </c>
      <c r="AY26" s="37">
        <f t="shared" si="20"/>
        <v>33372.30837553781</v>
      </c>
      <c r="AZ26" s="37">
        <f t="shared" si="21"/>
        <v>15600.918867376864</v>
      </c>
      <c r="BA26" s="37">
        <f t="shared" si="22"/>
        <v>10360.516368135783</v>
      </c>
      <c r="BB26" s="37">
        <f t="shared" si="23"/>
        <v>6780.3904753259076</v>
      </c>
      <c r="BC26" s="37">
        <f t="shared" si="24"/>
        <v>4093.4015046080817</v>
      </c>
      <c r="BD26" s="37">
        <f t="shared" si="25"/>
        <v>2151.8715170883579</v>
      </c>
      <c r="BE26" s="37">
        <f t="shared" si="26"/>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7"/>
        <v>-10</v>
      </c>
      <c r="N27" s="2">
        <f t="shared" si="4"/>
        <v>1000000000</v>
      </c>
      <c r="O27" s="2">
        <f t="shared" si="5"/>
        <v>7338.6936269861963</v>
      </c>
      <c r="P27" s="2">
        <f t="shared" si="6"/>
        <v>4790.708194240824</v>
      </c>
      <c r="Q27" s="2">
        <f t="shared" si="7"/>
        <v>3303.3971305522173</v>
      </c>
      <c r="R27" s="2">
        <f t="shared" si="8"/>
        <v>2348.4622839305662</v>
      </c>
      <c r="S27" s="2">
        <f t="shared" si="9"/>
        <v>1630.4562519705228</v>
      </c>
      <c r="T27" s="2">
        <f t="shared" si="10"/>
        <v>1164.8859443530655</v>
      </c>
      <c r="U27" s="2">
        <f t="shared" si="11"/>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2"/>
        <v>1000000000</v>
      </c>
      <c r="AM27" s="2">
        <f t="shared" si="13"/>
        <v>2543.9226414929772</v>
      </c>
      <c r="AN27" s="2">
        <f t="shared" si="14"/>
        <v>1684.6343995836892</v>
      </c>
      <c r="AO27" s="2">
        <f t="shared" si="15"/>
        <v>1168.6567020451771</v>
      </c>
      <c r="AP27" s="2">
        <f t="shared" si="16"/>
        <v>834.8043301176574</v>
      </c>
      <c r="AQ27" s="2">
        <f t="shared" si="17"/>
        <v>582.0058323502866</v>
      </c>
      <c r="AR27" s="2">
        <f t="shared" si="18"/>
        <v>417.85505040960345</v>
      </c>
      <c r="AS27" s="2">
        <f t="shared" si="19"/>
        <v>379.36405724647841</v>
      </c>
      <c r="AX27" s="2">
        <f t="shared" si="28"/>
        <v>1000000000</v>
      </c>
      <c r="AY27" s="37">
        <f t="shared" si="20"/>
        <v>21233.601895930122</v>
      </c>
      <c r="AZ27" s="37">
        <f t="shared" si="21"/>
        <v>10221.308262041164</v>
      </c>
      <c r="BA27" s="37">
        <f t="shared" si="22"/>
        <v>6352.5044658106381</v>
      </c>
      <c r="BB27" s="37">
        <f t="shared" si="23"/>
        <v>4190.4405323928358</v>
      </c>
      <c r="BC27" s="37">
        <f t="shared" si="24"/>
        <v>2737.1778701390231</v>
      </c>
      <c r="BD27" s="37">
        <f t="shared" si="25"/>
        <v>1829.6415140515619</v>
      </c>
      <c r="BE27" s="37">
        <f t="shared" si="26"/>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7"/>
        <v>-10</v>
      </c>
      <c r="N28" s="2">
        <f t="shared" si="4"/>
        <v>10000000000</v>
      </c>
      <c r="O28" s="2">
        <f t="shared" si="5"/>
        <v>5569.9607117251235</v>
      </c>
      <c r="P28" s="2">
        <f t="shared" si="6"/>
        <v>3379.2640978505115</v>
      </c>
      <c r="Q28" s="2">
        <f t="shared" si="7"/>
        <v>2297.0515269741904</v>
      </c>
      <c r="R28" s="2">
        <f t="shared" si="8"/>
        <v>1698.8519837834383</v>
      </c>
      <c r="S28" s="2">
        <f t="shared" si="9"/>
        <v>1330.8521179941092</v>
      </c>
      <c r="T28" s="2">
        <f t="shared" si="10"/>
        <v>1088.8471933003668</v>
      </c>
      <c r="U28" s="2">
        <f t="shared" si="11"/>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2"/>
        <v>10000000000</v>
      </c>
      <c r="AM28" s="2">
        <f t="shared" si="13"/>
        <v>1944.565914995268</v>
      </c>
      <c r="AN28" s="2">
        <f t="shared" si="14"/>
        <v>1197.1004230306633</v>
      </c>
      <c r="AO28" s="2">
        <f t="shared" si="15"/>
        <v>818.07631905971209</v>
      </c>
      <c r="AP28" s="2">
        <f t="shared" si="16"/>
        <v>607.40413984309237</v>
      </c>
      <c r="AQ28" s="2">
        <f t="shared" si="17"/>
        <v>477.43912435634792</v>
      </c>
      <c r="AR28" s="2">
        <f t="shared" si="18"/>
        <v>391.91620643386665</v>
      </c>
      <c r="AS28" s="2">
        <f t="shared" si="19"/>
        <v>357.29334618358928</v>
      </c>
      <c r="AX28" s="2">
        <f t="shared" si="28"/>
        <v>10000000000</v>
      </c>
      <c r="AY28" s="37">
        <f t="shared" si="20"/>
        <v>13689.337461098799</v>
      </c>
      <c r="AZ28" s="37">
        <f t="shared" si="21"/>
        <v>6359.4486089142256</v>
      </c>
      <c r="BA28" s="37">
        <f t="shared" si="22"/>
        <v>3985.2275131089514</v>
      </c>
      <c r="BB28" s="37">
        <f t="shared" si="23"/>
        <v>2788.2784343615817</v>
      </c>
      <c r="BC28" s="37">
        <f t="shared" si="24"/>
        <v>2087.4169172282668</v>
      </c>
      <c r="BD28" s="37">
        <f t="shared" si="25"/>
        <v>1636.8617525270804</v>
      </c>
      <c r="BE28" s="37">
        <f t="shared" si="26"/>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7"/>
        <v>-10</v>
      </c>
      <c r="N29" s="2">
        <f t="shared" si="4"/>
        <v>100000000000</v>
      </c>
      <c r="O29" s="2">
        <f t="shared" si="5"/>
        <v>3970.3448364735204</v>
      </c>
      <c r="P29" s="2">
        <f t="shared" si="6"/>
        <v>2356.5496837698847</v>
      </c>
      <c r="Q29" s="2">
        <f t="shared" si="7"/>
        <v>1673.1401254855093</v>
      </c>
      <c r="R29" s="2">
        <f t="shared" si="8"/>
        <v>1372.7849232758351</v>
      </c>
      <c r="S29" s="2">
        <f t="shared" si="9"/>
        <v>1189.5333841184786</v>
      </c>
      <c r="T29" s="2">
        <f t="shared" si="10"/>
        <v>1050.1554230026043</v>
      </c>
      <c r="U29" s="2">
        <f t="shared" si="11"/>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2"/>
        <v>100000000000</v>
      </c>
      <c r="AM29" s="2">
        <f t="shared" si="13"/>
        <v>1396.8383179282553</v>
      </c>
      <c r="AN29" s="2">
        <f t="shared" si="14"/>
        <v>840.12332203849121</v>
      </c>
      <c r="AO29" s="2">
        <f t="shared" si="15"/>
        <v>599.03104161742488</v>
      </c>
      <c r="AP29" s="2">
        <f t="shared" si="16"/>
        <v>493.01101666641495</v>
      </c>
      <c r="AQ29" s="2">
        <f t="shared" si="17"/>
        <v>428.31766172038903</v>
      </c>
      <c r="AR29" s="2">
        <f t="shared" si="18"/>
        <v>379.02694798430821</v>
      </c>
      <c r="AS29" s="2">
        <f t="shared" si="19"/>
        <v>350.56361233759071</v>
      </c>
      <c r="AX29" s="2">
        <f t="shared" si="28"/>
        <v>100000000000</v>
      </c>
      <c r="AY29" s="37">
        <f t="shared" si="20"/>
        <v>8396.4313151766983</v>
      </c>
      <c r="AZ29" s="37">
        <f t="shared" si="21"/>
        <v>4028.3826490239189</v>
      </c>
      <c r="BA29" s="37">
        <f t="shared" si="22"/>
        <v>2695.276643194657</v>
      </c>
      <c r="BB29" s="37">
        <f t="shared" si="23"/>
        <v>2123.3255636604308</v>
      </c>
      <c r="BC29" s="37">
        <f t="shared" si="24"/>
        <v>1779.8514912256878</v>
      </c>
      <c r="BD29" s="37">
        <f t="shared" si="25"/>
        <v>1526.3552001944799</v>
      </c>
      <c r="BE29" s="37">
        <f t="shared" si="26"/>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7"/>
        <v>-10</v>
      </c>
      <c r="N30" s="2">
        <f t="shared" si="4"/>
        <v>1000000000000</v>
      </c>
      <c r="O30" s="2">
        <f t="shared" si="5"/>
        <v>2770.1984269388659</v>
      </c>
      <c r="P30" s="2">
        <f t="shared" si="6"/>
        <v>1701.5123430622245</v>
      </c>
      <c r="Q30" s="2">
        <f t="shared" si="7"/>
        <v>1357.6914032609575</v>
      </c>
      <c r="R30" s="2">
        <f t="shared" si="8"/>
        <v>1203.9246015731924</v>
      </c>
      <c r="S30" s="2">
        <f t="shared" si="9"/>
        <v>1104.7428124012242</v>
      </c>
      <c r="T30" s="2">
        <f t="shared" si="10"/>
        <v>1019.453740568014</v>
      </c>
      <c r="U30" s="2">
        <f t="shared" si="11"/>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2"/>
        <v>1000000000000</v>
      </c>
      <c r="AM30" s="2">
        <f t="shared" si="13"/>
        <v>982.12621210790121</v>
      </c>
      <c r="AN30" s="2">
        <f t="shared" si="14"/>
        <v>609.58567269963044</v>
      </c>
      <c r="AO30" s="2">
        <f t="shared" si="15"/>
        <v>488.03069035934635</v>
      </c>
      <c r="AP30" s="2">
        <f t="shared" si="16"/>
        <v>433.7285115590953</v>
      </c>
      <c r="AQ30" s="2">
        <f t="shared" si="17"/>
        <v>398.6513774250231</v>
      </c>
      <c r="AR30" s="2">
        <f t="shared" si="18"/>
        <v>367.59357086994629</v>
      </c>
      <c r="AS30" s="2">
        <f t="shared" si="19"/>
        <v>345.69227327199394</v>
      </c>
      <c r="AX30" s="2">
        <f t="shared" si="28"/>
        <v>1000000000000</v>
      </c>
      <c r="AY30" s="37">
        <f t="shared" si="20"/>
        <v>5147.5408755925846</v>
      </c>
      <c r="AZ30" s="37">
        <f t="shared" si="21"/>
        <v>2717.1210267500423</v>
      </c>
      <c r="BA30" s="37">
        <f t="shared" si="22"/>
        <v>2075.7860717174367</v>
      </c>
      <c r="BB30" s="37">
        <f t="shared" si="23"/>
        <v>1789.6066070394293</v>
      </c>
      <c r="BC30" s="37">
        <f t="shared" si="24"/>
        <v>1609.4758284873408</v>
      </c>
      <c r="BD30" s="37">
        <f t="shared" si="25"/>
        <v>1499.092997339136</v>
      </c>
      <c r="BE30" s="37">
        <f t="shared" si="26"/>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7"/>
        <v>-10</v>
      </c>
      <c r="N31" s="2">
        <f t="shared" si="4"/>
        <v>10000000000000</v>
      </c>
      <c r="O31" s="2">
        <f t="shared" si="5"/>
        <v>1931.547309901501</v>
      </c>
      <c r="P31" s="2">
        <f t="shared" si="6"/>
        <v>1375.0981820101952</v>
      </c>
      <c r="Q31" s="2">
        <f t="shared" si="7"/>
        <v>1197.054452570582</v>
      </c>
      <c r="R31" s="2">
        <f t="shared" si="8"/>
        <v>1118.4204681938156</v>
      </c>
      <c r="S31" s="2">
        <f t="shared" si="9"/>
        <v>1068.7919054220547</v>
      </c>
      <c r="T31" s="2">
        <f t="shared" si="10"/>
        <v>963.00529851018121</v>
      </c>
      <c r="U31" s="2">
        <f t="shared" si="11"/>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2"/>
        <v>10000000000000</v>
      </c>
      <c r="AM31" s="2">
        <f t="shared" si="13"/>
        <v>689.03519551617785</v>
      </c>
      <c r="AN31" s="2">
        <f t="shared" si="14"/>
        <v>494.5048529689002</v>
      </c>
      <c r="AO31" s="2">
        <f t="shared" si="15"/>
        <v>431.51308603872349</v>
      </c>
      <c r="AP31" s="2">
        <f t="shared" si="16"/>
        <v>403.76473002951963</v>
      </c>
      <c r="AQ31" s="2">
        <f t="shared" si="17"/>
        <v>385.25122525189607</v>
      </c>
      <c r="AR31" s="2">
        <f t="shared" si="18"/>
        <v>348.16027376363564</v>
      </c>
      <c r="AS31" s="2">
        <f t="shared" si="19"/>
        <v>345.40832820533547</v>
      </c>
      <c r="AX31" s="2">
        <f t="shared" si="28"/>
        <v>10000000000000</v>
      </c>
      <c r="AY31" s="37">
        <f t="shared" si="20"/>
        <v>3272.6492527690871</v>
      </c>
      <c r="AZ31" s="37">
        <f t="shared" si="21"/>
        <v>2090.6826802924697</v>
      </c>
      <c r="BA31" s="37">
        <f t="shared" si="22"/>
        <v>1766.2399047530398</v>
      </c>
      <c r="BB31" s="37">
        <f t="shared" si="23"/>
        <v>1620.7625048541847</v>
      </c>
      <c r="BC31" s="37">
        <f t="shared" si="24"/>
        <v>1578.2927353151501</v>
      </c>
      <c r="BD31" s="37">
        <f t="shared" si="25"/>
        <v>1371.7010824116753</v>
      </c>
      <c r="BE31" s="37">
        <f t="shared" si="26"/>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7"/>
        <v>-10</v>
      </c>
      <c r="N32" s="2">
        <f t="shared" si="4"/>
        <v>100000000000000</v>
      </c>
      <c r="O32" s="2">
        <f t="shared" si="5"/>
        <v>1497.7676842500314</v>
      </c>
      <c r="P32" s="2">
        <f t="shared" si="6"/>
        <v>1202.8335459141151</v>
      </c>
      <c r="Q32" s="2">
        <f t="shared" si="7"/>
        <v>1113.2908993494691</v>
      </c>
      <c r="R32" s="2">
        <f t="shared" si="8"/>
        <v>1075.493101295594</v>
      </c>
      <c r="S32" s="2">
        <f t="shared" si="9"/>
        <v>1031.115227715906</v>
      </c>
      <c r="T32" s="2">
        <f t="shared" si="10"/>
        <v>960.05069945453749</v>
      </c>
      <c r="U32" s="2">
        <f t="shared" si="11"/>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2"/>
        <v>100000000000000</v>
      </c>
      <c r="AM32" s="2">
        <f t="shared" si="13"/>
        <v>537.03681449352746</v>
      </c>
      <c r="AN32" s="2">
        <f t="shared" si="14"/>
        <v>433.69545003412065</v>
      </c>
      <c r="AO32" s="2">
        <f t="shared" si="15"/>
        <v>402.06033913876905</v>
      </c>
      <c r="AP32" s="2">
        <f t="shared" si="16"/>
        <v>387.64349199783766</v>
      </c>
      <c r="AQ32" s="2">
        <f t="shared" si="17"/>
        <v>372.90060316523403</v>
      </c>
      <c r="AR32" s="2">
        <f t="shared" si="18"/>
        <v>346.81429429478277</v>
      </c>
      <c r="AS32" s="2">
        <f t="shared" si="19"/>
        <v>343.52176757284224</v>
      </c>
      <c r="AX32" s="2">
        <f t="shared" si="28"/>
        <v>100000000000000</v>
      </c>
      <c r="AY32" s="37">
        <f t="shared" si="20"/>
        <v>2365.557333823856</v>
      </c>
      <c r="AZ32" s="37">
        <f t="shared" si="21"/>
        <v>1769.7999913633751</v>
      </c>
      <c r="BA32" s="37">
        <f t="shared" si="22"/>
        <v>1606.2351441606138</v>
      </c>
      <c r="BB32" s="37">
        <f t="shared" si="23"/>
        <v>1589.3581085744822</v>
      </c>
      <c r="BC32" s="37">
        <f t="shared" si="24"/>
        <v>1463.3272301717411</v>
      </c>
      <c r="BD32" s="37">
        <f t="shared" si="25"/>
        <v>1380.5625191129011</v>
      </c>
      <c r="BE32" s="37">
        <f t="shared" si="26"/>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8"/>
        <v>1035.294245710347</v>
      </c>
      <c r="S33" s="2">
        <f t="shared" si="9"/>
        <v>988.07868945759549</v>
      </c>
      <c r="T33" s="2">
        <f t="shared" si="10"/>
        <v>949.67879963638688</v>
      </c>
      <c r="U33" s="2">
        <f t="shared" si="11"/>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2"/>
        <v>1000000000000000</v>
      </c>
      <c r="AM33" s="2">
        <f t="shared" si="13"/>
        <v>452.34025000519932</v>
      </c>
      <c r="AN33" s="2">
        <f t="shared" si="14"/>
        <v>404.17805740514621</v>
      </c>
      <c r="AO33" s="2">
        <f t="shared" si="15"/>
        <v>386.49357349528668</v>
      </c>
      <c r="AP33" s="2">
        <f t="shared" si="16"/>
        <v>374.47481405228427</v>
      </c>
      <c r="AQ33" s="2">
        <f t="shared" si="17"/>
        <v>356.83813776395743</v>
      </c>
      <c r="AR33" s="2">
        <f t="shared" si="18"/>
        <v>343.74512434370951</v>
      </c>
      <c r="AS33" s="2">
        <f t="shared" si="19"/>
        <v>342.36979608181048</v>
      </c>
      <c r="AX33" s="2">
        <f>AL33</f>
        <v>1000000000000000</v>
      </c>
      <c r="AY33" s="37">
        <f t="shared" si="20"/>
        <v>1898.1488471489934</v>
      </c>
      <c r="AZ33" s="37">
        <f t="shared" si="21"/>
        <v>1610.7927755041981</v>
      </c>
      <c r="BA33" s="37">
        <f t="shared" si="22"/>
        <v>1575.8044324046975</v>
      </c>
      <c r="BB33" s="37">
        <f t="shared" si="23"/>
        <v>1466.3593780712374</v>
      </c>
      <c r="BC33" s="37">
        <f t="shared" si="24"/>
        <v>1425.6932274455485</v>
      </c>
      <c r="BD33" s="37">
        <f t="shared" si="25"/>
        <v>1334.2372600164617</v>
      </c>
      <c r="BE33" s="37">
        <f t="shared" si="26"/>
        <v>1316.3534272051288</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10455.125722169887</v>
      </c>
      <c r="G16" s="26">
        <f>INDEX(Comparison!$AM$3:$AS$33,G14,$B$3)</f>
        <v>10216.758037955571</v>
      </c>
      <c r="H16" s="26">
        <f>INDEX(Comparison!$AM$3:$AS$33,H14,$B$3)</f>
        <v>9990.8860283110862</v>
      </c>
      <c r="I16" s="26">
        <f>INDEX(Comparison!$AM$3:$AS$33,I14,$B$3)</f>
        <v>9740.6929571272121</v>
      </c>
      <c r="J16" s="26">
        <f>INDEX(Comparison!$AM$3:$AS$33,J14,$B$3)</f>
        <v>9486.1331326421696</v>
      </c>
      <c r="K16" s="26">
        <f>INDEX(Comparison!$AM$3:$AS$33,K14,$B$3)</f>
        <v>9224.2999433670138</v>
      </c>
      <c r="L16" s="26">
        <f>INDEX(Comparison!$AM$3:$AS$33,L14,$B$3)</f>
        <v>8983.6546151744242</v>
      </c>
      <c r="M16" s="26">
        <f>INDEX(Comparison!$AM$3:$AS$33,M14,$B$3)</f>
        <v>8670.3934759322055</v>
      </c>
      <c r="N16" s="26">
        <f>INDEX(Comparison!$AM$3:$AS$33,N14,$B$3)</f>
        <v>8318.7463719570296</v>
      </c>
      <c r="O16" s="26">
        <f>INDEX(Comparison!$AM$3:$AS$33,O14,$B$3)</f>
        <v>7968.6744939632144</v>
      </c>
      <c r="P16" s="26">
        <f>INDEX(Comparison!$AM$3:$AS$33,P14,$B$3)</f>
        <v>7682.4342615636733</v>
      </c>
      <c r="Q16" s="26">
        <f>INDEX(Comparison!$AM$3:$AS$33,Q14,$B$3)</f>
        <v>7403.9105678680935</v>
      </c>
      <c r="R16" s="26">
        <f>INDEX(Comparison!$AM$3:$AS$33,R14,$B$3)</f>
        <v>7132.2476769922887</v>
      </c>
      <c r="S16" s="26">
        <f>INDEX(Comparison!$AM$3:$AS$33,S14,$B$3)</f>
        <v>6844.7384968439528</v>
      </c>
      <c r="T16" s="26">
        <f>INDEX(Comparison!$AM$3:$AS$33,T14,$B$3)</f>
        <v>6572.6294407257219</v>
      </c>
      <c r="U16" s="26">
        <f>INDEX(Comparison!$AM$3:$AS$33,U14,$B$3)</f>
        <v>6219.0027578185491</v>
      </c>
      <c r="V16" s="26">
        <f>INDEX(Comparison!$AM$3:$AS$33,V14,$B$3)</f>
        <v>5690.6299745251627</v>
      </c>
      <c r="W16" s="26">
        <f>INDEX(Comparison!$AM$3:$AS$33,W14,$B$3)</f>
        <v>4763.4711208275512</v>
      </c>
      <c r="X16" s="26">
        <f>INDEX(Comparison!$AM$3:$AS$33,X14,$B$3)</f>
        <v>3748.4083561986595</v>
      </c>
      <c r="Y16" s="26">
        <f>INDEX(Comparison!$AM$3:$AS$33,Y14,$B$3)</f>
        <v>2899.8712503562774</v>
      </c>
      <c r="Z16" s="26">
        <f>INDEX(Comparison!$AM$3:$AS$33,Z14,$B$3)</f>
        <v>2207.9514817928284</v>
      </c>
      <c r="AA16" s="26">
        <f>INDEX(Comparison!$AM$3:$AS$33,AA14,$B$3)</f>
        <v>1604.1263924000411</v>
      </c>
      <c r="AB16" s="26">
        <f>INDEX(Comparison!$AM$3:$AS$33,AB14,$B$3)</f>
        <v>1123.4067588567204</v>
      </c>
      <c r="AC16" s="26">
        <f>INDEX(Comparison!$AM$3:$AS$33,AC14,$B$3)</f>
        <v>780.76520754617513</v>
      </c>
      <c r="AD16" s="26">
        <f>INDEX(Comparison!$AM$3:$AS$33,AD14,$B$3)</f>
        <v>582.0058323502866</v>
      </c>
      <c r="AE16" s="26">
        <f>INDEX(Comparison!$AM$3:$AS$33,AE14,$B$3)</f>
        <v>477.43912435634792</v>
      </c>
      <c r="AF16" s="26">
        <f>INDEX(Comparison!$AM$3:$AS$33,AF14,$B$3)</f>
        <v>428.31766172038903</v>
      </c>
      <c r="AG16" s="26">
        <f>INDEX(Comparison!$AM$3:$AS$33,AG14,$B$3)</f>
        <v>398.6513774250231</v>
      </c>
      <c r="AH16" s="26">
        <f>INDEX(Comparison!$AM$3:$AS$33,AH14,$B$3)</f>
        <v>385.25122525189607</v>
      </c>
      <c r="AI16" s="26">
        <f>INDEX(Comparison!$AM$3:$AS$33,AI14,$B$3)</f>
        <v>372.90060316523403</v>
      </c>
      <c r="AJ16" s="26">
        <f>INDEX(Comparison!$AM$3:$AS$33,AJ14,$B$3)</f>
        <v>356.83813776395743</v>
      </c>
    </row>
    <row r="17" spans="1:36" x14ac:dyDescent="0.25">
      <c r="A17" s="14" t="s">
        <v>20</v>
      </c>
      <c r="B17" s="105">
        <v>4.829689244091942E-2</v>
      </c>
      <c r="C17" s="18">
        <f t="shared" ref="C17:C48" si="3">ABS(B17/$B$49)</f>
        <v>2.9147147700040992E-2</v>
      </c>
      <c r="D17" s="66"/>
      <c r="E17" s="65" t="s">
        <v>22</v>
      </c>
      <c r="F17" s="27">
        <f>($C$17+SUM(F18:F48))*$B$51</f>
        <v>10389.689423091791</v>
      </c>
      <c r="G17" s="27">
        <f t="shared" ref="G17:M17" si="4">($C$17+SUM(G18:G48))*$B$51</f>
        <v>10301.394493229716</v>
      </c>
      <c r="H17" s="27">
        <f t="shared" si="4"/>
        <v>9968.4826434017177</v>
      </c>
      <c r="I17" s="27">
        <f t="shared" si="4"/>
        <v>9744.3518846060451</v>
      </c>
      <c r="J17" s="27">
        <f t="shared" si="4"/>
        <v>9485.6103224529616</v>
      </c>
      <c r="K17" s="27">
        <f t="shared" si="4"/>
        <v>9224.4112490873995</v>
      </c>
      <c r="L17" s="27">
        <f t="shared" si="4"/>
        <v>8983.4749759790539</v>
      </c>
      <c r="M17" s="27">
        <f t="shared" si="4"/>
        <v>8670.9169798996045</v>
      </c>
      <c r="N17" s="27">
        <f t="shared" ref="N17" si="5">($C$17+SUM(N18:N48))*$B$51</f>
        <v>8317.4645726024064</v>
      </c>
      <c r="O17" s="27">
        <f t="shared" ref="O17" si="6">($C$17+SUM(O18:O48))*$B$51</f>
        <v>7971.2724926535939</v>
      </c>
      <c r="P17" s="27">
        <f t="shared" ref="P17" si="7">($C$17+SUM(P18:P48))*$B$51</f>
        <v>7677.9994104003599</v>
      </c>
      <c r="Q17" s="27">
        <f t="shared" ref="Q17" si="8">($C$17+SUM(Q18:Q48))*$B$51</f>
        <v>7410.3288979453528</v>
      </c>
      <c r="R17" s="27">
        <f t="shared" ref="R17" si="9">($C$17+SUM(R18:R48))*$B$51</f>
        <v>7124.3518748563811</v>
      </c>
      <c r="S17" s="27">
        <f t="shared" ref="S17:T17" si="10">($C$17+SUM(S18:S48))*$B$51</f>
        <v>6853.0235621155989</v>
      </c>
      <c r="T17" s="27">
        <f t="shared" si="10"/>
        <v>6565.1834399322606</v>
      </c>
      <c r="U17" s="27">
        <f t="shared" ref="U17" si="11">($C$17+SUM(U18:U48))*$B$51</f>
        <v>6224.7521962445817</v>
      </c>
      <c r="V17" s="27">
        <f t="shared" ref="V17" si="12">($C$17+SUM(V18:V48))*$B$51</f>
        <v>5686.8076251663142</v>
      </c>
      <c r="W17" s="27">
        <f t="shared" ref="W17" si="13">($C$17+SUM(W18:W48))*$B$51</f>
        <v>4765.6682784467839</v>
      </c>
      <c r="X17" s="27">
        <f t="shared" ref="X17" si="14">($C$17+SUM(X18:X48))*$B$51</f>
        <v>3747.3103094884427</v>
      </c>
      <c r="Y17" s="27">
        <f t="shared" ref="Y17" si="15">($C$17+SUM(Y18:Y48))*$B$51</f>
        <v>2900.3437662539964</v>
      </c>
      <c r="Z17" s="27">
        <f t="shared" ref="Z17:AA17" si="16">($C$17+SUM(Z18:Z48))*$B$51</f>
        <v>2207.7850730783443</v>
      </c>
      <c r="AA17" s="27">
        <f t="shared" si="16"/>
        <v>1604.1689000321724</v>
      </c>
      <c r="AB17" s="27">
        <f t="shared" ref="AB17" si="17">($C$17+SUM(AB18:AB48))*$B$51</f>
        <v>1123.4057056249392</v>
      </c>
      <c r="AC17" s="27">
        <f t="shared" ref="AC17" si="18">($C$17+SUM(AC18:AC48))*$B$51</f>
        <v>780.7489264497126</v>
      </c>
      <c r="AD17" s="27">
        <f t="shared" ref="AD17" si="19">($C$17+SUM(AD18:AD48))*$B$51</f>
        <v>582.02965837771114</v>
      </c>
      <c r="AE17" s="27">
        <f t="shared" ref="AE17" si="20">($C$17+SUM(AE18:AE48))*$B$51</f>
        <v>477.41629308054667</v>
      </c>
      <c r="AF17" s="27">
        <f t="shared" ref="AF17" si="21">($C$17+SUM(AF18:AF48))*$B$51</f>
        <v>428.34347878820876</v>
      </c>
      <c r="AG17" s="27">
        <f t="shared" ref="AG17:AH17" si="22">($C$17+SUM(AG18:AG48))*$B$51</f>
        <v>398.61751916188354</v>
      </c>
      <c r="AH17" s="27">
        <f t="shared" si="22"/>
        <v>385.28298248147991</v>
      </c>
      <c r="AI17" s="27">
        <f t="shared" ref="AI17" si="23">($C$17+SUM(AI18:AI48))*$B$51</f>
        <v>372.88353508874008</v>
      </c>
      <c r="AJ17" s="27">
        <f t="shared" ref="AJ17" si="24">($C$17+SUM(AJ18:AJ48))*$B$51</f>
        <v>356.84201242999154</v>
      </c>
    </row>
    <row r="18" spans="1:36" x14ac:dyDescent="0.25">
      <c r="A18" s="3">
        <f>0.000000000000001/10^5</f>
        <v>1.0000000000000001E-20</v>
      </c>
      <c r="B18" s="106">
        <v>0.14602243400023202</v>
      </c>
      <c r="C18" s="18">
        <f t="shared" si="3"/>
        <v>8.8124457624901939E-2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6.0500900193982195E-2</v>
      </c>
      <c r="C19" s="18">
        <f t="shared" si="3"/>
        <v>3.6512259584746638E-2</v>
      </c>
      <c r="D19" s="17"/>
      <c r="F19" s="3">
        <f t="shared" si="25"/>
        <v>3.5588858945060822E-2</v>
      </c>
      <c r="G19" s="3">
        <f t="shared" si="25"/>
        <v>2.8261307130528532E-2</v>
      </c>
      <c r="H19" s="3">
        <f t="shared" si="25"/>
        <v>2.8182145613373294E-3</v>
      </c>
      <c r="I19" s="3">
        <f t="shared" si="25"/>
        <v>2.7402624006439086E-13</v>
      </c>
      <c r="J19" s="3">
        <f t="shared" si="25"/>
        <v>2.0700132446112819E-113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2.9312118265548723E-2</v>
      </c>
      <c r="C20" s="18">
        <f t="shared" si="3"/>
        <v>1.7689847054489984E-2</v>
      </c>
      <c r="D20" s="17"/>
      <c r="F20" s="3">
        <f t="shared" si="25"/>
        <v>1.7649017850933757E-2</v>
      </c>
      <c r="G20" s="3">
        <f t="shared" si="25"/>
        <v>1.7285769652479788E-2</v>
      </c>
      <c r="H20" s="3">
        <f t="shared" si="25"/>
        <v>1.4040110028852229E-2</v>
      </c>
      <c r="I20" s="3">
        <f t="shared" si="25"/>
        <v>1.754641554231876E-3</v>
      </c>
      <c r="J20" s="3">
        <f t="shared" si="25"/>
        <v>1.6306749537221692E-12</v>
      </c>
      <c r="K20" s="3">
        <f t="shared" si="25"/>
        <v>7.8371345860455246E-103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4.0549071450740486E-2</v>
      </c>
      <c r="C21" s="18">
        <f t="shared" si="3"/>
        <v>2.4471342045868261E-2</v>
      </c>
      <c r="D21" s="17"/>
      <c r="F21" s="3">
        <f t="shared" si="25"/>
        <v>2.4466241606174124E-2</v>
      </c>
      <c r="G21" s="3">
        <f t="shared" si="25"/>
        <v>2.442038546001201E-2</v>
      </c>
      <c r="H21" s="3">
        <f t="shared" si="25"/>
        <v>2.3966524572245147E-2</v>
      </c>
      <c r="I21" s="3">
        <f t="shared" si="25"/>
        <v>1.9866919019623976E-2</v>
      </c>
      <c r="J21" s="3">
        <f t="shared" si="25"/>
        <v>3.0435828548376217E-3</v>
      </c>
      <c r="K21" s="3">
        <f t="shared" si="25"/>
        <v>2.1673607449071336E-11</v>
      </c>
      <c r="L21" s="3">
        <f t="shared" si="25"/>
        <v>7.2676155502400304E-93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4.0793995342448576E-2</v>
      </c>
      <c r="C22" s="18">
        <f t="shared" si="3"/>
        <v>2.461915347815901E-2</v>
      </c>
      <c r="D22" s="17"/>
      <c r="F22" s="3">
        <f t="shared" si="25"/>
        <v>2.461869055307293E-2</v>
      </c>
      <c r="G22" s="3">
        <f t="shared" si="25"/>
        <v>2.4614524618985088E-2</v>
      </c>
      <c r="H22" s="3">
        <f t="shared" si="25"/>
        <v>2.4572904030816453E-2</v>
      </c>
      <c r="I22" s="3">
        <f t="shared" si="25"/>
        <v>2.4160549264129264E-2</v>
      </c>
      <c r="J22" s="3">
        <f t="shared" si="25"/>
        <v>2.039905227260163E-2</v>
      </c>
      <c r="K22" s="3">
        <f t="shared" si="25"/>
        <v>3.7552760412439112E-3</v>
      </c>
      <c r="L22" s="3">
        <f t="shared" si="25"/>
        <v>1.6786518079067302E-10</v>
      </c>
      <c r="M22" s="3">
        <f t="shared" si="25"/>
        <v>5.3474678642832164E-84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3.2756809269807459E-2</v>
      </c>
      <c r="C23" s="18">
        <f t="shared" si="3"/>
        <v>1.9768716157816925E-2</v>
      </c>
      <c r="D23" s="17"/>
      <c r="F23" s="3">
        <f t="shared" si="25"/>
        <v>1.9768682625283068E-2</v>
      </c>
      <c r="G23" s="3">
        <f t="shared" si="25"/>
        <v>1.9768380835037909E-2</v>
      </c>
      <c r="H23" s="3">
        <f t="shared" si="25"/>
        <v>1.9765363185968159E-2</v>
      </c>
      <c r="I23" s="3">
        <f t="shared" si="25"/>
        <v>1.9735212019147113E-2</v>
      </c>
      <c r="J23" s="3">
        <f t="shared" si="25"/>
        <v>1.9436218492636537E-2</v>
      </c>
      <c r="K23" s="3">
        <f t="shared" si="25"/>
        <v>1.6684436115893177E-2</v>
      </c>
      <c r="L23" s="3">
        <f t="shared" si="25"/>
        <v>3.6250094387886389E-3</v>
      </c>
      <c r="M23" s="3">
        <f t="shared" si="25"/>
        <v>8.4973836184793611E-10</v>
      </c>
      <c r="N23" s="3">
        <f t="shared" si="25"/>
        <v>4.2564355245559567E-76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5.0452186945792947E-2</v>
      </c>
      <c r="C24" s="18">
        <f t="shared" si="3"/>
        <v>3.0447866733827329E-2</v>
      </c>
      <c r="D24" s="17"/>
      <c r="F24" s="3">
        <f t="shared" si="25"/>
        <v>3.0447862074838149E-2</v>
      </c>
      <c r="G24" s="3">
        <f t="shared" si="25"/>
        <v>3.0447820143967581E-2</v>
      </c>
      <c r="H24" s="3">
        <f t="shared" si="25"/>
        <v>3.0447400838437871E-2</v>
      </c>
      <c r="I24" s="3">
        <f t="shared" si="25"/>
        <v>3.0443208100718273E-2</v>
      </c>
      <c r="J24" s="3">
        <f t="shared" si="25"/>
        <v>3.0401312465096055E-2</v>
      </c>
      <c r="K24" s="3">
        <f t="shared" si="25"/>
        <v>2.9985514152025713E-2</v>
      </c>
      <c r="L24" s="3">
        <f t="shared" si="25"/>
        <v>2.6127819585630662E-2</v>
      </c>
      <c r="M24" s="3">
        <f t="shared" si="25"/>
        <v>6.5920403163921438E-3</v>
      </c>
      <c r="N24" s="3">
        <f t="shared" si="25"/>
        <v>6.8894843379694093E-9</v>
      </c>
      <c r="O24" s="3">
        <f t="shared" si="25"/>
        <v>1.0711624525107332E-68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5.5410872033933474E-2</v>
      </c>
      <c r="C25" s="18">
        <f t="shared" si="3"/>
        <v>3.3440430423899631E-2</v>
      </c>
      <c r="D25" s="17"/>
      <c r="F25" s="3">
        <f t="shared" si="25"/>
        <v>3.3440429962312904E-2</v>
      </c>
      <c r="G25" s="3">
        <f t="shared" si="25"/>
        <v>3.3440425808032651E-2</v>
      </c>
      <c r="H25" s="3">
        <f t="shared" si="25"/>
        <v>3.3440384265258492E-2</v>
      </c>
      <c r="I25" s="3">
        <f t="shared" si="25"/>
        <v>3.3439968840355334E-2</v>
      </c>
      <c r="J25" s="3">
        <f t="shared" si="25"/>
        <v>3.3435814875155075E-2</v>
      </c>
      <c r="K25" s="3">
        <f t="shared" si="25"/>
        <v>3.3394303593241401E-2</v>
      </c>
      <c r="L25" s="3">
        <f t="shared" si="25"/>
        <v>3.2982014785952966E-2</v>
      </c>
      <c r="M25" s="3">
        <f t="shared" si="25"/>
        <v>2.9128967539665516E-2</v>
      </c>
      <c r="N25" s="3">
        <f t="shared" si="25"/>
        <v>8.410158618464357E-3</v>
      </c>
      <c r="O25" s="3">
        <f t="shared" si="25"/>
        <v>3.3852842391894995E-8</v>
      </c>
      <c r="P25" s="3">
        <f t="shared" si="25"/>
        <v>3.7801119687852238E-62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5.3895770355969826E-2</v>
      </c>
      <c r="C26" s="18">
        <f t="shared" si="3"/>
        <v>3.2526067404742495E-2</v>
      </c>
      <c r="D26" s="17"/>
      <c r="F26" s="3">
        <f t="shared" si="25"/>
        <v>3.2526067364242066E-2</v>
      </c>
      <c r="G26" s="3">
        <f t="shared" si="25"/>
        <v>3.2526066999738222E-2</v>
      </c>
      <c r="H26" s="3">
        <f t="shared" si="25"/>
        <v>3.252606335470002E-2</v>
      </c>
      <c r="I26" s="3">
        <f t="shared" si="25"/>
        <v>3.2526026904340456E-2</v>
      </c>
      <c r="J26" s="3">
        <f t="shared" si="25"/>
        <v>3.252566240299145E-2</v>
      </c>
      <c r="K26" s="3">
        <f t="shared" si="25"/>
        <v>3.2522017614156011E-2</v>
      </c>
      <c r="L26" s="3">
        <f t="shared" si="25"/>
        <v>3.2485592181951156E-2</v>
      </c>
      <c r="M26" s="3">
        <f t="shared" si="25"/>
        <v>3.2123574191464395E-2</v>
      </c>
      <c r="N26" s="3">
        <f t="shared" si="25"/>
        <v>2.8718026145924651E-2</v>
      </c>
      <c r="O26" s="3">
        <f t="shared" si="25"/>
        <v>9.364009522372525E-3</v>
      </c>
      <c r="P26" s="3">
        <f t="shared" si="25"/>
        <v>1.2721386503713501E-7</v>
      </c>
      <c r="Q26" s="3">
        <f t="shared" si="25"/>
        <v>2.7243346707937301E-56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4.0849990026372934E-2</v>
      </c>
      <c r="C27" s="18">
        <f t="shared" si="3"/>
        <v>2.465294623873376E-2</v>
      </c>
      <c r="D27" s="17"/>
      <c r="F27" s="3">
        <f t="shared" si="25"/>
        <v>2.4652946235964632E-2</v>
      </c>
      <c r="G27" s="3">
        <f t="shared" si="25"/>
        <v>2.4652946211042453E-2</v>
      </c>
      <c r="H27" s="3">
        <f t="shared" si="25"/>
        <v>2.4652945961820685E-2</v>
      </c>
      <c r="I27" s="3">
        <f t="shared" si="25"/>
        <v>2.4652943469603138E-2</v>
      </c>
      <c r="J27" s="3">
        <f t="shared" si="25"/>
        <v>2.4652918547441532E-2</v>
      </c>
      <c r="K27" s="3">
        <f t="shared" si="25"/>
        <v>2.4652669327211191E-2</v>
      </c>
      <c r="L27" s="3">
        <f t="shared" si="25"/>
        <v>2.4650177263470886E-2</v>
      </c>
      <c r="M27" s="3">
        <f t="shared" si="25"/>
        <v>2.4625270477201922E-2</v>
      </c>
      <c r="N27" s="3">
        <f t="shared" si="25"/>
        <v>2.4377582561013283E-2</v>
      </c>
      <c r="O27" s="3">
        <f t="shared" si="25"/>
        <v>2.2033673107412537E-2</v>
      </c>
      <c r="P27" s="3">
        <f t="shared" si="25"/>
        <v>8.0176955595591473E-3</v>
      </c>
      <c r="Q27" s="3">
        <f t="shared" si="25"/>
        <v>3.2634439521519857E-7</v>
      </c>
      <c r="R27" s="3">
        <f t="shared" si="25"/>
        <v>4.0732599360356355E-51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3.996890534491445E-2</v>
      </c>
      <c r="C28" s="18">
        <f t="shared" si="3"/>
        <v>2.4121212123994821E-2</v>
      </c>
      <c r="D28" s="17"/>
      <c r="F28" s="3">
        <f t="shared" si="25"/>
        <v>2.4121212123750412E-2</v>
      </c>
      <c r="G28" s="3">
        <f t="shared" si="25"/>
        <v>2.4121212121550713E-2</v>
      </c>
      <c r="H28" s="3">
        <f t="shared" si="25"/>
        <v>2.4121212099553743E-2</v>
      </c>
      <c r="I28" s="3">
        <f t="shared" si="25"/>
        <v>2.4121211879584041E-2</v>
      </c>
      <c r="J28" s="3">
        <f t="shared" si="25"/>
        <v>2.4121209679887144E-2</v>
      </c>
      <c r="K28" s="3">
        <f t="shared" si="25"/>
        <v>2.4121187682929212E-2</v>
      </c>
      <c r="L28" s="3">
        <f t="shared" si="25"/>
        <v>2.4120967714453167E-2</v>
      </c>
      <c r="M28" s="3">
        <f t="shared" si="25"/>
        <v>2.4118768140017476E-2</v>
      </c>
      <c r="N28" s="3">
        <f t="shared" si="25"/>
        <v>2.4096783424415447E-2</v>
      </c>
      <c r="O28" s="3">
        <f t="shared" si="25"/>
        <v>2.3878035431669501E-2</v>
      </c>
      <c r="P28" s="3">
        <f t="shared" si="25"/>
        <v>2.179685181927711E-2</v>
      </c>
      <c r="Q28" s="3">
        <f t="shared" si="25"/>
        <v>8.7568027340639044E-3</v>
      </c>
      <c r="R28" s="3">
        <f t="shared" si="25"/>
        <v>9.5909916470454908E-7</v>
      </c>
      <c r="S28" s="3">
        <f t="shared" si="25"/>
        <v>2.3825552276851748E-46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4.725874210008911E-2</v>
      </c>
      <c r="C29" s="18">
        <f t="shared" si="3"/>
        <v>2.8520624547313425E-2</v>
      </c>
      <c r="D29" s="17"/>
      <c r="F29" s="3">
        <f t="shared" si="25"/>
        <v>2.8520624547287356E-2</v>
      </c>
      <c r="G29" s="3">
        <f t="shared" si="25"/>
        <v>2.8520624547052734E-2</v>
      </c>
      <c r="H29" s="3">
        <f t="shared" si="25"/>
        <v>2.852062454470651E-2</v>
      </c>
      <c r="I29" s="3">
        <f t="shared" si="25"/>
        <v>2.8520624521244275E-2</v>
      </c>
      <c r="J29" s="3">
        <f t="shared" si="25"/>
        <v>2.8520624286621939E-2</v>
      </c>
      <c r="K29" s="3">
        <f t="shared" si="25"/>
        <v>2.8520621940398665E-2</v>
      </c>
      <c r="L29" s="3">
        <f t="shared" si="25"/>
        <v>2.8520598478176517E-2</v>
      </c>
      <c r="M29" s="3">
        <f t="shared" si="25"/>
        <v>2.85203638570166E-2</v>
      </c>
      <c r="N29" s="3">
        <f t="shared" si="25"/>
        <v>2.8518017751569338E-2</v>
      </c>
      <c r="O29" s="3">
        <f t="shared" si="25"/>
        <v>2.8494567309054447E-2</v>
      </c>
      <c r="P29" s="3">
        <f t="shared" si="25"/>
        <v>2.8261120856737074E-2</v>
      </c>
      <c r="Q29" s="3">
        <f t="shared" si="25"/>
        <v>2.6029303025462792E-2</v>
      </c>
      <c r="R29" s="3">
        <f t="shared" si="25"/>
        <v>1.1433892641449041E-2</v>
      </c>
      <c r="S29" s="3">
        <f t="shared" si="25"/>
        <v>3.0585093841307787E-6</v>
      </c>
      <c r="T29" s="3">
        <f t="shared" si="25"/>
        <v>5.7367627541459295E-42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3.4902250611994784E-2</v>
      </c>
      <c r="C30" s="18">
        <f t="shared" si="3"/>
        <v>2.1063488813407638E-2</v>
      </c>
      <c r="D30" s="17"/>
      <c r="F30" s="3">
        <f t="shared" si="25"/>
        <v>2.10634888134059E-2</v>
      </c>
      <c r="G30" s="3">
        <f t="shared" si="25"/>
        <v>2.106348881339027E-2</v>
      </c>
      <c r="H30" s="3">
        <f t="shared" si="25"/>
        <v>2.1063488813233961E-2</v>
      </c>
      <c r="I30" s="3">
        <f t="shared" si="25"/>
        <v>2.1063488811670857E-2</v>
      </c>
      <c r="J30" s="3">
        <f t="shared" si="25"/>
        <v>2.106348879603984E-2</v>
      </c>
      <c r="K30" s="3">
        <f t="shared" si="25"/>
        <v>2.1063488639729677E-2</v>
      </c>
      <c r="L30" s="3">
        <f t="shared" si="25"/>
        <v>2.1063487076628078E-2</v>
      </c>
      <c r="M30" s="3">
        <f t="shared" si="25"/>
        <v>2.1063471445618483E-2</v>
      </c>
      <c r="N30" s="3">
        <f t="shared" si="25"/>
        <v>2.1063315136160506E-2</v>
      </c>
      <c r="O30" s="3">
        <f t="shared" si="25"/>
        <v>2.1061752105376749E-2</v>
      </c>
      <c r="P30" s="3">
        <f t="shared" si="25"/>
        <v>2.1046128175389894E-2</v>
      </c>
      <c r="Q30" s="3">
        <f t="shared" si="25"/>
        <v>2.0890524912873069E-2</v>
      </c>
      <c r="R30" s="3">
        <f t="shared" si="25"/>
        <v>1.9396383758026953E-2</v>
      </c>
      <c r="S30" s="3">
        <f t="shared" si="25"/>
        <v>9.2349579647946801E-3</v>
      </c>
      <c r="T30" s="3">
        <f t="shared" si="25"/>
        <v>5.5281074038750514E-6</v>
      </c>
      <c r="U30" s="3">
        <f t="shared" si="25"/>
        <v>3.2658178964237611E-38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5.1520510603947578E-2</v>
      </c>
      <c r="C31" s="18">
        <f t="shared" si="3"/>
        <v>3.1092599466761905E-2</v>
      </c>
      <c r="D31" s="17"/>
      <c r="F31" s="3">
        <f t="shared" si="25"/>
        <v>3.1092599466761673E-2</v>
      </c>
      <c r="G31" s="3">
        <f t="shared" si="25"/>
        <v>3.1092599466759591E-2</v>
      </c>
      <c r="H31" s="3">
        <f t="shared" si="25"/>
        <v>3.1092599466738778E-2</v>
      </c>
      <c r="I31" s="3">
        <f t="shared" si="25"/>
        <v>3.1092599466530636E-2</v>
      </c>
      <c r="J31" s="3">
        <f t="shared" si="25"/>
        <v>3.109259946444921E-2</v>
      </c>
      <c r="K31" s="3">
        <f t="shared" si="25"/>
        <v>3.1092599443634975E-2</v>
      </c>
      <c r="L31" s="3">
        <f t="shared" si="25"/>
        <v>3.1092599235492579E-2</v>
      </c>
      <c r="M31" s="3">
        <f t="shared" si="25"/>
        <v>3.1092597154068737E-2</v>
      </c>
      <c r="N31" s="3">
        <f t="shared" si="25"/>
        <v>3.1092576339837943E-2</v>
      </c>
      <c r="O31" s="3">
        <f t="shared" si="25"/>
        <v>3.1092368198296347E-2</v>
      </c>
      <c r="P31" s="3">
        <f t="shared" si="25"/>
        <v>3.1090286859513212E-2</v>
      </c>
      <c r="Q31" s="3">
        <f t="shared" si="25"/>
        <v>3.106948113306586E-2</v>
      </c>
      <c r="R31" s="3">
        <f t="shared" si="25"/>
        <v>3.0862188112748056E-2</v>
      </c>
      <c r="S31" s="3">
        <f t="shared" si="25"/>
        <v>2.8863822801325312E-2</v>
      </c>
      <c r="T31" s="3">
        <f t="shared" si="25"/>
        <v>1.4778324749398294E-2</v>
      </c>
      <c r="U31" s="3">
        <f t="shared" si="25"/>
        <v>1.8295267644742368E-5</v>
      </c>
      <c r="V31" s="3">
        <f t="shared" si="26"/>
        <v>1.546943248681982E-34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4.1695813089496686E-2</v>
      </c>
      <c r="C32" s="18">
        <f t="shared" si="3"/>
        <v>2.5163399986438687E-2</v>
      </c>
      <c r="D32" s="17"/>
      <c r="F32" s="3">
        <f t="shared" si="25"/>
        <v>2.516339998643867E-2</v>
      </c>
      <c r="G32" s="3">
        <f t="shared" si="25"/>
        <v>2.5163399986438521E-2</v>
      </c>
      <c r="H32" s="3">
        <f t="shared" si="25"/>
        <v>2.5163399986437001E-2</v>
      </c>
      <c r="I32" s="3">
        <f t="shared" si="25"/>
        <v>2.5163399986421801E-2</v>
      </c>
      <c r="J32" s="3">
        <f t="shared" si="25"/>
        <v>2.5163399986269847E-2</v>
      </c>
      <c r="K32" s="3">
        <f t="shared" si="25"/>
        <v>2.5163399984750281E-2</v>
      </c>
      <c r="L32" s="3">
        <f t="shared" si="25"/>
        <v>2.5163399969554627E-2</v>
      </c>
      <c r="M32" s="3">
        <f t="shared" si="25"/>
        <v>2.5163399817598079E-2</v>
      </c>
      <c r="N32" s="3">
        <f t="shared" si="25"/>
        <v>2.516339829803264E-2</v>
      </c>
      <c r="O32" s="3">
        <f t="shared" si="25"/>
        <v>2.5163383102383308E-2</v>
      </c>
      <c r="P32" s="3">
        <f t="shared" si="25"/>
        <v>2.5163231146394682E-2</v>
      </c>
      <c r="Q32" s="3">
        <f t="shared" si="25"/>
        <v>2.5161711636977065E-2</v>
      </c>
      <c r="R32" s="3">
        <f t="shared" si="25"/>
        <v>2.5146521588535451E-2</v>
      </c>
      <c r="S32" s="3">
        <f t="shared" si="25"/>
        <v>2.499512455200005E-2</v>
      </c>
      <c r="T32" s="3">
        <f t="shared" si="25"/>
        <v>2.3530392033571004E-2</v>
      </c>
      <c r="U32" s="3">
        <f t="shared" si="25"/>
        <v>1.2863754402650146E-2</v>
      </c>
      <c r="V32" s="3">
        <f t="shared" si="26"/>
        <v>3.0672806107495296E-5</v>
      </c>
      <c r="W32" s="3">
        <f t="shared" si="26"/>
        <v>1.8222636160070591E-31</v>
      </c>
      <c r="X32" s="3">
        <f t="shared" si="26"/>
        <v>9.9813239377844273E-294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0.1221596584931022</v>
      </c>
      <c r="C33" s="18">
        <f t="shared" si="3"/>
        <v>7.3723285891336199E-2</v>
      </c>
      <c r="D33" s="17"/>
      <c r="F33" s="3">
        <f t="shared" si="25"/>
        <v>7.3723285891336185E-2</v>
      </c>
      <c r="G33" s="3">
        <f t="shared" si="25"/>
        <v>7.3723285891336157E-2</v>
      </c>
      <c r="H33" s="3">
        <f t="shared" si="25"/>
        <v>7.3723285891335755E-2</v>
      </c>
      <c r="I33" s="3">
        <f t="shared" si="25"/>
        <v>7.3723285891331744E-2</v>
      </c>
      <c r="J33" s="3">
        <f t="shared" si="25"/>
        <v>7.3723285891291568E-2</v>
      </c>
      <c r="K33" s="3">
        <f t="shared" si="25"/>
        <v>7.3723285890889959E-2</v>
      </c>
      <c r="L33" s="3">
        <f t="shared" si="25"/>
        <v>7.3723285886873893E-2</v>
      </c>
      <c r="M33" s="3">
        <f t="shared" si="25"/>
        <v>7.3723285846713185E-2</v>
      </c>
      <c r="N33" s="3">
        <f t="shared" si="25"/>
        <v>7.372328544510609E-2</v>
      </c>
      <c r="O33" s="3">
        <f t="shared" si="25"/>
        <v>7.3723281429035281E-2</v>
      </c>
      <c r="P33" s="3">
        <f t="shared" si="25"/>
        <v>7.3723241268339137E-2</v>
      </c>
      <c r="Q33" s="3">
        <f t="shared" si="25"/>
        <v>7.3722839662581002E-2</v>
      </c>
      <c r="R33" s="3">
        <f t="shared" si="25"/>
        <v>7.3718823725323346E-2</v>
      </c>
      <c r="S33" s="3">
        <f t="shared" si="25"/>
        <v>7.3678676382687908E-2</v>
      </c>
      <c r="T33" s="3">
        <f t="shared" si="25"/>
        <v>7.3278403529253536E-2</v>
      </c>
      <c r="U33" s="3">
        <f t="shared" ref="P33:AE48" si="27">$C33*EXP(-U$15/$A33)</f>
        <v>6.9393347300985217E-2</v>
      </c>
      <c r="V33" s="3">
        <f t="shared" si="27"/>
        <v>4.0247250357449131E-2</v>
      </c>
      <c r="W33" s="3">
        <f t="shared" si="27"/>
        <v>1.7334846439803707E-4</v>
      </c>
      <c r="X33" s="3">
        <f t="shared" si="27"/>
        <v>3.8085339781754594E-28</v>
      </c>
      <c r="Y33" s="3">
        <f t="shared" si="27"/>
        <v>9.9801298468023764E-265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0.16547977290449964</v>
      </c>
      <c r="C34" s="18">
        <f t="shared" si="3"/>
        <v>9.9866950821253964E-2</v>
      </c>
      <c r="D34" s="17"/>
      <c r="F34" s="3">
        <f t="shared" ref="F34:O48" si="28">$C34*EXP(-F$15/$A34)</f>
        <v>9.9866950821253964E-2</v>
      </c>
      <c r="G34" s="3">
        <f t="shared" si="28"/>
        <v>9.9866950821253964E-2</v>
      </c>
      <c r="H34" s="3">
        <f t="shared" si="28"/>
        <v>9.9866950821253908E-2</v>
      </c>
      <c r="I34" s="3">
        <f t="shared" si="28"/>
        <v>9.9866950821253422E-2</v>
      </c>
      <c r="J34" s="3">
        <f t="shared" si="28"/>
        <v>9.986695082124851E-2</v>
      </c>
      <c r="K34" s="3">
        <f t="shared" si="28"/>
        <v>9.9866950821199438E-2</v>
      </c>
      <c r="L34" s="3">
        <f t="shared" si="28"/>
        <v>9.9866950820708678E-2</v>
      </c>
      <c r="M34" s="3">
        <f t="shared" si="28"/>
        <v>9.9866950815801131E-2</v>
      </c>
      <c r="N34" s="3">
        <f t="shared" si="28"/>
        <v>9.9866950766725582E-2</v>
      </c>
      <c r="O34" s="3">
        <f t="shared" si="28"/>
        <v>9.9866950275970201E-2</v>
      </c>
      <c r="P34" s="3">
        <f t="shared" si="27"/>
        <v>9.9866945368416504E-2</v>
      </c>
      <c r="Q34" s="3">
        <f t="shared" si="27"/>
        <v>9.9866896292892707E-2</v>
      </c>
      <c r="R34" s="3">
        <f t="shared" si="27"/>
        <v>9.9866405538981226E-2</v>
      </c>
      <c r="S34" s="3">
        <f t="shared" si="27"/>
        <v>9.9861498132502668E-2</v>
      </c>
      <c r="T34" s="3">
        <f t="shared" si="27"/>
        <v>9.9812437328931969E-2</v>
      </c>
      <c r="U34" s="3">
        <f t="shared" si="27"/>
        <v>9.9323153006708131E-2</v>
      </c>
      <c r="V34" s="3">
        <f t="shared" si="27"/>
        <v>9.4560305647023779E-2</v>
      </c>
      <c r="W34" s="3">
        <f t="shared" si="27"/>
        <v>5.7848561355996551E-2</v>
      </c>
      <c r="X34" s="3">
        <f t="shared" si="27"/>
        <v>4.2474621622432663E-4</v>
      </c>
      <c r="Y34" s="3">
        <f t="shared" si="27"/>
        <v>1.9341897481060175E-25</v>
      </c>
      <c r="Z34" s="3">
        <f t="shared" si="27"/>
        <v>7.4164258718381602E-239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0.14071007744112202</v>
      </c>
      <c r="C35" s="18">
        <f t="shared" si="3"/>
        <v>8.4918453398997062E-2</v>
      </c>
      <c r="D35" s="17"/>
      <c r="F35" s="3">
        <f t="shared" si="28"/>
        <v>8.4918453398997062E-2</v>
      </c>
      <c r="G35" s="3">
        <f t="shared" si="28"/>
        <v>8.4918453398997062E-2</v>
      </c>
      <c r="H35" s="3">
        <f t="shared" si="28"/>
        <v>8.4918453398997062E-2</v>
      </c>
      <c r="I35" s="3">
        <f t="shared" si="28"/>
        <v>8.4918453398997021E-2</v>
      </c>
      <c r="J35" s="3">
        <f t="shared" si="28"/>
        <v>8.4918453398996646E-2</v>
      </c>
      <c r="K35" s="3">
        <f t="shared" si="28"/>
        <v>8.4918453398992871E-2</v>
      </c>
      <c r="L35" s="3">
        <f t="shared" si="28"/>
        <v>8.4918453398955235E-2</v>
      </c>
      <c r="M35" s="3">
        <f t="shared" si="28"/>
        <v>8.49184533985788E-2</v>
      </c>
      <c r="N35" s="3">
        <f t="shared" si="28"/>
        <v>8.4918453394814422E-2</v>
      </c>
      <c r="O35" s="3">
        <f t="shared" si="28"/>
        <v>8.4918453357170756E-2</v>
      </c>
      <c r="P35" s="3">
        <f t="shared" si="27"/>
        <v>8.4918452980734069E-2</v>
      </c>
      <c r="Q35" s="3">
        <f t="shared" si="27"/>
        <v>8.4918449216367223E-2</v>
      </c>
      <c r="R35" s="3">
        <f t="shared" si="27"/>
        <v>8.4918411572708019E-2</v>
      </c>
      <c r="S35" s="3">
        <f t="shared" si="27"/>
        <v>8.4918035137033693E-2</v>
      </c>
      <c r="T35" s="3">
        <f t="shared" si="27"/>
        <v>8.4914270872068043E-2</v>
      </c>
      <c r="U35" s="3">
        <f t="shared" si="27"/>
        <v>8.4876637398664273E-2</v>
      </c>
      <c r="V35" s="3">
        <f t="shared" si="27"/>
        <v>8.4501218786621521E-2</v>
      </c>
      <c r="W35" s="3">
        <f t="shared" si="27"/>
        <v>8.0837159911052614E-2</v>
      </c>
      <c r="X35" s="3">
        <f t="shared" si="27"/>
        <v>5.1890969603214439E-2</v>
      </c>
      <c r="Y35" s="3">
        <f t="shared" si="27"/>
        <v>6.1645187040508921E-4</v>
      </c>
      <c r="Z35" s="3">
        <f t="shared" si="27"/>
        <v>3.4512233304006646E-23</v>
      </c>
      <c r="AA35" s="3">
        <f t="shared" si="27"/>
        <v>1.0440275364938175E-215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0.10604938744961875</v>
      </c>
      <c r="C36" s="18">
        <f t="shared" si="3"/>
        <v>6.4000746285573396E-2</v>
      </c>
      <c r="D36" s="17"/>
      <c r="F36" s="3">
        <f t="shared" si="28"/>
        <v>6.4000746285573396E-2</v>
      </c>
      <c r="G36" s="3">
        <f t="shared" si="28"/>
        <v>6.4000746285573396E-2</v>
      </c>
      <c r="H36" s="3">
        <f t="shared" si="28"/>
        <v>6.4000746285573396E-2</v>
      </c>
      <c r="I36" s="3">
        <f t="shared" si="28"/>
        <v>6.4000746285573396E-2</v>
      </c>
      <c r="J36" s="3">
        <f t="shared" si="28"/>
        <v>6.4000746285573368E-2</v>
      </c>
      <c r="K36" s="3">
        <f t="shared" si="28"/>
        <v>6.4000746285573118E-2</v>
      </c>
      <c r="L36" s="3">
        <f t="shared" si="28"/>
        <v>6.4000746285570551E-2</v>
      </c>
      <c r="M36" s="3">
        <f t="shared" si="28"/>
        <v>6.400074628554496E-2</v>
      </c>
      <c r="N36" s="3">
        <f t="shared" si="28"/>
        <v>6.4000746285289026E-2</v>
      </c>
      <c r="O36" s="3">
        <f t="shared" si="28"/>
        <v>6.4000746282729726E-2</v>
      </c>
      <c r="P36" s="3">
        <f t="shared" si="27"/>
        <v>6.4000746257136712E-2</v>
      </c>
      <c r="Q36" s="3">
        <f t="shared" si="27"/>
        <v>6.4000746001206532E-2</v>
      </c>
      <c r="R36" s="3">
        <f t="shared" si="27"/>
        <v>6.4000743441904775E-2</v>
      </c>
      <c r="S36" s="3">
        <f t="shared" si="27"/>
        <v>6.4000717848892927E-2</v>
      </c>
      <c r="T36" s="3">
        <f t="shared" si="27"/>
        <v>6.4000461919337281E-2</v>
      </c>
      <c r="U36" s="3">
        <f t="shared" si="27"/>
        <v>6.3997902680068497E-2</v>
      </c>
      <c r="V36" s="3">
        <f t="shared" si="27"/>
        <v>6.397231591531817E-2</v>
      </c>
      <c r="W36" s="3">
        <f t="shared" si="27"/>
        <v>6.3717010229755247E-2</v>
      </c>
      <c r="X36" s="3">
        <f t="shared" si="27"/>
        <v>6.1219326919763221E-2</v>
      </c>
      <c r="Y36" s="3">
        <f t="shared" si="27"/>
        <v>4.1041210417568801E-2</v>
      </c>
      <c r="Z36" s="3">
        <f t="shared" si="27"/>
        <v>7.5255156807537088E-4</v>
      </c>
      <c r="AA36" s="3">
        <f t="shared" si="27"/>
        <v>3.2336819830132627E-21</v>
      </c>
      <c r="AB36" s="3">
        <f t="shared" si="27"/>
        <v>6.9391731734859824E-195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0.10605763452354421</v>
      </c>
      <c r="C37" s="18">
        <f t="shared" si="3"/>
        <v>6.4005723390096053E-2</v>
      </c>
      <c r="D37" s="17"/>
      <c r="F37" s="3">
        <f t="shared" si="28"/>
        <v>6.4005723390096053E-2</v>
      </c>
      <c r="G37" s="3">
        <f t="shared" si="28"/>
        <v>6.4005723390096053E-2</v>
      </c>
      <c r="H37" s="3">
        <f t="shared" si="28"/>
        <v>6.4005723390096053E-2</v>
      </c>
      <c r="I37" s="3">
        <f t="shared" si="28"/>
        <v>6.4005723390096053E-2</v>
      </c>
      <c r="J37" s="3">
        <f t="shared" si="28"/>
        <v>6.4005723390096053E-2</v>
      </c>
      <c r="K37" s="3">
        <f t="shared" si="28"/>
        <v>6.4005723390096025E-2</v>
      </c>
      <c r="L37" s="3">
        <f t="shared" si="28"/>
        <v>6.4005723390095803E-2</v>
      </c>
      <c r="M37" s="3">
        <f t="shared" si="28"/>
        <v>6.4005723390093486E-2</v>
      </c>
      <c r="N37" s="3">
        <f t="shared" si="28"/>
        <v>6.4005723390070407E-2</v>
      </c>
      <c r="O37" s="3">
        <f t="shared" si="28"/>
        <v>6.4005723389839508E-2</v>
      </c>
      <c r="P37" s="3">
        <f t="shared" si="27"/>
        <v>6.4005723387530633E-2</v>
      </c>
      <c r="Q37" s="3">
        <f t="shared" si="27"/>
        <v>6.4005723364441797E-2</v>
      </c>
      <c r="R37" s="3">
        <f t="shared" si="27"/>
        <v>6.400572313355353E-2</v>
      </c>
      <c r="S37" s="3">
        <f t="shared" si="27"/>
        <v>6.4005720824670889E-2</v>
      </c>
      <c r="T37" s="3">
        <f t="shared" si="27"/>
        <v>6.4005697735849132E-2</v>
      </c>
      <c r="U37" s="3">
        <f t="shared" si="27"/>
        <v>6.4005466848089498E-2</v>
      </c>
      <c r="V37" s="3">
        <f t="shared" si="27"/>
        <v>6.4003158016301201E-2</v>
      </c>
      <c r="W37" s="3">
        <f t="shared" si="27"/>
        <v>6.3980074278605165E-2</v>
      </c>
      <c r="X37" s="3">
        <f t="shared" si="27"/>
        <v>6.374969430961433E-2</v>
      </c>
      <c r="Y37" s="3">
        <f t="shared" si="27"/>
        <v>6.1491030758661795E-2</v>
      </c>
      <c r="Z37" s="3">
        <f t="shared" si="27"/>
        <v>4.2869501936960833E-2</v>
      </c>
      <c r="AA37" s="3">
        <f t="shared" si="27"/>
        <v>1.1628269422519326E-3</v>
      </c>
      <c r="AB37" s="3">
        <f t="shared" si="27"/>
        <v>2.5071571903176136E-19</v>
      </c>
      <c r="AC37" s="3">
        <f t="shared" si="27"/>
        <v>5.4431003766351177E-176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4.1796002281786836E-2</v>
      </c>
      <c r="C38" s="18">
        <f t="shared" si="3"/>
        <v>2.5223864108208031E-2</v>
      </c>
      <c r="D38" s="17"/>
      <c r="F38" s="3">
        <f t="shared" si="28"/>
        <v>2.5223864108208031E-2</v>
      </c>
      <c r="G38" s="3">
        <f t="shared" si="28"/>
        <v>2.5223864108208031E-2</v>
      </c>
      <c r="H38" s="3">
        <f t="shared" si="28"/>
        <v>2.5223864108208031E-2</v>
      </c>
      <c r="I38" s="3">
        <f t="shared" si="28"/>
        <v>2.5223864108208031E-2</v>
      </c>
      <c r="J38" s="3">
        <f t="shared" si="28"/>
        <v>2.5223864108208031E-2</v>
      </c>
      <c r="K38" s="3">
        <f t="shared" si="28"/>
        <v>2.5223864108208031E-2</v>
      </c>
      <c r="L38" s="3">
        <f t="shared" si="28"/>
        <v>2.5223864108208024E-2</v>
      </c>
      <c r="M38" s="3">
        <f t="shared" si="28"/>
        <v>2.5223864108207938E-2</v>
      </c>
      <c r="N38" s="3">
        <f t="shared" si="28"/>
        <v>2.5223864108207119E-2</v>
      </c>
      <c r="O38" s="3">
        <f t="shared" si="28"/>
        <v>2.522386410819891E-2</v>
      </c>
      <c r="P38" s="3">
        <f t="shared" si="27"/>
        <v>2.522386410811683E-2</v>
      </c>
      <c r="Q38" s="3">
        <f t="shared" si="27"/>
        <v>2.5223864107296025E-2</v>
      </c>
      <c r="R38" s="3">
        <f t="shared" si="27"/>
        <v>2.5223864099087948E-2</v>
      </c>
      <c r="S38" s="3">
        <f t="shared" si="27"/>
        <v>2.5223864017007207E-2</v>
      </c>
      <c r="T38" s="3">
        <f t="shared" si="27"/>
        <v>2.5223863196199819E-2</v>
      </c>
      <c r="U38" s="3">
        <f t="shared" si="27"/>
        <v>2.5223854988127407E-2</v>
      </c>
      <c r="V38" s="3">
        <f t="shared" si="27"/>
        <v>2.5223772907550158E-2</v>
      </c>
      <c r="W38" s="3">
        <f t="shared" si="27"/>
        <v>2.522295211646788E-2</v>
      </c>
      <c r="X38" s="3">
        <f t="shared" si="27"/>
        <v>2.5214745674488531E-2</v>
      </c>
      <c r="Y38" s="3">
        <f t="shared" si="27"/>
        <v>2.513282796234103E-2</v>
      </c>
      <c r="Z38" s="3">
        <f t="shared" si="27"/>
        <v>2.4328146494427126E-2</v>
      </c>
      <c r="AA38" s="3">
        <f t="shared" si="27"/>
        <v>1.7570562324699945E-2</v>
      </c>
      <c r="AB38" s="3">
        <f t="shared" si="27"/>
        <v>6.7850342733869157E-4</v>
      </c>
      <c r="AC38" s="3">
        <f t="shared" si="27"/>
        <v>5.002831728036327E-18</v>
      </c>
      <c r="AD38" s="3">
        <f t="shared" si="27"/>
        <v>2.3760435294241938E-159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6.7537201318080109E-2</v>
      </c>
      <c r="C39" s="18">
        <f t="shared" si="3"/>
        <v>4.075866339585988E-2</v>
      </c>
      <c r="D39" s="17"/>
      <c r="F39" s="3">
        <f t="shared" si="28"/>
        <v>4.075866339585988E-2</v>
      </c>
      <c r="G39" s="3">
        <f t="shared" si="28"/>
        <v>4.075866339585988E-2</v>
      </c>
      <c r="H39" s="3">
        <f t="shared" si="28"/>
        <v>4.075866339585988E-2</v>
      </c>
      <c r="I39" s="3">
        <f t="shared" si="28"/>
        <v>4.075866339585988E-2</v>
      </c>
      <c r="J39" s="3">
        <f t="shared" si="28"/>
        <v>4.075866339585988E-2</v>
      </c>
      <c r="K39" s="3">
        <f t="shared" si="28"/>
        <v>4.075866339585988E-2</v>
      </c>
      <c r="L39" s="3">
        <f t="shared" si="28"/>
        <v>4.0758663395859873E-2</v>
      </c>
      <c r="M39" s="3">
        <f t="shared" si="28"/>
        <v>4.0758663395859838E-2</v>
      </c>
      <c r="N39" s="3">
        <f t="shared" si="28"/>
        <v>4.0758663395859471E-2</v>
      </c>
      <c r="O39" s="3">
        <f t="shared" si="28"/>
        <v>4.07586633958558E-2</v>
      </c>
      <c r="P39" s="3">
        <f t="shared" si="27"/>
        <v>4.0758663395819121E-2</v>
      </c>
      <c r="Q39" s="3">
        <f t="shared" si="27"/>
        <v>4.0758663395452296E-2</v>
      </c>
      <c r="R39" s="3">
        <f t="shared" si="27"/>
        <v>4.0758663391784015E-2</v>
      </c>
      <c r="S39" s="3">
        <f t="shared" si="27"/>
        <v>4.075866335510122E-2</v>
      </c>
      <c r="T39" s="3">
        <f t="shared" si="27"/>
        <v>4.0758662988273249E-2</v>
      </c>
      <c r="U39" s="3">
        <f t="shared" si="27"/>
        <v>4.0758659319993749E-2</v>
      </c>
      <c r="V39" s="3">
        <f t="shared" si="27"/>
        <v>4.0758622637216864E-2</v>
      </c>
      <c r="W39" s="3">
        <f t="shared" si="27"/>
        <v>4.0758255811263848E-2</v>
      </c>
      <c r="X39" s="3">
        <f t="shared" si="27"/>
        <v>4.075458773330682E-2</v>
      </c>
      <c r="Y39" s="3">
        <f t="shared" si="27"/>
        <v>4.0717925105004306E-2</v>
      </c>
      <c r="Z39" s="3">
        <f t="shared" si="27"/>
        <v>4.0353107918909378E-2</v>
      </c>
      <c r="AA39" s="3">
        <f t="shared" si="27"/>
        <v>3.6879963749706625E-2</v>
      </c>
      <c r="AB39" s="3">
        <f t="shared" si="27"/>
        <v>1.4994274312963855E-2</v>
      </c>
      <c r="AC39" s="3">
        <f t="shared" si="27"/>
        <v>1.8504404553848009E-6</v>
      </c>
      <c r="AD39" s="3">
        <f t="shared" si="27"/>
        <v>1.5162532451365817E-45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4.0293963232182844E-2</v>
      </c>
      <c r="C40" s="18">
        <f t="shared" si="3"/>
        <v>2.4317384377993669E-2</v>
      </c>
      <c r="D40" s="17"/>
      <c r="F40" s="3">
        <f t="shared" si="28"/>
        <v>2.4317384377993669E-2</v>
      </c>
      <c r="G40" s="3">
        <f t="shared" si="28"/>
        <v>2.4317384377993669E-2</v>
      </c>
      <c r="H40" s="3">
        <f t="shared" si="28"/>
        <v>2.4317384377993669E-2</v>
      </c>
      <c r="I40" s="3">
        <f t="shared" si="28"/>
        <v>2.4317384377993669E-2</v>
      </c>
      <c r="J40" s="3">
        <f t="shared" si="28"/>
        <v>2.4317384377993669E-2</v>
      </c>
      <c r="K40" s="3">
        <f t="shared" si="28"/>
        <v>2.4317384377993669E-2</v>
      </c>
      <c r="L40" s="3">
        <f t="shared" si="28"/>
        <v>2.4317384377993669E-2</v>
      </c>
      <c r="M40" s="3">
        <f t="shared" si="28"/>
        <v>2.4317384377993665E-2</v>
      </c>
      <c r="N40" s="3">
        <f t="shared" si="28"/>
        <v>2.4317384377993644E-2</v>
      </c>
      <c r="O40" s="3">
        <f t="shared" si="28"/>
        <v>2.4317384377993426E-2</v>
      </c>
      <c r="P40" s="3">
        <f t="shared" si="27"/>
        <v>2.4317384377991236E-2</v>
      </c>
      <c r="Q40" s="3">
        <f t="shared" si="27"/>
        <v>2.4317384377969351E-2</v>
      </c>
      <c r="R40" s="3">
        <f t="shared" si="27"/>
        <v>2.4317384377750495E-2</v>
      </c>
      <c r="S40" s="3">
        <f t="shared" si="27"/>
        <v>2.431738437556193E-2</v>
      </c>
      <c r="T40" s="3">
        <f t="shared" si="27"/>
        <v>2.4317384353676284E-2</v>
      </c>
      <c r="U40" s="3">
        <f t="shared" si="27"/>
        <v>2.4317384134819826E-2</v>
      </c>
      <c r="V40" s="3">
        <f t="shared" si="27"/>
        <v>2.4317381946255354E-2</v>
      </c>
      <c r="W40" s="3">
        <f t="shared" si="27"/>
        <v>2.4317360060621449E-2</v>
      </c>
      <c r="X40" s="3">
        <f t="shared" si="27"/>
        <v>2.4317141205365753E-2</v>
      </c>
      <c r="Y40" s="3">
        <f t="shared" si="27"/>
        <v>2.431495276113874E-2</v>
      </c>
      <c r="Z40" s="3">
        <f t="shared" si="27"/>
        <v>2.4293079148255979E-2</v>
      </c>
      <c r="AA40" s="3">
        <f t="shared" si="27"/>
        <v>2.4075422360647251E-2</v>
      </c>
      <c r="AB40" s="3">
        <f t="shared" si="27"/>
        <v>2.2003279293971768E-2</v>
      </c>
      <c r="AC40" s="3">
        <f t="shared" si="27"/>
        <v>8.9458657757274726E-3</v>
      </c>
      <c r="AD40" s="3">
        <f t="shared" si="27"/>
        <v>1.1040075427682591E-6</v>
      </c>
      <c r="AE40" s="3">
        <f t="shared" si="27"/>
        <v>9.0462517424238627E-46</v>
      </c>
      <c r="AF40" s="3">
        <f t="shared" si="29"/>
        <v>0</v>
      </c>
      <c r="AG40" s="3">
        <f t="shared" si="29"/>
        <v>0</v>
      </c>
      <c r="AH40" s="3">
        <f t="shared" si="29"/>
        <v>0</v>
      </c>
      <c r="AI40" s="3">
        <f t="shared" si="29"/>
        <v>0</v>
      </c>
      <c r="AJ40" s="3">
        <f t="shared" si="29"/>
        <v>0</v>
      </c>
    </row>
    <row r="41" spans="1:36" x14ac:dyDescent="0.25">
      <c r="A41" s="3">
        <f t="shared" si="30"/>
        <v>1000000000</v>
      </c>
      <c r="B41" s="106">
        <v>2.4362087225908567E-2</v>
      </c>
      <c r="C41" s="18">
        <f t="shared" si="3"/>
        <v>1.4702506077869741E-2</v>
      </c>
      <c r="D41" s="17"/>
      <c r="F41" s="3">
        <f t="shared" si="28"/>
        <v>1.4702506077869741E-2</v>
      </c>
      <c r="G41" s="3">
        <f t="shared" si="28"/>
        <v>1.4702506077869741E-2</v>
      </c>
      <c r="H41" s="3">
        <f t="shared" si="28"/>
        <v>1.4702506077869741E-2</v>
      </c>
      <c r="I41" s="3">
        <f t="shared" si="28"/>
        <v>1.4702506077869741E-2</v>
      </c>
      <c r="J41" s="3">
        <f t="shared" si="28"/>
        <v>1.4702506077869741E-2</v>
      </c>
      <c r="K41" s="3">
        <f t="shared" si="28"/>
        <v>1.4702506077869741E-2</v>
      </c>
      <c r="L41" s="3">
        <f t="shared" si="28"/>
        <v>1.4702506077869741E-2</v>
      </c>
      <c r="M41" s="3">
        <f t="shared" si="28"/>
        <v>1.4702506077869741E-2</v>
      </c>
      <c r="N41" s="3">
        <f t="shared" si="28"/>
        <v>1.4702506077869739E-2</v>
      </c>
      <c r="O41" s="3">
        <f t="shared" si="28"/>
        <v>1.4702506077869727E-2</v>
      </c>
      <c r="P41" s="3">
        <f t="shared" si="27"/>
        <v>1.4702506077869593E-2</v>
      </c>
      <c r="Q41" s="3">
        <f t="shared" si="27"/>
        <v>1.470250607786827E-2</v>
      </c>
      <c r="R41" s="3">
        <f t="shared" si="27"/>
        <v>1.4702506077855039E-2</v>
      </c>
      <c r="S41" s="3">
        <f t="shared" si="27"/>
        <v>1.4702506077722716E-2</v>
      </c>
      <c r="T41" s="3">
        <f t="shared" si="27"/>
        <v>1.470250607639949E-2</v>
      </c>
      <c r="U41" s="3">
        <f t="shared" si="27"/>
        <v>1.4702506063167236E-2</v>
      </c>
      <c r="V41" s="3">
        <f t="shared" si="27"/>
        <v>1.470250593084468E-2</v>
      </c>
      <c r="W41" s="3">
        <f t="shared" si="27"/>
        <v>1.4702504607619207E-2</v>
      </c>
      <c r="X41" s="3">
        <f t="shared" si="27"/>
        <v>1.4702491375371014E-2</v>
      </c>
      <c r="Y41" s="3">
        <f t="shared" si="27"/>
        <v>1.4702359053544084E-2</v>
      </c>
      <c r="Z41" s="3">
        <f t="shared" si="27"/>
        <v>1.4701035900772035E-2</v>
      </c>
      <c r="AA41" s="3">
        <f t="shared" si="27"/>
        <v>1.4687810920595104E-2</v>
      </c>
      <c r="AB41" s="3">
        <f t="shared" si="27"/>
        <v>1.4556213698091071E-2</v>
      </c>
      <c r="AC41" s="3">
        <f t="shared" si="27"/>
        <v>1.3303377638157659E-2</v>
      </c>
      <c r="AD41" s="3">
        <f t="shared" si="27"/>
        <v>5.4087497197464543E-3</v>
      </c>
      <c r="AE41" s="3">
        <f t="shared" si="27"/>
        <v>6.6749274326779286E-7</v>
      </c>
      <c r="AF41" s="3">
        <f t="shared" si="29"/>
        <v>5.469443964758355E-46</v>
      </c>
      <c r="AG41" s="3">
        <f t="shared" si="29"/>
        <v>0</v>
      </c>
      <c r="AH41" s="3">
        <f t="shared" si="29"/>
        <v>0</v>
      </c>
      <c r="AI41" s="3">
        <f t="shared" si="29"/>
        <v>0</v>
      </c>
      <c r="AJ41" s="3">
        <f t="shared" si="29"/>
        <v>0</v>
      </c>
    </row>
    <row r="42" spans="1:36" x14ac:dyDescent="0.25">
      <c r="A42" s="3">
        <f t="shared" si="30"/>
        <v>10000000000</v>
      </c>
      <c r="B42" s="106">
        <v>1.0706302748999294E-2</v>
      </c>
      <c r="C42" s="18">
        <f t="shared" si="3"/>
        <v>6.4612477485621166E-3</v>
      </c>
      <c r="D42" s="17"/>
      <c r="F42" s="3">
        <f t="shared" si="28"/>
        <v>6.4612477485621166E-3</v>
      </c>
      <c r="G42" s="3">
        <f t="shared" si="28"/>
        <v>6.4612477485621166E-3</v>
      </c>
      <c r="H42" s="3">
        <f t="shared" si="28"/>
        <v>6.4612477485621166E-3</v>
      </c>
      <c r="I42" s="3">
        <f t="shared" si="28"/>
        <v>6.4612477485621166E-3</v>
      </c>
      <c r="J42" s="3">
        <f t="shared" si="28"/>
        <v>6.4612477485621166E-3</v>
      </c>
      <c r="K42" s="3">
        <f t="shared" si="28"/>
        <v>6.4612477485621166E-3</v>
      </c>
      <c r="L42" s="3">
        <f t="shared" si="28"/>
        <v>6.4612477485621166E-3</v>
      </c>
      <c r="M42" s="3">
        <f t="shared" si="28"/>
        <v>6.4612477485621166E-3</v>
      </c>
      <c r="N42" s="3">
        <f t="shared" si="28"/>
        <v>6.4612477485621166E-3</v>
      </c>
      <c r="O42" s="3">
        <f t="shared" si="28"/>
        <v>6.4612477485621158E-3</v>
      </c>
      <c r="P42" s="3">
        <f t="shared" si="27"/>
        <v>6.4612477485621106E-3</v>
      </c>
      <c r="Q42" s="3">
        <f t="shared" si="27"/>
        <v>6.4612477485620524E-3</v>
      </c>
      <c r="R42" s="3">
        <f t="shared" si="27"/>
        <v>6.4612477485614704E-3</v>
      </c>
      <c r="S42" s="3">
        <f t="shared" si="27"/>
        <v>6.4612477485556557E-3</v>
      </c>
      <c r="T42" s="3">
        <f t="shared" si="27"/>
        <v>6.4612477484975043E-3</v>
      </c>
      <c r="U42" s="3">
        <f t="shared" si="27"/>
        <v>6.461247747915992E-3</v>
      </c>
      <c r="V42" s="3">
        <f t="shared" si="27"/>
        <v>6.4612477421008693E-3</v>
      </c>
      <c r="W42" s="3">
        <f t="shared" si="27"/>
        <v>6.4612476839496398E-3</v>
      </c>
      <c r="X42" s="3">
        <f t="shared" si="27"/>
        <v>6.4612471024373744E-3</v>
      </c>
      <c r="Y42" s="3">
        <f t="shared" si="27"/>
        <v>6.4612412873175989E-3</v>
      </c>
      <c r="Z42" s="3">
        <f t="shared" si="27"/>
        <v>6.4611831364076921E-3</v>
      </c>
      <c r="AA42" s="3">
        <f t="shared" si="27"/>
        <v>6.4606016560924224E-3</v>
      </c>
      <c r="AB42" s="3">
        <f t="shared" si="27"/>
        <v>6.4547897303608237E-3</v>
      </c>
      <c r="AC42" s="3">
        <f t="shared" si="27"/>
        <v>6.3969572592761101E-3</v>
      </c>
      <c r="AD42" s="3">
        <f t="shared" si="27"/>
        <v>5.8463787300996025E-3</v>
      </c>
      <c r="AE42" s="3">
        <f t="shared" si="27"/>
        <v>2.3769602110112714E-3</v>
      </c>
      <c r="AF42" s="3">
        <f t="shared" si="29"/>
        <v>2.9334019396273348E-7</v>
      </c>
      <c r="AG42" s="3">
        <f t="shared" si="29"/>
        <v>2.4036332524544646E-46</v>
      </c>
      <c r="AH42" s="3">
        <f t="shared" si="29"/>
        <v>0</v>
      </c>
      <c r="AI42" s="3">
        <f t="shared" si="29"/>
        <v>0</v>
      </c>
      <c r="AJ42" s="3">
        <f t="shared" si="29"/>
        <v>0</v>
      </c>
    </row>
    <row r="43" spans="1:36" x14ac:dyDescent="0.25">
      <c r="A43" s="3">
        <f t="shared" si="30"/>
        <v>100000000000</v>
      </c>
      <c r="B43" s="106">
        <v>5.2377787664060283E-3</v>
      </c>
      <c r="C43" s="18">
        <f t="shared" si="3"/>
        <v>3.1609965695272944E-3</v>
      </c>
      <c r="D43" s="17"/>
      <c r="F43" s="3">
        <f t="shared" si="28"/>
        <v>3.1609965695272944E-3</v>
      </c>
      <c r="G43" s="3">
        <f t="shared" si="28"/>
        <v>3.1609965695272944E-3</v>
      </c>
      <c r="H43" s="3">
        <f t="shared" si="28"/>
        <v>3.1609965695272944E-3</v>
      </c>
      <c r="I43" s="3">
        <f t="shared" si="28"/>
        <v>3.1609965695272944E-3</v>
      </c>
      <c r="J43" s="3">
        <f t="shared" si="28"/>
        <v>3.1609965695272944E-3</v>
      </c>
      <c r="K43" s="3">
        <f t="shared" si="28"/>
        <v>3.1609965695272944E-3</v>
      </c>
      <c r="L43" s="3">
        <f t="shared" si="28"/>
        <v>3.1609965695272944E-3</v>
      </c>
      <c r="M43" s="3">
        <f t="shared" si="28"/>
        <v>3.1609965695272944E-3</v>
      </c>
      <c r="N43" s="3">
        <f t="shared" si="28"/>
        <v>3.1609965695272944E-3</v>
      </c>
      <c r="O43" s="3">
        <f t="shared" si="28"/>
        <v>3.1609965695272944E-3</v>
      </c>
      <c r="P43" s="3">
        <f t="shared" si="27"/>
        <v>3.1609965695272939E-3</v>
      </c>
      <c r="Q43" s="3">
        <f t="shared" si="27"/>
        <v>3.1609965695272913E-3</v>
      </c>
      <c r="R43" s="3">
        <f t="shared" si="27"/>
        <v>3.1609965695272627E-3</v>
      </c>
      <c r="S43" s="3">
        <f t="shared" si="27"/>
        <v>3.1609965695269782E-3</v>
      </c>
      <c r="T43" s="3">
        <f t="shared" si="27"/>
        <v>3.1609965695241333E-3</v>
      </c>
      <c r="U43" s="3">
        <f t="shared" si="27"/>
        <v>3.1609965694956842E-3</v>
      </c>
      <c r="V43" s="3">
        <f t="shared" si="27"/>
        <v>3.1609965692111948E-3</v>
      </c>
      <c r="W43" s="3">
        <f t="shared" si="27"/>
        <v>3.1609965663662977E-3</v>
      </c>
      <c r="X43" s="3">
        <f t="shared" si="27"/>
        <v>3.1609965379173289E-3</v>
      </c>
      <c r="Y43" s="3">
        <f t="shared" si="27"/>
        <v>3.1609962534276535E-3</v>
      </c>
      <c r="Z43" s="3">
        <f t="shared" si="27"/>
        <v>3.1609934085323056E-3</v>
      </c>
      <c r="AA43" s="3">
        <f t="shared" si="27"/>
        <v>3.1609649597196484E-3</v>
      </c>
      <c r="AB43" s="3">
        <f t="shared" si="27"/>
        <v>3.1606804856747976E-3</v>
      </c>
      <c r="AC43" s="3">
        <f t="shared" si="27"/>
        <v>3.1578371529293508E-3</v>
      </c>
      <c r="AD43" s="3">
        <f t="shared" si="27"/>
        <v>3.1295441281421884E-3</v>
      </c>
      <c r="AE43" s="3">
        <f t="shared" si="27"/>
        <v>2.8601879743916023E-3</v>
      </c>
      <c r="AF43" s="3">
        <f t="shared" si="29"/>
        <v>1.1628656515425473E-3</v>
      </c>
      <c r="AG43" s="3">
        <f t="shared" si="29"/>
        <v>1.4350902223599473E-7</v>
      </c>
      <c r="AH43" s="3">
        <f t="shared" si="29"/>
        <v>1.1759147398582765E-46</v>
      </c>
      <c r="AI43" s="3">
        <f t="shared" si="29"/>
        <v>0</v>
      </c>
      <c r="AJ43" s="3">
        <f t="shared" si="29"/>
        <v>0</v>
      </c>
    </row>
    <row r="44" spans="1:36" x14ac:dyDescent="0.25">
      <c r="A44" s="3">
        <f t="shared" si="30"/>
        <v>1000000000000</v>
      </c>
      <c r="B44" s="106">
        <v>4.384888906597155E-3</v>
      </c>
      <c r="C44" s="18">
        <f t="shared" si="3"/>
        <v>2.6462780139571542E-3</v>
      </c>
      <c r="D44" s="17"/>
      <c r="F44" s="3">
        <f t="shared" si="28"/>
        <v>2.6462780139571542E-3</v>
      </c>
      <c r="G44" s="3">
        <f t="shared" si="28"/>
        <v>2.6462780139571542E-3</v>
      </c>
      <c r="H44" s="3">
        <f t="shared" si="28"/>
        <v>2.6462780139571542E-3</v>
      </c>
      <c r="I44" s="3">
        <f t="shared" si="28"/>
        <v>2.6462780139571542E-3</v>
      </c>
      <c r="J44" s="3">
        <f t="shared" si="28"/>
        <v>2.6462780139571542E-3</v>
      </c>
      <c r="K44" s="3">
        <f t="shared" si="28"/>
        <v>2.6462780139571542E-3</v>
      </c>
      <c r="L44" s="3">
        <f t="shared" si="28"/>
        <v>2.6462780139571542E-3</v>
      </c>
      <c r="M44" s="3">
        <f t="shared" si="28"/>
        <v>2.6462780139571542E-3</v>
      </c>
      <c r="N44" s="3">
        <f t="shared" si="28"/>
        <v>2.6462780139571542E-3</v>
      </c>
      <c r="O44" s="3">
        <f t="shared" si="28"/>
        <v>2.6462780139571542E-3</v>
      </c>
      <c r="P44" s="3">
        <f t="shared" si="27"/>
        <v>2.6462780139571542E-3</v>
      </c>
      <c r="Q44" s="3">
        <f t="shared" si="27"/>
        <v>2.6462780139571537E-3</v>
      </c>
      <c r="R44" s="3">
        <f t="shared" si="27"/>
        <v>2.6462780139571516E-3</v>
      </c>
      <c r="S44" s="3">
        <f t="shared" si="27"/>
        <v>2.6462780139571277E-3</v>
      </c>
      <c r="T44" s="3">
        <f t="shared" si="27"/>
        <v>2.6462780139568896E-3</v>
      </c>
      <c r="U44" s="3">
        <f t="shared" si="27"/>
        <v>2.6462780139545079E-3</v>
      </c>
      <c r="V44" s="3">
        <f t="shared" si="27"/>
        <v>2.6462780139306914E-3</v>
      </c>
      <c r="W44" s="3">
        <f t="shared" si="27"/>
        <v>2.6462780136925265E-3</v>
      </c>
      <c r="X44" s="3">
        <f t="shared" si="27"/>
        <v>2.6462780113108765E-3</v>
      </c>
      <c r="Y44" s="3">
        <f t="shared" si="27"/>
        <v>2.6462779874943743E-3</v>
      </c>
      <c r="Z44" s="3">
        <f t="shared" si="27"/>
        <v>2.6462777493293662E-3</v>
      </c>
      <c r="AA44" s="3">
        <f t="shared" si="27"/>
        <v>2.6462753676804633E-3</v>
      </c>
      <c r="AB44" s="3">
        <f t="shared" si="27"/>
        <v>2.6462515513093281E-3</v>
      </c>
      <c r="AC44" s="3">
        <f t="shared" si="27"/>
        <v>2.6460133993867073E-3</v>
      </c>
      <c r="AD44" s="3">
        <f t="shared" si="27"/>
        <v>2.6436330586412679E-3</v>
      </c>
      <c r="AE44" s="3">
        <f t="shared" si="27"/>
        <v>2.6199471077723593E-3</v>
      </c>
      <c r="AF44" s="3">
        <f t="shared" si="29"/>
        <v>2.3944513655543183E-3</v>
      </c>
      <c r="AG44" s="3">
        <f t="shared" si="29"/>
        <v>9.7351127695883221E-4</v>
      </c>
      <c r="AH44" s="3">
        <f t="shared" si="29"/>
        <v>1.2014083596566272E-7</v>
      </c>
      <c r="AI44" s="3">
        <f t="shared" si="29"/>
        <v>9.8443552655941403E-47</v>
      </c>
      <c r="AJ44" s="3">
        <f t="shared" si="29"/>
        <v>0</v>
      </c>
    </row>
    <row r="45" spans="1:36" x14ac:dyDescent="0.25">
      <c r="A45" s="3">
        <f t="shared" si="30"/>
        <v>10000000000000</v>
      </c>
      <c r="B45" s="106">
        <v>1.0067369833323986E-4</v>
      </c>
      <c r="C45" s="18">
        <f t="shared" si="3"/>
        <v>6.075652089661552E-5</v>
      </c>
      <c r="D45" s="17"/>
      <c r="F45" s="3">
        <f t="shared" si="28"/>
        <v>6.075652089661552E-5</v>
      </c>
      <c r="G45" s="3">
        <f t="shared" si="28"/>
        <v>6.075652089661552E-5</v>
      </c>
      <c r="H45" s="3">
        <f t="shared" si="28"/>
        <v>6.075652089661552E-5</v>
      </c>
      <c r="I45" s="3">
        <f t="shared" si="28"/>
        <v>6.075652089661552E-5</v>
      </c>
      <c r="J45" s="3">
        <f t="shared" si="28"/>
        <v>6.075652089661552E-5</v>
      </c>
      <c r="K45" s="3">
        <f t="shared" si="28"/>
        <v>6.075652089661552E-5</v>
      </c>
      <c r="L45" s="3">
        <f t="shared" si="28"/>
        <v>6.075652089661552E-5</v>
      </c>
      <c r="M45" s="3">
        <f t="shared" si="28"/>
        <v>6.075652089661552E-5</v>
      </c>
      <c r="N45" s="3">
        <f t="shared" si="28"/>
        <v>6.075652089661552E-5</v>
      </c>
      <c r="O45" s="3">
        <f t="shared" si="28"/>
        <v>6.075652089661552E-5</v>
      </c>
      <c r="P45" s="3">
        <f t="shared" si="27"/>
        <v>6.075652089661552E-5</v>
      </c>
      <c r="Q45" s="3">
        <f t="shared" si="27"/>
        <v>6.075652089661552E-5</v>
      </c>
      <c r="R45" s="3">
        <f t="shared" si="27"/>
        <v>6.0756520896615513E-5</v>
      </c>
      <c r="S45" s="3">
        <f t="shared" si="27"/>
        <v>6.0756520896615459E-5</v>
      </c>
      <c r="T45" s="3">
        <f t="shared" si="27"/>
        <v>6.075652089661491E-5</v>
      </c>
      <c r="U45" s="3">
        <f t="shared" si="27"/>
        <v>6.0756520896609442E-5</v>
      </c>
      <c r="V45" s="3">
        <f t="shared" si="27"/>
        <v>6.0756520896554764E-5</v>
      </c>
      <c r="W45" s="3">
        <f t="shared" si="27"/>
        <v>6.0756520896007953E-5</v>
      </c>
      <c r="X45" s="3">
        <f t="shared" si="27"/>
        <v>6.0756520890539868E-5</v>
      </c>
      <c r="Y45" s="3">
        <f t="shared" si="27"/>
        <v>6.0756520835858999E-5</v>
      </c>
      <c r="Z45" s="3">
        <f t="shared" si="27"/>
        <v>6.0756520289050313E-5</v>
      </c>
      <c r="AA45" s="3">
        <f t="shared" si="27"/>
        <v>6.0756514820963738E-5</v>
      </c>
      <c r="AB45" s="3">
        <f t="shared" si="27"/>
        <v>6.0756460140125003E-5</v>
      </c>
      <c r="AC45" s="3">
        <f t="shared" si="27"/>
        <v>6.0755913334444367E-5</v>
      </c>
      <c r="AD45" s="3">
        <f t="shared" si="27"/>
        <v>6.0750445548298335E-5</v>
      </c>
      <c r="AE45" s="3">
        <f t="shared" si="27"/>
        <v>6.0695794743855796E-5</v>
      </c>
      <c r="AF45" s="3">
        <f t="shared" si="29"/>
        <v>6.0151983412872051E-5</v>
      </c>
      <c r="AG45" s="3">
        <f t="shared" si="29"/>
        <v>5.497477349694141E-5</v>
      </c>
      <c r="AH45" s="3">
        <f t="shared" si="29"/>
        <v>2.2351074954967976E-5</v>
      </c>
      <c r="AI45" s="3">
        <f t="shared" si="29"/>
        <v>2.758341781319288E-9</v>
      </c>
      <c r="AJ45" s="3">
        <f t="shared" si="29"/>
        <v>2.2601887377410731E-48</v>
      </c>
    </row>
    <row r="46" spans="1:36" x14ac:dyDescent="0.25">
      <c r="A46" s="3">
        <f t="shared" si="30"/>
        <v>100000000000000</v>
      </c>
      <c r="B46" s="106">
        <v>2.94369310996279E-3</v>
      </c>
      <c r="C46" s="18">
        <f t="shared" si="3"/>
        <v>1.7765171530370429E-3</v>
      </c>
      <c r="D46" s="17"/>
      <c r="F46" s="3">
        <f t="shared" si="28"/>
        <v>1.7765171530370429E-3</v>
      </c>
      <c r="G46" s="3">
        <f t="shared" si="28"/>
        <v>1.7765171530370429E-3</v>
      </c>
      <c r="H46" s="3">
        <f t="shared" si="28"/>
        <v>1.7765171530370429E-3</v>
      </c>
      <c r="I46" s="3">
        <f t="shared" si="28"/>
        <v>1.7765171530370429E-3</v>
      </c>
      <c r="J46" s="3">
        <f t="shared" si="28"/>
        <v>1.7765171530370429E-3</v>
      </c>
      <c r="K46" s="3">
        <f t="shared" si="28"/>
        <v>1.7765171530370429E-3</v>
      </c>
      <c r="L46" s="3">
        <f t="shared" si="28"/>
        <v>1.7765171530370429E-3</v>
      </c>
      <c r="M46" s="3">
        <f t="shared" si="28"/>
        <v>1.7765171530370429E-3</v>
      </c>
      <c r="N46" s="3">
        <f t="shared" si="28"/>
        <v>1.7765171530370429E-3</v>
      </c>
      <c r="O46" s="3">
        <f t="shared" si="28"/>
        <v>1.7765171530370429E-3</v>
      </c>
      <c r="P46" s="3">
        <f t="shared" si="27"/>
        <v>1.7765171530370429E-3</v>
      </c>
      <c r="Q46" s="3">
        <f t="shared" si="27"/>
        <v>1.7765171530370429E-3</v>
      </c>
      <c r="R46" s="3">
        <f t="shared" si="27"/>
        <v>1.7765171530370429E-3</v>
      </c>
      <c r="S46" s="3">
        <f t="shared" si="27"/>
        <v>1.7765171530370427E-3</v>
      </c>
      <c r="T46" s="3">
        <f t="shared" si="27"/>
        <v>1.7765171530370412E-3</v>
      </c>
      <c r="U46" s="3">
        <f t="shared" si="27"/>
        <v>1.7765171530370251E-3</v>
      </c>
      <c r="V46" s="3">
        <f t="shared" si="27"/>
        <v>1.7765171530368651E-3</v>
      </c>
      <c r="W46" s="3">
        <f t="shared" si="27"/>
        <v>1.7765171530352663E-3</v>
      </c>
      <c r="X46" s="3">
        <f t="shared" si="27"/>
        <v>1.7765171530192778E-3</v>
      </c>
      <c r="Y46" s="3">
        <f t="shared" si="27"/>
        <v>1.7765171528593912E-3</v>
      </c>
      <c r="Z46" s="3">
        <f t="shared" si="27"/>
        <v>1.7765171512605258E-3</v>
      </c>
      <c r="AA46" s="3">
        <f t="shared" si="27"/>
        <v>1.7765171352718714E-3</v>
      </c>
      <c r="AB46" s="3">
        <f t="shared" si="27"/>
        <v>1.7765169753853366E-3</v>
      </c>
      <c r="AC46" s="3">
        <f t="shared" si="27"/>
        <v>1.7765153765207781E-3</v>
      </c>
      <c r="AD46" s="3">
        <f t="shared" si="27"/>
        <v>1.7764993879543381E-3</v>
      </c>
      <c r="AE46" s="3">
        <f t="shared" si="27"/>
        <v>1.7763395102040288E-3</v>
      </c>
      <c r="AF46" s="3">
        <f t="shared" si="29"/>
        <v>1.7747415238465703E-3</v>
      </c>
      <c r="AG46" s="3">
        <f t="shared" si="29"/>
        <v>1.7588405120168697E-3</v>
      </c>
      <c r="AH46" s="3">
        <f t="shared" si="29"/>
        <v>1.6074591938506314E-3</v>
      </c>
      <c r="AI46" s="3">
        <f t="shared" si="29"/>
        <v>6.5354413749074908E-4</v>
      </c>
      <c r="AJ46" s="3">
        <f t="shared" si="29"/>
        <v>8.0653753969731301E-8</v>
      </c>
    </row>
    <row r="47" spans="1:36" x14ac:dyDescent="0.25">
      <c r="A47" s="3">
        <f t="shared" si="30"/>
        <v>1000000000000000</v>
      </c>
      <c r="B47" s="106">
        <v>1.8194640829829432E-3</v>
      </c>
      <c r="C47" s="18">
        <f t="shared" si="3"/>
        <v>1.0980455611403293E-3</v>
      </c>
      <c r="D47" s="17"/>
      <c r="F47" s="3">
        <f t="shared" si="28"/>
        <v>1.0980455611403293E-3</v>
      </c>
      <c r="G47" s="3">
        <f t="shared" si="28"/>
        <v>1.0980455611403293E-3</v>
      </c>
      <c r="H47" s="3">
        <f t="shared" si="28"/>
        <v>1.0980455611403293E-3</v>
      </c>
      <c r="I47" s="3">
        <f t="shared" si="28"/>
        <v>1.0980455611403293E-3</v>
      </c>
      <c r="J47" s="3">
        <f t="shared" si="28"/>
        <v>1.0980455611403293E-3</v>
      </c>
      <c r="K47" s="3">
        <f t="shared" si="28"/>
        <v>1.0980455611403293E-3</v>
      </c>
      <c r="L47" s="3">
        <f t="shared" si="28"/>
        <v>1.0980455611403293E-3</v>
      </c>
      <c r="M47" s="3">
        <f t="shared" si="28"/>
        <v>1.0980455611403293E-3</v>
      </c>
      <c r="N47" s="3">
        <f t="shared" si="28"/>
        <v>1.0980455611403293E-3</v>
      </c>
      <c r="O47" s="3">
        <f t="shared" si="28"/>
        <v>1.0980455611403293E-3</v>
      </c>
      <c r="P47" s="3">
        <f t="shared" si="27"/>
        <v>1.0980455611403293E-3</v>
      </c>
      <c r="Q47" s="3">
        <f t="shared" si="27"/>
        <v>1.0980455611403293E-3</v>
      </c>
      <c r="R47" s="3">
        <f t="shared" si="27"/>
        <v>1.0980455611403293E-3</v>
      </c>
      <c r="S47" s="3">
        <f t="shared" si="27"/>
        <v>1.0980455611403293E-3</v>
      </c>
      <c r="T47" s="3">
        <f t="shared" si="27"/>
        <v>1.098045561140329E-3</v>
      </c>
      <c r="U47" s="3">
        <f t="shared" si="27"/>
        <v>1.0980455611403282E-3</v>
      </c>
      <c r="V47" s="3">
        <f t="shared" si="27"/>
        <v>1.0980455611403182E-3</v>
      </c>
      <c r="W47" s="3">
        <f t="shared" si="27"/>
        <v>1.0980455611402193E-3</v>
      </c>
      <c r="X47" s="3">
        <f t="shared" si="27"/>
        <v>1.0980455611392312E-3</v>
      </c>
      <c r="Y47" s="3">
        <f t="shared" si="27"/>
        <v>1.0980455611293489E-3</v>
      </c>
      <c r="Z47" s="3">
        <f t="shared" si="27"/>
        <v>1.0980455610305247E-3</v>
      </c>
      <c r="AA47" s="3">
        <f t="shared" si="27"/>
        <v>1.0980455600422838E-3</v>
      </c>
      <c r="AB47" s="3">
        <f t="shared" si="27"/>
        <v>1.0980455501598738E-3</v>
      </c>
      <c r="AC47" s="3">
        <f t="shared" si="27"/>
        <v>1.0980454513357786E-3</v>
      </c>
      <c r="AD47" s="3">
        <f t="shared" si="27"/>
        <v>1.0980444630953171E-3</v>
      </c>
      <c r="AE47" s="3">
        <f t="shared" si="27"/>
        <v>1.0980345807396199E-3</v>
      </c>
      <c r="AF47" s="3">
        <f t="shared" si="29"/>
        <v>1.09793576207426E-3</v>
      </c>
      <c r="AG47" s="3">
        <f t="shared" si="29"/>
        <v>1.0969480644190076E-3</v>
      </c>
      <c r="AH47" s="3">
        <f t="shared" si="29"/>
        <v>1.0871198252559949E-3</v>
      </c>
      <c r="AI47" s="3">
        <f t="shared" si="29"/>
        <v>9.9355271042806184E-4</v>
      </c>
      <c r="AJ47" s="3">
        <f t="shared" si="29"/>
        <v>4.0394838741308713E-4</v>
      </c>
    </row>
    <row r="48" spans="1:36" x14ac:dyDescent="0.25">
      <c r="A48" s="3">
        <f t="shared" si="30"/>
        <v>1E+16</v>
      </c>
      <c r="B48" s="106">
        <v>3.1765088135665806E-3</v>
      </c>
      <c r="C48" s="18">
        <f t="shared" si="3"/>
        <v>1.9170213005477699E-3</v>
      </c>
      <c r="D48" s="17"/>
      <c r="F48" s="3">
        <f t="shared" si="28"/>
        <v>1.9170213005477699E-3</v>
      </c>
      <c r="G48" s="3">
        <f t="shared" si="28"/>
        <v>1.9170213005477699E-3</v>
      </c>
      <c r="H48" s="3">
        <f t="shared" si="28"/>
        <v>1.9170213005477699E-3</v>
      </c>
      <c r="I48" s="3">
        <f t="shared" si="28"/>
        <v>1.9170213005477699E-3</v>
      </c>
      <c r="J48" s="3">
        <f t="shared" si="28"/>
        <v>1.9170213005477699E-3</v>
      </c>
      <c r="K48" s="3">
        <f t="shared" si="28"/>
        <v>1.9170213005477699E-3</v>
      </c>
      <c r="L48" s="3">
        <f t="shared" si="28"/>
        <v>1.9170213005477699E-3</v>
      </c>
      <c r="M48" s="3">
        <f t="shared" si="28"/>
        <v>1.9170213005477699E-3</v>
      </c>
      <c r="N48" s="3">
        <f t="shared" si="28"/>
        <v>1.9170213005477699E-3</v>
      </c>
      <c r="O48" s="3">
        <f t="shared" si="28"/>
        <v>1.9170213005477699E-3</v>
      </c>
      <c r="P48" s="3">
        <f t="shared" si="27"/>
        <v>1.9170213005477699E-3</v>
      </c>
      <c r="Q48" s="3">
        <f t="shared" si="27"/>
        <v>1.9170213005477699E-3</v>
      </c>
      <c r="R48" s="3">
        <f t="shared" si="27"/>
        <v>1.9170213005477699E-3</v>
      </c>
      <c r="S48" s="3">
        <f t="shared" si="27"/>
        <v>1.9170213005477699E-3</v>
      </c>
      <c r="T48" s="3">
        <f t="shared" si="27"/>
        <v>1.9170213005477699E-3</v>
      </c>
      <c r="U48" s="3">
        <f t="shared" si="27"/>
        <v>1.9170213005477697E-3</v>
      </c>
      <c r="V48" s="3">
        <f t="shared" si="27"/>
        <v>1.917021300547768E-3</v>
      </c>
      <c r="W48" s="3">
        <f t="shared" si="27"/>
        <v>1.9170213005477508E-3</v>
      </c>
      <c r="X48" s="3">
        <f t="shared" si="27"/>
        <v>1.9170213005475782E-3</v>
      </c>
      <c r="Y48" s="3">
        <f t="shared" si="27"/>
        <v>1.9170213005458528E-3</v>
      </c>
      <c r="Z48" s="3">
        <f t="shared" si="27"/>
        <v>1.9170213005285997E-3</v>
      </c>
      <c r="AA48" s="3">
        <f t="shared" si="27"/>
        <v>1.9170213003560678E-3</v>
      </c>
      <c r="AB48" s="3">
        <f t="shared" si="27"/>
        <v>1.9170212986307487E-3</v>
      </c>
      <c r="AC48" s="3">
        <f t="shared" si="27"/>
        <v>1.917021281377557E-3</v>
      </c>
      <c r="AD48" s="3">
        <f t="shared" si="27"/>
        <v>1.9170211088456496E-3</v>
      </c>
      <c r="AE48" s="3">
        <f t="shared" si="27"/>
        <v>1.917019383527428E-3</v>
      </c>
      <c r="AF48" s="3">
        <f t="shared" si="29"/>
        <v>1.9170021304306152E-3</v>
      </c>
      <c r="AG48" s="3">
        <f t="shared" si="29"/>
        <v>1.9168296080025022E-3</v>
      </c>
      <c r="AH48" s="3">
        <f t="shared" si="29"/>
        <v>1.9151052374384487E-3</v>
      </c>
      <c r="AI48" s="3">
        <f t="shared" si="29"/>
        <v>1.8979466199009337E-3</v>
      </c>
      <c r="AJ48" s="3">
        <f t="shared" si="29"/>
        <v>1.7345926039075814E-3</v>
      </c>
    </row>
    <row r="49" spans="1:36" x14ac:dyDescent="0.25">
      <c r="B49" s="16">
        <f>SUM(B17:B48)</f>
        <v>1.6570023570728842</v>
      </c>
      <c r="C49" s="18">
        <f>SUM(C17:C48)</f>
        <v>0.99999999999999967</v>
      </c>
      <c r="F49" s="3">
        <f t="shared" ref="F49:AJ49" si="31">F16-F17</f>
        <v>65.436299078095544</v>
      </c>
      <c r="G49" s="3">
        <f t="shared" si="31"/>
        <v>-84.636455274145192</v>
      </c>
      <c r="H49" s="3">
        <f t="shared" si="31"/>
        <v>22.403384909368469</v>
      </c>
      <c r="I49" s="3">
        <f t="shared" si="31"/>
        <v>-3.6589274788329931</v>
      </c>
      <c r="J49" s="3">
        <f t="shared" si="31"/>
        <v>0.52281018920803035</v>
      </c>
      <c r="K49" s="3">
        <f t="shared" si="31"/>
        <v>-0.11130572038564424</v>
      </c>
      <c r="L49" s="3">
        <f t="shared" si="31"/>
        <v>0.1796391953703278</v>
      </c>
      <c r="M49" s="3">
        <f t="shared" si="31"/>
        <v>-0.52350396739893768</v>
      </c>
      <c r="N49" s="3">
        <f t="shared" si="31"/>
        <v>1.2817993546232174</v>
      </c>
      <c r="O49" s="3">
        <f t="shared" si="31"/>
        <v>-2.597998690379427</v>
      </c>
      <c r="P49" s="3">
        <f t="shared" si="31"/>
        <v>4.4348511633133967</v>
      </c>
      <c r="Q49" s="3">
        <f t="shared" si="31"/>
        <v>-6.4183300772592702</v>
      </c>
      <c r="R49" s="3">
        <f t="shared" si="31"/>
        <v>7.8958021359076156</v>
      </c>
      <c r="S49" s="3">
        <f t="shared" si="31"/>
        <v>-8.28506527164609</v>
      </c>
      <c r="T49" s="3">
        <f t="shared" si="31"/>
        <v>7.4460007934612804</v>
      </c>
      <c r="U49" s="3">
        <f t="shared" si="31"/>
        <v>-5.7494384260326115</v>
      </c>
      <c r="V49" s="3">
        <f t="shared" si="31"/>
        <v>3.8223493588484416</v>
      </c>
      <c r="W49" s="3">
        <f t="shared" si="31"/>
        <v>-2.197157619232712</v>
      </c>
      <c r="X49" s="3">
        <f t="shared" si="31"/>
        <v>1.0980467102167495</v>
      </c>
      <c r="Y49" s="3">
        <f t="shared" si="31"/>
        <v>-0.47251589771894942</v>
      </c>
      <c r="Z49" s="3">
        <f t="shared" si="31"/>
        <v>0.16640871448407779</v>
      </c>
      <c r="AA49" s="3">
        <f t="shared" si="31"/>
        <v>-4.2507632131218998E-2</v>
      </c>
      <c r="AB49" s="3">
        <f t="shared" si="31"/>
        <v>1.0532317812703695E-3</v>
      </c>
      <c r="AC49" s="3">
        <f t="shared" si="31"/>
        <v>1.6281096462535061E-2</v>
      </c>
      <c r="AD49" s="3">
        <f t="shared" si="31"/>
        <v>-2.3826027424547647E-2</v>
      </c>
      <c r="AE49" s="3">
        <f t="shared" si="31"/>
        <v>2.2831275801252104E-2</v>
      </c>
      <c r="AF49" s="3">
        <f t="shared" si="31"/>
        <v>-2.5817067819730255E-2</v>
      </c>
      <c r="AG49" s="3">
        <f t="shared" si="31"/>
        <v>3.385826313956386E-2</v>
      </c>
      <c r="AH49" s="3">
        <f t="shared" si="31"/>
        <v>-3.1757229583831759E-2</v>
      </c>
      <c r="AI49" s="3">
        <f t="shared" si="31"/>
        <v>1.7068076493956141E-2</v>
      </c>
      <c r="AJ49" s="3">
        <f t="shared" si="31"/>
        <v>-3.8746660341075767E-3</v>
      </c>
    </row>
    <row r="50" spans="1:36" x14ac:dyDescent="0.25">
      <c r="F50" s="57">
        <f t="shared" ref="F50:AJ50" si="32">F49/F17</f>
        <v>6.2981958760633325E-3</v>
      </c>
      <c r="G50" s="57">
        <f t="shared" si="32"/>
        <v>-8.2160192321311422E-3</v>
      </c>
      <c r="H50" s="57">
        <f t="shared" si="32"/>
        <v>2.2474217702728905E-3</v>
      </c>
      <c r="I50" s="57">
        <f t="shared" si="32"/>
        <v>-3.7549213351103442E-4</v>
      </c>
      <c r="J50" s="57">
        <f t="shared" si="32"/>
        <v>5.5116136066701985E-5</v>
      </c>
      <c r="K50" s="57">
        <f t="shared" si="32"/>
        <v>-1.2066430840955412E-5</v>
      </c>
      <c r="L50" s="57">
        <f t="shared" si="32"/>
        <v>1.9996626678503107E-5</v>
      </c>
      <c r="M50" s="57">
        <f t="shared" si="32"/>
        <v>-6.0374694927017862E-5</v>
      </c>
      <c r="N50" s="57">
        <f t="shared" si="32"/>
        <v>1.5410938555066934E-4</v>
      </c>
      <c r="O50" s="57">
        <f t="shared" si="32"/>
        <v>-3.2592019564928551E-4</v>
      </c>
      <c r="P50" s="57">
        <f t="shared" si="32"/>
        <v>5.7760504087902068E-4</v>
      </c>
      <c r="Q50" s="57">
        <f t="shared" si="32"/>
        <v>-8.6613295653299109E-4</v>
      </c>
      <c r="R50" s="57">
        <f t="shared" si="32"/>
        <v>1.1082835708570032E-3</v>
      </c>
      <c r="S50" s="57">
        <f t="shared" si="32"/>
        <v>-1.2089649475958324E-3</v>
      </c>
      <c r="T50" s="57">
        <f t="shared" si="32"/>
        <v>1.1341649264773792E-3</v>
      </c>
      <c r="U50" s="57">
        <f t="shared" si="32"/>
        <v>-9.23641334590198E-4</v>
      </c>
      <c r="V50" s="57">
        <f t="shared" si="32"/>
        <v>6.7214324991988008E-4</v>
      </c>
      <c r="W50" s="57">
        <f t="shared" si="32"/>
        <v>-4.6103872339784519E-4</v>
      </c>
      <c r="X50" s="57">
        <f t="shared" si="32"/>
        <v>2.9302262677217337E-4</v>
      </c>
      <c r="Y50" s="57">
        <f t="shared" si="32"/>
        <v>-1.6291720423515101E-4</v>
      </c>
      <c r="Z50" s="57">
        <f t="shared" si="32"/>
        <v>7.5373602491139185E-5</v>
      </c>
      <c r="AA50" s="57">
        <f t="shared" si="32"/>
        <v>-2.6498227294125005E-5</v>
      </c>
      <c r="AB50" s="57">
        <f t="shared" si="32"/>
        <v>9.375346555539055E-7</v>
      </c>
      <c r="AC50" s="57">
        <f t="shared" si="32"/>
        <v>2.085317816134546E-5</v>
      </c>
      <c r="AD50" s="57">
        <f t="shared" si="32"/>
        <v>-4.093610537125863E-5</v>
      </c>
      <c r="AE50" s="57">
        <f t="shared" si="32"/>
        <v>4.782257357396086E-5</v>
      </c>
      <c r="AF50" s="57">
        <f t="shared" si="32"/>
        <v>-6.0271882491983291E-5</v>
      </c>
      <c r="AG50" s="57">
        <f t="shared" si="32"/>
        <v>8.4939224976244958E-5</v>
      </c>
      <c r="AH50" s="57">
        <f t="shared" si="32"/>
        <v>-8.2425726096943026E-5</v>
      </c>
      <c r="AI50" s="57">
        <f t="shared" si="32"/>
        <v>4.5773210366862199E-5</v>
      </c>
      <c r="AJ50" s="57">
        <f t="shared" si="32"/>
        <v>-1.0858211474938769E-5</v>
      </c>
    </row>
    <row r="51" spans="1:36" x14ac:dyDescent="0.25">
      <c r="A51" s="13" t="s">
        <v>21</v>
      </c>
      <c r="B51" s="3">
        <f>STUTT!D8</f>
        <v>11405.888999999999</v>
      </c>
      <c r="E51" s="11" t="s">
        <v>24</v>
      </c>
      <c r="F51" s="20">
        <f t="shared" ref="F51:AJ51" si="33">(F16-F17)^2</f>
        <v>4281.9092370379676</v>
      </c>
      <c r="G51" s="20">
        <f t="shared" si="33"/>
        <v>7163.3295613723794</v>
      </c>
      <c r="H51" s="20">
        <f t="shared" si="33"/>
        <v>501.91165539731884</v>
      </c>
      <c r="I51" s="20">
        <f t="shared" si="33"/>
        <v>13.387750295359163</v>
      </c>
      <c r="J51" s="20">
        <f t="shared" si="33"/>
        <v>0.27333049393973652</v>
      </c>
      <c r="K51" s="20">
        <f t="shared" si="33"/>
        <v>1.2388963390567219E-2</v>
      </c>
      <c r="L51" s="20">
        <f t="shared" si="33"/>
        <v>3.2270240513298798E-2</v>
      </c>
      <c r="M51" s="20">
        <f t="shared" si="33"/>
        <v>0.27405640388242802</v>
      </c>
      <c r="N51" s="20">
        <f t="shared" si="33"/>
        <v>1.6430095855124967</v>
      </c>
      <c r="O51" s="20">
        <f t="shared" si="33"/>
        <v>6.7495971952132177</v>
      </c>
      <c r="P51" s="20">
        <f t="shared" si="33"/>
        <v>19.667904840742189</v>
      </c>
      <c r="Q51" s="20">
        <f t="shared" si="33"/>
        <v>41.19496098065099</v>
      </c>
      <c r="R51" s="20">
        <f t="shared" si="33"/>
        <v>62.343691369403267</v>
      </c>
      <c r="S51" s="20">
        <f t="shared" si="33"/>
        <v>68.642306555436093</v>
      </c>
      <c r="T51" s="20">
        <f t="shared" si="33"/>
        <v>55.442927816226018</v>
      </c>
      <c r="U51" s="20">
        <f t="shared" si="33"/>
        <v>33.056042214740351</v>
      </c>
      <c r="V51" s="20">
        <f t="shared" si="33"/>
        <v>14.610354621089092</v>
      </c>
      <c r="W51" s="20">
        <f t="shared" si="33"/>
        <v>4.827501603752359</v>
      </c>
      <c r="X51" s="20">
        <f t="shared" si="33"/>
        <v>1.2057065778178262</v>
      </c>
      <c r="Y51" s="20">
        <f t="shared" si="33"/>
        <v>0.22327127359714466</v>
      </c>
      <c r="Z51" s="20">
        <f t="shared" si="33"/>
        <v>2.769186025624332E-2</v>
      </c>
      <c r="AA51" s="20">
        <f t="shared" si="33"/>
        <v>1.8068987894030418E-3</v>
      </c>
      <c r="AB51" s="20">
        <f t="shared" si="33"/>
        <v>1.1092971850779556E-6</v>
      </c>
      <c r="AC51" s="20">
        <f t="shared" si="33"/>
        <v>2.6507410202237169E-4</v>
      </c>
      <c r="AD51" s="20">
        <f t="shared" si="33"/>
        <v>5.676795828352966E-4</v>
      </c>
      <c r="AE51" s="20">
        <f t="shared" si="33"/>
        <v>5.2126715471283993E-4</v>
      </c>
      <c r="AF51" s="20">
        <f t="shared" si="33"/>
        <v>6.6652099080855151E-4</v>
      </c>
      <c r="AG51" s="20">
        <f t="shared" si="33"/>
        <v>1.1463819828279487E-3</v>
      </c>
      <c r="AH51" s="20">
        <f t="shared" si="33"/>
        <v>1.0085216308401992E-3</v>
      </c>
      <c r="AI51" s="20">
        <f t="shared" si="33"/>
        <v>2.9131923520353819E-4</v>
      </c>
      <c r="AJ51" s="20">
        <f t="shared" si="33"/>
        <v>1.5013036875866937E-5</v>
      </c>
    </row>
    <row r="52" spans="1:36" x14ac:dyDescent="0.25">
      <c r="A52" s="13"/>
    </row>
    <row r="53" spans="1:36" x14ac:dyDescent="0.25">
      <c r="E53" s="131" t="s">
        <v>25</v>
      </c>
      <c r="F53" s="131"/>
      <c r="G53" s="104">
        <f>SUM(F51:AJ51)</f>
        <v>12270.771506484993</v>
      </c>
      <c r="I53" s="3">
        <f>G53+C123</f>
        <v>12270.771506484993</v>
      </c>
      <c r="K53" s="3">
        <f>SUM(Z51:AJ51)</f>
        <v>3.3981646058958037E-2</v>
      </c>
    </row>
    <row r="55" spans="1:36" x14ac:dyDescent="0.25">
      <c r="E55" s="30" t="s">
        <v>30</v>
      </c>
      <c r="F55" s="31">
        <f t="shared" ref="F55:AJ55" si="34">ABS(F17-F16)/F16</f>
        <v>6.2587768733702708E-3</v>
      </c>
      <c r="G55" s="31">
        <f t="shared" si="34"/>
        <v>8.2840814042691585E-3</v>
      </c>
      <c r="H55" s="31">
        <f t="shared" si="34"/>
        <v>2.2423821917179512E-3</v>
      </c>
      <c r="I55" s="31">
        <f t="shared" si="34"/>
        <v>3.7563318081551637E-4</v>
      </c>
      <c r="J55" s="31">
        <f t="shared" si="34"/>
        <v>5.5113098445669001E-5</v>
      </c>
      <c r="K55" s="31">
        <f t="shared" si="34"/>
        <v>1.206657644146553E-5</v>
      </c>
      <c r="L55" s="31">
        <f t="shared" si="34"/>
        <v>1.999622682142038E-5</v>
      </c>
      <c r="M55" s="31">
        <f t="shared" si="34"/>
        <v>6.0378340250890705E-5</v>
      </c>
      <c r="N55" s="31">
        <f t="shared" si="34"/>
        <v>1.5408563950744265E-4</v>
      </c>
      <c r="O55" s="31">
        <f t="shared" si="34"/>
        <v>3.2602645425504313E-4</v>
      </c>
      <c r="P55" s="31">
        <f t="shared" si="34"/>
        <v>5.772716058895026E-4</v>
      </c>
      <c r="Q55" s="31">
        <f t="shared" si="34"/>
        <v>8.6688379315572766E-4</v>
      </c>
      <c r="R55" s="31">
        <f t="shared" si="34"/>
        <v>1.1070566381729079E-3</v>
      </c>
      <c r="S55" s="31">
        <f t="shared" si="34"/>
        <v>1.2104283129978244E-3</v>
      </c>
      <c r="T55" s="31">
        <f t="shared" si="34"/>
        <v>1.1328800536546185E-3</v>
      </c>
      <c r="U55" s="31">
        <f t="shared" si="34"/>
        <v>9.2449523660435753E-4</v>
      </c>
      <c r="V55" s="31">
        <f t="shared" si="34"/>
        <v>6.7169177682605973E-4</v>
      </c>
      <c r="W55" s="31">
        <f t="shared" si="34"/>
        <v>4.612513781443904E-4</v>
      </c>
      <c r="X55" s="31">
        <f t="shared" si="34"/>
        <v>2.9293678966458767E-4</v>
      </c>
      <c r="Y55" s="31">
        <f t="shared" si="34"/>
        <v>1.6294375057544235E-4</v>
      </c>
      <c r="Z55" s="31">
        <f t="shared" si="34"/>
        <v>7.5367921739365415E-5</v>
      </c>
      <c r="AA55" s="31">
        <f t="shared" si="34"/>
        <v>2.6498929468781122E-5</v>
      </c>
      <c r="AB55" s="31">
        <f t="shared" si="34"/>
        <v>9.3753377658349923E-7</v>
      </c>
      <c r="AC55" s="31">
        <f t="shared" si="34"/>
        <v>2.0852743315373953E-5</v>
      </c>
      <c r="AD55" s="31">
        <f t="shared" si="34"/>
        <v>4.0937781204583686E-5</v>
      </c>
      <c r="AE55" s="31">
        <f t="shared" si="34"/>
        <v>4.7820286684782548E-5</v>
      </c>
      <c r="AF55" s="31">
        <f t="shared" si="34"/>
        <v>6.027551541076527E-5</v>
      </c>
      <c r="AG55" s="31">
        <f t="shared" si="34"/>
        <v>8.4932010917061992E-5</v>
      </c>
      <c r="AH55" s="31">
        <f t="shared" si="34"/>
        <v>8.2432520657312199E-5</v>
      </c>
      <c r="AI55" s="31">
        <f t="shared" si="34"/>
        <v>4.5771115275973946E-5</v>
      </c>
      <c r="AJ55" s="31">
        <f t="shared" si="34"/>
        <v>1.0858329376975408E-5</v>
      </c>
    </row>
    <row r="56" spans="1:36" x14ac:dyDescent="0.25">
      <c r="E56" s="13" t="s">
        <v>31</v>
      </c>
      <c r="F56" s="32">
        <f>AVERAGE(F55:AJ55)</f>
        <v>8.2880851643250971E-4</v>
      </c>
    </row>
    <row r="57" spans="1:36" x14ac:dyDescent="0.25">
      <c r="A57" s="42"/>
      <c r="B57" s="15"/>
      <c r="C57" s="15"/>
      <c r="D57" s="15"/>
      <c r="F57" s="60">
        <f>AVERAGE(S55:X55)</f>
        <v>7.822805913153064E-4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-11.206695345231019</v>
      </c>
    </row>
    <row r="119" spans="1:14" x14ac:dyDescent="0.25">
      <c r="L119" s="11">
        <f>L118+1</f>
        <v>2</v>
      </c>
      <c r="M119" s="11">
        <f t="shared" ref="M119:M124" si="35">INDEX($B$125:$K$126,1,L119)</f>
        <v>0</v>
      </c>
      <c r="N119" s="11">
        <f t="shared" ref="N119:N124" si="36">IF(L119=$B$3,0,INDEX($B$125:$K$126,2,L119))</f>
        <v>-7.2627352784508794</v>
      </c>
    </row>
    <row r="120" spans="1:14" x14ac:dyDescent="0.25">
      <c r="L120" s="11">
        <f t="shared" ref="L120:L124" si="37">L119+1</f>
        <v>3</v>
      </c>
      <c r="M120" s="11">
        <f t="shared" si="35"/>
        <v>25</v>
      </c>
      <c r="N120" s="11">
        <f t="shared" si="36"/>
        <v>-4.793342440994997</v>
      </c>
    </row>
    <row r="121" spans="1:14" x14ac:dyDescent="0.25">
      <c r="A121" s="103">
        <f>(A165+A204+A243+A282+A321+A360+A399)*10^9</f>
        <v>1.3771738249042862E+16</v>
      </c>
      <c r="L121" s="11">
        <f t="shared" si="37"/>
        <v>4</v>
      </c>
      <c r="M121" s="11">
        <f t="shared" si="35"/>
        <v>50</v>
      </c>
      <c r="N121" s="11">
        <f t="shared" si="36"/>
        <v>-2.6402158025209772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5.0254399219607917</v>
      </c>
    </row>
    <row r="124" spans="1:14" x14ac:dyDescent="0.25">
      <c r="B124" s="3"/>
      <c r="C124" s="3"/>
      <c r="D124" s="3"/>
      <c r="E124" s="3"/>
      <c r="F124" s="3"/>
      <c r="G124" s="3"/>
      <c r="H124" s="3"/>
      <c r="I124" s="3"/>
      <c r="J124" s="3"/>
      <c r="K124" s="3"/>
      <c r="L124" s="11">
        <f t="shared" si="37"/>
        <v>7</v>
      </c>
      <c r="M124" s="11">
        <f t="shared" si="35"/>
        <v>160</v>
      </c>
      <c r="N124" s="11">
        <f t="shared" si="36"/>
        <v>9.907215664523255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-11.206695345231019</v>
      </c>
      <c r="C126" s="107">
        <v>-7.2627352784508794</v>
      </c>
      <c r="D126" s="107">
        <v>-4.793342440994997</v>
      </c>
      <c r="E126" s="107">
        <v>-2.6402158025209772</v>
      </c>
      <c r="F126" s="107">
        <v>3.9549460662458317E-3</v>
      </c>
      <c r="G126" s="107">
        <v>5.0254399219607917</v>
      </c>
      <c r="H126" s="107">
        <v>9.907215664523255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10659.170781301947</v>
      </c>
      <c r="C131" s="27">
        <f t="shared" ref="C131:AF131" si="40">($C$17+SUM(C132:C162))*$B$51</f>
        <v>10400.750965466954</v>
      </c>
      <c r="D131" s="27">
        <f t="shared" si="40"/>
        <v>10400.73600847222</v>
      </c>
      <c r="E131" s="27">
        <f t="shared" si="40"/>
        <v>10400.599144190071</v>
      </c>
      <c r="F131" s="27">
        <f t="shared" si="40"/>
        <v>10399.232753422415</v>
      </c>
      <c r="G131" s="27">
        <f t="shared" si="40"/>
        <v>10385.791472934849</v>
      </c>
      <c r="H131" s="27">
        <f t="shared" si="40"/>
        <v>10271.27300440261</v>
      </c>
      <c r="I131" s="27">
        <f t="shared" si="40"/>
        <v>9934.2139686990231</v>
      </c>
      <c r="J131" s="27">
        <f t="shared" si="40"/>
        <v>9714.7681696532018</v>
      </c>
      <c r="K131" s="27">
        <f t="shared" si="40"/>
        <v>9450.6322837714015</v>
      </c>
      <c r="L131" s="27">
        <f t="shared" si="40"/>
        <v>9190.1178976400824</v>
      </c>
      <c r="M131" s="27">
        <f t="shared" si="40"/>
        <v>8946.7125002321245</v>
      </c>
      <c r="N131" s="27">
        <f t="shared" si="40"/>
        <v>8621.3978903245716</v>
      </c>
      <c r="O131" s="27">
        <f t="shared" si="40"/>
        <v>8264.5177424185131</v>
      </c>
      <c r="P131" s="27">
        <f t="shared" si="40"/>
        <v>7921.8177090581039</v>
      </c>
      <c r="Q131" s="27">
        <f t="shared" si="40"/>
        <v>7637.6998062250914</v>
      </c>
      <c r="R131" s="27">
        <f t="shared" si="40"/>
        <v>7369.5456829414525</v>
      </c>
      <c r="S131" s="27">
        <f t="shared" si="40"/>
        <v>7080.4531697469884</v>
      </c>
      <c r="T131" s="27">
        <f t="shared" si="40"/>
        <v>6816.4982681376905</v>
      </c>
      <c r="U131" s="27">
        <f t="shared" si="40"/>
        <v>6517.2628171523138</v>
      </c>
      <c r="V131" s="27">
        <f t="shared" si="40"/>
        <v>6173.8267294797824</v>
      </c>
      <c r="W131" s="27">
        <f t="shared" si="40"/>
        <v>5574.2689077804562</v>
      </c>
      <c r="X131" s="27">
        <f t="shared" si="40"/>
        <v>4629.2824347032438</v>
      </c>
      <c r="Y131" s="27">
        <f t="shared" si="40"/>
        <v>3635.2714609242198</v>
      </c>
      <c r="Z131" s="27">
        <f t="shared" si="40"/>
        <v>2815.0755874207316</v>
      </c>
      <c r="AA131" s="27">
        <f t="shared" si="40"/>
        <v>2130.2147614125029</v>
      </c>
      <c r="AB131" s="27">
        <f t="shared" si="40"/>
        <v>1553.8598769766988</v>
      </c>
      <c r="AC131" s="27">
        <f t="shared" si="40"/>
        <v>1056.8303623244622</v>
      </c>
      <c r="AD131" s="27">
        <f t="shared" si="40"/>
        <v>744.38677542132166</v>
      </c>
      <c r="AE131" s="27">
        <f t="shared" si="40"/>
        <v>560.95454244985206</v>
      </c>
      <c r="AF131" s="27">
        <f t="shared" si="40"/>
        <v>467.98869421371762</v>
      </c>
    </row>
    <row r="132" spans="1:33" x14ac:dyDescent="0.25">
      <c r="B132" s="3">
        <f t="shared" ref="B132:Z133" si="41">$C18*EXP(-B$129/$A18/EXP(-$B$126))</f>
        <v>2.2656692104931243E-2</v>
      </c>
      <c r="C132" s="3">
        <f t="shared" ref="C132:AF132" si="42">$C18*EXP(-C$129/$A18/EXP(-$B$126))</f>
        <v>1.1119798421146901E-7</v>
      </c>
      <c r="D132" s="3">
        <f t="shared" si="42"/>
        <v>9.0178089653034798E-61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3.6512246880918885E-2</v>
      </c>
      <c r="C133" s="3">
        <f t="shared" si="41"/>
        <v>3.6512132546668033E-2</v>
      </c>
      <c r="D133" s="3">
        <f t="shared" si="41"/>
        <v>3.6510989223850675E-2</v>
      </c>
      <c r="E133" s="3">
        <f t="shared" si="41"/>
        <v>3.6499557964571543E-2</v>
      </c>
      <c r="F133" s="3">
        <f t="shared" si="41"/>
        <v>3.6385442033296488E-2</v>
      </c>
      <c r="G133" s="3">
        <f t="shared" si="41"/>
        <v>3.5263722912578233E-2</v>
      </c>
      <c r="H133" s="3">
        <f t="shared" si="41"/>
        <v>2.5782985839263504E-2</v>
      </c>
      <c r="I133" s="3">
        <f t="shared" si="41"/>
        <v>1.1255990230301541E-3</v>
      </c>
      <c r="J133" s="3">
        <f t="shared" si="41"/>
        <v>2.8306663448829985E-17</v>
      </c>
      <c r="K133" s="3">
        <f t="shared" si="41"/>
        <v>2.8637718821578678E-153</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1.7689846499268039E-2</v>
      </c>
      <c r="C134" s="3">
        <f t="shared" si="44"/>
        <v>1.7689841502271306E-2</v>
      </c>
      <c r="D134" s="3">
        <f t="shared" si="44"/>
        <v>1.7689791532381646E-2</v>
      </c>
      <c r="E134" s="3">
        <f t="shared" si="44"/>
        <v>1.7689291841248414E-2</v>
      </c>
      <c r="F134" s="3">
        <f t="shared" si="44"/>
        <v>1.7684295706174767E-2</v>
      </c>
      <c r="G134" s="3">
        <f t="shared" si="44"/>
        <v>1.7634411900233384E-2</v>
      </c>
      <c r="H134" s="3">
        <f t="shared" si="44"/>
        <v>1.7143247881605189E-2</v>
      </c>
      <c r="I134" s="3">
        <f t="shared" si="44"/>
        <v>1.2924517710920061E-2</v>
      </c>
      <c r="J134" s="3">
        <f t="shared" si="44"/>
        <v>7.6670228530683314E-4</v>
      </c>
      <c r="K134" s="3">
        <f t="shared" si="44"/>
        <v>4.137622598890355E-16</v>
      </c>
      <c r="L134" s="3">
        <f t="shared" si="44"/>
        <v>8.6694600577770622E-139</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2.4471341976582031E-2</v>
      </c>
      <c r="C135" s="3">
        <f t="shared" si="47"/>
        <v>2.4471341353005972E-2</v>
      </c>
      <c r="D135" s="3">
        <f t="shared" si="47"/>
        <v>2.4471335117246244E-2</v>
      </c>
      <c r="E135" s="3">
        <f t="shared" si="47"/>
        <v>2.447127275973637E-2</v>
      </c>
      <c r="F135" s="3">
        <f t="shared" si="47"/>
        <v>2.4470649193376964E-2</v>
      </c>
      <c r="G135" s="3">
        <f t="shared" si="47"/>
        <v>2.4464414403635733E-2</v>
      </c>
      <c r="H135" s="3">
        <f t="shared" si="47"/>
        <v>2.4402153809171236E-2</v>
      </c>
      <c r="I135" s="3">
        <f t="shared" si="47"/>
        <v>2.3788196405501349E-2</v>
      </c>
      <c r="J135" s="3">
        <f t="shared" si="47"/>
        <v>1.8437204348672569E-2</v>
      </c>
      <c r="K135" s="3">
        <f t="shared" si="47"/>
        <v>1.4422169842334758E-3</v>
      </c>
      <c r="L135" s="3">
        <f t="shared" si="47"/>
        <v>1.2370463457839179E-14</v>
      </c>
      <c r="M135" s="3">
        <f t="shared" si="47"/>
        <v>2.6664879216157392E-125</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2.4619153471871064E-2</v>
      </c>
      <c r="C136" s="3">
        <f t="shared" si="49"/>
        <v>2.4619153415279545E-2</v>
      </c>
      <c r="D136" s="3">
        <f t="shared" si="49"/>
        <v>2.4619152849364348E-2</v>
      </c>
      <c r="E136" s="3">
        <f t="shared" si="49"/>
        <v>2.4619147190213131E-2</v>
      </c>
      <c r="F136" s="3">
        <f t="shared" si="49"/>
        <v>2.461909059877251E-2</v>
      </c>
      <c r="G136" s="3">
        <f t="shared" si="49"/>
        <v>2.4618524691520937E-2</v>
      </c>
      <c r="H136" s="3">
        <f t="shared" si="49"/>
        <v>2.4612866334408994E-2</v>
      </c>
      <c r="I136" s="3">
        <f t="shared" si="49"/>
        <v>2.4556354242862757E-2</v>
      </c>
      <c r="J136" s="3">
        <f t="shared" si="49"/>
        <v>2.3998320862541604E-2</v>
      </c>
      <c r="K136" s="3">
        <f t="shared" si="49"/>
        <v>1.9069992158852255E-2</v>
      </c>
      <c r="L136" s="3">
        <f t="shared" si="49"/>
        <v>1.9144635529676078E-3</v>
      </c>
      <c r="M136" s="3">
        <f t="shared" si="49"/>
        <v>1.9907328631592623E-13</v>
      </c>
      <c r="N136" s="3">
        <f t="shared" si="49"/>
        <v>2.9421974638099552E-113</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1.9768716157361452E-2</v>
      </c>
      <c r="C137" s="3">
        <f t="shared" si="51"/>
        <v>1.9768716153262214E-2</v>
      </c>
      <c r="D137" s="3">
        <f t="shared" si="51"/>
        <v>1.9768716112269817E-2</v>
      </c>
      <c r="E137" s="3">
        <f t="shared" si="51"/>
        <v>1.9768715702345868E-2</v>
      </c>
      <c r="F137" s="3">
        <f t="shared" si="51"/>
        <v>1.9768711603106812E-2</v>
      </c>
      <c r="G137" s="3">
        <f t="shared" si="51"/>
        <v>1.9768670610763022E-2</v>
      </c>
      <c r="H137" s="3">
        <f t="shared" si="51"/>
        <v>1.9768260692000161E-2</v>
      </c>
      <c r="I137" s="3">
        <f t="shared" si="51"/>
        <v>1.9764161971841637E-2</v>
      </c>
      <c r="J137" s="3">
        <f t="shared" si="51"/>
        <v>1.9723221481416704E-2</v>
      </c>
      <c r="K137" s="3">
        <f t="shared" si="51"/>
        <v>1.9318452052829092E-2</v>
      </c>
      <c r="L137" s="3">
        <f t="shared" si="51"/>
        <v>1.5700629001586499E-2</v>
      </c>
      <c r="M137" s="3">
        <f t="shared" si="51"/>
        <v>1.974078067229418E-3</v>
      </c>
      <c r="N137" s="3">
        <f t="shared" si="51"/>
        <v>1.9491131048446007E-12</v>
      </c>
      <c r="O137" s="3">
        <f t="shared" si="51"/>
        <v>1.7161854774246162E-102</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3.0447866733764047E-2</v>
      </c>
      <c r="C138" s="3">
        <f t="shared" si="53"/>
        <v>3.0447866733194499E-2</v>
      </c>
      <c r="D138" s="3">
        <f t="shared" si="53"/>
        <v>3.0447866727499048E-2</v>
      </c>
      <c r="E138" s="3">
        <f t="shared" si="53"/>
        <v>3.0447866670544513E-2</v>
      </c>
      <c r="F138" s="3">
        <f t="shared" si="53"/>
        <v>3.0447866100999189E-2</v>
      </c>
      <c r="G138" s="3">
        <f t="shared" si="53"/>
        <v>3.0447860405546531E-2</v>
      </c>
      <c r="H138" s="3">
        <f t="shared" si="53"/>
        <v>3.0447803451078535E-2</v>
      </c>
      <c r="I138" s="3">
        <f t="shared" si="53"/>
        <v>3.0447233912258072E-2</v>
      </c>
      <c r="J138" s="3">
        <f t="shared" si="53"/>
        <v>3.044153910996086E-2</v>
      </c>
      <c r="K138" s="3">
        <f t="shared" si="53"/>
        <v>3.0384649637202162E-2</v>
      </c>
      <c r="L138" s="3">
        <f t="shared" si="53"/>
        <v>2.9821569609912328E-2</v>
      </c>
      <c r="M138" s="3">
        <f t="shared" si="53"/>
        <v>2.4733931298258918E-2</v>
      </c>
      <c r="N138" s="3">
        <f t="shared" si="53"/>
        <v>3.8099534591980256E-3</v>
      </c>
      <c r="O138" s="3">
        <f t="shared" si="53"/>
        <v>2.8653974798395625E-11</v>
      </c>
      <c r="P138" s="3">
        <f t="shared" si="53"/>
        <v>1.6589638210351701E-92</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3.3440430423893358E-2</v>
      </c>
      <c r="C139" s="3">
        <f t="shared" si="55"/>
        <v>3.3440430423836938E-2</v>
      </c>
      <c r="D139" s="3">
        <f t="shared" si="55"/>
        <v>3.344043042327266E-2</v>
      </c>
      <c r="E139" s="3">
        <f t="shared" si="55"/>
        <v>3.3440430417629924E-2</v>
      </c>
      <c r="F139" s="3">
        <f t="shared" si="55"/>
        <v>3.344043036120254E-2</v>
      </c>
      <c r="G139" s="3">
        <f t="shared" si="55"/>
        <v>3.344042979692876E-2</v>
      </c>
      <c r="H139" s="3">
        <f t="shared" si="55"/>
        <v>3.3440424154191482E-2</v>
      </c>
      <c r="I139" s="3">
        <f t="shared" si="55"/>
        <v>3.3440367726871E-2</v>
      </c>
      <c r="J139" s="3">
        <f t="shared" si="55"/>
        <v>3.3439803458903072E-2</v>
      </c>
      <c r="K139" s="3">
        <f t="shared" si="55"/>
        <v>3.3434161302872939E-2</v>
      </c>
      <c r="L139" s="3">
        <f t="shared" si="55"/>
        <v>3.3377792074814255E-2</v>
      </c>
      <c r="M139" s="3">
        <f t="shared" si="55"/>
        <v>3.2819300492431758E-2</v>
      </c>
      <c r="N139" s="3">
        <f t="shared" si="55"/>
        <v>2.7723398916763002E-2</v>
      </c>
      <c r="O139" s="3">
        <f t="shared" si="55"/>
        <v>5.1288265562326914E-3</v>
      </c>
      <c r="P139" s="3">
        <f t="shared" si="55"/>
        <v>2.4084264993297168E-10</v>
      </c>
      <c r="Q139" s="3">
        <f t="shared" si="55"/>
        <v>1.2557038942094736E-83</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3.2526067404741947E-2</v>
      </c>
      <c r="C140" s="3">
        <f t="shared" si="57"/>
        <v>3.2526067404736993E-2</v>
      </c>
      <c r="D140" s="3">
        <f t="shared" si="57"/>
        <v>3.2526067404687484E-2</v>
      </c>
      <c r="E140" s="3">
        <f t="shared" si="57"/>
        <v>3.252606740419238E-2</v>
      </c>
      <c r="F140" s="3">
        <f t="shared" si="57"/>
        <v>3.252606739924134E-2</v>
      </c>
      <c r="G140" s="3">
        <f t="shared" si="57"/>
        <v>3.2526067349730972E-2</v>
      </c>
      <c r="H140" s="3">
        <f t="shared" si="57"/>
        <v>3.2526066854627285E-2</v>
      </c>
      <c r="I140" s="3">
        <f t="shared" si="57"/>
        <v>3.2526061903590822E-2</v>
      </c>
      <c r="J140" s="3">
        <f t="shared" si="57"/>
        <v>3.252601239326762E-2</v>
      </c>
      <c r="K140" s="3">
        <f t="shared" si="57"/>
        <v>3.2525517294180559E-2</v>
      </c>
      <c r="L140" s="3">
        <f t="shared" si="57"/>
        <v>3.2520566717783042E-2</v>
      </c>
      <c r="M140" s="3">
        <f t="shared" si="57"/>
        <v>3.2471102377777915E-2</v>
      </c>
      <c r="N140" s="3">
        <f t="shared" si="57"/>
        <v>3.198057813924586E-2</v>
      </c>
      <c r="O140" s="3">
        <f t="shared" si="57"/>
        <v>2.7464967332800322E-2</v>
      </c>
      <c r="P140" s="3">
        <f t="shared" si="57"/>
        <v>5.9938635084623272E-3</v>
      </c>
      <c r="Q140" s="3">
        <f t="shared" si="57"/>
        <v>1.468873755113854E-9</v>
      </c>
      <c r="R140" s="3">
        <f t="shared" si="57"/>
        <v>1.1475211349046104E-75</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2.4652946238733722E-2</v>
      </c>
      <c r="C141" s="3">
        <f t="shared" si="59"/>
        <v>2.4652946238733386E-2</v>
      </c>
      <c r="D141" s="3">
        <f t="shared" si="59"/>
        <v>2.465294623873E-2</v>
      </c>
      <c r="E141" s="3">
        <f t="shared" si="59"/>
        <v>2.4652946238696148E-2</v>
      </c>
      <c r="F141" s="3">
        <f t="shared" si="59"/>
        <v>2.4652946238357631E-2</v>
      </c>
      <c r="G141" s="3">
        <f t="shared" si="59"/>
        <v>2.4652946234972464E-2</v>
      </c>
      <c r="H141" s="3">
        <f t="shared" si="59"/>
        <v>2.4652946201120803E-2</v>
      </c>
      <c r="I141" s="3">
        <f t="shared" si="59"/>
        <v>2.4652945862604161E-2</v>
      </c>
      <c r="J141" s="3">
        <f t="shared" si="59"/>
        <v>2.4652942477437999E-2</v>
      </c>
      <c r="K141" s="3">
        <f t="shared" si="59"/>
        <v>2.465290862580196E-2</v>
      </c>
      <c r="L141" s="3">
        <f t="shared" si="59"/>
        <v>2.4652570111998093E-2</v>
      </c>
      <c r="M141" s="3">
        <f t="shared" si="59"/>
        <v>2.4649185229599791E-2</v>
      </c>
      <c r="N141" s="3">
        <f t="shared" si="59"/>
        <v>2.4615361956668295E-2</v>
      </c>
      <c r="O141" s="3">
        <f t="shared" si="59"/>
        <v>2.4279671398643898E-2</v>
      </c>
      <c r="P141" s="3">
        <f t="shared" si="59"/>
        <v>2.1164528084934402E-2</v>
      </c>
      <c r="Q141" s="3">
        <f t="shared" si="59"/>
        <v>5.3612546369179179E-3</v>
      </c>
      <c r="R141" s="3">
        <f t="shared" si="59"/>
        <v>5.832367630246048E-9</v>
      </c>
      <c r="S141" s="3">
        <f t="shared" si="59"/>
        <v>1.3540336325535576E-68</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2.4121212123994817E-2</v>
      </c>
      <c r="C142" s="3">
        <f t="shared" si="61"/>
        <v>2.412121212399479E-2</v>
      </c>
      <c r="D142" s="3">
        <f t="shared" si="61"/>
        <v>2.4121212123994488E-2</v>
      </c>
      <c r="E142" s="3">
        <f t="shared" si="61"/>
        <v>2.4121212123991501E-2</v>
      </c>
      <c r="F142" s="3">
        <f t="shared" si="61"/>
        <v>2.4121212123961622E-2</v>
      </c>
      <c r="G142" s="3">
        <f t="shared" si="61"/>
        <v>2.412121212366284E-2</v>
      </c>
      <c r="H142" s="3">
        <f t="shared" si="61"/>
        <v>2.4121212120675001E-2</v>
      </c>
      <c r="I142" s="3">
        <f t="shared" si="61"/>
        <v>2.412121209079663E-2</v>
      </c>
      <c r="J142" s="3">
        <f t="shared" si="61"/>
        <v>2.4121211792012921E-2</v>
      </c>
      <c r="K142" s="3">
        <f t="shared" si="61"/>
        <v>2.4121208804176036E-2</v>
      </c>
      <c r="L142" s="3">
        <f t="shared" si="61"/>
        <v>2.4121178925827522E-2</v>
      </c>
      <c r="M142" s="3">
        <f t="shared" si="61"/>
        <v>2.412088014437791E-2</v>
      </c>
      <c r="N142" s="3">
        <f t="shared" si="61"/>
        <v>2.4117892533424373E-2</v>
      </c>
      <c r="O142" s="3">
        <f t="shared" si="61"/>
        <v>2.4088036768821791E-2</v>
      </c>
      <c r="P142" s="3">
        <f t="shared" si="61"/>
        <v>2.3791504322600507E-2</v>
      </c>
      <c r="Q142" s="3">
        <f t="shared" si="61"/>
        <v>2.1019717730097649E-2</v>
      </c>
      <c r="R142" s="3">
        <f t="shared" si="61"/>
        <v>6.0908323471985867E-3</v>
      </c>
      <c r="S142" s="3">
        <f t="shared" si="61"/>
        <v>2.541992729278048E-8</v>
      </c>
      <c r="T142" s="3">
        <f t="shared" si="61"/>
        <v>4.075218405795128E-62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2.8520624547313425E-2</v>
      </c>
      <c r="C143" s="3">
        <f t="shared" si="63"/>
        <v>2.8520624547313422E-2</v>
      </c>
      <c r="D143" s="3">
        <f t="shared" si="63"/>
        <v>2.852062454731339E-2</v>
      </c>
      <c r="E143" s="3">
        <f t="shared" si="63"/>
        <v>2.8520624547313071E-2</v>
      </c>
      <c r="F143" s="3">
        <f t="shared" si="63"/>
        <v>2.8520624547309886E-2</v>
      </c>
      <c r="G143" s="3">
        <f t="shared" si="63"/>
        <v>2.8520624547278016E-2</v>
      </c>
      <c r="H143" s="3">
        <f t="shared" si="63"/>
        <v>2.852062454695933E-2</v>
      </c>
      <c r="I143" s="3">
        <f t="shared" si="63"/>
        <v>2.8520624543772466E-2</v>
      </c>
      <c r="J143" s="3">
        <f t="shared" si="63"/>
        <v>2.8520624511903833E-2</v>
      </c>
      <c r="K143" s="3">
        <f t="shared" si="63"/>
        <v>2.8520624193217523E-2</v>
      </c>
      <c r="L143" s="3">
        <f t="shared" si="63"/>
        <v>2.8520621006354611E-2</v>
      </c>
      <c r="M143" s="3">
        <f t="shared" si="63"/>
        <v>2.8520589137745047E-2</v>
      </c>
      <c r="N143" s="3">
        <f t="shared" si="63"/>
        <v>2.8520270453607964E-2</v>
      </c>
      <c r="O143" s="3">
        <f t="shared" si="63"/>
        <v>2.8517083808081232E-2</v>
      </c>
      <c r="P143" s="3">
        <f t="shared" si="63"/>
        <v>2.8485236929131248E-2</v>
      </c>
      <c r="Q143" s="3">
        <f t="shared" si="63"/>
        <v>2.8168717701985601E-2</v>
      </c>
      <c r="R143" s="3">
        <f t="shared" si="63"/>
        <v>2.5190656796928401E-2</v>
      </c>
      <c r="S143" s="3">
        <f t="shared" si="63"/>
        <v>8.2406909412331194E-3</v>
      </c>
      <c r="T143" s="3">
        <f t="shared" si="63"/>
        <v>1.1566580457635502E-7</v>
      </c>
      <c r="U143" s="3">
        <f t="shared" si="63"/>
        <v>3.4325632466959819E-56</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2.1063488813407638E-2</v>
      </c>
      <c r="C144" s="3">
        <f t="shared" si="65"/>
        <v>2.1063488813407638E-2</v>
      </c>
      <c r="D144" s="3">
        <f t="shared" si="65"/>
        <v>2.1063488813407635E-2</v>
      </c>
      <c r="E144" s="3">
        <f t="shared" si="65"/>
        <v>2.1063488813407614E-2</v>
      </c>
      <c r="F144" s="3">
        <f t="shared" si="65"/>
        <v>2.1063488813407402E-2</v>
      </c>
      <c r="G144" s="3">
        <f t="shared" si="65"/>
        <v>2.1063488813405279E-2</v>
      </c>
      <c r="H144" s="3">
        <f t="shared" si="65"/>
        <v>2.1063488813384046E-2</v>
      </c>
      <c r="I144" s="3">
        <f t="shared" si="65"/>
        <v>2.1063488813171733E-2</v>
      </c>
      <c r="J144" s="3">
        <f t="shared" si="65"/>
        <v>2.1063488811048581E-2</v>
      </c>
      <c r="K144" s="3">
        <f t="shared" si="65"/>
        <v>2.106348878981705E-2</v>
      </c>
      <c r="L144" s="3">
        <f t="shared" si="65"/>
        <v>2.106348857750176E-2</v>
      </c>
      <c r="M144" s="3">
        <f t="shared" si="65"/>
        <v>2.1063486454348957E-2</v>
      </c>
      <c r="N144" s="3">
        <f t="shared" si="65"/>
        <v>2.1063465222832714E-2</v>
      </c>
      <c r="O144" s="3">
        <f t="shared" si="65"/>
        <v>2.1063252908847318E-2</v>
      </c>
      <c r="P144" s="3">
        <f t="shared" si="65"/>
        <v>2.1061129886693498E-2</v>
      </c>
      <c r="Q144" s="3">
        <f t="shared" si="65"/>
        <v>2.1039911430779813E-2</v>
      </c>
      <c r="R144" s="3">
        <f t="shared" si="65"/>
        <v>2.082889905789094E-2</v>
      </c>
      <c r="S144" s="3">
        <f t="shared" si="65"/>
        <v>1.8831737647460441E-2</v>
      </c>
      <c r="T144" s="3">
        <f t="shared" si="65"/>
        <v>6.8727602547100182E-3</v>
      </c>
      <c r="U144" s="3">
        <f t="shared" si="65"/>
        <v>2.8809729951190943E-7</v>
      </c>
      <c r="V144" s="3">
        <f t="shared" si="65"/>
        <v>4.82635337343846E-51</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3.1092599466761905E-2</v>
      </c>
      <c r="C145" s="3">
        <f t="shared" si="68"/>
        <v>3.1092599466761905E-2</v>
      </c>
      <c r="D145" s="3">
        <f t="shared" si="68"/>
        <v>3.1092599466761905E-2</v>
      </c>
      <c r="E145" s="3">
        <f t="shared" si="68"/>
        <v>3.1092599466761902E-2</v>
      </c>
      <c r="F145" s="3">
        <f t="shared" si="68"/>
        <v>3.1092599466761874E-2</v>
      </c>
      <c r="G145" s="3">
        <f t="shared" si="68"/>
        <v>3.109259946676159E-2</v>
      </c>
      <c r="H145" s="3">
        <f t="shared" si="68"/>
        <v>3.1092599466758766E-2</v>
      </c>
      <c r="I145" s="3">
        <f t="shared" si="68"/>
        <v>3.1092599466730493E-2</v>
      </c>
      <c r="J145" s="3">
        <f t="shared" si="68"/>
        <v>3.1092599466447771E-2</v>
      </c>
      <c r="K145" s="3">
        <f t="shared" si="68"/>
        <v>3.1092599463620588E-2</v>
      </c>
      <c r="L145" s="3">
        <f t="shared" si="68"/>
        <v>3.109259943534871E-2</v>
      </c>
      <c r="M145" s="3">
        <f t="shared" si="68"/>
        <v>3.1092599152629977E-2</v>
      </c>
      <c r="N145" s="3">
        <f t="shared" si="68"/>
        <v>3.1092596325442746E-2</v>
      </c>
      <c r="O145" s="3">
        <f t="shared" si="68"/>
        <v>3.1092568053584579E-2</v>
      </c>
      <c r="P145" s="3">
        <f t="shared" si="68"/>
        <v>3.1092285336416822E-2</v>
      </c>
      <c r="Q145" s="3">
        <f t="shared" si="68"/>
        <v>3.1089458306122704E-2</v>
      </c>
      <c r="R145" s="3">
        <f t="shared" si="68"/>
        <v>3.1061202136772277E-2</v>
      </c>
      <c r="S145" s="3">
        <f t="shared" si="68"/>
        <v>3.0780049058872386E-2</v>
      </c>
      <c r="T145" s="3">
        <f t="shared" si="68"/>
        <v>2.8104753851672128E-2</v>
      </c>
      <c r="U145" s="3">
        <f t="shared" si="68"/>
        <v>1.132099422598074E-2</v>
      </c>
      <c r="V145" s="3">
        <f t="shared" si="68"/>
        <v>1.2733048635920217E-6</v>
      </c>
      <c r="W145" s="3">
        <f t="shared" si="68"/>
        <v>4.1248740136236704E-46</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2.5163399986438687E-2</v>
      </c>
      <c r="C146" s="3">
        <f t="shared" si="70"/>
        <v>2.5163399986438687E-2</v>
      </c>
      <c r="D146" s="3">
        <f t="shared" si="70"/>
        <v>2.5163399986438687E-2</v>
      </c>
      <c r="E146" s="3">
        <f t="shared" si="70"/>
        <v>2.5163399986438687E-2</v>
      </c>
      <c r="F146" s="3">
        <f t="shared" si="70"/>
        <v>2.5163399986438684E-2</v>
      </c>
      <c r="G146" s="3">
        <f t="shared" si="70"/>
        <v>2.5163399986438666E-2</v>
      </c>
      <c r="H146" s="3">
        <f t="shared" si="70"/>
        <v>2.5163399986438458E-2</v>
      </c>
      <c r="I146" s="3">
        <f t="shared" si="70"/>
        <v>2.5163399986436394E-2</v>
      </c>
      <c r="J146" s="3">
        <f t="shared" si="70"/>
        <v>2.5163399986415754E-2</v>
      </c>
      <c r="K146" s="3">
        <f t="shared" si="70"/>
        <v>2.5163399986209353E-2</v>
      </c>
      <c r="L146" s="3">
        <f t="shared" si="70"/>
        <v>2.5163399984145334E-2</v>
      </c>
      <c r="M146" s="3">
        <f t="shared" si="70"/>
        <v>2.5163399963505154E-2</v>
      </c>
      <c r="N146" s="3">
        <f t="shared" si="70"/>
        <v>2.5163399757103355E-2</v>
      </c>
      <c r="O146" s="3">
        <f t="shared" si="70"/>
        <v>2.5163397693085492E-2</v>
      </c>
      <c r="P146" s="3">
        <f t="shared" si="70"/>
        <v>2.5163377052916124E-2</v>
      </c>
      <c r="Q146" s="3">
        <f t="shared" si="70"/>
        <v>2.5163170652153625E-2</v>
      </c>
      <c r="R146" s="3">
        <f t="shared" si="70"/>
        <v>2.5161106737640611E-2</v>
      </c>
      <c r="S146" s="3">
        <f t="shared" si="70"/>
        <v>2.5140476900885615E-2</v>
      </c>
      <c r="T146" s="3">
        <f t="shared" si="70"/>
        <v>2.4935106552026853E-2</v>
      </c>
      <c r="U146" s="3">
        <f t="shared" si="70"/>
        <v>2.2971449209591495E-2</v>
      </c>
      <c r="V146" s="3">
        <f t="shared" si="70"/>
        <v>1.0114864205620955E-2</v>
      </c>
      <c r="W146" s="3">
        <f t="shared" si="70"/>
        <v>2.7712561969229927E-6</v>
      </c>
      <c r="X146" s="3">
        <f t="shared" si="70"/>
        <v>6.6045446948440267E-42</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7.3723285891336199E-2</v>
      </c>
      <c r="C147" s="3">
        <f t="shared" si="72"/>
        <v>7.3723285891336199E-2</v>
      </c>
      <c r="D147" s="3">
        <f t="shared" si="72"/>
        <v>7.3723285891336199E-2</v>
      </c>
      <c r="E147" s="3">
        <f t="shared" si="72"/>
        <v>7.3723285891336199E-2</v>
      </c>
      <c r="F147" s="3">
        <f t="shared" si="72"/>
        <v>7.3723285891336199E-2</v>
      </c>
      <c r="G147" s="3">
        <f t="shared" si="72"/>
        <v>7.3723285891336185E-2</v>
      </c>
      <c r="H147" s="3">
        <f t="shared" si="72"/>
        <v>7.3723285891336143E-2</v>
      </c>
      <c r="I147" s="3">
        <f t="shared" si="72"/>
        <v>7.3723285891335588E-2</v>
      </c>
      <c r="J147" s="3">
        <f t="shared" si="72"/>
        <v>7.3723285891330134E-2</v>
      </c>
      <c r="K147" s="3">
        <f t="shared" si="72"/>
        <v>7.3723285891275595E-2</v>
      </c>
      <c r="L147" s="3">
        <f t="shared" si="72"/>
        <v>7.3723285890730086E-2</v>
      </c>
      <c r="M147" s="3">
        <f t="shared" si="72"/>
        <v>7.3723285885275075E-2</v>
      </c>
      <c r="N147" s="3">
        <f t="shared" si="72"/>
        <v>7.3723285830724988E-2</v>
      </c>
      <c r="O147" s="3">
        <f t="shared" si="72"/>
        <v>7.3723285285224149E-2</v>
      </c>
      <c r="P147" s="3">
        <f t="shared" si="72"/>
        <v>7.372327983021594E-2</v>
      </c>
      <c r="Q147" s="3">
        <f t="shared" si="72"/>
        <v>7.3723225280156068E-2</v>
      </c>
      <c r="R147" s="3">
        <f t="shared" si="72"/>
        <v>7.3722679781777323E-2</v>
      </c>
      <c r="S147" s="3">
        <f t="shared" si="72"/>
        <v>7.3717225019981E-2</v>
      </c>
      <c r="T147" s="3">
        <f t="shared" si="72"/>
        <v>7.3662699595055822E-2</v>
      </c>
      <c r="U147" s="3">
        <f t="shared" si="72"/>
        <v>7.3119658585744318E-2</v>
      </c>
      <c r="V147" s="3">
        <f t="shared" si="72"/>
        <v>6.7904631269209634E-2</v>
      </c>
      <c r="W147" s="3">
        <f t="shared" si="72"/>
        <v>3.2400506482440007E-2</v>
      </c>
      <c r="X147" s="3">
        <f t="shared" si="72"/>
        <v>1.981873074796789E-5</v>
      </c>
      <c r="Y147" s="3">
        <f t="shared" si="72"/>
        <v>1.4531693232969642E-37</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9.9866950821253964E-2</v>
      </c>
      <c r="C148" s="3">
        <f t="shared" si="74"/>
        <v>9.9866950821253964E-2</v>
      </c>
      <c r="D148" s="3">
        <f t="shared" si="74"/>
        <v>9.9866950821253964E-2</v>
      </c>
      <c r="E148" s="3">
        <f t="shared" si="74"/>
        <v>9.9866950821253964E-2</v>
      </c>
      <c r="F148" s="3">
        <f t="shared" si="74"/>
        <v>9.9866950821253964E-2</v>
      </c>
      <c r="G148" s="3">
        <f t="shared" si="74"/>
        <v>9.9866950821253964E-2</v>
      </c>
      <c r="H148" s="3">
        <f t="shared" si="74"/>
        <v>9.986695082125395E-2</v>
      </c>
      <c r="I148" s="3">
        <f t="shared" si="74"/>
        <v>9.986695082125388E-2</v>
      </c>
      <c r="J148" s="3">
        <f t="shared" si="74"/>
        <v>9.9866950821253214E-2</v>
      </c>
      <c r="K148" s="3">
        <f t="shared" si="74"/>
        <v>9.9866950821246553E-2</v>
      </c>
      <c r="L148" s="3">
        <f t="shared" si="74"/>
        <v>9.9866950821179898E-2</v>
      </c>
      <c r="M148" s="3">
        <f t="shared" si="74"/>
        <v>9.9866950820513306E-2</v>
      </c>
      <c r="N148" s="3">
        <f t="shared" si="74"/>
        <v>9.9866950813847402E-2</v>
      </c>
      <c r="O148" s="3">
        <f t="shared" si="74"/>
        <v>9.9866950747188349E-2</v>
      </c>
      <c r="P148" s="3">
        <f t="shared" si="74"/>
        <v>9.9866950080597844E-2</v>
      </c>
      <c r="Q148" s="3">
        <f t="shared" si="74"/>
        <v>9.986694341469303E-2</v>
      </c>
      <c r="R148" s="3">
        <f t="shared" si="74"/>
        <v>9.9866876755669437E-2</v>
      </c>
      <c r="S148" s="3">
        <f t="shared" si="74"/>
        <v>9.9866210167880484E-2</v>
      </c>
      <c r="T148" s="3">
        <f t="shared" si="74"/>
        <v>9.9859544534698433E-2</v>
      </c>
      <c r="U148" s="3">
        <f t="shared" si="74"/>
        <v>9.9792912667582848E-2</v>
      </c>
      <c r="V148" s="3">
        <f t="shared" si="74"/>
        <v>9.9129034435715357E-2</v>
      </c>
      <c r="W148" s="3">
        <f t="shared" si="74"/>
        <v>9.2728375062360341E-2</v>
      </c>
      <c r="X148" s="3">
        <f t="shared" si="74"/>
        <v>4.7569696891001607E-2</v>
      </c>
      <c r="Y148" s="3">
        <f t="shared" si="74"/>
        <v>6.0049269879320301E-5</v>
      </c>
      <c r="Z148" s="3">
        <f t="shared" si="74"/>
        <v>6.1699437258071483E-34</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8.4918453398997062E-2</v>
      </c>
      <c r="C149" s="3">
        <f t="shared" si="75"/>
        <v>8.4918453398997062E-2</v>
      </c>
      <c r="D149" s="3">
        <f t="shared" si="75"/>
        <v>8.4918453398997062E-2</v>
      </c>
      <c r="E149" s="3">
        <f t="shared" si="75"/>
        <v>8.4918453398997062E-2</v>
      </c>
      <c r="F149" s="3">
        <f t="shared" si="75"/>
        <v>8.4918453398997062E-2</v>
      </c>
      <c r="G149" s="3">
        <f t="shared" si="75"/>
        <v>8.4918453398997062E-2</v>
      </c>
      <c r="H149" s="3">
        <f t="shared" si="75"/>
        <v>8.4918453398997062E-2</v>
      </c>
      <c r="I149" s="3">
        <f t="shared" si="75"/>
        <v>8.4918453398997049E-2</v>
      </c>
      <c r="J149" s="3">
        <f t="shared" si="75"/>
        <v>8.4918453398997007E-2</v>
      </c>
      <c r="K149" s="3">
        <f t="shared" si="75"/>
        <v>8.4918453398996493E-2</v>
      </c>
      <c r="L149" s="3">
        <f t="shared" si="75"/>
        <v>8.4918453398991373E-2</v>
      </c>
      <c r="M149" s="3">
        <f t="shared" si="75"/>
        <v>8.4918453398940247E-2</v>
      </c>
      <c r="N149" s="3">
        <f t="shared" si="75"/>
        <v>8.4918453398428947E-2</v>
      </c>
      <c r="O149" s="3">
        <f t="shared" si="75"/>
        <v>8.4918453393315815E-2</v>
      </c>
      <c r="P149" s="3">
        <f t="shared" si="75"/>
        <v>8.4918453342184605E-2</v>
      </c>
      <c r="Q149" s="3">
        <f t="shared" si="75"/>
        <v>8.4918452830872598E-2</v>
      </c>
      <c r="R149" s="3">
        <f t="shared" si="75"/>
        <v>8.4918447717752601E-2</v>
      </c>
      <c r="S149" s="3">
        <f t="shared" si="75"/>
        <v>8.4918396586569439E-2</v>
      </c>
      <c r="T149" s="3">
        <f t="shared" si="75"/>
        <v>8.4917885276431321E-2</v>
      </c>
      <c r="U149" s="3">
        <f t="shared" si="75"/>
        <v>8.4912772344375345E-2</v>
      </c>
      <c r="V149" s="3">
        <f t="shared" si="75"/>
        <v>8.4861659952574345E-2</v>
      </c>
      <c r="W149" s="3">
        <f t="shared" si="75"/>
        <v>8.4352225145041912E-2</v>
      </c>
      <c r="X149" s="3">
        <f t="shared" si="75"/>
        <v>7.9423084875214212E-2</v>
      </c>
      <c r="Y149" s="3">
        <f t="shared" si="75"/>
        <v>4.3495951159717258E-2</v>
      </c>
      <c r="Z149" s="3">
        <f t="shared" si="75"/>
        <v>1.0555277140304521E-4</v>
      </c>
      <c r="AA149" s="3">
        <f t="shared" ref="AA149" si="76">$C35*EXP(-AA$129/$A35/EXP(-$B$126))</f>
        <v>7.4761451382857878E-31</v>
      </c>
      <c r="AB149" s="3">
        <f t="shared" si="67"/>
        <v>2.3755192661188983E-292</v>
      </c>
      <c r="AC149" s="3">
        <f t="shared" si="67"/>
        <v>0</v>
      </c>
      <c r="AD149" s="3">
        <f t="shared" si="67"/>
        <v>0</v>
      </c>
      <c r="AE149" s="3">
        <f t="shared" si="67"/>
        <v>0</v>
      </c>
      <c r="AF149" s="3">
        <f t="shared" si="67"/>
        <v>0</v>
      </c>
    </row>
    <row r="150" spans="1:32" x14ac:dyDescent="0.25">
      <c r="B150" s="3">
        <f t="shared" ref="B150:Z150" si="77">$C36*EXP(-B$129/$A36/EXP(-$B$126))</f>
        <v>6.4000746285573396E-2</v>
      </c>
      <c r="C150" s="3">
        <f t="shared" si="77"/>
        <v>6.4000746285573396E-2</v>
      </c>
      <c r="D150" s="3">
        <f t="shared" si="77"/>
        <v>6.4000746285573396E-2</v>
      </c>
      <c r="E150" s="3">
        <f t="shared" si="77"/>
        <v>6.4000746285573396E-2</v>
      </c>
      <c r="F150" s="3">
        <f t="shared" si="77"/>
        <v>6.4000746285573396E-2</v>
      </c>
      <c r="G150" s="3">
        <f t="shared" si="77"/>
        <v>6.4000746285573396E-2</v>
      </c>
      <c r="H150" s="3">
        <f t="shared" si="77"/>
        <v>6.4000746285573396E-2</v>
      </c>
      <c r="I150" s="3">
        <f t="shared" si="77"/>
        <v>6.4000746285573396E-2</v>
      </c>
      <c r="J150" s="3">
        <f t="shared" si="77"/>
        <v>6.4000746285573382E-2</v>
      </c>
      <c r="K150" s="3">
        <f t="shared" si="77"/>
        <v>6.4000746285573354E-2</v>
      </c>
      <c r="L150" s="3">
        <f t="shared" si="77"/>
        <v>6.4000746285573007E-2</v>
      </c>
      <c r="M150" s="3">
        <f t="shared" si="77"/>
        <v>6.4000746285569524E-2</v>
      </c>
      <c r="N150" s="3">
        <f t="shared" si="77"/>
        <v>6.4000746285534774E-2</v>
      </c>
      <c r="O150" s="3">
        <f t="shared" si="77"/>
        <v>6.4000746285187135E-2</v>
      </c>
      <c r="P150" s="3">
        <f t="shared" si="77"/>
        <v>6.400074628171086E-2</v>
      </c>
      <c r="Q150" s="3">
        <f t="shared" si="77"/>
        <v>6.4000746246947987E-2</v>
      </c>
      <c r="R150" s="3">
        <f t="shared" si="77"/>
        <v>6.4000745899319339E-2</v>
      </c>
      <c r="S150" s="3">
        <f t="shared" si="77"/>
        <v>6.4000742423033011E-2</v>
      </c>
      <c r="T150" s="3">
        <f t="shared" si="77"/>
        <v>6.4000707660180095E-2</v>
      </c>
      <c r="U150" s="3">
        <f t="shared" si="77"/>
        <v>6.4000360032689357E-2</v>
      </c>
      <c r="V150" s="3">
        <f t="shared" si="77"/>
        <v>6.3996883861630285E-2</v>
      </c>
      <c r="W150" s="3">
        <f t="shared" si="77"/>
        <v>6.396213253377489E-2</v>
      </c>
      <c r="X150" s="3">
        <f t="shared" si="77"/>
        <v>6.3615655445168701E-2</v>
      </c>
      <c r="Y150" s="3">
        <f t="shared" si="77"/>
        <v>6.025245102752648E-2</v>
      </c>
      <c r="Z150" s="3">
        <f t="shared" si="77"/>
        <v>3.5001111878683051E-2</v>
      </c>
      <c r="AA150" s="3">
        <f t="shared" ref="AA150" si="78">$C36*EXP(-AA$129/$A36/EXP(-$B$126))</f>
        <v>1.5316271797253882E-4</v>
      </c>
      <c r="AB150" s="3">
        <f t="shared" si="67"/>
        <v>3.9433497923489972E-28</v>
      </c>
      <c r="AC150" s="3">
        <f t="shared" si="67"/>
        <v>5.0464698481505465E-264</v>
      </c>
      <c r="AD150" s="3">
        <f t="shared" si="67"/>
        <v>0</v>
      </c>
      <c r="AE150" s="3">
        <f t="shared" si="67"/>
        <v>0</v>
      </c>
      <c r="AF150" s="3">
        <f t="shared" si="67"/>
        <v>0</v>
      </c>
    </row>
    <row r="151" spans="1:32" x14ac:dyDescent="0.25">
      <c r="B151" s="3">
        <f t="shared" ref="B151:Z151" si="79">$C37*EXP(-B$129/$A37/EXP(-$B$126))</f>
        <v>6.4005723390096053E-2</v>
      </c>
      <c r="C151" s="3">
        <f t="shared" si="79"/>
        <v>6.4005723390096053E-2</v>
      </c>
      <c r="D151" s="3">
        <f t="shared" si="79"/>
        <v>6.4005723390096053E-2</v>
      </c>
      <c r="E151" s="3">
        <f t="shared" si="79"/>
        <v>6.4005723390096053E-2</v>
      </c>
      <c r="F151" s="3">
        <f t="shared" si="79"/>
        <v>6.4005723390096053E-2</v>
      </c>
      <c r="G151" s="3">
        <f t="shared" si="79"/>
        <v>6.4005723390096053E-2</v>
      </c>
      <c r="H151" s="3">
        <f t="shared" si="79"/>
        <v>6.4005723390096053E-2</v>
      </c>
      <c r="I151" s="3">
        <f t="shared" si="79"/>
        <v>6.4005723390096053E-2</v>
      </c>
      <c r="J151" s="3">
        <f t="shared" si="79"/>
        <v>6.4005723390096053E-2</v>
      </c>
      <c r="K151" s="3">
        <f t="shared" si="79"/>
        <v>6.4005723390096053E-2</v>
      </c>
      <c r="L151" s="3">
        <f t="shared" si="79"/>
        <v>6.4005723390096012E-2</v>
      </c>
      <c r="M151" s="3">
        <f t="shared" si="79"/>
        <v>6.4005723390095706E-2</v>
      </c>
      <c r="N151" s="3">
        <f t="shared" si="79"/>
        <v>6.400572339009257E-2</v>
      </c>
      <c r="O151" s="3">
        <f t="shared" si="79"/>
        <v>6.4005723390061206E-2</v>
      </c>
      <c r="P151" s="3">
        <f t="shared" si="79"/>
        <v>6.4005723389747596E-2</v>
      </c>
      <c r="Q151" s="3">
        <f t="shared" si="79"/>
        <v>6.4005723386611452E-2</v>
      </c>
      <c r="R151" s="3">
        <f t="shared" si="79"/>
        <v>6.4005723355250024E-2</v>
      </c>
      <c r="S151" s="3">
        <f t="shared" si="79"/>
        <v>6.4005723041635668E-2</v>
      </c>
      <c r="T151" s="3">
        <f t="shared" si="79"/>
        <v>6.4005719905492323E-2</v>
      </c>
      <c r="U151" s="3">
        <f t="shared" si="79"/>
        <v>6.400568854406731E-2</v>
      </c>
      <c r="V151" s="3">
        <f t="shared" si="79"/>
        <v>6.4005374930662245E-2</v>
      </c>
      <c r="W151" s="3">
        <f t="shared" si="79"/>
        <v>6.4002238881125356E-2</v>
      </c>
      <c r="X151" s="3">
        <f t="shared" si="79"/>
        <v>6.3970886835591628E-2</v>
      </c>
      <c r="Y151" s="3">
        <f t="shared" si="79"/>
        <v>6.3658209833887314E-2</v>
      </c>
      <c r="Z151" s="3">
        <f t="shared" si="79"/>
        <v>6.0614275899619575E-2</v>
      </c>
      <c r="AA151" s="3">
        <f t="shared" ref="AA151" si="80">$C37*EXP(-AA$129/$A37/EXP(-$B$126))</f>
        <v>3.7134700144432924E-2</v>
      </c>
      <c r="AB151" s="3">
        <f t="shared" si="67"/>
        <v>2.765858266125701E-4</v>
      </c>
      <c r="AC151" s="3">
        <f t="shared" si="67"/>
        <v>1.4532151617386944E-25</v>
      </c>
      <c r="AD151" s="3">
        <f t="shared" si="67"/>
        <v>2.3298604556246253E-238</v>
      </c>
      <c r="AE151" s="3">
        <f t="shared" si="67"/>
        <v>0</v>
      </c>
      <c r="AF151" s="3">
        <f t="shared" si="67"/>
        <v>0</v>
      </c>
    </row>
    <row r="152" spans="1:32" x14ac:dyDescent="0.25">
      <c r="B152" s="3">
        <f t="shared" ref="B152:Z152" si="81">$C38*EXP(-B$129/$A38/EXP(-$B$126))</f>
        <v>2.5223864108208031E-2</v>
      </c>
      <c r="C152" s="3">
        <f t="shared" si="81"/>
        <v>2.5223864108208031E-2</v>
      </c>
      <c r="D152" s="3">
        <f t="shared" si="81"/>
        <v>2.5223864108208031E-2</v>
      </c>
      <c r="E152" s="3">
        <f t="shared" si="81"/>
        <v>2.5223864108208031E-2</v>
      </c>
      <c r="F152" s="3">
        <f t="shared" si="81"/>
        <v>2.5223864108208031E-2</v>
      </c>
      <c r="G152" s="3">
        <f t="shared" si="81"/>
        <v>2.5223864108208031E-2</v>
      </c>
      <c r="H152" s="3">
        <f t="shared" si="81"/>
        <v>2.5223864108208031E-2</v>
      </c>
      <c r="I152" s="3">
        <f t="shared" si="81"/>
        <v>2.5223864108208031E-2</v>
      </c>
      <c r="J152" s="3">
        <f t="shared" si="81"/>
        <v>2.5223864108208031E-2</v>
      </c>
      <c r="K152" s="3">
        <f t="shared" si="81"/>
        <v>2.5223864108208031E-2</v>
      </c>
      <c r="L152" s="3">
        <f t="shared" si="81"/>
        <v>2.5223864108208031E-2</v>
      </c>
      <c r="M152" s="3">
        <f t="shared" si="81"/>
        <v>2.5223864108208021E-2</v>
      </c>
      <c r="N152" s="3">
        <f t="shared" si="81"/>
        <v>2.5223864108207907E-2</v>
      </c>
      <c r="O152" s="3">
        <f t="shared" si="81"/>
        <v>2.5223864108206793E-2</v>
      </c>
      <c r="P152" s="3">
        <f t="shared" si="81"/>
        <v>2.5223864108195642E-2</v>
      </c>
      <c r="Q152" s="3">
        <f t="shared" si="81"/>
        <v>2.5223864108084151E-2</v>
      </c>
      <c r="R152" s="3">
        <f t="shared" si="81"/>
        <v>2.5223864106969255E-2</v>
      </c>
      <c r="S152" s="3">
        <f t="shared" si="81"/>
        <v>2.522386409582027E-2</v>
      </c>
      <c r="T152" s="3">
        <f t="shared" si="81"/>
        <v>2.5223863984330425E-2</v>
      </c>
      <c r="U152" s="3">
        <f t="shared" si="81"/>
        <v>2.5223862869431991E-2</v>
      </c>
      <c r="V152" s="3">
        <f t="shared" si="81"/>
        <v>2.5223851720450371E-2</v>
      </c>
      <c r="W152" s="3">
        <f t="shared" si="81"/>
        <v>2.5223740230905182E-2</v>
      </c>
      <c r="X152" s="3">
        <f t="shared" si="81"/>
        <v>2.5222625362556074E-2</v>
      </c>
      <c r="Y152" s="3">
        <f t="shared" si="81"/>
        <v>2.5211479388899668E-2</v>
      </c>
      <c r="Z152" s="3">
        <f t="shared" si="81"/>
        <v>2.5100290193156131E-2</v>
      </c>
      <c r="AA152" s="3">
        <f t="shared" ref="AA152" si="82">$C38*EXP(-AA$129/$A38/EXP(-$B$126))</f>
        <v>2.4015015056122486E-2</v>
      </c>
      <c r="AB152" s="3">
        <f t="shared" si="67"/>
        <v>1.5435619715784544E-2</v>
      </c>
      <c r="AC152" s="3">
        <f t="shared" si="67"/>
        <v>1.8575313061282146E-4</v>
      </c>
      <c r="AD152" s="3">
        <f t="shared" si="67"/>
        <v>1.1831964478054701E-23</v>
      </c>
      <c r="AE152" s="3">
        <f t="shared" si="67"/>
        <v>1.3009601966704893E-215</v>
      </c>
      <c r="AF152" s="3">
        <f t="shared" si="67"/>
        <v>0</v>
      </c>
    </row>
    <row r="153" spans="1:32" x14ac:dyDescent="0.25">
      <c r="B153" s="3">
        <f t="shared" ref="B153:Z153" si="83">$C39*EXP(-B$129/$A39/EXP(-$B$126))</f>
        <v>4.075866339585988E-2</v>
      </c>
      <c r="C153" s="3">
        <f t="shared" si="83"/>
        <v>4.075866339585988E-2</v>
      </c>
      <c r="D153" s="3">
        <f t="shared" si="83"/>
        <v>4.075866339585988E-2</v>
      </c>
      <c r="E153" s="3">
        <f t="shared" si="83"/>
        <v>4.075866339585988E-2</v>
      </c>
      <c r="F153" s="3">
        <f t="shared" si="83"/>
        <v>4.075866339585988E-2</v>
      </c>
      <c r="G153" s="3">
        <f t="shared" si="83"/>
        <v>4.075866339585988E-2</v>
      </c>
      <c r="H153" s="3">
        <f t="shared" si="83"/>
        <v>4.075866339585988E-2</v>
      </c>
      <c r="I153" s="3">
        <f t="shared" si="83"/>
        <v>4.075866339585988E-2</v>
      </c>
      <c r="J153" s="3">
        <f t="shared" si="83"/>
        <v>4.075866339585988E-2</v>
      </c>
      <c r="K153" s="3">
        <f t="shared" si="83"/>
        <v>4.075866339585988E-2</v>
      </c>
      <c r="L153" s="3">
        <f t="shared" si="83"/>
        <v>4.075866339585988E-2</v>
      </c>
      <c r="M153" s="3">
        <f t="shared" si="83"/>
        <v>4.0758663395859873E-2</v>
      </c>
      <c r="N153" s="3">
        <f t="shared" si="83"/>
        <v>4.0758663395859825E-2</v>
      </c>
      <c r="O153" s="3">
        <f t="shared" si="83"/>
        <v>4.0758663395859325E-2</v>
      </c>
      <c r="P153" s="3">
        <f t="shared" si="83"/>
        <v>4.0758663395854343E-2</v>
      </c>
      <c r="Q153" s="3">
        <f t="shared" si="83"/>
        <v>4.0758663395804522E-2</v>
      </c>
      <c r="R153" s="3">
        <f t="shared" si="83"/>
        <v>4.075866339530626E-2</v>
      </c>
      <c r="S153" s="3">
        <f t="shared" si="83"/>
        <v>4.0758663390323656E-2</v>
      </c>
      <c r="T153" s="3">
        <f t="shared" si="83"/>
        <v>4.0758663340497596E-2</v>
      </c>
      <c r="U153" s="3">
        <f t="shared" si="83"/>
        <v>4.0758662842237059E-2</v>
      </c>
      <c r="V153" s="3">
        <f t="shared" si="83"/>
        <v>4.0758657859632036E-2</v>
      </c>
      <c r="W153" s="3">
        <f t="shared" si="83"/>
        <v>4.0758608033615258E-2</v>
      </c>
      <c r="X153" s="3">
        <f t="shared" si="83"/>
        <v>4.0758109776797592E-2</v>
      </c>
      <c r="Y153" s="3">
        <f t="shared" si="83"/>
        <v>4.0753127543612537E-2</v>
      </c>
      <c r="Z153" s="3">
        <f t="shared" si="83"/>
        <v>4.0703338695774922E-2</v>
      </c>
      <c r="AA153" s="3">
        <f t="shared" ref="AA153" si="84">$C39*EXP(-AA$129/$A39/EXP(-$B$126))</f>
        <v>4.0208783522866179E-2</v>
      </c>
      <c r="AB153" s="3">
        <f t="shared" si="67"/>
        <v>3.5581965828690006E-2</v>
      </c>
      <c r="AC153" s="3">
        <f t="shared" si="67"/>
        <v>1.047900335567661E-2</v>
      </c>
      <c r="AD153" s="3">
        <f t="shared" si="67"/>
        <v>5.1430457910616191E-8</v>
      </c>
      <c r="AE153" s="3">
        <f t="shared" si="67"/>
        <v>4.1708493883667294E-61</v>
      </c>
      <c r="AF153" s="3">
        <f t="shared" si="67"/>
        <v>0</v>
      </c>
    </row>
    <row r="154" spans="1:32" x14ac:dyDescent="0.25">
      <c r="B154" s="3">
        <f t="shared" ref="B154:Z154" si="85">$C40*EXP(-B$129/$A40/EXP(-$B$126))</f>
        <v>2.4317384377993669E-2</v>
      </c>
      <c r="C154" s="3">
        <f t="shared" si="85"/>
        <v>2.4317384377993669E-2</v>
      </c>
      <c r="D154" s="3">
        <f t="shared" si="85"/>
        <v>2.4317384377993669E-2</v>
      </c>
      <c r="E154" s="3">
        <f t="shared" si="85"/>
        <v>2.4317384377993669E-2</v>
      </c>
      <c r="F154" s="3">
        <f t="shared" si="85"/>
        <v>2.4317384377993669E-2</v>
      </c>
      <c r="G154" s="3">
        <f t="shared" si="85"/>
        <v>2.4317384377993669E-2</v>
      </c>
      <c r="H154" s="3">
        <f t="shared" si="85"/>
        <v>2.4317384377993669E-2</v>
      </c>
      <c r="I154" s="3">
        <f t="shared" si="85"/>
        <v>2.4317384377993669E-2</v>
      </c>
      <c r="J154" s="3">
        <f t="shared" si="85"/>
        <v>2.4317384377993669E-2</v>
      </c>
      <c r="K154" s="3">
        <f t="shared" si="85"/>
        <v>2.4317384377993669E-2</v>
      </c>
      <c r="L154" s="3">
        <f t="shared" si="85"/>
        <v>2.4317384377993669E-2</v>
      </c>
      <c r="M154" s="3">
        <f t="shared" si="85"/>
        <v>2.4317384377993669E-2</v>
      </c>
      <c r="N154" s="3">
        <f t="shared" si="85"/>
        <v>2.4317384377993665E-2</v>
      </c>
      <c r="O154" s="3">
        <f t="shared" si="85"/>
        <v>2.4317384377993637E-2</v>
      </c>
      <c r="P154" s="3">
        <f t="shared" si="85"/>
        <v>2.4317384377993339E-2</v>
      </c>
      <c r="Q154" s="3">
        <f t="shared" si="85"/>
        <v>2.4317384377990366E-2</v>
      </c>
      <c r="R154" s="3">
        <f t="shared" si="85"/>
        <v>2.4317384377960639E-2</v>
      </c>
      <c r="S154" s="3">
        <f t="shared" si="85"/>
        <v>2.4317384377663367E-2</v>
      </c>
      <c r="T154" s="3">
        <f t="shared" si="85"/>
        <v>2.4317384374690651E-2</v>
      </c>
      <c r="U154" s="3">
        <f t="shared" si="85"/>
        <v>2.4317384344963493E-2</v>
      </c>
      <c r="V154" s="3">
        <f t="shared" si="85"/>
        <v>2.4317384047691893E-2</v>
      </c>
      <c r="W154" s="3">
        <f t="shared" si="85"/>
        <v>2.4317381074976118E-2</v>
      </c>
      <c r="X154" s="3">
        <f t="shared" si="85"/>
        <v>2.4317351347838353E-2</v>
      </c>
      <c r="Y154" s="3">
        <f t="shared" si="85"/>
        <v>2.431705407845941E-2</v>
      </c>
      <c r="Z154" s="3">
        <f t="shared" si="85"/>
        <v>2.4314081584532288E-2</v>
      </c>
      <c r="AA154" s="3">
        <f t="shared" ref="AA154:AF154" si="86">$C40*EXP(-AA$129/$A40/EXP(-$B$126))</f>
        <v>2.4284376622452308E-2</v>
      </c>
      <c r="AB154" s="3">
        <f t="shared" si="86"/>
        <v>2.3989315714322317E-2</v>
      </c>
      <c r="AC154" s="3">
        <f t="shared" si="86"/>
        <v>2.1228869346799555E-2</v>
      </c>
      <c r="AD154" s="3">
        <f t="shared" si="86"/>
        <v>6.2519702872336474E-3</v>
      </c>
      <c r="AE154" s="3">
        <f t="shared" si="86"/>
        <v>3.0684377492999833E-8</v>
      </c>
      <c r="AF154" s="3">
        <f t="shared" si="86"/>
        <v>2.488407109295342E-61</v>
      </c>
    </row>
    <row r="155" spans="1:32" x14ac:dyDescent="0.25">
      <c r="B155" s="3">
        <f t="shared" ref="B155:Z155" si="87">$C41*EXP(-B$129/$A41/EXP(-$B$126))</f>
        <v>1.4702506077869741E-2</v>
      </c>
      <c r="C155" s="3">
        <f t="shared" si="87"/>
        <v>1.4702506077869741E-2</v>
      </c>
      <c r="D155" s="3">
        <f t="shared" si="87"/>
        <v>1.4702506077869741E-2</v>
      </c>
      <c r="E155" s="3">
        <f t="shared" si="87"/>
        <v>1.4702506077869741E-2</v>
      </c>
      <c r="F155" s="3">
        <f t="shared" si="87"/>
        <v>1.4702506077869741E-2</v>
      </c>
      <c r="G155" s="3">
        <f t="shared" si="87"/>
        <v>1.4702506077869741E-2</v>
      </c>
      <c r="H155" s="3">
        <f t="shared" si="87"/>
        <v>1.4702506077869741E-2</v>
      </c>
      <c r="I155" s="3">
        <f t="shared" si="87"/>
        <v>1.4702506077869741E-2</v>
      </c>
      <c r="J155" s="3">
        <f t="shared" si="87"/>
        <v>1.4702506077869741E-2</v>
      </c>
      <c r="K155" s="3">
        <f t="shared" si="87"/>
        <v>1.4702506077869741E-2</v>
      </c>
      <c r="L155" s="3">
        <f t="shared" si="87"/>
        <v>1.4702506077869741E-2</v>
      </c>
      <c r="M155" s="3">
        <f t="shared" si="87"/>
        <v>1.4702506077869741E-2</v>
      </c>
      <c r="N155" s="3">
        <f t="shared" si="87"/>
        <v>1.4702506077869741E-2</v>
      </c>
      <c r="O155" s="3">
        <f t="shared" si="87"/>
        <v>1.4702506077869739E-2</v>
      </c>
      <c r="P155" s="3">
        <f t="shared" si="87"/>
        <v>1.4702506077869722E-2</v>
      </c>
      <c r="Q155" s="3">
        <f t="shared" si="87"/>
        <v>1.4702506077869541E-2</v>
      </c>
      <c r="R155" s="3">
        <f t="shared" si="87"/>
        <v>1.4702506077867744E-2</v>
      </c>
      <c r="S155" s="3">
        <f t="shared" si="87"/>
        <v>1.4702506077849771E-2</v>
      </c>
      <c r="T155" s="3">
        <f t="shared" si="87"/>
        <v>1.4702506077670038E-2</v>
      </c>
      <c r="U155" s="3">
        <f t="shared" si="87"/>
        <v>1.4702506075872708E-2</v>
      </c>
      <c r="V155" s="3">
        <f t="shared" si="87"/>
        <v>1.4702506057899403E-2</v>
      </c>
      <c r="W155" s="3">
        <f t="shared" si="87"/>
        <v>1.470250587816636E-2</v>
      </c>
      <c r="X155" s="3">
        <f t="shared" si="87"/>
        <v>1.470250408083606E-2</v>
      </c>
      <c r="Y155" s="3">
        <f t="shared" si="87"/>
        <v>1.4702486107545147E-2</v>
      </c>
      <c r="Z155" s="3">
        <f t="shared" si="87"/>
        <v>1.4702306375844455E-2</v>
      </c>
      <c r="AA155" s="3">
        <f t="shared" ref="AA155:AF155" si="88">$C41*EXP(-AA$129/$A41/EXP(-$B$126))</f>
        <v>1.4700509179676042E-2</v>
      </c>
      <c r="AB155" s="3">
        <f t="shared" si="88"/>
        <v>1.4682549296378765E-2</v>
      </c>
      <c r="AC155" s="3">
        <f t="shared" si="88"/>
        <v>1.4504152856708681E-2</v>
      </c>
      <c r="AD155" s="3">
        <f t="shared" si="88"/>
        <v>1.2835162521840875E-2</v>
      </c>
      <c r="AE155" s="3">
        <f t="shared" si="88"/>
        <v>3.7799966360649207E-3</v>
      </c>
      <c r="AF155" s="3">
        <f t="shared" si="88"/>
        <v>1.8552046534854383E-8</v>
      </c>
    </row>
    <row r="156" spans="1:32" x14ac:dyDescent="0.25">
      <c r="B156" s="3">
        <f t="shared" ref="B156:Z156" si="89">$C42*EXP(-B$129/$A42/EXP(-$B$126))</f>
        <v>6.4612477485621166E-3</v>
      </c>
      <c r="C156" s="3">
        <f t="shared" si="89"/>
        <v>6.4612477485621166E-3</v>
      </c>
      <c r="D156" s="3">
        <f t="shared" si="89"/>
        <v>6.4612477485621166E-3</v>
      </c>
      <c r="E156" s="3">
        <f t="shared" si="89"/>
        <v>6.4612477485621166E-3</v>
      </c>
      <c r="F156" s="3">
        <f t="shared" si="89"/>
        <v>6.4612477485621166E-3</v>
      </c>
      <c r="G156" s="3">
        <f t="shared" si="89"/>
        <v>6.4612477485621166E-3</v>
      </c>
      <c r="H156" s="3">
        <f t="shared" si="89"/>
        <v>6.4612477485621166E-3</v>
      </c>
      <c r="I156" s="3">
        <f t="shared" si="89"/>
        <v>6.4612477485621166E-3</v>
      </c>
      <c r="J156" s="3">
        <f t="shared" si="89"/>
        <v>6.4612477485621166E-3</v>
      </c>
      <c r="K156" s="3">
        <f t="shared" si="89"/>
        <v>6.4612477485621166E-3</v>
      </c>
      <c r="L156" s="3">
        <f t="shared" si="89"/>
        <v>6.4612477485621166E-3</v>
      </c>
      <c r="M156" s="3">
        <f t="shared" si="89"/>
        <v>6.4612477485621166E-3</v>
      </c>
      <c r="N156" s="3">
        <f t="shared" si="89"/>
        <v>6.4612477485621166E-3</v>
      </c>
      <c r="O156" s="3">
        <f t="shared" si="89"/>
        <v>6.4612477485621166E-3</v>
      </c>
      <c r="P156" s="3">
        <f t="shared" si="89"/>
        <v>6.4612477485621158E-3</v>
      </c>
      <c r="Q156" s="3">
        <f t="shared" si="89"/>
        <v>6.461247748562108E-3</v>
      </c>
      <c r="R156" s="3">
        <f t="shared" si="89"/>
        <v>6.461247748562029E-3</v>
      </c>
      <c r="S156" s="3">
        <f t="shared" si="89"/>
        <v>6.4612477485612397E-3</v>
      </c>
      <c r="T156" s="3">
        <f t="shared" si="89"/>
        <v>6.4612477485533407E-3</v>
      </c>
      <c r="U156" s="3">
        <f t="shared" si="89"/>
        <v>6.4612477484743544E-3</v>
      </c>
      <c r="V156" s="3">
        <f t="shared" si="89"/>
        <v>6.4612477476844888E-3</v>
      </c>
      <c r="W156" s="3">
        <f t="shared" si="89"/>
        <v>6.4612477397858374E-3</v>
      </c>
      <c r="X156" s="3">
        <f t="shared" si="89"/>
        <v>6.4612476607993222E-3</v>
      </c>
      <c r="Y156" s="3">
        <f t="shared" si="89"/>
        <v>6.4612468709342279E-3</v>
      </c>
      <c r="Z156" s="3">
        <f t="shared" si="89"/>
        <v>6.4612389722885936E-3</v>
      </c>
      <c r="AA156" s="3">
        <f t="shared" ref="AA156:AF156" si="90">$C42*EXP(-AA$129/$A42/EXP(-$B$126))</f>
        <v>6.4611599863633167E-3</v>
      </c>
      <c r="AB156" s="3">
        <f t="shared" si="90"/>
        <v>6.4603701802149376E-3</v>
      </c>
      <c r="AC156" s="3">
        <f t="shared" si="90"/>
        <v>6.4524774267683922E-3</v>
      </c>
      <c r="AD156" s="3">
        <f t="shared" si="90"/>
        <v>6.3740783029683466E-3</v>
      </c>
      <c r="AE156" s="3">
        <f t="shared" si="90"/>
        <v>5.6406142264073924E-3</v>
      </c>
      <c r="AF156" s="3">
        <f t="shared" si="90"/>
        <v>1.6611790279147829E-3</v>
      </c>
    </row>
    <row r="157" spans="1:32" x14ac:dyDescent="0.25">
      <c r="B157" s="3">
        <f t="shared" ref="B157:Z157" si="91">$C43*EXP(-B$129/$A43/EXP(-$B$126))</f>
        <v>3.1609965695272944E-3</v>
      </c>
      <c r="C157" s="3">
        <f t="shared" si="91"/>
        <v>3.1609965695272944E-3</v>
      </c>
      <c r="D157" s="3">
        <f t="shared" si="91"/>
        <v>3.1609965695272944E-3</v>
      </c>
      <c r="E157" s="3">
        <f t="shared" si="91"/>
        <v>3.1609965695272944E-3</v>
      </c>
      <c r="F157" s="3">
        <f t="shared" si="91"/>
        <v>3.1609965695272944E-3</v>
      </c>
      <c r="G157" s="3">
        <f t="shared" si="91"/>
        <v>3.1609965695272944E-3</v>
      </c>
      <c r="H157" s="3">
        <f t="shared" si="91"/>
        <v>3.1609965695272944E-3</v>
      </c>
      <c r="I157" s="3">
        <f t="shared" si="91"/>
        <v>3.1609965695272944E-3</v>
      </c>
      <c r="J157" s="3">
        <f t="shared" si="91"/>
        <v>3.1609965695272944E-3</v>
      </c>
      <c r="K157" s="3">
        <f t="shared" si="91"/>
        <v>3.1609965695272944E-3</v>
      </c>
      <c r="L157" s="3">
        <f t="shared" si="91"/>
        <v>3.1609965695272944E-3</v>
      </c>
      <c r="M157" s="3">
        <f t="shared" si="91"/>
        <v>3.1609965695272944E-3</v>
      </c>
      <c r="N157" s="3">
        <f t="shared" si="91"/>
        <v>3.1609965695272944E-3</v>
      </c>
      <c r="O157" s="3">
        <f t="shared" si="91"/>
        <v>3.1609965695272944E-3</v>
      </c>
      <c r="P157" s="3">
        <f t="shared" si="91"/>
        <v>3.1609965695272944E-3</v>
      </c>
      <c r="Q157" s="3">
        <f t="shared" si="91"/>
        <v>3.1609965695272939E-3</v>
      </c>
      <c r="R157" s="3">
        <f t="shared" si="91"/>
        <v>3.16099656952729E-3</v>
      </c>
      <c r="S157" s="3">
        <f t="shared" si="91"/>
        <v>3.1609965695272514E-3</v>
      </c>
      <c r="T157" s="3">
        <f t="shared" si="91"/>
        <v>3.160996569526865E-3</v>
      </c>
      <c r="U157" s="3">
        <f t="shared" si="91"/>
        <v>3.1609965695230009E-3</v>
      </c>
      <c r="V157" s="3">
        <f t="shared" si="91"/>
        <v>3.1609965694843587E-3</v>
      </c>
      <c r="W157" s="3">
        <f t="shared" si="91"/>
        <v>3.1609965690979377E-3</v>
      </c>
      <c r="X157" s="3">
        <f t="shared" si="91"/>
        <v>3.1609965652337293E-3</v>
      </c>
      <c r="Y157" s="3">
        <f t="shared" si="91"/>
        <v>3.1609965265916415E-3</v>
      </c>
      <c r="Z157" s="3">
        <f t="shared" si="91"/>
        <v>3.16099614017079E-3</v>
      </c>
      <c r="AA157" s="3">
        <f t="shared" ref="AA157:AF157" si="92">$C43*EXP(-AA$129/$A43/EXP(-$B$126))</f>
        <v>3.1609922759648773E-3</v>
      </c>
      <c r="AB157" s="3">
        <f t="shared" si="92"/>
        <v>3.1609536341655601E-3</v>
      </c>
      <c r="AC157" s="3">
        <f t="shared" si="92"/>
        <v>3.1605672421523186E-3</v>
      </c>
      <c r="AD157" s="3">
        <f t="shared" si="92"/>
        <v>3.15670591883838E-3</v>
      </c>
      <c r="AE157" s="3">
        <f t="shared" si="92"/>
        <v>3.1183511968048473E-3</v>
      </c>
      <c r="AF157" s="3">
        <f t="shared" si="92"/>
        <v>2.7595230694672703E-3</v>
      </c>
    </row>
    <row r="158" spans="1:32" x14ac:dyDescent="0.25">
      <c r="B158" s="3">
        <f t="shared" ref="B158:Z158" si="93">$C44*EXP(-B$129/$A44/EXP(-$B$126))</f>
        <v>2.6462780139571542E-3</v>
      </c>
      <c r="C158" s="3">
        <f t="shared" si="93"/>
        <v>2.6462780139571542E-3</v>
      </c>
      <c r="D158" s="3">
        <f t="shared" si="93"/>
        <v>2.6462780139571542E-3</v>
      </c>
      <c r="E158" s="3">
        <f t="shared" si="93"/>
        <v>2.6462780139571542E-3</v>
      </c>
      <c r="F158" s="3">
        <f t="shared" si="93"/>
        <v>2.6462780139571542E-3</v>
      </c>
      <c r="G158" s="3">
        <f t="shared" si="93"/>
        <v>2.6462780139571542E-3</v>
      </c>
      <c r="H158" s="3">
        <f t="shared" si="93"/>
        <v>2.6462780139571542E-3</v>
      </c>
      <c r="I158" s="3">
        <f t="shared" si="93"/>
        <v>2.6462780139571542E-3</v>
      </c>
      <c r="J158" s="3">
        <f t="shared" si="93"/>
        <v>2.6462780139571542E-3</v>
      </c>
      <c r="K158" s="3">
        <f t="shared" si="93"/>
        <v>2.6462780139571542E-3</v>
      </c>
      <c r="L158" s="3">
        <f t="shared" si="93"/>
        <v>2.6462780139571542E-3</v>
      </c>
      <c r="M158" s="3">
        <f t="shared" si="93"/>
        <v>2.6462780139571542E-3</v>
      </c>
      <c r="N158" s="3">
        <f t="shared" si="93"/>
        <v>2.6462780139571542E-3</v>
      </c>
      <c r="O158" s="3">
        <f t="shared" si="93"/>
        <v>2.6462780139571542E-3</v>
      </c>
      <c r="P158" s="3">
        <f t="shared" si="93"/>
        <v>2.6462780139571542E-3</v>
      </c>
      <c r="Q158" s="3">
        <f t="shared" si="93"/>
        <v>2.6462780139571542E-3</v>
      </c>
      <c r="R158" s="3">
        <f t="shared" si="93"/>
        <v>2.6462780139571537E-3</v>
      </c>
      <c r="S158" s="3">
        <f t="shared" si="93"/>
        <v>2.6462780139571507E-3</v>
      </c>
      <c r="T158" s="3">
        <f t="shared" si="93"/>
        <v>2.6462780139571182E-3</v>
      </c>
      <c r="U158" s="3">
        <f t="shared" si="93"/>
        <v>2.6462780139567947E-3</v>
      </c>
      <c r="V158" s="3">
        <f t="shared" si="93"/>
        <v>2.6462780139535598E-3</v>
      </c>
      <c r="W158" s="3">
        <f t="shared" si="93"/>
        <v>2.6462780139212098E-3</v>
      </c>
      <c r="X158" s="3">
        <f t="shared" si="93"/>
        <v>2.6462780135977117E-3</v>
      </c>
      <c r="Y158" s="3">
        <f t="shared" si="93"/>
        <v>2.6462780103627286E-3</v>
      </c>
      <c r="Z158" s="3">
        <f t="shared" si="93"/>
        <v>2.6462779780128966E-3</v>
      </c>
      <c r="AA158" s="3">
        <f t="shared" ref="AA158:AF158" si="94">$C44*EXP(-AA$129/$A44/EXP(-$B$126))</f>
        <v>2.6462776545146012E-3</v>
      </c>
      <c r="AB158" s="3">
        <f t="shared" si="94"/>
        <v>2.646274419533821E-3</v>
      </c>
      <c r="AC158" s="3">
        <f t="shared" si="94"/>
        <v>2.6462420699435245E-3</v>
      </c>
      <c r="AD158" s="3">
        <f t="shared" si="94"/>
        <v>2.6459185957900672E-3</v>
      </c>
      <c r="AE158" s="3">
        <f t="shared" si="94"/>
        <v>2.6426860282229396E-3</v>
      </c>
      <c r="AF158" s="3">
        <f t="shared" si="94"/>
        <v>2.6105767691913949E-3</v>
      </c>
    </row>
    <row r="159" spans="1:32" x14ac:dyDescent="0.25">
      <c r="A159" s="11" t="s">
        <v>75</v>
      </c>
      <c r="B159" s="3">
        <f t="shared" ref="B159:Z159" si="95">$C45*EXP(-B$129/$A45/EXP(-$B$126))</f>
        <v>6.075652089661552E-5</v>
      </c>
      <c r="C159" s="3">
        <f t="shared" si="95"/>
        <v>6.075652089661552E-5</v>
      </c>
      <c r="D159" s="3">
        <f t="shared" si="95"/>
        <v>6.075652089661552E-5</v>
      </c>
      <c r="E159" s="3">
        <f t="shared" si="95"/>
        <v>6.075652089661552E-5</v>
      </c>
      <c r="F159" s="3">
        <f t="shared" si="95"/>
        <v>6.075652089661552E-5</v>
      </c>
      <c r="G159" s="3">
        <f t="shared" si="95"/>
        <v>6.075652089661552E-5</v>
      </c>
      <c r="H159" s="3">
        <f t="shared" si="95"/>
        <v>6.075652089661552E-5</v>
      </c>
      <c r="I159" s="3">
        <f t="shared" si="95"/>
        <v>6.075652089661552E-5</v>
      </c>
      <c r="J159" s="3">
        <f t="shared" si="95"/>
        <v>6.075652089661552E-5</v>
      </c>
      <c r="K159" s="3">
        <f t="shared" si="95"/>
        <v>6.075652089661552E-5</v>
      </c>
      <c r="L159" s="3">
        <f t="shared" si="95"/>
        <v>6.075652089661552E-5</v>
      </c>
      <c r="M159" s="3">
        <f t="shared" si="95"/>
        <v>6.075652089661552E-5</v>
      </c>
      <c r="N159" s="3">
        <f t="shared" si="95"/>
        <v>6.075652089661552E-5</v>
      </c>
      <c r="O159" s="3">
        <f t="shared" si="95"/>
        <v>6.075652089661552E-5</v>
      </c>
      <c r="P159" s="3">
        <f t="shared" si="95"/>
        <v>6.075652089661552E-5</v>
      </c>
      <c r="Q159" s="3">
        <f t="shared" si="95"/>
        <v>6.075652089661552E-5</v>
      </c>
      <c r="R159" s="3">
        <f t="shared" si="95"/>
        <v>6.075652089661552E-5</v>
      </c>
      <c r="S159" s="3">
        <f t="shared" si="95"/>
        <v>6.0756520896615513E-5</v>
      </c>
      <c r="T159" s="3">
        <f t="shared" si="95"/>
        <v>6.0756520896615439E-5</v>
      </c>
      <c r="U159" s="3">
        <f t="shared" si="95"/>
        <v>6.07565208966147E-5</v>
      </c>
      <c r="V159" s="3">
        <f t="shared" si="95"/>
        <v>6.0756520896607273E-5</v>
      </c>
      <c r="W159" s="3">
        <f t="shared" si="95"/>
        <v>6.0756520896532999E-5</v>
      </c>
      <c r="X159" s="3">
        <f t="shared" si="95"/>
        <v>6.0756520895790273E-5</v>
      </c>
      <c r="Y159" s="3">
        <f t="shared" si="95"/>
        <v>6.0756520888362993E-5</v>
      </c>
      <c r="Z159" s="3">
        <f t="shared" si="95"/>
        <v>6.0756520814090252E-5</v>
      </c>
      <c r="AA159" s="3">
        <f t="shared" ref="AA159:AF159" si="96">$C45*EXP(-AA$129/$A45/EXP(-$B$126))</f>
        <v>6.0756520071362839E-5</v>
      </c>
      <c r="AB159" s="3">
        <f t="shared" si="96"/>
        <v>6.0756512644089192E-5</v>
      </c>
      <c r="AC159" s="3">
        <f t="shared" si="96"/>
        <v>6.0756438371402674E-5</v>
      </c>
      <c r="AD159" s="3">
        <f t="shared" si="96"/>
        <v>6.0755695649531242E-5</v>
      </c>
      <c r="AE159" s="3">
        <f t="shared" si="96"/>
        <v>6.0748268930169029E-5</v>
      </c>
      <c r="AF159" s="3">
        <f t="shared" si="96"/>
        <v>6.0674051649178128E-5</v>
      </c>
    </row>
    <row r="160" spans="1:32" x14ac:dyDescent="0.25">
      <c r="B160" s="3">
        <f t="shared" ref="B160:Z160" si="97">$C46*EXP(-B$129/$A46/EXP(-$B$126))</f>
        <v>1.7765171530370429E-3</v>
      </c>
      <c r="C160" s="3">
        <f t="shared" si="97"/>
        <v>1.7765171530370429E-3</v>
      </c>
      <c r="D160" s="3">
        <f t="shared" si="97"/>
        <v>1.7765171530370429E-3</v>
      </c>
      <c r="E160" s="3">
        <f t="shared" si="97"/>
        <v>1.7765171530370429E-3</v>
      </c>
      <c r="F160" s="3">
        <f t="shared" si="97"/>
        <v>1.7765171530370429E-3</v>
      </c>
      <c r="G160" s="3">
        <f t="shared" si="97"/>
        <v>1.7765171530370429E-3</v>
      </c>
      <c r="H160" s="3">
        <f t="shared" si="97"/>
        <v>1.7765171530370429E-3</v>
      </c>
      <c r="I160" s="3">
        <f t="shared" si="97"/>
        <v>1.7765171530370429E-3</v>
      </c>
      <c r="J160" s="3">
        <f t="shared" si="97"/>
        <v>1.7765171530370429E-3</v>
      </c>
      <c r="K160" s="3">
        <f t="shared" si="97"/>
        <v>1.7765171530370429E-3</v>
      </c>
      <c r="L160" s="3">
        <f t="shared" si="97"/>
        <v>1.7765171530370429E-3</v>
      </c>
      <c r="M160" s="3">
        <f t="shared" si="97"/>
        <v>1.7765171530370429E-3</v>
      </c>
      <c r="N160" s="3">
        <f t="shared" si="97"/>
        <v>1.7765171530370429E-3</v>
      </c>
      <c r="O160" s="3">
        <f t="shared" si="97"/>
        <v>1.7765171530370429E-3</v>
      </c>
      <c r="P160" s="3">
        <f t="shared" si="97"/>
        <v>1.7765171530370429E-3</v>
      </c>
      <c r="Q160" s="3">
        <f t="shared" si="97"/>
        <v>1.7765171530370429E-3</v>
      </c>
      <c r="R160" s="3">
        <f t="shared" si="97"/>
        <v>1.7765171530370429E-3</v>
      </c>
      <c r="S160" s="3">
        <f t="shared" si="97"/>
        <v>1.7765171530370429E-3</v>
      </c>
      <c r="T160" s="3">
        <f t="shared" si="97"/>
        <v>1.7765171530370427E-3</v>
      </c>
      <c r="U160" s="3">
        <f t="shared" si="97"/>
        <v>1.7765171530370405E-3</v>
      </c>
      <c r="V160" s="3">
        <f t="shared" si="97"/>
        <v>1.7765171530370188E-3</v>
      </c>
      <c r="W160" s="3">
        <f t="shared" si="97"/>
        <v>1.7765171530368018E-3</v>
      </c>
      <c r="X160" s="3">
        <f t="shared" si="97"/>
        <v>1.7765171530346299E-3</v>
      </c>
      <c r="Y160" s="3">
        <f t="shared" si="97"/>
        <v>1.7765171530129127E-3</v>
      </c>
      <c r="Z160" s="3">
        <f t="shared" si="97"/>
        <v>1.7765171527957396E-3</v>
      </c>
      <c r="AA160" s="3">
        <f t="shared" ref="AA160:AF160" si="98">$C46*EXP(-AA$129/$A46/EXP(-$B$126))</f>
        <v>1.776517150624009E-3</v>
      </c>
      <c r="AB160" s="3">
        <f t="shared" si="98"/>
        <v>1.7765171289067022E-3</v>
      </c>
      <c r="AC160" s="3">
        <f t="shared" si="98"/>
        <v>1.7765169117336509E-3</v>
      </c>
      <c r="AD160" s="3">
        <f t="shared" si="98"/>
        <v>1.7765147400045976E-3</v>
      </c>
      <c r="AE160" s="3">
        <f t="shared" si="98"/>
        <v>1.7764930228600828E-3</v>
      </c>
      <c r="AF160" s="3">
        <f t="shared" si="98"/>
        <v>1.7762758660159607E-3</v>
      </c>
    </row>
    <row r="161" spans="1:34" x14ac:dyDescent="0.25">
      <c r="A161" s="11" t="s">
        <v>75</v>
      </c>
      <c r="B161" s="3">
        <f t="shared" ref="B161:Z161" si="99">$C47*EXP(-B$129/$A47/EXP(-$B$126))</f>
        <v>1.0980455611403293E-3</v>
      </c>
      <c r="C161" s="3">
        <f t="shared" si="99"/>
        <v>1.0980455611403293E-3</v>
      </c>
      <c r="D161" s="3">
        <f t="shared" si="99"/>
        <v>1.0980455611403293E-3</v>
      </c>
      <c r="E161" s="3">
        <f t="shared" si="99"/>
        <v>1.0980455611403293E-3</v>
      </c>
      <c r="F161" s="3">
        <f t="shared" si="99"/>
        <v>1.0980455611403293E-3</v>
      </c>
      <c r="G161" s="3">
        <f t="shared" si="99"/>
        <v>1.0980455611403293E-3</v>
      </c>
      <c r="H161" s="3">
        <f t="shared" si="99"/>
        <v>1.0980455611403293E-3</v>
      </c>
      <c r="I161" s="3">
        <f t="shared" si="99"/>
        <v>1.0980455611403293E-3</v>
      </c>
      <c r="J161" s="3">
        <f t="shared" si="99"/>
        <v>1.0980455611403293E-3</v>
      </c>
      <c r="K161" s="3">
        <f t="shared" si="99"/>
        <v>1.0980455611403293E-3</v>
      </c>
      <c r="L161" s="3">
        <f t="shared" si="99"/>
        <v>1.0980455611403293E-3</v>
      </c>
      <c r="M161" s="3">
        <f t="shared" si="99"/>
        <v>1.0980455611403293E-3</v>
      </c>
      <c r="N161" s="3">
        <f t="shared" si="99"/>
        <v>1.0980455611403293E-3</v>
      </c>
      <c r="O161" s="3">
        <f t="shared" si="99"/>
        <v>1.0980455611403293E-3</v>
      </c>
      <c r="P161" s="3">
        <f t="shared" si="99"/>
        <v>1.0980455611403293E-3</v>
      </c>
      <c r="Q161" s="3">
        <f t="shared" si="99"/>
        <v>1.0980455611403293E-3</v>
      </c>
      <c r="R161" s="3">
        <f t="shared" si="99"/>
        <v>1.0980455611403293E-3</v>
      </c>
      <c r="S161" s="3">
        <f t="shared" si="99"/>
        <v>1.0980455611403293E-3</v>
      </c>
      <c r="T161" s="3">
        <f t="shared" si="99"/>
        <v>1.0980455611403293E-3</v>
      </c>
      <c r="U161" s="3">
        <f t="shared" si="99"/>
        <v>1.098045561140329E-3</v>
      </c>
      <c r="V161" s="3">
        <f t="shared" si="99"/>
        <v>1.0980455611403277E-3</v>
      </c>
      <c r="W161" s="3">
        <f t="shared" si="99"/>
        <v>1.0980455611403143E-3</v>
      </c>
      <c r="X161" s="3">
        <f t="shared" si="99"/>
        <v>1.0980455611401801E-3</v>
      </c>
      <c r="Y161" s="3">
        <f t="shared" si="99"/>
        <v>1.0980455611388378E-3</v>
      </c>
      <c r="Z161" s="3">
        <f t="shared" si="99"/>
        <v>1.0980455611254145E-3</v>
      </c>
      <c r="AA161" s="3">
        <f t="shared" ref="AA161:AF161" si="100">$C47*EXP(-AA$129/$A47/EXP(-$B$126))</f>
        <v>1.0980455609911823E-3</v>
      </c>
      <c r="AB161" s="3">
        <f t="shared" si="100"/>
        <v>1.0980455596488598E-3</v>
      </c>
      <c r="AC161" s="3">
        <f t="shared" si="100"/>
        <v>1.0980455462256331E-3</v>
      </c>
      <c r="AD161" s="3">
        <f t="shared" si="100"/>
        <v>1.0980454119933773E-3</v>
      </c>
      <c r="AE161" s="3">
        <f t="shared" si="100"/>
        <v>1.0980440696717214E-3</v>
      </c>
      <c r="AF161" s="3">
        <f t="shared" si="100"/>
        <v>1.0980306465454123E-3</v>
      </c>
    </row>
    <row r="162" spans="1:34" x14ac:dyDescent="0.25">
      <c r="B162" s="3">
        <f t="shared" ref="B162:Z162" si="101">$C48*EXP(-B$129/$A48/EXP(-$B$126))</f>
        <v>1.9170213005477699E-3</v>
      </c>
      <c r="C162" s="3">
        <f t="shared" si="101"/>
        <v>1.9170213005477699E-3</v>
      </c>
      <c r="D162" s="3">
        <f t="shared" si="101"/>
        <v>1.9170213005477699E-3</v>
      </c>
      <c r="E162" s="3">
        <f t="shared" si="101"/>
        <v>1.9170213005477699E-3</v>
      </c>
      <c r="F162" s="3">
        <f t="shared" si="101"/>
        <v>1.9170213005477699E-3</v>
      </c>
      <c r="G162" s="3">
        <f t="shared" si="101"/>
        <v>1.9170213005477699E-3</v>
      </c>
      <c r="H162" s="3">
        <f t="shared" si="101"/>
        <v>1.9170213005477699E-3</v>
      </c>
      <c r="I162" s="3">
        <f t="shared" si="101"/>
        <v>1.9170213005477699E-3</v>
      </c>
      <c r="J162" s="3">
        <f t="shared" si="101"/>
        <v>1.9170213005477699E-3</v>
      </c>
      <c r="K162" s="3">
        <f t="shared" si="101"/>
        <v>1.9170213005477699E-3</v>
      </c>
      <c r="L162" s="3">
        <f t="shared" si="101"/>
        <v>1.9170213005477699E-3</v>
      </c>
      <c r="M162" s="3">
        <f t="shared" si="101"/>
        <v>1.9170213005477699E-3</v>
      </c>
      <c r="N162" s="3">
        <f t="shared" si="101"/>
        <v>1.9170213005477699E-3</v>
      </c>
      <c r="O162" s="3">
        <f t="shared" si="101"/>
        <v>1.9170213005477699E-3</v>
      </c>
      <c r="P162" s="3">
        <f t="shared" si="101"/>
        <v>1.9170213005477699E-3</v>
      </c>
      <c r="Q162" s="3">
        <f t="shared" si="101"/>
        <v>1.9170213005477699E-3</v>
      </c>
      <c r="R162" s="3">
        <f t="shared" si="101"/>
        <v>1.9170213005477699E-3</v>
      </c>
      <c r="S162" s="3">
        <f t="shared" si="101"/>
        <v>1.9170213005477699E-3</v>
      </c>
      <c r="T162" s="3">
        <f t="shared" si="101"/>
        <v>1.9170213005477699E-3</v>
      </c>
      <c r="U162" s="3">
        <f t="shared" si="101"/>
        <v>1.9170213005477699E-3</v>
      </c>
      <c r="V162" s="3">
        <f t="shared" si="101"/>
        <v>1.9170213005477697E-3</v>
      </c>
      <c r="W162" s="3">
        <f t="shared" si="101"/>
        <v>1.9170213005477673E-3</v>
      </c>
      <c r="X162" s="3">
        <f t="shared" si="101"/>
        <v>1.9170213005477439E-3</v>
      </c>
      <c r="Y162" s="3">
        <f t="shared" si="101"/>
        <v>1.9170213005475097E-3</v>
      </c>
      <c r="Z162" s="3">
        <f t="shared" si="101"/>
        <v>1.9170213005451661E-3</v>
      </c>
      <c r="AA162" s="3">
        <f t="shared" ref="AA162:AF162" si="102">$C48*EXP(-AA$129/$A48/EXP(-$B$126))</f>
        <v>1.9170213005217313E-3</v>
      </c>
      <c r="AB162" s="3">
        <f t="shared" si="102"/>
        <v>1.9170213002873819E-3</v>
      </c>
      <c r="AC162" s="3">
        <f t="shared" si="102"/>
        <v>1.9170212979438899E-3</v>
      </c>
      <c r="AD162" s="3">
        <f t="shared" si="102"/>
        <v>1.9170212745089686E-3</v>
      </c>
      <c r="AE162" s="3">
        <f t="shared" si="102"/>
        <v>1.9170210401597734E-3</v>
      </c>
      <c r="AF162" s="3">
        <f t="shared" si="102"/>
        <v>1.9170186966693957E-3</v>
      </c>
    </row>
    <row r="163" spans="1:34" x14ac:dyDescent="0.25">
      <c r="A163" s="79">
        <f>AVERAGE(B163:AF163)</f>
        <v>5.2677431017245827E-2</v>
      </c>
      <c r="B163" s="80">
        <f>IF($A$64&lt;=B129,IF($B$64&gt;=B129,ABS((B131-B130)/B130),0),0)</f>
        <v>8.1527783807176665E-2</v>
      </c>
      <c r="C163" s="80">
        <f t="shared" ref="C163:AF163" si="103">IF($A$64&lt;=C129,IF($B$64&gt;=C129,ABS((C131-C130)/C130),0),0)</f>
        <v>9.7573457863902729E-2</v>
      </c>
      <c r="D163" s="80">
        <f t="shared" si="103"/>
        <v>7.6556342075046163E-2</v>
      </c>
      <c r="E163" s="80">
        <f t="shared" si="103"/>
        <v>6.068755148142016E-2</v>
      </c>
      <c r="F163" s="80">
        <f t="shared" si="103"/>
        <v>4.5401371649057831E-2</v>
      </c>
      <c r="G163" s="80">
        <f t="shared" si="103"/>
        <v>2.9177756275941984E-2</v>
      </c>
      <c r="H163" s="80">
        <f t="shared" si="103"/>
        <v>2.0952141119622823E-2</v>
      </c>
      <c r="I163" s="80">
        <f t="shared" si="103"/>
        <v>3.1142133596688482E-2</v>
      </c>
      <c r="J163" s="80">
        <f t="shared" si="103"/>
        <v>2.7560055367044048E-2</v>
      </c>
      <c r="K163" s="80">
        <f t="shared" si="103"/>
        <v>2.781384579444968E-2</v>
      </c>
      <c r="L163" s="80">
        <f t="shared" si="103"/>
        <v>2.8248224219811977E-2</v>
      </c>
      <c r="M163" s="80">
        <f t="shared" si="103"/>
        <v>2.720432843114625E-2</v>
      </c>
      <c r="N163" s="80">
        <f t="shared" si="103"/>
        <v>2.6194860483390509E-2</v>
      </c>
      <c r="O163" s="80">
        <f t="shared" si="103"/>
        <v>2.5400841998337864E-2</v>
      </c>
      <c r="P163" s="80">
        <f t="shared" si="103"/>
        <v>2.5482692449418375E-2</v>
      </c>
      <c r="Q163" s="80">
        <f t="shared" si="103"/>
        <v>2.6609874133331188E-2</v>
      </c>
      <c r="R163" s="80">
        <f t="shared" si="103"/>
        <v>2.4464265106583564E-2</v>
      </c>
      <c r="S163" s="80">
        <f t="shared" si="103"/>
        <v>2.6268551294470199E-2</v>
      </c>
      <c r="T163" s="80">
        <f t="shared" si="103"/>
        <v>2.1789348140633078E-2</v>
      </c>
      <c r="U163" s="80">
        <f t="shared" si="103"/>
        <v>2.154767693356132E-2</v>
      </c>
      <c r="V163" s="80">
        <f t="shared" si="103"/>
        <v>8.774655152575592E-3</v>
      </c>
      <c r="W163" s="80">
        <f t="shared" si="103"/>
        <v>7.6160895371648135E-2</v>
      </c>
      <c r="X163" s="80">
        <f t="shared" si="103"/>
        <v>0.12622331662565198</v>
      </c>
      <c r="Y163" s="80">
        <f t="shared" si="103"/>
        <v>0.12024057532336192</v>
      </c>
      <c r="Z163" s="80">
        <f t="shared" si="103"/>
        <v>0.10658851865425445</v>
      </c>
      <c r="AA163" s="80">
        <f t="shared" si="103"/>
        <v>9.5470585484209003E-2</v>
      </c>
      <c r="AB163" s="80">
        <f t="shared" si="103"/>
        <v>0.11241212174171511</v>
      </c>
      <c r="AC163" s="80">
        <f t="shared" si="103"/>
        <v>7.6063696595803296E-2</v>
      </c>
      <c r="AD163" s="80">
        <f t="shared" si="103"/>
        <v>8.0332006645434426E-2</v>
      </c>
      <c r="AE163" s="80">
        <f t="shared" si="103"/>
        <v>4.4536477408687707E-2</v>
      </c>
      <c r="AF163" s="80">
        <f t="shared" si="103"/>
        <v>3.4594410310244184E-2</v>
      </c>
    </row>
    <row r="164" spans="1:34" x14ac:dyDescent="0.25">
      <c r="B164" s="21">
        <f>(B131-B130)^2</f>
        <v>895212.3565435725</v>
      </c>
      <c r="C164" s="21">
        <f t="shared" ref="C164:AF164" si="104">(C131-C130)^2</f>
        <v>1264646.2690614313</v>
      </c>
      <c r="D164" s="21">
        <f t="shared" si="104"/>
        <v>743480.68293283763</v>
      </c>
      <c r="E164" s="21">
        <f t="shared" si="104"/>
        <v>451539.54594092001</v>
      </c>
      <c r="F164" s="21">
        <f t="shared" si="104"/>
        <v>244623.9264838961</v>
      </c>
      <c r="G164" s="21">
        <f t="shared" si="104"/>
        <v>97432.432375382923</v>
      </c>
      <c r="H164" s="21">
        <f t="shared" si="104"/>
        <v>48316.728689811272</v>
      </c>
      <c r="I164" s="21">
        <f t="shared" si="104"/>
        <v>101963.23526538562</v>
      </c>
      <c r="J164" s="21">
        <f t="shared" si="104"/>
        <v>75805.283093890961</v>
      </c>
      <c r="K164" s="21">
        <f t="shared" si="104"/>
        <v>73104.641674432758</v>
      </c>
      <c r="L164" s="21">
        <f t="shared" si="104"/>
        <v>71369.685572482689</v>
      </c>
      <c r="M164" s="21">
        <f t="shared" si="104"/>
        <v>62597.894075144075</v>
      </c>
      <c r="N164" s="21">
        <f t="shared" si="104"/>
        <v>53782.802988570147</v>
      </c>
      <c r="O164" s="21">
        <f t="shared" si="104"/>
        <v>46395.856351391878</v>
      </c>
      <c r="P164" s="21">
        <f t="shared" si="104"/>
        <v>42910.265461057672</v>
      </c>
      <c r="Q164" s="21">
        <f t="shared" si="104"/>
        <v>43595.025630063472</v>
      </c>
      <c r="R164" s="21">
        <f t="shared" si="104"/>
        <v>34155.403000202255</v>
      </c>
      <c r="S164" s="21">
        <f t="shared" si="104"/>
        <v>36485.135240464871</v>
      </c>
      <c r="T164" s="21">
        <f t="shared" si="104"/>
        <v>23054.003673247786</v>
      </c>
      <c r="U164" s="21">
        <f t="shared" si="104"/>
        <v>20599.280115059344</v>
      </c>
      <c r="V164" s="21">
        <f t="shared" si="104"/>
        <v>2883.9030996253482</v>
      </c>
      <c r="W164" s="21">
        <f t="shared" si="104"/>
        <v>155627.19847464503</v>
      </c>
      <c r="X164" s="21">
        <f t="shared" si="104"/>
        <v>269189.1196581276</v>
      </c>
      <c r="Y164" s="21">
        <f t="shared" si="104"/>
        <v>152248.55782124799</v>
      </c>
      <c r="Z164" s="21">
        <f t="shared" si="104"/>
        <v>73523.920085299731</v>
      </c>
      <c r="AA164" s="21">
        <f t="shared" si="104"/>
        <v>34465.494176050044</v>
      </c>
      <c r="AB164" s="21">
        <f t="shared" si="104"/>
        <v>24655.770006003851</v>
      </c>
      <c r="AC164" s="21">
        <f t="shared" si="104"/>
        <v>5580.7100595785032</v>
      </c>
      <c r="AD164" s="21">
        <f t="shared" si="104"/>
        <v>3063.79739799552</v>
      </c>
      <c r="AE164" s="21">
        <f t="shared" si="104"/>
        <v>572.05771059275116</v>
      </c>
      <c r="AF164" s="21">
        <f t="shared" si="104"/>
        <v>244.87380614710989</v>
      </c>
    </row>
    <row r="165" spans="1:34" x14ac:dyDescent="0.25">
      <c r="A165" s="71">
        <f>SUM(B165:AF165)</f>
        <v>5153125.8564645573</v>
      </c>
      <c r="B165" s="60">
        <f>IF($A$64&lt;=B129,IF($B$64&gt;=B129,ABS(B164),0),0)</f>
        <v>895212.3565435725</v>
      </c>
      <c r="C165" s="60">
        <f t="shared" ref="C165:AF165" si="105">IF($A$64&lt;=C129,IF($B$64&gt;=C129,ABS(C164),0),0)</f>
        <v>1264646.2690614313</v>
      </c>
      <c r="D165" s="60">
        <f t="shared" si="105"/>
        <v>743480.68293283763</v>
      </c>
      <c r="E165" s="60">
        <f t="shared" si="105"/>
        <v>451539.54594092001</v>
      </c>
      <c r="F165" s="60">
        <f t="shared" si="105"/>
        <v>244623.9264838961</v>
      </c>
      <c r="G165" s="60">
        <f t="shared" si="105"/>
        <v>97432.432375382923</v>
      </c>
      <c r="H165" s="60">
        <f t="shared" si="105"/>
        <v>48316.728689811272</v>
      </c>
      <c r="I165" s="60">
        <f t="shared" si="105"/>
        <v>101963.23526538562</v>
      </c>
      <c r="J165" s="60">
        <f t="shared" si="105"/>
        <v>75805.283093890961</v>
      </c>
      <c r="K165" s="60">
        <f t="shared" si="105"/>
        <v>73104.641674432758</v>
      </c>
      <c r="L165" s="60">
        <f t="shared" si="105"/>
        <v>71369.685572482689</v>
      </c>
      <c r="M165" s="60">
        <f t="shared" si="105"/>
        <v>62597.894075144075</v>
      </c>
      <c r="N165" s="60">
        <f t="shared" si="105"/>
        <v>53782.802988570147</v>
      </c>
      <c r="O165" s="60">
        <f t="shared" si="105"/>
        <v>46395.856351391878</v>
      </c>
      <c r="P165" s="60">
        <f t="shared" si="105"/>
        <v>42910.265461057672</v>
      </c>
      <c r="Q165" s="60">
        <f t="shared" si="105"/>
        <v>43595.025630063472</v>
      </c>
      <c r="R165" s="60">
        <f t="shared" si="105"/>
        <v>34155.403000202255</v>
      </c>
      <c r="S165" s="60">
        <f t="shared" si="105"/>
        <v>36485.135240464871</v>
      </c>
      <c r="T165" s="60">
        <f t="shared" si="105"/>
        <v>23054.003673247786</v>
      </c>
      <c r="U165" s="60">
        <f t="shared" si="105"/>
        <v>20599.280115059344</v>
      </c>
      <c r="V165" s="60">
        <f t="shared" si="105"/>
        <v>2883.9030996253482</v>
      </c>
      <c r="W165" s="60">
        <f t="shared" si="105"/>
        <v>155627.19847464503</v>
      </c>
      <c r="X165" s="60">
        <f t="shared" si="105"/>
        <v>269189.1196581276</v>
      </c>
      <c r="Y165" s="60">
        <f t="shared" si="105"/>
        <v>152248.55782124799</v>
      </c>
      <c r="Z165" s="60">
        <f t="shared" si="105"/>
        <v>73523.920085299731</v>
      </c>
      <c r="AA165" s="60">
        <f t="shared" si="105"/>
        <v>34465.494176050044</v>
      </c>
      <c r="AB165" s="60">
        <f t="shared" si="105"/>
        <v>24655.770006003851</v>
      </c>
      <c r="AC165" s="60">
        <f t="shared" si="105"/>
        <v>5580.7100595785032</v>
      </c>
      <c r="AD165" s="60">
        <f t="shared" si="105"/>
        <v>3063.79739799552</v>
      </c>
      <c r="AE165" s="60">
        <f t="shared" si="105"/>
        <v>572.05771059275116</v>
      </c>
      <c r="AF165" s="60">
        <f t="shared" si="105"/>
        <v>244.87380614710989</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10400.743366449364</v>
      </c>
      <c r="C170" s="27">
        <f t="shared" ref="C170:AF170" si="106">($C$17+SUM(C171:C201))*$B$51</f>
        <v>10400.67270725669</v>
      </c>
      <c r="D170" s="27">
        <f t="shared" si="106"/>
        <v>10399.966715851157</v>
      </c>
      <c r="E170" s="27">
        <f t="shared" si="106"/>
        <v>10392.966497582023</v>
      </c>
      <c r="F170" s="27">
        <f t="shared" si="106"/>
        <v>10328.59300900726</v>
      </c>
      <c r="G170" s="27">
        <f t="shared" si="106"/>
        <v>10018.771935586863</v>
      </c>
      <c r="H170" s="27">
        <f t="shared" si="106"/>
        <v>9780.5056773286833</v>
      </c>
      <c r="I170" s="27">
        <f t="shared" si="106"/>
        <v>9530.3626489327035</v>
      </c>
      <c r="J170" s="27">
        <f t="shared" si="106"/>
        <v>9268.3387060774439</v>
      </c>
      <c r="K170" s="27">
        <f t="shared" si="106"/>
        <v>9026.4123151612839</v>
      </c>
      <c r="L170" s="27">
        <f t="shared" si="106"/>
        <v>8729.9638268335475</v>
      </c>
      <c r="M170" s="27">
        <f t="shared" si="106"/>
        <v>8379.8891117191724</v>
      </c>
      <c r="N170" s="27">
        <f t="shared" si="106"/>
        <v>8028.9365730958916</v>
      </c>
      <c r="O170" s="27">
        <f t="shared" si="106"/>
        <v>7723.1227960853985</v>
      </c>
      <c r="P170" s="27">
        <f t="shared" si="106"/>
        <v>7454.6448247598255</v>
      </c>
      <c r="Q170" s="27">
        <f t="shared" si="106"/>
        <v>7171.902233558254</v>
      </c>
      <c r="R170" s="27">
        <f t="shared" si="106"/>
        <v>6891.0967266528787</v>
      </c>
      <c r="S170" s="27">
        <f t="shared" si="106"/>
        <v>6614.9644356896752</v>
      </c>
      <c r="T170" s="27">
        <f t="shared" si="106"/>
        <v>6275.4920495098568</v>
      </c>
      <c r="U170" s="27">
        <f t="shared" si="106"/>
        <v>5799.3316492159511</v>
      </c>
      <c r="V170" s="27">
        <f t="shared" si="106"/>
        <v>4907.4158088764843</v>
      </c>
      <c r="W170" s="27">
        <f t="shared" si="106"/>
        <v>3871.3265512129819</v>
      </c>
      <c r="X170" s="27">
        <f t="shared" si="106"/>
        <v>2999.3203942477799</v>
      </c>
      <c r="Y170" s="27">
        <f t="shared" si="106"/>
        <v>2298.2739378772171</v>
      </c>
      <c r="Z170" s="27">
        <f t="shared" si="106"/>
        <v>1671.3369919755753</v>
      </c>
      <c r="AA170" s="27">
        <f t="shared" si="106"/>
        <v>1206.1569849999423</v>
      </c>
      <c r="AB170" s="27">
        <f t="shared" si="106"/>
        <v>821.51385192096814</v>
      </c>
      <c r="AC170" s="27">
        <f t="shared" si="106"/>
        <v>605.89008662690048</v>
      </c>
      <c r="AD170" s="27">
        <f t="shared" si="106"/>
        <v>488.08131375357704</v>
      </c>
      <c r="AE170" s="27">
        <f t="shared" si="106"/>
        <v>433.86259223696163</v>
      </c>
      <c r="AF170" s="27">
        <f t="shared" si="106"/>
        <v>402.598778902871</v>
      </c>
      <c r="AG170" s="27"/>
      <c r="AH170" s="27"/>
    </row>
    <row r="171" spans="1:34" x14ac:dyDescent="0.25">
      <c r="B171" s="3">
        <f t="shared" ref="B171:AF171" si="107">$C18*EXP(-B$168/$A18/EXP(-$C$126))</f>
        <v>3.1110835824805107E-32</v>
      </c>
      <c r="C171" s="3">
        <f t="shared" si="107"/>
        <v>2.6500171018749493E-306</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3.6511603785571937E-2</v>
      </c>
      <c r="C172" s="3">
        <f t="shared" si="108"/>
        <v>3.6505702123022697E-2</v>
      </c>
      <c r="D172" s="3">
        <f t="shared" si="108"/>
        <v>3.6446737938407456E-2</v>
      </c>
      <c r="E172" s="3">
        <f t="shared" si="108"/>
        <v>3.5862308949782401E-2</v>
      </c>
      <c r="F172" s="3">
        <f t="shared" si="108"/>
        <v>3.0509429229613402E-2</v>
      </c>
      <c r="G172" s="3">
        <f t="shared" si="108"/>
        <v>6.0588811843393531E-3</v>
      </c>
      <c r="H172" s="3">
        <f t="shared" si="108"/>
        <v>5.7806405700242201E-10</v>
      </c>
      <c r="I172" s="3">
        <f t="shared" si="108"/>
        <v>3.612528417995661E-80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1.7689818392497832E-2</v>
      </c>
      <c r="C173" s="3">
        <f t="shared" si="109"/>
        <v>1.7689560436658227E-2</v>
      </c>
      <c r="D173" s="3">
        <f t="shared" si="109"/>
        <v>1.7686981085138623E-2</v>
      </c>
      <c r="E173" s="3">
        <f t="shared" si="109"/>
        <v>1.7661208246429517E-2</v>
      </c>
      <c r="F173" s="3">
        <f t="shared" si="109"/>
        <v>1.7405536395538518E-2</v>
      </c>
      <c r="G173" s="3">
        <f t="shared" si="109"/>
        <v>1.5043795277720208E-2</v>
      </c>
      <c r="H173" s="3">
        <f t="shared" si="109"/>
        <v>3.4999145799416809E-3</v>
      </c>
      <c r="I173" s="3">
        <f t="shared" si="109"/>
        <v>1.6257649155438359E-9</v>
      </c>
      <c r="J173" s="3">
        <f t="shared" si="109"/>
        <v>7.6043267344687377E-73</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2.4471338469131378E-2</v>
      </c>
      <c r="C174" s="3">
        <f t="shared" si="110"/>
        <v>2.4471306278522956E-2</v>
      </c>
      <c r="D174" s="3">
        <f t="shared" si="110"/>
        <v>2.4470984374767694E-2</v>
      </c>
      <c r="E174" s="3">
        <f t="shared" si="110"/>
        <v>2.4467765570099526E-2</v>
      </c>
      <c r="F174" s="3">
        <f t="shared" si="110"/>
        <v>2.4435600800531688E-2</v>
      </c>
      <c r="G174" s="3">
        <f t="shared" si="110"/>
        <v>2.4116269526703454E-2</v>
      </c>
      <c r="H174" s="3">
        <f t="shared" si="110"/>
        <v>2.1143710467581813E-2</v>
      </c>
      <c r="I174" s="3">
        <f t="shared" si="110"/>
        <v>5.6740341444316347E-3</v>
      </c>
      <c r="J174" s="3">
        <f t="shared" si="110"/>
        <v>1.0990042265762268E-8</v>
      </c>
      <c r="K174" s="3">
        <f t="shared" si="110"/>
        <v>8.1672065677916818E-66</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2.4619153153558691E-2</v>
      </c>
      <c r="C175" s="3">
        <f t="shared" si="111"/>
        <v>2.4619150232156019E-2</v>
      </c>
      <c r="D175" s="3">
        <f t="shared" si="111"/>
        <v>2.4619121018148369E-2</v>
      </c>
      <c r="E175" s="3">
        <f t="shared" si="111"/>
        <v>2.4618828879978485E-2</v>
      </c>
      <c r="F175" s="3">
        <f t="shared" si="111"/>
        <v>2.4615907688936022E-2</v>
      </c>
      <c r="G175" s="3">
        <f t="shared" si="111"/>
        <v>2.4586714835779067E-2</v>
      </c>
      <c r="H175" s="3">
        <f t="shared" si="111"/>
        <v>2.4296683690256862E-2</v>
      </c>
      <c r="I175" s="3">
        <f t="shared" si="111"/>
        <v>2.1578038122352938E-2</v>
      </c>
      <c r="J175" s="3">
        <f t="shared" si="111"/>
        <v>6.5866034672146228E-3</v>
      </c>
      <c r="K175" s="3">
        <f t="shared" si="111"/>
        <v>4.6254835667887752E-8</v>
      </c>
      <c r="L175" s="3">
        <f t="shared" si="111"/>
        <v>1.349315103273686E-59</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1.9768716134304313E-2</v>
      </c>
      <c r="C176" s="3">
        <f t="shared" si="112"/>
        <v>1.9768715922690801E-2</v>
      </c>
      <c r="D176" s="3">
        <f t="shared" si="112"/>
        <v>1.9768713806555822E-2</v>
      </c>
      <c r="E176" s="3">
        <f t="shared" si="112"/>
        <v>1.9768692645218484E-2</v>
      </c>
      <c r="F176" s="3">
        <f t="shared" si="112"/>
        <v>1.9768481033090944E-2</v>
      </c>
      <c r="G176" s="3">
        <f t="shared" si="112"/>
        <v>1.9766365036396574E-2</v>
      </c>
      <c r="H176" s="3">
        <f t="shared" si="112"/>
        <v>1.9745217522622614E-2</v>
      </c>
      <c r="I176" s="3">
        <f t="shared" si="112"/>
        <v>1.9534982783679818E-2</v>
      </c>
      <c r="J176" s="3">
        <f t="shared" si="112"/>
        <v>1.755190000590616E-2</v>
      </c>
      <c r="K176" s="3">
        <f t="shared" si="112"/>
        <v>6.0177642269215043E-3</v>
      </c>
      <c r="L176" s="3">
        <f t="shared" si="112"/>
        <v>1.3506582971032454E-7</v>
      </c>
      <c r="M176" s="3">
        <f t="shared" si="112"/>
        <v>4.3817613061705838E-54</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3.0447866730560505E-2</v>
      </c>
      <c r="C177" s="3">
        <f t="shared" si="113"/>
        <v>3.0447866701159079E-2</v>
      </c>
      <c r="D177" s="3">
        <f t="shared" si="113"/>
        <v>3.0447866407144825E-2</v>
      </c>
      <c r="E177" s="3">
        <f t="shared" si="113"/>
        <v>3.0447863467002432E-2</v>
      </c>
      <c r="F177" s="3">
        <f t="shared" si="113"/>
        <v>3.0447834065594107E-2</v>
      </c>
      <c r="G177" s="3">
        <f t="shared" si="113"/>
        <v>3.0447540053072385E-2</v>
      </c>
      <c r="H177" s="3">
        <f t="shared" si="113"/>
        <v>3.0444600083999161E-2</v>
      </c>
      <c r="I177" s="3">
        <f t="shared" si="113"/>
        <v>3.0415216002091672E-2</v>
      </c>
      <c r="J177" s="3">
        <f t="shared" si="113"/>
        <v>3.0122930503087796E-2</v>
      </c>
      <c r="K177" s="3">
        <f t="shared" si="113"/>
        <v>2.7350191243336121E-2</v>
      </c>
      <c r="L177" s="3">
        <f t="shared" si="113"/>
        <v>1.0413383039158838E-2</v>
      </c>
      <c r="M177" s="3">
        <f t="shared" si="113"/>
        <v>6.6666338639677021E-7</v>
      </c>
      <c r="N177" s="3">
        <f t="shared" si="113"/>
        <v>7.7099970068572529E-49</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3.3440430423575973E-2</v>
      </c>
      <c r="C178" s="3">
        <f t="shared" si="114"/>
        <v>3.3440430420663039E-2</v>
      </c>
      <c r="D178" s="3">
        <f t="shared" si="114"/>
        <v>3.344043039153375E-2</v>
      </c>
      <c r="E178" s="3">
        <f t="shared" si="114"/>
        <v>3.3440430100240802E-2</v>
      </c>
      <c r="F178" s="3">
        <f t="shared" si="114"/>
        <v>3.3440427187311488E-2</v>
      </c>
      <c r="G178" s="3">
        <f t="shared" si="114"/>
        <v>3.3440398058032283E-2</v>
      </c>
      <c r="H178" s="3">
        <f t="shared" si="114"/>
        <v>3.3440106766635835E-2</v>
      </c>
      <c r="I178" s="3">
        <f t="shared" si="114"/>
        <v>3.3437193992223051E-2</v>
      </c>
      <c r="J178" s="3">
        <f t="shared" si="114"/>
        <v>3.3408080198771235E-2</v>
      </c>
      <c r="K178" s="3">
        <f t="shared" si="114"/>
        <v>3.3118332846018138E-2</v>
      </c>
      <c r="L178" s="3">
        <f t="shared" si="114"/>
        <v>3.035553817508603E-2</v>
      </c>
      <c r="M178" s="3">
        <f t="shared" si="114"/>
        <v>1.2703770523512865E-2</v>
      </c>
      <c r="N178" s="3">
        <f t="shared" si="114"/>
        <v>2.0935323358448387E-6</v>
      </c>
      <c r="O178" s="3">
        <f t="shared" si="114"/>
        <v>3.0927869434111524E-44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3.2526067404714094E-2</v>
      </c>
      <c r="C179" s="3">
        <f t="shared" si="115"/>
        <v>3.2526067404458507E-2</v>
      </c>
      <c r="D179" s="3">
        <f t="shared" si="115"/>
        <v>3.2526067401902656E-2</v>
      </c>
      <c r="E179" s="3">
        <f t="shared" si="115"/>
        <v>3.2526067376344101E-2</v>
      </c>
      <c r="F179" s="3">
        <f t="shared" si="115"/>
        <v>3.2526067120758576E-2</v>
      </c>
      <c r="G179" s="3">
        <f t="shared" si="115"/>
        <v>3.2526064564903423E-2</v>
      </c>
      <c r="H179" s="3">
        <f t="shared" si="115"/>
        <v>3.2526039006362889E-2</v>
      </c>
      <c r="I179" s="3">
        <f t="shared" si="115"/>
        <v>3.2525783422062166E-2</v>
      </c>
      <c r="J179" s="3">
        <f t="shared" si="115"/>
        <v>3.252322768951102E-2</v>
      </c>
      <c r="K179" s="3">
        <f t="shared" si="115"/>
        <v>3.2497681406396688E-2</v>
      </c>
      <c r="L179" s="3">
        <f t="shared" si="115"/>
        <v>3.2243319611223606E-2</v>
      </c>
      <c r="M179" s="3">
        <f t="shared" si="115"/>
        <v>2.980667026678965E-2</v>
      </c>
      <c r="N179" s="3">
        <f t="shared" si="115"/>
        <v>1.3584717567780303E-2</v>
      </c>
      <c r="O179" s="3">
        <f t="shared" si="115"/>
        <v>5.2531780116167703E-6</v>
      </c>
      <c r="P179" s="3">
        <f t="shared" si="115"/>
        <v>3.9276895981390963E-40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2.4652946238731821E-2</v>
      </c>
      <c r="C180" s="3">
        <f t="shared" si="116"/>
        <v>2.4652946238714345E-2</v>
      </c>
      <c r="D180" s="3">
        <f t="shared" si="116"/>
        <v>2.4652946238539593E-2</v>
      </c>
      <c r="E180" s="3">
        <f t="shared" si="116"/>
        <v>2.4652946236792081E-2</v>
      </c>
      <c r="F180" s="3">
        <f t="shared" si="116"/>
        <v>2.4652946219316962E-2</v>
      </c>
      <c r="G180" s="3">
        <f t="shared" si="116"/>
        <v>2.4652946044565784E-2</v>
      </c>
      <c r="H180" s="3">
        <f t="shared" si="116"/>
        <v>2.4652944297054041E-2</v>
      </c>
      <c r="I180" s="3">
        <f t="shared" si="116"/>
        <v>2.4652926821943446E-2</v>
      </c>
      <c r="J180" s="3">
        <f t="shared" si="116"/>
        <v>2.4652752071518763E-2</v>
      </c>
      <c r="K180" s="3">
        <f t="shared" si="116"/>
        <v>2.4651004635399296E-2</v>
      </c>
      <c r="L180" s="3">
        <f t="shared" si="116"/>
        <v>2.4633537085152417E-2</v>
      </c>
      <c r="M180" s="3">
        <f t="shared" si="116"/>
        <v>2.4459540894517989E-2</v>
      </c>
      <c r="N180" s="3">
        <f t="shared" si="116"/>
        <v>2.2785761800356616E-2</v>
      </c>
      <c r="O180" s="3">
        <f t="shared" si="116"/>
        <v>1.1215433698936164E-2</v>
      </c>
      <c r="P180" s="3">
        <f t="shared" si="116"/>
        <v>9.3614099848982027E-6</v>
      </c>
      <c r="Q180" s="3">
        <f t="shared" si="116"/>
        <v>1.5367145349869286E-36</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2.4121212123994651E-2</v>
      </c>
      <c r="C181" s="3">
        <f t="shared" si="117"/>
        <v>2.4121212123993107E-2</v>
      </c>
      <c r="D181" s="3">
        <f t="shared" si="117"/>
        <v>2.4121212123977685E-2</v>
      </c>
      <c r="E181" s="3">
        <f t="shared" si="117"/>
        <v>2.4121212123823444E-2</v>
      </c>
      <c r="F181" s="3">
        <f t="shared" si="117"/>
        <v>2.4121212122281042E-2</v>
      </c>
      <c r="G181" s="3">
        <f t="shared" si="117"/>
        <v>2.4121212106857044E-2</v>
      </c>
      <c r="H181" s="3">
        <f t="shared" si="117"/>
        <v>2.4121211952617048E-2</v>
      </c>
      <c r="I181" s="3">
        <f t="shared" si="117"/>
        <v>2.4121210410217125E-2</v>
      </c>
      <c r="J181" s="3">
        <f t="shared" si="117"/>
        <v>2.4121194986223338E-2</v>
      </c>
      <c r="K181" s="3">
        <f t="shared" si="117"/>
        <v>2.4121040746827908E-2</v>
      </c>
      <c r="L181" s="3">
        <f t="shared" si="117"/>
        <v>2.4119498407116927E-2</v>
      </c>
      <c r="M181" s="3">
        <f t="shared" si="117"/>
        <v>2.4104080433054793E-2</v>
      </c>
      <c r="N181" s="3">
        <f t="shared" si="117"/>
        <v>2.3950441716344372E-2</v>
      </c>
      <c r="O181" s="3">
        <f t="shared" si="117"/>
        <v>2.2466898521404825E-2</v>
      </c>
      <c r="P181" s="3">
        <f t="shared" si="117"/>
        <v>1.1853294798095231E-2</v>
      </c>
      <c r="Q181" s="3">
        <f t="shared" si="117"/>
        <v>1.9806088060114528E-5</v>
      </c>
      <c r="R181" s="3">
        <f t="shared" si="117"/>
        <v>3.360430402605527E-33</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2.8520624547313408E-2</v>
      </c>
      <c r="C182" s="3">
        <f t="shared" si="118"/>
        <v>2.8520624547313241E-2</v>
      </c>
      <c r="D182" s="3">
        <f t="shared" si="118"/>
        <v>2.8520624547311597E-2</v>
      </c>
      <c r="E182" s="3">
        <f t="shared" si="118"/>
        <v>2.8520624547295145E-2</v>
      </c>
      <c r="F182" s="3">
        <f t="shared" si="118"/>
        <v>2.852062454713063E-2</v>
      </c>
      <c r="G182" s="3">
        <f t="shared" si="118"/>
        <v>2.8520624545485488E-2</v>
      </c>
      <c r="H182" s="3">
        <f t="shared" si="118"/>
        <v>2.8520624529034064E-2</v>
      </c>
      <c r="I182" s="3">
        <f t="shared" si="118"/>
        <v>2.8520624364519822E-2</v>
      </c>
      <c r="J182" s="3">
        <f t="shared" si="118"/>
        <v>2.8520622719377439E-2</v>
      </c>
      <c r="K182" s="3">
        <f t="shared" si="118"/>
        <v>2.8520606267958847E-2</v>
      </c>
      <c r="L182" s="3">
        <f t="shared" si="118"/>
        <v>2.8520441754294846E-2</v>
      </c>
      <c r="M182" s="3">
        <f t="shared" si="118"/>
        <v>2.8518796669846393E-2</v>
      </c>
      <c r="N182" s="3">
        <f t="shared" si="118"/>
        <v>2.8502351043405247E-2</v>
      </c>
      <c r="O182" s="3">
        <f t="shared" si="118"/>
        <v>2.8338415471385516E-2</v>
      </c>
      <c r="P182" s="3">
        <f t="shared" si="118"/>
        <v>2.6750034638534242E-2</v>
      </c>
      <c r="Q182" s="3">
        <f t="shared" si="118"/>
        <v>1.502492122499878E-2</v>
      </c>
      <c r="R182" s="3">
        <f t="shared" si="118"/>
        <v>4.6955963178915376E-5</v>
      </c>
      <c r="S182" s="3">
        <f t="shared" si="118"/>
        <v>4.1732677609400705E-30</v>
      </c>
      <c r="T182" s="3">
        <f t="shared" si="118"/>
        <v>1.2833089410754043E-280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2.1063488813407635E-2</v>
      </c>
      <c r="C183" s="3">
        <f t="shared" si="119"/>
        <v>2.1063488813407628E-2</v>
      </c>
      <c r="D183" s="3">
        <f t="shared" si="119"/>
        <v>2.1063488813407517E-2</v>
      </c>
      <c r="E183" s="3">
        <f t="shared" si="119"/>
        <v>2.106348881340642E-2</v>
      </c>
      <c r="F183" s="3">
        <f t="shared" si="119"/>
        <v>2.106348881339546E-2</v>
      </c>
      <c r="G183" s="3">
        <f t="shared" si="119"/>
        <v>2.1063488813285857E-2</v>
      </c>
      <c r="H183" s="3">
        <f t="shared" si="119"/>
        <v>2.1063488812189831E-2</v>
      </c>
      <c r="I183" s="3">
        <f t="shared" si="119"/>
        <v>2.1063488801229557E-2</v>
      </c>
      <c r="J183" s="3">
        <f t="shared" si="119"/>
        <v>2.1063488691626827E-2</v>
      </c>
      <c r="K183" s="3">
        <f t="shared" si="119"/>
        <v>2.1063487595599562E-2</v>
      </c>
      <c r="L183" s="3">
        <f t="shared" si="119"/>
        <v>2.106347663533005E-2</v>
      </c>
      <c r="M183" s="3">
        <f t="shared" si="119"/>
        <v>2.1063367032948588E-2</v>
      </c>
      <c r="N183" s="3">
        <f t="shared" si="119"/>
        <v>2.1062271040500465E-2</v>
      </c>
      <c r="O183" s="3">
        <f t="shared" si="119"/>
        <v>2.1051314252063805E-2</v>
      </c>
      <c r="P183" s="3">
        <f t="shared" si="119"/>
        <v>2.0942059369218623E-2</v>
      </c>
      <c r="Q183" s="3">
        <f t="shared" si="119"/>
        <v>1.9880216374452014E-2</v>
      </c>
      <c r="R183" s="3">
        <f t="shared" si="119"/>
        <v>1.1815124749920348E-2</v>
      </c>
      <c r="S183" s="3">
        <f t="shared" si="119"/>
        <v>6.4954666498917595E-5</v>
      </c>
      <c r="T183" s="3">
        <f t="shared" si="119"/>
        <v>1.6380638091634361E-27</v>
      </c>
      <c r="U183" s="3">
        <f t="shared" si="119"/>
        <v>1.7042582110315448E-253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3.1092599466761905E-2</v>
      </c>
      <c r="C184" s="3">
        <f t="shared" si="120"/>
        <v>3.1092599466761905E-2</v>
      </c>
      <c r="D184" s="3">
        <f t="shared" si="120"/>
        <v>3.1092599466761888E-2</v>
      </c>
      <c r="E184" s="3">
        <f t="shared" si="120"/>
        <v>3.1092599466761742E-2</v>
      </c>
      <c r="F184" s="3">
        <f t="shared" si="120"/>
        <v>3.1092599466760282E-2</v>
      </c>
      <c r="G184" s="3">
        <f t="shared" si="120"/>
        <v>3.1092599466745689E-2</v>
      </c>
      <c r="H184" s="3">
        <f t="shared" si="120"/>
        <v>3.1092599466599743E-2</v>
      </c>
      <c r="I184" s="3">
        <f t="shared" si="120"/>
        <v>3.1092599465140272E-2</v>
      </c>
      <c r="J184" s="3">
        <f t="shared" si="120"/>
        <v>3.1092599450545589E-2</v>
      </c>
      <c r="K184" s="3">
        <f t="shared" si="120"/>
        <v>3.1092599304598751E-2</v>
      </c>
      <c r="L184" s="3">
        <f t="shared" si="120"/>
        <v>3.1092597845130424E-2</v>
      </c>
      <c r="M184" s="3">
        <f t="shared" si="120"/>
        <v>3.1092583250450865E-2</v>
      </c>
      <c r="N184" s="3">
        <f t="shared" si="120"/>
        <v>3.1092437304032088E-2</v>
      </c>
      <c r="O184" s="3">
        <f t="shared" si="120"/>
        <v>3.1090977877522224E-2</v>
      </c>
      <c r="P184" s="3">
        <f t="shared" si="120"/>
        <v>3.1076387379558947E-2</v>
      </c>
      <c r="Q184" s="3">
        <f t="shared" si="120"/>
        <v>3.0930858460026495E-2</v>
      </c>
      <c r="R184" s="3">
        <f t="shared" si="120"/>
        <v>2.9512530268550139E-2</v>
      </c>
      <c r="S184" s="3">
        <f t="shared" si="120"/>
        <v>1.8456577220734103E-2</v>
      </c>
      <c r="T184" s="3">
        <f t="shared" si="120"/>
        <v>1.6888782775603965E-4</v>
      </c>
      <c r="U184" s="3">
        <f t="shared" si="120"/>
        <v>6.951366828795596E-25</v>
      </c>
      <c r="V184" s="3">
        <f t="shared" si="120"/>
        <v>9.7003807382402427E-229</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2.5163399986438687E-2</v>
      </c>
      <c r="C185" s="3">
        <f t="shared" si="121"/>
        <v>2.5163399986438687E-2</v>
      </c>
      <c r="D185" s="3">
        <f t="shared" si="121"/>
        <v>2.5163399986438687E-2</v>
      </c>
      <c r="E185" s="3">
        <f t="shared" si="121"/>
        <v>2.5163399986438677E-2</v>
      </c>
      <c r="F185" s="3">
        <f t="shared" si="121"/>
        <v>2.5163399986438569E-2</v>
      </c>
      <c r="G185" s="3">
        <f t="shared" si="121"/>
        <v>2.5163399986437504E-2</v>
      </c>
      <c r="H185" s="3">
        <f t="shared" si="121"/>
        <v>2.5163399986426846E-2</v>
      </c>
      <c r="I185" s="3">
        <f t="shared" si="121"/>
        <v>2.5163399986320299E-2</v>
      </c>
      <c r="J185" s="3">
        <f t="shared" si="121"/>
        <v>2.5163399985254797E-2</v>
      </c>
      <c r="K185" s="3">
        <f t="shared" si="121"/>
        <v>2.5163399974599793E-2</v>
      </c>
      <c r="L185" s="3">
        <f t="shared" si="121"/>
        <v>2.5163399868049767E-2</v>
      </c>
      <c r="M185" s="3">
        <f t="shared" si="121"/>
        <v>2.5163398802549516E-2</v>
      </c>
      <c r="N185" s="3">
        <f t="shared" si="121"/>
        <v>2.5163388147549474E-2</v>
      </c>
      <c r="O185" s="3">
        <f t="shared" si="121"/>
        <v>2.5163281597797189E-2</v>
      </c>
      <c r="P185" s="3">
        <f t="shared" si="121"/>
        <v>2.5162216125088139E-2</v>
      </c>
      <c r="Q185" s="3">
        <f t="shared" si="121"/>
        <v>2.5151563878987034E-2</v>
      </c>
      <c r="R185" s="3">
        <f t="shared" si="121"/>
        <v>2.5045289128657635E-2</v>
      </c>
      <c r="S185" s="3">
        <f t="shared" si="121"/>
        <v>2.4006928961450149E-2</v>
      </c>
      <c r="T185" s="3">
        <f t="shared" si="121"/>
        <v>1.5719625104242293E-2</v>
      </c>
      <c r="U185" s="3">
        <f t="shared" si="121"/>
        <v>2.2777075147918991E-4</v>
      </c>
      <c r="V185" s="3">
        <f t="shared" si="121"/>
        <v>9.2908544694515177E-23</v>
      </c>
      <c r="W185" s="3">
        <f t="shared" si="121"/>
        <v>1.1847662794665203E-206</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7.3723285891336199E-2</v>
      </c>
      <c r="C186" s="3">
        <f t="shared" si="122"/>
        <v>7.3723285891336199E-2</v>
      </c>
      <c r="D186" s="3">
        <f t="shared" si="122"/>
        <v>7.3723285891336199E-2</v>
      </c>
      <c r="E186" s="3">
        <f t="shared" si="122"/>
        <v>7.3723285891336199E-2</v>
      </c>
      <c r="F186" s="3">
        <f t="shared" si="122"/>
        <v>7.3723285891336171E-2</v>
      </c>
      <c r="G186" s="3">
        <f t="shared" si="122"/>
        <v>7.3723285891335893E-2</v>
      </c>
      <c r="H186" s="3">
        <f t="shared" si="122"/>
        <v>7.3723285891333076E-2</v>
      </c>
      <c r="I186" s="3">
        <f t="shared" si="122"/>
        <v>7.3723285891304904E-2</v>
      </c>
      <c r="J186" s="3">
        <f t="shared" si="122"/>
        <v>7.372328589102331E-2</v>
      </c>
      <c r="K186" s="3">
        <f t="shared" si="122"/>
        <v>7.3723285888207285E-2</v>
      </c>
      <c r="L186" s="3">
        <f t="shared" si="122"/>
        <v>7.3723285860047102E-2</v>
      </c>
      <c r="M186" s="3">
        <f t="shared" si="122"/>
        <v>7.3723285578445236E-2</v>
      </c>
      <c r="N186" s="3">
        <f t="shared" si="122"/>
        <v>7.3723282762426692E-2</v>
      </c>
      <c r="O186" s="3">
        <f t="shared" si="122"/>
        <v>7.3723254602247087E-2</v>
      </c>
      <c r="P186" s="3">
        <f t="shared" si="122"/>
        <v>7.3722973001042608E-2</v>
      </c>
      <c r="Q186" s="3">
        <f t="shared" si="122"/>
        <v>7.3720157048157028E-2</v>
      </c>
      <c r="R186" s="3">
        <f t="shared" si="122"/>
        <v>7.3692003434384382E-2</v>
      </c>
      <c r="S186" s="3">
        <f t="shared" si="122"/>
        <v>7.3411057969849702E-2</v>
      </c>
      <c r="T186" s="3">
        <f t="shared" si="122"/>
        <v>7.0659844309319444E-2</v>
      </c>
      <c r="U186" s="3">
        <f t="shared" si="122"/>
        <v>4.8226373811429989E-2</v>
      </c>
      <c r="V186" s="3">
        <f t="shared" si="122"/>
        <v>1.0578008885386964E-3</v>
      </c>
      <c r="W186" s="3">
        <f t="shared" si="122"/>
        <v>2.726447385323471E-20</v>
      </c>
      <c r="X186" s="3">
        <f t="shared" si="122"/>
        <v>3.5280039090760113E-186</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9.9866950821253964E-2</v>
      </c>
      <c r="C187" s="3">
        <f t="shared" si="123"/>
        <v>9.9866950821253964E-2</v>
      </c>
      <c r="D187" s="3">
        <f t="shared" si="123"/>
        <v>9.9866950821253964E-2</v>
      </c>
      <c r="E187" s="3">
        <f t="shared" si="123"/>
        <v>9.9866950821253964E-2</v>
      </c>
      <c r="F187" s="3">
        <f t="shared" si="123"/>
        <v>9.9866950821253964E-2</v>
      </c>
      <c r="G187" s="3">
        <f t="shared" si="123"/>
        <v>9.9866950821253936E-2</v>
      </c>
      <c r="H187" s="3">
        <f t="shared" si="123"/>
        <v>9.9866950821253589E-2</v>
      </c>
      <c r="I187" s="3">
        <f t="shared" si="123"/>
        <v>9.9866950821250133E-2</v>
      </c>
      <c r="J187" s="3">
        <f t="shared" si="123"/>
        <v>9.986695082121573E-2</v>
      </c>
      <c r="K187" s="3">
        <f t="shared" si="123"/>
        <v>9.9866950820871617E-2</v>
      </c>
      <c r="L187" s="3">
        <f t="shared" si="123"/>
        <v>9.9866950817430494E-2</v>
      </c>
      <c r="M187" s="3">
        <f t="shared" si="123"/>
        <v>9.9866950783019354E-2</v>
      </c>
      <c r="N187" s="3">
        <f t="shared" si="123"/>
        <v>9.9866950438907823E-2</v>
      </c>
      <c r="O187" s="3">
        <f t="shared" si="123"/>
        <v>9.9866946997792638E-2</v>
      </c>
      <c r="P187" s="3">
        <f t="shared" si="123"/>
        <v>9.986691258664733E-2</v>
      </c>
      <c r="Q187" s="3">
        <f t="shared" si="123"/>
        <v>9.9866568475846323E-2</v>
      </c>
      <c r="R187" s="3">
        <f t="shared" si="123"/>
        <v>9.9863127433049245E-2</v>
      </c>
      <c r="S187" s="3">
        <f t="shared" si="123"/>
        <v>9.9828723525532126E-2</v>
      </c>
      <c r="T187" s="3">
        <f t="shared" si="123"/>
        <v>9.9485335665202651E-2</v>
      </c>
      <c r="U187" s="3">
        <f t="shared" si="123"/>
        <v>9.611575590304193E-2</v>
      </c>
      <c r="V187" s="3">
        <f t="shared" si="123"/>
        <v>6.81004133326817E-2</v>
      </c>
      <c r="W187" s="3">
        <f t="shared" si="123"/>
        <v>2.1712076891827504E-3</v>
      </c>
      <c r="X187" s="3">
        <f t="shared" si="123"/>
        <v>2.3562294141492299E-18</v>
      </c>
      <c r="Y187" s="3">
        <f t="shared" si="123"/>
        <v>5.3380129387274431E-168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8.4918453398997062E-2</v>
      </c>
      <c r="C188" s="3">
        <f t="shared" si="124"/>
        <v>8.4918453398997062E-2</v>
      </c>
      <c r="D188" s="3">
        <f t="shared" si="124"/>
        <v>8.4918453398997062E-2</v>
      </c>
      <c r="E188" s="3">
        <f t="shared" si="124"/>
        <v>8.4918453398997062E-2</v>
      </c>
      <c r="F188" s="3">
        <f t="shared" si="124"/>
        <v>8.4918453398997062E-2</v>
      </c>
      <c r="G188" s="3">
        <f t="shared" si="124"/>
        <v>8.4918453398997062E-2</v>
      </c>
      <c r="H188" s="3">
        <f t="shared" si="124"/>
        <v>8.4918453398997035E-2</v>
      </c>
      <c r="I188" s="3">
        <f t="shared" si="124"/>
        <v>8.4918453398996771E-2</v>
      </c>
      <c r="J188" s="3">
        <f t="shared" si="124"/>
        <v>8.4918453398994134E-2</v>
      </c>
      <c r="K188" s="3">
        <f t="shared" si="124"/>
        <v>8.4918453398967739E-2</v>
      </c>
      <c r="L188" s="3">
        <f t="shared" si="124"/>
        <v>8.4918453398703783E-2</v>
      </c>
      <c r="M188" s="3">
        <f t="shared" si="124"/>
        <v>8.4918453396064256E-2</v>
      </c>
      <c r="N188" s="3">
        <f t="shared" si="124"/>
        <v>8.4918453369668981E-2</v>
      </c>
      <c r="O188" s="3">
        <f t="shared" si="124"/>
        <v>8.4918453105716288E-2</v>
      </c>
      <c r="P188" s="3">
        <f t="shared" si="124"/>
        <v>8.4918450466189427E-2</v>
      </c>
      <c r="Q188" s="3">
        <f t="shared" si="124"/>
        <v>8.491842407092523E-2</v>
      </c>
      <c r="R188" s="3">
        <f t="shared" si="124"/>
        <v>8.4918160118734529E-2</v>
      </c>
      <c r="S188" s="3">
        <f t="shared" si="124"/>
        <v>8.4915520641951445E-2</v>
      </c>
      <c r="T188" s="3">
        <f t="shared" si="124"/>
        <v>8.4889130385998254E-2</v>
      </c>
      <c r="U188" s="3">
        <f t="shared" si="124"/>
        <v>8.4625678495758666E-2</v>
      </c>
      <c r="V188" s="3">
        <f t="shared" si="124"/>
        <v>8.2035712500699728E-2</v>
      </c>
      <c r="W188" s="3">
        <f t="shared" si="124"/>
        <v>6.0118877249329586E-2</v>
      </c>
      <c r="X188" s="3">
        <f t="shared" si="124"/>
        <v>2.6859005644952233E-3</v>
      </c>
      <c r="Y188" s="3">
        <f t="shared" si="124"/>
        <v>8.509041115663462E-17</v>
      </c>
      <c r="Z188" s="3">
        <f t="shared" si="124"/>
        <v>8.6653785348330871E-152</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6.4000746285573396E-2</v>
      </c>
      <c r="C189" s="3">
        <f t="shared" si="125"/>
        <v>6.4000746285573396E-2</v>
      </c>
      <c r="D189" s="3">
        <f t="shared" si="125"/>
        <v>6.4000746285573396E-2</v>
      </c>
      <c r="E189" s="3">
        <f t="shared" si="125"/>
        <v>6.4000746285573396E-2</v>
      </c>
      <c r="F189" s="3">
        <f t="shared" si="125"/>
        <v>6.4000746285573396E-2</v>
      </c>
      <c r="G189" s="3">
        <f t="shared" si="125"/>
        <v>6.4000746285573396E-2</v>
      </c>
      <c r="H189" s="3">
        <f t="shared" si="125"/>
        <v>6.4000746285573396E-2</v>
      </c>
      <c r="I189" s="3">
        <f t="shared" si="125"/>
        <v>6.4000746285573368E-2</v>
      </c>
      <c r="J189" s="3">
        <f t="shared" si="125"/>
        <v>6.4000746285573201E-2</v>
      </c>
      <c r="K189" s="3">
        <f t="shared" si="125"/>
        <v>6.4000746285571397E-2</v>
      </c>
      <c r="L189" s="3">
        <f t="shared" si="125"/>
        <v>6.4000746285553453E-2</v>
      </c>
      <c r="M189" s="3">
        <f t="shared" si="125"/>
        <v>6.4000746285373999E-2</v>
      </c>
      <c r="N189" s="3">
        <f t="shared" si="125"/>
        <v>6.4000746283579449E-2</v>
      </c>
      <c r="O189" s="3">
        <f t="shared" si="125"/>
        <v>6.4000746265633943E-2</v>
      </c>
      <c r="P189" s="3">
        <f t="shared" si="125"/>
        <v>6.4000746086178908E-2</v>
      </c>
      <c r="Q189" s="3">
        <f t="shared" si="125"/>
        <v>6.4000744291628581E-2</v>
      </c>
      <c r="R189" s="3">
        <f t="shared" si="125"/>
        <v>6.400072634612812E-2</v>
      </c>
      <c r="S189" s="3">
        <f t="shared" si="125"/>
        <v>6.4000546891400181E-2</v>
      </c>
      <c r="T189" s="3">
        <f t="shared" si="125"/>
        <v>6.3998752371795475E-2</v>
      </c>
      <c r="U189" s="3">
        <f t="shared" si="125"/>
        <v>6.398080994293795E-2</v>
      </c>
      <c r="V189" s="3">
        <f t="shared" si="125"/>
        <v>6.3801662086433869E-2</v>
      </c>
      <c r="W189" s="3">
        <f t="shared" si="125"/>
        <v>6.2037542078910726E-2</v>
      </c>
      <c r="X189" s="3">
        <f t="shared" si="125"/>
        <v>4.6868438504309516E-2</v>
      </c>
      <c r="Y189" s="3">
        <f t="shared" si="125"/>
        <v>2.838830759917815E-3</v>
      </c>
      <c r="Z189" s="3">
        <f t="shared" si="125"/>
        <v>1.8868165641394099E-15</v>
      </c>
      <c r="AA189" s="3">
        <f t="shared" si="125"/>
        <v>3.1741793273706641E-137</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6.4005723390096053E-2</v>
      </c>
      <c r="C190" s="3">
        <f t="shared" si="126"/>
        <v>6.4005723390096053E-2</v>
      </c>
      <c r="D190" s="3">
        <f t="shared" si="126"/>
        <v>6.4005723390096053E-2</v>
      </c>
      <c r="E190" s="3">
        <f t="shared" si="126"/>
        <v>6.4005723390096053E-2</v>
      </c>
      <c r="F190" s="3">
        <f t="shared" si="126"/>
        <v>6.4005723390096053E-2</v>
      </c>
      <c r="G190" s="3">
        <f t="shared" si="126"/>
        <v>6.4005723390096053E-2</v>
      </c>
      <c r="H190" s="3">
        <f t="shared" si="126"/>
        <v>6.4005723390096053E-2</v>
      </c>
      <c r="I190" s="3">
        <f t="shared" si="126"/>
        <v>6.4005723390096053E-2</v>
      </c>
      <c r="J190" s="3">
        <f t="shared" si="126"/>
        <v>6.4005723390096025E-2</v>
      </c>
      <c r="K190" s="3">
        <f t="shared" si="126"/>
        <v>6.4005723390095873E-2</v>
      </c>
      <c r="L190" s="3">
        <f t="shared" si="126"/>
        <v>6.4005723390094249E-2</v>
      </c>
      <c r="M190" s="3">
        <f t="shared" si="126"/>
        <v>6.4005723390078068E-2</v>
      </c>
      <c r="N190" s="3">
        <f t="shared" si="126"/>
        <v>6.4005723389916169E-2</v>
      </c>
      <c r="O190" s="3">
        <f t="shared" si="126"/>
        <v>6.4005723388297214E-2</v>
      </c>
      <c r="P190" s="3">
        <f t="shared" si="126"/>
        <v>6.4005723372107623E-2</v>
      </c>
      <c r="Q190" s="3">
        <f t="shared" si="126"/>
        <v>6.4005723210211654E-2</v>
      </c>
      <c r="R190" s="3">
        <f t="shared" si="126"/>
        <v>6.4005721591252077E-2</v>
      </c>
      <c r="S190" s="3">
        <f t="shared" si="126"/>
        <v>6.400570540165855E-2</v>
      </c>
      <c r="T190" s="3">
        <f t="shared" si="126"/>
        <v>6.4005543505948531E-2</v>
      </c>
      <c r="U190" s="3">
        <f t="shared" si="126"/>
        <v>6.4003924571370524E-2</v>
      </c>
      <c r="V190" s="3">
        <f t="shared" si="126"/>
        <v>6.398773747760271E-2</v>
      </c>
      <c r="W190" s="3">
        <f t="shared" si="126"/>
        <v>6.3826091530528789E-2</v>
      </c>
      <c r="X190" s="3">
        <f t="shared" si="126"/>
        <v>6.2231921973646624E-2</v>
      </c>
      <c r="Y190" s="3">
        <f t="shared" si="126"/>
        <v>4.8323996782435222E-2</v>
      </c>
      <c r="Z190" s="3">
        <f t="shared" si="126"/>
        <v>3.8517596073490102E-3</v>
      </c>
      <c r="AA190" s="3">
        <f t="shared" si="126"/>
        <v>3.9867816624446503E-14</v>
      </c>
      <c r="AB190" s="3">
        <f t="shared" si="126"/>
        <v>5.6267190049438706E-124</v>
      </c>
      <c r="AC190" s="3">
        <f t="shared" si="126"/>
        <v>0</v>
      </c>
      <c r="AD190" s="3">
        <f t="shared" si="126"/>
        <v>0</v>
      </c>
      <c r="AE190" s="3">
        <f t="shared" si="126"/>
        <v>0</v>
      </c>
      <c r="AF190" s="3">
        <f t="shared" si="126"/>
        <v>0</v>
      </c>
      <c r="AG190" s="3"/>
      <c r="AH190" s="3"/>
    </row>
    <row r="191" spans="2:34" x14ac:dyDescent="0.25">
      <c r="B191" s="3">
        <f t="shared" ref="B191:AF191" si="127">$C38*EXP(-B$168/$A38/EXP(-$C$126))</f>
        <v>2.5223864108208031E-2</v>
      </c>
      <c r="C191" s="3">
        <f t="shared" si="127"/>
        <v>2.5223864108208031E-2</v>
      </c>
      <c r="D191" s="3">
        <f t="shared" si="127"/>
        <v>2.5223864108208031E-2</v>
      </c>
      <c r="E191" s="3">
        <f t="shared" si="127"/>
        <v>2.5223864108208031E-2</v>
      </c>
      <c r="F191" s="3">
        <f t="shared" si="127"/>
        <v>2.5223864108208031E-2</v>
      </c>
      <c r="G191" s="3">
        <f t="shared" si="127"/>
        <v>2.5223864108208031E-2</v>
      </c>
      <c r="H191" s="3">
        <f t="shared" si="127"/>
        <v>2.5223864108208031E-2</v>
      </c>
      <c r="I191" s="3">
        <f t="shared" si="127"/>
        <v>2.5223864108208031E-2</v>
      </c>
      <c r="J191" s="3">
        <f t="shared" si="127"/>
        <v>2.5223864108208031E-2</v>
      </c>
      <c r="K191" s="3">
        <f t="shared" si="127"/>
        <v>2.5223864108208024E-2</v>
      </c>
      <c r="L191" s="3">
        <f t="shared" si="127"/>
        <v>2.5223864108207966E-2</v>
      </c>
      <c r="M191" s="3">
        <f t="shared" si="127"/>
        <v>2.5223864108207393E-2</v>
      </c>
      <c r="N191" s="3">
        <f t="shared" si="127"/>
        <v>2.5223864108201634E-2</v>
      </c>
      <c r="O191" s="3">
        <f t="shared" si="127"/>
        <v>2.5223864108144083E-2</v>
      </c>
      <c r="P191" s="3">
        <f t="shared" si="127"/>
        <v>2.5223864107568543E-2</v>
      </c>
      <c r="Q191" s="3">
        <f t="shared" si="127"/>
        <v>2.5223864101813143E-2</v>
      </c>
      <c r="R191" s="3">
        <f t="shared" si="127"/>
        <v>2.5223864044259157E-2</v>
      </c>
      <c r="S191" s="3">
        <f t="shared" si="127"/>
        <v>2.5223863468719299E-2</v>
      </c>
      <c r="T191" s="3">
        <f t="shared" si="127"/>
        <v>2.5223857713321449E-2</v>
      </c>
      <c r="U191" s="3">
        <f t="shared" si="127"/>
        <v>2.5223800159415187E-2</v>
      </c>
      <c r="V191" s="3">
        <f t="shared" si="127"/>
        <v>2.5223224627575199E-2</v>
      </c>
      <c r="W191" s="3">
        <f t="shared" si="127"/>
        <v>2.5217470031381427E-2</v>
      </c>
      <c r="X191" s="3">
        <f t="shared" si="127"/>
        <v>2.5159996229119876E-2</v>
      </c>
      <c r="Y191" s="3">
        <f t="shared" si="127"/>
        <v>2.4592413624121057E-2</v>
      </c>
      <c r="Z191" s="3">
        <f t="shared" si="127"/>
        <v>1.9575235015063454E-2</v>
      </c>
      <c r="AA191" s="3">
        <f t="shared" si="127"/>
        <v>1.9987813370752052E-3</v>
      </c>
      <c r="AB191" s="3">
        <f t="shared" si="127"/>
        <v>2.4623415585492809E-13</v>
      </c>
      <c r="AC191" s="3">
        <f t="shared" si="127"/>
        <v>1.9823411126651231E-112</v>
      </c>
      <c r="AD191" s="3">
        <f t="shared" si="127"/>
        <v>0</v>
      </c>
      <c r="AE191" s="3">
        <f t="shared" si="127"/>
        <v>0</v>
      </c>
      <c r="AF191" s="3">
        <f t="shared" si="127"/>
        <v>0</v>
      </c>
      <c r="AG191" s="3"/>
      <c r="AH191" s="3"/>
    </row>
    <row r="192" spans="2:34" x14ac:dyDescent="0.25">
      <c r="B192" s="3">
        <f t="shared" ref="B192:AF192" si="128">$C39*EXP(-B$168/$A39/EXP(-$C$126))</f>
        <v>4.075866339585988E-2</v>
      </c>
      <c r="C192" s="3">
        <f t="shared" si="128"/>
        <v>4.075866339585988E-2</v>
      </c>
      <c r="D192" s="3">
        <f t="shared" si="128"/>
        <v>4.075866339585988E-2</v>
      </c>
      <c r="E192" s="3">
        <f t="shared" si="128"/>
        <v>4.075866339585988E-2</v>
      </c>
      <c r="F192" s="3">
        <f t="shared" si="128"/>
        <v>4.075866339585988E-2</v>
      </c>
      <c r="G192" s="3">
        <f t="shared" si="128"/>
        <v>4.075866339585988E-2</v>
      </c>
      <c r="H192" s="3">
        <f t="shared" si="128"/>
        <v>4.075866339585988E-2</v>
      </c>
      <c r="I192" s="3">
        <f t="shared" si="128"/>
        <v>4.075866339585988E-2</v>
      </c>
      <c r="J192" s="3">
        <f t="shared" si="128"/>
        <v>4.075866339585988E-2</v>
      </c>
      <c r="K192" s="3">
        <f t="shared" si="128"/>
        <v>4.0758663395859873E-2</v>
      </c>
      <c r="L192" s="3">
        <f t="shared" si="128"/>
        <v>4.0758663395859852E-2</v>
      </c>
      <c r="M192" s="3">
        <f t="shared" si="128"/>
        <v>4.0758663395859596E-2</v>
      </c>
      <c r="N192" s="3">
        <f t="shared" si="128"/>
        <v>4.0758663395857021E-2</v>
      </c>
      <c r="O192" s="3">
        <f t="shared" si="128"/>
        <v>4.0758663395831299E-2</v>
      </c>
      <c r="P192" s="3">
        <f t="shared" si="128"/>
        <v>4.0758663395574088E-2</v>
      </c>
      <c r="Q192" s="3">
        <f t="shared" si="128"/>
        <v>4.075866339300193E-2</v>
      </c>
      <c r="R192" s="3">
        <f t="shared" si="128"/>
        <v>4.0758663367280415E-2</v>
      </c>
      <c r="S192" s="3">
        <f t="shared" si="128"/>
        <v>4.0758663110065242E-2</v>
      </c>
      <c r="T192" s="3">
        <f t="shared" si="128"/>
        <v>4.0758660537913584E-2</v>
      </c>
      <c r="U192" s="3">
        <f t="shared" si="128"/>
        <v>4.0758634816405945E-2</v>
      </c>
      <c r="V192" s="3">
        <f t="shared" si="128"/>
        <v>4.0758377602222326E-2</v>
      </c>
      <c r="W192" s="3">
        <f t="shared" si="128"/>
        <v>4.0755805549660087E-2</v>
      </c>
      <c r="X192" s="3">
        <f t="shared" si="128"/>
        <v>4.0730093949346742E-2</v>
      </c>
      <c r="Y192" s="3">
        <f t="shared" si="128"/>
        <v>4.0473868396615612E-2</v>
      </c>
      <c r="Z192" s="3">
        <f t="shared" si="128"/>
        <v>3.7998613379344785E-2</v>
      </c>
      <c r="AA192" s="3">
        <f t="shared" si="128"/>
        <v>2.0216132991116648E-2</v>
      </c>
      <c r="AB192" s="3">
        <f t="shared" si="128"/>
        <v>3.6728353174317758E-5</v>
      </c>
      <c r="AC192" s="3">
        <f t="shared" si="128"/>
        <v>1.43891505210101E-32</v>
      </c>
      <c r="AD192" s="3">
        <f t="shared" si="128"/>
        <v>1.2256660405029198E-306</v>
      </c>
      <c r="AE192" s="3">
        <f t="shared" si="128"/>
        <v>0</v>
      </c>
      <c r="AF192" s="3">
        <f t="shared" si="128"/>
        <v>0</v>
      </c>
      <c r="AG192" s="3"/>
      <c r="AH192" s="3"/>
    </row>
    <row r="193" spans="1:34" x14ac:dyDescent="0.25">
      <c r="B193" s="3">
        <f t="shared" ref="B193:AF193" si="129">$C40*EXP(-B$168/$A40/EXP(-$C$126))</f>
        <v>2.4317384377993669E-2</v>
      </c>
      <c r="C193" s="3">
        <f t="shared" si="129"/>
        <v>2.4317384377993669E-2</v>
      </c>
      <c r="D193" s="3">
        <f t="shared" si="129"/>
        <v>2.4317384377993669E-2</v>
      </c>
      <c r="E193" s="3">
        <f t="shared" si="129"/>
        <v>2.4317384377993669E-2</v>
      </c>
      <c r="F193" s="3">
        <f t="shared" si="129"/>
        <v>2.4317384377993669E-2</v>
      </c>
      <c r="G193" s="3">
        <f t="shared" si="129"/>
        <v>2.4317384377993669E-2</v>
      </c>
      <c r="H193" s="3">
        <f t="shared" si="129"/>
        <v>2.4317384377993669E-2</v>
      </c>
      <c r="I193" s="3">
        <f t="shared" si="129"/>
        <v>2.4317384377993669E-2</v>
      </c>
      <c r="J193" s="3">
        <f t="shared" si="129"/>
        <v>2.4317384377993669E-2</v>
      </c>
      <c r="K193" s="3">
        <f t="shared" si="129"/>
        <v>2.4317384377993669E-2</v>
      </c>
      <c r="L193" s="3">
        <f t="shared" si="129"/>
        <v>2.4317384377993665E-2</v>
      </c>
      <c r="M193" s="3">
        <f t="shared" si="129"/>
        <v>2.4317384377993651E-2</v>
      </c>
      <c r="N193" s="3">
        <f t="shared" si="129"/>
        <v>2.4317384377993499E-2</v>
      </c>
      <c r="O193" s="3">
        <f t="shared" si="129"/>
        <v>2.4317384377991962E-2</v>
      </c>
      <c r="P193" s="3">
        <f t="shared" si="129"/>
        <v>2.4317384377976616E-2</v>
      </c>
      <c r="Q193" s="3">
        <f t="shared" si="129"/>
        <v>2.4317384377823159E-2</v>
      </c>
      <c r="R193" s="3">
        <f t="shared" si="129"/>
        <v>2.4317384376288564E-2</v>
      </c>
      <c r="S193" s="3">
        <f t="shared" si="129"/>
        <v>2.4317384360942624E-2</v>
      </c>
      <c r="T193" s="3">
        <f t="shared" si="129"/>
        <v>2.4317384207483219E-2</v>
      </c>
      <c r="U193" s="3">
        <f t="shared" si="129"/>
        <v>2.4317382672889212E-2</v>
      </c>
      <c r="V193" s="3">
        <f t="shared" si="129"/>
        <v>2.4317367326954484E-2</v>
      </c>
      <c r="W193" s="3">
        <f t="shared" si="129"/>
        <v>2.4317213868139859E-2</v>
      </c>
      <c r="X193" s="3">
        <f t="shared" si="129"/>
        <v>2.43156793332561E-2</v>
      </c>
      <c r="Y193" s="3">
        <f t="shared" si="129"/>
        <v>2.4300339309425569E-2</v>
      </c>
      <c r="Z193" s="3">
        <f t="shared" si="129"/>
        <v>2.4147470330560583E-2</v>
      </c>
      <c r="AA193" s="3">
        <f t="shared" si="129"/>
        <v>2.267068668081396E-2</v>
      </c>
      <c r="AB193" s="3">
        <f t="shared" si="129"/>
        <v>1.2061324774245609E-2</v>
      </c>
      <c r="AC193" s="3">
        <f t="shared" si="129"/>
        <v>2.1912825576152491E-5</v>
      </c>
      <c r="AD193" s="3">
        <f t="shared" si="129"/>
        <v>8.5848375520516384E-33</v>
      </c>
      <c r="AE193" s="3">
        <f t="shared" si="129"/>
        <v>7.3125538824687126E-307</v>
      </c>
      <c r="AF193" s="3">
        <f t="shared" si="129"/>
        <v>0</v>
      </c>
      <c r="AG193" s="3"/>
      <c r="AH193" s="3"/>
    </row>
    <row r="194" spans="1:34" x14ac:dyDescent="0.25">
      <c r="B194" s="3">
        <f t="shared" ref="B194:AF194" si="130">$C41*EXP(-B$168/$A41/EXP(-$C$126))</f>
        <v>1.4702506077869741E-2</v>
      </c>
      <c r="C194" s="3">
        <f t="shared" si="130"/>
        <v>1.4702506077869741E-2</v>
      </c>
      <c r="D194" s="3">
        <f t="shared" si="130"/>
        <v>1.4702506077869741E-2</v>
      </c>
      <c r="E194" s="3">
        <f t="shared" si="130"/>
        <v>1.4702506077869741E-2</v>
      </c>
      <c r="F194" s="3">
        <f t="shared" si="130"/>
        <v>1.4702506077869741E-2</v>
      </c>
      <c r="G194" s="3">
        <f t="shared" si="130"/>
        <v>1.4702506077869741E-2</v>
      </c>
      <c r="H194" s="3">
        <f t="shared" si="130"/>
        <v>1.4702506077869741E-2</v>
      </c>
      <c r="I194" s="3">
        <f t="shared" si="130"/>
        <v>1.4702506077869741E-2</v>
      </c>
      <c r="J194" s="3">
        <f t="shared" si="130"/>
        <v>1.4702506077869741E-2</v>
      </c>
      <c r="K194" s="3">
        <f t="shared" si="130"/>
        <v>1.4702506077869741E-2</v>
      </c>
      <c r="L194" s="3">
        <f t="shared" si="130"/>
        <v>1.4702506077869741E-2</v>
      </c>
      <c r="M194" s="3">
        <f t="shared" si="130"/>
        <v>1.4702506077869739E-2</v>
      </c>
      <c r="N194" s="3">
        <f t="shared" si="130"/>
        <v>1.470250607786973E-2</v>
      </c>
      <c r="O194" s="3">
        <f t="shared" si="130"/>
        <v>1.4702506077869638E-2</v>
      </c>
      <c r="P194" s="3">
        <f t="shared" si="130"/>
        <v>1.4702506077868709E-2</v>
      </c>
      <c r="Q194" s="3">
        <f t="shared" si="130"/>
        <v>1.4702506077859431E-2</v>
      </c>
      <c r="R194" s="3">
        <f t="shared" si="130"/>
        <v>1.470250607776665E-2</v>
      </c>
      <c r="S194" s="3">
        <f t="shared" si="130"/>
        <v>1.4702506076838819E-2</v>
      </c>
      <c r="T194" s="3">
        <f t="shared" si="130"/>
        <v>1.4702506067560529E-2</v>
      </c>
      <c r="U194" s="3">
        <f t="shared" si="130"/>
        <v>1.470250597477761E-2</v>
      </c>
      <c r="V194" s="3">
        <f t="shared" si="130"/>
        <v>1.4702505046948477E-2</v>
      </c>
      <c r="W194" s="3">
        <f t="shared" si="130"/>
        <v>1.4702495768660357E-2</v>
      </c>
      <c r="X194" s="3">
        <f t="shared" si="130"/>
        <v>1.4702402986101194E-2</v>
      </c>
      <c r="Y194" s="3">
        <f t="shared" si="130"/>
        <v>1.4701475192712542E-2</v>
      </c>
      <c r="Z194" s="3">
        <f t="shared" si="130"/>
        <v>1.4692200478372495E-2</v>
      </c>
      <c r="AA194" s="3">
        <f t="shared" si="130"/>
        <v>1.4599774539137264E-2</v>
      </c>
      <c r="AB194" s="3">
        <f t="shared" si="130"/>
        <v>1.3706898058320219E-2</v>
      </c>
      <c r="AC194" s="3">
        <f t="shared" si="130"/>
        <v>7.2923838371772229E-3</v>
      </c>
      <c r="AD194" s="3">
        <f t="shared" si="130"/>
        <v>1.3248688518829211E-5</v>
      </c>
      <c r="AE194" s="3">
        <f t="shared" si="130"/>
        <v>5.1904688565430897E-33</v>
      </c>
      <c r="AF194" s="3">
        <f t="shared" si="130"/>
        <v>4.4212348758627752E-307</v>
      </c>
      <c r="AG194" s="3"/>
      <c r="AH194" s="3"/>
    </row>
    <row r="195" spans="1:34" x14ac:dyDescent="0.25">
      <c r="B195" s="3">
        <f t="shared" ref="B195:AF195" si="131">$C42*EXP(-B$168/$A42/EXP(-$C$126))</f>
        <v>6.4612477485621166E-3</v>
      </c>
      <c r="C195" s="3">
        <f t="shared" si="131"/>
        <v>6.4612477485621166E-3</v>
      </c>
      <c r="D195" s="3">
        <f t="shared" si="131"/>
        <v>6.4612477485621166E-3</v>
      </c>
      <c r="E195" s="3">
        <f t="shared" si="131"/>
        <v>6.4612477485621166E-3</v>
      </c>
      <c r="F195" s="3">
        <f t="shared" si="131"/>
        <v>6.4612477485621166E-3</v>
      </c>
      <c r="G195" s="3">
        <f t="shared" si="131"/>
        <v>6.4612477485621166E-3</v>
      </c>
      <c r="H195" s="3">
        <f t="shared" si="131"/>
        <v>6.4612477485621166E-3</v>
      </c>
      <c r="I195" s="3">
        <f t="shared" si="131"/>
        <v>6.4612477485621166E-3</v>
      </c>
      <c r="J195" s="3">
        <f t="shared" si="131"/>
        <v>6.4612477485621166E-3</v>
      </c>
      <c r="K195" s="3">
        <f t="shared" si="131"/>
        <v>6.4612477485621166E-3</v>
      </c>
      <c r="L195" s="3">
        <f t="shared" si="131"/>
        <v>6.4612477485621166E-3</v>
      </c>
      <c r="M195" s="3">
        <f t="shared" si="131"/>
        <v>6.4612477485621166E-3</v>
      </c>
      <c r="N195" s="3">
        <f t="shared" si="131"/>
        <v>6.4612477485621158E-3</v>
      </c>
      <c r="O195" s="3">
        <f t="shared" si="131"/>
        <v>6.4612477485621123E-3</v>
      </c>
      <c r="P195" s="3">
        <f t="shared" si="131"/>
        <v>6.4612477485620715E-3</v>
      </c>
      <c r="Q195" s="3">
        <f t="shared" si="131"/>
        <v>6.461247748561663E-3</v>
      </c>
      <c r="R195" s="3">
        <f t="shared" si="131"/>
        <v>6.4612477485575855E-3</v>
      </c>
      <c r="S195" s="3">
        <f t="shared" si="131"/>
        <v>6.4612477485168117E-3</v>
      </c>
      <c r="T195" s="3">
        <f t="shared" si="131"/>
        <v>6.4612477481090615E-3</v>
      </c>
      <c r="U195" s="3">
        <f t="shared" si="131"/>
        <v>6.4612477440315706E-3</v>
      </c>
      <c r="V195" s="3">
        <f t="shared" si="131"/>
        <v>6.4612477032566576E-3</v>
      </c>
      <c r="W195" s="3">
        <f t="shared" si="131"/>
        <v>6.4612472955075384E-3</v>
      </c>
      <c r="X195" s="3">
        <f t="shared" si="131"/>
        <v>6.4612432180177612E-3</v>
      </c>
      <c r="Y195" s="3">
        <f t="shared" si="131"/>
        <v>6.461202443261517E-3</v>
      </c>
      <c r="Z195" s="3">
        <f t="shared" si="131"/>
        <v>6.4607947098511854E-3</v>
      </c>
      <c r="AA195" s="3">
        <f t="shared" si="131"/>
        <v>6.4567187906282453E-3</v>
      </c>
      <c r="AB195" s="3">
        <f t="shared" si="131"/>
        <v>6.4161007566257786E-3</v>
      </c>
      <c r="AC195" s="3">
        <f t="shared" si="131"/>
        <v>6.0237121311174473E-3</v>
      </c>
      <c r="AD195" s="3">
        <f t="shared" si="131"/>
        <v>3.2047528768264963E-3</v>
      </c>
      <c r="AE195" s="3">
        <f t="shared" si="131"/>
        <v>5.8223447356730569E-6</v>
      </c>
      <c r="AF195" s="3">
        <f t="shared" si="131"/>
        <v>2.2810332494132194E-33</v>
      </c>
      <c r="AG195" s="3"/>
      <c r="AH195" s="3"/>
    </row>
    <row r="196" spans="1:34" x14ac:dyDescent="0.25">
      <c r="B196" s="3">
        <f t="shared" ref="B196:AF196" si="132">$C43*EXP(-B$168/$A43/EXP(-$C$126))</f>
        <v>3.1609965695272944E-3</v>
      </c>
      <c r="C196" s="3">
        <f t="shared" si="132"/>
        <v>3.1609965695272944E-3</v>
      </c>
      <c r="D196" s="3">
        <f t="shared" si="132"/>
        <v>3.1609965695272944E-3</v>
      </c>
      <c r="E196" s="3">
        <f t="shared" si="132"/>
        <v>3.1609965695272944E-3</v>
      </c>
      <c r="F196" s="3">
        <f t="shared" si="132"/>
        <v>3.1609965695272944E-3</v>
      </c>
      <c r="G196" s="3">
        <f t="shared" si="132"/>
        <v>3.1609965695272944E-3</v>
      </c>
      <c r="H196" s="3">
        <f t="shared" si="132"/>
        <v>3.1609965695272944E-3</v>
      </c>
      <c r="I196" s="3">
        <f t="shared" si="132"/>
        <v>3.1609965695272944E-3</v>
      </c>
      <c r="J196" s="3">
        <f t="shared" si="132"/>
        <v>3.1609965695272944E-3</v>
      </c>
      <c r="K196" s="3">
        <f t="shared" si="132"/>
        <v>3.1609965695272944E-3</v>
      </c>
      <c r="L196" s="3">
        <f t="shared" si="132"/>
        <v>3.1609965695272944E-3</v>
      </c>
      <c r="M196" s="3">
        <f t="shared" si="132"/>
        <v>3.1609965695272944E-3</v>
      </c>
      <c r="N196" s="3">
        <f t="shared" si="132"/>
        <v>3.1609965695272944E-3</v>
      </c>
      <c r="O196" s="3">
        <f t="shared" si="132"/>
        <v>3.1609965695272939E-3</v>
      </c>
      <c r="P196" s="3">
        <f t="shared" si="132"/>
        <v>3.1609965695272922E-3</v>
      </c>
      <c r="Q196" s="3">
        <f t="shared" si="132"/>
        <v>3.1609965695272722E-3</v>
      </c>
      <c r="R196" s="3">
        <f t="shared" si="132"/>
        <v>3.1609965695270728E-3</v>
      </c>
      <c r="S196" s="3">
        <f t="shared" si="132"/>
        <v>3.1609965695250778E-3</v>
      </c>
      <c r="T196" s="3">
        <f t="shared" si="132"/>
        <v>3.1609965695051298E-3</v>
      </c>
      <c r="U196" s="3">
        <f t="shared" si="132"/>
        <v>3.1609965693056492E-3</v>
      </c>
      <c r="V196" s="3">
        <f t="shared" si="132"/>
        <v>3.1609965673108434E-3</v>
      </c>
      <c r="W196" s="3">
        <f t="shared" si="132"/>
        <v>3.1609965473627828E-3</v>
      </c>
      <c r="X196" s="3">
        <f t="shared" si="132"/>
        <v>3.1609963478821841E-3</v>
      </c>
      <c r="Y196" s="3">
        <f t="shared" si="132"/>
        <v>3.1609943530768931E-3</v>
      </c>
      <c r="Z196" s="3">
        <f t="shared" si="132"/>
        <v>3.1609744050932176E-3</v>
      </c>
      <c r="AA196" s="3">
        <f t="shared" si="132"/>
        <v>3.1607749321800136E-3</v>
      </c>
      <c r="AB196" s="3">
        <f t="shared" si="132"/>
        <v>3.1587808952412114E-3</v>
      </c>
      <c r="AC196" s="3">
        <f t="shared" si="132"/>
        <v>3.1389095838259646E-3</v>
      </c>
      <c r="AD196" s="3">
        <f t="shared" si="132"/>
        <v>2.9469437054970632E-3</v>
      </c>
      <c r="AE196" s="3">
        <f t="shared" si="132"/>
        <v>1.5678415755046161E-3</v>
      </c>
      <c r="AF196" s="3">
        <f t="shared" si="132"/>
        <v>2.84842997084635E-6</v>
      </c>
      <c r="AG196" s="3"/>
      <c r="AH196" s="3"/>
    </row>
    <row r="197" spans="1:34" x14ac:dyDescent="0.25">
      <c r="B197" s="3">
        <f t="shared" ref="B197:AF197" si="133">$C44*EXP(-B$168/$A44/EXP(-$C$126))</f>
        <v>2.6462780139571542E-3</v>
      </c>
      <c r="C197" s="3">
        <f t="shared" si="133"/>
        <v>2.6462780139571542E-3</v>
      </c>
      <c r="D197" s="3">
        <f t="shared" si="133"/>
        <v>2.6462780139571542E-3</v>
      </c>
      <c r="E197" s="3">
        <f t="shared" si="133"/>
        <v>2.6462780139571542E-3</v>
      </c>
      <c r="F197" s="3">
        <f t="shared" si="133"/>
        <v>2.6462780139571542E-3</v>
      </c>
      <c r="G197" s="3">
        <f t="shared" si="133"/>
        <v>2.6462780139571542E-3</v>
      </c>
      <c r="H197" s="3">
        <f t="shared" si="133"/>
        <v>2.6462780139571542E-3</v>
      </c>
      <c r="I197" s="3">
        <f t="shared" si="133"/>
        <v>2.6462780139571542E-3</v>
      </c>
      <c r="J197" s="3">
        <f t="shared" si="133"/>
        <v>2.6462780139571542E-3</v>
      </c>
      <c r="K197" s="3">
        <f t="shared" si="133"/>
        <v>2.6462780139571542E-3</v>
      </c>
      <c r="L197" s="3">
        <f t="shared" si="133"/>
        <v>2.6462780139571542E-3</v>
      </c>
      <c r="M197" s="3">
        <f t="shared" si="133"/>
        <v>2.6462780139571542E-3</v>
      </c>
      <c r="N197" s="3">
        <f t="shared" si="133"/>
        <v>2.6462780139571542E-3</v>
      </c>
      <c r="O197" s="3">
        <f t="shared" si="133"/>
        <v>2.6462780139571542E-3</v>
      </c>
      <c r="P197" s="3">
        <f t="shared" si="133"/>
        <v>2.6462780139571537E-3</v>
      </c>
      <c r="Q197" s="3">
        <f t="shared" si="133"/>
        <v>2.6462780139571524E-3</v>
      </c>
      <c r="R197" s="3">
        <f t="shared" si="133"/>
        <v>2.6462780139571355E-3</v>
      </c>
      <c r="S197" s="3">
        <f t="shared" si="133"/>
        <v>2.6462780139569686E-3</v>
      </c>
      <c r="T197" s="3">
        <f t="shared" si="133"/>
        <v>2.6462780139552985E-3</v>
      </c>
      <c r="U197" s="3">
        <f t="shared" si="133"/>
        <v>2.6462780139385987E-3</v>
      </c>
      <c r="V197" s="3">
        <f t="shared" si="133"/>
        <v>2.6462780137716004E-3</v>
      </c>
      <c r="W197" s="3">
        <f t="shared" si="133"/>
        <v>2.6462780121016172E-3</v>
      </c>
      <c r="X197" s="3">
        <f t="shared" si="133"/>
        <v>2.6462779954017847E-3</v>
      </c>
      <c r="Y197" s="3">
        <f t="shared" si="133"/>
        <v>2.6462778284034628E-3</v>
      </c>
      <c r="Z197" s="3">
        <f t="shared" si="133"/>
        <v>2.6462761584208267E-3</v>
      </c>
      <c r="AA197" s="3">
        <f t="shared" si="133"/>
        <v>2.646259458652427E-3</v>
      </c>
      <c r="AB197" s="3">
        <f t="shared" si="133"/>
        <v>2.6460924667645897E-3</v>
      </c>
      <c r="AC197" s="3">
        <f t="shared" si="133"/>
        <v>2.64442312736668E-3</v>
      </c>
      <c r="AD197" s="3">
        <f t="shared" si="133"/>
        <v>2.6277875463560597E-3</v>
      </c>
      <c r="AE197" s="3">
        <f t="shared" si="133"/>
        <v>2.4670802908819695E-3</v>
      </c>
      <c r="AF197" s="3">
        <f t="shared" si="133"/>
        <v>1.3125432436790839E-3</v>
      </c>
      <c r="AG197" s="3"/>
      <c r="AH197" s="3"/>
    </row>
    <row r="198" spans="1:34" x14ac:dyDescent="0.25">
      <c r="B198" s="3">
        <f t="shared" ref="B198:AF198" si="134">$C45*EXP(-B$168/$A45/EXP(-$C$126))</f>
        <v>6.075652089661552E-5</v>
      </c>
      <c r="C198" s="3">
        <f t="shared" si="134"/>
        <v>6.075652089661552E-5</v>
      </c>
      <c r="D198" s="3">
        <f t="shared" si="134"/>
        <v>6.075652089661552E-5</v>
      </c>
      <c r="E198" s="3">
        <f t="shared" si="134"/>
        <v>6.075652089661552E-5</v>
      </c>
      <c r="F198" s="3">
        <f t="shared" si="134"/>
        <v>6.075652089661552E-5</v>
      </c>
      <c r="G198" s="3">
        <f t="shared" si="134"/>
        <v>6.075652089661552E-5</v>
      </c>
      <c r="H198" s="3">
        <f t="shared" si="134"/>
        <v>6.075652089661552E-5</v>
      </c>
      <c r="I198" s="3">
        <f t="shared" si="134"/>
        <v>6.075652089661552E-5</v>
      </c>
      <c r="J198" s="3">
        <f t="shared" si="134"/>
        <v>6.075652089661552E-5</v>
      </c>
      <c r="K198" s="3">
        <f t="shared" si="134"/>
        <v>6.075652089661552E-5</v>
      </c>
      <c r="L198" s="3">
        <f t="shared" si="134"/>
        <v>6.075652089661552E-5</v>
      </c>
      <c r="M198" s="3">
        <f t="shared" si="134"/>
        <v>6.075652089661552E-5</v>
      </c>
      <c r="N198" s="3">
        <f t="shared" si="134"/>
        <v>6.075652089661552E-5</v>
      </c>
      <c r="O198" s="3">
        <f t="shared" si="134"/>
        <v>6.075652089661552E-5</v>
      </c>
      <c r="P198" s="3">
        <f t="shared" si="134"/>
        <v>6.075652089661552E-5</v>
      </c>
      <c r="Q198" s="3">
        <f t="shared" si="134"/>
        <v>6.0756520896615513E-5</v>
      </c>
      <c r="R198" s="3">
        <f t="shared" si="134"/>
        <v>6.0756520896615479E-5</v>
      </c>
      <c r="S198" s="3">
        <f t="shared" si="134"/>
        <v>6.0756520896615093E-5</v>
      </c>
      <c r="T198" s="3">
        <f t="shared" si="134"/>
        <v>6.0756520896611258E-5</v>
      </c>
      <c r="U198" s="3">
        <f t="shared" si="134"/>
        <v>6.0756520896572918E-5</v>
      </c>
      <c r="V198" s="3">
        <f t="shared" si="134"/>
        <v>6.0756520896189503E-5</v>
      </c>
      <c r="W198" s="3">
        <f t="shared" si="134"/>
        <v>6.0756520892355344E-5</v>
      </c>
      <c r="X198" s="3">
        <f t="shared" si="134"/>
        <v>6.0756520854013808E-5</v>
      </c>
      <c r="Y198" s="3">
        <f t="shared" si="134"/>
        <v>6.0756520470598415E-5</v>
      </c>
      <c r="Z198" s="3">
        <f t="shared" si="134"/>
        <v>6.0756516636444569E-5</v>
      </c>
      <c r="AA198" s="3">
        <f t="shared" si="134"/>
        <v>6.075647829491945E-5</v>
      </c>
      <c r="AB198" s="3">
        <f t="shared" si="134"/>
        <v>6.075609488099908E-5</v>
      </c>
      <c r="AC198" s="3">
        <f t="shared" si="134"/>
        <v>6.075226087487068E-5</v>
      </c>
      <c r="AD198" s="3">
        <f t="shared" si="134"/>
        <v>6.0713934118015306E-5</v>
      </c>
      <c r="AE198" s="3">
        <f t="shared" si="134"/>
        <v>6.0331993891036782E-5</v>
      </c>
      <c r="AF198" s="3">
        <f t="shared" si="134"/>
        <v>5.6642278118940513E-5</v>
      </c>
      <c r="AG198" s="3"/>
      <c r="AH198" s="3"/>
    </row>
    <row r="199" spans="1:34" x14ac:dyDescent="0.25">
      <c r="B199" s="3">
        <f t="shared" ref="B199:AF199" si="135">$C46*EXP(-B$168/$A46/EXP(-$C$126))</f>
        <v>1.7765171530370429E-3</v>
      </c>
      <c r="C199" s="3">
        <f t="shared" si="135"/>
        <v>1.7765171530370429E-3</v>
      </c>
      <c r="D199" s="3">
        <f t="shared" si="135"/>
        <v>1.7765171530370429E-3</v>
      </c>
      <c r="E199" s="3">
        <f t="shared" si="135"/>
        <v>1.7765171530370429E-3</v>
      </c>
      <c r="F199" s="3">
        <f t="shared" si="135"/>
        <v>1.7765171530370429E-3</v>
      </c>
      <c r="G199" s="3">
        <f t="shared" si="135"/>
        <v>1.7765171530370429E-3</v>
      </c>
      <c r="H199" s="3">
        <f t="shared" si="135"/>
        <v>1.7765171530370429E-3</v>
      </c>
      <c r="I199" s="3">
        <f t="shared" si="135"/>
        <v>1.7765171530370429E-3</v>
      </c>
      <c r="J199" s="3">
        <f t="shared" si="135"/>
        <v>1.7765171530370429E-3</v>
      </c>
      <c r="K199" s="3">
        <f t="shared" si="135"/>
        <v>1.7765171530370429E-3</v>
      </c>
      <c r="L199" s="3">
        <f t="shared" si="135"/>
        <v>1.7765171530370429E-3</v>
      </c>
      <c r="M199" s="3">
        <f t="shared" si="135"/>
        <v>1.7765171530370429E-3</v>
      </c>
      <c r="N199" s="3">
        <f t="shared" si="135"/>
        <v>1.7765171530370429E-3</v>
      </c>
      <c r="O199" s="3">
        <f t="shared" si="135"/>
        <v>1.7765171530370429E-3</v>
      </c>
      <c r="P199" s="3">
        <f t="shared" si="135"/>
        <v>1.7765171530370429E-3</v>
      </c>
      <c r="Q199" s="3">
        <f t="shared" si="135"/>
        <v>1.7765171530370429E-3</v>
      </c>
      <c r="R199" s="3">
        <f t="shared" si="135"/>
        <v>1.7765171530370427E-3</v>
      </c>
      <c r="S199" s="3">
        <f t="shared" si="135"/>
        <v>1.7765171530370418E-3</v>
      </c>
      <c r="T199" s="3">
        <f t="shared" si="135"/>
        <v>1.7765171530370306E-3</v>
      </c>
      <c r="U199" s="3">
        <f t="shared" si="135"/>
        <v>1.7765171530369182E-3</v>
      </c>
      <c r="V199" s="3">
        <f t="shared" si="135"/>
        <v>1.7765171530357972E-3</v>
      </c>
      <c r="W199" s="3">
        <f t="shared" si="135"/>
        <v>1.7765171530245863E-3</v>
      </c>
      <c r="X199" s="3">
        <f t="shared" si="135"/>
        <v>1.7765171529124757E-3</v>
      </c>
      <c r="Y199" s="3">
        <f t="shared" si="135"/>
        <v>1.7765171517913714E-3</v>
      </c>
      <c r="Z199" s="3">
        <f t="shared" si="135"/>
        <v>1.7765171405803274E-3</v>
      </c>
      <c r="AA199" s="3">
        <f t="shared" si="135"/>
        <v>1.776517028469891E-3</v>
      </c>
      <c r="AB199" s="3">
        <f t="shared" si="135"/>
        <v>1.7765159073659166E-3</v>
      </c>
      <c r="AC199" s="3">
        <f t="shared" si="135"/>
        <v>1.7765046963650858E-3</v>
      </c>
      <c r="AD199" s="3">
        <f t="shared" si="135"/>
        <v>1.7763925902478915E-3</v>
      </c>
      <c r="AE199" s="3">
        <f t="shared" si="135"/>
        <v>1.7752719180966715E-3</v>
      </c>
      <c r="AF199" s="3">
        <f t="shared" si="135"/>
        <v>1.7641040079752741E-3</v>
      </c>
      <c r="AG199" s="3"/>
      <c r="AH199" s="3"/>
    </row>
    <row r="200" spans="1:34" x14ac:dyDescent="0.25">
      <c r="B200" s="3">
        <f t="shared" ref="B200:AF200" si="136">$C47*EXP(-B$168/$A47/EXP(-$C$126))</f>
        <v>1.0980455611403293E-3</v>
      </c>
      <c r="C200" s="3">
        <f t="shared" si="136"/>
        <v>1.0980455611403293E-3</v>
      </c>
      <c r="D200" s="3">
        <f t="shared" si="136"/>
        <v>1.0980455611403293E-3</v>
      </c>
      <c r="E200" s="3">
        <f t="shared" si="136"/>
        <v>1.0980455611403293E-3</v>
      </c>
      <c r="F200" s="3">
        <f t="shared" si="136"/>
        <v>1.0980455611403293E-3</v>
      </c>
      <c r="G200" s="3">
        <f t="shared" si="136"/>
        <v>1.0980455611403293E-3</v>
      </c>
      <c r="H200" s="3">
        <f t="shared" si="136"/>
        <v>1.0980455611403293E-3</v>
      </c>
      <c r="I200" s="3">
        <f t="shared" si="136"/>
        <v>1.0980455611403293E-3</v>
      </c>
      <c r="J200" s="3">
        <f t="shared" si="136"/>
        <v>1.0980455611403293E-3</v>
      </c>
      <c r="K200" s="3">
        <f t="shared" si="136"/>
        <v>1.0980455611403293E-3</v>
      </c>
      <c r="L200" s="3">
        <f t="shared" si="136"/>
        <v>1.0980455611403293E-3</v>
      </c>
      <c r="M200" s="3">
        <f t="shared" si="136"/>
        <v>1.0980455611403293E-3</v>
      </c>
      <c r="N200" s="3">
        <f t="shared" si="136"/>
        <v>1.0980455611403293E-3</v>
      </c>
      <c r="O200" s="3">
        <f t="shared" si="136"/>
        <v>1.0980455611403293E-3</v>
      </c>
      <c r="P200" s="3">
        <f t="shared" si="136"/>
        <v>1.0980455611403293E-3</v>
      </c>
      <c r="Q200" s="3">
        <f t="shared" si="136"/>
        <v>1.0980455611403293E-3</v>
      </c>
      <c r="R200" s="3">
        <f t="shared" si="136"/>
        <v>1.0980455611403293E-3</v>
      </c>
      <c r="S200" s="3">
        <f t="shared" si="136"/>
        <v>1.098045561140329E-3</v>
      </c>
      <c r="T200" s="3">
        <f t="shared" si="136"/>
        <v>1.0980455611403286E-3</v>
      </c>
      <c r="U200" s="3">
        <f t="shared" si="136"/>
        <v>1.0980455611403217E-3</v>
      </c>
      <c r="V200" s="3">
        <f t="shared" si="136"/>
        <v>1.0980455611402523E-3</v>
      </c>
      <c r="W200" s="3">
        <f t="shared" si="136"/>
        <v>1.0980455611395593E-3</v>
      </c>
      <c r="X200" s="3">
        <f t="shared" si="136"/>
        <v>1.0980455611326299E-3</v>
      </c>
      <c r="Y200" s="3">
        <f t="shared" si="136"/>
        <v>1.0980455610633357E-3</v>
      </c>
      <c r="Z200" s="3">
        <f t="shared" si="136"/>
        <v>1.0980455603703935E-3</v>
      </c>
      <c r="AA200" s="3">
        <f t="shared" si="136"/>
        <v>1.0980455534409714E-3</v>
      </c>
      <c r="AB200" s="3">
        <f t="shared" si="136"/>
        <v>1.0980454841467535E-3</v>
      </c>
      <c r="AC200" s="3">
        <f t="shared" si="136"/>
        <v>1.0980447912048133E-3</v>
      </c>
      <c r="AD200" s="3">
        <f t="shared" si="136"/>
        <v>1.0980378618094639E-3</v>
      </c>
      <c r="AE200" s="3">
        <f t="shared" si="136"/>
        <v>1.0979685702610254E-3</v>
      </c>
      <c r="AF200" s="3">
        <f t="shared" si="136"/>
        <v>1.097275895226035E-3</v>
      </c>
      <c r="AG200" s="3"/>
      <c r="AH200" s="3"/>
    </row>
    <row r="201" spans="1:34" x14ac:dyDescent="0.25">
      <c r="B201" s="3">
        <f t="shared" ref="B201:AF201" si="137">$C48*EXP(-B$168/$A48/EXP(-$C$126))</f>
        <v>1.9170213005477699E-3</v>
      </c>
      <c r="C201" s="3">
        <f t="shared" si="137"/>
        <v>1.9170213005477699E-3</v>
      </c>
      <c r="D201" s="3">
        <f t="shared" si="137"/>
        <v>1.9170213005477699E-3</v>
      </c>
      <c r="E201" s="3">
        <f t="shared" si="137"/>
        <v>1.9170213005477699E-3</v>
      </c>
      <c r="F201" s="3">
        <f t="shared" si="137"/>
        <v>1.9170213005477699E-3</v>
      </c>
      <c r="G201" s="3">
        <f t="shared" si="137"/>
        <v>1.9170213005477699E-3</v>
      </c>
      <c r="H201" s="3">
        <f t="shared" si="137"/>
        <v>1.9170213005477699E-3</v>
      </c>
      <c r="I201" s="3">
        <f t="shared" si="137"/>
        <v>1.9170213005477699E-3</v>
      </c>
      <c r="J201" s="3">
        <f t="shared" si="137"/>
        <v>1.9170213005477699E-3</v>
      </c>
      <c r="K201" s="3">
        <f t="shared" si="137"/>
        <v>1.9170213005477699E-3</v>
      </c>
      <c r="L201" s="3">
        <f t="shared" si="137"/>
        <v>1.9170213005477699E-3</v>
      </c>
      <c r="M201" s="3">
        <f t="shared" si="137"/>
        <v>1.9170213005477699E-3</v>
      </c>
      <c r="N201" s="3">
        <f t="shared" si="137"/>
        <v>1.9170213005477699E-3</v>
      </c>
      <c r="O201" s="3">
        <f t="shared" si="137"/>
        <v>1.9170213005477699E-3</v>
      </c>
      <c r="P201" s="3">
        <f t="shared" si="137"/>
        <v>1.9170213005477699E-3</v>
      </c>
      <c r="Q201" s="3">
        <f t="shared" si="137"/>
        <v>1.9170213005477699E-3</v>
      </c>
      <c r="R201" s="3">
        <f t="shared" si="137"/>
        <v>1.9170213005477699E-3</v>
      </c>
      <c r="S201" s="3">
        <f t="shared" si="137"/>
        <v>1.9170213005477699E-3</v>
      </c>
      <c r="T201" s="3">
        <f t="shared" si="137"/>
        <v>1.9170213005477697E-3</v>
      </c>
      <c r="U201" s="3">
        <f t="shared" si="137"/>
        <v>1.9170213005477686E-3</v>
      </c>
      <c r="V201" s="3">
        <f t="shared" si="137"/>
        <v>1.9170213005477565E-3</v>
      </c>
      <c r="W201" s="3">
        <f t="shared" si="137"/>
        <v>1.9170213005476355E-3</v>
      </c>
      <c r="X201" s="3">
        <f t="shared" si="137"/>
        <v>1.9170213005464257E-3</v>
      </c>
      <c r="Y201" s="3">
        <f t="shared" si="137"/>
        <v>1.917021300534328E-3</v>
      </c>
      <c r="Z201" s="3">
        <f t="shared" si="137"/>
        <v>1.9170213004133508E-3</v>
      </c>
      <c r="AA201" s="3">
        <f t="shared" si="137"/>
        <v>1.9170212992035787E-3</v>
      </c>
      <c r="AB201" s="3">
        <f t="shared" si="137"/>
        <v>1.917021287105857E-3</v>
      </c>
      <c r="AC201" s="3">
        <f t="shared" si="137"/>
        <v>1.9170211661286437E-3</v>
      </c>
      <c r="AD201" s="3">
        <f t="shared" si="137"/>
        <v>1.9170199563569308E-3</v>
      </c>
      <c r="AE201" s="3">
        <f t="shared" si="137"/>
        <v>1.9170078586817935E-3</v>
      </c>
      <c r="AF201" s="3">
        <f t="shared" si="137"/>
        <v>1.9168868861292824E-3</v>
      </c>
      <c r="AG201" s="3"/>
      <c r="AH201" s="3"/>
    </row>
    <row r="202" spans="1:34" x14ac:dyDescent="0.25">
      <c r="A202" s="79">
        <f>AVERAGE(B202:AF202)</f>
        <v>3.1045345980812392E-2</v>
      </c>
      <c r="B202" s="80">
        <f>IF($A$64&lt;=B168,IF($B$64&gt;=B168,ABS((B170-B169)/B169),0),0)</f>
        <v>8.5024330632799516E-2</v>
      </c>
      <c r="C202" s="80">
        <f t="shared" ref="C202:AF202" si="138">IF($A$64&lt;=C168,IF($B$64&gt;=C168,ABS((C170-C169)/C169),0),0)</f>
        <v>6.0364691648239904E-2</v>
      </c>
      <c r="D202" s="80">
        <f t="shared" si="138"/>
        <v>4.4614010768937742E-2</v>
      </c>
      <c r="E202" s="80">
        <f t="shared" si="138"/>
        <v>2.8830290868935359E-2</v>
      </c>
      <c r="F202" s="80">
        <f t="shared" si="138"/>
        <v>1.6766932583637321E-2</v>
      </c>
      <c r="G202" s="80">
        <f t="shared" si="138"/>
        <v>2.6083149359049009E-2</v>
      </c>
      <c r="H202" s="80">
        <f t="shared" si="138"/>
        <v>2.674222655836667E-2</v>
      </c>
      <c r="I202" s="80">
        <f t="shared" si="138"/>
        <v>2.4796536367190057E-2</v>
      </c>
      <c r="J202" s="80">
        <f t="shared" si="138"/>
        <v>2.617749522779695E-2</v>
      </c>
      <c r="K202" s="80">
        <f t="shared" si="138"/>
        <v>2.4690104229546941E-2</v>
      </c>
      <c r="L202" s="80">
        <f t="shared" si="138"/>
        <v>2.6064513038599853E-2</v>
      </c>
      <c r="M202" s="80">
        <f t="shared" si="138"/>
        <v>2.7246430409624548E-2</v>
      </c>
      <c r="N202" s="80">
        <f t="shared" si="138"/>
        <v>2.6607543522933767E-2</v>
      </c>
      <c r="O202" s="80">
        <f t="shared" si="138"/>
        <v>2.6375362881251661E-2</v>
      </c>
      <c r="P202" s="80">
        <f t="shared" si="138"/>
        <v>2.5704596252972032E-2</v>
      </c>
      <c r="Q202" s="80">
        <f t="shared" si="138"/>
        <v>2.6616781724163423E-2</v>
      </c>
      <c r="R202" s="80">
        <f t="shared" si="138"/>
        <v>2.644313339130188E-2</v>
      </c>
      <c r="S202" s="80">
        <f t="shared" si="138"/>
        <v>2.444953173283777E-2</v>
      </c>
      <c r="T202" s="80">
        <f t="shared" si="138"/>
        <v>1.3263856134911649E-2</v>
      </c>
      <c r="U202" s="80">
        <f t="shared" si="138"/>
        <v>4.803862624388619E-2</v>
      </c>
      <c r="V202" s="80">
        <f t="shared" si="138"/>
        <v>9.7302100797428875E-2</v>
      </c>
      <c r="W202" s="80">
        <f t="shared" si="138"/>
        <v>8.7476272361084378E-2</v>
      </c>
      <c r="X202" s="80">
        <f t="shared" si="138"/>
        <v>5.4515251852048176E-2</v>
      </c>
      <c r="Y202" s="80">
        <f t="shared" si="138"/>
        <v>2.7257243138023819E-2</v>
      </c>
      <c r="Z202" s="80">
        <f t="shared" si="138"/>
        <v>7.8933492106061463E-3</v>
      </c>
      <c r="AA202" s="80">
        <f t="shared" si="138"/>
        <v>7.565415394600602E-3</v>
      </c>
      <c r="AB202" s="80">
        <f t="shared" si="138"/>
        <v>2.2150879078524689E-2</v>
      </c>
      <c r="AC202" s="80">
        <f t="shared" si="138"/>
        <v>6.062455596050286E-3</v>
      </c>
      <c r="AD202" s="80">
        <f t="shared" si="138"/>
        <v>1.2989840598646545E-2</v>
      </c>
      <c r="AE202" s="80">
        <f t="shared" si="138"/>
        <v>3.8539072251698314E-4</v>
      </c>
      <c r="AF202" s="80">
        <f t="shared" si="138"/>
        <v>3.9073830786715367E-3</v>
      </c>
    </row>
    <row r="203" spans="1:34" x14ac:dyDescent="0.25">
      <c r="B203" s="21">
        <f>(B170-B169)^2</f>
        <v>934105.89491977217</v>
      </c>
      <c r="C203" s="21">
        <f t="shared" ref="C203:AF203" si="139">(C170-C169)^2</f>
        <v>446447.27618020616</v>
      </c>
      <c r="D203" s="21">
        <f t="shared" si="139"/>
        <v>235856.96090206335</v>
      </c>
      <c r="E203" s="21">
        <f t="shared" si="139"/>
        <v>95189.017912105031</v>
      </c>
      <c r="F203" s="21">
        <f t="shared" si="139"/>
        <v>31022.487169118835</v>
      </c>
      <c r="G203" s="21">
        <f t="shared" si="139"/>
        <v>71995.487636921534</v>
      </c>
      <c r="H203" s="21">
        <f t="shared" si="139"/>
        <v>72220.74836652416</v>
      </c>
      <c r="I203" s="21">
        <f t="shared" si="139"/>
        <v>58723.296470208756</v>
      </c>
      <c r="J203" s="21">
        <f t="shared" si="139"/>
        <v>62072.660137977742</v>
      </c>
      <c r="K203" s="21">
        <f t="shared" si="139"/>
        <v>52214.475584410699</v>
      </c>
      <c r="L203" s="21">
        <f t="shared" si="139"/>
        <v>54583.796424040702</v>
      </c>
      <c r="M203" s="21">
        <f t="shared" si="139"/>
        <v>55092.198421933979</v>
      </c>
      <c r="N203" s="21">
        <f t="shared" si="139"/>
        <v>48167.007346796287</v>
      </c>
      <c r="O203" s="21">
        <f t="shared" si="139"/>
        <v>43772.329247877235</v>
      </c>
      <c r="P203" s="21">
        <f t="shared" si="139"/>
        <v>38680.686981271923</v>
      </c>
      <c r="Q203" s="21">
        <f t="shared" si="139"/>
        <v>38460.249620584531</v>
      </c>
      <c r="R203" s="21">
        <f t="shared" si="139"/>
        <v>35033.205363046312</v>
      </c>
      <c r="S203" s="21">
        <f t="shared" si="139"/>
        <v>27485.056578563905</v>
      </c>
      <c r="T203" s="21">
        <f t="shared" si="139"/>
        <v>7115.9534700348804</v>
      </c>
      <c r="U203" s="21">
        <f t="shared" si="139"/>
        <v>70661.43808038783</v>
      </c>
      <c r="V203" s="21">
        <f t="shared" si="139"/>
        <v>189364.1347905744</v>
      </c>
      <c r="W203" s="21">
        <f t="shared" si="139"/>
        <v>96975.174282275955</v>
      </c>
      <c r="X203" s="21">
        <f t="shared" si="139"/>
        <v>24042.301316343692</v>
      </c>
      <c r="Y203" s="21">
        <f t="shared" si="139"/>
        <v>3718.8530407267522</v>
      </c>
      <c r="Z203" s="21">
        <f t="shared" si="139"/>
        <v>176.82104909632469</v>
      </c>
      <c r="AA203" s="21">
        <f t="shared" si="139"/>
        <v>82.021314703392051</v>
      </c>
      <c r="AB203" s="21">
        <f t="shared" si="139"/>
        <v>346.31237805498426</v>
      </c>
      <c r="AC203" s="21">
        <f t="shared" si="139"/>
        <v>13.657356420955592</v>
      </c>
      <c r="AD203" s="21">
        <f t="shared" si="139"/>
        <v>41.261856050794478</v>
      </c>
      <c r="AE203" s="21">
        <f t="shared" si="139"/>
        <v>2.7936515970534606E-2</v>
      </c>
      <c r="AF203" s="21">
        <f t="shared" si="139"/>
        <v>2.4941205877486032</v>
      </c>
      <c r="AG203" s="3"/>
      <c r="AH203" s="3"/>
    </row>
    <row r="204" spans="1:34" x14ac:dyDescent="0.25">
      <c r="A204" s="71">
        <f>SUM(B204:AF204)</f>
        <v>2793663.2862551971</v>
      </c>
      <c r="B204" s="60">
        <f>IF($A$64&lt;=B168,IF($B$64&gt;=B168,ABS(B203),0),0)</f>
        <v>934105.89491977217</v>
      </c>
      <c r="C204" s="60">
        <f t="shared" ref="C204" si="140">IF($A$64&lt;=C168,IF($B$64&gt;=C168,ABS(C203),0),0)</f>
        <v>446447.27618020616</v>
      </c>
      <c r="D204" s="60">
        <f t="shared" ref="D204" si="141">IF($A$64&lt;=D168,IF($B$64&gt;=D168,ABS(D203),0),0)</f>
        <v>235856.96090206335</v>
      </c>
      <c r="E204" s="60">
        <f t="shared" ref="E204" si="142">IF($A$64&lt;=E168,IF($B$64&gt;=E168,ABS(E203),0),0)</f>
        <v>95189.017912105031</v>
      </c>
      <c r="F204" s="60">
        <f t="shared" ref="F204" si="143">IF($A$64&lt;=F168,IF($B$64&gt;=F168,ABS(F203),0),0)</f>
        <v>31022.487169118835</v>
      </c>
      <c r="G204" s="60">
        <f t="shared" ref="G204" si="144">IF($A$64&lt;=G168,IF($B$64&gt;=G168,ABS(G203),0),0)</f>
        <v>71995.487636921534</v>
      </c>
      <c r="H204" s="60">
        <f t="shared" ref="H204" si="145">IF($A$64&lt;=H168,IF($B$64&gt;=H168,ABS(H203),0),0)</f>
        <v>72220.74836652416</v>
      </c>
      <c r="I204" s="60">
        <f t="shared" ref="I204" si="146">IF($A$64&lt;=I168,IF($B$64&gt;=I168,ABS(I203),0),0)</f>
        <v>58723.296470208756</v>
      </c>
      <c r="J204" s="60">
        <f t="shared" ref="J204" si="147">IF($A$64&lt;=J168,IF($B$64&gt;=J168,ABS(J203),0),0)</f>
        <v>62072.660137977742</v>
      </c>
      <c r="K204" s="60">
        <f t="shared" ref="K204" si="148">IF($A$64&lt;=K168,IF($B$64&gt;=K168,ABS(K203),0),0)</f>
        <v>52214.475584410699</v>
      </c>
      <c r="L204" s="60">
        <f t="shared" ref="L204" si="149">IF($A$64&lt;=L168,IF($B$64&gt;=L168,ABS(L203),0),0)</f>
        <v>54583.796424040702</v>
      </c>
      <c r="M204" s="60">
        <f t="shared" ref="M204" si="150">IF($A$64&lt;=M168,IF($B$64&gt;=M168,ABS(M203),0),0)</f>
        <v>55092.198421933979</v>
      </c>
      <c r="N204" s="60">
        <f t="shared" ref="N204" si="151">IF($A$64&lt;=N168,IF($B$64&gt;=N168,ABS(N203),0),0)</f>
        <v>48167.007346796287</v>
      </c>
      <c r="O204" s="60">
        <f t="shared" ref="O204" si="152">IF($A$64&lt;=O168,IF($B$64&gt;=O168,ABS(O203),0),0)</f>
        <v>43772.329247877235</v>
      </c>
      <c r="P204" s="60">
        <f t="shared" ref="P204" si="153">IF($A$64&lt;=P168,IF($B$64&gt;=P168,ABS(P203),0),0)</f>
        <v>38680.686981271923</v>
      </c>
      <c r="Q204" s="60">
        <f t="shared" ref="Q204" si="154">IF($A$64&lt;=Q168,IF($B$64&gt;=Q168,ABS(Q203),0),0)</f>
        <v>38460.249620584531</v>
      </c>
      <c r="R204" s="60">
        <f t="shared" ref="R204" si="155">IF($A$64&lt;=R168,IF($B$64&gt;=R168,ABS(R203),0),0)</f>
        <v>35033.205363046312</v>
      </c>
      <c r="S204" s="60">
        <f t="shared" ref="S204" si="156">IF($A$64&lt;=S168,IF($B$64&gt;=S168,ABS(S203),0),0)</f>
        <v>27485.056578563905</v>
      </c>
      <c r="T204" s="60">
        <f t="shared" ref="T204" si="157">IF($A$64&lt;=T168,IF($B$64&gt;=T168,ABS(T203),0),0)</f>
        <v>7115.9534700348804</v>
      </c>
      <c r="U204" s="60">
        <f t="shared" ref="U204" si="158">IF($A$64&lt;=U168,IF($B$64&gt;=U168,ABS(U203),0),0)</f>
        <v>70661.43808038783</v>
      </c>
      <c r="V204" s="60">
        <f t="shared" ref="V204" si="159">IF($A$64&lt;=V168,IF($B$64&gt;=V168,ABS(V203),0),0)</f>
        <v>189364.1347905744</v>
      </c>
      <c r="W204" s="60">
        <f t="shared" ref="W204" si="160">IF($A$64&lt;=W168,IF($B$64&gt;=W168,ABS(W203),0),0)</f>
        <v>96975.174282275955</v>
      </c>
      <c r="X204" s="60">
        <f t="shared" ref="X204" si="161">IF($A$64&lt;=X168,IF($B$64&gt;=X168,ABS(X203),0),0)</f>
        <v>24042.301316343692</v>
      </c>
      <c r="Y204" s="60">
        <f t="shared" ref="Y204" si="162">IF($A$64&lt;=Y168,IF($B$64&gt;=Y168,ABS(Y203),0),0)</f>
        <v>3718.8530407267522</v>
      </c>
      <c r="Z204" s="60">
        <f t="shared" ref="Z204" si="163">IF($A$64&lt;=Z168,IF($B$64&gt;=Z168,ABS(Z203),0),0)</f>
        <v>176.82104909632469</v>
      </c>
      <c r="AA204" s="60">
        <f t="shared" ref="AA204" si="164">IF($A$64&lt;=AA168,IF($B$64&gt;=AA168,ABS(AA203),0),0)</f>
        <v>82.021314703392051</v>
      </c>
      <c r="AB204" s="60">
        <f t="shared" ref="AB204" si="165">IF($A$64&lt;=AB168,IF($B$64&gt;=AB168,ABS(AB203),0),0)</f>
        <v>346.31237805498426</v>
      </c>
      <c r="AC204" s="60">
        <f t="shared" ref="AC204" si="166">IF($A$64&lt;=AC168,IF($B$64&gt;=AC168,ABS(AC203),0),0)</f>
        <v>13.657356420955592</v>
      </c>
      <c r="AD204" s="60">
        <f t="shared" ref="AD204" si="167">IF($A$64&lt;=AD168,IF($B$64&gt;=AD168,ABS(AD203),0),0)</f>
        <v>41.261856050794478</v>
      </c>
      <c r="AE204" s="60">
        <f t="shared" ref="AE204" si="168">IF($A$64&lt;=AE168,IF($B$64&gt;=AE168,ABS(AE203),0),0)</f>
        <v>2.7936515970534606E-2</v>
      </c>
      <c r="AF204" s="60">
        <f t="shared" ref="AF204" si="169">IF($A$64&lt;=AF168,IF($B$64&gt;=AF168,ABS(AF203),0),0)</f>
        <v>2.4941205877486032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10400.658456850029</v>
      </c>
      <c r="C209" s="27">
        <f t="shared" ref="C209:AF209" si="170">($C$17+SUM(C210:C240))*$B$51</f>
        <v>10399.824451897444</v>
      </c>
      <c r="D209" s="27">
        <f t="shared" si="170"/>
        <v>10391.567638219845</v>
      </c>
      <c r="E209" s="27">
        <f t="shared" si="170"/>
        <v>10316.765769017284</v>
      </c>
      <c r="F209" s="27">
        <f t="shared" si="170"/>
        <v>9993.7696911626663</v>
      </c>
      <c r="G209" s="27">
        <f t="shared" si="170"/>
        <v>9763.3006387115656</v>
      </c>
      <c r="H209" s="27">
        <f t="shared" si="170"/>
        <v>9508.9048066241539</v>
      </c>
      <c r="I209" s="27">
        <f t="shared" si="170"/>
        <v>9247.3299536769409</v>
      </c>
      <c r="J209" s="27">
        <f t="shared" si="170"/>
        <v>9006.3399123417894</v>
      </c>
      <c r="K209" s="27">
        <f t="shared" si="170"/>
        <v>8702.2863427856028</v>
      </c>
      <c r="L209" s="27">
        <f t="shared" si="170"/>
        <v>8350.7520093136172</v>
      </c>
      <c r="M209" s="27">
        <f t="shared" si="170"/>
        <v>8002.1244713953247</v>
      </c>
      <c r="N209" s="27">
        <f t="shared" si="170"/>
        <v>7702.3447391557784</v>
      </c>
      <c r="O209" s="27">
        <f t="shared" si="170"/>
        <v>7434.3880132043332</v>
      </c>
      <c r="P209" s="27">
        <f t="shared" si="170"/>
        <v>7150.1834842420212</v>
      </c>
      <c r="Q209" s="27">
        <f t="shared" si="170"/>
        <v>6873.8127717348398</v>
      </c>
      <c r="R209" s="27">
        <f t="shared" si="170"/>
        <v>6592.4077879073911</v>
      </c>
      <c r="S209" s="27">
        <f t="shared" si="170"/>
        <v>6252.5971702367224</v>
      </c>
      <c r="T209" s="27">
        <f t="shared" si="170"/>
        <v>5748.8099022912784</v>
      </c>
      <c r="U209" s="27">
        <f t="shared" si="170"/>
        <v>4842.4865277009776</v>
      </c>
      <c r="V209" s="27">
        <f t="shared" si="170"/>
        <v>3812.8705018613982</v>
      </c>
      <c r="W209" s="27">
        <f t="shared" si="170"/>
        <v>2951.8505913441545</v>
      </c>
      <c r="X209" s="27">
        <f t="shared" si="170"/>
        <v>2254.960662159182</v>
      </c>
      <c r="Y209" s="27">
        <f t="shared" si="170"/>
        <v>1637.88428546877</v>
      </c>
      <c r="Z209" s="27">
        <f t="shared" si="170"/>
        <v>1166.6972031874284</v>
      </c>
      <c r="AA209" s="27">
        <f t="shared" si="170"/>
        <v>802.69488175619733</v>
      </c>
      <c r="AB209" s="27">
        <f t="shared" si="170"/>
        <v>594.8507983059111</v>
      </c>
      <c r="AC209" s="27">
        <f t="shared" si="170"/>
        <v>483.14019592001904</v>
      </c>
      <c r="AD209" s="27">
        <f t="shared" si="170"/>
        <v>431.31796532627868</v>
      </c>
      <c r="AE209" s="27">
        <f t="shared" si="170"/>
        <v>400.75049676813035</v>
      </c>
      <c r="AF209" s="27">
        <f t="shared" si="170"/>
        <v>385.67916604388211</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3.6504511892390727E-2</v>
      </c>
      <c r="C211" s="3">
        <f t="shared" si="172"/>
        <v>3.6434856600058352E-2</v>
      </c>
      <c r="D211" s="3">
        <f t="shared" si="172"/>
        <v>3.5745572107986755E-2</v>
      </c>
      <c r="E211" s="3">
        <f t="shared" si="172"/>
        <v>2.9530726408302239E-2</v>
      </c>
      <c r="F211" s="3">
        <f t="shared" si="172"/>
        <v>4.3731352283454695E-3</v>
      </c>
      <c r="G211" s="3">
        <f t="shared" si="172"/>
        <v>2.2180977277332143E-11</v>
      </c>
      <c r="H211" s="3">
        <f t="shared" si="172"/>
        <v>2.4995301280285502E-94</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1.7689508408255773E-2</v>
      </c>
      <c r="C212" s="3">
        <f t="shared" si="173"/>
        <v>1.7686460883862856E-2</v>
      </c>
      <c r="D212" s="3">
        <f t="shared" si="173"/>
        <v>1.765601450129866E-2</v>
      </c>
      <c r="E212" s="3">
        <f t="shared" si="173"/>
        <v>1.7354418497927179E-2</v>
      </c>
      <c r="F212" s="3">
        <f t="shared" si="173"/>
        <v>1.4607771243313394E-2</v>
      </c>
      <c r="G212" s="3">
        <f t="shared" si="173"/>
        <v>2.6080918972025452E-3</v>
      </c>
      <c r="H212" s="3">
        <f t="shared" si="173"/>
        <v>8.5844444849401053E-11</v>
      </c>
      <c r="I212" s="3">
        <f t="shared" si="173"/>
        <v>1.281165578570008E-85</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2.4471299785786511E-2</v>
      </c>
      <c r="C213" s="3">
        <f t="shared" si="174"/>
        <v>2.4470919448334842E-2</v>
      </c>
      <c r="D213" s="3">
        <f t="shared" si="174"/>
        <v>2.4467116398923097E-2</v>
      </c>
      <c r="E213" s="3">
        <f t="shared" si="174"/>
        <v>2.4429118396613152E-2</v>
      </c>
      <c r="F213" s="3">
        <f t="shared" si="174"/>
        <v>2.4052368946779805E-2</v>
      </c>
      <c r="G213" s="3">
        <f t="shared" si="174"/>
        <v>2.059010131578275E-2</v>
      </c>
      <c r="H213" s="3">
        <f t="shared" si="174"/>
        <v>4.3517581339676797E-3</v>
      </c>
      <c r="I213" s="3">
        <f t="shared" si="174"/>
        <v>7.739758521155332E-10</v>
      </c>
      <c r="J213" s="3">
        <f t="shared" si="174"/>
        <v>2.4510604571155586E-77</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2.4619149642918593E-2</v>
      </c>
      <c r="C214" s="3">
        <f t="shared" si="175"/>
        <v>2.4619115125781736E-2</v>
      </c>
      <c r="D214" s="3">
        <f t="shared" si="175"/>
        <v>2.4618769957074852E-2</v>
      </c>
      <c r="E214" s="3">
        <f t="shared" si="175"/>
        <v>2.461531853616113E-2</v>
      </c>
      <c r="F214" s="3">
        <f t="shared" si="175"/>
        <v>2.4580830928733449E-2</v>
      </c>
      <c r="G214" s="3">
        <f t="shared" si="175"/>
        <v>2.4238601277197888E-2</v>
      </c>
      <c r="H214" s="3">
        <f t="shared" si="175"/>
        <v>2.1067718384272051E-2</v>
      </c>
      <c r="I214" s="3">
        <f t="shared" si="175"/>
        <v>5.1846208544335361E-3</v>
      </c>
      <c r="J214" s="3">
        <f t="shared" si="175"/>
        <v>4.2238839947369431E-9</v>
      </c>
      <c r="K214" s="3">
        <f t="shared" si="175"/>
        <v>5.440787696812911E-70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1.9768715880009044E-2</v>
      </c>
      <c r="C215" s="3">
        <f t="shared" si="176"/>
        <v>1.9768713379738269E-2</v>
      </c>
      <c r="D215" s="3">
        <f t="shared" si="176"/>
        <v>1.9768688377047944E-2</v>
      </c>
      <c r="E215" s="3">
        <f t="shared" si="176"/>
        <v>1.9768438351883938E-2</v>
      </c>
      <c r="F215" s="3">
        <f t="shared" si="176"/>
        <v>1.9765938274158335E-2</v>
      </c>
      <c r="G215" s="3">
        <f t="shared" si="176"/>
        <v>1.9740954880216741E-2</v>
      </c>
      <c r="H215" s="3">
        <f t="shared" si="176"/>
        <v>1.9492851164964558E-2</v>
      </c>
      <c r="I215" s="3">
        <f t="shared" si="176"/>
        <v>1.7177006340371802E-2</v>
      </c>
      <c r="J215" s="3">
        <f t="shared" si="176"/>
        <v>4.8491829276968643E-3</v>
      </c>
      <c r="K215" s="3">
        <f t="shared" si="176"/>
        <v>1.5591197853736598E-8</v>
      </c>
      <c r="L215" s="3">
        <f t="shared" si="176"/>
        <v>1.8407238355770319E-63</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3.0447866695228906E-2</v>
      </c>
      <c r="C216" s="3">
        <f t="shared" si="177"/>
        <v>3.0447866347843099E-2</v>
      </c>
      <c r="D216" s="3">
        <f t="shared" si="177"/>
        <v>3.0447862873985255E-2</v>
      </c>
      <c r="E216" s="3">
        <f t="shared" si="177"/>
        <v>3.0447828135428609E-2</v>
      </c>
      <c r="F216" s="3">
        <f t="shared" si="177"/>
        <v>3.0447480752041997E-2</v>
      </c>
      <c r="G216" s="3">
        <f t="shared" si="177"/>
        <v>3.0444007136152348E-2</v>
      </c>
      <c r="H216" s="3">
        <f t="shared" si="177"/>
        <v>3.0409292765702957E-2</v>
      </c>
      <c r="I216" s="3">
        <f t="shared" si="177"/>
        <v>3.006431873613976E-2</v>
      </c>
      <c r="J216" s="3">
        <f t="shared" si="177"/>
        <v>2.6822659715906295E-2</v>
      </c>
      <c r="K216" s="3">
        <f t="shared" si="177"/>
        <v>8.5705080849607061E-3</v>
      </c>
      <c r="L216" s="3">
        <f t="shared" si="177"/>
        <v>9.507226891261655E-8</v>
      </c>
      <c r="M216" s="3">
        <f t="shared" si="177"/>
        <v>2.6824198511418351E-57</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3.3440430420075516E-2</v>
      </c>
      <c r="C217" s="3">
        <f t="shared" si="178"/>
        <v>3.3440430385658464E-2</v>
      </c>
      <c r="D217" s="3">
        <f t="shared" si="178"/>
        <v>3.3440430041487959E-2</v>
      </c>
      <c r="E217" s="3">
        <f t="shared" si="178"/>
        <v>3.34404265997831E-2</v>
      </c>
      <c r="F217" s="3">
        <f t="shared" si="178"/>
        <v>3.3440392182753985E-2</v>
      </c>
      <c r="G217" s="3">
        <f t="shared" si="178"/>
        <v>3.3440048014411049E-2</v>
      </c>
      <c r="H217" s="3">
        <f t="shared" si="178"/>
        <v>3.3436606525795533E-2</v>
      </c>
      <c r="I217" s="3">
        <f t="shared" si="178"/>
        <v>3.3402211113605668E-2</v>
      </c>
      <c r="J217" s="3">
        <f t="shared" si="178"/>
        <v>3.3060196992811555E-2</v>
      </c>
      <c r="K217" s="3">
        <f t="shared" si="178"/>
        <v>2.9826867260442081E-2</v>
      </c>
      <c r="L217" s="3">
        <f t="shared" si="178"/>
        <v>1.0656870435997659E-2</v>
      </c>
      <c r="M217" s="3">
        <f t="shared" si="178"/>
        <v>3.6128516463040693E-7</v>
      </c>
      <c r="N217" s="3">
        <f t="shared" si="178"/>
        <v>7.2452697117675323E-52</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3.2526067404406958E-2</v>
      </c>
      <c r="C218" s="3">
        <f t="shared" si="179"/>
        <v>3.2526067401387151E-2</v>
      </c>
      <c r="D218" s="3">
        <f t="shared" si="179"/>
        <v>3.2526067371189023E-2</v>
      </c>
      <c r="E218" s="3">
        <f t="shared" si="179"/>
        <v>3.2526067069207805E-2</v>
      </c>
      <c r="F218" s="3">
        <f t="shared" si="179"/>
        <v>3.2526064049395724E-2</v>
      </c>
      <c r="G218" s="3">
        <f t="shared" si="179"/>
        <v>3.2526033851290381E-2</v>
      </c>
      <c r="H218" s="3">
        <f t="shared" si="179"/>
        <v>3.2525731871778957E-2</v>
      </c>
      <c r="I218" s="3">
        <f t="shared" si="179"/>
        <v>3.2522712230861187E-2</v>
      </c>
      <c r="J218" s="3">
        <f t="shared" si="179"/>
        <v>3.2492531236035176E-2</v>
      </c>
      <c r="K218" s="3">
        <f t="shared" si="179"/>
        <v>3.2192257440952589E-2</v>
      </c>
      <c r="L218" s="3">
        <f t="shared" si="179"/>
        <v>2.9337986337806383E-2</v>
      </c>
      <c r="M218" s="3">
        <f t="shared" si="179"/>
        <v>1.159361838243248E-2</v>
      </c>
      <c r="N218" s="3">
        <f t="shared" si="179"/>
        <v>1.0767279595098483E-6</v>
      </c>
      <c r="O218" s="3">
        <f t="shared" si="179"/>
        <v>5.1401511117391685E-47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2.4652946238710817E-2</v>
      </c>
      <c r="C219" s="3">
        <f t="shared" si="180"/>
        <v>2.4652946238504347E-2</v>
      </c>
      <c r="D219" s="3">
        <f t="shared" si="180"/>
        <v>2.4652946236439613E-2</v>
      </c>
      <c r="E219" s="3">
        <f t="shared" si="180"/>
        <v>2.4652946215792289E-2</v>
      </c>
      <c r="F219" s="3">
        <f t="shared" si="180"/>
        <v>2.4652946009319034E-2</v>
      </c>
      <c r="G219" s="3">
        <f t="shared" si="180"/>
        <v>2.465294394458659E-2</v>
      </c>
      <c r="H219" s="3">
        <f t="shared" si="180"/>
        <v>2.4652923297271673E-2</v>
      </c>
      <c r="I219" s="3">
        <f t="shared" si="180"/>
        <v>2.465271682507357E-2</v>
      </c>
      <c r="J219" s="3">
        <f t="shared" si="180"/>
        <v>2.4650652198198245E-2</v>
      </c>
      <c r="K219" s="3">
        <f t="shared" si="180"/>
        <v>2.4630015437067814E-2</v>
      </c>
      <c r="L219" s="3">
        <f t="shared" si="180"/>
        <v>2.4424595648392132E-2</v>
      </c>
      <c r="M219" s="3">
        <f t="shared" si="180"/>
        <v>2.2462307533411177E-2</v>
      </c>
      <c r="N219" s="3">
        <f t="shared" si="180"/>
        <v>9.7212974422195477E-3</v>
      </c>
      <c r="O219" s="3">
        <f t="shared" si="180"/>
        <v>2.2409019605522446E-6</v>
      </c>
      <c r="P219" s="3">
        <f t="shared" si="180"/>
        <v>9.4931230007759261E-43</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2.4121212123992795E-2</v>
      </c>
      <c r="C220" s="3">
        <f t="shared" si="181"/>
        <v>2.4121212123974573E-2</v>
      </c>
      <c r="D220" s="3">
        <f t="shared" si="181"/>
        <v>2.4121212123792334E-2</v>
      </c>
      <c r="E220" s="3">
        <f t="shared" si="181"/>
        <v>2.4121212121969944E-2</v>
      </c>
      <c r="F220" s="3">
        <f t="shared" si="181"/>
        <v>2.4121212103746074E-2</v>
      </c>
      <c r="G220" s="3">
        <f t="shared" si="181"/>
        <v>2.4121211921507339E-2</v>
      </c>
      <c r="H220" s="3">
        <f t="shared" si="181"/>
        <v>2.4121210099120063E-2</v>
      </c>
      <c r="I220" s="3">
        <f t="shared" si="181"/>
        <v>2.4121191875254883E-2</v>
      </c>
      <c r="J220" s="3">
        <f t="shared" si="181"/>
        <v>2.4121009637360365E-2</v>
      </c>
      <c r="K220" s="3">
        <f t="shared" si="181"/>
        <v>2.4119187334138811E-2</v>
      </c>
      <c r="L220" s="3">
        <f t="shared" si="181"/>
        <v>2.4100971872170546E-2</v>
      </c>
      <c r="M220" s="3">
        <f t="shared" si="181"/>
        <v>2.3919572165302723E-2</v>
      </c>
      <c r="N220" s="3">
        <f t="shared" si="181"/>
        <v>2.2178998067829286E-2</v>
      </c>
      <c r="O220" s="3">
        <f t="shared" si="181"/>
        <v>1.041902498885537E-2</v>
      </c>
      <c r="P220" s="3">
        <f t="shared" si="181"/>
        <v>5.4535417868215069E-6</v>
      </c>
      <c r="Q220" s="3">
        <f t="shared" si="181"/>
        <v>8.417716609505028E-39</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2.852062454731321E-2</v>
      </c>
      <c r="C221" s="3">
        <f t="shared" si="182"/>
        <v>2.8520624547311267E-2</v>
      </c>
      <c r="D221" s="3">
        <f t="shared" si="182"/>
        <v>2.8520624547291828E-2</v>
      </c>
      <c r="E221" s="3">
        <f t="shared" si="182"/>
        <v>2.8520624547097449E-2</v>
      </c>
      <c r="F221" s="3">
        <f t="shared" si="182"/>
        <v>2.852062454515367E-2</v>
      </c>
      <c r="G221" s="3">
        <f t="shared" si="182"/>
        <v>2.8520624525715865E-2</v>
      </c>
      <c r="H221" s="3">
        <f t="shared" si="182"/>
        <v>2.852062433133783E-2</v>
      </c>
      <c r="I221" s="3">
        <f t="shared" si="182"/>
        <v>2.8520622387557554E-2</v>
      </c>
      <c r="J221" s="3">
        <f t="shared" si="182"/>
        <v>2.8520602949762091E-2</v>
      </c>
      <c r="K221" s="3">
        <f t="shared" si="182"/>
        <v>2.852040857253605E-2</v>
      </c>
      <c r="L221" s="3">
        <f t="shared" si="182"/>
        <v>2.8518464873135078E-2</v>
      </c>
      <c r="M221" s="3">
        <f t="shared" si="182"/>
        <v>2.8499035163233089E-2</v>
      </c>
      <c r="N221" s="3">
        <f t="shared" si="182"/>
        <v>2.8305464641508318E-2</v>
      </c>
      <c r="O221" s="3">
        <f t="shared" si="182"/>
        <v>2.6440617881298607E-2</v>
      </c>
      <c r="P221" s="3">
        <f t="shared" si="182"/>
        <v>1.337472048244109E-2</v>
      </c>
      <c r="Q221" s="3">
        <f t="shared" si="182"/>
        <v>1.4669518574527186E-5</v>
      </c>
      <c r="R221" s="3">
        <f t="shared" si="182"/>
        <v>3.6959605764517604E-35</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2.1063488813407624E-2</v>
      </c>
      <c r="C222" s="3">
        <f t="shared" si="183"/>
        <v>2.1063488813407492E-2</v>
      </c>
      <c r="D222" s="3">
        <f t="shared" si="183"/>
        <v>2.1063488813406198E-2</v>
      </c>
      <c r="E222" s="3">
        <f t="shared" si="183"/>
        <v>2.106348881339325E-2</v>
      </c>
      <c r="F222" s="3">
        <f t="shared" si="183"/>
        <v>2.1063488813263753E-2</v>
      </c>
      <c r="G222" s="3">
        <f t="shared" si="183"/>
        <v>2.1063488811968765E-2</v>
      </c>
      <c r="H222" s="3">
        <f t="shared" si="183"/>
        <v>2.1063488799018905E-2</v>
      </c>
      <c r="I222" s="3">
        <f t="shared" si="183"/>
        <v>2.1063488669520312E-2</v>
      </c>
      <c r="J222" s="3">
        <f t="shared" si="183"/>
        <v>2.1063487374534416E-2</v>
      </c>
      <c r="K222" s="3">
        <f t="shared" si="183"/>
        <v>2.1063474424679839E-2</v>
      </c>
      <c r="L222" s="3">
        <f t="shared" si="183"/>
        <v>2.1063344926571945E-2</v>
      </c>
      <c r="M222" s="3">
        <f t="shared" si="183"/>
        <v>2.1062049989280664E-2</v>
      </c>
      <c r="N222" s="3">
        <f t="shared" si="183"/>
        <v>2.1049104994135693E-2</v>
      </c>
      <c r="O222" s="3">
        <f t="shared" si="183"/>
        <v>2.0920091825268765E-2</v>
      </c>
      <c r="P222" s="3">
        <f t="shared" si="183"/>
        <v>1.9672660945404642E-2</v>
      </c>
      <c r="Q222" s="3">
        <f t="shared" si="183"/>
        <v>1.0637959014247928E-2</v>
      </c>
      <c r="R222" s="3">
        <f t="shared" si="183"/>
        <v>2.2741042501215334E-5</v>
      </c>
      <c r="S222" s="3">
        <f t="shared" si="183"/>
        <v>4.5324282833171547E-32</v>
      </c>
      <c r="T222" s="3">
        <f t="shared" si="183"/>
        <v>4.4826687973714442E-299</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3.1092599466761902E-2</v>
      </c>
      <c r="C223" s="3">
        <f t="shared" si="184"/>
        <v>3.1092599466761885E-2</v>
      </c>
      <c r="D223" s="3">
        <f t="shared" si="184"/>
        <v>3.1092599466761711E-2</v>
      </c>
      <c r="E223" s="3">
        <f t="shared" si="184"/>
        <v>3.109259946675999E-2</v>
      </c>
      <c r="F223" s="3">
        <f t="shared" si="184"/>
        <v>3.1092599466742747E-2</v>
      </c>
      <c r="G223" s="3">
        <f t="shared" si="184"/>
        <v>3.1092599466570305E-2</v>
      </c>
      <c r="H223" s="3">
        <f t="shared" si="184"/>
        <v>3.1092599464845903E-2</v>
      </c>
      <c r="I223" s="3">
        <f t="shared" si="184"/>
        <v>3.1092599447601892E-2</v>
      </c>
      <c r="J223" s="3">
        <f t="shared" si="184"/>
        <v>3.1092599275161746E-2</v>
      </c>
      <c r="K223" s="3">
        <f t="shared" si="184"/>
        <v>3.1092597550760388E-2</v>
      </c>
      <c r="L223" s="3">
        <f t="shared" si="184"/>
        <v>3.1092580306752046E-2</v>
      </c>
      <c r="M223" s="3">
        <f t="shared" si="184"/>
        <v>3.1092407867194603E-2</v>
      </c>
      <c r="N223" s="3">
        <f t="shared" si="184"/>
        <v>3.1090683524218603E-2</v>
      </c>
      <c r="O223" s="3">
        <f t="shared" si="184"/>
        <v>3.1073445353219004E-2</v>
      </c>
      <c r="P223" s="3">
        <f t="shared" si="184"/>
        <v>3.0901588441750113E-2</v>
      </c>
      <c r="Q223" s="3">
        <f t="shared" si="184"/>
        <v>2.9234438068158852E-2</v>
      </c>
      <c r="R223" s="3">
        <f t="shared" si="184"/>
        <v>1.6789362779825505E-2</v>
      </c>
      <c r="S223" s="3">
        <f t="shared" si="184"/>
        <v>6.5528291104124164E-5</v>
      </c>
      <c r="T223" s="3">
        <f t="shared" si="184"/>
        <v>5.3749586988147369E-29</v>
      </c>
      <c r="U223" s="3">
        <f t="shared" si="184"/>
        <v>7.4103381087882541E-270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2.5163399986438687E-2</v>
      </c>
      <c r="C224" s="3">
        <f t="shared" si="185"/>
        <v>2.5163399986438684E-2</v>
      </c>
      <c r="D224" s="3">
        <f t="shared" si="185"/>
        <v>2.5163399986438673E-2</v>
      </c>
      <c r="E224" s="3">
        <f t="shared" si="185"/>
        <v>2.5163399986438548E-2</v>
      </c>
      <c r="F224" s="3">
        <f t="shared" si="185"/>
        <v>2.5163399986437289E-2</v>
      </c>
      <c r="G224" s="3">
        <f t="shared" si="185"/>
        <v>2.5163399986424698E-2</v>
      </c>
      <c r="H224" s="3">
        <f t="shared" si="185"/>
        <v>2.5163399986298806E-2</v>
      </c>
      <c r="I224" s="3">
        <f t="shared" si="185"/>
        <v>2.5163399985039889E-2</v>
      </c>
      <c r="J224" s="3">
        <f t="shared" si="185"/>
        <v>2.5163399972450717E-2</v>
      </c>
      <c r="K224" s="3">
        <f t="shared" si="185"/>
        <v>2.5163399846558972E-2</v>
      </c>
      <c r="L224" s="3">
        <f t="shared" si="185"/>
        <v>2.5163398587641567E-2</v>
      </c>
      <c r="M224" s="3">
        <f t="shared" si="185"/>
        <v>2.5163385998470983E-2</v>
      </c>
      <c r="N224" s="3">
        <f t="shared" si="185"/>
        <v>2.5163260107111538E-2</v>
      </c>
      <c r="O224" s="3">
        <f t="shared" si="185"/>
        <v>2.5162001228157177E-2</v>
      </c>
      <c r="P224" s="3">
        <f t="shared" si="185"/>
        <v>2.5149415901980877E-2</v>
      </c>
      <c r="Q224" s="3">
        <f t="shared" si="185"/>
        <v>2.5023908336699128E-2</v>
      </c>
      <c r="R224" s="3">
        <f t="shared" si="185"/>
        <v>2.3802770886896491E-2</v>
      </c>
      <c r="S224" s="3">
        <f t="shared" si="185"/>
        <v>1.4432822621349565E-2</v>
      </c>
      <c r="T224" s="3">
        <f t="shared" si="185"/>
        <v>9.6959161890729383E-5</v>
      </c>
      <c r="U224" s="3">
        <f t="shared" si="185"/>
        <v>1.8153678466800886E-26</v>
      </c>
      <c r="V224" s="3">
        <f t="shared" si="185"/>
        <v>9.6099803913607986E-244</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7.3723285891336199E-2</v>
      </c>
      <c r="C225" s="3">
        <f t="shared" si="186"/>
        <v>7.3723285891336199E-2</v>
      </c>
      <c r="D225" s="3">
        <f t="shared" si="186"/>
        <v>7.3723285891336199E-2</v>
      </c>
      <c r="E225" s="3">
        <f t="shared" si="186"/>
        <v>7.3723285891336157E-2</v>
      </c>
      <c r="F225" s="3">
        <f t="shared" si="186"/>
        <v>7.3723285891335824E-2</v>
      </c>
      <c r="G225" s="3">
        <f t="shared" si="186"/>
        <v>7.3723285891332493E-2</v>
      </c>
      <c r="H225" s="3">
        <f t="shared" si="186"/>
        <v>7.3723285891299228E-2</v>
      </c>
      <c r="I225" s="3">
        <f t="shared" si="186"/>
        <v>7.3723285890966508E-2</v>
      </c>
      <c r="J225" s="3">
        <f t="shared" si="186"/>
        <v>7.3723285887639309E-2</v>
      </c>
      <c r="K225" s="3">
        <f t="shared" si="186"/>
        <v>7.3723285854367285E-2</v>
      </c>
      <c r="L225" s="3">
        <f t="shared" si="186"/>
        <v>7.3723285521647058E-2</v>
      </c>
      <c r="M225" s="3">
        <f t="shared" si="186"/>
        <v>7.3723282194444878E-2</v>
      </c>
      <c r="N225" s="3">
        <f t="shared" si="186"/>
        <v>7.3723248922431261E-2</v>
      </c>
      <c r="O225" s="3">
        <f t="shared" si="186"/>
        <v>7.3722916203121047E-2</v>
      </c>
      <c r="P225" s="3">
        <f t="shared" si="186"/>
        <v>7.3719589092605259E-2</v>
      </c>
      <c r="Q225" s="3">
        <f t="shared" si="186"/>
        <v>7.3686326244705058E-2</v>
      </c>
      <c r="R225" s="3">
        <f t="shared" si="186"/>
        <v>7.3354522114303738E-2</v>
      </c>
      <c r="S225" s="3">
        <f t="shared" si="186"/>
        <v>7.0117555595084743E-2</v>
      </c>
      <c r="T225" s="3">
        <f t="shared" si="186"/>
        <v>4.4650417231632704E-2</v>
      </c>
      <c r="U225" s="3">
        <f t="shared" si="186"/>
        <v>4.8956804285451877E-4</v>
      </c>
      <c r="V225" s="3">
        <f t="shared" si="186"/>
        <v>1.2293865457503481E-23</v>
      </c>
      <c r="W225" s="3">
        <f t="shared" si="186"/>
        <v>1.2258643231298811E-219</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9.9866950821253964E-2</v>
      </c>
      <c r="C226" s="3">
        <f t="shared" si="187"/>
        <v>9.9866950821253964E-2</v>
      </c>
      <c r="D226" s="3">
        <f t="shared" si="187"/>
        <v>9.9866950821253964E-2</v>
      </c>
      <c r="E226" s="3">
        <f t="shared" si="187"/>
        <v>9.9866950821253964E-2</v>
      </c>
      <c r="F226" s="3">
        <f t="shared" si="187"/>
        <v>9.9866950821253922E-2</v>
      </c>
      <c r="G226" s="3">
        <f t="shared" si="187"/>
        <v>9.9866950821253506E-2</v>
      </c>
      <c r="H226" s="3">
        <f t="shared" si="187"/>
        <v>9.9866950821249453E-2</v>
      </c>
      <c r="I226" s="3">
        <f t="shared" si="187"/>
        <v>9.9866950821208791E-2</v>
      </c>
      <c r="J226" s="3">
        <f t="shared" si="187"/>
        <v>9.9866950820802214E-2</v>
      </c>
      <c r="K226" s="3">
        <f t="shared" si="187"/>
        <v>9.9866950816736438E-2</v>
      </c>
      <c r="L226" s="3">
        <f t="shared" si="187"/>
        <v>9.9866950776078739E-2</v>
      </c>
      <c r="M226" s="3">
        <f t="shared" si="187"/>
        <v>9.9866950369501647E-2</v>
      </c>
      <c r="N226" s="3">
        <f t="shared" si="187"/>
        <v>9.9866946303730858E-2</v>
      </c>
      <c r="O226" s="3">
        <f t="shared" si="187"/>
        <v>9.9866905646032081E-2</v>
      </c>
      <c r="P226" s="3">
        <f t="shared" si="187"/>
        <v>9.986649906995472E-2</v>
      </c>
      <c r="Q226" s="3">
        <f t="shared" si="187"/>
        <v>9.9862433400218484E-2</v>
      </c>
      <c r="R226" s="3">
        <f t="shared" si="187"/>
        <v>9.9821785805216265E-2</v>
      </c>
      <c r="S226" s="3">
        <f t="shared" si="187"/>
        <v>9.9416218721581365E-2</v>
      </c>
      <c r="T226" s="3">
        <f t="shared" si="187"/>
        <v>9.5450080243681179E-2</v>
      </c>
      <c r="U226" s="3">
        <f t="shared" si="187"/>
        <v>6.3528246502283933E-2</v>
      </c>
      <c r="V226" s="3">
        <f t="shared" si="187"/>
        <v>1.0836089202076716E-3</v>
      </c>
      <c r="W226" s="3">
        <f t="shared" si="187"/>
        <v>2.2590695639855004E-21</v>
      </c>
      <c r="X226" s="3">
        <f t="shared" si="187"/>
        <v>3.5034823525906023E-198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8.4918453398997062E-2</v>
      </c>
      <c r="C227" s="3">
        <f t="shared" si="188"/>
        <v>8.4918453398997062E-2</v>
      </c>
      <c r="D227" s="3">
        <f t="shared" si="188"/>
        <v>8.4918453398997062E-2</v>
      </c>
      <c r="E227" s="3">
        <f t="shared" si="188"/>
        <v>8.4918453398997062E-2</v>
      </c>
      <c r="F227" s="3">
        <f t="shared" si="188"/>
        <v>8.4918453398997062E-2</v>
      </c>
      <c r="G227" s="3">
        <f t="shared" si="188"/>
        <v>8.4918453398997021E-2</v>
      </c>
      <c r="H227" s="3">
        <f t="shared" si="188"/>
        <v>8.4918453398996716E-2</v>
      </c>
      <c r="I227" s="3">
        <f t="shared" si="188"/>
        <v>8.4918453398993593E-2</v>
      </c>
      <c r="J227" s="3">
        <f t="shared" si="188"/>
        <v>8.491845339896241E-2</v>
      </c>
      <c r="K227" s="3">
        <f t="shared" si="188"/>
        <v>8.4918453398650548E-2</v>
      </c>
      <c r="L227" s="3">
        <f t="shared" si="188"/>
        <v>8.4918453395531862E-2</v>
      </c>
      <c r="M227" s="3">
        <f t="shared" si="188"/>
        <v>8.4918453364345142E-2</v>
      </c>
      <c r="N227" s="3">
        <f t="shared" si="188"/>
        <v>8.4918453052477888E-2</v>
      </c>
      <c r="O227" s="3">
        <f t="shared" si="188"/>
        <v>8.4918449933805401E-2</v>
      </c>
      <c r="P227" s="3">
        <f t="shared" si="188"/>
        <v>8.4918418747086818E-2</v>
      </c>
      <c r="Q227" s="3">
        <f t="shared" si="188"/>
        <v>8.4918106880531016E-2</v>
      </c>
      <c r="R227" s="3">
        <f t="shared" si="188"/>
        <v>8.4914988277966119E-2</v>
      </c>
      <c r="S227" s="3">
        <f t="shared" si="188"/>
        <v>8.4883808550780412E-2</v>
      </c>
      <c r="T227" s="3">
        <f t="shared" si="188"/>
        <v>8.4572640270229288E-2</v>
      </c>
      <c r="U227" s="3">
        <f t="shared" si="188"/>
        <v>8.1523010225812473E-2</v>
      </c>
      <c r="V227" s="3">
        <f t="shared" si="188"/>
        <v>5.6465527916110397E-2</v>
      </c>
      <c r="W227" s="3">
        <f t="shared" si="188"/>
        <v>1.4348788889654721E-3</v>
      </c>
      <c r="X227" s="3">
        <f t="shared" si="188"/>
        <v>1.6111418433149098E-19</v>
      </c>
      <c r="Y227" s="3">
        <f t="shared" si="188"/>
        <v>5.1323833431312162E-179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6.4000746285573396E-2</v>
      </c>
      <c r="C228" s="3">
        <f t="shared" si="189"/>
        <v>6.4000746285573396E-2</v>
      </c>
      <c r="D228" s="3">
        <f t="shared" si="189"/>
        <v>6.4000746285573396E-2</v>
      </c>
      <c r="E228" s="3">
        <f t="shared" si="189"/>
        <v>6.4000746285573396E-2</v>
      </c>
      <c r="F228" s="3">
        <f t="shared" si="189"/>
        <v>6.4000746285573396E-2</v>
      </c>
      <c r="G228" s="3">
        <f t="shared" si="189"/>
        <v>6.4000746285573396E-2</v>
      </c>
      <c r="H228" s="3">
        <f t="shared" si="189"/>
        <v>6.4000746285573368E-2</v>
      </c>
      <c r="I228" s="3">
        <f t="shared" si="189"/>
        <v>6.400074628557316E-2</v>
      </c>
      <c r="J228" s="3">
        <f t="shared" si="189"/>
        <v>6.4000746285571036E-2</v>
      </c>
      <c r="K228" s="3">
        <f t="shared" si="189"/>
        <v>6.4000746285549831E-2</v>
      </c>
      <c r="L228" s="3">
        <f t="shared" si="189"/>
        <v>6.4000746285337806E-2</v>
      </c>
      <c r="M228" s="3">
        <f t="shared" si="189"/>
        <v>6.4000746283217488E-2</v>
      </c>
      <c r="N228" s="3">
        <f t="shared" si="189"/>
        <v>6.4000746262014394E-2</v>
      </c>
      <c r="O228" s="3">
        <f t="shared" si="189"/>
        <v>6.4000746049983417E-2</v>
      </c>
      <c r="P228" s="3">
        <f t="shared" si="189"/>
        <v>6.4000743929673601E-2</v>
      </c>
      <c r="Q228" s="3">
        <f t="shared" si="189"/>
        <v>6.4000722726579348E-2</v>
      </c>
      <c r="R228" s="3">
        <f t="shared" si="189"/>
        <v>6.4000510696023097E-2</v>
      </c>
      <c r="S228" s="3">
        <f t="shared" si="189"/>
        <v>6.3998390429094679E-2</v>
      </c>
      <c r="T228" s="3">
        <f t="shared" si="189"/>
        <v>6.3977191622743512E-2</v>
      </c>
      <c r="U228" s="3">
        <f t="shared" si="189"/>
        <v>6.3765589379428486E-2</v>
      </c>
      <c r="V228" s="3">
        <f t="shared" si="189"/>
        <v>6.1687680193193456E-2</v>
      </c>
      <c r="W228" s="3">
        <f t="shared" si="189"/>
        <v>4.4291362761138153E-2</v>
      </c>
      <c r="X228" s="3">
        <f t="shared" si="189"/>
        <v>1.6125941717439951E-3</v>
      </c>
      <c r="Y228" s="3">
        <f t="shared" si="189"/>
        <v>6.6006319174503893E-18</v>
      </c>
      <c r="Z228" s="3">
        <f t="shared" si="189"/>
        <v>8.7134432663032548E-162</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6.4005723390096053E-2</v>
      </c>
      <c r="C229" s="3">
        <f t="shared" si="190"/>
        <v>6.4005723390096053E-2</v>
      </c>
      <c r="D229" s="3">
        <f t="shared" si="190"/>
        <v>6.4005723390096053E-2</v>
      </c>
      <c r="E229" s="3">
        <f t="shared" si="190"/>
        <v>6.4005723390096053E-2</v>
      </c>
      <c r="F229" s="3">
        <f t="shared" si="190"/>
        <v>6.4005723390096053E-2</v>
      </c>
      <c r="G229" s="3">
        <f t="shared" si="190"/>
        <v>6.4005723390096053E-2</v>
      </c>
      <c r="H229" s="3">
        <f t="shared" si="190"/>
        <v>6.4005723390096053E-2</v>
      </c>
      <c r="I229" s="3">
        <f t="shared" si="190"/>
        <v>6.4005723390096025E-2</v>
      </c>
      <c r="J229" s="3">
        <f t="shared" si="190"/>
        <v>6.4005723390095845E-2</v>
      </c>
      <c r="K229" s="3">
        <f t="shared" si="190"/>
        <v>6.400572339009393E-2</v>
      </c>
      <c r="L229" s="3">
        <f t="shared" si="190"/>
        <v>6.4005723390074792E-2</v>
      </c>
      <c r="M229" s="3">
        <f t="shared" si="190"/>
        <v>6.4005723389883515E-2</v>
      </c>
      <c r="N229" s="3">
        <f t="shared" si="190"/>
        <v>6.400572338797067E-2</v>
      </c>
      <c r="O229" s="3">
        <f t="shared" si="190"/>
        <v>6.4005723368842221E-2</v>
      </c>
      <c r="P229" s="3">
        <f t="shared" si="190"/>
        <v>6.4005723177557761E-2</v>
      </c>
      <c r="Q229" s="3">
        <f t="shared" si="190"/>
        <v>6.400572126471317E-2</v>
      </c>
      <c r="R229" s="3">
        <f t="shared" si="190"/>
        <v>6.4005702136270409E-2</v>
      </c>
      <c r="S229" s="3">
        <f t="shared" si="190"/>
        <v>6.4005510852157207E-2</v>
      </c>
      <c r="T229" s="3">
        <f t="shared" si="190"/>
        <v>6.4003598042466261E-2</v>
      </c>
      <c r="U229" s="3">
        <f t="shared" si="190"/>
        <v>6.3984473089320607E-2</v>
      </c>
      <c r="V229" s="3">
        <f t="shared" si="190"/>
        <v>6.3793537586897861E-2</v>
      </c>
      <c r="W229" s="3">
        <f t="shared" si="190"/>
        <v>6.1915240982278713E-2</v>
      </c>
      <c r="X229" s="3">
        <f t="shared" si="190"/>
        <v>4.5920476196073916E-2</v>
      </c>
      <c r="Y229" s="3">
        <f t="shared" si="190"/>
        <v>2.3125681374825992E-3</v>
      </c>
      <c r="Z229" s="3">
        <f t="shared" si="190"/>
        <v>2.4264764663475841E-16</v>
      </c>
      <c r="AA229" s="3">
        <f t="shared" si="190"/>
        <v>3.9245651492719041E-146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2.5223864108208031E-2</v>
      </c>
      <c r="C230" s="3">
        <f t="shared" si="191"/>
        <v>2.5223864108208031E-2</v>
      </c>
      <c r="D230" s="3">
        <f t="shared" si="191"/>
        <v>2.5223864108208031E-2</v>
      </c>
      <c r="E230" s="3">
        <f t="shared" si="191"/>
        <v>2.5223864108208031E-2</v>
      </c>
      <c r="F230" s="3">
        <f t="shared" si="191"/>
        <v>2.5223864108208031E-2</v>
      </c>
      <c r="G230" s="3">
        <f t="shared" si="191"/>
        <v>2.5223864108208031E-2</v>
      </c>
      <c r="H230" s="3">
        <f t="shared" si="191"/>
        <v>2.5223864108208031E-2</v>
      </c>
      <c r="I230" s="3">
        <f t="shared" si="191"/>
        <v>2.5223864108208031E-2</v>
      </c>
      <c r="J230" s="3">
        <f t="shared" si="191"/>
        <v>2.5223864108208024E-2</v>
      </c>
      <c r="K230" s="3">
        <f t="shared" si="191"/>
        <v>2.5223864108207955E-2</v>
      </c>
      <c r="L230" s="3">
        <f t="shared" si="191"/>
        <v>2.5223864108207275E-2</v>
      </c>
      <c r="M230" s="3">
        <f t="shared" si="191"/>
        <v>2.5223864108200475E-2</v>
      </c>
      <c r="N230" s="3">
        <f t="shared" si="191"/>
        <v>2.5223864108132474E-2</v>
      </c>
      <c r="O230" s="3">
        <f t="shared" si="191"/>
        <v>2.5223864107452459E-2</v>
      </c>
      <c r="P230" s="3">
        <f t="shared" si="191"/>
        <v>2.5223864100652301E-2</v>
      </c>
      <c r="Q230" s="3">
        <f t="shared" si="191"/>
        <v>2.5223864032650704E-2</v>
      </c>
      <c r="R230" s="3">
        <f t="shared" si="191"/>
        <v>2.5223863352634775E-2</v>
      </c>
      <c r="S230" s="3">
        <f t="shared" si="191"/>
        <v>2.5223856552476484E-2</v>
      </c>
      <c r="T230" s="3">
        <f t="shared" si="191"/>
        <v>2.5223788550994403E-2</v>
      </c>
      <c r="U230" s="3">
        <f t="shared" si="191"/>
        <v>2.5223108546256472E-2</v>
      </c>
      <c r="V230" s="3">
        <f t="shared" si="191"/>
        <v>2.5216309507064247E-2</v>
      </c>
      <c r="W230" s="3">
        <f t="shared" si="191"/>
        <v>2.5148419833356292E-2</v>
      </c>
      <c r="X230" s="3">
        <f t="shared" si="191"/>
        <v>2.4479495172509559E-2</v>
      </c>
      <c r="Y230" s="3">
        <f t="shared" si="191"/>
        <v>1.8694765043774996E-2</v>
      </c>
      <c r="Z230" s="3">
        <f t="shared" si="191"/>
        <v>1.2615240977928461E-3</v>
      </c>
      <c r="AA230" s="3">
        <f t="shared" si="191"/>
        <v>2.4697383566771101E-15</v>
      </c>
      <c r="AB230" s="3">
        <f t="shared" si="191"/>
        <v>2.0427014848495455E-132</v>
      </c>
      <c r="AC230" s="3">
        <f t="shared" si="191"/>
        <v>0</v>
      </c>
      <c r="AD230" s="3">
        <f t="shared" si="191"/>
        <v>0</v>
      </c>
      <c r="AE230" s="3">
        <f t="shared" si="191"/>
        <v>0</v>
      </c>
      <c r="AF230" s="3">
        <f t="shared" si="191"/>
        <v>0</v>
      </c>
      <c r="AG230" s="3"/>
      <c r="AH230" s="3"/>
    </row>
    <row r="231" spans="2:34" x14ac:dyDescent="0.25">
      <c r="B231" s="3">
        <f t="shared" ref="B231:AF231" si="192">$C39*EXP(-B$207/$A39/EXP(-$D$126))</f>
        <v>4.075866339585988E-2</v>
      </c>
      <c r="C231" s="3">
        <f t="shared" si="192"/>
        <v>4.075866339585988E-2</v>
      </c>
      <c r="D231" s="3">
        <f t="shared" si="192"/>
        <v>4.075866339585988E-2</v>
      </c>
      <c r="E231" s="3">
        <f t="shared" si="192"/>
        <v>4.075866339585988E-2</v>
      </c>
      <c r="F231" s="3">
        <f t="shared" si="192"/>
        <v>4.075866339585988E-2</v>
      </c>
      <c r="G231" s="3">
        <f t="shared" si="192"/>
        <v>4.075866339585988E-2</v>
      </c>
      <c r="H231" s="3">
        <f t="shared" si="192"/>
        <v>4.075866339585988E-2</v>
      </c>
      <c r="I231" s="3">
        <f t="shared" si="192"/>
        <v>4.075866339585988E-2</v>
      </c>
      <c r="J231" s="3">
        <f t="shared" si="192"/>
        <v>4.0758663395859873E-2</v>
      </c>
      <c r="K231" s="3">
        <f t="shared" si="192"/>
        <v>4.0758663395859845E-2</v>
      </c>
      <c r="L231" s="3">
        <f t="shared" si="192"/>
        <v>4.075866339585954E-2</v>
      </c>
      <c r="M231" s="3">
        <f t="shared" si="192"/>
        <v>4.0758663395856508E-2</v>
      </c>
      <c r="N231" s="3">
        <f t="shared" si="192"/>
        <v>4.0758663395826115E-2</v>
      </c>
      <c r="O231" s="3">
        <f t="shared" si="192"/>
        <v>4.0758663395522206E-2</v>
      </c>
      <c r="P231" s="3">
        <f t="shared" si="192"/>
        <v>4.0758663392483137E-2</v>
      </c>
      <c r="Q231" s="3">
        <f t="shared" si="192"/>
        <v>4.0758663362092468E-2</v>
      </c>
      <c r="R231" s="3">
        <f t="shared" si="192"/>
        <v>4.0758663058185776E-2</v>
      </c>
      <c r="S231" s="3">
        <f t="shared" si="192"/>
        <v>4.0758660019118938E-2</v>
      </c>
      <c r="T231" s="3">
        <f t="shared" si="192"/>
        <v>4.0758629628463036E-2</v>
      </c>
      <c r="U231" s="3">
        <f t="shared" si="192"/>
        <v>4.0758325723150343E-2</v>
      </c>
      <c r="V231" s="3">
        <f t="shared" si="192"/>
        <v>4.075528679464975E-2</v>
      </c>
      <c r="W231" s="3">
        <f t="shared" si="192"/>
        <v>4.0724909968844474E-2</v>
      </c>
      <c r="X231" s="3">
        <f t="shared" si="192"/>
        <v>4.0422384200440441E-2</v>
      </c>
      <c r="Y231" s="3">
        <f t="shared" si="192"/>
        <v>3.7518014980935106E-2</v>
      </c>
      <c r="Z231" s="3">
        <f t="shared" si="192"/>
        <v>1.7799963901124805E-2</v>
      </c>
      <c r="AA231" s="3">
        <f t="shared" si="192"/>
        <v>1.0285178001038462E-5</v>
      </c>
      <c r="AB231" s="3">
        <f t="shared" si="192"/>
        <v>4.2671579546259907E-38</v>
      </c>
      <c r="AC231" s="3">
        <f t="shared" si="192"/>
        <v>0</v>
      </c>
      <c r="AD231" s="3">
        <f t="shared" si="192"/>
        <v>0</v>
      </c>
      <c r="AE231" s="3">
        <f t="shared" si="192"/>
        <v>0</v>
      </c>
      <c r="AF231" s="3">
        <f t="shared" si="192"/>
        <v>0</v>
      </c>
      <c r="AG231" s="3"/>
      <c r="AH231" s="3"/>
    </row>
    <row r="232" spans="2:34" x14ac:dyDescent="0.25">
      <c r="B232" s="3">
        <f t="shared" ref="B232:AF232" si="193">$C40*EXP(-B$207/$A40/EXP(-$D$126))</f>
        <v>2.4317384377993669E-2</v>
      </c>
      <c r="C232" s="3">
        <f t="shared" si="193"/>
        <v>2.4317384377993669E-2</v>
      </c>
      <c r="D232" s="3">
        <f t="shared" si="193"/>
        <v>2.4317384377993669E-2</v>
      </c>
      <c r="E232" s="3">
        <f t="shared" si="193"/>
        <v>2.4317384377993669E-2</v>
      </c>
      <c r="F232" s="3">
        <f t="shared" si="193"/>
        <v>2.4317384377993669E-2</v>
      </c>
      <c r="G232" s="3">
        <f t="shared" si="193"/>
        <v>2.4317384377993669E-2</v>
      </c>
      <c r="H232" s="3">
        <f t="shared" si="193"/>
        <v>2.4317384377993669E-2</v>
      </c>
      <c r="I232" s="3">
        <f t="shared" si="193"/>
        <v>2.4317384377993669E-2</v>
      </c>
      <c r="J232" s="3">
        <f t="shared" si="193"/>
        <v>2.4317384377993669E-2</v>
      </c>
      <c r="K232" s="3">
        <f t="shared" si="193"/>
        <v>2.4317384377993665E-2</v>
      </c>
      <c r="L232" s="3">
        <f t="shared" si="193"/>
        <v>2.4317384377993651E-2</v>
      </c>
      <c r="M232" s="3">
        <f t="shared" si="193"/>
        <v>2.4317384377993467E-2</v>
      </c>
      <c r="N232" s="3">
        <f t="shared" si="193"/>
        <v>2.4317384377991653E-2</v>
      </c>
      <c r="O232" s="3">
        <f t="shared" si="193"/>
        <v>2.4317384377973521E-2</v>
      </c>
      <c r="P232" s="3">
        <f t="shared" si="193"/>
        <v>2.4317384377792205E-2</v>
      </c>
      <c r="Q232" s="3">
        <f t="shared" si="193"/>
        <v>2.431738437597904E-2</v>
      </c>
      <c r="R232" s="3">
        <f t="shared" si="193"/>
        <v>2.4317384357847398E-2</v>
      </c>
      <c r="S232" s="3">
        <f t="shared" si="193"/>
        <v>2.4317384176530954E-2</v>
      </c>
      <c r="T232" s="3">
        <f t="shared" si="193"/>
        <v>2.4317382363366578E-2</v>
      </c>
      <c r="U232" s="3">
        <f t="shared" si="193"/>
        <v>2.4317364231730271E-2</v>
      </c>
      <c r="V232" s="3">
        <f t="shared" si="193"/>
        <v>2.4317182916110777E-2</v>
      </c>
      <c r="W232" s="3">
        <f t="shared" si="193"/>
        <v>2.4315369834270278E-2</v>
      </c>
      <c r="X232" s="3">
        <f t="shared" si="193"/>
        <v>2.4297246449258462E-2</v>
      </c>
      <c r="Y232" s="3">
        <f t="shared" si="193"/>
        <v>2.4116753891809284E-2</v>
      </c>
      <c r="Z232" s="3">
        <f t="shared" si="193"/>
        <v>2.2383952646577613E-2</v>
      </c>
      <c r="AA232" s="3">
        <f t="shared" si="193"/>
        <v>1.0619792898852292E-2</v>
      </c>
      <c r="AB232" s="3">
        <f t="shared" si="193"/>
        <v>6.1363304389599294E-6</v>
      </c>
      <c r="AC232" s="3">
        <f t="shared" si="193"/>
        <v>2.5458666094235483E-38</v>
      </c>
      <c r="AD232" s="3">
        <f t="shared" si="193"/>
        <v>0</v>
      </c>
      <c r="AE232" s="3">
        <f t="shared" si="193"/>
        <v>0</v>
      </c>
      <c r="AF232" s="3">
        <f t="shared" si="193"/>
        <v>0</v>
      </c>
      <c r="AG232" s="3"/>
      <c r="AH232" s="3"/>
    </row>
    <row r="233" spans="2:34" x14ac:dyDescent="0.25">
      <c r="B233" s="3">
        <f t="shared" ref="B233:AF233" si="194">$C41*EXP(-B$207/$A41/EXP(-$D$126))</f>
        <v>1.4702506077869741E-2</v>
      </c>
      <c r="C233" s="3">
        <f t="shared" si="194"/>
        <v>1.4702506077869741E-2</v>
      </c>
      <c r="D233" s="3">
        <f t="shared" si="194"/>
        <v>1.4702506077869741E-2</v>
      </c>
      <c r="E233" s="3">
        <f t="shared" si="194"/>
        <v>1.4702506077869741E-2</v>
      </c>
      <c r="F233" s="3">
        <f t="shared" si="194"/>
        <v>1.4702506077869741E-2</v>
      </c>
      <c r="G233" s="3">
        <f t="shared" si="194"/>
        <v>1.4702506077869741E-2</v>
      </c>
      <c r="H233" s="3">
        <f t="shared" si="194"/>
        <v>1.4702506077869741E-2</v>
      </c>
      <c r="I233" s="3">
        <f t="shared" si="194"/>
        <v>1.4702506077869741E-2</v>
      </c>
      <c r="J233" s="3">
        <f t="shared" si="194"/>
        <v>1.4702506077869741E-2</v>
      </c>
      <c r="K233" s="3">
        <f t="shared" si="194"/>
        <v>1.4702506077869741E-2</v>
      </c>
      <c r="L233" s="3">
        <f t="shared" si="194"/>
        <v>1.4702506077869739E-2</v>
      </c>
      <c r="M233" s="3">
        <f t="shared" si="194"/>
        <v>1.4702506077869729E-2</v>
      </c>
      <c r="N233" s="3">
        <f t="shared" si="194"/>
        <v>1.4702506077869618E-2</v>
      </c>
      <c r="O233" s="3">
        <f t="shared" si="194"/>
        <v>1.4702506077868523E-2</v>
      </c>
      <c r="P233" s="3">
        <f t="shared" si="194"/>
        <v>1.4702506077857561E-2</v>
      </c>
      <c r="Q233" s="3">
        <f t="shared" si="194"/>
        <v>1.4702506077747935E-2</v>
      </c>
      <c r="R233" s="3">
        <f t="shared" si="194"/>
        <v>1.470250607665168E-2</v>
      </c>
      <c r="S233" s="3">
        <f t="shared" si="194"/>
        <v>1.4702506065689127E-2</v>
      </c>
      <c r="T233" s="3">
        <f t="shared" si="194"/>
        <v>1.4702505956063597E-2</v>
      </c>
      <c r="U233" s="3">
        <f t="shared" si="194"/>
        <v>1.4702504859808349E-2</v>
      </c>
      <c r="V233" s="3">
        <f t="shared" si="194"/>
        <v>1.4702493897260371E-2</v>
      </c>
      <c r="W233" s="3">
        <f t="shared" si="194"/>
        <v>1.4702384272230137E-2</v>
      </c>
      <c r="X233" s="3">
        <f t="shared" si="194"/>
        <v>1.470128806688316E-2</v>
      </c>
      <c r="Y233" s="3">
        <f t="shared" si="194"/>
        <v>1.4690330507708788E-2</v>
      </c>
      <c r="Z233" s="3">
        <f t="shared" si="194"/>
        <v>1.4581203108081539E-2</v>
      </c>
      <c r="AA233" s="3">
        <f t="shared" si="194"/>
        <v>1.3533536120392918E-2</v>
      </c>
      <c r="AB233" s="3">
        <f t="shared" si="194"/>
        <v>6.4208208915097157E-3</v>
      </c>
      <c r="AC233" s="3">
        <f t="shared" si="194"/>
        <v>3.7100797590825885E-6</v>
      </c>
      <c r="AD233" s="3">
        <f t="shared" si="194"/>
        <v>1.53925351167162E-38</v>
      </c>
      <c r="AE233" s="3">
        <f t="shared" si="194"/>
        <v>0</v>
      </c>
      <c r="AF233" s="3">
        <f t="shared" si="194"/>
        <v>0</v>
      </c>
      <c r="AG233" s="3"/>
      <c r="AH233" s="3"/>
    </row>
    <row r="234" spans="2:34" x14ac:dyDescent="0.25">
      <c r="B234" s="3">
        <f t="shared" ref="B234:AF234" si="195">$C42*EXP(-B$207/$A42/EXP(-$D$126))</f>
        <v>6.4612477485621166E-3</v>
      </c>
      <c r="C234" s="3">
        <f t="shared" si="195"/>
        <v>6.4612477485621166E-3</v>
      </c>
      <c r="D234" s="3">
        <f t="shared" si="195"/>
        <v>6.4612477485621166E-3</v>
      </c>
      <c r="E234" s="3">
        <f t="shared" si="195"/>
        <v>6.4612477485621166E-3</v>
      </c>
      <c r="F234" s="3">
        <f t="shared" si="195"/>
        <v>6.4612477485621166E-3</v>
      </c>
      <c r="G234" s="3">
        <f t="shared" si="195"/>
        <v>6.4612477485621166E-3</v>
      </c>
      <c r="H234" s="3">
        <f t="shared" si="195"/>
        <v>6.4612477485621166E-3</v>
      </c>
      <c r="I234" s="3">
        <f t="shared" si="195"/>
        <v>6.4612477485621166E-3</v>
      </c>
      <c r="J234" s="3">
        <f t="shared" si="195"/>
        <v>6.4612477485621166E-3</v>
      </c>
      <c r="K234" s="3">
        <f t="shared" si="195"/>
        <v>6.4612477485621166E-3</v>
      </c>
      <c r="L234" s="3">
        <f t="shared" si="195"/>
        <v>6.4612477485621166E-3</v>
      </c>
      <c r="M234" s="3">
        <f t="shared" si="195"/>
        <v>6.4612477485621158E-3</v>
      </c>
      <c r="N234" s="3">
        <f t="shared" si="195"/>
        <v>6.4612477485621114E-3</v>
      </c>
      <c r="O234" s="3">
        <f t="shared" si="195"/>
        <v>6.4612477485620629E-3</v>
      </c>
      <c r="P234" s="3">
        <f t="shared" si="195"/>
        <v>6.4612477485615815E-3</v>
      </c>
      <c r="Q234" s="3">
        <f t="shared" si="195"/>
        <v>6.4612477485567641E-3</v>
      </c>
      <c r="R234" s="3">
        <f t="shared" si="195"/>
        <v>6.4612477485085874E-3</v>
      </c>
      <c r="S234" s="3">
        <f t="shared" si="195"/>
        <v>6.4612477480268209E-3</v>
      </c>
      <c r="T234" s="3">
        <f t="shared" si="195"/>
        <v>6.4612477432091538E-3</v>
      </c>
      <c r="U234" s="3">
        <f t="shared" si="195"/>
        <v>6.4612476950324897E-3</v>
      </c>
      <c r="V234" s="3">
        <f t="shared" si="195"/>
        <v>6.4612472132658631E-3</v>
      </c>
      <c r="W234" s="3">
        <f t="shared" si="195"/>
        <v>6.4612423956015765E-3</v>
      </c>
      <c r="X234" s="3">
        <f t="shared" si="195"/>
        <v>6.4611942191562808E-3</v>
      </c>
      <c r="Y234" s="3">
        <f t="shared" si="195"/>
        <v>6.4607124744596551E-3</v>
      </c>
      <c r="Z234" s="3">
        <f t="shared" si="195"/>
        <v>6.4558970025822646E-3</v>
      </c>
      <c r="AA234" s="3">
        <f t="shared" si="195"/>
        <v>6.4079392488895579E-3</v>
      </c>
      <c r="AB234" s="3">
        <f t="shared" si="195"/>
        <v>5.9475254983633787E-3</v>
      </c>
      <c r="AC234" s="3">
        <f t="shared" si="195"/>
        <v>2.8217308198656955E-3</v>
      </c>
      <c r="AD234" s="3">
        <f t="shared" si="195"/>
        <v>1.630452955665878E-6</v>
      </c>
      <c r="AE234" s="3">
        <f t="shared" si="195"/>
        <v>6.7644918723921375E-39</v>
      </c>
      <c r="AF234" s="3">
        <f t="shared" si="195"/>
        <v>0</v>
      </c>
      <c r="AG234" s="3"/>
      <c r="AH234" s="3"/>
    </row>
    <row r="235" spans="2:34" x14ac:dyDescent="0.25">
      <c r="B235" s="3">
        <f t="shared" ref="B235:AF235" si="196">$C43*EXP(-B$207/$A43/EXP(-$D$126))</f>
        <v>3.1609965695272944E-3</v>
      </c>
      <c r="C235" s="3">
        <f t="shared" si="196"/>
        <v>3.1609965695272944E-3</v>
      </c>
      <c r="D235" s="3">
        <f t="shared" si="196"/>
        <v>3.1609965695272944E-3</v>
      </c>
      <c r="E235" s="3">
        <f t="shared" si="196"/>
        <v>3.1609965695272944E-3</v>
      </c>
      <c r="F235" s="3">
        <f t="shared" si="196"/>
        <v>3.1609965695272944E-3</v>
      </c>
      <c r="G235" s="3">
        <f t="shared" si="196"/>
        <v>3.1609965695272944E-3</v>
      </c>
      <c r="H235" s="3">
        <f t="shared" si="196"/>
        <v>3.1609965695272944E-3</v>
      </c>
      <c r="I235" s="3">
        <f t="shared" si="196"/>
        <v>3.1609965695272944E-3</v>
      </c>
      <c r="J235" s="3">
        <f t="shared" si="196"/>
        <v>3.1609965695272944E-3</v>
      </c>
      <c r="K235" s="3">
        <f t="shared" si="196"/>
        <v>3.1609965695272944E-3</v>
      </c>
      <c r="L235" s="3">
        <f t="shared" si="196"/>
        <v>3.1609965695272944E-3</v>
      </c>
      <c r="M235" s="3">
        <f t="shared" si="196"/>
        <v>3.1609965695272944E-3</v>
      </c>
      <c r="N235" s="3">
        <f t="shared" si="196"/>
        <v>3.1609965695272939E-3</v>
      </c>
      <c r="O235" s="3">
        <f t="shared" si="196"/>
        <v>3.1609965695272918E-3</v>
      </c>
      <c r="P235" s="3">
        <f t="shared" si="196"/>
        <v>3.1609965695272679E-3</v>
      </c>
      <c r="Q235" s="3">
        <f t="shared" si="196"/>
        <v>3.1609965695270324E-3</v>
      </c>
      <c r="R235" s="3">
        <f t="shared" si="196"/>
        <v>3.1609965695246758E-3</v>
      </c>
      <c r="S235" s="3">
        <f t="shared" si="196"/>
        <v>3.1609965695011065E-3</v>
      </c>
      <c r="T235" s="3">
        <f t="shared" si="196"/>
        <v>3.1609965692654149E-3</v>
      </c>
      <c r="U235" s="3">
        <f t="shared" si="196"/>
        <v>3.1609965669084973E-3</v>
      </c>
      <c r="V235" s="3">
        <f t="shared" si="196"/>
        <v>3.1609965433393233E-3</v>
      </c>
      <c r="W235" s="3">
        <f t="shared" si="196"/>
        <v>3.1609963076475946E-3</v>
      </c>
      <c r="X235" s="3">
        <f t="shared" si="196"/>
        <v>3.1609939507312719E-3</v>
      </c>
      <c r="Y235" s="3">
        <f t="shared" si="196"/>
        <v>3.1609703816647015E-3</v>
      </c>
      <c r="Z235" s="3">
        <f t="shared" si="196"/>
        <v>3.1607347006642698E-3</v>
      </c>
      <c r="AA235" s="3">
        <f t="shared" si="196"/>
        <v>3.1583788569205479E-3</v>
      </c>
      <c r="AB235" s="3">
        <f t="shared" si="196"/>
        <v>3.1349167795008083E-3</v>
      </c>
      <c r="AC235" s="3">
        <f t="shared" si="196"/>
        <v>2.9096713868751616E-3</v>
      </c>
      <c r="AD235" s="3">
        <f t="shared" si="196"/>
        <v>1.380458046003551E-3</v>
      </c>
      <c r="AE235" s="3">
        <f t="shared" si="196"/>
        <v>7.97656489922154E-7</v>
      </c>
      <c r="AF235" s="3">
        <f t="shared" si="196"/>
        <v>3.3093508305706547E-39</v>
      </c>
      <c r="AG235" s="3"/>
      <c r="AH235" s="3"/>
    </row>
    <row r="236" spans="2:34" x14ac:dyDescent="0.25">
      <c r="B236" s="3">
        <f t="shared" ref="B236:AF236" si="197">$C44*EXP(-B$207/$A44/EXP(-$D$126))</f>
        <v>2.6462780139571542E-3</v>
      </c>
      <c r="C236" s="3">
        <f t="shared" si="197"/>
        <v>2.6462780139571542E-3</v>
      </c>
      <c r="D236" s="3">
        <f t="shared" si="197"/>
        <v>2.6462780139571542E-3</v>
      </c>
      <c r="E236" s="3">
        <f t="shared" si="197"/>
        <v>2.6462780139571542E-3</v>
      </c>
      <c r="F236" s="3">
        <f t="shared" si="197"/>
        <v>2.6462780139571542E-3</v>
      </c>
      <c r="G236" s="3">
        <f t="shared" si="197"/>
        <v>2.6462780139571542E-3</v>
      </c>
      <c r="H236" s="3">
        <f t="shared" si="197"/>
        <v>2.6462780139571542E-3</v>
      </c>
      <c r="I236" s="3">
        <f t="shared" si="197"/>
        <v>2.6462780139571542E-3</v>
      </c>
      <c r="J236" s="3">
        <f t="shared" si="197"/>
        <v>2.6462780139571542E-3</v>
      </c>
      <c r="K236" s="3">
        <f t="shared" si="197"/>
        <v>2.6462780139571542E-3</v>
      </c>
      <c r="L236" s="3">
        <f t="shared" si="197"/>
        <v>2.6462780139571542E-3</v>
      </c>
      <c r="M236" s="3">
        <f t="shared" si="197"/>
        <v>2.6462780139571542E-3</v>
      </c>
      <c r="N236" s="3">
        <f t="shared" si="197"/>
        <v>2.6462780139571542E-3</v>
      </c>
      <c r="O236" s="3">
        <f t="shared" si="197"/>
        <v>2.6462780139571537E-3</v>
      </c>
      <c r="P236" s="3">
        <f t="shared" si="197"/>
        <v>2.646278013957152E-3</v>
      </c>
      <c r="Q236" s="3">
        <f t="shared" si="197"/>
        <v>2.6462780139571321E-3</v>
      </c>
      <c r="R236" s="3">
        <f t="shared" si="197"/>
        <v>2.6462780139569352E-3</v>
      </c>
      <c r="S236" s="3">
        <f t="shared" si="197"/>
        <v>2.6462780139549619E-3</v>
      </c>
      <c r="T236" s="3">
        <f t="shared" si="197"/>
        <v>2.6462780139352307E-3</v>
      </c>
      <c r="U236" s="3">
        <f t="shared" si="197"/>
        <v>2.6462780137379177E-3</v>
      </c>
      <c r="V236" s="3">
        <f t="shared" si="197"/>
        <v>2.6462780117647872E-3</v>
      </c>
      <c r="W236" s="3">
        <f t="shared" si="197"/>
        <v>2.6462779920334825E-3</v>
      </c>
      <c r="X236" s="3">
        <f t="shared" si="197"/>
        <v>2.6462777947204429E-3</v>
      </c>
      <c r="Y236" s="3">
        <f t="shared" si="197"/>
        <v>2.6462758215908592E-3</v>
      </c>
      <c r="Z236" s="3">
        <f t="shared" si="197"/>
        <v>2.6462560903759394E-3</v>
      </c>
      <c r="AA236" s="3">
        <f t="shared" si="197"/>
        <v>2.6460587863181739E-3</v>
      </c>
      <c r="AB236" s="3">
        <f t="shared" si="197"/>
        <v>2.6440865546607816E-3</v>
      </c>
      <c r="AC236" s="3">
        <f t="shared" si="197"/>
        <v>2.6244449073916415E-3</v>
      </c>
      <c r="AD236" s="3">
        <f t="shared" si="197"/>
        <v>2.4358771828972324E-3</v>
      </c>
      <c r="AE236" s="3">
        <f t="shared" si="197"/>
        <v>1.1556721736258459E-3</v>
      </c>
      <c r="AF236" s="3">
        <f t="shared" si="197"/>
        <v>6.6777068103142274E-7</v>
      </c>
      <c r="AG236" s="3"/>
      <c r="AH236" s="3"/>
    </row>
    <row r="237" spans="2:34" x14ac:dyDescent="0.25">
      <c r="B237" s="3">
        <f t="shared" ref="B237:AF237" si="198">$C45*EXP(-B$207/$A45/EXP(-$D$126))</f>
        <v>6.075652089661552E-5</v>
      </c>
      <c r="C237" s="3">
        <f t="shared" si="198"/>
        <v>6.075652089661552E-5</v>
      </c>
      <c r="D237" s="3">
        <f t="shared" si="198"/>
        <v>6.075652089661552E-5</v>
      </c>
      <c r="E237" s="3">
        <f t="shared" si="198"/>
        <v>6.075652089661552E-5</v>
      </c>
      <c r="F237" s="3">
        <f t="shared" si="198"/>
        <v>6.075652089661552E-5</v>
      </c>
      <c r="G237" s="3">
        <f t="shared" si="198"/>
        <v>6.075652089661552E-5</v>
      </c>
      <c r="H237" s="3">
        <f t="shared" si="198"/>
        <v>6.075652089661552E-5</v>
      </c>
      <c r="I237" s="3">
        <f t="shared" si="198"/>
        <v>6.075652089661552E-5</v>
      </c>
      <c r="J237" s="3">
        <f t="shared" si="198"/>
        <v>6.075652089661552E-5</v>
      </c>
      <c r="K237" s="3">
        <f t="shared" si="198"/>
        <v>6.075652089661552E-5</v>
      </c>
      <c r="L237" s="3">
        <f t="shared" si="198"/>
        <v>6.075652089661552E-5</v>
      </c>
      <c r="M237" s="3">
        <f t="shared" si="198"/>
        <v>6.075652089661552E-5</v>
      </c>
      <c r="N237" s="3">
        <f t="shared" si="198"/>
        <v>6.075652089661552E-5</v>
      </c>
      <c r="O237" s="3">
        <f t="shared" si="198"/>
        <v>6.075652089661552E-5</v>
      </c>
      <c r="P237" s="3">
        <f t="shared" si="198"/>
        <v>6.0756520896615513E-5</v>
      </c>
      <c r="Q237" s="3">
        <f t="shared" si="198"/>
        <v>6.0756520896615472E-5</v>
      </c>
      <c r="R237" s="3">
        <f t="shared" si="198"/>
        <v>6.0756520896615012E-5</v>
      </c>
      <c r="S237" s="3">
        <f t="shared" si="198"/>
        <v>6.0756520896610485E-5</v>
      </c>
      <c r="T237" s="3">
        <f t="shared" si="198"/>
        <v>6.0756520896565186E-5</v>
      </c>
      <c r="U237" s="3">
        <f t="shared" si="198"/>
        <v>6.0756520896112172E-5</v>
      </c>
      <c r="V237" s="3">
        <f t="shared" si="198"/>
        <v>6.0756520891582016E-5</v>
      </c>
      <c r="W237" s="3">
        <f t="shared" si="198"/>
        <v>6.0756520846280445E-5</v>
      </c>
      <c r="X237" s="3">
        <f t="shared" si="198"/>
        <v>6.0756520393264768E-5</v>
      </c>
      <c r="Y237" s="3">
        <f t="shared" si="198"/>
        <v>6.075651586310817E-5</v>
      </c>
      <c r="Z237" s="3">
        <f t="shared" si="198"/>
        <v>6.0756470561560812E-5</v>
      </c>
      <c r="AA237" s="3">
        <f t="shared" si="198"/>
        <v>6.0756017547944982E-5</v>
      </c>
      <c r="AB237" s="3">
        <f t="shared" si="198"/>
        <v>6.0751487597559796E-5</v>
      </c>
      <c r="AC237" s="3">
        <f t="shared" si="198"/>
        <v>6.0706206665899059E-5</v>
      </c>
      <c r="AD237" s="3">
        <f t="shared" si="198"/>
        <v>6.0255249454881398E-5</v>
      </c>
      <c r="AE237" s="3">
        <f t="shared" si="198"/>
        <v>5.5925878605240473E-5</v>
      </c>
      <c r="AF237" s="3">
        <f t="shared" si="198"/>
        <v>2.6533349933833759E-5</v>
      </c>
      <c r="AG237" s="3"/>
      <c r="AH237" s="3"/>
    </row>
    <row r="238" spans="2:34" x14ac:dyDescent="0.25">
      <c r="B238" s="3">
        <f t="shared" ref="B238:AF238" si="199">$C46*EXP(-B$207/$A46/EXP(-$D$126))</f>
        <v>1.7765171530370429E-3</v>
      </c>
      <c r="C238" s="3">
        <f t="shared" si="199"/>
        <v>1.7765171530370429E-3</v>
      </c>
      <c r="D238" s="3">
        <f t="shared" si="199"/>
        <v>1.7765171530370429E-3</v>
      </c>
      <c r="E238" s="3">
        <f t="shared" si="199"/>
        <v>1.7765171530370429E-3</v>
      </c>
      <c r="F238" s="3">
        <f t="shared" si="199"/>
        <v>1.7765171530370429E-3</v>
      </c>
      <c r="G238" s="3">
        <f t="shared" si="199"/>
        <v>1.7765171530370429E-3</v>
      </c>
      <c r="H238" s="3">
        <f t="shared" si="199"/>
        <v>1.7765171530370429E-3</v>
      </c>
      <c r="I238" s="3">
        <f t="shared" si="199"/>
        <v>1.7765171530370429E-3</v>
      </c>
      <c r="J238" s="3">
        <f t="shared" si="199"/>
        <v>1.7765171530370429E-3</v>
      </c>
      <c r="K238" s="3">
        <f t="shared" si="199"/>
        <v>1.7765171530370429E-3</v>
      </c>
      <c r="L238" s="3">
        <f t="shared" si="199"/>
        <v>1.7765171530370429E-3</v>
      </c>
      <c r="M238" s="3">
        <f t="shared" si="199"/>
        <v>1.7765171530370429E-3</v>
      </c>
      <c r="N238" s="3">
        <f t="shared" si="199"/>
        <v>1.7765171530370429E-3</v>
      </c>
      <c r="O238" s="3">
        <f t="shared" si="199"/>
        <v>1.7765171530370429E-3</v>
      </c>
      <c r="P238" s="3">
        <f t="shared" si="199"/>
        <v>1.7765171530370429E-3</v>
      </c>
      <c r="Q238" s="3">
        <f t="shared" si="199"/>
        <v>1.7765171530370427E-3</v>
      </c>
      <c r="R238" s="3">
        <f t="shared" si="199"/>
        <v>1.7765171530370416E-3</v>
      </c>
      <c r="S238" s="3">
        <f t="shared" si="199"/>
        <v>1.7765171530370282E-3</v>
      </c>
      <c r="T238" s="3">
        <f t="shared" si="199"/>
        <v>1.7765171530368957E-3</v>
      </c>
      <c r="U238" s="3">
        <f t="shared" si="199"/>
        <v>1.7765171530355712E-3</v>
      </c>
      <c r="V238" s="3">
        <f t="shared" si="199"/>
        <v>1.7765171530223251E-3</v>
      </c>
      <c r="W238" s="3">
        <f t="shared" si="199"/>
        <v>1.7765171528898636E-3</v>
      </c>
      <c r="X238" s="3">
        <f t="shared" si="199"/>
        <v>1.7765171515652482E-3</v>
      </c>
      <c r="Y238" s="3">
        <f t="shared" si="199"/>
        <v>1.776517138319096E-3</v>
      </c>
      <c r="Z238" s="3">
        <f t="shared" si="199"/>
        <v>1.7765170058575796E-3</v>
      </c>
      <c r="AA238" s="3">
        <f t="shared" si="199"/>
        <v>1.7765156812429579E-3</v>
      </c>
      <c r="AB238" s="3">
        <f t="shared" si="199"/>
        <v>1.7765024351510618E-3</v>
      </c>
      <c r="AC238" s="3">
        <f t="shared" si="199"/>
        <v>1.7763699796640965E-3</v>
      </c>
      <c r="AD238" s="3">
        <f t="shared" si="199"/>
        <v>1.7750459678442345E-3</v>
      </c>
      <c r="AE238" s="3">
        <f t="shared" si="199"/>
        <v>1.7618600051058178E-3</v>
      </c>
      <c r="AF238" s="3">
        <f t="shared" si="199"/>
        <v>1.6352694521455326E-3</v>
      </c>
      <c r="AG238" s="3"/>
      <c r="AH238" s="3"/>
    </row>
    <row r="239" spans="2:34" x14ac:dyDescent="0.25">
      <c r="B239" s="3">
        <f t="shared" ref="B239:AF239" si="200">$C47*EXP(-B$207/$A47/EXP(-$D$126))</f>
        <v>1.0980455611403293E-3</v>
      </c>
      <c r="C239" s="3">
        <f t="shared" si="200"/>
        <v>1.0980455611403293E-3</v>
      </c>
      <c r="D239" s="3">
        <f t="shared" si="200"/>
        <v>1.0980455611403293E-3</v>
      </c>
      <c r="E239" s="3">
        <f t="shared" si="200"/>
        <v>1.0980455611403293E-3</v>
      </c>
      <c r="F239" s="3">
        <f t="shared" si="200"/>
        <v>1.0980455611403293E-3</v>
      </c>
      <c r="G239" s="3">
        <f t="shared" si="200"/>
        <v>1.0980455611403293E-3</v>
      </c>
      <c r="H239" s="3">
        <f t="shared" si="200"/>
        <v>1.0980455611403293E-3</v>
      </c>
      <c r="I239" s="3">
        <f t="shared" si="200"/>
        <v>1.0980455611403293E-3</v>
      </c>
      <c r="J239" s="3">
        <f t="shared" si="200"/>
        <v>1.0980455611403293E-3</v>
      </c>
      <c r="K239" s="3">
        <f t="shared" si="200"/>
        <v>1.0980455611403293E-3</v>
      </c>
      <c r="L239" s="3">
        <f t="shared" si="200"/>
        <v>1.0980455611403293E-3</v>
      </c>
      <c r="M239" s="3">
        <f t="shared" si="200"/>
        <v>1.0980455611403293E-3</v>
      </c>
      <c r="N239" s="3">
        <f t="shared" si="200"/>
        <v>1.0980455611403293E-3</v>
      </c>
      <c r="O239" s="3">
        <f t="shared" si="200"/>
        <v>1.0980455611403293E-3</v>
      </c>
      <c r="P239" s="3">
        <f t="shared" si="200"/>
        <v>1.0980455611403293E-3</v>
      </c>
      <c r="Q239" s="3">
        <f t="shared" si="200"/>
        <v>1.0980455611403293E-3</v>
      </c>
      <c r="R239" s="3">
        <f t="shared" si="200"/>
        <v>1.098045561140329E-3</v>
      </c>
      <c r="S239" s="3">
        <f t="shared" si="200"/>
        <v>1.0980455611403284E-3</v>
      </c>
      <c r="T239" s="3">
        <f t="shared" si="200"/>
        <v>1.0980455611403202E-3</v>
      </c>
      <c r="U239" s="3">
        <f t="shared" si="200"/>
        <v>1.0980455611402384E-3</v>
      </c>
      <c r="V239" s="3">
        <f t="shared" si="200"/>
        <v>1.0980455611394196E-3</v>
      </c>
      <c r="W239" s="3">
        <f t="shared" si="200"/>
        <v>1.0980455611312324E-3</v>
      </c>
      <c r="X239" s="3">
        <f t="shared" si="200"/>
        <v>1.0980455610493593E-3</v>
      </c>
      <c r="Y239" s="3">
        <f t="shared" si="200"/>
        <v>1.0980455602306292E-3</v>
      </c>
      <c r="Z239" s="3">
        <f t="shared" si="200"/>
        <v>1.0980455520433294E-3</v>
      </c>
      <c r="AA239" s="3">
        <f t="shared" si="200"/>
        <v>1.0980454701703343E-3</v>
      </c>
      <c r="AB239" s="3">
        <f t="shared" si="200"/>
        <v>1.0980446514407189E-3</v>
      </c>
      <c r="AC239" s="3">
        <f t="shared" si="200"/>
        <v>1.0980364641781392E-3</v>
      </c>
      <c r="AD239" s="3">
        <f t="shared" si="200"/>
        <v>1.0979545949098002E-3</v>
      </c>
      <c r="AE239" s="3">
        <f t="shared" si="200"/>
        <v>1.0971362378794662E-3</v>
      </c>
      <c r="AF239" s="3">
        <f t="shared" si="200"/>
        <v>1.0889861404658116E-3</v>
      </c>
      <c r="AG239" s="3"/>
      <c r="AH239" s="3"/>
    </row>
    <row r="240" spans="2:34" x14ac:dyDescent="0.25">
      <c r="B240" s="3">
        <f t="shared" ref="B240:AF240" si="201">$C48*EXP(-B$207/$A48/EXP(-$D$126))</f>
        <v>1.9170213005477699E-3</v>
      </c>
      <c r="C240" s="3">
        <f t="shared" si="201"/>
        <v>1.9170213005477699E-3</v>
      </c>
      <c r="D240" s="3">
        <f t="shared" si="201"/>
        <v>1.9170213005477699E-3</v>
      </c>
      <c r="E240" s="3">
        <f t="shared" si="201"/>
        <v>1.9170213005477699E-3</v>
      </c>
      <c r="F240" s="3">
        <f t="shared" si="201"/>
        <v>1.9170213005477699E-3</v>
      </c>
      <c r="G240" s="3">
        <f t="shared" si="201"/>
        <v>1.9170213005477699E-3</v>
      </c>
      <c r="H240" s="3">
        <f t="shared" si="201"/>
        <v>1.9170213005477699E-3</v>
      </c>
      <c r="I240" s="3">
        <f t="shared" si="201"/>
        <v>1.9170213005477699E-3</v>
      </c>
      <c r="J240" s="3">
        <f t="shared" si="201"/>
        <v>1.9170213005477699E-3</v>
      </c>
      <c r="K240" s="3">
        <f t="shared" si="201"/>
        <v>1.9170213005477699E-3</v>
      </c>
      <c r="L240" s="3">
        <f t="shared" si="201"/>
        <v>1.9170213005477699E-3</v>
      </c>
      <c r="M240" s="3">
        <f t="shared" si="201"/>
        <v>1.9170213005477699E-3</v>
      </c>
      <c r="N240" s="3">
        <f t="shared" si="201"/>
        <v>1.9170213005477699E-3</v>
      </c>
      <c r="O240" s="3">
        <f t="shared" si="201"/>
        <v>1.9170213005477699E-3</v>
      </c>
      <c r="P240" s="3">
        <f t="shared" si="201"/>
        <v>1.9170213005477699E-3</v>
      </c>
      <c r="Q240" s="3">
        <f t="shared" si="201"/>
        <v>1.9170213005477699E-3</v>
      </c>
      <c r="R240" s="3">
        <f t="shared" si="201"/>
        <v>1.9170213005477699E-3</v>
      </c>
      <c r="S240" s="3">
        <f t="shared" si="201"/>
        <v>1.9170213005477697E-3</v>
      </c>
      <c r="T240" s="3">
        <f t="shared" si="201"/>
        <v>1.9170213005477684E-3</v>
      </c>
      <c r="U240" s="3">
        <f t="shared" si="201"/>
        <v>1.9170213005477539E-3</v>
      </c>
      <c r="V240" s="3">
        <f t="shared" si="201"/>
        <v>1.9170213005476112E-3</v>
      </c>
      <c r="W240" s="3">
        <f t="shared" si="201"/>
        <v>1.9170213005461818E-3</v>
      </c>
      <c r="X240" s="3">
        <f t="shared" si="201"/>
        <v>1.9170213005318879E-3</v>
      </c>
      <c r="Y240" s="3">
        <f t="shared" si="201"/>
        <v>1.9170213003889501E-3</v>
      </c>
      <c r="Z240" s="3">
        <f t="shared" si="201"/>
        <v>1.9170212989595716E-3</v>
      </c>
      <c r="AA240" s="3">
        <f t="shared" si="201"/>
        <v>1.9170212846657856E-3</v>
      </c>
      <c r="AB240" s="3">
        <f t="shared" si="201"/>
        <v>1.917021141727932E-3</v>
      </c>
      <c r="AC240" s="3">
        <f t="shared" si="201"/>
        <v>1.9170197123499829E-3</v>
      </c>
      <c r="AD240" s="3">
        <f t="shared" si="201"/>
        <v>1.9170054186291086E-3</v>
      </c>
      <c r="AE240" s="3">
        <f t="shared" si="201"/>
        <v>1.9168624872819764E-3</v>
      </c>
      <c r="AF240" s="3">
        <f t="shared" si="201"/>
        <v>1.9154337598100727E-3</v>
      </c>
      <c r="AG240" s="3"/>
      <c r="AH240" s="3"/>
    </row>
    <row r="241" spans="1:34" x14ac:dyDescent="0.25">
      <c r="A241" s="79">
        <f>AVERAGE(B241:AF241)</f>
        <v>2.119863770754005E-2</v>
      </c>
      <c r="B241" s="80">
        <f>IF($A$64&lt;=B207,IF($B$64&gt;=B207,ABS((B209-B208)/B208),0),0)</f>
        <v>5.5285501099175613E-2</v>
      </c>
      <c r="C241" s="80">
        <f t="shared" ref="C241:AF241" si="202">IF($A$64&lt;=C207,IF($B$64&gt;=C207,ABS((C209-C208)/C208),0),0)</f>
        <v>3.6756159812353376E-2</v>
      </c>
      <c r="D241" s="80">
        <f t="shared" si="202"/>
        <v>2.0593942524523141E-2</v>
      </c>
      <c r="E241" s="80">
        <f t="shared" si="202"/>
        <v>9.3266717353901411E-3</v>
      </c>
      <c r="F241" s="80">
        <f t="shared" si="202"/>
        <v>1.9685501257640289E-2</v>
      </c>
      <c r="G241" s="80">
        <f t="shared" si="202"/>
        <v>1.9525498693144294E-2</v>
      </c>
      <c r="H241" s="80">
        <f t="shared" si="202"/>
        <v>1.7568623369169499E-2</v>
      </c>
      <c r="I241" s="80">
        <f t="shared" si="202"/>
        <v>1.9278268652052937E-2</v>
      </c>
      <c r="J241" s="80">
        <f t="shared" si="202"/>
        <v>1.7512305337378648E-2</v>
      </c>
      <c r="K241" s="80">
        <f t="shared" si="202"/>
        <v>1.9064121091775927E-2</v>
      </c>
      <c r="L241" s="80">
        <f t="shared" si="202"/>
        <v>1.9984260812100908E-2</v>
      </c>
      <c r="M241" s="80">
        <f t="shared" si="202"/>
        <v>1.9305342066054554E-2</v>
      </c>
      <c r="N241" s="80">
        <f t="shared" si="202"/>
        <v>1.9283067250128488E-2</v>
      </c>
      <c r="O241" s="80">
        <f t="shared" si="202"/>
        <v>1.8336320074801373E-2</v>
      </c>
      <c r="P241" s="80">
        <f t="shared" si="202"/>
        <v>1.9698461218311824E-2</v>
      </c>
      <c r="Q241" s="80">
        <f t="shared" si="202"/>
        <v>1.8640582303431907E-2</v>
      </c>
      <c r="R241" s="80">
        <f t="shared" si="202"/>
        <v>1.8421385588299012E-2</v>
      </c>
      <c r="S241" s="80">
        <f t="shared" si="202"/>
        <v>1.0270755867037826E-2</v>
      </c>
      <c r="T241" s="80">
        <f t="shared" si="202"/>
        <v>3.1160438346539181E-2</v>
      </c>
      <c r="U241" s="80">
        <f t="shared" si="202"/>
        <v>7.1954644934020373E-2</v>
      </c>
      <c r="V241" s="80">
        <f t="shared" si="202"/>
        <v>6.5286364981486017E-2</v>
      </c>
      <c r="W241" s="80">
        <f t="shared" si="202"/>
        <v>4.0555553140467659E-2</v>
      </c>
      <c r="X241" s="80">
        <f t="shared" si="202"/>
        <v>1.8645157254568549E-2</v>
      </c>
      <c r="Y241" s="80">
        <f t="shared" si="202"/>
        <v>7.7237829469931647E-3</v>
      </c>
      <c r="Z241" s="80">
        <f t="shared" si="202"/>
        <v>1.6767104097546723E-3</v>
      </c>
      <c r="AA241" s="80">
        <f t="shared" si="202"/>
        <v>1.8801958870040405E-2</v>
      </c>
      <c r="AB241" s="80">
        <f t="shared" si="202"/>
        <v>6.9783417237057263E-3</v>
      </c>
      <c r="AC241" s="80">
        <f t="shared" si="202"/>
        <v>1.0020874784998354E-2</v>
      </c>
      <c r="AD241" s="80">
        <f t="shared" si="202"/>
        <v>4.5217797271458591E-4</v>
      </c>
      <c r="AE241" s="80">
        <f t="shared" si="202"/>
        <v>3.2578253638357994E-3</v>
      </c>
      <c r="AF241" s="80">
        <f t="shared" si="202"/>
        <v>2.1071694518473246E-3</v>
      </c>
    </row>
    <row r="242" spans="1:34" x14ac:dyDescent="0.25">
      <c r="B242" s="21">
        <f>(B209-B208)^2</f>
        <v>370461.4389017158</v>
      </c>
      <c r="C242" s="21">
        <f t="shared" ref="C242:AF242" si="203">(C209-C208)^2</f>
        <v>157485.21888673032</v>
      </c>
      <c r="D242" s="21">
        <f t="shared" si="203"/>
        <v>47743.643512540853</v>
      </c>
      <c r="E242" s="21">
        <f t="shared" si="203"/>
        <v>9433.6461570941319</v>
      </c>
      <c r="F242" s="21">
        <f t="shared" si="203"/>
        <v>40273.630161822875</v>
      </c>
      <c r="G242" s="21">
        <f t="shared" si="203"/>
        <v>37802.888695577749</v>
      </c>
      <c r="H242" s="21">
        <f t="shared" si="203"/>
        <v>28915.58718873324</v>
      </c>
      <c r="I242" s="21">
        <f t="shared" si="203"/>
        <v>33042.824719568467</v>
      </c>
      <c r="J242" s="21">
        <f t="shared" si="203"/>
        <v>25770.869392224096</v>
      </c>
      <c r="K242" s="21">
        <f t="shared" si="203"/>
        <v>28603.493241486805</v>
      </c>
      <c r="L242" s="21">
        <f t="shared" si="203"/>
        <v>28997.546281192557</v>
      </c>
      <c r="M242" s="21">
        <f t="shared" si="203"/>
        <v>24814.0691439367</v>
      </c>
      <c r="N242" s="21">
        <f t="shared" si="203"/>
        <v>22935.636114895999</v>
      </c>
      <c r="O242" s="21">
        <f t="shared" si="203"/>
        <v>19283.655502575813</v>
      </c>
      <c r="P242" s="21">
        <f t="shared" si="203"/>
        <v>20643.323004847189</v>
      </c>
      <c r="Q242" s="21">
        <f t="shared" si="203"/>
        <v>17047.40025676306</v>
      </c>
      <c r="R242" s="21">
        <f t="shared" si="203"/>
        <v>15306.734101553169</v>
      </c>
      <c r="S242" s="21">
        <f t="shared" si="203"/>
        <v>4210.104797591127</v>
      </c>
      <c r="T242" s="21">
        <f t="shared" si="203"/>
        <v>30179.394896344467</v>
      </c>
      <c r="U242" s="21">
        <f t="shared" si="203"/>
        <v>105657.83081628171</v>
      </c>
      <c r="V242" s="21">
        <f t="shared" si="203"/>
        <v>54602.980752148003</v>
      </c>
      <c r="W242" s="21">
        <f t="shared" si="203"/>
        <v>13236.064028129516</v>
      </c>
      <c r="X242" s="21">
        <f t="shared" si="203"/>
        <v>1703.5865063259239</v>
      </c>
      <c r="Y242" s="21">
        <f t="shared" si="203"/>
        <v>162.54042435478766</v>
      </c>
      <c r="Z242" s="21">
        <f t="shared" si="203"/>
        <v>3.8396357735185105</v>
      </c>
      <c r="AA242" s="21">
        <f t="shared" si="203"/>
        <v>236.58861352195535</v>
      </c>
      <c r="AB242" s="21">
        <f t="shared" si="203"/>
        <v>17.474434143455671</v>
      </c>
      <c r="AC242" s="21">
        <f t="shared" si="203"/>
        <v>23.916935861091368</v>
      </c>
      <c r="AD242" s="21">
        <f t="shared" si="203"/>
        <v>3.8072092424968153E-2</v>
      </c>
      <c r="AE242" s="21">
        <f t="shared" si="203"/>
        <v>1.7156870359204233</v>
      </c>
      <c r="AF242" s="21">
        <f t="shared" si="203"/>
        <v>0.66325949690329833</v>
      </c>
      <c r="AG242" s="3"/>
      <c r="AH242" s="3"/>
    </row>
    <row r="243" spans="1:34" x14ac:dyDescent="0.25">
      <c r="A243" s="71">
        <f>SUM(B243:AF243)</f>
        <v>1138598.34412236</v>
      </c>
      <c r="B243" s="60">
        <f>IF($A$64&lt;=B207,IF($B$64&gt;=B207,ABS(B242),0),0)</f>
        <v>370461.4389017158</v>
      </c>
      <c r="C243" s="60">
        <f t="shared" ref="C243" si="204">IF($A$64&lt;=C207,IF($B$64&gt;=C207,ABS(C242),0),0)</f>
        <v>157485.21888673032</v>
      </c>
      <c r="D243" s="60">
        <f t="shared" ref="D243" si="205">IF($A$64&lt;=D207,IF($B$64&gt;=D207,ABS(D242),0),0)</f>
        <v>47743.643512540853</v>
      </c>
      <c r="E243" s="60">
        <f t="shared" ref="E243" si="206">IF($A$64&lt;=E207,IF($B$64&gt;=E207,ABS(E242),0),0)</f>
        <v>9433.6461570941319</v>
      </c>
      <c r="F243" s="60">
        <f t="shared" ref="F243" si="207">IF($A$64&lt;=F207,IF($B$64&gt;=F207,ABS(F242),0),0)</f>
        <v>40273.630161822875</v>
      </c>
      <c r="G243" s="60">
        <f t="shared" ref="G243" si="208">IF($A$64&lt;=G207,IF($B$64&gt;=G207,ABS(G242),0),0)</f>
        <v>37802.888695577749</v>
      </c>
      <c r="H243" s="60">
        <f t="shared" ref="H243" si="209">IF($A$64&lt;=H207,IF($B$64&gt;=H207,ABS(H242),0),0)</f>
        <v>28915.58718873324</v>
      </c>
      <c r="I243" s="60">
        <f t="shared" ref="I243" si="210">IF($A$64&lt;=I207,IF($B$64&gt;=I207,ABS(I242),0),0)</f>
        <v>33042.824719568467</v>
      </c>
      <c r="J243" s="60">
        <f t="shared" ref="J243" si="211">IF($A$64&lt;=J207,IF($B$64&gt;=J207,ABS(J242),0),0)</f>
        <v>25770.869392224096</v>
      </c>
      <c r="K243" s="60">
        <f t="shared" ref="K243" si="212">IF($A$64&lt;=K207,IF($B$64&gt;=K207,ABS(K242),0),0)</f>
        <v>28603.493241486805</v>
      </c>
      <c r="L243" s="60">
        <f t="shared" ref="L243" si="213">IF($A$64&lt;=L207,IF($B$64&gt;=L207,ABS(L242),0),0)</f>
        <v>28997.546281192557</v>
      </c>
      <c r="M243" s="60">
        <f t="shared" ref="M243" si="214">IF($A$64&lt;=M207,IF($B$64&gt;=M207,ABS(M242),0),0)</f>
        <v>24814.0691439367</v>
      </c>
      <c r="N243" s="60">
        <f t="shared" ref="N243" si="215">IF($A$64&lt;=N207,IF($B$64&gt;=N207,ABS(N242),0),0)</f>
        <v>22935.636114895999</v>
      </c>
      <c r="O243" s="60">
        <f t="shared" ref="O243" si="216">IF($A$64&lt;=O207,IF($B$64&gt;=O207,ABS(O242),0),0)</f>
        <v>19283.655502575813</v>
      </c>
      <c r="P243" s="60">
        <f t="shared" ref="P243" si="217">IF($A$64&lt;=P207,IF($B$64&gt;=P207,ABS(P242),0),0)</f>
        <v>20643.323004847189</v>
      </c>
      <c r="Q243" s="60">
        <f t="shared" ref="Q243" si="218">IF($A$64&lt;=Q207,IF($B$64&gt;=Q207,ABS(Q242),0),0)</f>
        <v>17047.40025676306</v>
      </c>
      <c r="R243" s="60">
        <f t="shared" ref="R243" si="219">IF($A$64&lt;=R207,IF($B$64&gt;=R207,ABS(R242),0),0)</f>
        <v>15306.734101553169</v>
      </c>
      <c r="S243" s="60">
        <f t="shared" ref="S243" si="220">IF($A$64&lt;=S207,IF($B$64&gt;=S207,ABS(S242),0),0)</f>
        <v>4210.104797591127</v>
      </c>
      <c r="T243" s="60">
        <f t="shared" ref="T243" si="221">IF($A$64&lt;=T207,IF($B$64&gt;=T207,ABS(T242),0),0)</f>
        <v>30179.394896344467</v>
      </c>
      <c r="U243" s="60">
        <f t="shared" ref="U243" si="222">IF($A$64&lt;=U207,IF($B$64&gt;=U207,ABS(U242),0),0)</f>
        <v>105657.83081628171</v>
      </c>
      <c r="V243" s="60">
        <f t="shared" ref="V243" si="223">IF($A$64&lt;=V207,IF($B$64&gt;=V207,ABS(V242),0),0)</f>
        <v>54602.980752148003</v>
      </c>
      <c r="W243" s="60">
        <f t="shared" ref="W243" si="224">IF($A$64&lt;=W207,IF($B$64&gt;=W207,ABS(W242),0),0)</f>
        <v>13236.064028129516</v>
      </c>
      <c r="X243" s="60">
        <f t="shared" ref="X243" si="225">IF($A$64&lt;=X207,IF($B$64&gt;=X207,ABS(X242),0),0)</f>
        <v>1703.5865063259239</v>
      </c>
      <c r="Y243" s="60">
        <f t="shared" ref="Y243" si="226">IF($A$64&lt;=Y207,IF($B$64&gt;=Y207,ABS(Y242),0),0)</f>
        <v>162.54042435478766</v>
      </c>
      <c r="Z243" s="60">
        <f t="shared" ref="Z243" si="227">IF($A$64&lt;=Z207,IF($B$64&gt;=Z207,ABS(Z242),0),0)</f>
        <v>3.8396357735185105</v>
      </c>
      <c r="AA243" s="60">
        <f t="shared" ref="AA243" si="228">IF($A$64&lt;=AA207,IF($B$64&gt;=AA207,ABS(AA242),0),0)</f>
        <v>236.58861352195535</v>
      </c>
      <c r="AB243" s="60">
        <f t="shared" ref="AB243" si="229">IF($A$64&lt;=AB207,IF($B$64&gt;=AB207,ABS(AB242),0),0)</f>
        <v>17.474434143455671</v>
      </c>
      <c r="AC243" s="60">
        <f t="shared" ref="AC243" si="230">IF($A$64&lt;=AC207,IF($B$64&gt;=AC207,ABS(AC242),0),0)</f>
        <v>23.916935861091368</v>
      </c>
      <c r="AD243" s="60">
        <f t="shared" ref="AD243" si="231">IF($A$64&lt;=AD207,IF($B$64&gt;=AD207,ABS(AD242),0),0)</f>
        <v>3.8072092424968153E-2</v>
      </c>
      <c r="AE243" s="60">
        <f t="shared" ref="AE243" si="232">IF($A$64&lt;=AE207,IF($B$64&gt;=AE207,ABS(AE242),0),0)</f>
        <v>1.7156870359204233</v>
      </c>
      <c r="AF243" s="60">
        <f t="shared" ref="AF243" si="233">IF($A$64&lt;=AF207,IF($B$64&gt;=AF207,ABS(AF242),0),0)</f>
        <v>0.66325949690329833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10399.952998536004</v>
      </c>
      <c r="C248" s="27">
        <f t="shared" ref="C248:AF248" si="234">($C$17+SUM(C249:C279))*$B$51</f>
        <v>10392.831446411534</v>
      </c>
      <c r="D248" s="27">
        <f t="shared" si="234"/>
        <v>10327.436770438158</v>
      </c>
      <c r="E248" s="27">
        <f t="shared" si="234"/>
        <v>10016.070240263183</v>
      </c>
      <c r="F248" s="27">
        <f t="shared" si="234"/>
        <v>9778.7042020402314</v>
      </c>
      <c r="G248" s="27">
        <f t="shared" si="234"/>
        <v>9528.1073902054632</v>
      </c>
      <c r="H248" s="27">
        <f t="shared" si="234"/>
        <v>9266.1371918169207</v>
      </c>
      <c r="I248" s="27">
        <f t="shared" si="234"/>
        <v>9024.3430036784303</v>
      </c>
      <c r="J248" s="27">
        <f t="shared" si="234"/>
        <v>8727.1077363618369</v>
      </c>
      <c r="K248" s="27">
        <f t="shared" si="234"/>
        <v>8376.8928208765319</v>
      </c>
      <c r="L248" s="27">
        <f t="shared" si="234"/>
        <v>8026.1874454195668</v>
      </c>
      <c r="M248" s="27">
        <f t="shared" si="234"/>
        <v>7721.0057092017205</v>
      </c>
      <c r="N248" s="27">
        <f t="shared" si="234"/>
        <v>7452.5907027446465</v>
      </c>
      <c r="O248" s="27">
        <f t="shared" si="234"/>
        <v>7169.6997794570543</v>
      </c>
      <c r="P248" s="27">
        <f t="shared" si="234"/>
        <v>6889.3455334879636</v>
      </c>
      <c r="Q248" s="27">
        <f t="shared" si="234"/>
        <v>6612.6846187537412</v>
      </c>
      <c r="R248" s="27">
        <f t="shared" si="234"/>
        <v>6273.1730935320093</v>
      </c>
      <c r="S248" s="27">
        <f t="shared" si="234"/>
        <v>5794.258855770835</v>
      </c>
      <c r="T248" s="27">
        <f t="shared" si="234"/>
        <v>4900.7563352453353</v>
      </c>
      <c r="U248" s="27">
        <f t="shared" si="234"/>
        <v>3865.166213580253</v>
      </c>
      <c r="V248" s="27">
        <f t="shared" si="234"/>
        <v>2994.2490238093569</v>
      </c>
      <c r="W248" s="27">
        <f t="shared" si="234"/>
        <v>2293.666790952122</v>
      </c>
      <c r="X248" s="27">
        <f t="shared" si="234"/>
        <v>1667.6725527878023</v>
      </c>
      <c r="Y248" s="27">
        <f t="shared" si="234"/>
        <v>1202.0168369385192</v>
      </c>
      <c r="Z248" s="27">
        <f t="shared" si="234"/>
        <v>819.58644361386621</v>
      </c>
      <c r="AA248" s="27">
        <f t="shared" si="234"/>
        <v>604.75776034526757</v>
      </c>
      <c r="AB248" s="27">
        <f t="shared" si="234"/>
        <v>487.57311795507781</v>
      </c>
      <c r="AC248" s="27">
        <f t="shared" si="234"/>
        <v>433.60196186290739</v>
      </c>
      <c r="AD248" s="27">
        <f t="shared" si="234"/>
        <v>402.40899850385586</v>
      </c>
      <c r="AE248" s="27">
        <f t="shared" si="234"/>
        <v>385.96505941965779</v>
      </c>
      <c r="AF248" s="27">
        <f t="shared" si="234"/>
        <v>375.74900924127411</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3.6445592313634374E-2</v>
      </c>
      <c r="C250" s="3">
        <f t="shared" si="236"/>
        <v>3.5851037999070336E-2</v>
      </c>
      <c r="D250" s="3">
        <f t="shared" si="236"/>
        <v>3.0413678464444555E-2</v>
      </c>
      <c r="E250" s="3">
        <f t="shared" si="236"/>
        <v>5.8713924360558074E-3</v>
      </c>
      <c r="F250" s="3">
        <f t="shared" si="236"/>
        <v>4.2214601772121154E-10</v>
      </c>
      <c r="G250" s="3">
        <f t="shared" si="236"/>
        <v>1.5583986886996971E-81</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1.7686930932909097E-2</v>
      </c>
      <c r="C251" s="3">
        <f t="shared" si="237"/>
        <v>1.7660707461324726E-2</v>
      </c>
      <c r="D251" s="3">
        <f t="shared" si="237"/>
        <v>1.7400601670160904E-2</v>
      </c>
      <c r="E251" s="3">
        <f t="shared" si="237"/>
        <v>1.5001198281305772E-2</v>
      </c>
      <c r="F251" s="3">
        <f t="shared" si="237"/>
        <v>3.4020666084174853E-3</v>
      </c>
      <c r="G251" s="3">
        <f t="shared" si="237"/>
        <v>1.2243664510306525E-9</v>
      </c>
      <c r="H251" s="3">
        <f t="shared" si="237"/>
        <v>4.4626980915555514E-74</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2.4470978115332838E-2</v>
      </c>
      <c r="C252" s="3">
        <f t="shared" si="238"/>
        <v>2.44677029840564E-2</v>
      </c>
      <c r="D252" s="3">
        <f t="shared" si="238"/>
        <v>2.4434975770036834E-2</v>
      </c>
      <c r="E252" s="3">
        <f t="shared" si="238"/>
        <v>2.4110101612475555E-2</v>
      </c>
      <c r="F252" s="3">
        <f t="shared" si="238"/>
        <v>2.1089696059645051E-2</v>
      </c>
      <c r="G252" s="3">
        <f t="shared" si="238"/>
        <v>5.5307384594981013E-3</v>
      </c>
      <c r="H252" s="3">
        <f t="shared" si="238"/>
        <v>8.5096389024884939E-9</v>
      </c>
      <c r="I252" s="3">
        <f t="shared" si="238"/>
        <v>6.3269037851238179E-67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2.4619120450077039E-2</v>
      </c>
      <c r="C253" s="3">
        <f t="shared" si="239"/>
        <v>2.4618823199333218E-2</v>
      </c>
      <c r="D253" s="3">
        <f t="shared" si="239"/>
        <v>2.4615850889282809E-2</v>
      </c>
      <c r="E253" s="3">
        <f t="shared" si="239"/>
        <v>2.4586147518744321E-2</v>
      </c>
      <c r="F253" s="3">
        <f t="shared" si="239"/>
        <v>2.429107802415164E-2</v>
      </c>
      <c r="G253" s="3">
        <f t="shared" si="239"/>
        <v>2.1528305503537716E-2</v>
      </c>
      <c r="H253" s="3">
        <f t="shared" si="239"/>
        <v>6.4363616104092126E-3</v>
      </c>
      <c r="I253" s="3">
        <f t="shared" si="239"/>
        <v>3.6723690310214785E-8</v>
      </c>
      <c r="J253" s="3">
        <f t="shared" si="239"/>
        <v>1.3427807959512262E-60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1.9768713765407196E-2</v>
      </c>
      <c r="C254" s="3">
        <f t="shared" si="240"/>
        <v>1.976869223373267E-2</v>
      </c>
      <c r="D254" s="3">
        <f t="shared" si="240"/>
        <v>1.9768476918277246E-2</v>
      </c>
      <c r="E254" s="3">
        <f t="shared" si="240"/>
        <v>1.9766323892702602E-2</v>
      </c>
      <c r="F254" s="3">
        <f t="shared" si="240"/>
        <v>1.9744806529718148E-2</v>
      </c>
      <c r="G254" s="3">
        <f t="shared" si="240"/>
        <v>1.953091699543491E-2</v>
      </c>
      <c r="H254" s="3">
        <f t="shared" si="240"/>
        <v>1.7515403680222929E-2</v>
      </c>
      <c r="I254" s="3">
        <f t="shared" si="240"/>
        <v>5.8937989642673548E-3</v>
      </c>
      <c r="J254" s="3">
        <f t="shared" si="240"/>
        <v>1.0968493671421154E-7</v>
      </c>
      <c r="K254" s="3">
        <f t="shared" si="240"/>
        <v>5.4659253734008457E-55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3.0447866401427666E-2</v>
      </c>
      <c r="C255" s="3">
        <f t="shared" si="241"/>
        <v>3.0447863409830831E-2</v>
      </c>
      <c r="D255" s="3">
        <f t="shared" si="241"/>
        <v>3.0447833493878678E-2</v>
      </c>
      <c r="E255" s="3">
        <f t="shared" si="241"/>
        <v>3.0447534335973785E-2</v>
      </c>
      <c r="F255" s="3">
        <f t="shared" si="241"/>
        <v>3.0444542918581834E-2</v>
      </c>
      <c r="G255" s="3">
        <f t="shared" si="241"/>
        <v>3.0414644904484929E-2</v>
      </c>
      <c r="H255" s="3">
        <f t="shared" si="241"/>
        <v>3.011727488650166E-2</v>
      </c>
      <c r="I255" s="3">
        <f t="shared" si="241"/>
        <v>2.729888429208727E-2</v>
      </c>
      <c r="J255" s="3">
        <f t="shared" si="241"/>
        <v>1.0219676452911304E-2</v>
      </c>
      <c r="K255" s="3">
        <f t="shared" si="241"/>
        <v>5.5253479850936879E-7</v>
      </c>
      <c r="L255" s="3">
        <f t="shared" si="241"/>
        <v>1.1791919858245439E-49</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3.3440430390967321E-2</v>
      </c>
      <c r="C256" s="3">
        <f t="shared" si="242"/>
        <v>3.3440430094576555E-2</v>
      </c>
      <c r="D256" s="3">
        <f t="shared" si="242"/>
        <v>3.3440427130669054E-2</v>
      </c>
      <c r="E256" s="3">
        <f t="shared" si="242"/>
        <v>3.3440397491608431E-2</v>
      </c>
      <c r="F256" s="3">
        <f t="shared" si="242"/>
        <v>3.3440101102447016E-2</v>
      </c>
      <c r="G256" s="3">
        <f t="shared" si="242"/>
        <v>3.343713735531182E-2</v>
      </c>
      <c r="H256" s="3">
        <f t="shared" si="242"/>
        <v>3.3407514327110303E-2</v>
      </c>
      <c r="I256" s="3">
        <f t="shared" si="242"/>
        <v>3.3112723634858225E-2</v>
      </c>
      <c r="J256" s="3">
        <f t="shared" si="242"/>
        <v>3.0304164541781926E-2</v>
      </c>
      <c r="K256" s="3">
        <f t="shared" si="242"/>
        <v>1.2490402257499656E-2</v>
      </c>
      <c r="L256" s="3">
        <f t="shared" si="242"/>
        <v>1.7673294852641931E-6</v>
      </c>
      <c r="M256" s="3">
        <f t="shared" si="242"/>
        <v>5.6849742494337516E-45</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3.2526067401852959E-2</v>
      </c>
      <c r="C257" s="3">
        <f t="shared" si="243"/>
        <v>3.2526067375847116E-2</v>
      </c>
      <c r="D257" s="3">
        <f t="shared" si="243"/>
        <v>3.2526067115788669E-2</v>
      </c>
      <c r="E257" s="3">
        <f t="shared" si="243"/>
        <v>3.2526064515204359E-2</v>
      </c>
      <c r="F257" s="3">
        <f t="shared" si="243"/>
        <v>3.2526038509372635E-2</v>
      </c>
      <c r="G257" s="3">
        <f t="shared" si="243"/>
        <v>3.2525778452199047E-2</v>
      </c>
      <c r="H257" s="3">
        <f t="shared" si="243"/>
        <v>3.2523177994819151E-2</v>
      </c>
      <c r="I257" s="3">
        <f t="shared" si="243"/>
        <v>3.2497184853233191E-2</v>
      </c>
      <c r="J257" s="3">
        <f t="shared" si="243"/>
        <v>3.2238393283913883E-2</v>
      </c>
      <c r="K257" s="3">
        <f t="shared" si="243"/>
        <v>2.9761161150329628E-2</v>
      </c>
      <c r="L257" s="3">
        <f t="shared" si="243"/>
        <v>1.3378724040672469E-2</v>
      </c>
      <c r="M257" s="3">
        <f t="shared" si="243"/>
        <v>4.5088204224660398E-6</v>
      </c>
      <c r="N257" s="3">
        <f t="shared" si="243"/>
        <v>8.5220752847971382E-41</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2.4652946238536193E-2</v>
      </c>
      <c r="C258" s="3">
        <f t="shared" si="244"/>
        <v>2.4652946236758101E-2</v>
      </c>
      <c r="D258" s="3">
        <f t="shared" si="244"/>
        <v>2.4652946218977158E-2</v>
      </c>
      <c r="E258" s="3">
        <f t="shared" si="244"/>
        <v>2.4652946041167714E-2</v>
      </c>
      <c r="F258" s="3">
        <f t="shared" si="244"/>
        <v>2.4652944263073361E-2</v>
      </c>
      <c r="G258" s="3">
        <f t="shared" si="244"/>
        <v>2.4652926482136874E-2</v>
      </c>
      <c r="H258" s="3">
        <f t="shared" si="244"/>
        <v>2.465274867347738E-2</v>
      </c>
      <c r="I258" s="3">
        <f t="shared" si="244"/>
        <v>2.4650970657415158E-2</v>
      </c>
      <c r="J258" s="3">
        <f t="shared" si="244"/>
        <v>2.4633197548182936E-2</v>
      </c>
      <c r="K258" s="3">
        <f t="shared" si="244"/>
        <v>2.4456169716736781E-2</v>
      </c>
      <c r="L258" s="3">
        <f t="shared" si="244"/>
        <v>2.2754376407790811E-2</v>
      </c>
      <c r="M258" s="3">
        <f t="shared" si="244"/>
        <v>1.1061904946626816E-2</v>
      </c>
      <c r="N258" s="3">
        <f t="shared" si="244"/>
        <v>8.156047858286686E-6</v>
      </c>
      <c r="O258" s="3">
        <f t="shared" si="244"/>
        <v>3.8723820388595166E-37</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2.4121212123977383E-2</v>
      </c>
      <c r="C259" s="3">
        <f t="shared" si="245"/>
        <v>2.4121212123820443E-2</v>
      </c>
      <c r="D259" s="3">
        <f t="shared" si="245"/>
        <v>2.4121212122251053E-2</v>
      </c>
      <c r="E259" s="3">
        <f t="shared" si="245"/>
        <v>2.412121210655712E-2</v>
      </c>
      <c r="F259" s="3">
        <f t="shared" si="245"/>
        <v>2.4121211949617822E-2</v>
      </c>
      <c r="G259" s="3">
        <f t="shared" si="245"/>
        <v>2.412121038022488E-2</v>
      </c>
      <c r="H259" s="3">
        <f t="shared" si="245"/>
        <v>2.4121194686301081E-2</v>
      </c>
      <c r="I259" s="3">
        <f t="shared" si="245"/>
        <v>2.4121037747624703E-2</v>
      </c>
      <c r="J259" s="3">
        <f t="shared" si="245"/>
        <v>2.4119468417019396E-2</v>
      </c>
      <c r="K259" s="3">
        <f t="shared" si="245"/>
        <v>2.4103780725463E-2</v>
      </c>
      <c r="L259" s="3">
        <f t="shared" si="245"/>
        <v>2.3947463910321879E-2</v>
      </c>
      <c r="M259" s="3">
        <f t="shared" si="245"/>
        <v>2.2438980603387792E-2</v>
      </c>
      <c r="N259" s="3">
        <f t="shared" si="245"/>
        <v>1.170682376091978E-2</v>
      </c>
      <c r="O259" s="3">
        <f t="shared" si="245"/>
        <v>1.7490356130276016E-5</v>
      </c>
      <c r="P259" s="3">
        <f t="shared" si="245"/>
        <v>9.6915752787408574E-34</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2.8520624547311565E-2</v>
      </c>
      <c r="C260" s="3">
        <f t="shared" si="246"/>
        <v>2.8520624547294825E-2</v>
      </c>
      <c r="D260" s="3">
        <f t="shared" si="246"/>
        <v>2.8520624547127432E-2</v>
      </c>
      <c r="E260" s="3">
        <f t="shared" si="246"/>
        <v>2.85206245454535E-2</v>
      </c>
      <c r="F260" s="3">
        <f t="shared" si="246"/>
        <v>2.8520624528714164E-2</v>
      </c>
      <c r="G260" s="3">
        <f t="shared" si="246"/>
        <v>2.8520624361320811E-2</v>
      </c>
      <c r="H260" s="3">
        <f t="shared" si="246"/>
        <v>2.8520622687387347E-2</v>
      </c>
      <c r="I260" s="3">
        <f t="shared" si="246"/>
        <v>2.8520605948058129E-2</v>
      </c>
      <c r="J260" s="3">
        <f t="shared" si="246"/>
        <v>2.8520438555306254E-2</v>
      </c>
      <c r="K260" s="3">
        <f t="shared" si="246"/>
        <v>2.8518764681821861E-2</v>
      </c>
      <c r="L260" s="3">
        <f t="shared" si="246"/>
        <v>2.8502031349235471E-2</v>
      </c>
      <c r="M260" s="3">
        <f t="shared" si="246"/>
        <v>2.8335237077809355E-2</v>
      </c>
      <c r="N260" s="3">
        <f t="shared" si="246"/>
        <v>2.6720047344649299E-2</v>
      </c>
      <c r="O260" s="3">
        <f t="shared" si="246"/>
        <v>1.4857336156826972E-2</v>
      </c>
      <c r="P260" s="3">
        <f t="shared" si="246"/>
        <v>4.1973792676663572E-5</v>
      </c>
      <c r="Q260" s="3">
        <f t="shared" si="246"/>
        <v>1.3594112103713447E-30</v>
      </c>
      <c r="R260" s="3">
        <f t="shared" si="246"/>
        <v>1.7261446498608372E-285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2.1063488813407513E-2</v>
      </c>
      <c r="C261" s="3">
        <f t="shared" si="247"/>
        <v>2.10634888134064E-2</v>
      </c>
      <c r="D261" s="3">
        <f t="shared" si="247"/>
        <v>2.1063488813395245E-2</v>
      </c>
      <c r="E261" s="3">
        <f t="shared" si="247"/>
        <v>2.1063488813283727E-2</v>
      </c>
      <c r="F261" s="3">
        <f t="shared" si="247"/>
        <v>2.1063488812168515E-2</v>
      </c>
      <c r="G261" s="3">
        <f t="shared" si="247"/>
        <v>2.1063488801016432E-2</v>
      </c>
      <c r="H261" s="3">
        <f t="shared" si="247"/>
        <v>2.106348868949558E-2</v>
      </c>
      <c r="I261" s="3">
        <f t="shared" si="247"/>
        <v>2.1063487574287113E-2</v>
      </c>
      <c r="J261" s="3">
        <f t="shared" si="247"/>
        <v>2.1063476422205678E-2</v>
      </c>
      <c r="K261" s="3">
        <f t="shared" si="247"/>
        <v>2.1063364901716081E-2</v>
      </c>
      <c r="L261" s="3">
        <f t="shared" si="247"/>
        <v>2.106224972929405E-2</v>
      </c>
      <c r="M261" s="3">
        <f t="shared" si="247"/>
        <v>2.1051101251832374E-2</v>
      </c>
      <c r="N261" s="3">
        <f t="shared" si="247"/>
        <v>2.0939940517947411E-2</v>
      </c>
      <c r="O261" s="3">
        <f t="shared" si="247"/>
        <v>1.9860111356294938E-2</v>
      </c>
      <c r="P261" s="3">
        <f t="shared" si="247"/>
        <v>1.1696179779151413E-2</v>
      </c>
      <c r="Q261" s="3">
        <f t="shared" si="247"/>
        <v>5.8703986347542539E-5</v>
      </c>
      <c r="R261" s="3">
        <f t="shared" si="247"/>
        <v>5.9552935883603042E-28</v>
      </c>
      <c r="S261" s="3">
        <f t="shared" si="247"/>
        <v>6.8747832077628692E-258</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3.1092599466761888E-2</v>
      </c>
      <c r="C262" s="3">
        <f t="shared" si="248"/>
        <v>3.1092599466761739E-2</v>
      </c>
      <c r="D262" s="3">
        <f t="shared" si="248"/>
        <v>3.1092599466760254E-2</v>
      </c>
      <c r="E262" s="3">
        <f t="shared" si="248"/>
        <v>3.1092599466745405E-2</v>
      </c>
      <c r="F262" s="3">
        <f t="shared" si="248"/>
        <v>3.1092599466596905E-2</v>
      </c>
      <c r="G262" s="3">
        <f t="shared" si="248"/>
        <v>3.1092599465111895E-2</v>
      </c>
      <c r="H262" s="3">
        <f t="shared" si="248"/>
        <v>3.1092599450261795E-2</v>
      </c>
      <c r="I262" s="3">
        <f t="shared" si="248"/>
        <v>3.1092599301760789E-2</v>
      </c>
      <c r="J262" s="3">
        <f t="shared" si="248"/>
        <v>3.1092597816750795E-2</v>
      </c>
      <c r="K262" s="3">
        <f t="shared" si="248"/>
        <v>3.1092582966654743E-2</v>
      </c>
      <c r="L262" s="3">
        <f t="shared" si="248"/>
        <v>3.109243446608433E-2</v>
      </c>
      <c r="M262" s="3">
        <f t="shared" si="248"/>
        <v>3.1090949499388388E-2</v>
      </c>
      <c r="N262" s="3">
        <f t="shared" si="248"/>
        <v>3.1076103732559708E-2</v>
      </c>
      <c r="O262" s="3">
        <f t="shared" si="248"/>
        <v>3.0928035389013491E-2</v>
      </c>
      <c r="P262" s="3">
        <f t="shared" si="248"/>
        <v>2.9485605132315022E-2</v>
      </c>
      <c r="Q262" s="3">
        <f t="shared" si="248"/>
        <v>1.8288882141459021E-2</v>
      </c>
      <c r="R262" s="3">
        <f t="shared" si="248"/>
        <v>1.5415525043133138E-4</v>
      </c>
      <c r="S262" s="3">
        <f t="shared" si="248"/>
        <v>2.7904222110436345E-25</v>
      </c>
      <c r="T262" s="3">
        <f t="shared" si="248"/>
        <v>1.0538672544214263E-232</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2.5163399986438687E-2</v>
      </c>
      <c r="C263" s="3">
        <f t="shared" si="249"/>
        <v>2.5163399986438677E-2</v>
      </c>
      <c r="D263" s="3">
        <f t="shared" si="249"/>
        <v>2.5163399986438566E-2</v>
      </c>
      <c r="E263" s="3">
        <f t="shared" si="249"/>
        <v>2.5163399986437483E-2</v>
      </c>
      <c r="F263" s="3">
        <f t="shared" si="249"/>
        <v>2.5163399986426641E-2</v>
      </c>
      <c r="G263" s="3">
        <f t="shared" si="249"/>
        <v>2.5163399986318224E-2</v>
      </c>
      <c r="H263" s="3">
        <f t="shared" si="249"/>
        <v>2.5163399985234078E-2</v>
      </c>
      <c r="I263" s="3">
        <f t="shared" si="249"/>
        <v>2.5163399974392608E-2</v>
      </c>
      <c r="J263" s="3">
        <f t="shared" si="249"/>
        <v>2.5163399865977883E-2</v>
      </c>
      <c r="K263" s="3">
        <f t="shared" si="249"/>
        <v>2.516339878183067E-2</v>
      </c>
      <c r="L263" s="3">
        <f t="shared" si="249"/>
        <v>2.5163387940361111E-2</v>
      </c>
      <c r="M263" s="3">
        <f t="shared" si="249"/>
        <v>2.5163279525922431E-2</v>
      </c>
      <c r="N263" s="3">
        <f t="shared" si="249"/>
        <v>2.5162195407225498E-2</v>
      </c>
      <c r="O263" s="3">
        <f t="shared" si="249"/>
        <v>2.5151356788835521E-2</v>
      </c>
      <c r="P263" s="3">
        <f t="shared" si="249"/>
        <v>2.5043227053879118E-2</v>
      </c>
      <c r="Q263" s="3">
        <f t="shared" si="249"/>
        <v>2.3987170457119004E-2</v>
      </c>
      <c r="R263" s="3">
        <f t="shared" si="249"/>
        <v>1.5590725459360844E-2</v>
      </c>
      <c r="S263" s="3">
        <f t="shared" si="249"/>
        <v>2.0976805483266959E-4</v>
      </c>
      <c r="T263" s="3">
        <f t="shared" si="249"/>
        <v>4.0782103377437937E-23</v>
      </c>
      <c r="U263" s="3">
        <f t="shared" si="249"/>
        <v>3.1460985511864945E-210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7.3723285891336199E-2</v>
      </c>
      <c r="C264" s="3">
        <f t="shared" si="250"/>
        <v>7.3723285891336199E-2</v>
      </c>
      <c r="D264" s="3">
        <f t="shared" si="250"/>
        <v>7.3723285891336171E-2</v>
      </c>
      <c r="E264" s="3">
        <f t="shared" si="250"/>
        <v>7.372328589133588E-2</v>
      </c>
      <c r="F264" s="3">
        <f t="shared" si="250"/>
        <v>7.3723285891333021E-2</v>
      </c>
      <c r="G264" s="3">
        <f t="shared" si="250"/>
        <v>7.3723285891304363E-2</v>
      </c>
      <c r="H264" s="3">
        <f t="shared" si="250"/>
        <v>7.3723285891017828E-2</v>
      </c>
      <c r="I264" s="3">
        <f t="shared" si="250"/>
        <v>7.3723285888152537E-2</v>
      </c>
      <c r="J264" s="3">
        <f t="shared" si="250"/>
        <v>7.3723285859499527E-2</v>
      </c>
      <c r="K264" s="3">
        <f t="shared" si="250"/>
        <v>7.3723285572969435E-2</v>
      </c>
      <c r="L264" s="3">
        <f t="shared" si="250"/>
        <v>7.3723282707668703E-2</v>
      </c>
      <c r="M264" s="3">
        <f t="shared" si="250"/>
        <v>7.3723254054667398E-2</v>
      </c>
      <c r="N264" s="3">
        <f t="shared" si="250"/>
        <v>7.3722967525266844E-2</v>
      </c>
      <c r="O264" s="3">
        <f t="shared" si="250"/>
        <v>7.3720102292509235E-2</v>
      </c>
      <c r="P264" s="3">
        <f t="shared" si="250"/>
        <v>7.3691456088846891E-2</v>
      </c>
      <c r="Q264" s="3">
        <f t="shared" si="250"/>
        <v>7.3405605563871545E-2</v>
      </c>
      <c r="R264" s="3">
        <f t="shared" si="250"/>
        <v>7.0607381175288614E-2</v>
      </c>
      <c r="S264" s="3">
        <f t="shared" si="250"/>
        <v>4.7869499263479054E-2</v>
      </c>
      <c r="T264" s="3">
        <f t="shared" si="250"/>
        <v>9.8207960525655328E-4</v>
      </c>
      <c r="U264" s="3">
        <f t="shared" si="250"/>
        <v>1.2972532523091083E-20</v>
      </c>
      <c r="V264" s="3">
        <f t="shared" si="250"/>
        <v>2.0980002135098572E-189</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9.9866950821253964E-2</v>
      </c>
      <c r="C265" s="3">
        <f t="shared" si="251"/>
        <v>9.9866950821253964E-2</v>
      </c>
      <c r="D265" s="3">
        <f t="shared" si="251"/>
        <v>9.9866950821253964E-2</v>
      </c>
      <c r="E265" s="3">
        <f t="shared" si="251"/>
        <v>9.9866950821253922E-2</v>
      </c>
      <c r="F265" s="3">
        <f t="shared" si="251"/>
        <v>9.9866950821253575E-2</v>
      </c>
      <c r="G265" s="3">
        <f t="shared" si="251"/>
        <v>9.9866950821250078E-2</v>
      </c>
      <c r="H265" s="3">
        <f t="shared" si="251"/>
        <v>9.9866950821215064E-2</v>
      </c>
      <c r="I265" s="3">
        <f t="shared" si="251"/>
        <v>9.9866950820864928E-2</v>
      </c>
      <c r="J265" s="3">
        <f t="shared" si="251"/>
        <v>9.9866950817363589E-2</v>
      </c>
      <c r="K265" s="3">
        <f t="shared" si="251"/>
        <v>9.9866950782350222E-2</v>
      </c>
      <c r="L265" s="3">
        <f t="shared" si="251"/>
        <v>9.9866950432216509E-2</v>
      </c>
      <c r="M265" s="3">
        <f t="shared" si="251"/>
        <v>9.9866946930879538E-2</v>
      </c>
      <c r="N265" s="3">
        <f t="shared" si="251"/>
        <v>9.9866911917516482E-2</v>
      </c>
      <c r="O265" s="3">
        <f t="shared" si="251"/>
        <v>9.9866561784561242E-2</v>
      </c>
      <c r="P265" s="3">
        <f t="shared" si="251"/>
        <v>9.9863060522524E-2</v>
      </c>
      <c r="Q265" s="3">
        <f t="shared" si="251"/>
        <v>9.9828054652810277E-2</v>
      </c>
      <c r="R265" s="3">
        <f t="shared" si="251"/>
        <v>9.947867014664212E-2</v>
      </c>
      <c r="S265" s="3">
        <f t="shared" si="251"/>
        <v>9.6051377748640934E-2</v>
      </c>
      <c r="T265" s="3">
        <f t="shared" si="251"/>
        <v>6.764565041258748E-2</v>
      </c>
      <c r="U265" s="3">
        <f t="shared" si="251"/>
        <v>2.0304984325068406E-3</v>
      </c>
      <c r="V265" s="3">
        <f t="shared" si="251"/>
        <v>1.2056756097481823E-18</v>
      </c>
      <c r="W265" s="3">
        <f t="shared" si="251"/>
        <v>6.5691419138561505E-171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8.4918453398997062E-2</v>
      </c>
      <c r="C266" s="3">
        <f t="shared" si="252"/>
        <v>8.4918453398997062E-2</v>
      </c>
      <c r="D266" s="3">
        <f t="shared" si="252"/>
        <v>8.4918453398997062E-2</v>
      </c>
      <c r="E266" s="3">
        <f t="shared" si="252"/>
        <v>8.4918453398997062E-2</v>
      </c>
      <c r="F266" s="3">
        <f t="shared" si="252"/>
        <v>8.4918453398997035E-2</v>
      </c>
      <c r="G266" s="3">
        <f t="shared" si="252"/>
        <v>8.4918453398996757E-2</v>
      </c>
      <c r="H266" s="3">
        <f t="shared" si="252"/>
        <v>8.4918453398994079E-2</v>
      </c>
      <c r="I266" s="3">
        <f t="shared" si="252"/>
        <v>8.4918453398967225E-2</v>
      </c>
      <c r="J266" s="3">
        <f t="shared" si="252"/>
        <v>8.4918453398698648E-2</v>
      </c>
      <c r="K266" s="3">
        <f t="shared" si="252"/>
        <v>8.4918453396012922E-2</v>
      </c>
      <c r="L266" s="3">
        <f t="shared" si="252"/>
        <v>8.4918453369155725E-2</v>
      </c>
      <c r="M266" s="3">
        <f t="shared" si="252"/>
        <v>8.4918453100583685E-2</v>
      </c>
      <c r="N266" s="3">
        <f t="shared" si="252"/>
        <v>8.4918450414863345E-2</v>
      </c>
      <c r="O266" s="3">
        <f t="shared" si="252"/>
        <v>8.4918423557664616E-2</v>
      </c>
      <c r="P266" s="3">
        <f t="shared" si="252"/>
        <v>8.4918154986144509E-2</v>
      </c>
      <c r="Q266" s="3">
        <f t="shared" si="252"/>
        <v>8.4915469317660502E-2</v>
      </c>
      <c r="R266" s="3">
        <f t="shared" si="252"/>
        <v>8.488861730399129E-2</v>
      </c>
      <c r="S266" s="3">
        <f t="shared" si="252"/>
        <v>8.4620563738212848E-2</v>
      </c>
      <c r="T266" s="3">
        <f t="shared" si="252"/>
        <v>8.1986143778185E-2</v>
      </c>
      <c r="U266" s="3">
        <f t="shared" si="252"/>
        <v>5.9756605004500161E-2</v>
      </c>
      <c r="V266" s="3">
        <f t="shared" si="252"/>
        <v>2.5283690967921658E-3</v>
      </c>
      <c r="W266" s="3">
        <f t="shared" si="252"/>
        <v>4.6492837476321205E-17</v>
      </c>
      <c r="X266" s="3">
        <f t="shared" si="252"/>
        <v>2.055142019101645E-154</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6.4000746285573396E-2</v>
      </c>
      <c r="C267" s="3">
        <f t="shared" si="253"/>
        <v>6.4000746285573396E-2</v>
      </c>
      <c r="D267" s="3">
        <f t="shared" si="253"/>
        <v>6.4000746285573396E-2</v>
      </c>
      <c r="E267" s="3">
        <f t="shared" si="253"/>
        <v>6.4000746285573396E-2</v>
      </c>
      <c r="F267" s="3">
        <f t="shared" si="253"/>
        <v>6.4000746285573396E-2</v>
      </c>
      <c r="G267" s="3">
        <f t="shared" si="253"/>
        <v>6.4000746285573368E-2</v>
      </c>
      <c r="H267" s="3">
        <f t="shared" si="253"/>
        <v>6.4000746285573187E-2</v>
      </c>
      <c r="I267" s="3">
        <f t="shared" si="253"/>
        <v>6.4000746285571369E-2</v>
      </c>
      <c r="J267" s="3">
        <f t="shared" si="253"/>
        <v>6.4000746285553106E-2</v>
      </c>
      <c r="K267" s="3">
        <f t="shared" si="253"/>
        <v>6.4000746285370516E-2</v>
      </c>
      <c r="L267" s="3">
        <f t="shared" si="253"/>
        <v>6.4000746283544546E-2</v>
      </c>
      <c r="M267" s="3">
        <f t="shared" si="253"/>
        <v>6.4000746265285E-2</v>
      </c>
      <c r="N267" s="3">
        <f t="shared" si="253"/>
        <v>6.400074608268938E-2</v>
      </c>
      <c r="O267" s="3">
        <f t="shared" si="253"/>
        <v>6.400074425673323E-2</v>
      </c>
      <c r="P267" s="3">
        <f t="shared" si="253"/>
        <v>6.4000725997174657E-2</v>
      </c>
      <c r="Q267" s="3">
        <f t="shared" si="253"/>
        <v>6.400054340187547E-2</v>
      </c>
      <c r="R267" s="3">
        <f t="shared" si="253"/>
        <v>6.3998717477535466E-2</v>
      </c>
      <c r="S267" s="3">
        <f t="shared" si="253"/>
        <v>6.3980461099021835E-2</v>
      </c>
      <c r="T267" s="3">
        <f t="shared" si="253"/>
        <v>6.3798183500338446E-2</v>
      </c>
      <c r="U267" s="3">
        <f t="shared" si="253"/>
        <v>6.2003726346686404E-2</v>
      </c>
      <c r="V267" s="3">
        <f t="shared" si="253"/>
        <v>4.661359142164305E-2</v>
      </c>
      <c r="W267" s="3">
        <f t="shared" si="253"/>
        <v>2.6881921490277843E-3</v>
      </c>
      <c r="X267" s="3">
        <f t="shared" si="253"/>
        <v>1.0937995506207093E-15</v>
      </c>
      <c r="Y267" s="3">
        <f t="shared" si="253"/>
        <v>1.3605423441960575E-139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6.4005723390096053E-2</v>
      </c>
      <c r="C268" s="3">
        <f t="shared" si="254"/>
        <v>6.4005723390096053E-2</v>
      </c>
      <c r="D268" s="3">
        <f t="shared" si="254"/>
        <v>6.4005723390096053E-2</v>
      </c>
      <c r="E268" s="3">
        <f t="shared" si="254"/>
        <v>6.4005723390096053E-2</v>
      </c>
      <c r="F268" s="3">
        <f t="shared" si="254"/>
        <v>6.4005723390096053E-2</v>
      </c>
      <c r="G268" s="3">
        <f t="shared" si="254"/>
        <v>6.4005723390096053E-2</v>
      </c>
      <c r="H268" s="3">
        <f t="shared" si="254"/>
        <v>6.4005723390096025E-2</v>
      </c>
      <c r="I268" s="3">
        <f t="shared" si="254"/>
        <v>6.4005723390095873E-2</v>
      </c>
      <c r="J268" s="3">
        <f t="shared" si="254"/>
        <v>6.4005723390094221E-2</v>
      </c>
      <c r="K268" s="3">
        <f t="shared" si="254"/>
        <v>6.4005723390077748E-2</v>
      </c>
      <c r="L268" s="3">
        <f t="shared" si="254"/>
        <v>6.4005723389913019E-2</v>
      </c>
      <c r="M268" s="3">
        <f t="shared" si="254"/>
        <v>6.4005723388265726E-2</v>
      </c>
      <c r="N268" s="3">
        <f t="shared" si="254"/>
        <v>6.4005723371792805E-2</v>
      </c>
      <c r="O268" s="3">
        <f t="shared" si="254"/>
        <v>6.4005723207063561E-2</v>
      </c>
      <c r="P268" s="3">
        <f t="shared" si="254"/>
        <v>6.4005721559771106E-2</v>
      </c>
      <c r="Q268" s="3">
        <f t="shared" si="254"/>
        <v>6.400570508684901E-2</v>
      </c>
      <c r="R268" s="3">
        <f t="shared" si="254"/>
        <v>6.4005540357861185E-2</v>
      </c>
      <c r="S268" s="3">
        <f t="shared" si="254"/>
        <v>6.4003893091300307E-2</v>
      </c>
      <c r="T268" s="3">
        <f t="shared" si="254"/>
        <v>6.3987422757212628E-2</v>
      </c>
      <c r="U268" s="3">
        <f t="shared" si="254"/>
        <v>6.3822952346580822E-2</v>
      </c>
      <c r="V268" s="3">
        <f t="shared" si="254"/>
        <v>6.2201320974281833E-2</v>
      </c>
      <c r="W268" s="3">
        <f t="shared" si="254"/>
        <v>4.8086900661376941E-2</v>
      </c>
      <c r="X268" s="3">
        <f t="shared" si="254"/>
        <v>3.6668958217202828E-3</v>
      </c>
      <c r="Y268" s="3">
        <f t="shared" si="254"/>
        <v>2.4379030085234594E-14</v>
      </c>
      <c r="Z268" s="3">
        <f t="shared" si="254"/>
        <v>4.1133431381491841E-126</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2.5223864108208031E-2</v>
      </c>
      <c r="C269" s="3">
        <f t="shared" si="255"/>
        <v>2.5223864108208031E-2</v>
      </c>
      <c r="D269" s="3">
        <f t="shared" si="255"/>
        <v>2.5223864108208031E-2</v>
      </c>
      <c r="E269" s="3">
        <f t="shared" si="255"/>
        <v>2.5223864108208031E-2</v>
      </c>
      <c r="F269" s="3">
        <f t="shared" si="255"/>
        <v>2.5223864108208031E-2</v>
      </c>
      <c r="G269" s="3">
        <f t="shared" si="255"/>
        <v>2.5223864108208031E-2</v>
      </c>
      <c r="H269" s="3">
        <f t="shared" si="255"/>
        <v>2.5223864108208031E-2</v>
      </c>
      <c r="I269" s="3">
        <f t="shared" si="255"/>
        <v>2.5223864108208024E-2</v>
      </c>
      <c r="J269" s="3">
        <f t="shared" si="255"/>
        <v>2.5223864108207966E-2</v>
      </c>
      <c r="K269" s="3">
        <f t="shared" si="255"/>
        <v>2.5223864108207383E-2</v>
      </c>
      <c r="L269" s="3">
        <f t="shared" si="255"/>
        <v>2.5223864108201523E-2</v>
      </c>
      <c r="M269" s="3">
        <f t="shared" si="255"/>
        <v>2.5223864108142965E-2</v>
      </c>
      <c r="N269" s="3">
        <f t="shared" si="255"/>
        <v>2.5223864107557351E-2</v>
      </c>
      <c r="O269" s="3">
        <f t="shared" si="255"/>
        <v>2.5223864101701229E-2</v>
      </c>
      <c r="P269" s="3">
        <f t="shared" si="255"/>
        <v>2.5223864043140008E-2</v>
      </c>
      <c r="Q269" s="3">
        <f t="shared" si="255"/>
        <v>2.5223863457527824E-2</v>
      </c>
      <c r="R269" s="3">
        <f t="shared" si="255"/>
        <v>2.5223857601406711E-2</v>
      </c>
      <c r="S269" s="3">
        <f t="shared" si="255"/>
        <v>2.5223799040270355E-2</v>
      </c>
      <c r="T269" s="3">
        <f t="shared" si="255"/>
        <v>2.5223213436384485E-2</v>
      </c>
      <c r="U269" s="3">
        <f t="shared" si="255"/>
        <v>2.5217358145230049E-2</v>
      </c>
      <c r="V269" s="3">
        <f t="shared" si="255"/>
        <v>2.5158879939920741E-2</v>
      </c>
      <c r="W269" s="3">
        <f t="shared" si="255"/>
        <v>2.4581504733217841E-2</v>
      </c>
      <c r="X269" s="3">
        <f t="shared" si="255"/>
        <v>1.9488574817568959E-2</v>
      </c>
      <c r="Y269" s="3">
        <f t="shared" si="255"/>
        <v>1.912036792206644E-3</v>
      </c>
      <c r="Z269" s="3">
        <f t="shared" si="255"/>
        <v>1.5800029099711387E-13</v>
      </c>
      <c r="AA269" s="3">
        <f t="shared" si="255"/>
        <v>2.3457099283831612E-114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4.075866339585988E-2</v>
      </c>
      <c r="C270" s="3">
        <f t="shared" si="256"/>
        <v>4.075866339585988E-2</v>
      </c>
      <c r="D270" s="3">
        <f t="shared" si="256"/>
        <v>4.075866339585988E-2</v>
      </c>
      <c r="E270" s="3">
        <f t="shared" si="256"/>
        <v>4.075866339585988E-2</v>
      </c>
      <c r="F270" s="3">
        <f t="shared" si="256"/>
        <v>4.075866339585988E-2</v>
      </c>
      <c r="G270" s="3">
        <f t="shared" si="256"/>
        <v>4.075866339585988E-2</v>
      </c>
      <c r="H270" s="3">
        <f t="shared" si="256"/>
        <v>4.075866339585988E-2</v>
      </c>
      <c r="I270" s="3">
        <f t="shared" si="256"/>
        <v>4.0758663395859873E-2</v>
      </c>
      <c r="J270" s="3">
        <f t="shared" si="256"/>
        <v>4.0758663395859852E-2</v>
      </c>
      <c r="K270" s="3">
        <f t="shared" si="256"/>
        <v>4.0758663395859589E-2</v>
      </c>
      <c r="L270" s="3">
        <f t="shared" si="256"/>
        <v>4.0758663395856973E-2</v>
      </c>
      <c r="M270" s="3">
        <f t="shared" si="256"/>
        <v>4.0758663395830799E-2</v>
      </c>
      <c r="N270" s="3">
        <f t="shared" si="256"/>
        <v>4.0758663395569085E-2</v>
      </c>
      <c r="O270" s="3">
        <f t="shared" si="256"/>
        <v>4.0758663392951922E-2</v>
      </c>
      <c r="P270" s="3">
        <f t="shared" si="256"/>
        <v>4.0758663366780253E-2</v>
      </c>
      <c r="Q270" s="3">
        <f t="shared" si="256"/>
        <v>4.0758663105063646E-2</v>
      </c>
      <c r="R270" s="3">
        <f t="shared" si="256"/>
        <v>4.0758660487897627E-2</v>
      </c>
      <c r="S270" s="3">
        <f t="shared" si="256"/>
        <v>4.0758634316246732E-2</v>
      </c>
      <c r="T270" s="3">
        <f t="shared" si="256"/>
        <v>4.0758372600662035E-2</v>
      </c>
      <c r="U270" s="3">
        <f t="shared" si="256"/>
        <v>4.0755755537240944E-2</v>
      </c>
      <c r="V270" s="3">
        <f t="shared" si="256"/>
        <v>4.0729594143428409E-2</v>
      </c>
      <c r="W270" s="3">
        <f t="shared" si="256"/>
        <v>4.0468902053555085E-2</v>
      </c>
      <c r="X270" s="3">
        <f t="shared" si="256"/>
        <v>3.7952012945848976E-2</v>
      </c>
      <c r="Y270" s="3">
        <f t="shared" si="256"/>
        <v>1.9969571759403847E-2</v>
      </c>
      <c r="Z270" s="3">
        <f t="shared" si="256"/>
        <v>3.2486888174196137E-5</v>
      </c>
      <c r="AA270" s="3">
        <f t="shared" si="256"/>
        <v>4.2179529588397266E-33</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2.4317384377993669E-2</v>
      </c>
      <c r="C271" s="3">
        <f t="shared" si="257"/>
        <v>2.4317384377993669E-2</v>
      </c>
      <c r="D271" s="3">
        <f t="shared" si="257"/>
        <v>2.4317384377993669E-2</v>
      </c>
      <c r="E271" s="3">
        <f t="shared" si="257"/>
        <v>2.4317384377993669E-2</v>
      </c>
      <c r="F271" s="3">
        <f t="shared" si="257"/>
        <v>2.4317384377993669E-2</v>
      </c>
      <c r="G271" s="3">
        <f t="shared" si="257"/>
        <v>2.4317384377993669E-2</v>
      </c>
      <c r="H271" s="3">
        <f t="shared" si="257"/>
        <v>2.4317384377993669E-2</v>
      </c>
      <c r="I271" s="3">
        <f t="shared" si="257"/>
        <v>2.4317384377993669E-2</v>
      </c>
      <c r="J271" s="3">
        <f t="shared" si="257"/>
        <v>2.4317384377993665E-2</v>
      </c>
      <c r="K271" s="3">
        <f t="shared" si="257"/>
        <v>2.4317384377993651E-2</v>
      </c>
      <c r="L271" s="3">
        <f t="shared" si="257"/>
        <v>2.4317384377993495E-2</v>
      </c>
      <c r="M271" s="3">
        <f t="shared" si="257"/>
        <v>2.4317384377991934E-2</v>
      </c>
      <c r="N271" s="3">
        <f t="shared" si="257"/>
        <v>2.4317384377976321E-2</v>
      </c>
      <c r="O271" s="3">
        <f t="shared" si="257"/>
        <v>2.4317384377820172E-2</v>
      </c>
      <c r="P271" s="3">
        <f t="shared" si="257"/>
        <v>2.4317384376258726E-2</v>
      </c>
      <c r="Q271" s="3">
        <f t="shared" si="257"/>
        <v>2.4317384360644217E-2</v>
      </c>
      <c r="R271" s="3">
        <f t="shared" si="257"/>
        <v>2.4317384204499172E-2</v>
      </c>
      <c r="S271" s="3">
        <f t="shared" si="257"/>
        <v>2.4317382643048755E-2</v>
      </c>
      <c r="T271" s="3">
        <f t="shared" si="257"/>
        <v>2.4317367028550103E-2</v>
      </c>
      <c r="U271" s="3">
        <f t="shared" si="257"/>
        <v>2.4317210884115013E-2</v>
      </c>
      <c r="V271" s="3">
        <f t="shared" si="257"/>
        <v>2.4315649494907172E-2</v>
      </c>
      <c r="W271" s="3">
        <f t="shared" si="257"/>
        <v>2.4300041115824067E-2</v>
      </c>
      <c r="X271" s="3">
        <f t="shared" si="257"/>
        <v>2.4144507316980309E-2</v>
      </c>
      <c r="Y271" s="3">
        <f t="shared" si="257"/>
        <v>2.264288398663597E-2</v>
      </c>
      <c r="Z271" s="3">
        <f t="shared" si="257"/>
        <v>1.1914221710878699E-2</v>
      </c>
      <c r="AA271" s="3">
        <f t="shared" si="257"/>
        <v>1.938228786611951E-5</v>
      </c>
      <c r="AB271" s="3">
        <f t="shared" si="257"/>
        <v>2.5165099844471344E-33</v>
      </c>
      <c r="AC271" s="3">
        <f t="shared" si="257"/>
        <v>0</v>
      </c>
      <c r="AD271" s="3">
        <f t="shared" si="257"/>
        <v>0</v>
      </c>
      <c r="AE271" s="3">
        <f t="shared" si="257"/>
        <v>0</v>
      </c>
      <c r="AF271" s="3">
        <f t="shared" si="257"/>
        <v>0</v>
      </c>
      <c r="AG271" s="3"/>
      <c r="AH271" s="3"/>
    </row>
    <row r="272" spans="2:34" x14ac:dyDescent="0.25">
      <c r="B272" s="3">
        <f t="shared" ref="B272:AF272" si="258">$C41*EXP(-B$246/$A41/EXP(-$E$126))</f>
        <v>1.4702506077869741E-2</v>
      </c>
      <c r="C272" s="3">
        <f t="shared" si="258"/>
        <v>1.4702506077869741E-2</v>
      </c>
      <c r="D272" s="3">
        <f t="shared" si="258"/>
        <v>1.4702506077869741E-2</v>
      </c>
      <c r="E272" s="3">
        <f t="shared" si="258"/>
        <v>1.4702506077869741E-2</v>
      </c>
      <c r="F272" s="3">
        <f t="shared" si="258"/>
        <v>1.4702506077869741E-2</v>
      </c>
      <c r="G272" s="3">
        <f t="shared" si="258"/>
        <v>1.4702506077869741E-2</v>
      </c>
      <c r="H272" s="3">
        <f t="shared" si="258"/>
        <v>1.4702506077869741E-2</v>
      </c>
      <c r="I272" s="3">
        <f t="shared" si="258"/>
        <v>1.4702506077869741E-2</v>
      </c>
      <c r="J272" s="3">
        <f t="shared" si="258"/>
        <v>1.4702506077869741E-2</v>
      </c>
      <c r="K272" s="3">
        <f t="shared" si="258"/>
        <v>1.4702506077869739E-2</v>
      </c>
      <c r="L272" s="3">
        <f t="shared" si="258"/>
        <v>1.470250607786973E-2</v>
      </c>
      <c r="M272" s="3">
        <f t="shared" si="258"/>
        <v>1.4702506077869637E-2</v>
      </c>
      <c r="N272" s="3">
        <f t="shared" si="258"/>
        <v>1.4702506077868691E-2</v>
      </c>
      <c r="O272" s="3">
        <f t="shared" si="258"/>
        <v>1.4702506077859251E-2</v>
      </c>
      <c r="P272" s="3">
        <f t="shared" si="258"/>
        <v>1.4702506077764844E-2</v>
      </c>
      <c r="Q272" s="3">
        <f t="shared" si="258"/>
        <v>1.4702506076820778E-2</v>
      </c>
      <c r="R272" s="3">
        <f t="shared" si="258"/>
        <v>1.4702506067380109E-2</v>
      </c>
      <c r="S272" s="3">
        <f t="shared" si="258"/>
        <v>1.470250597297343E-2</v>
      </c>
      <c r="T272" s="3">
        <f t="shared" si="258"/>
        <v>1.4702505028906672E-2</v>
      </c>
      <c r="U272" s="3">
        <f t="shared" si="258"/>
        <v>1.4702495588242423E-2</v>
      </c>
      <c r="V272" s="3">
        <f t="shared" si="258"/>
        <v>1.470240118193333E-2</v>
      </c>
      <c r="W272" s="3">
        <f t="shared" si="258"/>
        <v>1.4701457152182377E-2</v>
      </c>
      <c r="X272" s="3">
        <f t="shared" si="258"/>
        <v>1.4692020187878652E-2</v>
      </c>
      <c r="Y272" s="3">
        <f t="shared" si="258"/>
        <v>1.4597983074870563E-2</v>
      </c>
      <c r="Z272" s="3">
        <f t="shared" si="258"/>
        <v>1.3690088303052997E-2</v>
      </c>
      <c r="AA272" s="3">
        <f t="shared" si="258"/>
        <v>7.2034440215454692E-3</v>
      </c>
      <c r="AB272" s="3">
        <f t="shared" si="258"/>
        <v>1.1718702995562659E-5</v>
      </c>
      <c r="AC272" s="3">
        <f t="shared" si="258"/>
        <v>1.5215042360738685E-33</v>
      </c>
      <c r="AD272" s="3">
        <f t="shared" si="258"/>
        <v>0</v>
      </c>
      <c r="AE272" s="3">
        <f t="shared" si="258"/>
        <v>0</v>
      </c>
      <c r="AF272" s="3">
        <f t="shared" si="258"/>
        <v>0</v>
      </c>
      <c r="AG272" s="3"/>
      <c r="AH272" s="3"/>
    </row>
    <row r="273" spans="1:34" x14ac:dyDescent="0.25">
      <c r="B273" s="3">
        <f t="shared" ref="B273:AF273" si="259">$C42*EXP(-B$246/$A42/EXP(-$E$126))</f>
        <v>6.4612477485621166E-3</v>
      </c>
      <c r="C273" s="3">
        <f t="shared" si="259"/>
        <v>6.4612477485621166E-3</v>
      </c>
      <c r="D273" s="3">
        <f t="shared" si="259"/>
        <v>6.4612477485621166E-3</v>
      </c>
      <c r="E273" s="3">
        <f t="shared" si="259"/>
        <v>6.4612477485621166E-3</v>
      </c>
      <c r="F273" s="3">
        <f t="shared" si="259"/>
        <v>6.4612477485621166E-3</v>
      </c>
      <c r="G273" s="3">
        <f t="shared" si="259"/>
        <v>6.4612477485621166E-3</v>
      </c>
      <c r="H273" s="3">
        <f t="shared" si="259"/>
        <v>6.4612477485621166E-3</v>
      </c>
      <c r="I273" s="3">
        <f t="shared" si="259"/>
        <v>6.4612477485621166E-3</v>
      </c>
      <c r="J273" s="3">
        <f t="shared" si="259"/>
        <v>6.4612477485621166E-3</v>
      </c>
      <c r="K273" s="3">
        <f t="shared" si="259"/>
        <v>6.4612477485621166E-3</v>
      </c>
      <c r="L273" s="3">
        <f t="shared" si="259"/>
        <v>6.4612477485621158E-3</v>
      </c>
      <c r="M273" s="3">
        <f t="shared" si="259"/>
        <v>6.4612477485621123E-3</v>
      </c>
      <c r="N273" s="3">
        <f t="shared" si="259"/>
        <v>6.4612477485620707E-3</v>
      </c>
      <c r="O273" s="3">
        <f t="shared" si="259"/>
        <v>6.4612477485616552E-3</v>
      </c>
      <c r="P273" s="3">
        <f t="shared" si="259"/>
        <v>6.4612477485575066E-3</v>
      </c>
      <c r="Q273" s="3">
        <f t="shared" si="259"/>
        <v>6.4612477485160181E-3</v>
      </c>
      <c r="R273" s="3">
        <f t="shared" si="259"/>
        <v>6.4612477481011338E-3</v>
      </c>
      <c r="S273" s="3">
        <f t="shared" si="259"/>
        <v>6.4612477439522833E-3</v>
      </c>
      <c r="T273" s="3">
        <f t="shared" si="259"/>
        <v>6.4612477024637814E-3</v>
      </c>
      <c r="U273" s="3">
        <f t="shared" si="259"/>
        <v>6.4612472875787827E-3</v>
      </c>
      <c r="V273" s="3">
        <f t="shared" si="259"/>
        <v>6.4612431387302601E-3</v>
      </c>
      <c r="W273" s="3">
        <f t="shared" si="259"/>
        <v>6.4612016503915477E-3</v>
      </c>
      <c r="X273" s="3">
        <f t="shared" si="259"/>
        <v>6.4607867816562029E-3</v>
      </c>
      <c r="Y273" s="3">
        <f t="shared" si="259"/>
        <v>6.4566395591325217E-3</v>
      </c>
      <c r="Z273" s="3">
        <f t="shared" si="259"/>
        <v>6.4153134694518417E-3</v>
      </c>
      <c r="AA273" s="3">
        <f t="shared" si="259"/>
        <v>6.0163248195394779E-3</v>
      </c>
      <c r="AB273" s="3">
        <f t="shared" si="259"/>
        <v>3.1656668747215098E-3</v>
      </c>
      <c r="AC273" s="3">
        <f t="shared" si="259"/>
        <v>5.149968511838774E-6</v>
      </c>
      <c r="AD273" s="3">
        <f t="shared" si="259"/>
        <v>6.6864898866169366E-34</v>
      </c>
      <c r="AE273" s="3">
        <f t="shared" si="259"/>
        <v>0</v>
      </c>
      <c r="AF273" s="3">
        <f t="shared" si="259"/>
        <v>0</v>
      </c>
      <c r="AG273" s="3"/>
      <c r="AH273" s="3"/>
    </row>
    <row r="274" spans="1:34" x14ac:dyDescent="0.25">
      <c r="B274" s="3">
        <f t="shared" ref="B274:AF274" si="260">$C43*EXP(-B$246/$A43/EXP(-$E$126))</f>
        <v>3.1609965695272944E-3</v>
      </c>
      <c r="C274" s="3">
        <f t="shared" si="260"/>
        <v>3.1609965695272944E-3</v>
      </c>
      <c r="D274" s="3">
        <f t="shared" si="260"/>
        <v>3.1609965695272944E-3</v>
      </c>
      <c r="E274" s="3">
        <f t="shared" si="260"/>
        <v>3.1609965695272944E-3</v>
      </c>
      <c r="F274" s="3">
        <f t="shared" si="260"/>
        <v>3.1609965695272944E-3</v>
      </c>
      <c r="G274" s="3">
        <f t="shared" si="260"/>
        <v>3.1609965695272944E-3</v>
      </c>
      <c r="H274" s="3">
        <f t="shared" si="260"/>
        <v>3.1609965695272944E-3</v>
      </c>
      <c r="I274" s="3">
        <f t="shared" si="260"/>
        <v>3.1609965695272944E-3</v>
      </c>
      <c r="J274" s="3">
        <f t="shared" si="260"/>
        <v>3.1609965695272944E-3</v>
      </c>
      <c r="K274" s="3">
        <f t="shared" si="260"/>
        <v>3.1609965695272944E-3</v>
      </c>
      <c r="L274" s="3">
        <f t="shared" si="260"/>
        <v>3.1609965695272944E-3</v>
      </c>
      <c r="M274" s="3">
        <f t="shared" si="260"/>
        <v>3.1609965695272939E-3</v>
      </c>
      <c r="N274" s="3">
        <f t="shared" si="260"/>
        <v>3.1609965695272922E-3</v>
      </c>
      <c r="O274" s="3">
        <f t="shared" si="260"/>
        <v>3.1609965695272718E-3</v>
      </c>
      <c r="P274" s="3">
        <f t="shared" si="260"/>
        <v>3.1609965695270689E-3</v>
      </c>
      <c r="Q274" s="3">
        <f t="shared" si="260"/>
        <v>3.1609965695250392E-3</v>
      </c>
      <c r="R274" s="3">
        <f t="shared" si="260"/>
        <v>3.1609965695047417E-3</v>
      </c>
      <c r="S274" s="3">
        <f t="shared" si="260"/>
        <v>3.1609965693017703E-3</v>
      </c>
      <c r="T274" s="3">
        <f t="shared" si="260"/>
        <v>3.1609965672720537E-3</v>
      </c>
      <c r="U274" s="3">
        <f t="shared" si="260"/>
        <v>3.1609965469748887E-3</v>
      </c>
      <c r="V274" s="3">
        <f t="shared" si="260"/>
        <v>3.1609963440032479E-3</v>
      </c>
      <c r="W274" s="3">
        <f t="shared" si="260"/>
        <v>3.1609943142875555E-3</v>
      </c>
      <c r="X274" s="3">
        <f t="shared" si="260"/>
        <v>3.1609740172023099E-3</v>
      </c>
      <c r="Y274" s="3">
        <f t="shared" si="260"/>
        <v>3.1607710535178544E-3</v>
      </c>
      <c r="Z274" s="3">
        <f t="shared" si="260"/>
        <v>3.1587421333029719E-3</v>
      </c>
      <c r="AA274" s="3">
        <f t="shared" si="260"/>
        <v>3.1385244241551253E-3</v>
      </c>
      <c r="AB274" s="3">
        <f t="shared" si="260"/>
        <v>2.9433296564055095E-3</v>
      </c>
      <c r="AC274" s="3">
        <f t="shared" si="260"/>
        <v>1.5487197706492159E-3</v>
      </c>
      <c r="AD274" s="3">
        <f t="shared" si="260"/>
        <v>2.5194874786713883E-6</v>
      </c>
      <c r="AE274" s="3">
        <f t="shared" si="260"/>
        <v>3.2711903979349305E-34</v>
      </c>
      <c r="AF274" s="3">
        <f t="shared" si="260"/>
        <v>0</v>
      </c>
      <c r="AG274" s="3"/>
      <c r="AH274" s="3"/>
    </row>
    <row r="275" spans="1:34" x14ac:dyDescent="0.25">
      <c r="B275" s="3">
        <f t="shared" ref="B275:AF275" si="261">$C44*EXP(-B$246/$A44/EXP(-$E$126))</f>
        <v>2.6462780139571542E-3</v>
      </c>
      <c r="C275" s="3">
        <f t="shared" si="261"/>
        <v>2.6462780139571542E-3</v>
      </c>
      <c r="D275" s="3">
        <f t="shared" si="261"/>
        <v>2.6462780139571542E-3</v>
      </c>
      <c r="E275" s="3">
        <f t="shared" si="261"/>
        <v>2.6462780139571542E-3</v>
      </c>
      <c r="F275" s="3">
        <f t="shared" si="261"/>
        <v>2.6462780139571542E-3</v>
      </c>
      <c r="G275" s="3">
        <f t="shared" si="261"/>
        <v>2.6462780139571542E-3</v>
      </c>
      <c r="H275" s="3">
        <f t="shared" si="261"/>
        <v>2.6462780139571542E-3</v>
      </c>
      <c r="I275" s="3">
        <f t="shared" si="261"/>
        <v>2.6462780139571542E-3</v>
      </c>
      <c r="J275" s="3">
        <f t="shared" si="261"/>
        <v>2.6462780139571542E-3</v>
      </c>
      <c r="K275" s="3">
        <f t="shared" si="261"/>
        <v>2.6462780139571542E-3</v>
      </c>
      <c r="L275" s="3">
        <f t="shared" si="261"/>
        <v>2.6462780139571542E-3</v>
      </c>
      <c r="M275" s="3">
        <f t="shared" si="261"/>
        <v>2.6462780139571542E-3</v>
      </c>
      <c r="N275" s="3">
        <f t="shared" si="261"/>
        <v>2.6462780139571537E-3</v>
      </c>
      <c r="O275" s="3">
        <f t="shared" si="261"/>
        <v>2.6462780139571524E-3</v>
      </c>
      <c r="P275" s="3">
        <f t="shared" si="261"/>
        <v>2.6462780139571355E-3</v>
      </c>
      <c r="Q275" s="3">
        <f t="shared" si="261"/>
        <v>2.6462780139569651E-3</v>
      </c>
      <c r="R275" s="3">
        <f t="shared" si="261"/>
        <v>2.6462780139552664E-3</v>
      </c>
      <c r="S275" s="3">
        <f t="shared" si="261"/>
        <v>2.6462780139382739E-3</v>
      </c>
      <c r="T275" s="3">
        <f t="shared" si="261"/>
        <v>2.6462780137683534E-3</v>
      </c>
      <c r="U275" s="3">
        <f t="shared" si="261"/>
        <v>2.646278012069144E-3</v>
      </c>
      <c r="V275" s="3">
        <f t="shared" si="261"/>
        <v>2.6462779950770531E-3</v>
      </c>
      <c r="W275" s="3">
        <f t="shared" si="261"/>
        <v>2.6462778251561503E-3</v>
      </c>
      <c r="X275" s="3">
        <f t="shared" si="261"/>
        <v>2.6462761259477222E-3</v>
      </c>
      <c r="Y275" s="3">
        <f t="shared" si="261"/>
        <v>2.6462591339234507E-3</v>
      </c>
      <c r="Z275" s="3">
        <f t="shared" si="261"/>
        <v>2.6460892196815359E-3</v>
      </c>
      <c r="AA275" s="3">
        <f t="shared" si="261"/>
        <v>2.6443906772001943E-3</v>
      </c>
      <c r="AB275" s="3">
        <f t="shared" si="261"/>
        <v>2.6274651038774343E-3</v>
      </c>
      <c r="AC275" s="3">
        <f t="shared" si="261"/>
        <v>2.4640547328207752E-3</v>
      </c>
      <c r="AD275" s="3">
        <f t="shared" si="261"/>
        <v>1.2965351238779313E-3</v>
      </c>
      <c r="AE275" s="3">
        <f t="shared" si="261"/>
        <v>2.1092285849096897E-6</v>
      </c>
      <c r="AF275" s="3">
        <f t="shared" si="261"/>
        <v>2.7385285112212188E-34</v>
      </c>
      <c r="AG275" s="3"/>
      <c r="AH275" s="3"/>
    </row>
    <row r="276" spans="1:34" x14ac:dyDescent="0.25">
      <c r="B276" s="3">
        <f t="shared" ref="B276:AF276" si="262">$C45*EXP(-B$246/$A45/EXP(-$E$126))</f>
        <v>6.075652089661552E-5</v>
      </c>
      <c r="C276" s="3">
        <f t="shared" si="262"/>
        <v>6.075652089661552E-5</v>
      </c>
      <c r="D276" s="3">
        <f t="shared" si="262"/>
        <v>6.075652089661552E-5</v>
      </c>
      <c r="E276" s="3">
        <f t="shared" si="262"/>
        <v>6.075652089661552E-5</v>
      </c>
      <c r="F276" s="3">
        <f t="shared" si="262"/>
        <v>6.075652089661552E-5</v>
      </c>
      <c r="G276" s="3">
        <f t="shared" si="262"/>
        <v>6.075652089661552E-5</v>
      </c>
      <c r="H276" s="3">
        <f t="shared" si="262"/>
        <v>6.075652089661552E-5</v>
      </c>
      <c r="I276" s="3">
        <f t="shared" si="262"/>
        <v>6.075652089661552E-5</v>
      </c>
      <c r="J276" s="3">
        <f t="shared" si="262"/>
        <v>6.075652089661552E-5</v>
      </c>
      <c r="K276" s="3">
        <f t="shared" si="262"/>
        <v>6.075652089661552E-5</v>
      </c>
      <c r="L276" s="3">
        <f t="shared" si="262"/>
        <v>6.075652089661552E-5</v>
      </c>
      <c r="M276" s="3">
        <f t="shared" si="262"/>
        <v>6.075652089661552E-5</v>
      </c>
      <c r="N276" s="3">
        <f t="shared" si="262"/>
        <v>6.075652089661552E-5</v>
      </c>
      <c r="O276" s="3">
        <f t="shared" si="262"/>
        <v>6.0756520896615513E-5</v>
      </c>
      <c r="P276" s="3">
        <f t="shared" si="262"/>
        <v>6.0756520896615479E-5</v>
      </c>
      <c r="Q276" s="3">
        <f t="shared" si="262"/>
        <v>6.0756520896615086E-5</v>
      </c>
      <c r="R276" s="3">
        <f t="shared" si="262"/>
        <v>6.0756520896611183E-5</v>
      </c>
      <c r="S276" s="3">
        <f t="shared" si="262"/>
        <v>6.0756520896572172E-5</v>
      </c>
      <c r="T276" s="3">
        <f t="shared" si="262"/>
        <v>6.0756520896182042E-5</v>
      </c>
      <c r="U276" s="3">
        <f t="shared" si="262"/>
        <v>6.0756520892280798E-5</v>
      </c>
      <c r="V276" s="3">
        <f t="shared" si="262"/>
        <v>6.075652085326825E-5</v>
      </c>
      <c r="W276" s="3">
        <f t="shared" si="262"/>
        <v>6.0756520463142824E-5</v>
      </c>
      <c r="X276" s="3">
        <f t="shared" si="262"/>
        <v>6.0756516561888756E-5</v>
      </c>
      <c r="Y276" s="3">
        <f t="shared" si="262"/>
        <v>6.0756477549361796E-5</v>
      </c>
      <c r="Z276" s="3">
        <f t="shared" si="262"/>
        <v>6.0756087425469939E-5</v>
      </c>
      <c r="AA276" s="3">
        <f t="shared" si="262"/>
        <v>6.0752186324325201E-5</v>
      </c>
      <c r="AB276" s="3">
        <f t="shared" si="262"/>
        <v>6.0713189086991432E-5</v>
      </c>
      <c r="AC276" s="3">
        <f t="shared" si="262"/>
        <v>6.0324590858140295E-5</v>
      </c>
      <c r="AD276" s="3">
        <f t="shared" si="262"/>
        <v>5.6572813618007758E-5</v>
      </c>
      <c r="AE276" s="3">
        <f t="shared" si="262"/>
        <v>2.9767455623187191E-5</v>
      </c>
      <c r="AF276" s="3">
        <f t="shared" si="262"/>
        <v>4.8426276422549461E-8</v>
      </c>
      <c r="AG276" s="3"/>
      <c r="AH276" s="3"/>
    </row>
    <row r="277" spans="1:34" x14ac:dyDescent="0.25">
      <c r="B277" s="3">
        <f t="shared" ref="B277:AF277" si="263">$C46*EXP(-B$246/$A46/EXP(-$E$126))</f>
        <v>1.7765171530370429E-3</v>
      </c>
      <c r="C277" s="3">
        <f t="shared" si="263"/>
        <v>1.7765171530370429E-3</v>
      </c>
      <c r="D277" s="3">
        <f t="shared" si="263"/>
        <v>1.7765171530370429E-3</v>
      </c>
      <c r="E277" s="3">
        <f t="shared" si="263"/>
        <v>1.7765171530370429E-3</v>
      </c>
      <c r="F277" s="3">
        <f t="shared" si="263"/>
        <v>1.7765171530370429E-3</v>
      </c>
      <c r="G277" s="3">
        <f t="shared" si="263"/>
        <v>1.7765171530370429E-3</v>
      </c>
      <c r="H277" s="3">
        <f t="shared" si="263"/>
        <v>1.7765171530370429E-3</v>
      </c>
      <c r="I277" s="3">
        <f t="shared" si="263"/>
        <v>1.7765171530370429E-3</v>
      </c>
      <c r="J277" s="3">
        <f t="shared" si="263"/>
        <v>1.7765171530370429E-3</v>
      </c>
      <c r="K277" s="3">
        <f t="shared" si="263"/>
        <v>1.7765171530370429E-3</v>
      </c>
      <c r="L277" s="3">
        <f t="shared" si="263"/>
        <v>1.7765171530370429E-3</v>
      </c>
      <c r="M277" s="3">
        <f t="shared" si="263"/>
        <v>1.7765171530370429E-3</v>
      </c>
      <c r="N277" s="3">
        <f t="shared" si="263"/>
        <v>1.7765171530370429E-3</v>
      </c>
      <c r="O277" s="3">
        <f t="shared" si="263"/>
        <v>1.7765171530370429E-3</v>
      </c>
      <c r="P277" s="3">
        <f t="shared" si="263"/>
        <v>1.7765171530370427E-3</v>
      </c>
      <c r="Q277" s="3">
        <f t="shared" si="263"/>
        <v>1.7765171530370418E-3</v>
      </c>
      <c r="R277" s="3">
        <f t="shared" si="263"/>
        <v>1.7765171530370303E-3</v>
      </c>
      <c r="S277" s="3">
        <f t="shared" si="263"/>
        <v>1.7765171530369161E-3</v>
      </c>
      <c r="T277" s="3">
        <f t="shared" si="263"/>
        <v>1.7765171530357755E-3</v>
      </c>
      <c r="U277" s="3">
        <f t="shared" si="263"/>
        <v>1.7765171530243682E-3</v>
      </c>
      <c r="V277" s="3">
        <f t="shared" si="263"/>
        <v>1.7765171529102958E-3</v>
      </c>
      <c r="W277" s="3">
        <f t="shared" si="263"/>
        <v>1.7765171517695713E-3</v>
      </c>
      <c r="X277" s="3">
        <f t="shared" si="263"/>
        <v>1.7765171403623264E-3</v>
      </c>
      <c r="Y277" s="3">
        <f t="shared" si="263"/>
        <v>1.7765170262898833E-3</v>
      </c>
      <c r="Z277" s="3">
        <f t="shared" si="263"/>
        <v>1.7765158855658539E-3</v>
      </c>
      <c r="AA277" s="3">
        <f t="shared" si="263"/>
        <v>1.7765044783658453E-3</v>
      </c>
      <c r="AB277" s="3">
        <f t="shared" si="263"/>
        <v>1.7763904103942584E-3</v>
      </c>
      <c r="AC277" s="3">
        <f t="shared" si="263"/>
        <v>1.775250133432673E-3</v>
      </c>
      <c r="AD277" s="3">
        <f t="shared" si="263"/>
        <v>1.7638875437220379E-3</v>
      </c>
      <c r="AE277" s="3">
        <f t="shared" si="263"/>
        <v>1.6541857944594215E-3</v>
      </c>
      <c r="AF277" s="3">
        <f t="shared" si="263"/>
        <v>8.7039867879937921E-4</v>
      </c>
      <c r="AG277" s="3"/>
      <c r="AH277" s="3"/>
    </row>
    <row r="278" spans="1:34" x14ac:dyDescent="0.25">
      <c r="B278" s="3">
        <f t="shared" ref="B278:AF278" si="264">$C47*EXP(-B$246/$A47/EXP(-$E$126))</f>
        <v>1.0980455611403293E-3</v>
      </c>
      <c r="C278" s="3">
        <f t="shared" si="264"/>
        <v>1.0980455611403293E-3</v>
      </c>
      <c r="D278" s="3">
        <f t="shared" si="264"/>
        <v>1.0980455611403293E-3</v>
      </c>
      <c r="E278" s="3">
        <f t="shared" si="264"/>
        <v>1.0980455611403293E-3</v>
      </c>
      <c r="F278" s="3">
        <f t="shared" si="264"/>
        <v>1.0980455611403293E-3</v>
      </c>
      <c r="G278" s="3">
        <f t="shared" si="264"/>
        <v>1.0980455611403293E-3</v>
      </c>
      <c r="H278" s="3">
        <f t="shared" si="264"/>
        <v>1.0980455611403293E-3</v>
      </c>
      <c r="I278" s="3">
        <f t="shared" si="264"/>
        <v>1.0980455611403293E-3</v>
      </c>
      <c r="J278" s="3">
        <f t="shared" si="264"/>
        <v>1.0980455611403293E-3</v>
      </c>
      <c r="K278" s="3">
        <f t="shared" si="264"/>
        <v>1.0980455611403293E-3</v>
      </c>
      <c r="L278" s="3">
        <f t="shared" si="264"/>
        <v>1.0980455611403293E-3</v>
      </c>
      <c r="M278" s="3">
        <f t="shared" si="264"/>
        <v>1.0980455611403293E-3</v>
      </c>
      <c r="N278" s="3">
        <f t="shared" si="264"/>
        <v>1.0980455611403293E-3</v>
      </c>
      <c r="O278" s="3">
        <f t="shared" si="264"/>
        <v>1.0980455611403293E-3</v>
      </c>
      <c r="P278" s="3">
        <f t="shared" si="264"/>
        <v>1.0980455611403293E-3</v>
      </c>
      <c r="Q278" s="3">
        <f t="shared" si="264"/>
        <v>1.098045561140329E-3</v>
      </c>
      <c r="R278" s="3">
        <f t="shared" si="264"/>
        <v>1.0980455611403286E-3</v>
      </c>
      <c r="S278" s="3">
        <f t="shared" si="264"/>
        <v>1.0980455611403215E-3</v>
      </c>
      <c r="T278" s="3">
        <f t="shared" si="264"/>
        <v>1.098045561140251E-3</v>
      </c>
      <c r="U278" s="3">
        <f t="shared" si="264"/>
        <v>1.0980455611395458E-3</v>
      </c>
      <c r="V278" s="3">
        <f t="shared" si="264"/>
        <v>1.098045561132495E-3</v>
      </c>
      <c r="W278" s="3">
        <f t="shared" si="264"/>
        <v>1.0980455610619883E-3</v>
      </c>
      <c r="X278" s="3">
        <f t="shared" si="264"/>
        <v>1.098045560356919E-3</v>
      </c>
      <c r="Y278" s="3">
        <f t="shared" si="264"/>
        <v>1.0980455533062276E-3</v>
      </c>
      <c r="Z278" s="3">
        <f t="shared" si="264"/>
        <v>1.0980454827993148E-3</v>
      </c>
      <c r="AA278" s="3">
        <f t="shared" si="264"/>
        <v>1.0980447777304361E-3</v>
      </c>
      <c r="AB278" s="3">
        <f t="shared" si="264"/>
        <v>1.0980377270665498E-3</v>
      </c>
      <c r="AC278" s="3">
        <f t="shared" si="264"/>
        <v>1.0979672229176564E-3</v>
      </c>
      <c r="AD278" s="3">
        <f t="shared" si="264"/>
        <v>1.0972624303666816E-3</v>
      </c>
      <c r="AE278" s="3">
        <f t="shared" si="264"/>
        <v>1.0902393396109904E-3</v>
      </c>
      <c r="AF278" s="3">
        <f t="shared" si="264"/>
        <v>1.0224339043405132E-3</v>
      </c>
      <c r="AG278" s="3"/>
      <c r="AH278" s="3"/>
    </row>
    <row r="279" spans="1:34" x14ac:dyDescent="0.25">
      <c r="B279" s="3">
        <f t="shared" ref="B279:AF279" si="265">$C48*EXP(-B$246/$A48/EXP(-$E$126))</f>
        <v>1.9170213005477699E-3</v>
      </c>
      <c r="C279" s="3">
        <f t="shared" si="265"/>
        <v>1.9170213005477699E-3</v>
      </c>
      <c r="D279" s="3">
        <f t="shared" si="265"/>
        <v>1.9170213005477699E-3</v>
      </c>
      <c r="E279" s="3">
        <f t="shared" si="265"/>
        <v>1.9170213005477699E-3</v>
      </c>
      <c r="F279" s="3">
        <f t="shared" si="265"/>
        <v>1.9170213005477699E-3</v>
      </c>
      <c r="G279" s="3">
        <f t="shared" si="265"/>
        <v>1.9170213005477699E-3</v>
      </c>
      <c r="H279" s="3">
        <f t="shared" si="265"/>
        <v>1.9170213005477699E-3</v>
      </c>
      <c r="I279" s="3">
        <f t="shared" si="265"/>
        <v>1.9170213005477699E-3</v>
      </c>
      <c r="J279" s="3">
        <f t="shared" si="265"/>
        <v>1.9170213005477699E-3</v>
      </c>
      <c r="K279" s="3">
        <f t="shared" si="265"/>
        <v>1.9170213005477699E-3</v>
      </c>
      <c r="L279" s="3">
        <f t="shared" si="265"/>
        <v>1.9170213005477699E-3</v>
      </c>
      <c r="M279" s="3">
        <f t="shared" si="265"/>
        <v>1.9170213005477699E-3</v>
      </c>
      <c r="N279" s="3">
        <f t="shared" si="265"/>
        <v>1.9170213005477699E-3</v>
      </c>
      <c r="O279" s="3">
        <f t="shared" si="265"/>
        <v>1.9170213005477699E-3</v>
      </c>
      <c r="P279" s="3">
        <f t="shared" si="265"/>
        <v>1.9170213005477699E-3</v>
      </c>
      <c r="Q279" s="3">
        <f t="shared" si="265"/>
        <v>1.9170213005477699E-3</v>
      </c>
      <c r="R279" s="3">
        <f t="shared" si="265"/>
        <v>1.9170213005477697E-3</v>
      </c>
      <c r="S279" s="3">
        <f t="shared" si="265"/>
        <v>1.9170213005477686E-3</v>
      </c>
      <c r="T279" s="3">
        <f t="shared" si="265"/>
        <v>1.9170213005477563E-3</v>
      </c>
      <c r="U279" s="3">
        <f t="shared" si="265"/>
        <v>1.9170213005476331E-3</v>
      </c>
      <c r="V279" s="3">
        <f t="shared" si="265"/>
        <v>1.9170213005464023E-3</v>
      </c>
      <c r="W279" s="3">
        <f t="shared" si="265"/>
        <v>1.9170213005340927E-3</v>
      </c>
      <c r="X279" s="3">
        <f t="shared" si="265"/>
        <v>1.9170213004109985E-3</v>
      </c>
      <c r="Y279" s="3">
        <f t="shared" si="265"/>
        <v>1.9170212991800543E-3</v>
      </c>
      <c r="Z279" s="3">
        <f t="shared" si="265"/>
        <v>1.9170212868706144E-3</v>
      </c>
      <c r="AA279" s="3">
        <f t="shared" si="265"/>
        <v>1.9170211637762199E-3</v>
      </c>
      <c r="AB279" s="3">
        <f t="shared" si="265"/>
        <v>1.9170199328327085E-3</v>
      </c>
      <c r="AC279" s="3">
        <f t="shared" si="265"/>
        <v>1.917007623441066E-3</v>
      </c>
      <c r="AD279" s="3">
        <f t="shared" si="265"/>
        <v>1.9168845338717543E-3</v>
      </c>
      <c r="AE279" s="3">
        <f t="shared" si="265"/>
        <v>1.9156540727866215E-3</v>
      </c>
      <c r="AF279" s="3">
        <f t="shared" si="265"/>
        <v>1.903392819655778E-3</v>
      </c>
      <c r="AG279" s="3"/>
      <c r="AH279" s="3"/>
    </row>
    <row r="280" spans="1:34" x14ac:dyDescent="0.25">
      <c r="A280" s="79">
        <f>AVERAGE(B280:AF280)</f>
        <v>1.1518409303805408E-2</v>
      </c>
      <c r="B280" s="80">
        <f>IF($D$61&lt;=B246,IF($E$61&gt;=B246,ABS((B248-B247)/B247),0),0)</f>
        <v>3.3623400120352788E-2</v>
      </c>
      <c r="C280" s="80">
        <f t="shared" ref="C280:AF280" si="266">IF($D$61&lt;=C246,IF($E$61&gt;=C246,ABS((C248-C247)/C247),0),0)</f>
        <v>1.4628142225573975E-2</v>
      </c>
      <c r="D280" s="80">
        <f t="shared" si="266"/>
        <v>2.1698576443562414E-3</v>
      </c>
      <c r="E280" s="80">
        <f t="shared" si="266"/>
        <v>1.1565447631305468E-2</v>
      </c>
      <c r="F280" s="80">
        <f t="shared" si="266"/>
        <v>1.210236239926139E-2</v>
      </c>
      <c r="G280" s="80">
        <f t="shared" si="266"/>
        <v>9.8797514168224541E-3</v>
      </c>
      <c r="H280" s="80">
        <f t="shared" si="266"/>
        <v>1.1499603741601179E-2</v>
      </c>
      <c r="I280" s="80">
        <f t="shared" si="266"/>
        <v>9.8520662479773102E-3</v>
      </c>
      <c r="J280" s="80">
        <f t="shared" si="266"/>
        <v>1.0953339525831385E-2</v>
      </c>
      <c r="K280" s="80">
        <f t="shared" si="266"/>
        <v>1.1918149599445697E-2</v>
      </c>
      <c r="L280" s="80">
        <f t="shared" si="266"/>
        <v>1.1380727323687213E-2</v>
      </c>
      <c r="M280" s="80">
        <f t="shared" si="266"/>
        <v>1.163480038163584E-2</v>
      </c>
      <c r="N280" s="80">
        <f t="shared" si="266"/>
        <v>1.0872112333428408E-2</v>
      </c>
      <c r="O280" s="80">
        <f t="shared" si="266"/>
        <v>1.20111177346058E-2</v>
      </c>
      <c r="P280" s="80">
        <f t="shared" si="266"/>
        <v>1.1765837336713388E-2</v>
      </c>
      <c r="Q280" s="80">
        <f t="shared" si="266"/>
        <v>1.1339019006190396E-2</v>
      </c>
      <c r="R280" s="80">
        <f t="shared" si="266"/>
        <v>9.4249455639343598E-3</v>
      </c>
      <c r="S280" s="80">
        <f t="shared" si="266"/>
        <v>1.5145211817387302E-2</v>
      </c>
      <c r="T280" s="80">
        <f t="shared" si="266"/>
        <v>4.1959818782027716E-2</v>
      </c>
      <c r="U280" s="80">
        <f t="shared" si="266"/>
        <v>3.9954222393437044E-2</v>
      </c>
      <c r="V280" s="80">
        <f t="shared" si="266"/>
        <v>2.3450060954905361E-2</v>
      </c>
      <c r="W280" s="80">
        <f t="shared" si="266"/>
        <v>9.8657068542806099E-3</v>
      </c>
      <c r="X280" s="80">
        <f t="shared" si="266"/>
        <v>1.3743579183198672E-2</v>
      </c>
      <c r="Y280" s="80">
        <f t="shared" si="266"/>
        <v>6.3314082000076018E-3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130934.23046280802</v>
      </c>
      <c r="C281" s="21">
        <f t="shared" ref="C281:AF281" si="267">(C248-C247)^2</f>
        <v>23803.773369930546</v>
      </c>
      <c r="D281" s="21">
        <f t="shared" si="267"/>
        <v>504.35268414908256</v>
      </c>
      <c r="E281" s="21">
        <f t="shared" si="267"/>
        <v>13734.84551226154</v>
      </c>
      <c r="F281" s="21">
        <f t="shared" si="267"/>
        <v>14350.896484527439</v>
      </c>
      <c r="G281" s="21">
        <f t="shared" si="267"/>
        <v>9039.1883804978843</v>
      </c>
      <c r="H281" s="21">
        <f t="shared" si="267"/>
        <v>11620.090418965579</v>
      </c>
      <c r="I281" s="21">
        <f t="shared" si="267"/>
        <v>8062.7958536805345</v>
      </c>
      <c r="J281" s="21">
        <f t="shared" si="267"/>
        <v>9341.1471343085032</v>
      </c>
      <c r="K281" s="21">
        <f t="shared" si="267"/>
        <v>10209.341676962969</v>
      </c>
      <c r="L281" s="21">
        <f t="shared" si="267"/>
        <v>8536.9057576510222</v>
      </c>
      <c r="M281" s="21">
        <f t="shared" si="267"/>
        <v>8260.9639931537258</v>
      </c>
      <c r="N281" s="21">
        <f t="shared" si="267"/>
        <v>6710.2315941755378</v>
      </c>
      <c r="O281" s="21">
        <f t="shared" si="267"/>
        <v>7597.394431914684</v>
      </c>
      <c r="P281" s="21">
        <f t="shared" si="267"/>
        <v>6727.9365668929895</v>
      </c>
      <c r="Q281" s="21">
        <f t="shared" si="267"/>
        <v>5751.9062401684387</v>
      </c>
      <c r="R281" s="21">
        <f t="shared" si="267"/>
        <v>3562.5212959528199</v>
      </c>
      <c r="S281" s="21">
        <f t="shared" si="267"/>
        <v>7472.9168283437275</v>
      </c>
      <c r="T281" s="21">
        <f t="shared" si="267"/>
        <v>38948.567088678254</v>
      </c>
      <c r="U281" s="21">
        <f t="shared" si="267"/>
        <v>22051.252864004826</v>
      </c>
      <c r="V281" s="21">
        <f t="shared" si="267"/>
        <v>4706.8512410296771</v>
      </c>
      <c r="W281" s="21">
        <f t="shared" si="267"/>
        <v>502.09953341258171</v>
      </c>
      <c r="X281" s="21">
        <f t="shared" si="267"/>
        <v>540.05945367741947</v>
      </c>
      <c r="Y281" s="21">
        <f t="shared" si="267"/>
        <v>57.192578334434295</v>
      </c>
      <c r="Z281" s="21">
        <f t="shared" si="267"/>
        <v>231.58406964227009</v>
      </c>
      <c r="AA281" s="21">
        <f t="shared" si="267"/>
        <v>7.0033244465074196</v>
      </c>
      <c r="AB281" s="21">
        <f t="shared" si="267"/>
        <v>29.570742394762139</v>
      </c>
      <c r="AC281" s="21">
        <f t="shared" si="267"/>
        <v>1.6014825605251821E-2</v>
      </c>
      <c r="AD281" s="21">
        <f t="shared" si="267"/>
        <v>1.8380079696786156</v>
      </c>
      <c r="AE281" s="21">
        <f t="shared" si="267"/>
        <v>2.8171359194955108</v>
      </c>
      <c r="AF281" s="21">
        <f t="shared" si="267"/>
        <v>1.6235733796448437</v>
      </c>
      <c r="AG281" s="3"/>
      <c r="AH281" s="3"/>
    </row>
    <row r="282" spans="1:34" s="3" customFormat="1" x14ac:dyDescent="0.25">
      <c r="A282" s="71">
        <f>SUM(B282:AF282)</f>
        <v>353027.46144548227</v>
      </c>
      <c r="B282" s="21">
        <f>IF($D$61&lt;=B246,IF($E$61&gt;=B246,ABS(B281),0),0)</f>
        <v>130934.23046280802</v>
      </c>
      <c r="C282" s="21">
        <f t="shared" ref="C282:AF282" si="268">IF($D$61&lt;=C246,IF($E$61&gt;=C246,ABS(C281),0),0)</f>
        <v>23803.773369930546</v>
      </c>
      <c r="D282" s="21">
        <f t="shared" si="268"/>
        <v>504.35268414908256</v>
      </c>
      <c r="E282" s="21">
        <f t="shared" si="268"/>
        <v>13734.84551226154</v>
      </c>
      <c r="F282" s="21">
        <f t="shared" si="268"/>
        <v>14350.896484527439</v>
      </c>
      <c r="G282" s="21">
        <f t="shared" si="268"/>
        <v>9039.1883804978843</v>
      </c>
      <c r="H282" s="21">
        <f t="shared" si="268"/>
        <v>11620.090418965579</v>
      </c>
      <c r="I282" s="21">
        <f t="shared" si="268"/>
        <v>8062.7958536805345</v>
      </c>
      <c r="J282" s="21">
        <f t="shared" si="268"/>
        <v>9341.1471343085032</v>
      </c>
      <c r="K282" s="21">
        <f t="shared" si="268"/>
        <v>10209.341676962969</v>
      </c>
      <c r="L282" s="21">
        <f t="shared" si="268"/>
        <v>8536.9057576510222</v>
      </c>
      <c r="M282" s="21">
        <f t="shared" si="268"/>
        <v>8260.9639931537258</v>
      </c>
      <c r="N282" s="21">
        <f t="shared" si="268"/>
        <v>6710.2315941755378</v>
      </c>
      <c r="O282" s="21">
        <f t="shared" si="268"/>
        <v>7597.394431914684</v>
      </c>
      <c r="P282" s="21">
        <f t="shared" si="268"/>
        <v>6727.9365668929895</v>
      </c>
      <c r="Q282" s="21">
        <f t="shared" si="268"/>
        <v>5751.9062401684387</v>
      </c>
      <c r="R282" s="21">
        <f t="shared" si="268"/>
        <v>3562.5212959528199</v>
      </c>
      <c r="S282" s="21">
        <f t="shared" si="268"/>
        <v>7472.9168283437275</v>
      </c>
      <c r="T282" s="21">
        <f t="shared" si="268"/>
        <v>38948.567088678254</v>
      </c>
      <c r="U282" s="21">
        <f t="shared" si="268"/>
        <v>22051.252864004826</v>
      </c>
      <c r="V282" s="21">
        <f t="shared" si="268"/>
        <v>4706.8512410296771</v>
      </c>
      <c r="W282" s="21">
        <f t="shared" si="268"/>
        <v>502.09953341258171</v>
      </c>
      <c r="X282" s="21">
        <f t="shared" si="268"/>
        <v>540.05945367741947</v>
      </c>
      <c r="Y282" s="21">
        <f t="shared" si="268"/>
        <v>57.192578334434295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10389.646124189063</v>
      </c>
      <c r="C287" s="27">
        <f t="shared" ref="C287:AF287" si="269">($C$17+SUM(C288:C318))*$B$51</f>
        <v>10301.046871637725</v>
      </c>
      <c r="D287" s="27">
        <f t="shared" si="269"/>
        <v>9967.9865891473528</v>
      </c>
      <c r="E287" s="27">
        <f t="shared" si="269"/>
        <v>9743.9600815261801</v>
      </c>
      <c r="F287" s="27">
        <f t="shared" si="269"/>
        <v>9485.1342099800313</v>
      </c>
      <c r="G287" s="27">
        <f t="shared" si="269"/>
        <v>9223.9423802678575</v>
      </c>
      <c r="H287" s="27">
        <f t="shared" si="269"/>
        <v>8982.994792444415</v>
      </c>
      <c r="I287" s="27">
        <f t="shared" si="269"/>
        <v>8670.2613079961666</v>
      </c>
      <c r="J287" s="27">
        <f t="shared" si="269"/>
        <v>8316.7661036070949</v>
      </c>
      <c r="K287" s="27">
        <f t="shared" si="269"/>
        <v>7970.6227185902708</v>
      </c>
      <c r="L287" s="27">
        <f t="shared" si="269"/>
        <v>7677.4808098691037</v>
      </c>
      <c r="M287" s="27">
        <f t="shared" si="269"/>
        <v>7409.8120456971092</v>
      </c>
      <c r="N287" s="27">
        <f t="shared" si="269"/>
        <v>7123.7962773043746</v>
      </c>
      <c r="O287" s="27">
        <f t="shared" si="269"/>
        <v>6852.5718219109085</v>
      </c>
      <c r="P287" s="27">
        <f t="shared" si="269"/>
        <v>6564.5912403910588</v>
      </c>
      <c r="Q287" s="27">
        <f t="shared" si="269"/>
        <v>6224.1401630722357</v>
      </c>
      <c r="R287" s="27">
        <f t="shared" si="269"/>
        <v>5685.4451241270326</v>
      </c>
      <c r="S287" s="27">
        <f t="shared" si="269"/>
        <v>4764.0013473224317</v>
      </c>
      <c r="T287" s="27">
        <f t="shared" si="269"/>
        <v>3745.9174185892975</v>
      </c>
      <c r="U287" s="27">
        <f t="shared" si="269"/>
        <v>2899.2669096175441</v>
      </c>
      <c r="V287" s="27">
        <f t="shared" si="269"/>
        <v>2206.8000813361928</v>
      </c>
      <c r="W287" s="27">
        <f t="shared" si="269"/>
        <v>1603.4947264877553</v>
      </c>
      <c r="X287" s="27">
        <f t="shared" si="269"/>
        <v>1122.5129080736306</v>
      </c>
      <c r="Y287" s="27">
        <f t="shared" si="269"/>
        <v>780.28139824524283</v>
      </c>
      <c r="Z287" s="27">
        <f t="shared" si="269"/>
        <v>581.75722789551241</v>
      </c>
      <c r="AA287" s="27">
        <f t="shared" si="269"/>
        <v>477.2946529323201</v>
      </c>
      <c r="AB287" s="27">
        <f t="shared" si="269"/>
        <v>428.27995866960549</v>
      </c>
      <c r="AC287" s="27">
        <f t="shared" si="269"/>
        <v>398.57243926365192</v>
      </c>
      <c r="AD287" s="27">
        <f t="shared" si="269"/>
        <v>385.27407896071685</v>
      </c>
      <c r="AE287" s="27">
        <f t="shared" si="269"/>
        <v>372.84870507439746</v>
      </c>
      <c r="AF287" s="27">
        <f t="shared" si="269"/>
        <v>356.81591612360626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3.5585246563752698E-2</v>
      </c>
      <c r="C289" s="3">
        <f t="shared" si="271"/>
        <v>2.8232634112643432E-2</v>
      </c>
      <c r="D289" s="3">
        <f t="shared" si="271"/>
        <v>2.7897520472261218E-3</v>
      </c>
      <c r="E289" s="3">
        <f t="shared" si="271"/>
        <v>2.4757549507375678E-13</v>
      </c>
      <c r="F289" s="3">
        <f t="shared" si="271"/>
        <v>7.5011554972620164E-114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1.7648856241499644E-2</v>
      </c>
      <c r="C290" s="3">
        <f t="shared" si="272"/>
        <v>1.7284186885456802E-2</v>
      </c>
      <c r="D290" s="3">
        <f t="shared" si="272"/>
        <v>1.4027259534277636E-2</v>
      </c>
      <c r="E290" s="3">
        <f t="shared" si="272"/>
        <v>1.7386478268503599E-3</v>
      </c>
      <c r="F290" s="3">
        <f t="shared" si="272"/>
        <v>1.4879883063424235E-12</v>
      </c>
      <c r="G290" s="3">
        <f t="shared" si="272"/>
        <v>3.1367396955771824E-103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2.4466221396382895E-2</v>
      </c>
      <c r="C291" s="3">
        <f t="shared" si="273"/>
        <v>2.4420183741633936E-2</v>
      </c>
      <c r="D291" s="3">
        <f t="shared" si="273"/>
        <v>2.3964544952073594E-2</v>
      </c>
      <c r="E291" s="3">
        <f t="shared" si="273"/>
        <v>1.9850515165041008E-2</v>
      </c>
      <c r="F291" s="3">
        <f t="shared" si="273"/>
        <v>3.0185455594432691E-3</v>
      </c>
      <c r="G291" s="3">
        <f t="shared" si="273"/>
        <v>1.9955254218229208E-11</v>
      </c>
      <c r="H291" s="3">
        <f t="shared" si="273"/>
        <v>3.181651162551836E-93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2.4618688718621273E-2</v>
      </c>
      <c r="C292" s="3">
        <f t="shared" si="274"/>
        <v>2.4614506277578923E-2</v>
      </c>
      <c r="D292" s="3">
        <f t="shared" si="274"/>
        <v>2.4572720927502793E-2</v>
      </c>
      <c r="E292" s="3">
        <f t="shared" si="274"/>
        <v>2.4158749017691755E-2</v>
      </c>
      <c r="F292" s="3">
        <f t="shared" si="274"/>
        <v>2.0383857663496922E-2</v>
      </c>
      <c r="G292" s="3">
        <f t="shared" si="274"/>
        <v>3.7273977503891032E-3</v>
      </c>
      <c r="H292" s="3">
        <f t="shared" si="274"/>
        <v>1.5581144157069432E-10</v>
      </c>
      <c r="I292" s="3">
        <f t="shared" si="274"/>
        <v>2.538255961904731E-84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1.9768682492401223E-2</v>
      </c>
      <c r="C293" s="3">
        <f t="shared" si="275"/>
        <v>1.9768379506239768E-2</v>
      </c>
      <c r="D293" s="3">
        <f t="shared" si="275"/>
        <v>1.9765349900019151E-2</v>
      </c>
      <c r="E293" s="3">
        <f t="shared" si="275"/>
        <v>1.9735079362729436E-2</v>
      </c>
      <c r="F293" s="3">
        <f t="shared" si="275"/>
        <v>1.9434912065764993E-2</v>
      </c>
      <c r="G293" s="3">
        <f t="shared" si="275"/>
        <v>1.6673224879573099E-2</v>
      </c>
      <c r="H293" s="3">
        <f t="shared" si="275"/>
        <v>3.600724430306252E-3</v>
      </c>
      <c r="I293" s="3">
        <f t="shared" si="275"/>
        <v>7.9449773095011321E-10</v>
      </c>
      <c r="J293" s="3">
        <f t="shared" si="275"/>
        <v>2.1733037035731583E-76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3.0447862056375612E-2</v>
      </c>
      <c r="C294" s="3">
        <f t="shared" si="276"/>
        <v>3.0447819959342488E-2</v>
      </c>
      <c r="D294" s="3">
        <f t="shared" si="276"/>
        <v>3.0447398992212434E-2</v>
      </c>
      <c r="E294" s="3">
        <f t="shared" si="276"/>
        <v>3.0443189641011247E-2</v>
      </c>
      <c r="F294" s="3">
        <f t="shared" si="276"/>
        <v>3.040112812256944E-2</v>
      </c>
      <c r="G294" s="3">
        <f t="shared" si="276"/>
        <v>2.9983695988872048E-2</v>
      </c>
      <c r="H294" s="3">
        <f t="shared" si="276"/>
        <v>2.6111981378296744E-2</v>
      </c>
      <c r="I294" s="3">
        <f t="shared" si="276"/>
        <v>6.5521893981005082E-3</v>
      </c>
      <c r="J294" s="3">
        <f t="shared" si="276"/>
        <v>6.4841431765123733E-9</v>
      </c>
      <c r="K294" s="3">
        <f t="shared" si="276"/>
        <v>5.8413621007172079E-69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3.3440429960483742E-2</v>
      </c>
      <c r="C295" s="3">
        <f t="shared" si="277"/>
        <v>3.3440425789740998E-2</v>
      </c>
      <c r="D295" s="3">
        <f t="shared" si="277"/>
        <v>3.3440384082342206E-2</v>
      </c>
      <c r="E295" s="3">
        <f t="shared" si="277"/>
        <v>3.3439967011215266E-2</v>
      </c>
      <c r="F295" s="3">
        <f t="shared" si="277"/>
        <v>3.3435796586031116E-2</v>
      </c>
      <c r="G295" s="3">
        <f t="shared" si="277"/>
        <v>3.3394120929514839E-2</v>
      </c>
      <c r="H295" s="3">
        <f t="shared" si="277"/>
        <v>3.2980210744906827E-2</v>
      </c>
      <c r="I295" s="3">
        <f t="shared" si="277"/>
        <v>2.9113038579384198E-2</v>
      </c>
      <c r="J295" s="3">
        <f t="shared" si="277"/>
        <v>8.3642812963398133E-3</v>
      </c>
      <c r="K295" s="3">
        <f t="shared" si="277"/>
        <v>3.2050851439043761E-8</v>
      </c>
      <c r="L295" s="3">
        <f t="shared" si="277"/>
        <v>2.1875046387005577E-62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3.2526067364081576E-2</v>
      </c>
      <c r="C296" s="3">
        <f t="shared" si="278"/>
        <v>3.2526066998133284E-2</v>
      </c>
      <c r="D296" s="3">
        <f t="shared" si="278"/>
        <v>3.2526063338650608E-2</v>
      </c>
      <c r="E296" s="3">
        <f t="shared" si="278"/>
        <v>3.2526026743846484E-2</v>
      </c>
      <c r="F296" s="3">
        <f t="shared" si="278"/>
        <v>3.2525660798069789E-2</v>
      </c>
      <c r="G296" s="3">
        <f t="shared" si="278"/>
        <v>3.252200156674135E-2</v>
      </c>
      <c r="H296" s="3">
        <f t="shared" si="278"/>
        <v>3.248543188789537E-2</v>
      </c>
      <c r="I296" s="3">
        <f t="shared" si="278"/>
        <v>3.2121989149199885E-2</v>
      </c>
      <c r="J296" s="3">
        <f t="shared" si="278"/>
        <v>2.8703859235607924E-2</v>
      </c>
      <c r="K296" s="3">
        <f t="shared" si="278"/>
        <v>9.3179182695012873E-3</v>
      </c>
      <c r="L296" s="3">
        <f t="shared" si="278"/>
        <v>1.2108907145201148E-7</v>
      </c>
      <c r="M296" s="3">
        <f t="shared" si="278"/>
        <v>1.6632804007606264E-56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2.4652946235953654E-2</v>
      </c>
      <c r="C297" s="3">
        <f t="shared" si="279"/>
        <v>2.4652946210932718E-2</v>
      </c>
      <c r="D297" s="3">
        <f t="shared" si="279"/>
        <v>2.465294596072334E-2</v>
      </c>
      <c r="E297" s="3">
        <f t="shared" si="279"/>
        <v>2.4652943458629693E-2</v>
      </c>
      <c r="F297" s="3">
        <f t="shared" si="279"/>
        <v>2.4652918437707175E-2</v>
      </c>
      <c r="G297" s="3">
        <f t="shared" si="279"/>
        <v>2.4652668229878712E-2</v>
      </c>
      <c r="H297" s="3">
        <f t="shared" si="279"/>
        <v>2.4650166291257575E-2</v>
      </c>
      <c r="I297" s="3">
        <f t="shared" si="279"/>
        <v>2.4625160866152712E-2</v>
      </c>
      <c r="J297" s="3">
        <f t="shared" si="279"/>
        <v>2.4376497497243948E-2</v>
      </c>
      <c r="K297" s="3">
        <f t="shared" si="279"/>
        <v>2.2023867724871301E-2</v>
      </c>
      <c r="L297" s="3">
        <f t="shared" si="279"/>
        <v>7.9820867337912181E-3</v>
      </c>
      <c r="M297" s="3">
        <f t="shared" si="279"/>
        <v>3.1213679568379287E-7</v>
      </c>
      <c r="N297" s="3">
        <f t="shared" si="279"/>
        <v>2.60993817252545E-51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2.4121212123749441E-2</v>
      </c>
      <c r="C298" s="3">
        <f t="shared" si="280"/>
        <v>2.4121212121541027E-2</v>
      </c>
      <c r="D298" s="3">
        <f t="shared" si="280"/>
        <v>2.4121212099456887E-2</v>
      </c>
      <c r="E298" s="3">
        <f t="shared" si="280"/>
        <v>2.4121211878615496E-2</v>
      </c>
      <c r="F298" s="3">
        <f t="shared" si="280"/>
        <v>2.4121209670201694E-2</v>
      </c>
      <c r="G298" s="3">
        <f t="shared" si="280"/>
        <v>2.4121187586074764E-2</v>
      </c>
      <c r="H298" s="3">
        <f t="shared" si="280"/>
        <v>2.4120966745917537E-2</v>
      </c>
      <c r="I298" s="3">
        <f t="shared" si="280"/>
        <v>2.4118758455546129E-2</v>
      </c>
      <c r="J298" s="3">
        <f t="shared" si="280"/>
        <v>2.4096686668152643E-2</v>
      </c>
      <c r="K298" s="3">
        <f t="shared" si="280"/>
        <v>2.3877076669794297E-2</v>
      </c>
      <c r="L298" s="3">
        <f t="shared" si="280"/>
        <v>2.1788101428143771E-2</v>
      </c>
      <c r="M298" s="3">
        <f t="shared" si="280"/>
        <v>8.7217118084472502E-3</v>
      </c>
      <c r="N298" s="3">
        <f t="shared" si="280"/>
        <v>9.2135112531459527E-7</v>
      </c>
      <c r="O298" s="3">
        <f t="shared" si="280"/>
        <v>1.5946286219472734E-46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2.8520624547287252E-2</v>
      </c>
      <c r="C299" s="3">
        <f t="shared" si="281"/>
        <v>2.85206245470517E-2</v>
      </c>
      <c r="D299" s="3">
        <f t="shared" si="281"/>
        <v>2.8520624544696178E-2</v>
      </c>
      <c r="E299" s="3">
        <f t="shared" si="281"/>
        <v>2.8520624521140969E-2</v>
      </c>
      <c r="F299" s="3">
        <f t="shared" si="281"/>
        <v>2.8520624285588877E-2</v>
      </c>
      <c r="G299" s="3">
        <f t="shared" si="281"/>
        <v>2.8520621930068039E-2</v>
      </c>
      <c r="H299" s="3">
        <f t="shared" si="281"/>
        <v>2.8520598374870382E-2</v>
      </c>
      <c r="I299" s="3">
        <f t="shared" si="281"/>
        <v>2.852036282396378E-2</v>
      </c>
      <c r="J299" s="3">
        <f t="shared" si="281"/>
        <v>2.8518007421892609E-2</v>
      </c>
      <c r="K299" s="3">
        <f t="shared" si="281"/>
        <v>2.8494464097396609E-2</v>
      </c>
      <c r="L299" s="3">
        <f t="shared" si="281"/>
        <v>2.826009721262953E-2</v>
      </c>
      <c r="M299" s="3">
        <f t="shared" si="281"/>
        <v>2.6019876506153155E-2</v>
      </c>
      <c r="N299" s="3">
        <f t="shared" si="281"/>
        <v>1.1392552183838028E-2</v>
      </c>
      <c r="O299" s="3">
        <f t="shared" si="281"/>
        <v>2.9497077007480901E-6</v>
      </c>
      <c r="P299" s="3">
        <f t="shared" si="281"/>
        <v>3.9935445763234572E-42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2.1063488813405893E-2</v>
      </c>
      <c r="C300" s="3">
        <f t="shared" si="282"/>
        <v>2.1063488813390201E-2</v>
      </c>
      <c r="D300" s="3">
        <f t="shared" si="282"/>
        <v>2.1063488813233271E-2</v>
      </c>
      <c r="E300" s="3">
        <f t="shared" si="282"/>
        <v>2.1063488811663977E-2</v>
      </c>
      <c r="F300" s="3">
        <f t="shared" si="282"/>
        <v>2.1063488795971017E-2</v>
      </c>
      <c r="G300" s="3">
        <f t="shared" si="282"/>
        <v>2.1063488639041429E-2</v>
      </c>
      <c r="H300" s="3">
        <f t="shared" si="282"/>
        <v>2.1063487069745607E-2</v>
      </c>
      <c r="I300" s="3">
        <f t="shared" si="282"/>
        <v>2.1063471376793833E-2</v>
      </c>
      <c r="J300" s="3">
        <f t="shared" si="282"/>
        <v>2.1063314447919122E-2</v>
      </c>
      <c r="K300" s="3">
        <f t="shared" si="282"/>
        <v>2.1061745223474641E-2</v>
      </c>
      <c r="L300" s="3">
        <f t="shared" si="282"/>
        <v>2.1046059407520919E-2</v>
      </c>
      <c r="M300" s="3">
        <f t="shared" si="282"/>
        <v>2.0889842328530236E-2</v>
      </c>
      <c r="N300" s="3">
        <f t="shared" si="282"/>
        <v>1.9390047047294863E-2</v>
      </c>
      <c r="O300" s="3">
        <f t="shared" si="282"/>
        <v>9.2048320908237041E-3</v>
      </c>
      <c r="P300" s="3">
        <f t="shared" si="282"/>
        <v>5.3503962873131238E-6</v>
      </c>
      <c r="Q300" s="3">
        <f t="shared" si="282"/>
        <v>2.3555197124085413E-38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3.1092599466761673E-2</v>
      </c>
      <c r="C301" s="3">
        <f t="shared" si="283"/>
        <v>3.1092599466759581E-2</v>
      </c>
      <c r="D301" s="3">
        <f t="shared" si="283"/>
        <v>3.1092599466738688E-2</v>
      </c>
      <c r="E301" s="3">
        <f t="shared" si="283"/>
        <v>3.109259946652972E-2</v>
      </c>
      <c r="F301" s="3">
        <f t="shared" si="283"/>
        <v>3.1092599464440047E-2</v>
      </c>
      <c r="G301" s="3">
        <f t="shared" si="283"/>
        <v>3.1092599443543329E-2</v>
      </c>
      <c r="H301" s="3">
        <f t="shared" si="283"/>
        <v>3.1092599234576111E-2</v>
      </c>
      <c r="I301" s="3">
        <f t="shared" si="283"/>
        <v>3.1092597144904047E-2</v>
      </c>
      <c r="J301" s="3">
        <f t="shared" si="283"/>
        <v>3.1092576248191131E-2</v>
      </c>
      <c r="K301" s="3">
        <f t="shared" si="283"/>
        <v>3.1092367281834368E-2</v>
      </c>
      <c r="L301" s="3">
        <f t="shared" si="283"/>
        <v>3.109027769550814E-2</v>
      </c>
      <c r="M301" s="3">
        <f t="shared" si="283"/>
        <v>3.1069389554462434E-2</v>
      </c>
      <c r="N301" s="3">
        <f t="shared" si="283"/>
        <v>3.086127844882864E-2</v>
      </c>
      <c r="O301" s="3">
        <f t="shared" si="283"/>
        <v>2.8855316309247463E-2</v>
      </c>
      <c r="P301" s="3">
        <f t="shared" si="283"/>
        <v>1.4734829085185452E-2</v>
      </c>
      <c r="Q301" s="3">
        <f t="shared" si="283"/>
        <v>1.7763876113668388E-5</v>
      </c>
      <c r="R301" s="3">
        <f t="shared" si="283"/>
        <v>1.1520307360730643E-34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2.516339998643867E-2</v>
      </c>
      <c r="C302" s="3">
        <f t="shared" si="284"/>
        <v>2.5163399986438517E-2</v>
      </c>
      <c r="D302" s="3">
        <f t="shared" si="284"/>
        <v>2.5163399986436991E-2</v>
      </c>
      <c r="E302" s="3">
        <f t="shared" si="284"/>
        <v>2.5163399986421735E-2</v>
      </c>
      <c r="F302" s="3">
        <f t="shared" si="284"/>
        <v>2.5163399986269177E-2</v>
      </c>
      <c r="G302" s="3">
        <f t="shared" si="284"/>
        <v>2.5163399984743592E-2</v>
      </c>
      <c r="H302" s="3">
        <f t="shared" si="284"/>
        <v>2.5163399969487719E-2</v>
      </c>
      <c r="I302" s="3">
        <f t="shared" si="284"/>
        <v>2.5163399816929E-2</v>
      </c>
      <c r="J302" s="3">
        <f t="shared" si="284"/>
        <v>2.5163398291341864E-2</v>
      </c>
      <c r="K302" s="3">
        <f t="shared" si="284"/>
        <v>2.5163383035475582E-2</v>
      </c>
      <c r="L302" s="3">
        <f t="shared" si="284"/>
        <v>2.5163230477321462E-2</v>
      </c>
      <c r="M302" s="3">
        <f t="shared" si="284"/>
        <v>2.5161704946649682E-2</v>
      </c>
      <c r="N302" s="3">
        <f t="shared" si="284"/>
        <v>2.5146454725730943E-2</v>
      </c>
      <c r="O302" s="3">
        <f t="shared" si="284"/>
        <v>2.4994459957446064E-2</v>
      </c>
      <c r="P302" s="3">
        <f t="shared" si="284"/>
        <v>2.3524136293822179E-2</v>
      </c>
      <c r="Q302" s="3">
        <f t="shared" si="284"/>
        <v>1.2829595985751825E-2</v>
      </c>
      <c r="R302" s="3">
        <f t="shared" si="284"/>
        <v>2.9867984270032751E-5</v>
      </c>
      <c r="S302" s="3">
        <f t="shared" si="284"/>
        <v>1.3968032929043443E-31</v>
      </c>
      <c r="T302" s="3">
        <f t="shared" si="284"/>
        <v>6.9892184193174236E-295</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7.3723285891336185E-2</v>
      </c>
      <c r="C303" s="3">
        <f t="shared" si="285"/>
        <v>7.3723285891336157E-2</v>
      </c>
      <c r="D303" s="3">
        <f t="shared" si="285"/>
        <v>7.3723285891335755E-2</v>
      </c>
      <c r="E303" s="3">
        <f t="shared" si="285"/>
        <v>7.3723285891331716E-2</v>
      </c>
      <c r="F303" s="3">
        <f t="shared" si="285"/>
        <v>7.3723285891291401E-2</v>
      </c>
      <c r="G303" s="3">
        <f t="shared" si="285"/>
        <v>7.3723285890888196E-2</v>
      </c>
      <c r="H303" s="3">
        <f t="shared" si="285"/>
        <v>7.3723285886856213E-2</v>
      </c>
      <c r="I303" s="3">
        <f t="shared" si="285"/>
        <v>7.3723285846536354E-2</v>
      </c>
      <c r="J303" s="3">
        <f t="shared" si="285"/>
        <v>7.3723285443337783E-2</v>
      </c>
      <c r="K303" s="3">
        <f t="shared" si="285"/>
        <v>7.3723281411352176E-2</v>
      </c>
      <c r="L303" s="3">
        <f t="shared" si="285"/>
        <v>7.3723241091508199E-2</v>
      </c>
      <c r="M303" s="3">
        <f t="shared" si="285"/>
        <v>7.3722837894281246E-2</v>
      </c>
      <c r="N303" s="3">
        <f t="shared" si="285"/>
        <v>7.3718806043290924E-2</v>
      </c>
      <c r="O303" s="3">
        <f t="shared" si="285"/>
        <v>7.3678499658850996E-2</v>
      </c>
      <c r="P303" s="3">
        <f t="shared" si="285"/>
        <v>7.3276645910700447E-2</v>
      </c>
      <c r="Q303" s="3">
        <f t="shared" si="285"/>
        <v>6.9376704761687349E-2</v>
      </c>
      <c r="R303" s="3">
        <f t="shared" si="285"/>
        <v>4.0150829872284535E-2</v>
      </c>
      <c r="S303" s="3">
        <f t="shared" si="285"/>
        <v>1.6924003525431626E-4</v>
      </c>
      <c r="T303" s="3">
        <f t="shared" si="285"/>
        <v>2.996324997953781E-28</v>
      </c>
      <c r="U303" s="3">
        <f t="shared" si="285"/>
        <v>9.0666535680426251E-266</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9.9866950821253964E-2</v>
      </c>
      <c r="C304" s="3">
        <f t="shared" si="286"/>
        <v>9.9866950821253964E-2</v>
      </c>
      <c r="D304" s="3">
        <f t="shared" si="286"/>
        <v>9.9866950821253908E-2</v>
      </c>
      <c r="E304" s="3">
        <f t="shared" si="286"/>
        <v>9.9866950821253422E-2</v>
      </c>
      <c r="F304" s="3">
        <f t="shared" si="286"/>
        <v>9.9866950821248482E-2</v>
      </c>
      <c r="G304" s="3">
        <f t="shared" si="286"/>
        <v>9.9866950821199216E-2</v>
      </c>
      <c r="H304" s="3">
        <f t="shared" si="286"/>
        <v>9.9866950820706527E-2</v>
      </c>
      <c r="I304" s="3">
        <f t="shared" si="286"/>
        <v>9.9866950815779523E-2</v>
      </c>
      <c r="J304" s="3">
        <f t="shared" si="286"/>
        <v>9.9866950766509505E-2</v>
      </c>
      <c r="K304" s="3">
        <f t="shared" si="286"/>
        <v>9.986695027380936E-2</v>
      </c>
      <c r="L304" s="3">
        <f t="shared" si="286"/>
        <v>9.9866945346808123E-2</v>
      </c>
      <c r="M304" s="3">
        <f t="shared" si="286"/>
        <v>9.9866896076809028E-2</v>
      </c>
      <c r="N304" s="3">
        <f t="shared" si="286"/>
        <v>9.9866403378155E-2</v>
      </c>
      <c r="O304" s="3">
        <f t="shared" si="286"/>
        <v>9.9861476525304319E-2</v>
      </c>
      <c r="P304" s="3">
        <f t="shared" si="286"/>
        <v>9.9812221363312414E-2</v>
      </c>
      <c r="Q304" s="3">
        <f t="shared" si="286"/>
        <v>9.9321003958153395E-2</v>
      </c>
      <c r="R304" s="3">
        <f t="shared" si="286"/>
        <v>9.4539847687632267E-2</v>
      </c>
      <c r="S304" s="3">
        <f t="shared" si="286"/>
        <v>5.7723528764981408E-2</v>
      </c>
      <c r="T304" s="3">
        <f t="shared" si="286"/>
        <v>4.1565462360151158E-4</v>
      </c>
      <c r="U304" s="3">
        <f t="shared" si="286"/>
        <v>1.557865816505163E-25</v>
      </c>
      <c r="V304" s="3">
        <f t="shared" si="286"/>
        <v>8.5212708346826056E-240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8.4918453398997062E-2</v>
      </c>
      <c r="C305" s="3">
        <f t="shared" si="287"/>
        <v>8.4918453398997062E-2</v>
      </c>
      <c r="D305" s="3">
        <f t="shared" si="287"/>
        <v>8.4918453398997062E-2</v>
      </c>
      <c r="E305" s="3">
        <f t="shared" si="287"/>
        <v>8.4918453398997021E-2</v>
      </c>
      <c r="F305" s="3">
        <f t="shared" si="287"/>
        <v>8.4918453398996632E-2</v>
      </c>
      <c r="G305" s="3">
        <f t="shared" si="287"/>
        <v>8.4918453398992871E-2</v>
      </c>
      <c r="H305" s="3">
        <f t="shared" si="287"/>
        <v>8.4918453398955068E-2</v>
      </c>
      <c r="I305" s="3">
        <f t="shared" si="287"/>
        <v>8.4918453398577148E-2</v>
      </c>
      <c r="J305" s="3">
        <f t="shared" si="287"/>
        <v>8.4918453394797852E-2</v>
      </c>
      <c r="K305" s="3">
        <f t="shared" si="287"/>
        <v>8.4918453357005014E-2</v>
      </c>
      <c r="L305" s="3">
        <f t="shared" si="287"/>
        <v>8.4918452979076589E-2</v>
      </c>
      <c r="M305" s="3">
        <f t="shared" si="287"/>
        <v>8.4918449199792398E-2</v>
      </c>
      <c r="N305" s="3">
        <f t="shared" si="287"/>
        <v>8.4918411406959798E-2</v>
      </c>
      <c r="O305" s="3">
        <f t="shared" si="287"/>
        <v>8.4918033479558827E-2</v>
      </c>
      <c r="P305" s="3">
        <f t="shared" si="287"/>
        <v>8.4914254298055547E-2</v>
      </c>
      <c r="Q305" s="3">
        <f t="shared" si="287"/>
        <v>8.4876471732139816E-2</v>
      </c>
      <c r="R305" s="3">
        <f t="shared" si="287"/>
        <v>8.4499569463474311E-2</v>
      </c>
      <c r="S305" s="3">
        <f t="shared" si="287"/>
        <v>8.082138322864385E-2</v>
      </c>
      <c r="T305" s="3">
        <f t="shared" si="287"/>
        <v>5.1789784859792971E-2</v>
      </c>
      <c r="U305" s="3">
        <f t="shared" si="287"/>
        <v>6.0453630392747946E-4</v>
      </c>
      <c r="V305" s="3">
        <f t="shared" si="287"/>
        <v>2.8392601163639815E-23</v>
      </c>
      <c r="W305" s="3">
        <f t="shared" si="287"/>
        <v>1.4826312030162648E-216</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6.4000746285573396E-2</v>
      </c>
      <c r="C306" s="3">
        <f t="shared" si="288"/>
        <v>6.4000746285573396E-2</v>
      </c>
      <c r="D306" s="3">
        <f t="shared" si="288"/>
        <v>6.4000746285573396E-2</v>
      </c>
      <c r="E306" s="3">
        <f t="shared" si="288"/>
        <v>6.4000746285573396E-2</v>
      </c>
      <c r="F306" s="3">
        <f t="shared" si="288"/>
        <v>6.4000746285573368E-2</v>
      </c>
      <c r="G306" s="3">
        <f t="shared" si="288"/>
        <v>6.4000746285573118E-2</v>
      </c>
      <c r="H306" s="3">
        <f t="shared" si="288"/>
        <v>6.4000746285570537E-2</v>
      </c>
      <c r="I306" s="3">
        <f t="shared" si="288"/>
        <v>6.4000746285544849E-2</v>
      </c>
      <c r="J306" s="3">
        <f t="shared" si="288"/>
        <v>6.4000746285287902E-2</v>
      </c>
      <c r="K306" s="3">
        <f t="shared" si="288"/>
        <v>6.4000746282718457E-2</v>
      </c>
      <c r="L306" s="3">
        <f t="shared" si="288"/>
        <v>6.4000746257024024E-2</v>
      </c>
      <c r="M306" s="3">
        <f t="shared" si="288"/>
        <v>6.4000746000079642E-2</v>
      </c>
      <c r="N306" s="3">
        <f t="shared" si="288"/>
        <v>6.4000743430635956E-2</v>
      </c>
      <c r="O306" s="3">
        <f t="shared" si="288"/>
        <v>6.4000717736204721E-2</v>
      </c>
      <c r="P306" s="3">
        <f t="shared" si="288"/>
        <v>6.400046079245976E-2</v>
      </c>
      <c r="Q306" s="3">
        <f t="shared" si="288"/>
        <v>6.3997891411744806E-2</v>
      </c>
      <c r="R306" s="3">
        <f t="shared" si="288"/>
        <v>6.3972203277222001E-2</v>
      </c>
      <c r="S306" s="3">
        <f t="shared" si="288"/>
        <v>6.3715888352931099E-2</v>
      </c>
      <c r="T306" s="3">
        <f t="shared" si="288"/>
        <v>6.1208548777105382E-2</v>
      </c>
      <c r="U306" s="3">
        <f t="shared" si="288"/>
        <v>4.0969011366602366E-2</v>
      </c>
      <c r="V306" s="3">
        <f t="shared" si="288"/>
        <v>7.3941711173229109E-4</v>
      </c>
      <c r="W306" s="3">
        <f t="shared" si="288"/>
        <v>2.7116249768783699E-21</v>
      </c>
      <c r="X306" s="3">
        <f t="shared" si="288"/>
        <v>1.1929738178995257E-195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6.4005723390096053E-2</v>
      </c>
      <c r="C307" s="3">
        <f t="shared" si="289"/>
        <v>6.4005723390096053E-2</v>
      </c>
      <c r="D307" s="3">
        <f t="shared" si="289"/>
        <v>6.4005723390096053E-2</v>
      </c>
      <c r="E307" s="3">
        <f t="shared" si="289"/>
        <v>6.4005723390096053E-2</v>
      </c>
      <c r="F307" s="3">
        <f t="shared" si="289"/>
        <v>6.4005723390096053E-2</v>
      </c>
      <c r="G307" s="3">
        <f t="shared" si="289"/>
        <v>6.4005723390096025E-2</v>
      </c>
      <c r="H307" s="3">
        <f t="shared" si="289"/>
        <v>6.4005723390095803E-2</v>
      </c>
      <c r="I307" s="3">
        <f t="shared" si="289"/>
        <v>6.4005723390093486E-2</v>
      </c>
      <c r="J307" s="3">
        <f t="shared" si="289"/>
        <v>6.4005723390070296E-2</v>
      </c>
      <c r="K307" s="3">
        <f t="shared" si="289"/>
        <v>6.4005723389838495E-2</v>
      </c>
      <c r="L307" s="3">
        <f t="shared" si="289"/>
        <v>6.4005723387520461E-2</v>
      </c>
      <c r="M307" s="3">
        <f t="shared" si="289"/>
        <v>6.4005723364340142E-2</v>
      </c>
      <c r="N307" s="3">
        <f t="shared" si="289"/>
        <v>6.4005723132536912E-2</v>
      </c>
      <c r="O307" s="3">
        <f t="shared" si="289"/>
        <v>6.4005720814504688E-2</v>
      </c>
      <c r="P307" s="3">
        <f t="shared" si="289"/>
        <v>6.4005697634187078E-2</v>
      </c>
      <c r="Q307" s="3">
        <f t="shared" si="289"/>
        <v>6.4005465831472735E-2</v>
      </c>
      <c r="R307" s="3">
        <f t="shared" si="289"/>
        <v>6.4003147850500985E-2</v>
      </c>
      <c r="S307" s="3">
        <f t="shared" si="289"/>
        <v>6.3979972657340248E-2</v>
      </c>
      <c r="T307" s="3">
        <f t="shared" si="289"/>
        <v>6.3748681763389117E-2</v>
      </c>
      <c r="U307" s="3">
        <f t="shared" si="289"/>
        <v>6.1481264741462947E-2</v>
      </c>
      <c r="V307" s="3">
        <f t="shared" si="289"/>
        <v>4.2801465151887104E-2</v>
      </c>
      <c r="W307" s="3">
        <f t="shared" si="289"/>
        <v>1.1445033406078456E-3</v>
      </c>
      <c r="X307" s="3">
        <f t="shared" si="289"/>
        <v>2.1389535505017782E-19</v>
      </c>
      <c r="Y307" s="3">
        <f t="shared" si="289"/>
        <v>1.1118449874983976E-176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2.5223864108208031E-2</v>
      </c>
      <c r="C308" s="3">
        <f t="shared" si="290"/>
        <v>2.5223864108208031E-2</v>
      </c>
      <c r="D308" s="3">
        <f t="shared" si="290"/>
        <v>2.5223864108208031E-2</v>
      </c>
      <c r="E308" s="3">
        <f t="shared" si="290"/>
        <v>2.5223864108208031E-2</v>
      </c>
      <c r="F308" s="3">
        <f t="shared" si="290"/>
        <v>2.5223864108208031E-2</v>
      </c>
      <c r="G308" s="3">
        <f t="shared" si="290"/>
        <v>2.5223864108208031E-2</v>
      </c>
      <c r="H308" s="3">
        <f t="shared" si="290"/>
        <v>2.5223864108208024E-2</v>
      </c>
      <c r="I308" s="3">
        <f t="shared" si="290"/>
        <v>2.5223864108207938E-2</v>
      </c>
      <c r="J308" s="3">
        <f t="shared" si="290"/>
        <v>2.5223864108207115E-2</v>
      </c>
      <c r="K308" s="3">
        <f t="shared" si="290"/>
        <v>2.5223864108198876E-2</v>
      </c>
      <c r="L308" s="3">
        <f t="shared" si="290"/>
        <v>2.5223864108116469E-2</v>
      </c>
      <c r="M308" s="3">
        <f t="shared" si="290"/>
        <v>2.522386410729241E-2</v>
      </c>
      <c r="N308" s="3">
        <f t="shared" si="290"/>
        <v>2.5223864099051811E-2</v>
      </c>
      <c r="O308" s="3">
        <f t="shared" si="290"/>
        <v>2.5223864016645801E-2</v>
      </c>
      <c r="P308" s="3">
        <f t="shared" si="290"/>
        <v>2.5223863192585735E-2</v>
      </c>
      <c r="Q308" s="3">
        <f t="shared" si="290"/>
        <v>2.5223854951986563E-2</v>
      </c>
      <c r="R308" s="3">
        <f t="shared" si="290"/>
        <v>2.5223772546142928E-2</v>
      </c>
      <c r="S308" s="3">
        <f t="shared" si="290"/>
        <v>2.5222948502513411E-2</v>
      </c>
      <c r="T308" s="3">
        <f t="shared" si="290"/>
        <v>2.5214709546725368E-2</v>
      </c>
      <c r="U308" s="3">
        <f t="shared" si="290"/>
        <v>2.5132467860750643E-2</v>
      </c>
      <c r="V308" s="3">
        <f t="shared" si="290"/>
        <v>2.4324660997517563E-2</v>
      </c>
      <c r="W308" s="3">
        <f t="shared" si="290"/>
        <v>1.7545405179246056E-2</v>
      </c>
      <c r="X308" s="3">
        <f t="shared" si="290"/>
        <v>6.6885111740582414E-4</v>
      </c>
      <c r="Y308" s="3">
        <f t="shared" si="290"/>
        <v>4.3350090392807517E-18</v>
      </c>
      <c r="Z308" s="3">
        <f t="shared" si="290"/>
        <v>5.6701625835226046E-160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4.075866339585988E-2</v>
      </c>
      <c r="C309" s="3">
        <f t="shared" si="291"/>
        <v>4.075866339585988E-2</v>
      </c>
      <c r="D309" s="3">
        <f t="shared" si="291"/>
        <v>4.075866339585988E-2</v>
      </c>
      <c r="E309" s="3">
        <f t="shared" si="291"/>
        <v>4.075866339585988E-2</v>
      </c>
      <c r="F309" s="3">
        <f t="shared" si="291"/>
        <v>4.075866339585988E-2</v>
      </c>
      <c r="G309" s="3">
        <f t="shared" si="291"/>
        <v>4.075866339585988E-2</v>
      </c>
      <c r="H309" s="3">
        <f t="shared" si="291"/>
        <v>4.0758663395859873E-2</v>
      </c>
      <c r="I309" s="3">
        <f t="shared" si="291"/>
        <v>4.0758663395859838E-2</v>
      </c>
      <c r="J309" s="3">
        <f t="shared" si="291"/>
        <v>4.0758663395859471E-2</v>
      </c>
      <c r="K309" s="3">
        <f t="shared" si="291"/>
        <v>4.0758663395855786E-2</v>
      </c>
      <c r="L309" s="3">
        <f t="shared" si="291"/>
        <v>4.0758663395818961E-2</v>
      </c>
      <c r="M309" s="3">
        <f t="shared" si="291"/>
        <v>4.075866339545068E-2</v>
      </c>
      <c r="N309" s="3">
        <f t="shared" si="291"/>
        <v>4.0758663391767862E-2</v>
      </c>
      <c r="O309" s="3">
        <f t="shared" si="291"/>
        <v>4.0758663354939696E-2</v>
      </c>
      <c r="P309" s="3">
        <f t="shared" si="291"/>
        <v>4.0758662986658076E-2</v>
      </c>
      <c r="Q309" s="3">
        <f t="shared" si="291"/>
        <v>4.0758659303841996E-2</v>
      </c>
      <c r="R309" s="3">
        <f t="shared" si="291"/>
        <v>4.0758622475699523E-2</v>
      </c>
      <c r="S309" s="3">
        <f t="shared" si="291"/>
        <v>4.0758254196105015E-2</v>
      </c>
      <c r="T309" s="3">
        <f t="shared" si="291"/>
        <v>4.075457158317497E-2</v>
      </c>
      <c r="U309" s="3">
        <f t="shared" si="291"/>
        <v>4.0717763749259353E-2</v>
      </c>
      <c r="V309" s="3">
        <f t="shared" si="291"/>
        <v>4.0351508846838996E-2</v>
      </c>
      <c r="W309" s="3">
        <f t="shared" si="291"/>
        <v>3.6865351937169222E-2</v>
      </c>
      <c r="X309" s="3">
        <f t="shared" si="291"/>
        <v>1.4934972921501361E-2</v>
      </c>
      <c r="Y309" s="3">
        <f t="shared" si="291"/>
        <v>1.7785455488200497E-6</v>
      </c>
      <c r="Z309" s="3">
        <f t="shared" si="291"/>
        <v>1.0201652285176218E-45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2.4317384377993669E-2</v>
      </c>
      <c r="C310" s="3">
        <f t="shared" si="292"/>
        <v>2.4317384377993669E-2</v>
      </c>
      <c r="D310" s="3">
        <f t="shared" si="292"/>
        <v>2.4317384377993669E-2</v>
      </c>
      <c r="E310" s="3">
        <f t="shared" si="292"/>
        <v>2.4317384377993669E-2</v>
      </c>
      <c r="F310" s="3">
        <f t="shared" si="292"/>
        <v>2.4317384377993669E-2</v>
      </c>
      <c r="G310" s="3">
        <f t="shared" si="292"/>
        <v>2.4317384377993669E-2</v>
      </c>
      <c r="H310" s="3">
        <f t="shared" si="292"/>
        <v>2.4317384377993669E-2</v>
      </c>
      <c r="I310" s="3">
        <f t="shared" si="292"/>
        <v>2.4317384377993665E-2</v>
      </c>
      <c r="J310" s="3">
        <f t="shared" si="292"/>
        <v>2.4317384377993644E-2</v>
      </c>
      <c r="K310" s="3">
        <f t="shared" si="292"/>
        <v>2.4317384377993426E-2</v>
      </c>
      <c r="L310" s="3">
        <f t="shared" si="292"/>
        <v>2.431738437799123E-2</v>
      </c>
      <c r="M310" s="3">
        <f t="shared" si="292"/>
        <v>2.4317384377969254E-2</v>
      </c>
      <c r="N310" s="3">
        <f t="shared" si="292"/>
        <v>2.431738437774953E-2</v>
      </c>
      <c r="O310" s="3">
        <f t="shared" si="292"/>
        <v>2.4317384375552295E-2</v>
      </c>
      <c r="P310" s="3">
        <f t="shared" si="292"/>
        <v>2.431738435357992E-2</v>
      </c>
      <c r="Q310" s="3">
        <f t="shared" si="292"/>
        <v>2.4317384133856184E-2</v>
      </c>
      <c r="R310" s="3">
        <f t="shared" si="292"/>
        <v>2.4317381936618917E-2</v>
      </c>
      <c r="S310" s="3">
        <f t="shared" si="292"/>
        <v>2.4317359964257171E-2</v>
      </c>
      <c r="T310" s="3">
        <f t="shared" si="292"/>
        <v>2.431714024173165E-2</v>
      </c>
      <c r="U310" s="3">
        <f t="shared" si="292"/>
        <v>2.4314943125666639E-2</v>
      </c>
      <c r="V310" s="3">
        <f t="shared" si="292"/>
        <v>2.42929828803869E-2</v>
      </c>
      <c r="W310" s="3">
        <f t="shared" si="292"/>
        <v>2.407446832420582E-2</v>
      </c>
      <c r="X310" s="3">
        <f t="shared" si="292"/>
        <v>2.1994561612077239E-2</v>
      </c>
      <c r="Y310" s="3">
        <f t="shared" si="292"/>
        <v>8.9104854513940256E-3</v>
      </c>
      <c r="Z310" s="3">
        <f t="shared" si="292"/>
        <v>1.0611136907109666E-6</v>
      </c>
      <c r="AA310" s="3">
        <f t="shared" si="292"/>
        <v>6.0864974275497566E-46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1.4702506077869741E-2</v>
      </c>
      <c r="C311" s="3">
        <f t="shared" si="293"/>
        <v>1.4702506077869741E-2</v>
      </c>
      <c r="D311" s="3">
        <f t="shared" si="293"/>
        <v>1.4702506077869741E-2</v>
      </c>
      <c r="E311" s="3">
        <f t="shared" si="293"/>
        <v>1.4702506077869741E-2</v>
      </c>
      <c r="F311" s="3">
        <f t="shared" si="293"/>
        <v>1.4702506077869741E-2</v>
      </c>
      <c r="G311" s="3">
        <f t="shared" si="293"/>
        <v>1.4702506077869741E-2</v>
      </c>
      <c r="H311" s="3">
        <f t="shared" si="293"/>
        <v>1.4702506077869741E-2</v>
      </c>
      <c r="I311" s="3">
        <f t="shared" si="293"/>
        <v>1.4702506077869741E-2</v>
      </c>
      <c r="J311" s="3">
        <f t="shared" si="293"/>
        <v>1.4702506077869739E-2</v>
      </c>
      <c r="K311" s="3">
        <f t="shared" si="293"/>
        <v>1.4702506077869727E-2</v>
      </c>
      <c r="L311" s="3">
        <f t="shared" si="293"/>
        <v>1.4702506077869593E-2</v>
      </c>
      <c r="M311" s="3">
        <f t="shared" si="293"/>
        <v>1.4702506077868265E-2</v>
      </c>
      <c r="N311" s="3">
        <f t="shared" si="293"/>
        <v>1.470250607785498E-2</v>
      </c>
      <c r="O311" s="3">
        <f t="shared" si="293"/>
        <v>1.4702506077722133E-2</v>
      </c>
      <c r="P311" s="3">
        <f t="shared" si="293"/>
        <v>1.4702506076393665E-2</v>
      </c>
      <c r="Q311" s="3">
        <f t="shared" si="293"/>
        <v>1.4702506063108972E-2</v>
      </c>
      <c r="R311" s="3">
        <f t="shared" si="293"/>
        <v>1.4702505930262054E-2</v>
      </c>
      <c r="S311" s="3">
        <f t="shared" si="293"/>
        <v>1.4702504601792933E-2</v>
      </c>
      <c r="T311" s="3">
        <f t="shared" si="293"/>
        <v>1.4702491317108317E-2</v>
      </c>
      <c r="U311" s="3">
        <f t="shared" si="293"/>
        <v>1.4702358470922366E-2</v>
      </c>
      <c r="V311" s="3">
        <f t="shared" si="293"/>
        <v>1.470103007508022E-2</v>
      </c>
      <c r="W311" s="3">
        <f t="shared" si="293"/>
        <v>1.4687752716188404E-2</v>
      </c>
      <c r="X311" s="3">
        <f t="shared" si="293"/>
        <v>1.4555636879204607E-2</v>
      </c>
      <c r="Y311" s="3">
        <f t="shared" si="293"/>
        <v>1.3298106850434484E-2</v>
      </c>
      <c r="Z311" s="3">
        <f t="shared" si="293"/>
        <v>5.3873584621398074E-3</v>
      </c>
      <c r="AA311" s="3">
        <f t="shared" si="293"/>
        <v>6.4155874021990338E-7</v>
      </c>
      <c r="AB311" s="3">
        <f t="shared" si="293"/>
        <v>3.6799502788001755E-46</v>
      </c>
      <c r="AC311" s="3">
        <f t="shared" si="293"/>
        <v>0</v>
      </c>
      <c r="AD311" s="3">
        <f t="shared" si="293"/>
        <v>0</v>
      </c>
      <c r="AE311" s="3">
        <f t="shared" si="293"/>
        <v>0</v>
      </c>
      <c r="AF311" s="3">
        <f t="shared" si="293"/>
        <v>0</v>
      </c>
      <c r="AG311" s="3"/>
      <c r="AH311" s="3"/>
    </row>
    <row r="312" spans="1:34" x14ac:dyDescent="0.25">
      <c r="B312" s="3">
        <f t="shared" ref="B312:AF312" si="294">$C42*EXP(-B$285/$A42/EXP(-$F$126))</f>
        <v>6.4612477485621166E-3</v>
      </c>
      <c r="C312" s="3">
        <f t="shared" si="294"/>
        <v>6.4612477485621166E-3</v>
      </c>
      <c r="D312" s="3">
        <f t="shared" si="294"/>
        <v>6.4612477485621166E-3</v>
      </c>
      <c r="E312" s="3">
        <f t="shared" si="294"/>
        <v>6.4612477485621166E-3</v>
      </c>
      <c r="F312" s="3">
        <f t="shared" si="294"/>
        <v>6.4612477485621166E-3</v>
      </c>
      <c r="G312" s="3">
        <f t="shared" si="294"/>
        <v>6.4612477485621166E-3</v>
      </c>
      <c r="H312" s="3">
        <f t="shared" si="294"/>
        <v>6.4612477485621166E-3</v>
      </c>
      <c r="I312" s="3">
        <f t="shared" si="294"/>
        <v>6.4612477485621166E-3</v>
      </c>
      <c r="J312" s="3">
        <f t="shared" si="294"/>
        <v>6.4612477485621166E-3</v>
      </c>
      <c r="K312" s="3">
        <f t="shared" si="294"/>
        <v>6.4612477485621158E-3</v>
      </c>
      <c r="L312" s="3">
        <f t="shared" si="294"/>
        <v>6.4612477485621106E-3</v>
      </c>
      <c r="M312" s="3">
        <f t="shared" si="294"/>
        <v>6.4612477485620524E-3</v>
      </c>
      <c r="N312" s="3">
        <f t="shared" si="294"/>
        <v>6.4612477485614678E-3</v>
      </c>
      <c r="O312" s="3">
        <f t="shared" si="294"/>
        <v>6.4612477485556296E-3</v>
      </c>
      <c r="P312" s="3">
        <f t="shared" si="294"/>
        <v>6.4612477484972484E-3</v>
      </c>
      <c r="Q312" s="3">
        <f t="shared" si="294"/>
        <v>6.4612477479134315E-3</v>
      </c>
      <c r="R312" s="3">
        <f t="shared" si="294"/>
        <v>6.4612477420752639E-3</v>
      </c>
      <c r="S312" s="3">
        <f t="shared" si="294"/>
        <v>6.4612476836935946E-3</v>
      </c>
      <c r="T312" s="3">
        <f t="shared" si="294"/>
        <v>6.461247099876926E-3</v>
      </c>
      <c r="U312" s="3">
        <f t="shared" si="294"/>
        <v>6.4612412617131394E-3</v>
      </c>
      <c r="V312" s="3">
        <f t="shared" si="294"/>
        <v>6.4611828803654058E-3</v>
      </c>
      <c r="W312" s="3">
        <f t="shared" si="294"/>
        <v>6.4605990959004447E-3</v>
      </c>
      <c r="X312" s="3">
        <f t="shared" si="294"/>
        <v>6.4547641515180221E-3</v>
      </c>
      <c r="Y312" s="3">
        <f t="shared" si="294"/>
        <v>6.3967037671359434E-3</v>
      </c>
      <c r="Z312" s="3">
        <f t="shared" si="294"/>
        <v>5.8440623994598364E-3</v>
      </c>
      <c r="AA312" s="3">
        <f t="shared" si="294"/>
        <v>2.3675594861064268E-3</v>
      </c>
      <c r="AB312" s="3">
        <f t="shared" si="294"/>
        <v>2.8194308806004662E-7</v>
      </c>
      <c r="AC312" s="3">
        <f t="shared" si="294"/>
        <v>1.6172120812456246E-46</v>
      </c>
      <c r="AD312" s="3">
        <f t="shared" si="294"/>
        <v>0</v>
      </c>
      <c r="AE312" s="3">
        <f t="shared" si="294"/>
        <v>0</v>
      </c>
      <c r="AF312" s="3">
        <f t="shared" si="294"/>
        <v>0</v>
      </c>
      <c r="AG312" s="3"/>
      <c r="AH312" s="3"/>
    </row>
    <row r="313" spans="1:34" x14ac:dyDescent="0.25">
      <c r="B313" s="3">
        <f t="shared" ref="B313:AF313" si="295">$C43*EXP(-B$285/$A43/EXP(-$F$126))</f>
        <v>3.1609965695272944E-3</v>
      </c>
      <c r="C313" s="3">
        <f t="shared" si="295"/>
        <v>3.1609965695272944E-3</v>
      </c>
      <c r="D313" s="3">
        <f t="shared" si="295"/>
        <v>3.1609965695272944E-3</v>
      </c>
      <c r="E313" s="3">
        <f t="shared" si="295"/>
        <v>3.1609965695272944E-3</v>
      </c>
      <c r="F313" s="3">
        <f t="shared" si="295"/>
        <v>3.1609965695272944E-3</v>
      </c>
      <c r="G313" s="3">
        <f t="shared" si="295"/>
        <v>3.1609965695272944E-3</v>
      </c>
      <c r="H313" s="3">
        <f t="shared" si="295"/>
        <v>3.1609965695272944E-3</v>
      </c>
      <c r="I313" s="3">
        <f t="shared" si="295"/>
        <v>3.1609965695272944E-3</v>
      </c>
      <c r="J313" s="3">
        <f t="shared" si="295"/>
        <v>3.1609965695272944E-3</v>
      </c>
      <c r="K313" s="3">
        <f t="shared" si="295"/>
        <v>3.1609965695272944E-3</v>
      </c>
      <c r="L313" s="3">
        <f t="shared" si="295"/>
        <v>3.1609965695272939E-3</v>
      </c>
      <c r="M313" s="3">
        <f t="shared" si="295"/>
        <v>3.1609965695272913E-3</v>
      </c>
      <c r="N313" s="3">
        <f t="shared" si="295"/>
        <v>3.1609965695272627E-3</v>
      </c>
      <c r="O313" s="3">
        <f t="shared" si="295"/>
        <v>3.1609965695269769E-3</v>
      </c>
      <c r="P313" s="3">
        <f t="shared" si="295"/>
        <v>3.1609965695241207E-3</v>
      </c>
      <c r="Q313" s="3">
        <f t="shared" si="295"/>
        <v>3.1609965694955589E-3</v>
      </c>
      <c r="R313" s="3">
        <f t="shared" si="295"/>
        <v>3.1609965692099423E-3</v>
      </c>
      <c r="S313" s="3">
        <f t="shared" si="295"/>
        <v>3.1609965663537713E-3</v>
      </c>
      <c r="T313" s="3">
        <f t="shared" si="295"/>
        <v>3.1609965377920658E-3</v>
      </c>
      <c r="U313" s="3">
        <f t="shared" si="295"/>
        <v>3.160996252175021E-3</v>
      </c>
      <c r="V313" s="3">
        <f t="shared" si="295"/>
        <v>3.1609933960059927E-3</v>
      </c>
      <c r="W313" s="3">
        <f t="shared" si="295"/>
        <v>3.1609648344576523E-3</v>
      </c>
      <c r="X313" s="3">
        <f t="shared" si="295"/>
        <v>3.1606792331677937E-3</v>
      </c>
      <c r="Y313" s="3">
        <f t="shared" si="295"/>
        <v>3.1578246391491191E-3</v>
      </c>
      <c r="Z313" s="3">
        <f t="shared" si="295"/>
        <v>3.1294201137386786E-3</v>
      </c>
      <c r="AA313" s="3">
        <f t="shared" si="295"/>
        <v>2.8590547701729868E-3</v>
      </c>
      <c r="AB313" s="3">
        <f t="shared" si="295"/>
        <v>1.1582665926097124E-3</v>
      </c>
      <c r="AC313" s="3">
        <f t="shared" si="295"/>
        <v>1.379332860836471E-7</v>
      </c>
      <c r="AD313" s="3">
        <f t="shared" si="295"/>
        <v>7.9117873821710954E-47</v>
      </c>
      <c r="AE313" s="3">
        <f t="shared" si="295"/>
        <v>0</v>
      </c>
      <c r="AF313" s="3">
        <f t="shared" si="295"/>
        <v>0</v>
      </c>
      <c r="AG313" s="3"/>
      <c r="AH313" s="3"/>
    </row>
    <row r="314" spans="1:34" x14ac:dyDescent="0.25">
      <c r="B314" s="3">
        <f t="shared" ref="B314:AF314" si="296">$C44*EXP(-B$285/$A44/EXP(-$F$126))</f>
        <v>2.6462780139571542E-3</v>
      </c>
      <c r="C314" s="3">
        <f t="shared" si="296"/>
        <v>2.6462780139571542E-3</v>
      </c>
      <c r="D314" s="3">
        <f t="shared" si="296"/>
        <v>2.6462780139571542E-3</v>
      </c>
      <c r="E314" s="3">
        <f t="shared" si="296"/>
        <v>2.6462780139571542E-3</v>
      </c>
      <c r="F314" s="3">
        <f t="shared" si="296"/>
        <v>2.6462780139571542E-3</v>
      </c>
      <c r="G314" s="3">
        <f t="shared" si="296"/>
        <v>2.6462780139571542E-3</v>
      </c>
      <c r="H314" s="3">
        <f t="shared" si="296"/>
        <v>2.6462780139571542E-3</v>
      </c>
      <c r="I314" s="3">
        <f t="shared" si="296"/>
        <v>2.6462780139571542E-3</v>
      </c>
      <c r="J314" s="3">
        <f t="shared" si="296"/>
        <v>2.6462780139571542E-3</v>
      </c>
      <c r="K314" s="3">
        <f t="shared" si="296"/>
        <v>2.6462780139571542E-3</v>
      </c>
      <c r="L314" s="3">
        <f t="shared" si="296"/>
        <v>2.6462780139571542E-3</v>
      </c>
      <c r="M314" s="3">
        <f t="shared" si="296"/>
        <v>2.6462780139571537E-3</v>
      </c>
      <c r="N314" s="3">
        <f t="shared" si="296"/>
        <v>2.6462780139571516E-3</v>
      </c>
      <c r="O314" s="3">
        <f t="shared" si="296"/>
        <v>2.6462780139571277E-3</v>
      </c>
      <c r="P314" s="3">
        <f t="shared" si="296"/>
        <v>2.6462780139568888E-3</v>
      </c>
      <c r="Q314" s="3">
        <f t="shared" si="296"/>
        <v>2.6462780139544975E-3</v>
      </c>
      <c r="R314" s="3">
        <f t="shared" si="296"/>
        <v>2.6462780139305865E-3</v>
      </c>
      <c r="S314" s="3">
        <f t="shared" si="296"/>
        <v>2.6462780136914778E-3</v>
      </c>
      <c r="T314" s="3">
        <f t="shared" si="296"/>
        <v>2.6462780113003896E-3</v>
      </c>
      <c r="U314" s="3">
        <f t="shared" si="296"/>
        <v>2.6462779873895081E-3</v>
      </c>
      <c r="V314" s="3">
        <f t="shared" si="296"/>
        <v>2.646277748280705E-3</v>
      </c>
      <c r="W314" s="3">
        <f t="shared" si="296"/>
        <v>2.6462753571938639E-3</v>
      </c>
      <c r="X314" s="3">
        <f t="shared" si="296"/>
        <v>2.6462514464442775E-3</v>
      </c>
      <c r="Y314" s="3">
        <f t="shared" si="296"/>
        <v>2.6460123508307621E-3</v>
      </c>
      <c r="Z314" s="3">
        <f t="shared" si="296"/>
        <v>2.6436225825332525E-3</v>
      </c>
      <c r="AA314" s="3">
        <f t="shared" si="296"/>
        <v>2.6198432871631923E-3</v>
      </c>
      <c r="AB314" s="3">
        <f t="shared" si="296"/>
        <v>2.3935026858126333E-3</v>
      </c>
      <c r="AC314" s="3">
        <f t="shared" si="296"/>
        <v>9.6966110241065973E-4</v>
      </c>
      <c r="AD314" s="3">
        <f t="shared" si="296"/>
        <v>1.1547302071593276E-7</v>
      </c>
      <c r="AE314" s="3">
        <f t="shared" si="296"/>
        <v>6.623477292692524E-47</v>
      </c>
      <c r="AF314" s="3">
        <f t="shared" si="296"/>
        <v>0</v>
      </c>
      <c r="AG314" s="3"/>
      <c r="AH314" s="3"/>
    </row>
    <row r="315" spans="1:34" x14ac:dyDescent="0.25">
      <c r="B315" s="3">
        <f t="shared" ref="B315:AF315" si="297">$C45*EXP(-B$285/$A45/EXP(-$F$126))</f>
        <v>6.075652089661552E-5</v>
      </c>
      <c r="C315" s="3">
        <f t="shared" si="297"/>
        <v>6.075652089661552E-5</v>
      </c>
      <c r="D315" s="3">
        <f t="shared" si="297"/>
        <v>6.075652089661552E-5</v>
      </c>
      <c r="E315" s="3">
        <f t="shared" si="297"/>
        <v>6.075652089661552E-5</v>
      </c>
      <c r="F315" s="3">
        <f t="shared" si="297"/>
        <v>6.075652089661552E-5</v>
      </c>
      <c r="G315" s="3">
        <f t="shared" si="297"/>
        <v>6.075652089661552E-5</v>
      </c>
      <c r="H315" s="3">
        <f t="shared" si="297"/>
        <v>6.075652089661552E-5</v>
      </c>
      <c r="I315" s="3">
        <f t="shared" si="297"/>
        <v>6.075652089661552E-5</v>
      </c>
      <c r="J315" s="3">
        <f t="shared" si="297"/>
        <v>6.075652089661552E-5</v>
      </c>
      <c r="K315" s="3">
        <f t="shared" si="297"/>
        <v>6.075652089661552E-5</v>
      </c>
      <c r="L315" s="3">
        <f t="shared" si="297"/>
        <v>6.075652089661552E-5</v>
      </c>
      <c r="M315" s="3">
        <f t="shared" si="297"/>
        <v>6.075652089661552E-5</v>
      </c>
      <c r="N315" s="3">
        <f t="shared" si="297"/>
        <v>6.0756520896615513E-5</v>
      </c>
      <c r="O315" s="3">
        <f t="shared" si="297"/>
        <v>6.0756520896615459E-5</v>
      </c>
      <c r="P315" s="3">
        <f t="shared" si="297"/>
        <v>6.075652089661491E-5</v>
      </c>
      <c r="Q315" s="3">
        <f t="shared" si="297"/>
        <v>6.0756520896609421E-5</v>
      </c>
      <c r="R315" s="3">
        <f t="shared" si="297"/>
        <v>6.075652089655452E-5</v>
      </c>
      <c r="S315" s="3">
        <f t="shared" si="297"/>
        <v>6.0756520896005548E-5</v>
      </c>
      <c r="T315" s="3">
        <f t="shared" si="297"/>
        <v>6.0756520890515792E-5</v>
      </c>
      <c r="U315" s="3">
        <f t="shared" si="297"/>
        <v>6.0756520835618231E-5</v>
      </c>
      <c r="V315" s="3">
        <f t="shared" si="297"/>
        <v>6.0756520286642673E-5</v>
      </c>
      <c r="W315" s="3">
        <f t="shared" si="297"/>
        <v>6.0756514796887287E-5</v>
      </c>
      <c r="X315" s="3">
        <f t="shared" si="297"/>
        <v>6.0756459899360686E-5</v>
      </c>
      <c r="Y315" s="3">
        <f t="shared" si="297"/>
        <v>6.0755910926822942E-5</v>
      </c>
      <c r="Z315" s="3">
        <f t="shared" si="297"/>
        <v>6.0750421474255141E-5</v>
      </c>
      <c r="AA315" s="3">
        <f t="shared" si="297"/>
        <v>6.0695554220421679E-5</v>
      </c>
      <c r="AB315" s="3">
        <f t="shared" si="297"/>
        <v>6.0149599771026006E-5</v>
      </c>
      <c r="AC315" s="3">
        <f t="shared" si="297"/>
        <v>5.4952992535059903E-5</v>
      </c>
      <c r="AD315" s="3">
        <f t="shared" si="297"/>
        <v>2.2262677889671783E-5</v>
      </c>
      <c r="AE315" s="3">
        <f t="shared" si="297"/>
        <v>2.6511723103619745E-9</v>
      </c>
      <c r="AF315" s="3">
        <f t="shared" si="297"/>
        <v>1.5206997693336361E-48</v>
      </c>
      <c r="AG315" s="3"/>
      <c r="AH315" s="3"/>
    </row>
    <row r="316" spans="1:34" x14ac:dyDescent="0.25">
      <c r="B316" s="3">
        <f t="shared" ref="B316:AF316" si="298">$C46*EXP(-B$285/$A46/EXP(-$F$126))</f>
        <v>1.7765171530370429E-3</v>
      </c>
      <c r="C316" s="3">
        <f t="shared" si="298"/>
        <v>1.7765171530370429E-3</v>
      </c>
      <c r="D316" s="3">
        <f t="shared" si="298"/>
        <v>1.7765171530370429E-3</v>
      </c>
      <c r="E316" s="3">
        <f t="shared" si="298"/>
        <v>1.7765171530370429E-3</v>
      </c>
      <c r="F316" s="3">
        <f t="shared" si="298"/>
        <v>1.7765171530370429E-3</v>
      </c>
      <c r="G316" s="3">
        <f t="shared" si="298"/>
        <v>1.7765171530370429E-3</v>
      </c>
      <c r="H316" s="3">
        <f t="shared" si="298"/>
        <v>1.7765171530370429E-3</v>
      </c>
      <c r="I316" s="3">
        <f t="shared" si="298"/>
        <v>1.7765171530370429E-3</v>
      </c>
      <c r="J316" s="3">
        <f t="shared" si="298"/>
        <v>1.7765171530370429E-3</v>
      </c>
      <c r="K316" s="3">
        <f t="shared" si="298"/>
        <v>1.7765171530370429E-3</v>
      </c>
      <c r="L316" s="3">
        <f t="shared" si="298"/>
        <v>1.7765171530370429E-3</v>
      </c>
      <c r="M316" s="3">
        <f t="shared" si="298"/>
        <v>1.7765171530370429E-3</v>
      </c>
      <c r="N316" s="3">
        <f t="shared" si="298"/>
        <v>1.7765171530370429E-3</v>
      </c>
      <c r="O316" s="3">
        <f t="shared" si="298"/>
        <v>1.7765171530370427E-3</v>
      </c>
      <c r="P316" s="3">
        <f t="shared" si="298"/>
        <v>1.7765171530370412E-3</v>
      </c>
      <c r="Q316" s="3">
        <f t="shared" si="298"/>
        <v>1.7765171530370251E-3</v>
      </c>
      <c r="R316" s="3">
        <f t="shared" si="298"/>
        <v>1.7765171530368647E-3</v>
      </c>
      <c r="S316" s="3">
        <f t="shared" si="298"/>
        <v>1.7765171530352594E-3</v>
      </c>
      <c r="T316" s="3">
        <f t="shared" si="298"/>
        <v>1.7765171530192074E-3</v>
      </c>
      <c r="U316" s="3">
        <f t="shared" si="298"/>
        <v>1.7765171528586873E-3</v>
      </c>
      <c r="V316" s="3">
        <f t="shared" si="298"/>
        <v>1.7765171512534857E-3</v>
      </c>
      <c r="W316" s="3">
        <f t="shared" si="298"/>
        <v>1.7765171352014722E-3</v>
      </c>
      <c r="X316" s="3">
        <f t="shared" si="298"/>
        <v>1.7765169746813425E-3</v>
      </c>
      <c r="Y316" s="3">
        <f t="shared" si="298"/>
        <v>1.7765153694808435E-3</v>
      </c>
      <c r="Z316" s="3">
        <f t="shared" si="298"/>
        <v>1.7764993175556269E-3</v>
      </c>
      <c r="AA316" s="3">
        <f t="shared" si="298"/>
        <v>1.7763388062803998E-3</v>
      </c>
      <c r="AB316" s="3">
        <f t="shared" si="298"/>
        <v>1.7747344909552836E-3</v>
      </c>
      <c r="AC316" s="3">
        <f t="shared" si="298"/>
        <v>1.7587708144673111E-3</v>
      </c>
      <c r="AD316" s="3">
        <f t="shared" si="298"/>
        <v>1.6068223197863976E-3</v>
      </c>
      <c r="AE316" s="3">
        <f t="shared" si="298"/>
        <v>6.5095941241993653E-4</v>
      </c>
      <c r="AF316" s="3">
        <f t="shared" si="298"/>
        <v>7.7520124844364802E-8</v>
      </c>
      <c r="AG316" s="3"/>
      <c r="AH316" s="3"/>
    </row>
    <row r="317" spans="1:34" x14ac:dyDescent="0.25">
      <c r="B317" s="3">
        <f t="shared" ref="B317:AF317" si="299">$C47*EXP(-B$285/$A47/EXP(-$F$126))</f>
        <v>1.0980455611403293E-3</v>
      </c>
      <c r="C317" s="3">
        <f t="shared" si="299"/>
        <v>1.0980455611403293E-3</v>
      </c>
      <c r="D317" s="3">
        <f t="shared" si="299"/>
        <v>1.0980455611403293E-3</v>
      </c>
      <c r="E317" s="3">
        <f t="shared" si="299"/>
        <v>1.0980455611403293E-3</v>
      </c>
      <c r="F317" s="3">
        <f t="shared" si="299"/>
        <v>1.0980455611403293E-3</v>
      </c>
      <c r="G317" s="3">
        <f t="shared" si="299"/>
        <v>1.0980455611403293E-3</v>
      </c>
      <c r="H317" s="3">
        <f t="shared" si="299"/>
        <v>1.0980455611403293E-3</v>
      </c>
      <c r="I317" s="3">
        <f t="shared" si="299"/>
        <v>1.0980455611403293E-3</v>
      </c>
      <c r="J317" s="3">
        <f t="shared" si="299"/>
        <v>1.0980455611403293E-3</v>
      </c>
      <c r="K317" s="3">
        <f t="shared" si="299"/>
        <v>1.0980455611403293E-3</v>
      </c>
      <c r="L317" s="3">
        <f t="shared" si="299"/>
        <v>1.0980455611403293E-3</v>
      </c>
      <c r="M317" s="3">
        <f t="shared" si="299"/>
        <v>1.0980455611403293E-3</v>
      </c>
      <c r="N317" s="3">
        <f t="shared" si="299"/>
        <v>1.0980455611403293E-3</v>
      </c>
      <c r="O317" s="3">
        <f t="shared" si="299"/>
        <v>1.0980455611403293E-3</v>
      </c>
      <c r="P317" s="3">
        <f t="shared" si="299"/>
        <v>1.098045561140329E-3</v>
      </c>
      <c r="Q317" s="3">
        <f t="shared" si="299"/>
        <v>1.0980455611403282E-3</v>
      </c>
      <c r="R317" s="3">
        <f t="shared" si="299"/>
        <v>1.0980455611403182E-3</v>
      </c>
      <c r="S317" s="3">
        <f t="shared" si="299"/>
        <v>1.0980455611402191E-3</v>
      </c>
      <c r="T317" s="3">
        <f t="shared" si="299"/>
        <v>1.0980455611392268E-3</v>
      </c>
      <c r="U317" s="3">
        <f t="shared" si="299"/>
        <v>1.0980455611293053E-3</v>
      </c>
      <c r="V317" s="3">
        <f t="shared" si="299"/>
        <v>1.0980455610300895E-3</v>
      </c>
      <c r="W317" s="3">
        <f t="shared" si="299"/>
        <v>1.0980455600379324E-3</v>
      </c>
      <c r="X317" s="3">
        <f t="shared" si="299"/>
        <v>1.0980455501163606E-3</v>
      </c>
      <c r="Y317" s="3">
        <f t="shared" si="299"/>
        <v>1.0980454509006477E-3</v>
      </c>
      <c r="Z317" s="3">
        <f t="shared" si="299"/>
        <v>1.0980444587440116E-3</v>
      </c>
      <c r="AA317" s="3">
        <f t="shared" si="299"/>
        <v>1.0980345372269568E-3</v>
      </c>
      <c r="AB317" s="3">
        <f t="shared" si="299"/>
        <v>1.0979353269868672E-3</v>
      </c>
      <c r="AC317" s="3">
        <f t="shared" si="299"/>
        <v>1.0969437174668569E-3</v>
      </c>
      <c r="AD317" s="3">
        <f t="shared" si="299"/>
        <v>1.0870767459731498E-3</v>
      </c>
      <c r="AE317" s="3">
        <f t="shared" si="299"/>
        <v>9.9315906562815544E-4</v>
      </c>
      <c r="AF317" s="3">
        <f t="shared" si="299"/>
        <v>4.0235079749625365E-4</v>
      </c>
      <c r="AG317" s="3"/>
      <c r="AH317" s="3"/>
    </row>
    <row r="318" spans="1:34" x14ac:dyDescent="0.25">
      <c r="B318" s="3">
        <f t="shared" ref="B318:AF318" si="300">$C48*EXP(-B$285/$A48/EXP(-$F$126))</f>
        <v>1.9170213005477699E-3</v>
      </c>
      <c r="C318" s="3">
        <f t="shared" si="300"/>
        <v>1.9170213005477699E-3</v>
      </c>
      <c r="D318" s="3">
        <f t="shared" si="300"/>
        <v>1.9170213005477699E-3</v>
      </c>
      <c r="E318" s="3">
        <f t="shared" si="300"/>
        <v>1.9170213005477699E-3</v>
      </c>
      <c r="F318" s="3">
        <f t="shared" si="300"/>
        <v>1.9170213005477699E-3</v>
      </c>
      <c r="G318" s="3">
        <f t="shared" si="300"/>
        <v>1.9170213005477699E-3</v>
      </c>
      <c r="H318" s="3">
        <f t="shared" si="300"/>
        <v>1.9170213005477699E-3</v>
      </c>
      <c r="I318" s="3">
        <f t="shared" si="300"/>
        <v>1.9170213005477699E-3</v>
      </c>
      <c r="J318" s="3">
        <f t="shared" si="300"/>
        <v>1.9170213005477699E-3</v>
      </c>
      <c r="K318" s="3">
        <f t="shared" si="300"/>
        <v>1.9170213005477699E-3</v>
      </c>
      <c r="L318" s="3">
        <f t="shared" si="300"/>
        <v>1.9170213005477699E-3</v>
      </c>
      <c r="M318" s="3">
        <f t="shared" si="300"/>
        <v>1.9170213005477699E-3</v>
      </c>
      <c r="N318" s="3">
        <f t="shared" si="300"/>
        <v>1.9170213005477699E-3</v>
      </c>
      <c r="O318" s="3">
        <f t="shared" si="300"/>
        <v>1.9170213005477699E-3</v>
      </c>
      <c r="P318" s="3">
        <f t="shared" si="300"/>
        <v>1.9170213005477699E-3</v>
      </c>
      <c r="Q318" s="3">
        <f t="shared" si="300"/>
        <v>1.9170213005477697E-3</v>
      </c>
      <c r="R318" s="3">
        <f t="shared" si="300"/>
        <v>1.917021300547768E-3</v>
      </c>
      <c r="S318" s="3">
        <f t="shared" si="300"/>
        <v>1.9170213005477508E-3</v>
      </c>
      <c r="T318" s="3">
        <f t="shared" si="300"/>
        <v>1.9170213005475776E-3</v>
      </c>
      <c r="U318" s="3">
        <f t="shared" si="300"/>
        <v>1.9170213005458452E-3</v>
      </c>
      <c r="V318" s="3">
        <f t="shared" si="300"/>
        <v>1.9170213005285238E-3</v>
      </c>
      <c r="W318" s="3">
        <f t="shared" si="300"/>
        <v>1.9170213003553082E-3</v>
      </c>
      <c r="X318" s="3">
        <f t="shared" si="300"/>
        <v>1.9170212986231519E-3</v>
      </c>
      <c r="Y318" s="3">
        <f t="shared" si="300"/>
        <v>1.9170212813015898E-3</v>
      </c>
      <c r="Z318" s="3">
        <f t="shared" si="300"/>
        <v>1.9170211080859769E-3</v>
      </c>
      <c r="AA318" s="3">
        <f t="shared" si="300"/>
        <v>1.9170193759307072E-3</v>
      </c>
      <c r="AB318" s="3">
        <f t="shared" si="300"/>
        <v>1.9170020544640935E-3</v>
      </c>
      <c r="AC318" s="3">
        <f t="shared" si="300"/>
        <v>1.9168288484057887E-3</v>
      </c>
      <c r="AD318" s="3">
        <f t="shared" si="300"/>
        <v>1.9150976483181422E-3</v>
      </c>
      <c r="AE318" s="3">
        <f t="shared" si="300"/>
        <v>1.8978714099954896E-3</v>
      </c>
      <c r="AF318" s="3">
        <f t="shared" si="300"/>
        <v>1.7339053596865978E-3</v>
      </c>
      <c r="AG318" s="3"/>
      <c r="AH318" s="3"/>
    </row>
    <row r="319" spans="1:34" x14ac:dyDescent="0.25">
      <c r="A319" s="79">
        <f>AVERAGE(B319:AF319)</f>
        <v>9.4124221064800187E-4</v>
      </c>
      <c r="B319" s="80">
        <f>IF($A$64&lt;=B285,IF($B$64&gt;=B285,ABS((B287-B286)/B286),0),0)</f>
        <v>6.262918277680384E-3</v>
      </c>
      <c r="C319" s="80">
        <f t="shared" ref="C319:AF319" si="301">IF($A$64&lt;=C285,IF($B$64&gt;=C285,ABS((C287-C286)/C286),0),0)</f>
        <v>8.2500567566559449E-3</v>
      </c>
      <c r="D319" s="80">
        <f t="shared" si="301"/>
        <v>2.2920328686408258E-3</v>
      </c>
      <c r="E319" s="80">
        <f t="shared" si="301"/>
        <v>3.3540985362622179E-4</v>
      </c>
      <c r="F319" s="80">
        <f t="shared" si="301"/>
        <v>1.0530346224015669E-4</v>
      </c>
      <c r="G319" s="80">
        <f t="shared" si="301"/>
        <v>3.876316916748122E-5</v>
      </c>
      <c r="H319" s="80">
        <f t="shared" si="301"/>
        <v>7.3447027771377784E-5</v>
      </c>
      <c r="I319" s="80">
        <f t="shared" si="301"/>
        <v>1.5243591470888566E-5</v>
      </c>
      <c r="J319" s="80">
        <f t="shared" si="301"/>
        <v>2.3804889118993964E-4</v>
      </c>
      <c r="K319" s="80">
        <f t="shared" si="301"/>
        <v>2.444854070187256E-4</v>
      </c>
      <c r="L319" s="80">
        <f t="shared" si="301"/>
        <v>6.447763203588252E-4</v>
      </c>
      <c r="M319" s="80">
        <f t="shared" si="301"/>
        <v>7.9707578514349434E-4</v>
      </c>
      <c r="N319" s="80">
        <f t="shared" si="301"/>
        <v>1.1849560013426365E-3</v>
      </c>
      <c r="O319" s="80">
        <f t="shared" si="301"/>
        <v>1.1444301444923819E-3</v>
      </c>
      <c r="P319" s="80">
        <f t="shared" si="301"/>
        <v>1.2229809100230582E-3</v>
      </c>
      <c r="Q319" s="80">
        <f t="shared" si="301"/>
        <v>8.2608184201685782E-4</v>
      </c>
      <c r="R319" s="80">
        <f t="shared" si="301"/>
        <v>9.1112063538495533E-4</v>
      </c>
      <c r="S319" s="80">
        <f t="shared" si="301"/>
        <v>1.1131094981601672E-4</v>
      </c>
      <c r="T319" s="80">
        <f t="shared" si="301"/>
        <v>6.6453208206163766E-4</v>
      </c>
      <c r="U319" s="80">
        <f t="shared" si="301"/>
        <v>2.0840261051557028E-4</v>
      </c>
      <c r="V319" s="80">
        <f t="shared" si="301"/>
        <v>5.214790570038857E-4</v>
      </c>
      <c r="W319" s="80">
        <f t="shared" si="301"/>
        <v>3.9377564964862132E-4</v>
      </c>
      <c r="X319" s="80">
        <f t="shared" si="301"/>
        <v>7.9566085573451342E-4</v>
      </c>
      <c r="Y319" s="80">
        <f t="shared" si="301"/>
        <v>6.1966042576723621E-4</v>
      </c>
      <c r="Z319" s="80">
        <f t="shared" si="301"/>
        <v>4.2715113999846645E-4</v>
      </c>
      <c r="AA319" s="80">
        <f t="shared" si="301"/>
        <v>3.0259653358442293E-4</v>
      </c>
      <c r="AB319" s="80">
        <f t="shared" si="301"/>
        <v>8.8025907295289908E-5</v>
      </c>
      <c r="AC319" s="80">
        <f t="shared" si="301"/>
        <v>1.9801301548501567E-4</v>
      </c>
      <c r="AD319" s="80">
        <f t="shared" si="301"/>
        <v>5.9321573359910775E-5</v>
      </c>
      <c r="AE319" s="80">
        <f t="shared" si="301"/>
        <v>1.3917405977908028E-4</v>
      </c>
      <c r="AF319" s="80">
        <f t="shared" si="301"/>
        <v>6.2273725814239689E-5</v>
      </c>
    </row>
    <row r="320" spans="1:34" x14ac:dyDescent="0.25">
      <c r="B320" s="21">
        <f>(B287-B286)^2</f>
        <v>4287.577751730345</v>
      </c>
      <c r="C320" s="21">
        <f t="shared" ref="C320:AF320" si="302">(C287-C286)^2</f>
        <v>7104.6074834978681</v>
      </c>
      <c r="D320" s="21">
        <f t="shared" si="302"/>
        <v>524.38431401352727</v>
      </c>
      <c r="E320" s="21">
        <f t="shared" si="302"/>
        <v>10.674101838332067</v>
      </c>
      <c r="F320" s="21">
        <f t="shared" si="302"/>
        <v>0.99784648493343642</v>
      </c>
      <c r="G320" s="21">
        <f t="shared" si="302"/>
        <v>0.12785136987827447</v>
      </c>
      <c r="H320" s="21">
        <f t="shared" si="302"/>
        <v>0.43536603503677007</v>
      </c>
      <c r="I320" s="21">
        <f t="shared" si="302"/>
        <v>1.7468363316800746E-2</v>
      </c>
      <c r="J320" s="21">
        <f t="shared" si="302"/>
        <v>3.9214627377531155</v>
      </c>
      <c r="K320" s="21">
        <f t="shared" si="302"/>
        <v>3.7955791974687907</v>
      </c>
      <c r="L320" s="21">
        <f t="shared" si="302"/>
        <v>24.536683690434383</v>
      </c>
      <c r="M320" s="21">
        <f t="shared" si="302"/>
        <v>34.82744056636357</v>
      </c>
      <c r="N320" s="21">
        <f t="shared" si="302"/>
        <v>71.426156684874385</v>
      </c>
      <c r="O320" s="21">
        <f t="shared" si="302"/>
        <v>61.360981604596439</v>
      </c>
      <c r="P320" s="21">
        <f t="shared" si="302"/>
        <v>64.612664620177782</v>
      </c>
      <c r="Q320" s="21">
        <f t="shared" si="302"/>
        <v>26.392932740607353</v>
      </c>
      <c r="R320" s="21">
        <f t="shared" si="302"/>
        <v>26.882673650989215</v>
      </c>
      <c r="S320" s="21">
        <f t="shared" si="302"/>
        <v>0.28114013587324016</v>
      </c>
      <c r="T320" s="21">
        <f t="shared" si="302"/>
        <v>6.2047701737337553</v>
      </c>
      <c r="U320" s="21">
        <f t="shared" si="302"/>
        <v>0.36522772849270968</v>
      </c>
      <c r="V320" s="21">
        <f t="shared" si="302"/>
        <v>1.3257230115407974</v>
      </c>
      <c r="W320" s="21">
        <f t="shared" si="302"/>
        <v>0.39900182474388418</v>
      </c>
      <c r="X320" s="21">
        <f t="shared" si="302"/>
        <v>0.79896922243038149</v>
      </c>
      <c r="Y320" s="21">
        <f t="shared" si="302"/>
        <v>0.23407143966860802</v>
      </c>
      <c r="Z320" s="21">
        <f t="shared" si="302"/>
        <v>6.1804174933567928E-2</v>
      </c>
      <c r="AA320" s="21">
        <f t="shared" si="302"/>
        <v>2.0871992360624172E-2</v>
      </c>
      <c r="AB320" s="21">
        <f t="shared" si="302"/>
        <v>1.4215200383857671E-3</v>
      </c>
      <c r="AC320" s="21">
        <f t="shared" si="302"/>
        <v>6.2312333206630734E-3</v>
      </c>
      <c r="AD320" s="21">
        <f t="shared" si="302"/>
        <v>5.2229200686480857E-4</v>
      </c>
      <c r="AE320" s="21">
        <f t="shared" si="302"/>
        <v>2.6934118324812213E-3</v>
      </c>
      <c r="AF320" s="21">
        <f t="shared" si="302"/>
        <v>4.9380129989703894E-4</v>
      </c>
      <c r="AG320" s="3"/>
      <c r="AH320" s="3"/>
    </row>
    <row r="321" spans="1:34" x14ac:dyDescent="0.25">
      <c r="A321" s="71">
        <f>SUM(B321:AF321)</f>
        <v>12256.281700788784</v>
      </c>
      <c r="B321" s="60">
        <f>IF($A$64&lt;=B285,IF($B$64&gt;=B285,ABS(B320),0),0)</f>
        <v>4287.577751730345</v>
      </c>
      <c r="C321" s="60">
        <f t="shared" ref="C321" si="303">IF($A$64&lt;=C285,IF($B$64&gt;=C285,ABS(C320),0),0)</f>
        <v>7104.6074834978681</v>
      </c>
      <c r="D321" s="60">
        <f t="shared" ref="D321" si="304">IF($A$64&lt;=D285,IF($B$64&gt;=D285,ABS(D320),0),0)</f>
        <v>524.38431401352727</v>
      </c>
      <c r="E321" s="60">
        <f t="shared" ref="E321" si="305">IF($A$64&lt;=E285,IF($B$64&gt;=E285,ABS(E320),0),0)</f>
        <v>10.674101838332067</v>
      </c>
      <c r="F321" s="60">
        <f t="shared" ref="F321" si="306">IF($A$64&lt;=F285,IF($B$64&gt;=F285,ABS(F320),0),0)</f>
        <v>0.99784648493343642</v>
      </c>
      <c r="G321" s="60">
        <f t="shared" ref="G321" si="307">IF($A$64&lt;=G285,IF($B$64&gt;=G285,ABS(G320),0),0)</f>
        <v>0.12785136987827447</v>
      </c>
      <c r="H321" s="60">
        <f t="shared" ref="H321" si="308">IF($A$64&lt;=H285,IF($B$64&gt;=H285,ABS(H320),0),0)</f>
        <v>0.43536603503677007</v>
      </c>
      <c r="I321" s="60">
        <f t="shared" ref="I321" si="309">IF($A$64&lt;=I285,IF($B$64&gt;=I285,ABS(I320),0),0)</f>
        <v>1.7468363316800746E-2</v>
      </c>
      <c r="J321" s="60">
        <f t="shared" ref="J321" si="310">IF($A$64&lt;=J285,IF($B$64&gt;=J285,ABS(J320),0),0)</f>
        <v>3.9214627377531155</v>
      </c>
      <c r="K321" s="60">
        <f t="shared" ref="K321" si="311">IF($A$64&lt;=K285,IF($B$64&gt;=K285,ABS(K320),0),0)</f>
        <v>3.7955791974687907</v>
      </c>
      <c r="L321" s="60">
        <f t="shared" ref="L321" si="312">IF($A$64&lt;=L285,IF($B$64&gt;=L285,ABS(L320),0),0)</f>
        <v>24.536683690434383</v>
      </c>
      <c r="M321" s="60">
        <f t="shared" ref="M321" si="313">IF($A$64&lt;=M285,IF($B$64&gt;=M285,ABS(M320),0),0)</f>
        <v>34.82744056636357</v>
      </c>
      <c r="N321" s="60">
        <f t="shared" ref="N321" si="314">IF($A$64&lt;=N285,IF($B$64&gt;=N285,ABS(N320),0),0)</f>
        <v>71.426156684874385</v>
      </c>
      <c r="O321" s="60">
        <f t="shared" ref="O321" si="315">IF($A$64&lt;=O285,IF($B$64&gt;=O285,ABS(O320),0),0)</f>
        <v>61.360981604596439</v>
      </c>
      <c r="P321" s="60">
        <f t="shared" ref="P321" si="316">IF($A$64&lt;=P285,IF($B$64&gt;=P285,ABS(P320),0),0)</f>
        <v>64.612664620177782</v>
      </c>
      <c r="Q321" s="60">
        <f t="shared" ref="Q321" si="317">IF($A$64&lt;=Q285,IF($B$64&gt;=Q285,ABS(Q320),0),0)</f>
        <v>26.392932740607353</v>
      </c>
      <c r="R321" s="60">
        <f t="shared" ref="R321" si="318">IF($A$64&lt;=R285,IF($B$64&gt;=R285,ABS(R320),0),0)</f>
        <v>26.882673650989215</v>
      </c>
      <c r="S321" s="60">
        <f t="shared" ref="S321" si="319">IF($A$64&lt;=S285,IF($B$64&gt;=S285,ABS(S320),0),0)</f>
        <v>0.28114013587324016</v>
      </c>
      <c r="T321" s="60">
        <f t="shared" ref="T321" si="320">IF($A$64&lt;=T285,IF($B$64&gt;=T285,ABS(T320),0),0)</f>
        <v>6.2047701737337553</v>
      </c>
      <c r="U321" s="60">
        <f t="shared" ref="U321" si="321">IF($A$64&lt;=U285,IF($B$64&gt;=U285,ABS(U320),0),0)</f>
        <v>0.36522772849270968</v>
      </c>
      <c r="V321" s="60">
        <f t="shared" ref="V321" si="322">IF($A$64&lt;=V285,IF($B$64&gt;=V285,ABS(V320),0),0)</f>
        <v>1.3257230115407974</v>
      </c>
      <c r="W321" s="60">
        <f t="shared" ref="W321" si="323">IF($A$64&lt;=W285,IF($B$64&gt;=W285,ABS(W320),0),0)</f>
        <v>0.39900182474388418</v>
      </c>
      <c r="X321" s="60">
        <f t="shared" ref="X321" si="324">IF($A$64&lt;=X285,IF($B$64&gt;=X285,ABS(X320),0),0)</f>
        <v>0.79896922243038149</v>
      </c>
      <c r="Y321" s="60">
        <f t="shared" ref="Y321" si="325">IF($A$64&lt;=Y285,IF($B$64&gt;=Y285,ABS(Y320),0),0)</f>
        <v>0.23407143966860802</v>
      </c>
      <c r="Z321" s="60">
        <f t="shared" ref="Z321" si="326">IF($A$64&lt;=Z285,IF($B$64&gt;=Z285,ABS(Z320),0),0)</f>
        <v>6.1804174933567928E-2</v>
      </c>
      <c r="AA321" s="60">
        <f t="shared" ref="AA321" si="327">IF($A$64&lt;=AA285,IF($B$64&gt;=AA285,ABS(AA320),0),0)</f>
        <v>2.0871992360624172E-2</v>
      </c>
      <c r="AB321" s="60">
        <f t="shared" ref="AB321" si="328">IF($A$64&lt;=AB285,IF($B$64&gt;=AB285,ABS(AB320),0),0)</f>
        <v>1.4215200383857671E-3</v>
      </c>
      <c r="AC321" s="60">
        <f t="shared" ref="AC321" si="329">IF($A$64&lt;=AC285,IF($B$64&gt;=AC285,ABS(AC320),0),0)</f>
        <v>6.2312333206630734E-3</v>
      </c>
      <c r="AD321" s="60">
        <f t="shared" ref="AD321" si="330">IF($A$64&lt;=AD285,IF($B$64&gt;=AD285,ABS(AD320),0),0)</f>
        <v>5.2229200686480857E-4</v>
      </c>
      <c r="AE321" s="60">
        <f t="shared" ref="AE321" si="331">IF($A$64&lt;=AE285,IF($B$64&gt;=AE285,ABS(AE320),0),0)</f>
        <v>2.6934118324812213E-3</v>
      </c>
      <c r="AF321" s="60">
        <f t="shared" ref="AF321" si="332">IF($A$64&lt;=AF285,IF($B$64&gt;=AF285,ABS(AF320),0),0)</f>
        <v>4.9380129989703894E-4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9923.3040386958091</v>
      </c>
      <c r="C326" s="27">
        <f t="shared" ref="C326:AF326" si="333">($C$17+SUM(C327:C357))*$B$51</f>
        <v>9704.0225611369424</v>
      </c>
      <c r="D326" s="27">
        <f t="shared" si="333"/>
        <v>9438.5503038282841</v>
      </c>
      <c r="E326" s="27">
        <f t="shared" si="333"/>
        <v>9178.4584481417223</v>
      </c>
      <c r="F326" s="27">
        <f t="shared" si="333"/>
        <v>8933.3195758723978</v>
      </c>
      <c r="G326" s="27">
        <f t="shared" si="333"/>
        <v>8603.8671615842522</v>
      </c>
      <c r="H326" s="27">
        <f t="shared" si="333"/>
        <v>8245.7661207615256</v>
      </c>
      <c r="I326" s="27">
        <f t="shared" si="333"/>
        <v>7904.2733325649306</v>
      </c>
      <c r="J326" s="27">
        <f t="shared" si="333"/>
        <v>7622.9358394199662</v>
      </c>
      <c r="K326" s="27">
        <f t="shared" si="333"/>
        <v>7354.2593662499503</v>
      </c>
      <c r="L326" s="27">
        <f t="shared" si="333"/>
        <v>7064.0070746980809</v>
      </c>
      <c r="M326" s="27">
        <f t="shared" si="333"/>
        <v>6802.28222149456</v>
      </c>
      <c r="N326" s="27">
        <f t="shared" si="333"/>
        <v>6498.618317868767</v>
      </c>
      <c r="O326" s="27">
        <f t="shared" si="333"/>
        <v>6153.0391506091264</v>
      </c>
      <c r="P326" s="27">
        <f t="shared" si="333"/>
        <v>5529.0415170540791</v>
      </c>
      <c r="Q326" s="27">
        <f t="shared" si="333"/>
        <v>4574.7749562829667</v>
      </c>
      <c r="R326" s="27">
        <f t="shared" si="333"/>
        <v>3590.8555983217479</v>
      </c>
      <c r="S326" s="27">
        <f t="shared" si="333"/>
        <v>2781.5571927163837</v>
      </c>
      <c r="T326" s="27">
        <f t="shared" si="333"/>
        <v>2099.931632206929</v>
      </c>
      <c r="U326" s="27">
        <f t="shared" si="333"/>
        <v>1535.1168049880782</v>
      </c>
      <c r="V326" s="27">
        <f t="shared" si="333"/>
        <v>1033.5713804025092</v>
      </c>
      <c r="W326" s="27">
        <f t="shared" si="333"/>
        <v>731.08749570635564</v>
      </c>
      <c r="X326" s="27">
        <f t="shared" si="333"/>
        <v>553.3197607029341</v>
      </c>
      <c r="Y326" s="27">
        <f t="shared" si="333"/>
        <v>464.55985969261053</v>
      </c>
      <c r="Z326" s="27">
        <f t="shared" si="333"/>
        <v>421.53844906146389</v>
      </c>
      <c r="AA326" s="27">
        <f t="shared" si="333"/>
        <v>393.95379259019791</v>
      </c>
      <c r="AB326" s="27">
        <f t="shared" si="333"/>
        <v>384.16872126680988</v>
      </c>
      <c r="AC326" s="27">
        <f t="shared" si="333"/>
        <v>369.16089580408698</v>
      </c>
      <c r="AD326" s="27">
        <f t="shared" si="333"/>
        <v>353.95944380725064</v>
      </c>
      <c r="AE326" s="27">
        <f t="shared" si="333"/>
        <v>337.22001183608683</v>
      </c>
      <c r="AF326" s="27">
        <f t="shared" si="333"/>
        <v>332.44913668110644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7.3935584903839788E-4</v>
      </c>
      <c r="C328" s="3">
        <f t="shared" si="335"/>
        <v>4.2324002937927977E-19</v>
      </c>
      <c r="D328" s="3">
        <f t="shared" si="335"/>
        <v>1.5992595958228975E-171</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1.2443673399426534E-2</v>
      </c>
      <c r="C329" s="3">
        <f t="shared" si="336"/>
        <v>5.2477040823124225E-4</v>
      </c>
      <c r="D329" s="3">
        <f t="shared" si="336"/>
        <v>9.3363402344774231E-18</v>
      </c>
      <c r="E329" s="3">
        <f t="shared" si="336"/>
        <v>2.9665385497600761E-155</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2.3706976469857192E-2</v>
      </c>
      <c r="C330" s="3">
        <f t="shared" si="337"/>
        <v>1.781728800163904E-2</v>
      </c>
      <c r="D330" s="3">
        <f t="shared" si="337"/>
        <v>1.024462142251248E-3</v>
      </c>
      <c r="E330" s="3">
        <f t="shared" si="337"/>
        <v>4.0461227646437676E-16</v>
      </c>
      <c r="F330" s="3">
        <f t="shared" si="337"/>
        <v>3.7365471820895862E-140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2.4548779165468864E-2</v>
      </c>
      <c r="C331" s="3">
        <f t="shared" si="338"/>
        <v>2.3924394174015647E-2</v>
      </c>
      <c r="D331" s="3">
        <f t="shared" si="338"/>
        <v>1.8490618982010678E-2</v>
      </c>
      <c r="E331" s="3">
        <f t="shared" si="338"/>
        <v>1.4062303088141538E-3</v>
      </c>
      <c r="F331" s="3">
        <f t="shared" si="338"/>
        <v>9.1013643284015336E-15</v>
      </c>
      <c r="G331" s="3">
        <f t="shared" si="338"/>
        <v>1.173834727045088E-126</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1.9763611913025263E-2</v>
      </c>
      <c r="C332" s="3">
        <f t="shared" si="339"/>
        <v>1.9717732974866998E-2</v>
      </c>
      <c r="D332" s="3">
        <f t="shared" si="339"/>
        <v>1.92647606340654E-2</v>
      </c>
      <c r="E332" s="3">
        <f t="shared" si="339"/>
        <v>1.5269681565035376E-2</v>
      </c>
      <c r="F332" s="3">
        <f t="shared" si="339"/>
        <v>1.4944920575914653E-3</v>
      </c>
      <c r="G332" s="3">
        <f t="shared" si="339"/>
        <v>1.2053964867373376E-13</v>
      </c>
      <c r="H332" s="3">
        <f t="shared" si="339"/>
        <v>1.4044071157059918E-114</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3.0447157470501439E-2</v>
      </c>
      <c r="C333" s="3">
        <f t="shared" si="340"/>
        <v>3.0440774844004571E-2</v>
      </c>
      <c r="D333" s="3">
        <f t="shared" si="340"/>
        <v>3.0377022122097107E-2</v>
      </c>
      <c r="E333" s="3">
        <f t="shared" si="340"/>
        <v>2.9746792479496218E-2</v>
      </c>
      <c r="F333" s="3">
        <f t="shared" si="340"/>
        <v>2.4120683292745065E-2</v>
      </c>
      <c r="G333" s="3">
        <f t="shared" si="340"/>
        <v>2.9640411782947155E-3</v>
      </c>
      <c r="H333" s="3">
        <f t="shared" si="340"/>
        <v>2.3271827949498465E-12</v>
      </c>
      <c r="I333" s="3">
        <f t="shared" si="340"/>
        <v>2.0715391425350758E-103</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3.3440360153295726E-2</v>
      </c>
      <c r="C334" s="3">
        <f t="shared" si="341"/>
        <v>3.3439727724505458E-2</v>
      </c>
      <c r="D334" s="3">
        <f t="shared" si="341"/>
        <v>3.3433404094397448E-2</v>
      </c>
      <c r="E334" s="3">
        <f t="shared" si="341"/>
        <v>3.337023352678075E-2</v>
      </c>
      <c r="F334" s="3">
        <f t="shared" si="341"/>
        <v>3.274505543134431E-2</v>
      </c>
      <c r="G334" s="3">
        <f t="shared" si="341"/>
        <v>2.7102575978237019E-2</v>
      </c>
      <c r="H334" s="3">
        <f t="shared" si="341"/>
        <v>4.0893942019498003E-3</v>
      </c>
      <c r="I334" s="3">
        <f t="shared" si="341"/>
        <v>2.5011690160812305E-11</v>
      </c>
      <c r="J334" s="3">
        <f t="shared" si="341"/>
        <v>1.8322455353418244E-93</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3.2526061239070876E-2</v>
      </c>
      <c r="C335" s="3">
        <f t="shared" si="342"/>
        <v>3.252600574807888E-2</v>
      </c>
      <c r="D335" s="3">
        <f t="shared" si="342"/>
        <v>3.2525450843365736E-2</v>
      </c>
      <c r="E335" s="3">
        <f t="shared" si="342"/>
        <v>3.2519902316885146E-2</v>
      </c>
      <c r="F335" s="3">
        <f t="shared" si="342"/>
        <v>3.246446908431054E-2</v>
      </c>
      <c r="G335" s="3">
        <f t="shared" si="342"/>
        <v>3.1915307286323372E-2</v>
      </c>
      <c r="H335" s="3">
        <f t="shared" si="342"/>
        <v>2.6909540598017669E-2</v>
      </c>
      <c r="I335" s="3">
        <f t="shared" si="342"/>
        <v>4.8862852462063684E-3</v>
      </c>
      <c r="J335" s="3">
        <f t="shared" si="342"/>
        <v>1.9041630893122108E-10</v>
      </c>
      <c r="K335" s="3">
        <f t="shared" si="342"/>
        <v>1.5380037893734226E-84</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2.4652945817169009E-2</v>
      </c>
      <c r="C336" s="3">
        <f t="shared" si="343"/>
        <v>2.4652942023086575E-2</v>
      </c>
      <c r="D336" s="3">
        <f t="shared" si="343"/>
        <v>2.4652904082294359E-2</v>
      </c>
      <c r="E336" s="3">
        <f t="shared" si="343"/>
        <v>2.4652524677583651E-2</v>
      </c>
      <c r="F336" s="3">
        <f t="shared" si="343"/>
        <v>2.464873095160593E-2</v>
      </c>
      <c r="G336" s="3">
        <f t="shared" si="343"/>
        <v>2.4610825786484453E-2</v>
      </c>
      <c r="H336" s="3">
        <f t="shared" si="343"/>
        <v>2.4234965400201196E-2</v>
      </c>
      <c r="I336" s="3">
        <f t="shared" si="343"/>
        <v>2.0778040217565543E-2</v>
      </c>
      <c r="J336" s="3">
        <f t="shared" si="343"/>
        <v>4.4588859880224686E-3</v>
      </c>
      <c r="K336" s="3">
        <f t="shared" si="343"/>
        <v>9.2351556570712964E-10</v>
      </c>
      <c r="L336" s="3">
        <f t="shared" si="343"/>
        <v>1.3415990445727183E-76</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2.4121212086786404E-2</v>
      </c>
      <c r="C337" s="3">
        <f t="shared" si="344"/>
        <v>2.4121211751910662E-2</v>
      </c>
      <c r="D337" s="3">
        <f t="shared" si="344"/>
        <v>2.4121208403153491E-2</v>
      </c>
      <c r="E337" s="3">
        <f t="shared" si="344"/>
        <v>2.4121174915607342E-2</v>
      </c>
      <c r="F337" s="3">
        <f t="shared" si="344"/>
        <v>2.4120840042702867E-2</v>
      </c>
      <c r="G337" s="3">
        <f t="shared" si="344"/>
        <v>2.411749156934364E-2</v>
      </c>
      <c r="H337" s="3">
        <f t="shared" si="344"/>
        <v>2.4084032391176003E-2</v>
      </c>
      <c r="I337" s="3">
        <f t="shared" si="344"/>
        <v>2.3751983073453782E-2</v>
      </c>
      <c r="J337" s="3">
        <f t="shared" si="344"/>
        <v>2.0673147332091531E-2</v>
      </c>
      <c r="K337" s="3">
        <f t="shared" si="344"/>
        <v>5.15791102609709E-3</v>
      </c>
      <c r="L337" s="3">
        <f t="shared" si="344"/>
        <v>4.8211019088285367E-9</v>
      </c>
      <c r="M337" s="3">
        <f t="shared" si="344"/>
        <v>2.4539797017881694E-69</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2.8520624543344732E-2</v>
      </c>
      <c r="C338" s="3">
        <f t="shared" si="345"/>
        <v>2.8520624507626477E-2</v>
      </c>
      <c r="D338" s="3">
        <f t="shared" si="345"/>
        <v>2.8520624150443968E-2</v>
      </c>
      <c r="E338" s="3">
        <f t="shared" si="345"/>
        <v>2.8520620578619114E-2</v>
      </c>
      <c r="F338" s="3">
        <f t="shared" si="345"/>
        <v>2.8520584860395187E-2</v>
      </c>
      <c r="G338" s="3">
        <f t="shared" si="345"/>
        <v>2.8520227680616152E-2</v>
      </c>
      <c r="H338" s="3">
        <f t="shared" si="345"/>
        <v>2.8516656128840887E-2</v>
      </c>
      <c r="I338" s="3">
        <f t="shared" si="345"/>
        <v>2.8480965201197198E-2</v>
      </c>
      <c r="J338" s="3">
        <f t="shared" si="345"/>
        <v>2.8126503579280496E-2</v>
      </c>
      <c r="K338" s="3">
        <f t="shared" si="345"/>
        <v>2.4815681006536385E-2</v>
      </c>
      <c r="L338" s="3">
        <f t="shared" si="345"/>
        <v>7.093012007840716E-3</v>
      </c>
      <c r="M338" s="3">
        <f t="shared" si="345"/>
        <v>2.581521029094883E-8</v>
      </c>
      <c r="N338" s="3">
        <f t="shared" si="345"/>
        <v>1.0527503345341481E-62</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2.1063488813143235E-2</v>
      </c>
      <c r="C339" s="3">
        <f t="shared" si="346"/>
        <v>2.1063488810763614E-2</v>
      </c>
      <c r="D339" s="3">
        <f t="shared" si="346"/>
        <v>2.1063488786967389E-2</v>
      </c>
      <c r="E339" s="3">
        <f t="shared" si="346"/>
        <v>2.1063488549005145E-2</v>
      </c>
      <c r="F339" s="3">
        <f t="shared" si="346"/>
        <v>2.1063486169382882E-2</v>
      </c>
      <c r="G339" s="3">
        <f t="shared" si="346"/>
        <v>2.106346237317501E-2</v>
      </c>
      <c r="H339" s="3">
        <f t="shared" si="346"/>
        <v>2.1063224412574875E-2</v>
      </c>
      <c r="I339" s="3">
        <f t="shared" si="346"/>
        <v>2.1060844954425922E-2</v>
      </c>
      <c r="J339" s="3">
        <f t="shared" si="346"/>
        <v>2.1037065151996017E-2</v>
      </c>
      <c r="K339" s="3">
        <f t="shared" si="346"/>
        <v>2.0800738874589955E-2</v>
      </c>
      <c r="L339" s="3">
        <f t="shared" si="346"/>
        <v>1.8578680361021681E-2</v>
      </c>
      <c r="M339" s="3">
        <f t="shared" si="346"/>
        <v>6.003104060289967E-3</v>
      </c>
      <c r="N339" s="3">
        <f t="shared" si="346"/>
        <v>7.4470789669776964E-8</v>
      </c>
      <c r="O339" s="3">
        <f t="shared" si="346"/>
        <v>6.4281622878095391E-57</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3.1092599466726697E-2</v>
      </c>
      <c r="C340" s="3">
        <f t="shared" si="347"/>
        <v>3.1092599466409829E-2</v>
      </c>
      <c r="D340" s="3">
        <f t="shared" si="347"/>
        <v>3.1092599463241125E-2</v>
      </c>
      <c r="E340" s="3">
        <f t="shared" si="347"/>
        <v>3.1092599431554107E-2</v>
      </c>
      <c r="F340" s="3">
        <f t="shared" si="347"/>
        <v>3.1092599114683931E-2</v>
      </c>
      <c r="G340" s="3">
        <f t="shared" si="347"/>
        <v>3.1092595945982324E-2</v>
      </c>
      <c r="H340" s="3">
        <f t="shared" si="347"/>
        <v>3.1092564258984046E-2</v>
      </c>
      <c r="I340" s="3">
        <f t="shared" si="347"/>
        <v>3.1092247390777348E-2</v>
      </c>
      <c r="J340" s="3">
        <f t="shared" si="347"/>
        <v>3.1089078886313317E-2</v>
      </c>
      <c r="K340" s="3">
        <f t="shared" si="347"/>
        <v>3.1057411595274063E-2</v>
      </c>
      <c r="L340" s="3">
        <f t="shared" si="347"/>
        <v>3.0742507368781619E-2</v>
      </c>
      <c r="M340" s="3">
        <f t="shared" si="347"/>
        <v>2.7763842181566686E-2</v>
      </c>
      <c r="N340" s="3">
        <f t="shared" si="347"/>
        <v>1.002033819796689E-2</v>
      </c>
      <c r="O340" s="3">
        <f t="shared" si="347"/>
        <v>3.75759964541507E-7</v>
      </c>
      <c r="P340" s="3">
        <f t="shared" si="347"/>
        <v>2.0662923648733067E-51</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2.5163399986436116E-2</v>
      </c>
      <c r="C341" s="3">
        <f t="shared" si="348"/>
        <v>2.5163399986412982E-2</v>
      </c>
      <c r="D341" s="3">
        <f t="shared" si="348"/>
        <v>2.516339998618165E-2</v>
      </c>
      <c r="E341" s="3">
        <f t="shared" si="348"/>
        <v>2.5163399983868306E-2</v>
      </c>
      <c r="F341" s="3">
        <f t="shared" si="348"/>
        <v>2.5163399960734863E-2</v>
      </c>
      <c r="G341" s="3">
        <f t="shared" si="348"/>
        <v>2.5163399729400446E-2</v>
      </c>
      <c r="H341" s="3">
        <f t="shared" si="348"/>
        <v>2.5163397416056405E-2</v>
      </c>
      <c r="I341" s="3">
        <f t="shared" si="348"/>
        <v>2.5163374282627691E-2</v>
      </c>
      <c r="J341" s="3">
        <f t="shared" si="348"/>
        <v>2.5163142949510244E-2</v>
      </c>
      <c r="K341" s="3">
        <f t="shared" si="348"/>
        <v>2.516082973530117E-2</v>
      </c>
      <c r="L341" s="3">
        <f t="shared" si="348"/>
        <v>2.5137709285774027E-2</v>
      </c>
      <c r="M341" s="3">
        <f t="shared" si="348"/>
        <v>2.4907670079377858E-2</v>
      </c>
      <c r="N341" s="3">
        <f t="shared" si="348"/>
        <v>2.2719938746950216E-2</v>
      </c>
      <c r="O341" s="3">
        <f t="shared" si="348"/>
        <v>9.0604062847192638E-3</v>
      </c>
      <c r="P341" s="3">
        <f t="shared" si="348"/>
        <v>9.2162200872544761E-7</v>
      </c>
      <c r="Q341" s="3">
        <f t="shared" si="348"/>
        <v>1.0929605442209227E-46</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7.3723285891335519E-2</v>
      </c>
      <c r="C342" s="3">
        <f t="shared" si="349"/>
        <v>7.3723285891329399E-2</v>
      </c>
      <c r="D342" s="3">
        <f t="shared" si="349"/>
        <v>7.3723285891268267E-2</v>
      </c>
      <c r="E342" s="3">
        <f t="shared" si="349"/>
        <v>7.3723285890656881E-2</v>
      </c>
      <c r="F342" s="3">
        <f t="shared" si="349"/>
        <v>7.3723285884542911E-2</v>
      </c>
      <c r="G342" s="3">
        <f t="shared" si="349"/>
        <v>7.3723285823403373E-2</v>
      </c>
      <c r="H342" s="3">
        <f t="shared" si="349"/>
        <v>7.3723285212007925E-2</v>
      </c>
      <c r="I342" s="3">
        <f t="shared" si="349"/>
        <v>7.3723279098053707E-2</v>
      </c>
      <c r="J342" s="3">
        <f t="shared" si="349"/>
        <v>7.3723217958539464E-2</v>
      </c>
      <c r="K342" s="3">
        <f t="shared" si="349"/>
        <v>7.3722606566185719E-2</v>
      </c>
      <c r="L342" s="3">
        <f t="shared" si="349"/>
        <v>7.3716492921509155E-2</v>
      </c>
      <c r="M342" s="3">
        <f t="shared" si="349"/>
        <v>7.3655384352277586E-2</v>
      </c>
      <c r="N342" s="3">
        <f t="shared" si="349"/>
        <v>7.3047077878224731E-2</v>
      </c>
      <c r="O342" s="3">
        <f t="shared" si="349"/>
        <v>6.7233592949919097E-2</v>
      </c>
      <c r="P342" s="3">
        <f t="shared" si="349"/>
        <v>2.9337361420264472E-2</v>
      </c>
      <c r="Q342" s="3">
        <f t="shared" si="349"/>
        <v>7.3412220065503873E-6</v>
      </c>
      <c r="R342" s="3">
        <f t="shared" si="349"/>
        <v>7.067103054608746E-42</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9.986695082125388E-2</v>
      </c>
      <c r="C343" s="3">
        <f t="shared" si="350"/>
        <v>9.9866950821253131E-2</v>
      </c>
      <c r="D343" s="3">
        <f t="shared" si="350"/>
        <v>9.9866950821245665E-2</v>
      </c>
      <c r="E343" s="3">
        <f t="shared" si="350"/>
        <v>9.9866950821170947E-2</v>
      </c>
      <c r="F343" s="3">
        <f t="shared" si="350"/>
        <v>9.9866950820423836E-2</v>
      </c>
      <c r="G343" s="3">
        <f t="shared" si="350"/>
        <v>9.9866950812952715E-2</v>
      </c>
      <c r="H343" s="3">
        <f t="shared" si="350"/>
        <v>9.9866950738241478E-2</v>
      </c>
      <c r="I343" s="3">
        <f t="shared" si="350"/>
        <v>9.9866949991129161E-2</v>
      </c>
      <c r="J343" s="3">
        <f t="shared" si="350"/>
        <v>9.9866942520006247E-2</v>
      </c>
      <c r="K343" s="3">
        <f t="shared" si="350"/>
        <v>9.9866867808807852E-2</v>
      </c>
      <c r="L343" s="3">
        <f t="shared" si="350"/>
        <v>9.9866120699898031E-2</v>
      </c>
      <c r="M343" s="3">
        <f t="shared" si="350"/>
        <v>9.9858649918196485E-2</v>
      </c>
      <c r="N343" s="3">
        <f t="shared" si="350"/>
        <v>9.978397283235424E-2</v>
      </c>
      <c r="O343" s="3">
        <f t="shared" si="350"/>
        <v>9.9040266601860216E-2</v>
      </c>
      <c r="P343" s="3">
        <f t="shared" si="350"/>
        <v>9.1901351286812913E-2</v>
      </c>
      <c r="Q343" s="3">
        <f t="shared" si="350"/>
        <v>4.34933501618587E-2</v>
      </c>
      <c r="R343" s="3">
        <f t="shared" si="350"/>
        <v>2.4515034192297788E-5</v>
      </c>
      <c r="S343" s="3">
        <f t="shared" si="350"/>
        <v>7.9346709798218688E-38</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8.4918453398997049E-2</v>
      </c>
      <c r="C344" s="3">
        <f t="shared" si="351"/>
        <v>8.4918453398996993E-2</v>
      </c>
      <c r="D344" s="3">
        <f t="shared" si="351"/>
        <v>8.4918453398996424E-2</v>
      </c>
      <c r="E344" s="3">
        <f t="shared" si="351"/>
        <v>8.4918453398990693E-2</v>
      </c>
      <c r="F344" s="3">
        <f t="shared" si="351"/>
        <v>8.4918453398933391E-2</v>
      </c>
      <c r="G344" s="3">
        <f t="shared" si="351"/>
        <v>8.4918453398360308E-2</v>
      </c>
      <c r="H344" s="3">
        <f t="shared" si="351"/>
        <v>8.4918453392629545E-2</v>
      </c>
      <c r="I344" s="3">
        <f t="shared" si="351"/>
        <v>8.4918453335321872E-2</v>
      </c>
      <c r="J344" s="3">
        <f t="shared" si="351"/>
        <v>8.4918452762245134E-2</v>
      </c>
      <c r="K344" s="3">
        <f t="shared" si="351"/>
        <v>8.4918447031478023E-2</v>
      </c>
      <c r="L344" s="3">
        <f t="shared" si="351"/>
        <v>8.4918389723828147E-2</v>
      </c>
      <c r="M344" s="3">
        <f t="shared" si="351"/>
        <v>8.4917816649456482E-2</v>
      </c>
      <c r="N344" s="3">
        <f t="shared" si="351"/>
        <v>8.4912086118443059E-2</v>
      </c>
      <c r="O344" s="3">
        <f t="shared" si="351"/>
        <v>8.4854802073323368E-2</v>
      </c>
      <c r="P344" s="3">
        <f t="shared" si="351"/>
        <v>8.428408282335681E-2</v>
      </c>
      <c r="Q344" s="3">
        <f t="shared" si="351"/>
        <v>7.8783808135915831E-2</v>
      </c>
      <c r="R344" s="3">
        <f t="shared" si="351"/>
        <v>4.011908412373983E-2</v>
      </c>
      <c r="S344" s="3">
        <f t="shared" si="351"/>
        <v>4.7042610863554437E-5</v>
      </c>
      <c r="T344" s="3">
        <f t="shared" si="351"/>
        <v>2.3115084637283112E-34</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6.4000746285573396E-2</v>
      </c>
      <c r="C345" s="3">
        <f t="shared" si="352"/>
        <v>6.4000746285573382E-2</v>
      </c>
      <c r="D345" s="3">
        <f t="shared" si="352"/>
        <v>6.4000746285573354E-2</v>
      </c>
      <c r="E345" s="3">
        <f t="shared" si="352"/>
        <v>6.4000746285572965E-2</v>
      </c>
      <c r="F345" s="3">
        <f t="shared" si="352"/>
        <v>6.4000746285569066E-2</v>
      </c>
      <c r="G345" s="3">
        <f t="shared" si="352"/>
        <v>6.4000746285530097E-2</v>
      </c>
      <c r="H345" s="3">
        <f t="shared" si="352"/>
        <v>6.4000746285140492E-2</v>
      </c>
      <c r="I345" s="3">
        <f t="shared" si="352"/>
        <v>6.4000746281244275E-2</v>
      </c>
      <c r="J345" s="3">
        <f t="shared" si="352"/>
        <v>6.4000746242282178E-2</v>
      </c>
      <c r="K345" s="3">
        <f t="shared" si="352"/>
        <v>6.4000745852661203E-2</v>
      </c>
      <c r="L345" s="3">
        <f t="shared" si="352"/>
        <v>6.4000741956451571E-2</v>
      </c>
      <c r="M345" s="3">
        <f t="shared" si="352"/>
        <v>6.4000702994368358E-2</v>
      </c>
      <c r="N345" s="3">
        <f t="shared" si="352"/>
        <v>6.4000313374840717E-2</v>
      </c>
      <c r="O345" s="3">
        <f t="shared" si="352"/>
        <v>6.3996417310016526E-2</v>
      </c>
      <c r="P345" s="3">
        <f t="shared" si="352"/>
        <v>6.395746970405787E-2</v>
      </c>
      <c r="Q345" s="3">
        <f t="shared" si="352"/>
        <v>6.356929493983296E-2</v>
      </c>
      <c r="R345" s="3">
        <f t="shared" si="352"/>
        <v>5.981479282381149E-2</v>
      </c>
      <c r="S345" s="3">
        <f t="shared" si="352"/>
        <v>3.2540235010725366E-2</v>
      </c>
      <c r="T345" s="3">
        <f t="shared" si="352"/>
        <v>7.3882487387090154E-5</v>
      </c>
      <c r="U345" s="3">
        <f t="shared" si="352"/>
        <v>2.6899842672156623E-31</v>
      </c>
      <c r="V345" s="3">
        <f t="shared" si="352"/>
        <v>1.1011134219803106E-295</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6.4005723390096053E-2</v>
      </c>
      <c r="C346" s="3">
        <f t="shared" si="353"/>
        <v>6.4005723390096053E-2</v>
      </c>
      <c r="D346" s="3">
        <f t="shared" si="353"/>
        <v>6.4005723390096039E-2</v>
      </c>
      <c r="E346" s="3">
        <f t="shared" si="353"/>
        <v>6.4005723390096012E-2</v>
      </c>
      <c r="F346" s="3">
        <f t="shared" si="353"/>
        <v>6.4005723390095665E-2</v>
      </c>
      <c r="G346" s="3">
        <f t="shared" si="353"/>
        <v>6.400572339009214E-2</v>
      </c>
      <c r="H346" s="3">
        <f t="shared" si="353"/>
        <v>6.4005723390057001E-2</v>
      </c>
      <c r="I346" s="3">
        <f t="shared" si="353"/>
        <v>6.4005723389705491E-2</v>
      </c>
      <c r="J346" s="3">
        <f t="shared" si="353"/>
        <v>6.4005723386190524E-2</v>
      </c>
      <c r="K346" s="3">
        <f t="shared" si="353"/>
        <v>6.4005723351040739E-2</v>
      </c>
      <c r="L346" s="3">
        <f t="shared" si="353"/>
        <v>6.4005722999542866E-2</v>
      </c>
      <c r="M346" s="3">
        <f t="shared" si="353"/>
        <v>6.4005719484564308E-2</v>
      </c>
      <c r="N346" s="3">
        <f t="shared" si="353"/>
        <v>6.4005684334789384E-2</v>
      </c>
      <c r="O346" s="3">
        <f t="shared" si="353"/>
        <v>6.4005332838101697E-2</v>
      </c>
      <c r="P346" s="3">
        <f t="shared" si="353"/>
        <v>6.4001817977389491E-2</v>
      </c>
      <c r="Q346" s="3">
        <f t="shared" si="353"/>
        <v>6.3966679984563957E-2</v>
      </c>
      <c r="R346" s="3">
        <f t="shared" si="353"/>
        <v>6.3616359332404643E-2</v>
      </c>
      <c r="S346" s="3">
        <f t="shared" si="353"/>
        <v>6.0216959312459468E-2</v>
      </c>
      <c r="T346" s="3">
        <f t="shared" si="353"/>
        <v>3.4771139638017395E-2</v>
      </c>
      <c r="U346" s="3">
        <f t="shared" si="353"/>
        <v>1.4329134461693672E-4</v>
      </c>
      <c r="V346" s="3">
        <f t="shared" si="353"/>
        <v>2.0240921817786095E-28</v>
      </c>
      <c r="W346" s="3">
        <f t="shared" si="353"/>
        <v>6.4022640356842809E-267</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2.5223864108208031E-2</v>
      </c>
      <c r="C347" s="3">
        <f t="shared" si="354"/>
        <v>2.5223864108208031E-2</v>
      </c>
      <c r="D347" s="3">
        <f t="shared" si="354"/>
        <v>2.5223864108208031E-2</v>
      </c>
      <c r="E347" s="3">
        <f t="shared" si="354"/>
        <v>2.5223864108208031E-2</v>
      </c>
      <c r="F347" s="3">
        <f t="shared" si="354"/>
        <v>2.5223864108208018E-2</v>
      </c>
      <c r="G347" s="3">
        <f t="shared" si="354"/>
        <v>2.5223864108207893E-2</v>
      </c>
      <c r="H347" s="3">
        <f t="shared" si="354"/>
        <v>2.5223864108206644E-2</v>
      </c>
      <c r="I347" s="3">
        <f t="shared" si="354"/>
        <v>2.5223864108194147E-2</v>
      </c>
      <c r="J347" s="3">
        <f t="shared" si="354"/>
        <v>2.5223864108069191E-2</v>
      </c>
      <c r="K347" s="3">
        <f t="shared" si="354"/>
        <v>2.5223864106819614E-2</v>
      </c>
      <c r="L347" s="3">
        <f t="shared" si="354"/>
        <v>2.522386409432387E-2</v>
      </c>
      <c r="M347" s="3">
        <f t="shared" si="354"/>
        <v>2.522386396936644E-2</v>
      </c>
      <c r="N347" s="3">
        <f t="shared" si="354"/>
        <v>2.5223862719792156E-2</v>
      </c>
      <c r="O347" s="3">
        <f t="shared" si="354"/>
        <v>2.5223850224052692E-2</v>
      </c>
      <c r="P347" s="3">
        <f t="shared" si="354"/>
        <v>2.5223725266998561E-2</v>
      </c>
      <c r="Q347" s="3">
        <f t="shared" si="354"/>
        <v>2.5222475730503267E-2</v>
      </c>
      <c r="R347" s="3">
        <f t="shared" si="354"/>
        <v>2.5209983769528845E-2</v>
      </c>
      <c r="S347" s="3">
        <f t="shared" si="354"/>
        <v>2.5085403934528464E-2</v>
      </c>
      <c r="T347" s="3">
        <f t="shared" si="354"/>
        <v>2.3872968433089052E-2</v>
      </c>
      <c r="U347" s="3">
        <f t="shared" si="354"/>
        <v>1.4546539000429768E-2</v>
      </c>
      <c r="V347" s="3">
        <f t="shared" si="354"/>
        <v>1.0263422200112752E-4</v>
      </c>
      <c r="W347" s="3">
        <f t="shared" si="354"/>
        <v>3.1377431030657836E-26</v>
      </c>
      <c r="X347" s="3">
        <f t="shared" si="354"/>
        <v>2.2380473692586414E-241</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4.075866339585988E-2</v>
      </c>
      <c r="C348" s="3">
        <f t="shared" si="355"/>
        <v>4.075866339585988E-2</v>
      </c>
      <c r="D348" s="3">
        <f t="shared" si="355"/>
        <v>4.075866339585988E-2</v>
      </c>
      <c r="E348" s="3">
        <f t="shared" si="355"/>
        <v>4.075866339585988E-2</v>
      </c>
      <c r="F348" s="3">
        <f t="shared" si="355"/>
        <v>4.0758663395859873E-2</v>
      </c>
      <c r="G348" s="3">
        <f t="shared" si="355"/>
        <v>4.0758663395859818E-2</v>
      </c>
      <c r="H348" s="3">
        <f t="shared" si="355"/>
        <v>4.0758663395859263E-2</v>
      </c>
      <c r="I348" s="3">
        <f t="shared" si="355"/>
        <v>4.0758663395853677E-2</v>
      </c>
      <c r="J348" s="3">
        <f t="shared" si="355"/>
        <v>4.0758663395797833E-2</v>
      </c>
      <c r="K348" s="3">
        <f t="shared" si="355"/>
        <v>4.0758663395239383E-2</v>
      </c>
      <c r="L348" s="3">
        <f t="shared" si="355"/>
        <v>4.0758663389654892E-2</v>
      </c>
      <c r="M348" s="3">
        <f t="shared" si="355"/>
        <v>4.0758663333810029E-2</v>
      </c>
      <c r="N348" s="3">
        <f t="shared" si="355"/>
        <v>4.0758662775361346E-2</v>
      </c>
      <c r="O348" s="3">
        <f t="shared" si="355"/>
        <v>4.0758657190874993E-2</v>
      </c>
      <c r="P348" s="3">
        <f t="shared" si="355"/>
        <v>4.0758601346053545E-2</v>
      </c>
      <c r="Q348" s="3">
        <f t="shared" si="355"/>
        <v>4.0758042902047334E-2</v>
      </c>
      <c r="R348" s="3">
        <f t="shared" si="355"/>
        <v>4.075245888279401E-2</v>
      </c>
      <c r="S348" s="3">
        <f t="shared" si="355"/>
        <v>4.0696660749817766E-2</v>
      </c>
      <c r="T348" s="3">
        <f t="shared" si="355"/>
        <v>4.0142864131578221E-2</v>
      </c>
      <c r="U348" s="3">
        <f t="shared" si="355"/>
        <v>3.5002910034823538E-2</v>
      </c>
      <c r="V348" s="3">
        <f t="shared" si="355"/>
        <v>8.8932830382230429E-3</v>
      </c>
      <c r="W348" s="3">
        <f t="shared" si="355"/>
        <v>9.9687737857518922E-9</v>
      </c>
      <c r="X348" s="3">
        <f t="shared" si="355"/>
        <v>3.1220367185375633E-68</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2.4317384377993669E-2</v>
      </c>
      <c r="C349" s="3">
        <f t="shared" si="356"/>
        <v>2.4317384377993669E-2</v>
      </c>
      <c r="D349" s="3">
        <f t="shared" si="356"/>
        <v>2.4317384377993669E-2</v>
      </c>
      <c r="E349" s="3">
        <f t="shared" si="356"/>
        <v>2.4317384377993669E-2</v>
      </c>
      <c r="F349" s="3">
        <f t="shared" si="356"/>
        <v>2.4317384377993669E-2</v>
      </c>
      <c r="G349" s="3">
        <f t="shared" si="356"/>
        <v>2.4317384377993665E-2</v>
      </c>
      <c r="H349" s="3">
        <f t="shared" si="356"/>
        <v>2.431738437799363E-2</v>
      </c>
      <c r="I349" s="3">
        <f t="shared" si="356"/>
        <v>2.4317384377993297E-2</v>
      </c>
      <c r="J349" s="3">
        <f t="shared" si="356"/>
        <v>2.4317384377989967E-2</v>
      </c>
      <c r="K349" s="3">
        <f t="shared" si="356"/>
        <v>2.431738437795665E-2</v>
      </c>
      <c r="L349" s="3">
        <f t="shared" si="356"/>
        <v>2.4317384377623468E-2</v>
      </c>
      <c r="M349" s="3">
        <f t="shared" si="356"/>
        <v>2.4317384374291658E-2</v>
      </c>
      <c r="N349" s="3">
        <f t="shared" si="356"/>
        <v>2.4317384340973559E-2</v>
      </c>
      <c r="O349" s="3">
        <f t="shared" si="356"/>
        <v>2.4317384007792587E-2</v>
      </c>
      <c r="P349" s="3">
        <f t="shared" si="356"/>
        <v>2.4317380675983102E-2</v>
      </c>
      <c r="Q349" s="3">
        <f t="shared" si="356"/>
        <v>2.4317347357913383E-2</v>
      </c>
      <c r="R349" s="3">
        <f t="shared" si="356"/>
        <v>2.4317014179726926E-2</v>
      </c>
      <c r="S349" s="3">
        <f t="shared" si="356"/>
        <v>2.4313682648924792E-2</v>
      </c>
      <c r="T349" s="3">
        <f t="shared" si="356"/>
        <v>2.4280392434425372E-2</v>
      </c>
      <c r="U349" s="3">
        <f t="shared" si="356"/>
        <v>2.3949986966950405E-2</v>
      </c>
      <c r="V349" s="3">
        <f t="shared" si="356"/>
        <v>2.0883393780562379E-2</v>
      </c>
      <c r="W349" s="3">
        <f t="shared" si="356"/>
        <v>5.3058997524616609E-3</v>
      </c>
      <c r="X349" s="3">
        <f t="shared" si="356"/>
        <v>5.9475577393447956E-9</v>
      </c>
      <c r="Y349" s="3">
        <f t="shared" si="356"/>
        <v>1.8626657648101292E-68</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1.4702506077869741E-2</v>
      </c>
      <c r="C350" s="3">
        <f t="shared" si="357"/>
        <v>1.4702506077869741E-2</v>
      </c>
      <c r="D350" s="3">
        <f t="shared" si="357"/>
        <v>1.4702506077869741E-2</v>
      </c>
      <c r="E350" s="3">
        <f t="shared" si="357"/>
        <v>1.4702506077869741E-2</v>
      </c>
      <c r="F350" s="3">
        <f t="shared" si="357"/>
        <v>1.4702506077869741E-2</v>
      </c>
      <c r="G350" s="3">
        <f t="shared" si="357"/>
        <v>1.4702506077869741E-2</v>
      </c>
      <c r="H350" s="3">
        <f t="shared" si="357"/>
        <v>1.4702506077869739E-2</v>
      </c>
      <c r="I350" s="3">
        <f t="shared" si="357"/>
        <v>1.4702506077869718E-2</v>
      </c>
      <c r="J350" s="3">
        <f t="shared" si="357"/>
        <v>1.4702506077869517E-2</v>
      </c>
      <c r="K350" s="3">
        <f t="shared" si="357"/>
        <v>1.4702506077867503E-2</v>
      </c>
      <c r="L350" s="3">
        <f t="shared" si="357"/>
        <v>1.4702506077847359E-2</v>
      </c>
      <c r="M350" s="3">
        <f t="shared" si="357"/>
        <v>1.4702506077645915E-2</v>
      </c>
      <c r="N350" s="3">
        <f t="shared" si="357"/>
        <v>1.4702506075631472E-2</v>
      </c>
      <c r="O350" s="3">
        <f t="shared" si="357"/>
        <v>1.4702506055487055E-2</v>
      </c>
      <c r="P350" s="3">
        <f t="shared" si="357"/>
        <v>1.4702505854042886E-2</v>
      </c>
      <c r="Q350" s="3">
        <f t="shared" si="357"/>
        <v>1.4702503839601349E-2</v>
      </c>
      <c r="R350" s="3">
        <f t="shared" si="357"/>
        <v>1.4702483695201156E-2</v>
      </c>
      <c r="S350" s="3">
        <f t="shared" si="357"/>
        <v>1.470228225271724E-2</v>
      </c>
      <c r="T350" s="3">
        <f t="shared" si="357"/>
        <v>1.4700267979672674E-2</v>
      </c>
      <c r="U350" s="3">
        <f t="shared" si="357"/>
        <v>1.4680140420992709E-2</v>
      </c>
      <c r="V350" s="3">
        <f t="shared" si="357"/>
        <v>1.4480374347544933E-2</v>
      </c>
      <c r="W350" s="3">
        <f t="shared" si="357"/>
        <v>1.2626284933141236E-2</v>
      </c>
      <c r="X350" s="3">
        <f t="shared" si="357"/>
        <v>3.2079940073543147E-3</v>
      </c>
      <c r="Y350" s="3">
        <f t="shared" si="357"/>
        <v>3.5959461121292163E-9</v>
      </c>
      <c r="Z350" s="3">
        <f t="shared" si="357"/>
        <v>1.1261842269904652E-68</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6.4612477485621166E-3</v>
      </c>
      <c r="C351" s="3">
        <f t="shared" si="358"/>
        <v>6.4612477485621166E-3</v>
      </c>
      <c r="D351" s="3">
        <f t="shared" si="358"/>
        <v>6.4612477485621166E-3</v>
      </c>
      <c r="E351" s="3">
        <f t="shared" si="358"/>
        <v>6.4612477485621166E-3</v>
      </c>
      <c r="F351" s="3">
        <f t="shared" si="358"/>
        <v>6.4612477485621166E-3</v>
      </c>
      <c r="G351" s="3">
        <f t="shared" si="358"/>
        <v>6.4612477485621166E-3</v>
      </c>
      <c r="H351" s="3">
        <f t="shared" si="358"/>
        <v>6.4612477485621166E-3</v>
      </c>
      <c r="I351" s="3">
        <f t="shared" si="358"/>
        <v>6.4612477485621158E-3</v>
      </c>
      <c r="J351" s="3">
        <f t="shared" si="358"/>
        <v>6.4612477485621062E-3</v>
      </c>
      <c r="K351" s="3">
        <f t="shared" si="358"/>
        <v>6.4612477485620186E-3</v>
      </c>
      <c r="L351" s="3">
        <f t="shared" si="358"/>
        <v>6.461247748561133E-3</v>
      </c>
      <c r="M351" s="3">
        <f t="shared" si="358"/>
        <v>6.4612477485522807E-3</v>
      </c>
      <c r="N351" s="3">
        <f t="shared" si="358"/>
        <v>6.4612477484637526E-3</v>
      </c>
      <c r="O351" s="3">
        <f t="shared" si="358"/>
        <v>6.4612477475784746E-3</v>
      </c>
      <c r="P351" s="3">
        <f t="shared" si="358"/>
        <v>6.4612477387256933E-3</v>
      </c>
      <c r="Q351" s="3">
        <f t="shared" si="358"/>
        <v>6.4612476501978815E-3</v>
      </c>
      <c r="R351" s="3">
        <f t="shared" si="358"/>
        <v>6.4612467649198362E-3</v>
      </c>
      <c r="S351" s="3">
        <f t="shared" si="358"/>
        <v>6.4612379121460504E-3</v>
      </c>
      <c r="T351" s="3">
        <f t="shared" si="358"/>
        <v>6.4611493850753069E-3</v>
      </c>
      <c r="U351" s="3">
        <f t="shared" si="358"/>
        <v>6.460264181076392E-3</v>
      </c>
      <c r="V351" s="3">
        <f t="shared" si="358"/>
        <v>6.4514188085585244E-3</v>
      </c>
      <c r="W351" s="3">
        <f t="shared" si="358"/>
        <v>6.3636284627856792E-3</v>
      </c>
      <c r="X351" s="3">
        <f t="shared" si="358"/>
        <v>5.5488196818200544E-3</v>
      </c>
      <c r="Y351" s="3">
        <f t="shared" si="358"/>
        <v>1.4098034680372039E-3</v>
      </c>
      <c r="Z351" s="3">
        <f t="shared" si="358"/>
        <v>1.580295127775389E-9</v>
      </c>
      <c r="AA351" s="3">
        <f t="shared" si="358"/>
        <v>4.949193873866854E-69</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3.1609965695272944E-3</v>
      </c>
      <c r="C352" s="3">
        <f t="shared" si="359"/>
        <v>3.1609965695272944E-3</v>
      </c>
      <c r="D352" s="3">
        <f t="shared" si="359"/>
        <v>3.1609965695272944E-3</v>
      </c>
      <c r="E352" s="3">
        <f t="shared" si="359"/>
        <v>3.1609965695272944E-3</v>
      </c>
      <c r="F352" s="3">
        <f t="shared" si="359"/>
        <v>3.1609965695272944E-3</v>
      </c>
      <c r="G352" s="3">
        <f t="shared" si="359"/>
        <v>3.1609965695272944E-3</v>
      </c>
      <c r="H352" s="3">
        <f t="shared" si="359"/>
        <v>3.1609965695272944E-3</v>
      </c>
      <c r="I352" s="3">
        <f t="shared" si="359"/>
        <v>3.1609965695272944E-3</v>
      </c>
      <c r="J352" s="3">
        <f t="shared" si="359"/>
        <v>3.1609965695272939E-3</v>
      </c>
      <c r="K352" s="3">
        <f t="shared" si="359"/>
        <v>3.1609965695272896E-3</v>
      </c>
      <c r="L352" s="3">
        <f t="shared" si="359"/>
        <v>3.1609965695272462E-3</v>
      </c>
      <c r="M352" s="3">
        <f t="shared" si="359"/>
        <v>3.1609965695268134E-3</v>
      </c>
      <c r="N352" s="3">
        <f t="shared" si="359"/>
        <v>3.1609965695224822E-3</v>
      </c>
      <c r="O352" s="3">
        <f t="shared" si="359"/>
        <v>3.1609965694791723E-3</v>
      </c>
      <c r="P352" s="3">
        <f t="shared" si="359"/>
        <v>3.160996569046073E-3</v>
      </c>
      <c r="Q352" s="3">
        <f t="shared" si="359"/>
        <v>3.1609965647150812E-3</v>
      </c>
      <c r="R352" s="3">
        <f t="shared" si="359"/>
        <v>3.1609965214051635E-3</v>
      </c>
      <c r="S352" s="3">
        <f t="shared" si="359"/>
        <v>3.1609960883060202E-3</v>
      </c>
      <c r="T352" s="3">
        <f t="shared" si="359"/>
        <v>3.1609917573178492E-3</v>
      </c>
      <c r="U352" s="3">
        <f t="shared" si="359"/>
        <v>3.1609484477625096E-3</v>
      </c>
      <c r="V352" s="3">
        <f t="shared" si="359"/>
        <v>3.1605153848445113E-3</v>
      </c>
      <c r="W352" s="3">
        <f t="shared" si="359"/>
        <v>3.1561880175505715E-3</v>
      </c>
      <c r="X352" s="3">
        <f t="shared" si="359"/>
        <v>3.1132388856453083E-3</v>
      </c>
      <c r="Y352" s="3">
        <f t="shared" si="359"/>
        <v>2.7146149879583277E-3</v>
      </c>
      <c r="Z352" s="3">
        <f t="shared" si="359"/>
        <v>6.8970949568757914E-4</v>
      </c>
      <c r="AA352" s="3">
        <f t="shared" si="359"/>
        <v>7.731180837091962E-10</v>
      </c>
      <c r="AB352" s="3">
        <f t="shared" si="359"/>
        <v>2.4212637351199112E-69</v>
      </c>
      <c r="AC352" s="3">
        <f t="shared" si="359"/>
        <v>0</v>
      </c>
      <c r="AD352" s="3">
        <f t="shared" si="359"/>
        <v>0</v>
      </c>
      <c r="AE352" s="3">
        <f t="shared" si="359"/>
        <v>0</v>
      </c>
      <c r="AF352" s="3">
        <f t="shared" si="359"/>
        <v>0</v>
      </c>
      <c r="AG352" s="3"/>
      <c r="AH352" s="3"/>
    </row>
    <row r="353" spans="1:34" x14ac:dyDescent="0.25">
      <c r="B353" s="3">
        <f t="shared" ref="B353:AF353" si="360">$C44*EXP(-B$363/$A44/EXP(-$G$126))</f>
        <v>2.6462780139571542E-3</v>
      </c>
      <c r="C353" s="3">
        <f t="shared" si="360"/>
        <v>2.6462780139571542E-3</v>
      </c>
      <c r="D353" s="3">
        <f t="shared" si="360"/>
        <v>2.6462780139571542E-3</v>
      </c>
      <c r="E353" s="3">
        <f t="shared" si="360"/>
        <v>2.6462780139571542E-3</v>
      </c>
      <c r="F353" s="3">
        <f t="shared" si="360"/>
        <v>2.6462780139571542E-3</v>
      </c>
      <c r="G353" s="3">
        <f t="shared" si="360"/>
        <v>2.6462780139571542E-3</v>
      </c>
      <c r="H353" s="3">
        <f t="shared" si="360"/>
        <v>2.6462780139571542E-3</v>
      </c>
      <c r="I353" s="3">
        <f t="shared" si="360"/>
        <v>2.6462780139571542E-3</v>
      </c>
      <c r="J353" s="3">
        <f t="shared" si="360"/>
        <v>2.6462780139571542E-3</v>
      </c>
      <c r="K353" s="3">
        <f t="shared" si="360"/>
        <v>2.6462780139571537E-3</v>
      </c>
      <c r="L353" s="3">
        <f t="shared" si="360"/>
        <v>2.6462780139571503E-3</v>
      </c>
      <c r="M353" s="3">
        <f t="shared" si="360"/>
        <v>2.6462780139571138E-3</v>
      </c>
      <c r="N353" s="3">
        <f t="shared" si="360"/>
        <v>2.6462780139567513E-3</v>
      </c>
      <c r="O353" s="3">
        <f t="shared" si="360"/>
        <v>2.6462780139531257E-3</v>
      </c>
      <c r="P353" s="3">
        <f t="shared" si="360"/>
        <v>2.6462780139168678E-3</v>
      </c>
      <c r="Q353" s="3">
        <f t="shared" si="360"/>
        <v>2.646278013554292E-3</v>
      </c>
      <c r="R353" s="3">
        <f t="shared" si="360"/>
        <v>2.6462780099285343E-3</v>
      </c>
      <c r="S353" s="3">
        <f t="shared" si="360"/>
        <v>2.6462779736709553E-3</v>
      </c>
      <c r="T353" s="3">
        <f t="shared" si="360"/>
        <v>2.6462776110951929E-3</v>
      </c>
      <c r="U353" s="3">
        <f t="shared" si="360"/>
        <v>2.6462739853403009E-3</v>
      </c>
      <c r="V353" s="3">
        <f t="shared" si="360"/>
        <v>2.6462377280646065E-3</v>
      </c>
      <c r="W353" s="3">
        <f t="shared" si="360"/>
        <v>2.6458751826289027E-3</v>
      </c>
      <c r="X353" s="3">
        <f t="shared" si="360"/>
        <v>2.6422524590110838E-3</v>
      </c>
      <c r="Y353" s="3">
        <f t="shared" si="360"/>
        <v>2.60629691746602E-3</v>
      </c>
      <c r="Z353" s="3">
        <f t="shared" si="360"/>
        <v>2.2725826494860608E-3</v>
      </c>
      <c r="AA353" s="3">
        <f t="shared" si="360"/>
        <v>5.7740115634749274E-4</v>
      </c>
      <c r="AB353" s="3">
        <f t="shared" si="360"/>
        <v>6.4722796817785884E-10</v>
      </c>
      <c r="AC353" s="3">
        <f t="shared" si="360"/>
        <v>2.0269990325227632E-69</v>
      </c>
      <c r="AD353" s="3">
        <f t="shared" si="360"/>
        <v>0</v>
      </c>
      <c r="AE353" s="3">
        <f t="shared" si="360"/>
        <v>0</v>
      </c>
      <c r="AF353" s="3">
        <f t="shared" si="360"/>
        <v>0</v>
      </c>
      <c r="AG353" s="3"/>
      <c r="AH353" s="3"/>
    </row>
    <row r="354" spans="1:34" x14ac:dyDescent="0.25">
      <c r="B354" s="3">
        <f t="shared" ref="B354:AF354" si="361">$C45*EXP(-B$363/$A45/EXP(-$G$126))</f>
        <v>6.075652089661552E-5</v>
      </c>
      <c r="C354" s="3">
        <f t="shared" si="361"/>
        <v>6.075652089661552E-5</v>
      </c>
      <c r="D354" s="3">
        <f t="shared" si="361"/>
        <v>6.075652089661552E-5</v>
      </c>
      <c r="E354" s="3">
        <f t="shared" si="361"/>
        <v>6.075652089661552E-5</v>
      </c>
      <c r="F354" s="3">
        <f t="shared" si="361"/>
        <v>6.075652089661552E-5</v>
      </c>
      <c r="G354" s="3">
        <f t="shared" si="361"/>
        <v>6.075652089661552E-5</v>
      </c>
      <c r="H354" s="3">
        <f t="shared" si="361"/>
        <v>6.075652089661552E-5</v>
      </c>
      <c r="I354" s="3">
        <f t="shared" si="361"/>
        <v>6.075652089661552E-5</v>
      </c>
      <c r="J354" s="3">
        <f t="shared" si="361"/>
        <v>6.075652089661552E-5</v>
      </c>
      <c r="K354" s="3">
        <f t="shared" si="361"/>
        <v>6.075652089661552E-5</v>
      </c>
      <c r="L354" s="3">
        <f t="shared" si="361"/>
        <v>6.0756520896615513E-5</v>
      </c>
      <c r="M354" s="3">
        <f t="shared" si="361"/>
        <v>6.0756520896615425E-5</v>
      </c>
      <c r="N354" s="3">
        <f t="shared" si="361"/>
        <v>6.0756520896614598E-5</v>
      </c>
      <c r="O354" s="3">
        <f t="shared" si="361"/>
        <v>6.075652089660627E-5</v>
      </c>
      <c r="P354" s="3">
        <f t="shared" si="361"/>
        <v>6.0756520896523031E-5</v>
      </c>
      <c r="Q354" s="3">
        <f t="shared" si="361"/>
        <v>6.075652089569058E-5</v>
      </c>
      <c r="R354" s="3">
        <f t="shared" si="361"/>
        <v>6.0756520887366117E-5</v>
      </c>
      <c r="S354" s="3">
        <f t="shared" si="361"/>
        <v>6.0756520804121487E-5</v>
      </c>
      <c r="T354" s="3">
        <f t="shared" si="361"/>
        <v>6.0756519971675179E-5</v>
      </c>
      <c r="U354" s="3">
        <f t="shared" si="361"/>
        <v>6.0756511647212756E-5</v>
      </c>
      <c r="V354" s="3">
        <f t="shared" si="361"/>
        <v>6.0756428402651264E-5</v>
      </c>
      <c r="W354" s="3">
        <f t="shared" si="361"/>
        <v>6.0755595963309386E-5</v>
      </c>
      <c r="X354" s="3">
        <f t="shared" si="361"/>
        <v>6.0747272197165333E-5</v>
      </c>
      <c r="Y354" s="3">
        <f t="shared" si="361"/>
        <v>6.0664097231410491E-5</v>
      </c>
      <c r="Z354" s="3">
        <f t="shared" si="361"/>
        <v>5.9838585475007721E-5</v>
      </c>
      <c r="AA354" s="3">
        <f t="shared" si="361"/>
        <v>5.2176760908924393E-5</v>
      </c>
      <c r="AB354" s="3">
        <f t="shared" si="361"/>
        <v>1.3256689295807451E-5</v>
      </c>
      <c r="AC354" s="3">
        <f t="shared" si="361"/>
        <v>1.4859859533303281E-11</v>
      </c>
      <c r="AD354" s="3">
        <f t="shared" si="361"/>
        <v>4.653834874013456E-71</v>
      </c>
      <c r="AE354" s="3">
        <f t="shared" si="361"/>
        <v>0</v>
      </c>
      <c r="AF354" s="3">
        <f t="shared" si="361"/>
        <v>0</v>
      </c>
      <c r="AG354" s="3"/>
      <c r="AH354" s="3"/>
    </row>
    <row r="355" spans="1:34" x14ac:dyDescent="0.25">
      <c r="B355" s="3">
        <f t="shared" ref="B355:AF355" si="362">$C46*EXP(-B$363/$A46/EXP(-$G$126))</f>
        <v>1.7765171530370429E-3</v>
      </c>
      <c r="C355" s="3">
        <f t="shared" si="362"/>
        <v>1.7765171530370429E-3</v>
      </c>
      <c r="D355" s="3">
        <f t="shared" si="362"/>
        <v>1.7765171530370429E-3</v>
      </c>
      <c r="E355" s="3">
        <f t="shared" si="362"/>
        <v>1.7765171530370429E-3</v>
      </c>
      <c r="F355" s="3">
        <f t="shared" si="362"/>
        <v>1.7765171530370429E-3</v>
      </c>
      <c r="G355" s="3">
        <f t="shared" si="362"/>
        <v>1.7765171530370429E-3</v>
      </c>
      <c r="H355" s="3">
        <f t="shared" si="362"/>
        <v>1.7765171530370429E-3</v>
      </c>
      <c r="I355" s="3">
        <f t="shared" si="362"/>
        <v>1.7765171530370429E-3</v>
      </c>
      <c r="J355" s="3">
        <f t="shared" si="362"/>
        <v>1.7765171530370429E-3</v>
      </c>
      <c r="K355" s="3">
        <f t="shared" si="362"/>
        <v>1.7765171530370429E-3</v>
      </c>
      <c r="L355" s="3">
        <f t="shared" si="362"/>
        <v>1.7765171530370429E-3</v>
      </c>
      <c r="M355" s="3">
        <f t="shared" si="362"/>
        <v>1.7765171530370427E-3</v>
      </c>
      <c r="N355" s="3">
        <f t="shared" si="362"/>
        <v>1.7765171530370401E-3</v>
      </c>
      <c r="O355" s="3">
        <f t="shared" si="362"/>
        <v>1.7765171530370158E-3</v>
      </c>
      <c r="P355" s="3">
        <f t="shared" si="362"/>
        <v>1.7765171530367725E-3</v>
      </c>
      <c r="Q355" s="3">
        <f t="shared" si="362"/>
        <v>1.7765171530343385E-3</v>
      </c>
      <c r="R355" s="3">
        <f t="shared" si="362"/>
        <v>1.7765171530099977E-3</v>
      </c>
      <c r="S355" s="3">
        <f t="shared" si="362"/>
        <v>1.7765171527665909E-3</v>
      </c>
      <c r="T355" s="3">
        <f t="shared" si="362"/>
        <v>1.7765171503325227E-3</v>
      </c>
      <c r="U355" s="3">
        <f t="shared" si="362"/>
        <v>1.7765171259918409E-3</v>
      </c>
      <c r="V355" s="3">
        <f t="shared" si="362"/>
        <v>1.7765168825850416E-3</v>
      </c>
      <c r="W355" s="3">
        <f t="shared" si="362"/>
        <v>1.7765144485188838E-3</v>
      </c>
      <c r="X355" s="3">
        <f t="shared" si="362"/>
        <v>1.776490108040728E-3</v>
      </c>
      <c r="Y355" s="3">
        <f t="shared" si="362"/>
        <v>1.7762467216006462E-3</v>
      </c>
      <c r="Z355" s="3">
        <f t="shared" si="362"/>
        <v>1.7738146904180481E-3</v>
      </c>
      <c r="AA355" s="3">
        <f t="shared" si="362"/>
        <v>1.7496767744603725E-3</v>
      </c>
      <c r="AB355" s="3">
        <f t="shared" si="362"/>
        <v>1.5256454677901141E-3</v>
      </c>
      <c r="AC355" s="3">
        <f t="shared" si="362"/>
        <v>3.8762482740838447E-4</v>
      </c>
      <c r="AD355" s="3">
        <f t="shared" si="362"/>
        <v>4.3450143232452379E-10</v>
      </c>
      <c r="AE355" s="3">
        <f t="shared" si="362"/>
        <v>1.3607786224552306E-69</v>
      </c>
      <c r="AF355" s="3">
        <f t="shared" si="362"/>
        <v>0</v>
      </c>
      <c r="AG355" s="3"/>
      <c r="AH355" s="3"/>
    </row>
    <row r="356" spans="1:34" x14ac:dyDescent="0.25">
      <c r="B356" s="3">
        <f t="shared" ref="B356:AF356" si="363">$C47*EXP(-B$363/$A47/EXP(-$G$126))</f>
        <v>1.0980455611403293E-3</v>
      </c>
      <c r="C356" s="3">
        <f t="shared" si="363"/>
        <v>1.0980455611403293E-3</v>
      </c>
      <c r="D356" s="3">
        <f t="shared" si="363"/>
        <v>1.0980455611403293E-3</v>
      </c>
      <c r="E356" s="3">
        <f t="shared" si="363"/>
        <v>1.0980455611403293E-3</v>
      </c>
      <c r="F356" s="3">
        <f t="shared" si="363"/>
        <v>1.0980455611403293E-3</v>
      </c>
      <c r="G356" s="3">
        <f t="shared" si="363"/>
        <v>1.0980455611403293E-3</v>
      </c>
      <c r="H356" s="3">
        <f t="shared" si="363"/>
        <v>1.0980455611403293E-3</v>
      </c>
      <c r="I356" s="3">
        <f t="shared" si="363"/>
        <v>1.0980455611403293E-3</v>
      </c>
      <c r="J356" s="3">
        <f t="shared" si="363"/>
        <v>1.0980455611403293E-3</v>
      </c>
      <c r="K356" s="3">
        <f t="shared" si="363"/>
        <v>1.0980455611403293E-3</v>
      </c>
      <c r="L356" s="3">
        <f t="shared" si="363"/>
        <v>1.0980455611403293E-3</v>
      </c>
      <c r="M356" s="3">
        <f t="shared" si="363"/>
        <v>1.0980455611403293E-3</v>
      </c>
      <c r="N356" s="3">
        <f t="shared" si="363"/>
        <v>1.098045561140329E-3</v>
      </c>
      <c r="O356" s="3">
        <f t="shared" si="363"/>
        <v>1.0980455611403275E-3</v>
      </c>
      <c r="P356" s="3">
        <f t="shared" si="363"/>
        <v>1.0980455611403126E-3</v>
      </c>
      <c r="Q356" s="3">
        <f t="shared" si="363"/>
        <v>1.0980455611401621E-3</v>
      </c>
      <c r="R356" s="3">
        <f t="shared" si="363"/>
        <v>1.0980455611386576E-3</v>
      </c>
      <c r="S356" s="3">
        <f t="shared" si="363"/>
        <v>1.098045561123613E-3</v>
      </c>
      <c r="T356" s="3">
        <f t="shared" si="363"/>
        <v>1.0980455609731659E-3</v>
      </c>
      <c r="U356" s="3">
        <f t="shared" si="363"/>
        <v>1.0980455594686953E-3</v>
      </c>
      <c r="V356" s="3">
        <f t="shared" si="363"/>
        <v>1.0980455444239896E-3</v>
      </c>
      <c r="W356" s="3">
        <f t="shared" si="363"/>
        <v>1.098045393976945E-3</v>
      </c>
      <c r="X356" s="3">
        <f t="shared" si="363"/>
        <v>1.0980438895076324E-3</v>
      </c>
      <c r="Y356" s="3">
        <f t="shared" si="363"/>
        <v>1.0980288449278773E-3</v>
      </c>
      <c r="Z356" s="3">
        <f t="shared" si="363"/>
        <v>1.0978784104669903E-3</v>
      </c>
      <c r="AA356" s="3">
        <f t="shared" si="363"/>
        <v>1.0963751989499829E-3</v>
      </c>
      <c r="AB356" s="3">
        <f t="shared" si="363"/>
        <v>1.0814558206444071E-3</v>
      </c>
      <c r="AC356" s="3">
        <f t="shared" si="363"/>
        <v>9.4298455318425243E-4</v>
      </c>
      <c r="AD356" s="3">
        <f t="shared" si="363"/>
        <v>2.3958660933609787E-4</v>
      </c>
      <c r="AE356" s="3">
        <f t="shared" si="363"/>
        <v>2.6856051924825422E-10</v>
      </c>
      <c r="AF356" s="3">
        <f t="shared" si="363"/>
        <v>8.4108218348875226E-70</v>
      </c>
      <c r="AG356" s="3"/>
      <c r="AH356" s="3"/>
    </row>
    <row r="357" spans="1:34" x14ac:dyDescent="0.25">
      <c r="B357" s="3">
        <f t="shared" ref="B357:AF357" si="364">$C48*EXP(-B$363/$A48/EXP(-$G$126))</f>
        <v>1.9170213005477699E-3</v>
      </c>
      <c r="C357" s="3">
        <f t="shared" si="364"/>
        <v>1.9170213005477699E-3</v>
      </c>
      <c r="D357" s="3">
        <f t="shared" si="364"/>
        <v>1.9170213005477699E-3</v>
      </c>
      <c r="E357" s="3">
        <f t="shared" si="364"/>
        <v>1.9170213005477699E-3</v>
      </c>
      <c r="F357" s="3">
        <f t="shared" si="364"/>
        <v>1.9170213005477699E-3</v>
      </c>
      <c r="G357" s="3">
        <f t="shared" si="364"/>
        <v>1.9170213005477699E-3</v>
      </c>
      <c r="H357" s="3">
        <f t="shared" si="364"/>
        <v>1.9170213005477699E-3</v>
      </c>
      <c r="I357" s="3">
        <f t="shared" si="364"/>
        <v>1.9170213005477699E-3</v>
      </c>
      <c r="J357" s="3">
        <f t="shared" si="364"/>
        <v>1.9170213005477699E-3</v>
      </c>
      <c r="K357" s="3">
        <f t="shared" si="364"/>
        <v>1.9170213005477699E-3</v>
      </c>
      <c r="L357" s="3">
        <f t="shared" si="364"/>
        <v>1.9170213005477699E-3</v>
      </c>
      <c r="M357" s="3">
        <f t="shared" si="364"/>
        <v>1.9170213005477699E-3</v>
      </c>
      <c r="N357" s="3">
        <f t="shared" si="364"/>
        <v>1.9170213005477699E-3</v>
      </c>
      <c r="O357" s="3">
        <f t="shared" si="364"/>
        <v>1.9170213005477697E-3</v>
      </c>
      <c r="P357" s="3">
        <f t="shared" si="364"/>
        <v>1.9170213005477669E-3</v>
      </c>
      <c r="Q357" s="3">
        <f t="shared" si="364"/>
        <v>1.9170213005477409E-3</v>
      </c>
      <c r="R357" s="3">
        <f t="shared" si="364"/>
        <v>1.9170213005474781E-3</v>
      </c>
      <c r="S357" s="3">
        <f t="shared" si="364"/>
        <v>1.9170213005448515E-3</v>
      </c>
      <c r="T357" s="3">
        <f t="shared" si="364"/>
        <v>1.9170213005185858E-3</v>
      </c>
      <c r="U357" s="3">
        <f t="shared" si="364"/>
        <v>1.9170213002559278E-3</v>
      </c>
      <c r="V357" s="3">
        <f t="shared" si="364"/>
        <v>1.9170212976293501E-3</v>
      </c>
      <c r="W357" s="3">
        <f t="shared" si="364"/>
        <v>1.9170212713635719E-3</v>
      </c>
      <c r="X357" s="3">
        <f t="shared" si="364"/>
        <v>1.9170210087058105E-3</v>
      </c>
      <c r="Y357" s="3">
        <f t="shared" si="364"/>
        <v>1.917018382130174E-3</v>
      </c>
      <c r="Z357" s="3">
        <f t="shared" si="364"/>
        <v>1.9169921165717409E-3</v>
      </c>
      <c r="AA357" s="3">
        <f t="shared" si="364"/>
        <v>1.9167294807795093E-3</v>
      </c>
      <c r="AB357" s="3">
        <f t="shared" si="364"/>
        <v>1.9141051010640269E-3</v>
      </c>
      <c r="AC357" s="3">
        <f t="shared" si="364"/>
        <v>1.8880581254057339E-3</v>
      </c>
      <c r="AD357" s="3">
        <f t="shared" si="364"/>
        <v>1.64630825761401E-3</v>
      </c>
      <c r="AE357" s="3">
        <f t="shared" si="364"/>
        <v>4.182819453742317E-4</v>
      </c>
      <c r="AF357" s="3">
        <f t="shared" si="364"/>
        <v>4.6886600529618375E-10</v>
      </c>
      <c r="AG357" s="3"/>
      <c r="AH357" s="3"/>
    </row>
    <row r="358" spans="1:34" x14ac:dyDescent="0.25">
      <c r="A358" s="79">
        <f>AVERAGE(B358:AF358)</f>
        <v>3.4616992905891451E-2</v>
      </c>
      <c r="B358" s="80">
        <f>IF($A$64&lt;=B324,IF($B$64&gt;=B324,ABS((B326-B325)/B325),0),0)</f>
        <v>1.6597951634941117E-2</v>
      </c>
      <c r="C358" s="80">
        <f t="shared" ref="C358:AF358" si="365">IF($A$64&lt;=C324,IF($B$64&gt;=C324,ABS((C326-C325)/C325),0),0)</f>
        <v>2.6116775981844975E-2</v>
      </c>
      <c r="D358" s="80">
        <f t="shared" si="365"/>
        <v>2.5486236575920133E-2</v>
      </c>
      <c r="E358" s="80">
        <f t="shared" si="365"/>
        <v>2.5507819733524555E-2</v>
      </c>
      <c r="F358" s="80">
        <f t="shared" si="365"/>
        <v>2.9747545447819764E-2</v>
      </c>
      <c r="G358" s="80">
        <f t="shared" si="365"/>
        <v>3.1205269375910769E-2</v>
      </c>
      <c r="H358" s="80">
        <f t="shared" si="365"/>
        <v>3.1943767702489301E-2</v>
      </c>
      <c r="I358" s="80">
        <f t="shared" si="365"/>
        <v>2.9124662475056212E-2</v>
      </c>
      <c r="J358" s="80">
        <f t="shared" si="365"/>
        <v>2.8346284994729756E-2</v>
      </c>
      <c r="K358" s="80">
        <f t="shared" si="365"/>
        <v>2.9979648892633458E-2</v>
      </c>
      <c r="L358" s="80">
        <f t="shared" si="365"/>
        <v>2.8785278936577396E-2</v>
      </c>
      <c r="M358" s="80">
        <f t="shared" si="365"/>
        <v>3.2090465447503734E-2</v>
      </c>
      <c r="N358" s="80">
        <f t="shared" si="365"/>
        <v>3.1698927619175241E-2</v>
      </c>
      <c r="O358" s="80">
        <f t="shared" si="365"/>
        <v>3.4875231584805245E-2</v>
      </c>
      <c r="P358" s="80">
        <f t="shared" si="365"/>
        <v>3.4966516286949493E-3</v>
      </c>
      <c r="Q358" s="80">
        <f t="shared" si="365"/>
        <v>8.0243068761894409E-2</v>
      </c>
      <c r="R358" s="80">
        <f t="shared" si="365"/>
        <v>0.11154522212379228</v>
      </c>
      <c r="S358" s="80">
        <f t="shared" si="365"/>
        <v>7.2112285651441288E-2</v>
      </c>
      <c r="T358" s="80">
        <f t="shared" si="365"/>
        <v>8.9705290969940132E-3</v>
      </c>
      <c r="U358" s="80">
        <f t="shared" si="365"/>
        <v>7.2079979248517695E-2</v>
      </c>
      <c r="V358" s="80">
        <f t="shared" si="365"/>
        <v>6.7917229054904701E-2</v>
      </c>
      <c r="W358" s="80">
        <f t="shared" si="365"/>
        <v>8.2071456443899543E-2</v>
      </c>
      <c r="X358" s="80">
        <f t="shared" si="365"/>
        <v>4.0718352054109556E-2</v>
      </c>
      <c r="Y358" s="80">
        <f t="shared" si="365"/>
        <v>2.3440459807063767E-2</v>
      </c>
      <c r="Z358" s="80">
        <f t="shared" si="365"/>
        <v>8.8150152744349564E-3</v>
      </c>
      <c r="AA358" s="80">
        <f t="shared" si="365"/>
        <v>5.1990352092650396E-3</v>
      </c>
      <c r="AB358" s="80">
        <f t="shared" si="365"/>
        <v>1.3565719561223769E-2</v>
      </c>
      <c r="AC358" s="80">
        <f t="shared" si="365"/>
        <v>4.2637441412031706E-3</v>
      </c>
      <c r="AD358" s="80">
        <f t="shared" si="365"/>
        <v>1.6656610419464517E-2</v>
      </c>
      <c r="AE358" s="80">
        <f t="shared" si="365"/>
        <v>2.7664034085460913E-2</v>
      </c>
      <c r="AF358" s="80">
        <f t="shared" si="365"/>
        <v>3.2861521117338817E-2</v>
      </c>
    </row>
    <row r="359" spans="1:34" x14ac:dyDescent="0.25">
      <c r="B359" s="21">
        <f>(B326-B325)^2</f>
        <v>26249.626276202842</v>
      </c>
      <c r="C359" s="21">
        <f t="shared" ref="C359:AF359" si="366">(C326-C325)^2</f>
        <v>61002.712577560662</v>
      </c>
      <c r="D359" s="21">
        <f t="shared" si="366"/>
        <v>55025.289732853802</v>
      </c>
      <c r="E359" s="21">
        <f t="shared" si="366"/>
        <v>52120.457350287143</v>
      </c>
      <c r="F359" s="21">
        <f t="shared" si="366"/>
        <v>66598.812200777509</v>
      </c>
      <c r="G359" s="21">
        <f t="shared" si="366"/>
        <v>67788.030750880018</v>
      </c>
      <c r="H359" s="21">
        <f t="shared" si="366"/>
        <v>65151.172795581893</v>
      </c>
      <c r="I359" s="21">
        <f t="shared" si="366"/>
        <v>50039.127652497897</v>
      </c>
      <c r="J359" s="21">
        <f t="shared" si="366"/>
        <v>44152.78071312471</v>
      </c>
      <c r="K359" s="21">
        <f t="shared" si="366"/>
        <v>45821.962101551115</v>
      </c>
      <c r="L359" s="21">
        <f t="shared" si="366"/>
        <v>39065.523911437122</v>
      </c>
      <c r="M359" s="21">
        <f t="shared" si="366"/>
        <v>44732.770160205335</v>
      </c>
      <c r="N359" s="21">
        <f t="shared" si="366"/>
        <v>39868.072827011216</v>
      </c>
      <c r="O359" s="21">
        <f t="shared" si="366"/>
        <v>42996.942252808891</v>
      </c>
      <c r="P359" s="21">
        <f t="shared" si="366"/>
        <v>376.39765481651813</v>
      </c>
      <c r="Q359" s="21">
        <f t="shared" si="366"/>
        <v>159297.29078247768</v>
      </c>
      <c r="R359" s="21">
        <f t="shared" si="366"/>
        <v>203248.41738902911</v>
      </c>
      <c r="S359" s="21">
        <f t="shared" si="366"/>
        <v>46730.847918426822</v>
      </c>
      <c r="T359" s="21">
        <f t="shared" si="366"/>
        <v>361.30443323480267</v>
      </c>
      <c r="U359" s="21">
        <f t="shared" si="366"/>
        <v>10652.653140230705</v>
      </c>
      <c r="V359" s="21">
        <f t="shared" si="366"/>
        <v>4320.8150979066504</v>
      </c>
      <c r="W359" s="21">
        <f t="shared" si="366"/>
        <v>3074.759207284405</v>
      </c>
      <c r="X359" s="21">
        <f t="shared" si="366"/>
        <v>468.66910007909206</v>
      </c>
      <c r="Y359" s="21">
        <f t="shared" si="366"/>
        <v>113.21147605759833</v>
      </c>
      <c r="Z359" s="21">
        <f t="shared" si="366"/>
        <v>13.567425628527332</v>
      </c>
      <c r="AA359" s="21">
        <f t="shared" si="366"/>
        <v>4.1517573444727907</v>
      </c>
      <c r="AB359" s="21">
        <f t="shared" si="366"/>
        <v>26.437832488648041</v>
      </c>
      <c r="AC359" s="21">
        <f t="shared" si="366"/>
        <v>2.4565074491791052</v>
      </c>
      <c r="AD359" s="21">
        <f t="shared" si="366"/>
        <v>33.630373194761518</v>
      </c>
      <c r="AE359" s="21">
        <f t="shared" si="366"/>
        <v>92.050255897240675</v>
      </c>
      <c r="AF359" s="21">
        <f t="shared" si="366"/>
        <v>127.59933727368072</v>
      </c>
      <c r="AG359" s="3"/>
      <c r="AH359" s="3"/>
    </row>
    <row r="360" spans="1:34" x14ac:dyDescent="0.25">
      <c r="A360" s="71">
        <f>SUM(B360:AF360)</f>
        <v>1129557.5409915999</v>
      </c>
      <c r="B360" s="60">
        <f>IF($A$64&lt;=B324,IF($B$64&gt;=B324,ABS(B359),0),0)</f>
        <v>26249.626276202842</v>
      </c>
      <c r="C360" s="60">
        <f t="shared" ref="C360:AF360" si="367">IF($A$64&lt;=C324,IF($B$64&gt;=C324,ABS(C359),0),0)</f>
        <v>61002.712577560662</v>
      </c>
      <c r="D360" s="60">
        <f t="shared" si="367"/>
        <v>55025.289732853802</v>
      </c>
      <c r="E360" s="60">
        <f t="shared" si="367"/>
        <v>52120.457350287143</v>
      </c>
      <c r="F360" s="60">
        <f t="shared" si="367"/>
        <v>66598.812200777509</v>
      </c>
      <c r="G360" s="60">
        <f t="shared" si="367"/>
        <v>67788.030750880018</v>
      </c>
      <c r="H360" s="60">
        <f t="shared" si="367"/>
        <v>65151.172795581893</v>
      </c>
      <c r="I360" s="60">
        <f t="shared" si="367"/>
        <v>50039.127652497897</v>
      </c>
      <c r="J360" s="60">
        <f t="shared" si="367"/>
        <v>44152.78071312471</v>
      </c>
      <c r="K360" s="60">
        <f t="shared" si="367"/>
        <v>45821.962101551115</v>
      </c>
      <c r="L360" s="60">
        <f t="shared" si="367"/>
        <v>39065.523911437122</v>
      </c>
      <c r="M360" s="60">
        <f t="shared" si="367"/>
        <v>44732.770160205335</v>
      </c>
      <c r="N360" s="60">
        <f t="shared" si="367"/>
        <v>39868.072827011216</v>
      </c>
      <c r="O360" s="60">
        <f t="shared" si="367"/>
        <v>42996.942252808891</v>
      </c>
      <c r="P360" s="60">
        <f t="shared" si="367"/>
        <v>376.39765481651813</v>
      </c>
      <c r="Q360" s="60">
        <f t="shared" si="367"/>
        <v>159297.29078247768</v>
      </c>
      <c r="R360" s="60">
        <f t="shared" si="367"/>
        <v>203248.41738902911</v>
      </c>
      <c r="S360" s="60">
        <f t="shared" si="367"/>
        <v>46730.847918426822</v>
      </c>
      <c r="T360" s="60">
        <f t="shared" si="367"/>
        <v>361.30443323480267</v>
      </c>
      <c r="U360" s="60">
        <f t="shared" si="367"/>
        <v>10652.653140230705</v>
      </c>
      <c r="V360" s="60">
        <f t="shared" si="367"/>
        <v>4320.8150979066504</v>
      </c>
      <c r="W360" s="60">
        <f t="shared" si="367"/>
        <v>3074.759207284405</v>
      </c>
      <c r="X360" s="60">
        <f t="shared" si="367"/>
        <v>468.66910007909206</v>
      </c>
      <c r="Y360" s="60">
        <f t="shared" si="367"/>
        <v>113.21147605759833</v>
      </c>
      <c r="Z360" s="60">
        <f t="shared" si="367"/>
        <v>13.567425628527332</v>
      </c>
      <c r="AA360" s="60">
        <f t="shared" si="367"/>
        <v>4.1517573444727907</v>
      </c>
      <c r="AB360" s="60">
        <f t="shared" si="367"/>
        <v>26.437832488648041</v>
      </c>
      <c r="AC360" s="60">
        <f t="shared" si="367"/>
        <v>2.4565074491791052</v>
      </c>
      <c r="AD360" s="60">
        <f t="shared" si="367"/>
        <v>33.630373194761518</v>
      </c>
      <c r="AE360" s="60">
        <f t="shared" si="367"/>
        <v>92.050255897240675</v>
      </c>
      <c r="AF360" s="60">
        <f t="shared" si="367"/>
        <v>127.59933727368072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9410.6442970989083</v>
      </c>
      <c r="C365" s="27">
        <f t="shared" ref="C365:AF365" si="368">($C$17+SUM(C366:C396))*$B$51</f>
        <v>9152.3161829675628</v>
      </c>
      <c r="D365" s="27">
        <f t="shared" si="368"/>
        <v>8901.3451493119173</v>
      </c>
      <c r="E365" s="27">
        <f t="shared" si="368"/>
        <v>8563.7716028532268</v>
      </c>
      <c r="F365" s="27">
        <f t="shared" si="368"/>
        <v>8203.3573035923273</v>
      </c>
      <c r="G365" s="27">
        <f t="shared" si="368"/>
        <v>7864.9533588516151</v>
      </c>
      <c r="H365" s="27">
        <f t="shared" si="368"/>
        <v>7588.7319059006222</v>
      </c>
      <c r="I365" s="27">
        <f t="shared" si="368"/>
        <v>7318.0517336578787</v>
      </c>
      <c r="J365" s="27">
        <f t="shared" si="368"/>
        <v>7025.3390318061365</v>
      </c>
      <c r="K365" s="27">
        <f t="shared" si="368"/>
        <v>6767.2842499658391</v>
      </c>
      <c r="L365" s="27">
        <f t="shared" si="368"/>
        <v>6452.931298517391</v>
      </c>
      <c r="M365" s="27">
        <f t="shared" si="368"/>
        <v>6098.8982444554676</v>
      </c>
      <c r="N365" s="27">
        <f t="shared" si="368"/>
        <v>5414.0254296397652</v>
      </c>
      <c r="O365" s="27">
        <f t="shared" si="368"/>
        <v>4436.334721042741</v>
      </c>
      <c r="P365" s="27">
        <f t="shared" si="368"/>
        <v>3477.3107535965028</v>
      </c>
      <c r="Q365" s="27">
        <f t="shared" si="368"/>
        <v>2695.1406375386928</v>
      </c>
      <c r="R365" s="27">
        <f t="shared" si="368"/>
        <v>2022.0158596244275</v>
      </c>
      <c r="S365" s="27">
        <f t="shared" si="368"/>
        <v>1486.7129504116533</v>
      </c>
      <c r="T365" s="27">
        <f t="shared" si="368"/>
        <v>981.49940344794766</v>
      </c>
      <c r="U365" s="27">
        <f t="shared" si="368"/>
        <v>700.63676819831721</v>
      </c>
      <c r="V365" s="27">
        <f t="shared" si="368"/>
        <v>536.07237348332274</v>
      </c>
      <c r="W365" s="27">
        <f t="shared" si="368"/>
        <v>456.76784890571474</v>
      </c>
      <c r="X365" s="27">
        <f t="shared" si="368"/>
        <v>417.27351119494256</v>
      </c>
      <c r="Y365" s="27">
        <f t="shared" si="368"/>
        <v>391.29057506285142</v>
      </c>
      <c r="Z365" s="27">
        <f t="shared" si="368"/>
        <v>383.21632834563133</v>
      </c>
      <c r="AA365" s="27">
        <f t="shared" si="368"/>
        <v>366.84803626441078</v>
      </c>
      <c r="AB365" s="27">
        <f t="shared" si="368"/>
        <v>352.01993311003577</v>
      </c>
      <c r="AC365" s="27">
        <f t="shared" si="368"/>
        <v>335.38625936642484</v>
      </c>
      <c r="AD365" s="27">
        <f t="shared" si="368"/>
        <v>332.44913137509667</v>
      </c>
      <c r="AE365" s="27">
        <f t="shared" si="368"/>
        <v>332.44913133327282</v>
      </c>
      <c r="AF365" s="27">
        <f t="shared" si="368"/>
        <v>332.44913133327282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1.731732695373114E-225</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1.2648679936032414E-22</v>
      </c>
      <c r="C368" s="3">
        <f t="shared" si="371"/>
        <v>6.1792437974254111E-204</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3.7269190254967456E-4</v>
      </c>
      <c r="C369" s="3">
        <f t="shared" si="372"/>
        <v>1.6427802889786778E-20</v>
      </c>
      <c r="D369" s="3">
        <f t="shared" si="372"/>
        <v>4.5485685747377238E-184</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1.6878615927191597E-2</v>
      </c>
      <c r="C370" s="3">
        <f t="shared" si="373"/>
        <v>5.6482026118344483E-4</v>
      </c>
      <c r="D370" s="3">
        <f t="shared" si="373"/>
        <v>9.9459124277221557E-19</v>
      </c>
      <c r="E370" s="3">
        <f t="shared" si="373"/>
        <v>2.8509412525946091E-166</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1.9106892012136258E-2</v>
      </c>
      <c r="C371" s="3">
        <f t="shared" si="374"/>
        <v>1.4063528533814569E-2</v>
      </c>
      <c r="D371" s="3">
        <f t="shared" si="374"/>
        <v>6.5635197230239539E-4</v>
      </c>
      <c r="E371" s="3">
        <f t="shared" si="374"/>
        <v>3.2178200545386971E-17</v>
      </c>
      <c r="F371" s="3">
        <f t="shared" si="374"/>
        <v>2.5811387340973333E-150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3.0354482409444945E-2</v>
      </c>
      <c r="C372" s="3">
        <f t="shared" si="375"/>
        <v>2.9526807178351575E-2</v>
      </c>
      <c r="D372" s="3">
        <f t="shared" si="375"/>
        <v>2.23951021945532E-2</v>
      </c>
      <c r="E372" s="3">
        <f t="shared" si="375"/>
        <v>1.4109728428544441E-3</v>
      </c>
      <c r="F372" s="3">
        <f t="shared" si="375"/>
        <v>1.3905119269670464E-15</v>
      </c>
      <c r="G372" s="3">
        <f t="shared" si="375"/>
        <v>1.2015320295995813E-135</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3.3431165491822609E-2</v>
      </c>
      <c r="C373" s="3">
        <f t="shared" si="376"/>
        <v>3.3347896529304824E-2</v>
      </c>
      <c r="D373" s="3">
        <f t="shared" si="376"/>
        <v>3.2526529248414746E-2</v>
      </c>
      <c r="E373" s="3">
        <f t="shared" si="376"/>
        <v>2.5347230467067668E-2</v>
      </c>
      <c r="F373" s="3">
        <f t="shared" si="376"/>
        <v>2.0934298256594865E-3</v>
      </c>
      <c r="G373" s="3">
        <f t="shared" si="376"/>
        <v>3.0912728883931593E-14</v>
      </c>
      <c r="H373" s="3">
        <f t="shared" si="376"/>
        <v>1.5237956201660095E-122</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3.2525254380920167E-2</v>
      </c>
      <c r="C374" s="3">
        <f t="shared" si="377"/>
        <v>3.2517938080966202E-2</v>
      </c>
      <c r="D374" s="3">
        <f t="shared" si="377"/>
        <v>3.2444865536296198E-2</v>
      </c>
      <c r="E374" s="3">
        <f t="shared" si="377"/>
        <v>3.1723110734714254E-2</v>
      </c>
      <c r="F374" s="3">
        <f t="shared" si="377"/>
        <v>2.533224344119666E-2</v>
      </c>
      <c r="G374" s="3">
        <f t="shared" si="377"/>
        <v>2.6708685250625146E-3</v>
      </c>
      <c r="H374" s="3">
        <f t="shared" si="377"/>
        <v>4.5335779012274934E-13</v>
      </c>
      <c r="I374" s="3">
        <f t="shared" si="377"/>
        <v>9.0017471078972469E-111</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2.4652890649322932E-2</v>
      </c>
      <c r="C375" s="3">
        <f t="shared" si="378"/>
        <v>2.4652390350266073E-2</v>
      </c>
      <c r="D375" s="3">
        <f t="shared" si="378"/>
        <v>2.464738791807479E-2</v>
      </c>
      <c r="E375" s="3">
        <f t="shared" si="378"/>
        <v>2.459741939198935E-2</v>
      </c>
      <c r="F375" s="3">
        <f t="shared" si="378"/>
        <v>2.4103272044602858E-2</v>
      </c>
      <c r="G375" s="3">
        <f t="shared" si="378"/>
        <v>1.9676170056214425E-2</v>
      </c>
      <c r="H375" s="3">
        <f t="shared" si="378"/>
        <v>2.5857481123593394E-3</v>
      </c>
      <c r="I375" s="3">
        <f t="shared" si="378"/>
        <v>3.9723060838184718E-12</v>
      </c>
      <c r="J375" s="3">
        <f t="shared" si="378"/>
        <v>2.9080883500331466E-100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2.4121207217521895E-2</v>
      </c>
      <c r="C376" s="3">
        <f t="shared" si="379"/>
        <v>2.4121163059310464E-2</v>
      </c>
      <c r="D376" s="3">
        <f t="shared" si="379"/>
        <v>2.4120721481642311E-2</v>
      </c>
      <c r="E376" s="3">
        <f t="shared" si="379"/>
        <v>2.4116306149545776E-2</v>
      </c>
      <c r="F376" s="3">
        <f t="shared" si="379"/>
        <v>2.4072197256980239E-2</v>
      </c>
      <c r="G376" s="3">
        <f t="shared" si="379"/>
        <v>2.3635521224427102E-2</v>
      </c>
      <c r="H376" s="3">
        <f t="shared" si="379"/>
        <v>1.9681567745787731E-2</v>
      </c>
      <c r="I376" s="3">
        <f t="shared" si="379"/>
        <v>3.1550390808316965E-3</v>
      </c>
      <c r="J376" s="3">
        <f t="shared" si="379"/>
        <v>3.5355361334524653E-11</v>
      </c>
      <c r="K376" s="3">
        <f t="shared" si="379"/>
        <v>1.1039785876645848E-90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2.8520624023983053E-2</v>
      </c>
      <c r="C377" s="3">
        <f t="shared" si="380"/>
        <v>2.8520619314010124E-2</v>
      </c>
      <c r="D377" s="3">
        <f t="shared" si="380"/>
        <v>2.8520572214323598E-2</v>
      </c>
      <c r="E377" s="3">
        <f t="shared" si="380"/>
        <v>2.8520101221736326E-2</v>
      </c>
      <c r="F377" s="3">
        <f t="shared" si="380"/>
        <v>2.8515391723634351E-2</v>
      </c>
      <c r="G377" s="3">
        <f t="shared" si="380"/>
        <v>2.8468339493562995E-2</v>
      </c>
      <c r="H377" s="3">
        <f t="shared" si="380"/>
        <v>2.8002066280645711E-2</v>
      </c>
      <c r="I377" s="3">
        <f t="shared" si="380"/>
        <v>2.3739387463644228E-2</v>
      </c>
      <c r="J377" s="3">
        <f t="shared" si="380"/>
        <v>4.5526451918531542E-3</v>
      </c>
      <c r="K377" s="3">
        <f t="shared" si="380"/>
        <v>3.0634215806323953E-10</v>
      </c>
      <c r="L377" s="3">
        <f t="shared" si="380"/>
        <v>5.8295682495102583E-82</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2.1063488778542305E-2</v>
      </c>
      <c r="C378" s="3">
        <f t="shared" si="381"/>
        <v>2.1063488464754317E-2</v>
      </c>
      <c r="D378" s="3">
        <f t="shared" si="381"/>
        <v>2.1063485326874676E-2</v>
      </c>
      <c r="E378" s="3">
        <f t="shared" si="381"/>
        <v>2.106345394810399E-2</v>
      </c>
      <c r="F378" s="3">
        <f t="shared" si="381"/>
        <v>2.1063140162968133E-2</v>
      </c>
      <c r="G378" s="3">
        <f t="shared" si="381"/>
        <v>2.1060002568695575E-2</v>
      </c>
      <c r="H378" s="3">
        <f t="shared" si="381"/>
        <v>2.1028652320405062E-2</v>
      </c>
      <c r="I378" s="3">
        <f t="shared" si="381"/>
        <v>2.0717705174544732E-2</v>
      </c>
      <c r="J378" s="3">
        <f t="shared" si="381"/>
        <v>1.7850226345434667E-2</v>
      </c>
      <c r="K378" s="3">
        <f t="shared" si="381"/>
        <v>4.0240606423337082E-3</v>
      </c>
      <c r="L378" s="3">
        <f t="shared" si="381"/>
        <v>1.3641823029182734E-9</v>
      </c>
      <c r="M378" s="3">
        <f t="shared" si="381"/>
        <v>2.7349623689919952E-74</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3.1092599462119241E-2</v>
      </c>
      <c r="C379" s="3">
        <f t="shared" si="382"/>
        <v>3.1092599420335279E-2</v>
      </c>
      <c r="D379" s="3">
        <f t="shared" si="382"/>
        <v>3.1092599002495645E-2</v>
      </c>
      <c r="E379" s="3">
        <f t="shared" si="382"/>
        <v>3.1092594824099599E-2</v>
      </c>
      <c r="F379" s="3">
        <f t="shared" si="382"/>
        <v>3.1092553040170008E-2</v>
      </c>
      <c r="G379" s="3">
        <f t="shared" si="382"/>
        <v>3.1092135203962461E-2</v>
      </c>
      <c r="H379" s="3">
        <f t="shared" si="382"/>
        <v>3.108795715070381E-2</v>
      </c>
      <c r="I379" s="3">
        <f t="shared" si="382"/>
        <v>3.104620748444905E-2</v>
      </c>
      <c r="J379" s="3">
        <f t="shared" si="382"/>
        <v>3.0631782162533726E-2</v>
      </c>
      <c r="K379" s="3">
        <f t="shared" si="382"/>
        <v>2.6779925082652197E-2</v>
      </c>
      <c r="L379" s="3">
        <f t="shared" si="382"/>
        <v>6.9852231768889076E-3</v>
      </c>
      <c r="M379" s="3">
        <f t="shared" si="382"/>
        <v>1.0183324243551471E-8</v>
      </c>
      <c r="N379" s="3">
        <f t="shared" si="382"/>
        <v>4.4155258440052067E-67</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2.5163399986099743E-2</v>
      </c>
      <c r="C380" s="3">
        <f t="shared" si="383"/>
        <v>2.5163399983049263E-2</v>
      </c>
      <c r="D380" s="3">
        <f t="shared" si="383"/>
        <v>2.5163399952544439E-2</v>
      </c>
      <c r="E380" s="3">
        <f t="shared" si="383"/>
        <v>2.5163399647496205E-2</v>
      </c>
      <c r="F380" s="3">
        <f t="shared" si="383"/>
        <v>2.5163396597014078E-2</v>
      </c>
      <c r="G380" s="3">
        <f t="shared" si="383"/>
        <v>2.5163366092213126E-2</v>
      </c>
      <c r="H380" s="3">
        <f t="shared" si="383"/>
        <v>2.51630610462375E-2</v>
      </c>
      <c r="I380" s="3">
        <f t="shared" si="383"/>
        <v>2.5160010789861485E-2</v>
      </c>
      <c r="J380" s="3">
        <f t="shared" si="383"/>
        <v>2.5129528555006057E-2</v>
      </c>
      <c r="K380" s="3">
        <f t="shared" si="383"/>
        <v>2.4826730008093531E-2</v>
      </c>
      <c r="L380" s="3">
        <f t="shared" si="383"/>
        <v>2.199233405857582E-2</v>
      </c>
      <c r="M380" s="3">
        <f t="shared" si="383"/>
        <v>6.543187236807824E-3</v>
      </c>
      <c r="N380" s="3">
        <f t="shared" si="383"/>
        <v>3.5560641862336865E-8</v>
      </c>
      <c r="O380" s="3">
        <f t="shared" si="383"/>
        <v>7.9941450451213128E-61</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7.3723285891246618E-2</v>
      </c>
      <c r="C381" s="3">
        <f t="shared" si="384"/>
        <v>7.3723285890440401E-2</v>
      </c>
      <c r="D381" s="3">
        <f t="shared" si="384"/>
        <v>7.3723285882378267E-2</v>
      </c>
      <c r="E381" s="3">
        <f t="shared" si="384"/>
        <v>7.3723285801756841E-2</v>
      </c>
      <c r="F381" s="3">
        <f t="shared" si="384"/>
        <v>7.3723284995542593E-2</v>
      </c>
      <c r="G381" s="3">
        <f t="shared" si="384"/>
        <v>7.3723276933400611E-2</v>
      </c>
      <c r="H381" s="3">
        <f t="shared" si="384"/>
        <v>7.3723196312029352E-2</v>
      </c>
      <c r="I381" s="3">
        <f t="shared" si="384"/>
        <v>7.3722390103165752E-2</v>
      </c>
      <c r="J381" s="3">
        <f t="shared" si="384"/>
        <v>7.371432849941556E-2</v>
      </c>
      <c r="K381" s="3">
        <f t="shared" si="384"/>
        <v>7.3633760930875036E-2</v>
      </c>
      <c r="L381" s="3">
        <f t="shared" si="384"/>
        <v>7.2832912587334028E-2</v>
      </c>
      <c r="M381" s="3">
        <f t="shared" si="384"/>
        <v>6.5288189232796279E-2</v>
      </c>
      <c r="N381" s="3">
        <f t="shared" si="384"/>
        <v>2.1872784920901493E-2</v>
      </c>
      <c r="O381" s="3">
        <f t="shared" si="384"/>
        <v>3.8958181007381307E-7</v>
      </c>
      <c r="P381" s="3">
        <f t="shared" si="384"/>
        <v>1.2518276995386491E-54</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9.9866950821243014E-2</v>
      </c>
      <c r="C382" s="3">
        <f t="shared" si="385"/>
        <v>9.9866950821144496E-2</v>
      </c>
      <c r="D382" s="3">
        <f t="shared" si="385"/>
        <v>9.9866950820159325E-2</v>
      </c>
      <c r="E382" s="3">
        <f t="shared" si="385"/>
        <v>9.9866950810307553E-2</v>
      </c>
      <c r="F382" s="3">
        <f t="shared" si="385"/>
        <v>9.9866950711789873E-2</v>
      </c>
      <c r="G382" s="3">
        <f t="shared" si="385"/>
        <v>9.98669497266131E-2</v>
      </c>
      <c r="H382" s="3">
        <f t="shared" si="385"/>
        <v>9.9866939874845864E-2</v>
      </c>
      <c r="I382" s="3">
        <f t="shared" si="385"/>
        <v>9.9866841357227079E-2</v>
      </c>
      <c r="J382" s="3">
        <f t="shared" si="385"/>
        <v>9.9865856186384272E-2</v>
      </c>
      <c r="K382" s="3">
        <f t="shared" si="385"/>
        <v>9.9856005012461044E-2</v>
      </c>
      <c r="L382" s="3">
        <f t="shared" si="385"/>
        <v>9.9757546704206154E-2</v>
      </c>
      <c r="M382" s="3">
        <f t="shared" si="385"/>
        <v>9.8778287268378021E-2</v>
      </c>
      <c r="N382" s="3">
        <f t="shared" si="385"/>
        <v>8.9499128367661565E-2</v>
      </c>
      <c r="O382" s="3">
        <f t="shared" si="385"/>
        <v>3.3372746320091927E-2</v>
      </c>
      <c r="P382" s="3">
        <f t="shared" si="385"/>
        <v>1.7342965572781321E-6</v>
      </c>
      <c r="Q382" s="3">
        <f t="shared" si="385"/>
        <v>2.4913658645106745E-49</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8.491845339899623E-2</v>
      </c>
      <c r="C383" s="3">
        <f t="shared" si="386"/>
        <v>8.4918453398988666E-2</v>
      </c>
      <c r="D383" s="3">
        <f t="shared" si="386"/>
        <v>8.4918453398913102E-2</v>
      </c>
      <c r="E383" s="3">
        <f t="shared" si="386"/>
        <v>8.4918453398157415E-2</v>
      </c>
      <c r="F383" s="3">
        <f t="shared" si="386"/>
        <v>8.4918453390600557E-2</v>
      </c>
      <c r="G383" s="3">
        <f t="shared" si="386"/>
        <v>8.4918453315032005E-2</v>
      </c>
      <c r="H383" s="3">
        <f t="shared" si="386"/>
        <v>8.4918452559346602E-2</v>
      </c>
      <c r="I383" s="3">
        <f t="shared" si="386"/>
        <v>8.4918445002492779E-2</v>
      </c>
      <c r="J383" s="3">
        <f t="shared" si="386"/>
        <v>8.4918369433991572E-2</v>
      </c>
      <c r="K383" s="3">
        <f t="shared" si="386"/>
        <v>8.4917613752678145E-2</v>
      </c>
      <c r="L383" s="3">
        <f t="shared" si="386"/>
        <v>8.4910057309394882E-2</v>
      </c>
      <c r="M383" s="3">
        <f t="shared" si="386"/>
        <v>8.4834529849488916E-2</v>
      </c>
      <c r="N383" s="3">
        <f t="shared" si="386"/>
        <v>8.4082940398263833E-2</v>
      </c>
      <c r="O383" s="3">
        <f t="shared" si="386"/>
        <v>7.692371034130778E-2</v>
      </c>
      <c r="P383" s="3">
        <f t="shared" si="386"/>
        <v>3.1592468110130188E-2</v>
      </c>
      <c r="Q383" s="3">
        <f t="shared" si="386"/>
        <v>4.3133716055079533E-6</v>
      </c>
      <c r="R383" s="3">
        <f t="shared" si="386"/>
        <v>9.7084537978944463E-45</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6.400074628557334E-2</v>
      </c>
      <c r="C384" s="3">
        <f t="shared" si="387"/>
        <v>6.4000746285572827E-2</v>
      </c>
      <c r="D384" s="3">
        <f t="shared" si="387"/>
        <v>6.4000746285567692E-2</v>
      </c>
      <c r="E384" s="3">
        <f t="shared" si="387"/>
        <v>6.4000746285516316E-2</v>
      </c>
      <c r="F384" s="3">
        <f t="shared" si="387"/>
        <v>6.4000746285002533E-2</v>
      </c>
      <c r="G384" s="3">
        <f t="shared" si="387"/>
        <v>6.4000746279864809E-2</v>
      </c>
      <c r="H384" s="3">
        <f t="shared" si="387"/>
        <v>6.4000746228487601E-2</v>
      </c>
      <c r="I384" s="3">
        <f t="shared" si="387"/>
        <v>6.400074571471541E-2</v>
      </c>
      <c r="J384" s="3">
        <f t="shared" si="387"/>
        <v>6.4000740576993689E-2</v>
      </c>
      <c r="K384" s="3">
        <f t="shared" si="387"/>
        <v>6.4000689199799246E-2</v>
      </c>
      <c r="L384" s="3">
        <f t="shared" si="387"/>
        <v>6.4000175430123221E-2</v>
      </c>
      <c r="M384" s="3">
        <f t="shared" si="387"/>
        <v>6.3995037960195081E-2</v>
      </c>
      <c r="N384" s="3">
        <f t="shared" si="387"/>
        <v>6.3943685937387779E-2</v>
      </c>
      <c r="O384" s="3">
        <f t="shared" si="387"/>
        <v>6.3432426635775141E-2</v>
      </c>
      <c r="P384" s="3">
        <f t="shared" si="387"/>
        <v>5.8539352606118922E-2</v>
      </c>
      <c r="Q384" s="3">
        <f t="shared" si="387"/>
        <v>2.6230937269979188E-2</v>
      </c>
      <c r="R384" s="3">
        <f t="shared" si="387"/>
        <v>8.5599799069477299E-6</v>
      </c>
      <c r="S384" s="3">
        <f t="shared" si="387"/>
        <v>1.1723630153340955E-40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6.4005723390096039E-2</v>
      </c>
      <c r="C385" s="3">
        <f t="shared" si="388"/>
        <v>6.4005723390095998E-2</v>
      </c>
      <c r="D385" s="3">
        <f t="shared" si="388"/>
        <v>6.400572339009554E-2</v>
      </c>
      <c r="E385" s="3">
        <f t="shared" si="388"/>
        <v>6.4005723390090905E-2</v>
      </c>
      <c r="F385" s="3">
        <f t="shared" si="388"/>
        <v>6.4005723390044553E-2</v>
      </c>
      <c r="G385" s="3">
        <f t="shared" si="388"/>
        <v>6.4005723389581048E-2</v>
      </c>
      <c r="H385" s="3">
        <f t="shared" si="388"/>
        <v>6.4005723384946034E-2</v>
      </c>
      <c r="I385" s="3">
        <f t="shared" si="388"/>
        <v>6.4005723338595902E-2</v>
      </c>
      <c r="J385" s="3">
        <f t="shared" si="388"/>
        <v>6.4005722875094609E-2</v>
      </c>
      <c r="K385" s="3">
        <f t="shared" si="388"/>
        <v>6.4005718240081763E-2</v>
      </c>
      <c r="L385" s="3">
        <f t="shared" si="388"/>
        <v>6.4005671889971777E-2</v>
      </c>
      <c r="M385" s="3">
        <f t="shared" si="388"/>
        <v>6.4005208390718021E-2</v>
      </c>
      <c r="N385" s="3">
        <f t="shared" si="388"/>
        <v>6.400057358278087E-2</v>
      </c>
      <c r="O385" s="3">
        <f t="shared" si="388"/>
        <v>6.3954243958514304E-2</v>
      </c>
      <c r="P385" s="3">
        <f t="shared" si="388"/>
        <v>6.3492788291071911E-2</v>
      </c>
      <c r="Q385" s="3">
        <f t="shared" si="388"/>
        <v>5.905745161586988E-2</v>
      </c>
      <c r="R385" s="3">
        <f t="shared" si="388"/>
        <v>2.8627125063797682E-2</v>
      </c>
      <c r="S385" s="3">
        <f t="shared" si="388"/>
        <v>2.0502558527039971E-5</v>
      </c>
      <c r="T385" s="3">
        <f t="shared" si="388"/>
        <v>7.2796635940382245E-37</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2.5223864108208031E-2</v>
      </c>
      <c r="C386" s="3">
        <f t="shared" si="389"/>
        <v>2.5223864108208028E-2</v>
      </c>
      <c r="D386" s="3">
        <f t="shared" si="389"/>
        <v>2.5223864108208011E-2</v>
      </c>
      <c r="E386" s="3">
        <f t="shared" si="389"/>
        <v>2.5223864108207851E-2</v>
      </c>
      <c r="F386" s="3">
        <f t="shared" si="389"/>
        <v>2.52238641082062E-2</v>
      </c>
      <c r="G386" s="3">
        <f t="shared" si="389"/>
        <v>2.5223864108189723E-2</v>
      </c>
      <c r="H386" s="3">
        <f t="shared" si="389"/>
        <v>2.5223864108024949E-2</v>
      </c>
      <c r="I386" s="3">
        <f t="shared" si="389"/>
        <v>2.5223864106377201E-2</v>
      </c>
      <c r="J386" s="3">
        <f t="shared" si="389"/>
        <v>2.5223864089899739E-2</v>
      </c>
      <c r="K386" s="3">
        <f t="shared" si="389"/>
        <v>2.5223863925125104E-2</v>
      </c>
      <c r="L386" s="3">
        <f t="shared" si="389"/>
        <v>2.5223862277378814E-2</v>
      </c>
      <c r="M386" s="3">
        <f t="shared" si="389"/>
        <v>2.5223845799921835E-2</v>
      </c>
      <c r="N386" s="3">
        <f t="shared" si="389"/>
        <v>2.5223681025944047E-2</v>
      </c>
      <c r="O386" s="3">
        <f t="shared" si="389"/>
        <v>2.5222033345365963E-2</v>
      </c>
      <c r="P386" s="3">
        <f t="shared" si="389"/>
        <v>2.5205562458132977E-2</v>
      </c>
      <c r="Q386" s="3">
        <f t="shared" si="389"/>
        <v>2.504144401255945E-2</v>
      </c>
      <c r="R386" s="3">
        <f t="shared" si="389"/>
        <v>2.3457899751867684E-2</v>
      </c>
      <c r="S386" s="3">
        <f t="shared" si="389"/>
        <v>1.2206374707650732E-2</v>
      </c>
      <c r="T386" s="3">
        <f t="shared" si="389"/>
        <v>1.7764885576231512E-5</v>
      </c>
      <c r="U386" s="3">
        <f t="shared" si="389"/>
        <v>7.573900288367629E-34</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4.075866339585988E-2</v>
      </c>
      <c r="C387" s="3">
        <f t="shared" si="390"/>
        <v>4.075866339585988E-2</v>
      </c>
      <c r="D387" s="3">
        <f t="shared" si="390"/>
        <v>4.0758663395859873E-2</v>
      </c>
      <c r="E387" s="3">
        <f t="shared" si="390"/>
        <v>4.0758663395859797E-2</v>
      </c>
      <c r="F387" s="3">
        <f t="shared" si="390"/>
        <v>4.0758663395859061E-2</v>
      </c>
      <c r="G387" s="3">
        <f t="shared" si="390"/>
        <v>4.0758663395851699E-2</v>
      </c>
      <c r="H387" s="3">
        <f t="shared" si="390"/>
        <v>4.0758663395778057E-2</v>
      </c>
      <c r="I387" s="3">
        <f t="shared" si="390"/>
        <v>4.075866339504166E-2</v>
      </c>
      <c r="J387" s="3">
        <f t="shared" si="390"/>
        <v>4.0758663387677703E-2</v>
      </c>
      <c r="K387" s="3">
        <f t="shared" si="390"/>
        <v>4.0758663314038081E-2</v>
      </c>
      <c r="L387" s="3">
        <f t="shared" si="390"/>
        <v>4.0758662577641887E-2</v>
      </c>
      <c r="M387" s="3">
        <f t="shared" si="390"/>
        <v>4.0758655213680731E-2</v>
      </c>
      <c r="N387" s="3">
        <f t="shared" si="390"/>
        <v>4.0758581574142291E-2</v>
      </c>
      <c r="O387" s="3">
        <f t="shared" si="390"/>
        <v>4.0757845186075399E-2</v>
      </c>
      <c r="P387" s="3">
        <f t="shared" si="390"/>
        <v>4.0750482037107343E-2</v>
      </c>
      <c r="Q387" s="3">
        <f t="shared" si="390"/>
        <v>4.0676923668624396E-2</v>
      </c>
      <c r="R387" s="3">
        <f t="shared" si="390"/>
        <v>3.9948603458274182E-2</v>
      </c>
      <c r="S387" s="3">
        <f t="shared" si="390"/>
        <v>3.3345452350333295E-2</v>
      </c>
      <c r="T387" s="3">
        <f t="shared" si="390"/>
        <v>5.4750328499800147E-3</v>
      </c>
      <c r="U387" s="3">
        <f t="shared" si="390"/>
        <v>7.7962882800077372E-11</v>
      </c>
      <c r="V387" s="3">
        <f t="shared" si="390"/>
        <v>2.6723878674225805E-89</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2.4317384377993669E-2</v>
      </c>
      <c r="C388" s="3">
        <f t="shared" si="391"/>
        <v>2.4317384377993669E-2</v>
      </c>
      <c r="D388" s="3">
        <f t="shared" si="391"/>
        <v>2.4317384377993669E-2</v>
      </c>
      <c r="E388" s="3">
        <f t="shared" si="391"/>
        <v>2.4317384377993662E-2</v>
      </c>
      <c r="F388" s="3">
        <f t="shared" si="391"/>
        <v>2.431738437799362E-2</v>
      </c>
      <c r="G388" s="3">
        <f t="shared" si="391"/>
        <v>2.4317384377993179E-2</v>
      </c>
      <c r="H388" s="3">
        <f t="shared" si="391"/>
        <v>2.4317384377988787E-2</v>
      </c>
      <c r="I388" s="3">
        <f t="shared" si="391"/>
        <v>2.431738437794485E-2</v>
      </c>
      <c r="J388" s="3">
        <f t="shared" si="391"/>
        <v>2.4317384377505503E-2</v>
      </c>
      <c r="K388" s="3">
        <f t="shared" si="391"/>
        <v>2.4317384373112028E-2</v>
      </c>
      <c r="L388" s="3">
        <f t="shared" si="391"/>
        <v>2.4317384329177245E-2</v>
      </c>
      <c r="M388" s="3">
        <f t="shared" si="391"/>
        <v>2.4317383889829441E-2</v>
      </c>
      <c r="N388" s="3">
        <f t="shared" si="391"/>
        <v>2.4317379496351859E-2</v>
      </c>
      <c r="O388" s="3">
        <f t="shared" si="391"/>
        <v>2.4317335561619646E-2</v>
      </c>
      <c r="P388" s="3">
        <f t="shared" si="391"/>
        <v>2.4316896218663273E-2</v>
      </c>
      <c r="Q388" s="3">
        <f t="shared" si="391"/>
        <v>2.4312503225646067E-2</v>
      </c>
      <c r="R388" s="3">
        <f t="shared" si="391"/>
        <v>2.4268616920954347E-2</v>
      </c>
      <c r="S388" s="3">
        <f t="shared" si="391"/>
        <v>2.3834087399381608E-2</v>
      </c>
      <c r="T388" s="3">
        <f t="shared" si="391"/>
        <v>1.989452338477549E-2</v>
      </c>
      <c r="U388" s="3">
        <f t="shared" si="391"/>
        <v>3.2665074662048387E-3</v>
      </c>
      <c r="V388" s="3">
        <f t="shared" si="391"/>
        <v>4.6514120687738909E-11</v>
      </c>
      <c r="W388" s="3">
        <f t="shared" si="391"/>
        <v>1.5943968119867902E-89</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1.4702506077869741E-2</v>
      </c>
      <c r="C389" s="3">
        <f t="shared" si="392"/>
        <v>1.4702506077869741E-2</v>
      </c>
      <c r="D389" s="3">
        <f t="shared" si="392"/>
        <v>1.4702506077869741E-2</v>
      </c>
      <c r="E389" s="3">
        <f t="shared" si="392"/>
        <v>1.4702506077869741E-2</v>
      </c>
      <c r="F389" s="3">
        <f t="shared" si="392"/>
        <v>1.4702506077869737E-2</v>
      </c>
      <c r="G389" s="3">
        <f t="shared" si="392"/>
        <v>1.4702506077869711E-2</v>
      </c>
      <c r="H389" s="3">
        <f t="shared" si="392"/>
        <v>1.4702506077869446E-2</v>
      </c>
      <c r="I389" s="3">
        <f t="shared" si="392"/>
        <v>1.470250607786679E-2</v>
      </c>
      <c r="J389" s="3">
        <f t="shared" si="392"/>
        <v>1.4702506077840226E-2</v>
      </c>
      <c r="K389" s="3">
        <f t="shared" si="392"/>
        <v>1.4702506077574591E-2</v>
      </c>
      <c r="L389" s="3">
        <f t="shared" si="392"/>
        <v>1.4702506074918258E-2</v>
      </c>
      <c r="M389" s="3">
        <f t="shared" si="392"/>
        <v>1.4702506048354899E-2</v>
      </c>
      <c r="N389" s="3">
        <f t="shared" si="392"/>
        <v>1.4702505782721325E-2</v>
      </c>
      <c r="O389" s="3">
        <f t="shared" si="392"/>
        <v>1.4702503126385845E-2</v>
      </c>
      <c r="P389" s="3">
        <f t="shared" si="392"/>
        <v>1.4702476563057431E-2</v>
      </c>
      <c r="Q389" s="3">
        <f t="shared" si="392"/>
        <v>1.4702210932412871E-2</v>
      </c>
      <c r="R389" s="3">
        <f t="shared" si="392"/>
        <v>1.4699554889907167E-2</v>
      </c>
      <c r="S389" s="3">
        <f t="shared" si="392"/>
        <v>1.4673020841202112E-2</v>
      </c>
      <c r="T389" s="3">
        <f t="shared" si="392"/>
        <v>1.4410300441975353E-2</v>
      </c>
      <c r="U389" s="3">
        <f t="shared" si="392"/>
        <v>1.2028405129199849E-2</v>
      </c>
      <c r="V389" s="3">
        <f t="shared" si="392"/>
        <v>1.9749593594755666E-3</v>
      </c>
      <c r="W389" s="3">
        <f t="shared" si="392"/>
        <v>2.8122849542039098E-11</v>
      </c>
      <c r="X389" s="3">
        <f t="shared" si="392"/>
        <v>9.63986440909563E-90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6.4612477485621166E-3</v>
      </c>
      <c r="C390" s="3">
        <f t="shared" si="393"/>
        <v>6.4612477485621166E-3</v>
      </c>
      <c r="D390" s="3">
        <f t="shared" si="393"/>
        <v>6.4612477485621166E-3</v>
      </c>
      <c r="E390" s="3">
        <f t="shared" si="393"/>
        <v>6.4612477485621166E-3</v>
      </c>
      <c r="F390" s="3">
        <f t="shared" si="393"/>
        <v>6.4612477485621166E-3</v>
      </c>
      <c r="G390" s="3">
        <f t="shared" si="393"/>
        <v>6.4612477485621149E-3</v>
      </c>
      <c r="H390" s="3">
        <f t="shared" si="393"/>
        <v>6.4612477485621036E-3</v>
      </c>
      <c r="I390" s="3">
        <f t="shared" si="393"/>
        <v>6.4612477485619865E-3</v>
      </c>
      <c r="J390" s="3">
        <f t="shared" si="393"/>
        <v>6.4612477485608199E-3</v>
      </c>
      <c r="K390" s="3">
        <f t="shared" si="393"/>
        <v>6.4612477485491452E-3</v>
      </c>
      <c r="L390" s="3">
        <f t="shared" si="393"/>
        <v>6.4612477484324088E-3</v>
      </c>
      <c r="M390" s="3">
        <f t="shared" si="393"/>
        <v>6.4612477472650405E-3</v>
      </c>
      <c r="N390" s="3">
        <f t="shared" si="393"/>
        <v>6.4612477355913541E-3</v>
      </c>
      <c r="O390" s="3">
        <f t="shared" si="393"/>
        <v>6.4612476188544987E-3</v>
      </c>
      <c r="P390" s="3">
        <f t="shared" si="393"/>
        <v>6.4612464514860546E-3</v>
      </c>
      <c r="Q390" s="3">
        <f t="shared" si="393"/>
        <v>6.4612347778132129E-3</v>
      </c>
      <c r="R390" s="3">
        <f t="shared" si="393"/>
        <v>6.4611180422447997E-3</v>
      </c>
      <c r="S390" s="3">
        <f t="shared" si="393"/>
        <v>6.4599508025532009E-3</v>
      </c>
      <c r="T390" s="3">
        <f t="shared" si="393"/>
        <v>6.4482899971403168E-3</v>
      </c>
      <c r="U390" s="3">
        <f t="shared" si="393"/>
        <v>6.3328333818521024E-3</v>
      </c>
      <c r="V390" s="3">
        <f t="shared" si="393"/>
        <v>5.2860719899186226E-3</v>
      </c>
      <c r="W390" s="3">
        <f t="shared" si="393"/>
        <v>8.679269811097466E-4</v>
      </c>
      <c r="X390" s="3">
        <f t="shared" si="393"/>
        <v>1.2359028952224668E-11</v>
      </c>
      <c r="Y390" s="3">
        <f t="shared" si="393"/>
        <v>4.2363901691199185E-90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3.1609965695272944E-3</v>
      </c>
      <c r="C391" s="3">
        <f t="shared" si="394"/>
        <v>3.1609965695272944E-3</v>
      </c>
      <c r="D391" s="3">
        <f t="shared" si="394"/>
        <v>3.1609965695272944E-3</v>
      </c>
      <c r="E391" s="3">
        <f t="shared" si="394"/>
        <v>3.1609965695272944E-3</v>
      </c>
      <c r="F391" s="3">
        <f t="shared" si="394"/>
        <v>3.1609965695272944E-3</v>
      </c>
      <c r="G391" s="3">
        <f t="shared" si="394"/>
        <v>3.1609965695272944E-3</v>
      </c>
      <c r="H391" s="3">
        <f t="shared" si="394"/>
        <v>3.1609965695272935E-3</v>
      </c>
      <c r="I391" s="3">
        <f t="shared" si="394"/>
        <v>3.1609965695272879E-3</v>
      </c>
      <c r="J391" s="3">
        <f t="shared" si="394"/>
        <v>3.160996569527231E-3</v>
      </c>
      <c r="K391" s="3">
        <f t="shared" si="394"/>
        <v>3.1609965695266599E-3</v>
      </c>
      <c r="L391" s="3">
        <f t="shared" si="394"/>
        <v>3.1609965695209487E-3</v>
      </c>
      <c r="M391" s="3">
        <f t="shared" si="394"/>
        <v>3.1609965694638382E-3</v>
      </c>
      <c r="N391" s="3">
        <f t="shared" si="394"/>
        <v>3.1609965688927338E-3</v>
      </c>
      <c r="O391" s="3">
        <f t="shared" si="394"/>
        <v>3.160996563181688E-3</v>
      </c>
      <c r="P391" s="3">
        <f t="shared" si="394"/>
        <v>3.1609965060712328E-3</v>
      </c>
      <c r="Q391" s="3">
        <f t="shared" si="394"/>
        <v>3.1609959349667358E-3</v>
      </c>
      <c r="R391" s="3">
        <f t="shared" si="394"/>
        <v>3.1609902239274376E-3</v>
      </c>
      <c r="S391" s="3">
        <f t="shared" si="394"/>
        <v>3.1609331141019587E-3</v>
      </c>
      <c r="T391" s="3">
        <f t="shared" si="394"/>
        <v>3.1603620725934849E-3</v>
      </c>
      <c r="U391" s="3">
        <f t="shared" si="394"/>
        <v>3.1546573283486516E-3</v>
      </c>
      <c r="V391" s="3">
        <f t="shared" si="394"/>
        <v>3.0981731972554746E-3</v>
      </c>
      <c r="W391" s="3">
        <f t="shared" si="394"/>
        <v>2.586072547694144E-3</v>
      </c>
      <c r="X391" s="3">
        <f t="shared" si="394"/>
        <v>4.2461058864344433E-4</v>
      </c>
      <c r="Y391" s="3">
        <f t="shared" si="394"/>
        <v>6.0463318604931391E-12</v>
      </c>
      <c r="Z391" s="3">
        <f t="shared" si="394"/>
        <v>2.0725431546479997E-90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2.6462780139571542E-3</v>
      </c>
      <c r="C392" s="3">
        <f t="shared" si="395"/>
        <v>2.6462780139571542E-3</v>
      </c>
      <c r="D392" s="3">
        <f t="shared" si="395"/>
        <v>2.6462780139571542E-3</v>
      </c>
      <c r="E392" s="3">
        <f t="shared" si="395"/>
        <v>2.6462780139571542E-3</v>
      </c>
      <c r="F392" s="3">
        <f t="shared" si="395"/>
        <v>2.6462780139571542E-3</v>
      </c>
      <c r="G392" s="3">
        <f t="shared" si="395"/>
        <v>2.6462780139571542E-3</v>
      </c>
      <c r="H392" s="3">
        <f t="shared" si="395"/>
        <v>2.6462780139571542E-3</v>
      </c>
      <c r="I392" s="3">
        <f t="shared" si="395"/>
        <v>2.6462780139571537E-3</v>
      </c>
      <c r="J392" s="3">
        <f t="shared" si="395"/>
        <v>2.646278013957149E-3</v>
      </c>
      <c r="K392" s="3">
        <f t="shared" si="395"/>
        <v>2.6462780139571008E-3</v>
      </c>
      <c r="L392" s="3">
        <f t="shared" si="395"/>
        <v>2.6462780139566229E-3</v>
      </c>
      <c r="M392" s="3">
        <f t="shared" si="395"/>
        <v>2.6462780139518416E-3</v>
      </c>
      <c r="N392" s="3">
        <f t="shared" si="395"/>
        <v>2.6462780139040309E-3</v>
      </c>
      <c r="O392" s="3">
        <f t="shared" si="395"/>
        <v>2.646278013425922E-3</v>
      </c>
      <c r="P392" s="3">
        <f t="shared" si="395"/>
        <v>2.6462780086448298E-3</v>
      </c>
      <c r="Q392" s="3">
        <f t="shared" si="395"/>
        <v>2.6462779608339136E-3</v>
      </c>
      <c r="R392" s="3">
        <f t="shared" si="395"/>
        <v>2.6462774827247979E-3</v>
      </c>
      <c r="S392" s="3">
        <f t="shared" si="395"/>
        <v>2.6462727016383909E-3</v>
      </c>
      <c r="T392" s="3">
        <f t="shared" si="395"/>
        <v>2.6462248912494132E-3</v>
      </c>
      <c r="U392" s="3">
        <f t="shared" si="395"/>
        <v>2.6457468348657087E-3</v>
      </c>
      <c r="V392" s="3">
        <f t="shared" si="395"/>
        <v>2.6409710184615142E-3</v>
      </c>
      <c r="W392" s="3">
        <f t="shared" si="395"/>
        <v>2.5936844393837965E-3</v>
      </c>
      <c r="X392" s="3">
        <f t="shared" si="395"/>
        <v>2.1649713231054126E-3</v>
      </c>
      <c r="Y392" s="3">
        <f t="shared" si="395"/>
        <v>3.5546943519416236E-4</v>
      </c>
      <c r="Z392" s="3">
        <f t="shared" si="395"/>
        <v>5.0617818512547079E-12</v>
      </c>
      <c r="AA392" s="3">
        <f t="shared" si="395"/>
        <v>1.7350621117385704E-90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6.075652089661552E-5</v>
      </c>
      <c r="C393" s="3">
        <f t="shared" si="396"/>
        <v>6.075652089661552E-5</v>
      </c>
      <c r="D393" s="3">
        <f t="shared" si="396"/>
        <v>6.075652089661552E-5</v>
      </c>
      <c r="E393" s="3">
        <f t="shared" si="396"/>
        <v>6.075652089661552E-5</v>
      </c>
      <c r="F393" s="3">
        <f t="shared" si="396"/>
        <v>6.075652089661552E-5</v>
      </c>
      <c r="G393" s="3">
        <f t="shared" si="396"/>
        <v>6.075652089661552E-5</v>
      </c>
      <c r="H393" s="3">
        <f t="shared" si="396"/>
        <v>6.075652089661552E-5</v>
      </c>
      <c r="I393" s="3">
        <f t="shared" si="396"/>
        <v>6.075652089661552E-5</v>
      </c>
      <c r="J393" s="3">
        <f t="shared" si="396"/>
        <v>6.0756520896615506E-5</v>
      </c>
      <c r="K393" s="3">
        <f t="shared" si="396"/>
        <v>6.0756520896615398E-5</v>
      </c>
      <c r="L393" s="3">
        <f t="shared" si="396"/>
        <v>6.07565208966143E-5</v>
      </c>
      <c r="M393" s="3">
        <f t="shared" si="396"/>
        <v>6.0756520896603323E-5</v>
      </c>
      <c r="N393" s="3">
        <f t="shared" si="396"/>
        <v>6.0756520896493554E-5</v>
      </c>
      <c r="O393" s="3">
        <f t="shared" si="396"/>
        <v>6.0756520895395847E-5</v>
      </c>
      <c r="P393" s="3">
        <f t="shared" si="396"/>
        <v>6.0756520884418835E-5</v>
      </c>
      <c r="Q393" s="3">
        <f t="shared" si="396"/>
        <v>6.0756520774648617E-5</v>
      </c>
      <c r="R393" s="3">
        <f t="shared" si="396"/>
        <v>6.0756519676946514E-5</v>
      </c>
      <c r="S393" s="3">
        <f t="shared" si="396"/>
        <v>6.0756508699926596E-5</v>
      </c>
      <c r="T393" s="3">
        <f t="shared" si="396"/>
        <v>6.075639892983643E-5</v>
      </c>
      <c r="U393" s="3">
        <f t="shared" si="396"/>
        <v>6.0755301239842529E-5</v>
      </c>
      <c r="V393" s="3">
        <f t="shared" si="396"/>
        <v>6.074432543060665E-5</v>
      </c>
      <c r="W393" s="3">
        <f t="shared" si="396"/>
        <v>6.0634676335678051E-5</v>
      </c>
      <c r="X393" s="3">
        <f t="shared" si="396"/>
        <v>5.9549012616782282E-5</v>
      </c>
      <c r="Y393" s="3">
        <f t="shared" si="396"/>
        <v>4.9706087092539725E-5</v>
      </c>
      <c r="Z393" s="3">
        <f t="shared" si="396"/>
        <v>8.1613065798731744E-6</v>
      </c>
      <c r="AA393" s="3">
        <f t="shared" si="396"/>
        <v>1.1621464305633804E-13</v>
      </c>
      <c r="AB393" s="3">
        <f t="shared" si="396"/>
        <v>3.9835700139130239E-92</v>
      </c>
      <c r="AC393" s="3">
        <f t="shared" si="396"/>
        <v>0</v>
      </c>
      <c r="AD393" s="3">
        <f t="shared" si="396"/>
        <v>0</v>
      </c>
      <c r="AE393" s="3">
        <f t="shared" si="396"/>
        <v>0</v>
      </c>
      <c r="AF393" s="3">
        <f t="shared" si="396"/>
        <v>0</v>
      </c>
      <c r="AG393" s="3"/>
      <c r="AH393" s="3"/>
    </row>
    <row r="394" spans="1:34" x14ac:dyDescent="0.25">
      <c r="B394" s="3">
        <f t="shared" ref="B394:AF394" si="397">$C46*EXP(-B$363/$A46/EXP(-$H$126))</f>
        <v>1.7765171530370429E-3</v>
      </c>
      <c r="C394" s="3">
        <f t="shared" si="397"/>
        <v>1.7765171530370429E-3</v>
      </c>
      <c r="D394" s="3">
        <f t="shared" si="397"/>
        <v>1.7765171530370429E-3</v>
      </c>
      <c r="E394" s="3">
        <f t="shared" si="397"/>
        <v>1.7765171530370429E-3</v>
      </c>
      <c r="F394" s="3">
        <f t="shared" si="397"/>
        <v>1.7765171530370429E-3</v>
      </c>
      <c r="G394" s="3">
        <f t="shared" si="397"/>
        <v>1.7765171530370429E-3</v>
      </c>
      <c r="H394" s="3">
        <f t="shared" si="397"/>
        <v>1.7765171530370429E-3</v>
      </c>
      <c r="I394" s="3">
        <f t="shared" si="397"/>
        <v>1.7765171530370429E-3</v>
      </c>
      <c r="J394" s="3">
        <f t="shared" si="397"/>
        <v>1.7765171530370429E-3</v>
      </c>
      <c r="K394" s="3">
        <f t="shared" si="397"/>
        <v>1.7765171530370425E-3</v>
      </c>
      <c r="L394" s="3">
        <f t="shared" si="397"/>
        <v>1.7765171530370394E-3</v>
      </c>
      <c r="M394" s="3">
        <f t="shared" si="397"/>
        <v>1.7765171530370071E-3</v>
      </c>
      <c r="N394" s="3">
        <f t="shared" si="397"/>
        <v>1.7765171530366862E-3</v>
      </c>
      <c r="O394" s="3">
        <f t="shared" si="397"/>
        <v>1.7765171530334765E-3</v>
      </c>
      <c r="P394" s="3">
        <f t="shared" si="397"/>
        <v>1.7765171530013798E-3</v>
      </c>
      <c r="Q394" s="3">
        <f t="shared" si="397"/>
        <v>1.7765171526804124E-3</v>
      </c>
      <c r="R394" s="3">
        <f t="shared" si="397"/>
        <v>1.7765171494707377E-3</v>
      </c>
      <c r="S394" s="3">
        <f t="shared" si="397"/>
        <v>1.7765171173739918E-3</v>
      </c>
      <c r="T394" s="3">
        <f t="shared" si="397"/>
        <v>1.7765167964065649E-3</v>
      </c>
      <c r="U394" s="3">
        <f t="shared" si="397"/>
        <v>1.7765135867354846E-3</v>
      </c>
      <c r="V394" s="3">
        <f t="shared" si="397"/>
        <v>1.7764814903436224E-3</v>
      </c>
      <c r="W394" s="3">
        <f t="shared" si="397"/>
        <v>1.7761605583170965E-3</v>
      </c>
      <c r="X394" s="3">
        <f t="shared" si="397"/>
        <v>1.7729544251303873E-3</v>
      </c>
      <c r="Y394" s="3">
        <f t="shared" si="397"/>
        <v>1.741209680852975E-3</v>
      </c>
      <c r="Z394" s="3">
        <f t="shared" si="397"/>
        <v>1.4534031084582559E-3</v>
      </c>
      <c r="AA394" s="3">
        <f t="shared" si="397"/>
        <v>2.3863613183200616E-4</v>
      </c>
      <c r="AB394" s="3">
        <f t="shared" si="397"/>
        <v>3.3981094338000955E-12</v>
      </c>
      <c r="AC394" s="3">
        <f t="shared" si="397"/>
        <v>1.164793565464793E-90</v>
      </c>
      <c r="AD394" s="3">
        <f t="shared" si="397"/>
        <v>0</v>
      </c>
      <c r="AE394" s="3">
        <f t="shared" si="397"/>
        <v>0</v>
      </c>
      <c r="AF394" s="3">
        <f t="shared" si="397"/>
        <v>0</v>
      </c>
      <c r="AG394" s="3"/>
      <c r="AH394" s="3"/>
    </row>
    <row r="395" spans="1:34" x14ac:dyDescent="0.25">
      <c r="B395" s="3">
        <f t="shared" ref="B395:AF395" si="398">$C47*EXP(-B$363/$A47/EXP(-$H$126))</f>
        <v>1.0980455611403293E-3</v>
      </c>
      <c r="C395" s="3">
        <f t="shared" si="398"/>
        <v>1.0980455611403293E-3</v>
      </c>
      <c r="D395" s="3">
        <f t="shared" si="398"/>
        <v>1.0980455611403293E-3</v>
      </c>
      <c r="E395" s="3">
        <f t="shared" si="398"/>
        <v>1.0980455611403293E-3</v>
      </c>
      <c r="F395" s="3">
        <f t="shared" si="398"/>
        <v>1.0980455611403293E-3</v>
      </c>
      <c r="G395" s="3">
        <f t="shared" si="398"/>
        <v>1.0980455611403293E-3</v>
      </c>
      <c r="H395" s="3">
        <f t="shared" si="398"/>
        <v>1.0980455611403293E-3</v>
      </c>
      <c r="I395" s="3">
        <f t="shared" si="398"/>
        <v>1.0980455611403293E-3</v>
      </c>
      <c r="J395" s="3">
        <f t="shared" si="398"/>
        <v>1.0980455611403293E-3</v>
      </c>
      <c r="K395" s="3">
        <f t="shared" si="398"/>
        <v>1.0980455611403293E-3</v>
      </c>
      <c r="L395" s="3">
        <f t="shared" si="398"/>
        <v>1.098045561140329E-3</v>
      </c>
      <c r="M395" s="3">
        <f t="shared" si="398"/>
        <v>1.0980455611403271E-3</v>
      </c>
      <c r="N395" s="3">
        <f t="shared" si="398"/>
        <v>1.0980455611403071E-3</v>
      </c>
      <c r="O395" s="3">
        <f t="shared" si="398"/>
        <v>1.098045561140109E-3</v>
      </c>
      <c r="P395" s="3">
        <f t="shared" si="398"/>
        <v>1.0980455611381249E-3</v>
      </c>
      <c r="Q395" s="3">
        <f t="shared" si="398"/>
        <v>1.0980455611182864E-3</v>
      </c>
      <c r="R395" s="3">
        <f t="shared" si="398"/>
        <v>1.0980455609198999E-3</v>
      </c>
      <c r="S395" s="3">
        <f t="shared" si="398"/>
        <v>1.0980455589360354E-3</v>
      </c>
      <c r="T395" s="3">
        <f t="shared" si="398"/>
        <v>1.0980455390973928E-3</v>
      </c>
      <c r="U395" s="3">
        <f t="shared" si="398"/>
        <v>1.0980453407109837E-3</v>
      </c>
      <c r="V395" s="3">
        <f t="shared" si="398"/>
        <v>1.0980433568488655E-3</v>
      </c>
      <c r="W395" s="3">
        <f t="shared" si="398"/>
        <v>1.0980235184248162E-3</v>
      </c>
      <c r="X395" s="3">
        <f t="shared" si="398"/>
        <v>1.0978251538964737E-3</v>
      </c>
      <c r="Y395" s="3">
        <f t="shared" si="398"/>
        <v>1.0958434785109743E-3</v>
      </c>
      <c r="Z395" s="3">
        <f t="shared" si="398"/>
        <v>1.0762224039360638E-3</v>
      </c>
      <c r="AA395" s="3">
        <f t="shared" si="398"/>
        <v>8.9833235162512816E-4</v>
      </c>
      <c r="AB395" s="3">
        <f t="shared" si="398"/>
        <v>1.4749834801081093E-4</v>
      </c>
      <c r="AC395" s="3">
        <f t="shared" si="398"/>
        <v>2.1003337759359475E-12</v>
      </c>
      <c r="AD395" s="3">
        <f t="shared" si="398"/>
        <v>7.1994599208734152E-91</v>
      </c>
      <c r="AE395" s="3">
        <f t="shared" si="398"/>
        <v>0</v>
      </c>
      <c r="AF395" s="3">
        <f t="shared" si="398"/>
        <v>0</v>
      </c>
      <c r="AG395" s="3"/>
      <c r="AH395" s="3"/>
    </row>
    <row r="396" spans="1:34" x14ac:dyDescent="0.25">
      <c r="B396" s="3">
        <f t="shared" ref="B396:AF396" si="399">$C48*EXP(-B$363/$A48/EXP(-$H$126))</f>
        <v>1.9170213005477699E-3</v>
      </c>
      <c r="C396" s="3">
        <f t="shared" si="399"/>
        <v>1.9170213005477699E-3</v>
      </c>
      <c r="D396" s="3">
        <f t="shared" si="399"/>
        <v>1.9170213005477699E-3</v>
      </c>
      <c r="E396" s="3">
        <f t="shared" si="399"/>
        <v>1.9170213005477699E-3</v>
      </c>
      <c r="F396" s="3">
        <f t="shared" si="399"/>
        <v>1.9170213005477699E-3</v>
      </c>
      <c r="G396" s="3">
        <f t="shared" si="399"/>
        <v>1.9170213005477699E-3</v>
      </c>
      <c r="H396" s="3">
        <f t="shared" si="399"/>
        <v>1.9170213005477699E-3</v>
      </c>
      <c r="I396" s="3">
        <f t="shared" si="399"/>
        <v>1.9170213005477699E-3</v>
      </c>
      <c r="J396" s="3">
        <f t="shared" si="399"/>
        <v>1.9170213005477699E-3</v>
      </c>
      <c r="K396" s="3">
        <f t="shared" si="399"/>
        <v>1.9170213005477699E-3</v>
      </c>
      <c r="L396" s="3">
        <f t="shared" si="399"/>
        <v>1.9170213005477699E-3</v>
      </c>
      <c r="M396" s="3">
        <f t="shared" si="399"/>
        <v>1.9170213005477695E-3</v>
      </c>
      <c r="N396" s="3">
        <f t="shared" si="399"/>
        <v>1.917021300547766E-3</v>
      </c>
      <c r="O396" s="3">
        <f t="shared" si="399"/>
        <v>1.9170213005477313E-3</v>
      </c>
      <c r="P396" s="3">
        <f t="shared" si="399"/>
        <v>1.917021300547385E-3</v>
      </c>
      <c r="Q396" s="3">
        <f t="shared" si="399"/>
        <v>1.9170213005439214E-3</v>
      </c>
      <c r="R396" s="3">
        <f t="shared" si="399"/>
        <v>1.9170213005092862E-3</v>
      </c>
      <c r="S396" s="3">
        <f t="shared" si="399"/>
        <v>1.9170213001629337E-3</v>
      </c>
      <c r="T396" s="3">
        <f t="shared" si="399"/>
        <v>1.9170212966994069E-3</v>
      </c>
      <c r="U396" s="3">
        <f t="shared" si="399"/>
        <v>1.91702126206414E-3</v>
      </c>
      <c r="V396" s="3">
        <f t="shared" si="399"/>
        <v>1.9170209157115068E-3</v>
      </c>
      <c r="W396" s="3">
        <f t="shared" si="399"/>
        <v>1.9170174521886141E-3</v>
      </c>
      <c r="X396" s="3">
        <f t="shared" si="399"/>
        <v>1.9169828173038535E-3</v>
      </c>
      <c r="Y396" s="3">
        <f t="shared" si="399"/>
        <v>1.9166365028706795E-3</v>
      </c>
      <c r="Z396" s="3">
        <f t="shared" si="399"/>
        <v>1.9131767976824647E-3</v>
      </c>
      <c r="AA396" s="3">
        <f t="shared" si="399"/>
        <v>1.8789213721965884E-3</v>
      </c>
      <c r="AB396" s="3">
        <f t="shared" si="399"/>
        <v>1.5683522742427024E-3</v>
      </c>
      <c r="AC396" s="3">
        <f t="shared" si="399"/>
        <v>2.5750978369120346E-4</v>
      </c>
      <c r="AD396" s="3">
        <f t="shared" si="399"/>
        <v>3.6668647724851285E-12</v>
      </c>
      <c r="AE396" s="3">
        <f t="shared" si="399"/>
        <v>1.2569166990139563E-90</v>
      </c>
      <c r="AF396" s="3">
        <f t="shared" si="399"/>
        <v>0</v>
      </c>
      <c r="AG396" s="3"/>
      <c r="AH396" s="3"/>
    </row>
    <row r="397" spans="1:34" x14ac:dyDescent="0.25">
      <c r="A397" s="79">
        <f>AVERAGE(B397:AF397)</f>
        <v>5.036073429623502E-2</v>
      </c>
      <c r="B397" s="80">
        <f>IF($A$64&lt;=B363,IF($B$64&gt;=B363,ABS((B365-B364)/B364),0),0)</f>
        <v>4.101578621123083E-2</v>
      </c>
      <c r="C397" s="80">
        <f t="shared" ref="C397:AF397" si="400">IF($A$64&lt;=C363,IF($B$64&gt;=C363,ABS((C365-C364)/C364),0),0)</f>
        <v>4.9200335681016644E-2</v>
      </c>
      <c r="D397" s="80">
        <f t="shared" si="400"/>
        <v>5.8116783997140625E-2</v>
      </c>
      <c r="E397" s="80">
        <f t="shared" si="400"/>
        <v>6.1946915508492469E-2</v>
      </c>
      <c r="F397" s="80">
        <f t="shared" si="400"/>
        <v>6.1446755043276263E-2</v>
      </c>
      <c r="G397" s="80">
        <f t="shared" si="400"/>
        <v>5.4442521862493119E-2</v>
      </c>
      <c r="H397" s="80">
        <f t="shared" si="400"/>
        <v>5.5980214518020661E-2</v>
      </c>
      <c r="I397" s="80">
        <f t="shared" si="400"/>
        <v>5.7007624982356488E-2</v>
      </c>
      <c r="J397" s="80">
        <f t="shared" si="400"/>
        <v>5.7615678096862459E-2</v>
      </c>
      <c r="K397" s="80">
        <f t="shared" si="400"/>
        <v>6.0495631378394345E-2</v>
      </c>
      <c r="L397" s="80">
        <f t="shared" si="400"/>
        <v>6.6865351392246974E-2</v>
      </c>
      <c r="M397" s="80">
        <f t="shared" si="400"/>
        <v>7.0629830722269485E-2</v>
      </c>
      <c r="N397" s="80">
        <f t="shared" si="400"/>
        <v>2.46006990840675E-2</v>
      </c>
      <c r="O397" s="80">
        <f t="shared" si="400"/>
        <v>7.737933654861788E-2</v>
      </c>
      <c r="P397" s="80">
        <f t="shared" si="400"/>
        <v>0.16822130266149818</v>
      </c>
      <c r="Q397" s="80">
        <f t="shared" si="400"/>
        <v>0.17956060783993535</v>
      </c>
      <c r="R397" s="80">
        <f t="shared" si="400"/>
        <v>9.9443357766491228E-2</v>
      </c>
      <c r="S397" s="80">
        <f t="shared" si="400"/>
        <v>2.1769012651145638E-2</v>
      </c>
      <c r="T397" s="80">
        <f t="shared" si="400"/>
        <v>4.442162519831773E-2</v>
      </c>
      <c r="U397" s="80">
        <f t="shared" si="400"/>
        <v>4.9387655690553159E-2</v>
      </c>
      <c r="V397" s="80">
        <f t="shared" si="400"/>
        <v>2.1602906233801965E-2</v>
      </c>
      <c r="W397" s="80">
        <f t="shared" si="400"/>
        <v>2.9234776224543006E-3</v>
      </c>
      <c r="X397" s="80">
        <f t="shared" si="400"/>
        <v>2.7157869376893654E-3</v>
      </c>
      <c r="Y397" s="80">
        <f t="shared" si="400"/>
        <v>4.8025924871987228E-3</v>
      </c>
      <c r="Z397" s="80">
        <f t="shared" si="400"/>
        <v>1.0154549503486668E-2</v>
      </c>
      <c r="AA397" s="80">
        <f t="shared" si="400"/>
        <v>2.6741864025399402E-2</v>
      </c>
      <c r="AB397" s="80">
        <f t="shared" si="400"/>
        <v>4.1542268541055116E-3</v>
      </c>
      <c r="AC397" s="80">
        <f t="shared" si="400"/>
        <v>2.9812682268024641E-2</v>
      </c>
      <c r="AD397" s="80">
        <f t="shared" si="400"/>
        <v>3.7518483985524868E-2</v>
      </c>
      <c r="AE397" s="80">
        <f t="shared" si="400"/>
        <v>3.2232706293412738E-2</v>
      </c>
      <c r="AF397" s="80">
        <f t="shared" si="400"/>
        <v>2.8976460137760174E-2</v>
      </c>
    </row>
    <row r="398" spans="1:34" x14ac:dyDescent="0.25">
      <c r="B398" s="21">
        <f>(B365-B364)^2</f>
        <v>137475.77209638621</v>
      </c>
      <c r="C398" s="21">
        <f t="shared" ref="C398:AF398" si="401">(C365-C364)^2</f>
        <v>184196.47736064676</v>
      </c>
      <c r="D398" s="21">
        <f t="shared" si="401"/>
        <v>239027.14446938466</v>
      </c>
      <c r="E398" s="21">
        <f t="shared" si="401"/>
        <v>249553.64052254485</v>
      </c>
      <c r="F398" s="21">
        <f t="shared" si="401"/>
        <v>225519.82960600837</v>
      </c>
      <c r="G398" s="21">
        <f t="shared" si="401"/>
        <v>164900.8708216688</v>
      </c>
      <c r="H398" s="21">
        <f t="shared" si="401"/>
        <v>161843.76589155159</v>
      </c>
      <c r="I398" s="21">
        <f t="shared" si="401"/>
        <v>155776.02097982759</v>
      </c>
      <c r="J398" s="21">
        <f t="shared" si="401"/>
        <v>146473.87455597261</v>
      </c>
      <c r="K398" s="21">
        <f t="shared" si="401"/>
        <v>149024.98862363151</v>
      </c>
      <c r="L398" s="21">
        <f t="shared" si="401"/>
        <v>163567.54063490927</v>
      </c>
      <c r="M398" s="21">
        <f t="shared" si="401"/>
        <v>161882.69509745875</v>
      </c>
      <c r="N398" s="21">
        <f t="shared" si="401"/>
        <v>16897.645098534595</v>
      </c>
      <c r="O398" s="21">
        <f t="shared" si="401"/>
        <v>138437.0262841818</v>
      </c>
      <c r="P398" s="21">
        <f t="shared" si="401"/>
        <v>494576.4167222181</v>
      </c>
      <c r="Q398" s="21">
        <f t="shared" si="401"/>
        <v>347930.09065427695</v>
      </c>
      <c r="R398" s="21">
        <f t="shared" si="401"/>
        <v>49853.839123366037</v>
      </c>
      <c r="S398" s="21">
        <f t="shared" si="401"/>
        <v>1003.289477108411</v>
      </c>
      <c r="T398" s="21">
        <f t="shared" si="401"/>
        <v>1742.6784307354483</v>
      </c>
      <c r="U398" s="21">
        <f t="shared" si="401"/>
        <v>1087.3034610614004</v>
      </c>
      <c r="V398" s="21">
        <f t="shared" si="401"/>
        <v>128.50113824349836</v>
      </c>
      <c r="W398" s="21">
        <f t="shared" si="401"/>
        <v>1.793633147737201</v>
      </c>
      <c r="X398" s="21">
        <f t="shared" si="401"/>
        <v>1.2772541357707494</v>
      </c>
      <c r="Y398" s="21">
        <f t="shared" si="401"/>
        <v>3.5655930685086052</v>
      </c>
      <c r="Z398" s="21">
        <f t="shared" si="401"/>
        <v>14.839992621368809</v>
      </c>
      <c r="AA398" s="21">
        <f t="shared" si="401"/>
        <v>91.292102540548782</v>
      </c>
      <c r="AB398" s="21">
        <f t="shared" si="401"/>
        <v>2.1208701922549573</v>
      </c>
      <c r="AC398" s="21">
        <f t="shared" si="401"/>
        <v>106.21392262178371</v>
      </c>
      <c r="AD398" s="21">
        <f t="shared" si="401"/>
        <v>167.94078248487125</v>
      </c>
      <c r="AE398" s="21">
        <f t="shared" si="401"/>
        <v>122.60327329382602</v>
      </c>
      <c r="AF398" s="21">
        <f t="shared" si="401"/>
        <v>98.419589052877811</v>
      </c>
      <c r="AG398" s="3"/>
      <c r="AH398" s="3"/>
    </row>
    <row r="399" spans="1:34" x14ac:dyDescent="0.25">
      <c r="A399" s="71">
        <f>SUM(B399:AF399)</f>
        <v>3191509.478062876</v>
      </c>
      <c r="B399" s="60">
        <f>IF($A$64&lt;=B363,IF($B$64&gt;=B363,ABS(B398),0),0)</f>
        <v>137475.77209638621</v>
      </c>
      <c r="C399" s="60">
        <f t="shared" ref="C399" si="402">IF($A$64&lt;=C363,IF($B$64&gt;=C363,ABS(C398),0),0)</f>
        <v>184196.47736064676</v>
      </c>
      <c r="D399" s="60">
        <f t="shared" ref="D399" si="403">IF($A$64&lt;=D363,IF($B$64&gt;=D363,ABS(D398),0),0)</f>
        <v>239027.14446938466</v>
      </c>
      <c r="E399" s="60">
        <f t="shared" ref="E399" si="404">IF($A$64&lt;=E363,IF($B$64&gt;=E363,ABS(E398),0),0)</f>
        <v>249553.64052254485</v>
      </c>
      <c r="F399" s="60">
        <f t="shared" ref="F399" si="405">IF($A$64&lt;=F363,IF($B$64&gt;=F363,ABS(F398),0),0)</f>
        <v>225519.82960600837</v>
      </c>
      <c r="G399" s="60">
        <f t="shared" ref="G399" si="406">IF($A$64&lt;=G363,IF($B$64&gt;=G363,ABS(G398),0),0)</f>
        <v>164900.8708216688</v>
      </c>
      <c r="H399" s="60">
        <f t="shared" ref="H399" si="407">IF($A$64&lt;=H363,IF($B$64&gt;=H363,ABS(H398),0),0)</f>
        <v>161843.76589155159</v>
      </c>
      <c r="I399" s="60">
        <f t="shared" ref="I399" si="408">IF($A$64&lt;=I363,IF($B$64&gt;=I363,ABS(I398),0),0)</f>
        <v>155776.02097982759</v>
      </c>
      <c r="J399" s="60">
        <f t="shared" ref="J399" si="409">IF($A$64&lt;=J363,IF($B$64&gt;=J363,ABS(J398),0),0)</f>
        <v>146473.87455597261</v>
      </c>
      <c r="K399" s="60">
        <f t="shared" ref="K399" si="410">IF($A$64&lt;=K363,IF($B$64&gt;=K363,ABS(K398),0),0)</f>
        <v>149024.98862363151</v>
      </c>
      <c r="L399" s="60">
        <f t="shared" ref="L399" si="411">IF($A$64&lt;=L363,IF($B$64&gt;=L363,ABS(L398),0),0)</f>
        <v>163567.54063490927</v>
      </c>
      <c r="M399" s="60">
        <f t="shared" ref="M399" si="412">IF($A$64&lt;=M363,IF($B$64&gt;=M363,ABS(M398),0),0)</f>
        <v>161882.69509745875</v>
      </c>
      <c r="N399" s="60">
        <f t="shared" ref="N399" si="413">IF($A$64&lt;=N363,IF($B$64&gt;=N363,ABS(N398),0),0)</f>
        <v>16897.645098534595</v>
      </c>
      <c r="O399" s="60">
        <f t="shared" ref="O399" si="414">IF($A$64&lt;=O363,IF($B$64&gt;=O363,ABS(O398),0),0)</f>
        <v>138437.0262841818</v>
      </c>
      <c r="P399" s="60">
        <f t="shared" ref="P399" si="415">IF($A$64&lt;=P363,IF($B$64&gt;=P363,ABS(P398),0),0)</f>
        <v>494576.4167222181</v>
      </c>
      <c r="Q399" s="60">
        <f t="shared" ref="Q399" si="416">IF($A$64&lt;=Q363,IF($B$64&gt;=Q363,ABS(Q398),0),0)</f>
        <v>347930.09065427695</v>
      </c>
      <c r="R399" s="60">
        <f t="shared" ref="R399" si="417">IF($A$64&lt;=R363,IF($B$64&gt;=R363,ABS(R398),0),0)</f>
        <v>49853.839123366037</v>
      </c>
      <c r="S399" s="60">
        <f t="shared" ref="S399" si="418">IF($A$64&lt;=S363,IF($B$64&gt;=S363,ABS(S398),0),0)</f>
        <v>1003.289477108411</v>
      </c>
      <c r="T399" s="60">
        <f t="shared" ref="T399" si="419">IF($A$64&lt;=T363,IF($B$64&gt;=T363,ABS(T398),0),0)</f>
        <v>1742.6784307354483</v>
      </c>
      <c r="U399" s="60">
        <f t="shared" ref="U399" si="420">IF($A$64&lt;=U363,IF($B$64&gt;=U363,ABS(U398),0),0)</f>
        <v>1087.3034610614004</v>
      </c>
      <c r="V399" s="60">
        <f t="shared" ref="V399" si="421">IF($A$64&lt;=V363,IF($B$64&gt;=V363,ABS(V398),0),0)</f>
        <v>128.50113824349836</v>
      </c>
      <c r="W399" s="60">
        <f t="shared" ref="W399" si="422">IF($A$64&lt;=W363,IF($B$64&gt;=W363,ABS(W398),0),0)</f>
        <v>1.793633147737201</v>
      </c>
      <c r="X399" s="60">
        <f t="shared" ref="X399" si="423">IF($A$64&lt;=X363,IF($B$64&gt;=X363,ABS(X398),0),0)</f>
        <v>1.2772541357707494</v>
      </c>
      <c r="Y399" s="60">
        <f t="shared" ref="Y399" si="424">IF($A$64&lt;=Y363,IF($B$64&gt;=Y363,ABS(Y398),0),0)</f>
        <v>3.5655930685086052</v>
      </c>
      <c r="Z399" s="60">
        <f t="shared" ref="Z399" si="425">IF($A$64&lt;=Z363,IF($B$64&gt;=Z363,ABS(Z398),0),0)</f>
        <v>14.839992621368809</v>
      </c>
      <c r="AA399" s="60">
        <f t="shared" ref="AA399" si="426">IF($A$64&lt;=AA363,IF($B$64&gt;=AA363,ABS(AA398),0),0)</f>
        <v>91.292102540548782</v>
      </c>
      <c r="AB399" s="60">
        <f t="shared" ref="AB399" si="427">IF($A$64&lt;=AB363,IF($B$64&gt;=AB363,ABS(AB398),0),0)</f>
        <v>2.1208701922549573</v>
      </c>
      <c r="AC399" s="60">
        <f t="shared" ref="AC399" si="428">IF($A$64&lt;=AC363,IF($B$64&gt;=AC363,ABS(AC398),0),0)</f>
        <v>106.21392262178371</v>
      </c>
      <c r="AD399" s="60">
        <f t="shared" ref="AD399" si="429">IF($A$64&lt;=AD363,IF($B$64&gt;=AD363,ABS(AD398),0),0)</f>
        <v>167.94078248487125</v>
      </c>
      <c r="AE399" s="60">
        <f t="shared" ref="AE399" si="430">IF($A$64&lt;=AE363,IF($B$64&gt;=AE363,ABS(AE398),0),0)</f>
        <v>122.60327329382602</v>
      </c>
      <c r="AF399" s="60">
        <f t="shared" ref="AF399" si="431">IF($A$64&lt;=AF363,IF($B$64&gt;=AF363,ABS(AF398),0),0)</f>
        <v>98.419589052877811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162</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-11.206695345231019</v>
      </c>
      <c r="C403" s="107">
        <f t="shared" ref="C403:H403" si="432">IF(C125=$B$2,0,C126)</f>
        <v>-7.2627352784508794</v>
      </c>
      <c r="D403" s="107">
        <f t="shared" si="432"/>
        <v>-4.793342440994997</v>
      </c>
      <c r="E403" s="107">
        <f t="shared" si="432"/>
        <v>-2.6402158025209772</v>
      </c>
      <c r="F403" s="107">
        <f t="shared" si="432"/>
        <v>0</v>
      </c>
      <c r="G403" s="107">
        <f t="shared" si="432"/>
        <v>5.0254399219607917</v>
      </c>
      <c r="H403" s="107">
        <f t="shared" si="432"/>
        <v>9.907215664523255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1.3582948410409256E-20</v>
      </c>
      <c r="C404" s="3">
        <f t="shared" ref="C404:H419" si="433">$A404/EXP(-C$403)</f>
        <v>7.0118746719018344E-19</v>
      </c>
      <c r="D404" s="3">
        <f t="shared" si="433"/>
        <v>8.2847198649309814E-18</v>
      </c>
      <c r="E404" s="3">
        <f t="shared" si="433"/>
        <v>7.1345871276069284E-17</v>
      </c>
      <c r="F404" s="3">
        <f t="shared" si="433"/>
        <v>1.0000000000000001E-15</v>
      </c>
      <c r="G404" s="3">
        <f t="shared" si="433"/>
        <v>1.5223721387712849E-13</v>
      </c>
      <c r="H404" s="3">
        <f t="shared" si="433"/>
        <v>2.0074701400814706E-11</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1.3582948410409254E-19</v>
      </c>
      <c r="C405" s="3">
        <f t="shared" si="433"/>
        <v>7.0118746719018336E-18</v>
      </c>
      <c r="D405" s="3">
        <f t="shared" si="433"/>
        <v>8.2847198649309811E-17</v>
      </c>
      <c r="E405" s="3">
        <f t="shared" si="433"/>
        <v>7.1345871276069279E-16</v>
      </c>
      <c r="F405" s="3">
        <f t="shared" si="433"/>
        <v>1E-14</v>
      </c>
      <c r="G405" s="3">
        <f t="shared" si="433"/>
        <v>1.5223721387712848E-12</v>
      </c>
      <c r="H405" s="3">
        <f t="shared" si="433"/>
        <v>2.0074701400814706E-10</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1.3582948410409256E-18</v>
      </c>
      <c r="C406" s="3">
        <f t="shared" si="433"/>
        <v>7.0118746719018346E-17</v>
      </c>
      <c r="D406" s="3">
        <f t="shared" si="433"/>
        <v>8.2847198649309811E-16</v>
      </c>
      <c r="E406" s="3">
        <f t="shared" si="433"/>
        <v>7.1345871276069285E-15</v>
      </c>
      <c r="F406" s="3">
        <f t="shared" si="433"/>
        <v>1E-13</v>
      </c>
      <c r="G406" s="3">
        <f t="shared" si="433"/>
        <v>1.5223721387712849E-11</v>
      </c>
      <c r="H406" s="3">
        <f t="shared" si="433"/>
        <v>2.0074701400814704E-9</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1.3582948410409254E-17</v>
      </c>
      <c r="C407" s="3">
        <f t="shared" si="433"/>
        <v>7.0118746719018338E-16</v>
      </c>
      <c r="D407" s="3">
        <f t="shared" si="433"/>
        <v>8.2847198649309813E-15</v>
      </c>
      <c r="E407" s="3">
        <f t="shared" si="433"/>
        <v>7.1345871276069269E-14</v>
      </c>
      <c r="F407" s="3">
        <f t="shared" si="433"/>
        <v>9.9999999999999998E-13</v>
      </c>
      <c r="G407" s="3">
        <f t="shared" si="433"/>
        <v>1.5223721387712849E-10</v>
      </c>
      <c r="H407" s="3">
        <f t="shared" si="433"/>
        <v>2.0074701400814704E-8</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1.3582948410409254E-16</v>
      </c>
      <c r="C408" s="3">
        <f t="shared" si="433"/>
        <v>7.0118746719018332E-15</v>
      </c>
      <c r="D408" s="3">
        <f t="shared" si="433"/>
        <v>8.2847198649309803E-14</v>
      </c>
      <c r="E408" s="3">
        <f t="shared" si="433"/>
        <v>7.1345871276069269E-13</v>
      </c>
      <c r="F408" s="3">
        <f t="shared" si="433"/>
        <v>9.9999999999999994E-12</v>
      </c>
      <c r="G408" s="3">
        <f t="shared" si="433"/>
        <v>1.5223721387712846E-9</v>
      </c>
      <c r="H408" s="3">
        <f t="shared" si="433"/>
        <v>2.0074701400814704E-7</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1.3582948410409256E-15</v>
      </c>
      <c r="C409" s="3">
        <f t="shared" si="433"/>
        <v>7.0118746719018348E-14</v>
      </c>
      <c r="D409" s="3">
        <f t="shared" si="433"/>
        <v>8.2847198649309808E-13</v>
      </c>
      <c r="E409" s="3">
        <f t="shared" si="433"/>
        <v>7.1345871276069281E-12</v>
      </c>
      <c r="F409" s="3">
        <f t="shared" si="433"/>
        <v>1E-10</v>
      </c>
      <c r="G409" s="3">
        <f t="shared" si="433"/>
        <v>1.5223721387712849E-8</v>
      </c>
      <c r="H409" s="3">
        <f t="shared" si="433"/>
        <v>2.0074701400814705E-6</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1.3582948410409256E-14</v>
      </c>
      <c r="C410" s="3">
        <f t="shared" si="433"/>
        <v>7.0118746719018346E-13</v>
      </c>
      <c r="D410" s="3">
        <f t="shared" si="433"/>
        <v>8.2847198649309818E-12</v>
      </c>
      <c r="E410" s="3">
        <f t="shared" si="433"/>
        <v>7.1345871276069286E-11</v>
      </c>
      <c r="F410" s="3">
        <f t="shared" si="433"/>
        <v>1.0000000000000001E-9</v>
      </c>
      <c r="G410" s="3">
        <f t="shared" si="433"/>
        <v>1.522372138771285E-7</v>
      </c>
      <c r="H410" s="3">
        <f t="shared" si="433"/>
        <v>2.0074701400814705E-5</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1.3582948410409256E-13</v>
      </c>
      <c r="C411" s="3">
        <f t="shared" si="433"/>
        <v>7.0118746719018338E-12</v>
      </c>
      <c r="D411" s="3">
        <f t="shared" si="433"/>
        <v>8.2847198649309809E-11</v>
      </c>
      <c r="E411" s="3">
        <f t="shared" si="433"/>
        <v>7.1345871276069273E-10</v>
      </c>
      <c r="F411" s="3">
        <f t="shared" si="433"/>
        <v>1E-8</v>
      </c>
      <c r="G411" s="3">
        <f t="shared" si="433"/>
        <v>1.5223721387712849E-6</v>
      </c>
      <c r="H411" s="3">
        <f t="shared" si="433"/>
        <v>2.0074701400814705E-4</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1.3582948410409254E-12</v>
      </c>
      <c r="C412" s="3">
        <f t="shared" si="433"/>
        <v>7.0118746719018333E-11</v>
      </c>
      <c r="D412" s="3">
        <f t="shared" si="433"/>
        <v>8.2847198649309811E-10</v>
      </c>
      <c r="E412" s="3">
        <f t="shared" si="433"/>
        <v>7.1345871276069269E-9</v>
      </c>
      <c r="F412" s="3">
        <f t="shared" si="433"/>
        <v>9.9999999999999995E-8</v>
      </c>
      <c r="G412" s="3">
        <f t="shared" si="433"/>
        <v>1.5223721387712847E-5</v>
      </c>
      <c r="H412" s="3">
        <f t="shared" si="433"/>
        <v>2.0074701400814702E-3</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1.3582948410409254E-11</v>
      </c>
      <c r="C413" s="3">
        <f t="shared" si="433"/>
        <v>7.011874671901834E-10</v>
      </c>
      <c r="D413" s="3">
        <f t="shared" si="433"/>
        <v>8.2847198649309809E-9</v>
      </c>
      <c r="E413" s="3">
        <f t="shared" si="433"/>
        <v>7.1345871276069271E-8</v>
      </c>
      <c r="F413" s="3">
        <f t="shared" si="433"/>
        <v>9.9999999999999995E-7</v>
      </c>
      <c r="G413" s="3">
        <f t="shared" si="433"/>
        <v>1.5223721387712846E-4</v>
      </c>
      <c r="H413" s="3">
        <f t="shared" si="433"/>
        <v>2.0074701400814705E-2</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1.3582948410409256E-10</v>
      </c>
      <c r="C414" s="3">
        <f t="shared" si="433"/>
        <v>7.0118746719018342E-9</v>
      </c>
      <c r="D414" s="3">
        <f t="shared" si="433"/>
        <v>8.2847198649309812E-8</v>
      </c>
      <c r="E414" s="3">
        <f t="shared" si="433"/>
        <v>7.1345871276069284E-7</v>
      </c>
      <c r="F414" s="3">
        <f t="shared" si="433"/>
        <v>1.0000000000000001E-5</v>
      </c>
      <c r="G414" s="3">
        <f t="shared" si="433"/>
        <v>1.522372138771285E-3</v>
      </c>
      <c r="H414" s="3">
        <f t="shared" si="433"/>
        <v>0.20074701400814707</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1.3582948410409255E-9</v>
      </c>
      <c r="C415" s="3">
        <f t="shared" si="433"/>
        <v>7.0118746719018342E-8</v>
      </c>
      <c r="D415" s="3">
        <f t="shared" si="433"/>
        <v>8.2847198649309812E-7</v>
      </c>
      <c r="E415" s="3">
        <f t="shared" si="433"/>
        <v>7.1345871276069277E-6</v>
      </c>
      <c r="F415" s="3">
        <f t="shared" si="433"/>
        <v>1E-4</v>
      </c>
      <c r="G415" s="3">
        <f t="shared" si="433"/>
        <v>1.5223721387712849E-2</v>
      </c>
      <c r="H415" s="3">
        <f t="shared" si="433"/>
        <v>2.0074701400814705</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1.3582948410409256E-8</v>
      </c>
      <c r="C416" s="3">
        <f t="shared" si="433"/>
        <v>7.0118746719018337E-7</v>
      </c>
      <c r="D416" s="3">
        <f t="shared" si="433"/>
        <v>8.2847198649309812E-6</v>
      </c>
      <c r="E416" s="3">
        <f t="shared" si="433"/>
        <v>7.1345871276069279E-5</v>
      </c>
      <c r="F416" s="3">
        <f t="shared" si="433"/>
        <v>1E-3</v>
      </c>
      <c r="G416" s="3">
        <f t="shared" si="433"/>
        <v>0.15223721387712849</v>
      </c>
      <c r="H416" s="3">
        <f t="shared" si="433"/>
        <v>20.074701400814707</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1.3582948410409254E-7</v>
      </c>
      <c r="C417" s="3">
        <f t="shared" si="433"/>
        <v>7.0118746719018341E-6</v>
      </c>
      <c r="D417" s="3">
        <f t="shared" si="433"/>
        <v>8.2847198649309812E-5</v>
      </c>
      <c r="E417" s="3">
        <f t="shared" si="433"/>
        <v>7.1345871276069274E-4</v>
      </c>
      <c r="F417" s="3">
        <f t="shared" si="433"/>
        <v>0.01</v>
      </c>
      <c r="G417" s="3">
        <f t="shared" si="433"/>
        <v>1.5223721387712847</v>
      </c>
      <c r="H417" s="3">
        <f t="shared" si="433"/>
        <v>200.74701400814706</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1.3582948410409255E-6</v>
      </c>
      <c r="C418" s="3">
        <f t="shared" si="433"/>
        <v>7.0118746719018347E-5</v>
      </c>
      <c r="D418" s="3">
        <f t="shared" si="433"/>
        <v>8.2847198649309815E-4</v>
      </c>
      <c r="E418" s="3">
        <f t="shared" si="433"/>
        <v>7.134587127606928E-3</v>
      </c>
      <c r="F418" s="3">
        <f t="shared" si="433"/>
        <v>0.1</v>
      </c>
      <c r="G418" s="3">
        <f t="shared" si="433"/>
        <v>15.22372138771285</v>
      </c>
      <c r="H418" s="3">
        <f t="shared" si="433"/>
        <v>2007.4701400814706</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1.3582948410409255E-5</v>
      </c>
      <c r="C419" s="3">
        <f t="shared" si="433"/>
        <v>7.0118746719018338E-4</v>
      </c>
      <c r="D419" s="3">
        <f t="shared" si="433"/>
        <v>8.2847198649309804E-3</v>
      </c>
      <c r="E419" s="3">
        <f t="shared" si="433"/>
        <v>7.134587127606927E-2</v>
      </c>
      <c r="F419" s="3">
        <f t="shared" si="433"/>
        <v>1</v>
      </c>
      <c r="G419" s="3">
        <f t="shared" si="433"/>
        <v>152.23721387712848</v>
      </c>
      <c r="H419" s="3">
        <f t="shared" si="433"/>
        <v>20074.701400814705</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1.3582948410409255E-4</v>
      </c>
      <c r="C420" s="3">
        <f t="shared" si="434"/>
        <v>7.0118746719018341E-3</v>
      </c>
      <c r="D420" s="3">
        <f t="shared" si="434"/>
        <v>8.2847198649309811E-2</v>
      </c>
      <c r="E420" s="3">
        <f t="shared" si="434"/>
        <v>0.71345871276069273</v>
      </c>
      <c r="F420" s="3">
        <f t="shared" si="434"/>
        <v>10</v>
      </c>
      <c r="G420" s="3">
        <f t="shared" si="434"/>
        <v>1522.3721387712849</v>
      </c>
      <c r="H420" s="3">
        <f t="shared" si="434"/>
        <v>200747.01400814706</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1.3582948410409254E-3</v>
      </c>
      <c r="C421" s="3">
        <f t="shared" si="434"/>
        <v>7.0118746719018341E-2</v>
      </c>
      <c r="D421" s="3">
        <f t="shared" si="434"/>
        <v>0.82847198649309806</v>
      </c>
      <c r="E421" s="3">
        <f t="shared" si="434"/>
        <v>7.1345871276069275</v>
      </c>
      <c r="F421" s="3">
        <f t="shared" si="434"/>
        <v>100</v>
      </c>
      <c r="G421" s="3">
        <f t="shared" si="434"/>
        <v>15223.721387712849</v>
      </c>
      <c r="H421" s="3">
        <f t="shared" si="434"/>
        <v>2007470.1400814706</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1.3582948410409254E-2</v>
      </c>
      <c r="C422" s="3">
        <f t="shared" si="434"/>
        <v>0.70118746719018343</v>
      </c>
      <c r="D422" s="3">
        <f t="shared" si="434"/>
        <v>8.284719864930981</v>
      </c>
      <c r="E422" s="3">
        <f t="shared" si="434"/>
        <v>71.345871276069275</v>
      </c>
      <c r="F422" s="3">
        <f t="shared" si="434"/>
        <v>1000</v>
      </c>
      <c r="G422" s="3">
        <f t="shared" si="434"/>
        <v>152237.21387712847</v>
      </c>
      <c r="H422" s="3">
        <f t="shared" si="434"/>
        <v>20074701.400814705</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0.13582948410409254</v>
      </c>
      <c r="C423" s="3">
        <f t="shared" si="434"/>
        <v>7.0118746719018343</v>
      </c>
      <c r="D423" s="3">
        <f t="shared" si="434"/>
        <v>82.847198649309803</v>
      </c>
      <c r="E423" s="3">
        <f t="shared" si="434"/>
        <v>713.45871276069272</v>
      </c>
      <c r="F423" s="3">
        <f t="shared" si="434"/>
        <v>10000</v>
      </c>
      <c r="G423" s="3">
        <f t="shared" si="434"/>
        <v>1522372.1387712848</v>
      </c>
      <c r="H423" s="3">
        <f t="shared" si="434"/>
        <v>200747014.00814706</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1.3582948410409255</v>
      </c>
      <c r="C424" s="3">
        <f t="shared" si="434"/>
        <v>70.118746719018347</v>
      </c>
      <c r="D424" s="3">
        <f t="shared" si="434"/>
        <v>828.47198649309814</v>
      </c>
      <c r="E424" s="3">
        <f t="shared" si="434"/>
        <v>7134.5871276069274</v>
      </c>
      <c r="F424" s="3">
        <f t="shared" si="434"/>
        <v>100000</v>
      </c>
      <c r="G424" s="3">
        <f t="shared" si="434"/>
        <v>15223721.387712847</v>
      </c>
      <c r="H424" s="3">
        <f t="shared" si="434"/>
        <v>2007470140.0814705</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13.582948410409255</v>
      </c>
      <c r="C425" s="3">
        <f t="shared" si="434"/>
        <v>701.18746719018338</v>
      </c>
      <c r="D425" s="3">
        <f t="shared" si="434"/>
        <v>8284.7198649309812</v>
      </c>
      <c r="E425" s="3">
        <f t="shared" si="434"/>
        <v>71345.871276069272</v>
      </c>
      <c r="F425" s="3">
        <f t="shared" si="434"/>
        <v>1000000</v>
      </c>
      <c r="G425" s="3">
        <f t="shared" si="434"/>
        <v>152237213.87712848</v>
      </c>
      <c r="H425" s="3">
        <f t="shared" si="434"/>
        <v>20074701400.814705</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135.82948410409256</v>
      </c>
      <c r="C426" s="3">
        <f t="shared" si="434"/>
        <v>7011.8746719018336</v>
      </c>
      <c r="D426" s="3">
        <f t="shared" si="434"/>
        <v>82847.198649309808</v>
      </c>
      <c r="E426" s="3">
        <f t="shared" si="434"/>
        <v>713458.7127606927</v>
      </c>
      <c r="F426" s="3">
        <f t="shared" si="434"/>
        <v>10000000</v>
      </c>
      <c r="G426" s="3">
        <f t="shared" si="434"/>
        <v>1522372138.7712848</v>
      </c>
      <c r="H426" s="3">
        <f t="shared" si="434"/>
        <v>200747014008.14706</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1358.2948410409256</v>
      </c>
      <c r="C427" s="3">
        <f t="shared" si="434"/>
        <v>70118.746719018338</v>
      </c>
      <c r="D427" s="3">
        <f t="shared" si="434"/>
        <v>828471.98649309808</v>
      </c>
      <c r="E427" s="3">
        <f t="shared" si="434"/>
        <v>7134587.1276069274</v>
      </c>
      <c r="F427" s="3">
        <f t="shared" si="434"/>
        <v>100000000</v>
      </c>
      <c r="G427" s="3">
        <f t="shared" si="434"/>
        <v>15223721387.712849</v>
      </c>
      <c r="H427" s="3">
        <f t="shared" si="434"/>
        <v>2007470140081.4705</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13582.948410409255</v>
      </c>
      <c r="C428" s="3">
        <f t="shared" si="434"/>
        <v>701187.46719018335</v>
      </c>
      <c r="D428" s="3">
        <f t="shared" si="434"/>
        <v>8284719.8649309808</v>
      </c>
      <c r="E428" s="3">
        <f t="shared" si="434"/>
        <v>71345871.276069269</v>
      </c>
      <c r="F428" s="3">
        <f t="shared" si="434"/>
        <v>1000000000</v>
      </c>
      <c r="G428" s="3">
        <f t="shared" si="434"/>
        <v>152237213877.12848</v>
      </c>
      <c r="H428" s="3">
        <f t="shared" si="434"/>
        <v>20074701400814.703</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135829.48410409255</v>
      </c>
      <c r="C429" s="3">
        <f t="shared" si="434"/>
        <v>7011874.6719018342</v>
      </c>
      <c r="D429" s="3">
        <f t="shared" si="434"/>
        <v>82847198.649309814</v>
      </c>
      <c r="E429" s="3">
        <f t="shared" si="434"/>
        <v>713458712.76069272</v>
      </c>
      <c r="F429" s="3">
        <f t="shared" si="434"/>
        <v>10000000000</v>
      </c>
      <c r="G429" s="3">
        <f t="shared" si="434"/>
        <v>1522372138771.2849</v>
      </c>
      <c r="H429" s="3">
        <f t="shared" si="434"/>
        <v>200747014008147.06</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1358294.8410409256</v>
      </c>
      <c r="C430" s="3">
        <f t="shared" si="434"/>
        <v>70118746.71901834</v>
      </c>
      <c r="D430" s="3">
        <f t="shared" si="434"/>
        <v>828471986.49309814</v>
      </c>
      <c r="E430" s="3">
        <f t="shared" si="434"/>
        <v>7134587127.6069279</v>
      </c>
      <c r="F430" s="3">
        <f t="shared" si="434"/>
        <v>100000000000</v>
      </c>
      <c r="G430" s="3">
        <f t="shared" si="434"/>
        <v>15223721387712.848</v>
      </c>
      <c r="H430" s="3">
        <f t="shared" si="434"/>
        <v>2007470140081470.5</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13582948.410409255</v>
      </c>
      <c r="C431" s="3">
        <f t="shared" si="434"/>
        <v>701187467.1901834</v>
      </c>
      <c r="D431" s="3">
        <f t="shared" si="434"/>
        <v>8284719864.9309807</v>
      </c>
      <c r="E431" s="3">
        <f t="shared" si="434"/>
        <v>71345871276.069275</v>
      </c>
      <c r="F431" s="3">
        <f t="shared" si="434"/>
        <v>1000000000000</v>
      </c>
      <c r="G431" s="3">
        <f t="shared" si="434"/>
        <v>152237213877128.47</v>
      </c>
      <c r="H431" s="3">
        <f t="shared" si="434"/>
        <v>2.0074701400814704E+16</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135829484.10409254</v>
      </c>
      <c r="C432" s="3">
        <f t="shared" si="434"/>
        <v>7011874671.9018335</v>
      </c>
      <c r="D432" s="3">
        <f t="shared" si="434"/>
        <v>82847198649.309814</v>
      </c>
      <c r="E432" s="3">
        <f t="shared" si="434"/>
        <v>713458712760.69275</v>
      </c>
      <c r="F432" s="3">
        <f t="shared" si="434"/>
        <v>10000000000000</v>
      </c>
      <c r="G432" s="3">
        <f t="shared" si="434"/>
        <v>1522372138771284.7</v>
      </c>
      <c r="H432" s="3">
        <f t="shared" si="434"/>
        <v>2.0074701400814704E+17</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1358294841.0409255</v>
      </c>
      <c r="C433" s="3">
        <f t="shared" si="434"/>
        <v>70118746719.018341</v>
      </c>
      <c r="D433" s="3">
        <f t="shared" si="434"/>
        <v>828471986493.09814</v>
      </c>
      <c r="E433" s="3">
        <f t="shared" si="434"/>
        <v>7134587127606.9277</v>
      </c>
      <c r="F433" s="3">
        <f t="shared" si="434"/>
        <v>100000000000000</v>
      </c>
      <c r="G433" s="3">
        <f t="shared" si="434"/>
        <v>1.5223721387712848E+16</v>
      </c>
      <c r="H433" s="3">
        <f t="shared" si="434"/>
        <v>2.0074701400814705E+18</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13582948410.409254</v>
      </c>
      <c r="C434" s="3">
        <f t="shared" si="434"/>
        <v>701187467190.18335</v>
      </c>
      <c r="D434" s="3">
        <f t="shared" si="434"/>
        <v>8284719864930.9814</v>
      </c>
      <c r="E434" s="3">
        <f t="shared" si="434"/>
        <v>71345871276069.281</v>
      </c>
      <c r="F434" s="3">
        <f t="shared" si="434"/>
        <v>1000000000000000</v>
      </c>
      <c r="G434" s="3">
        <f t="shared" si="434"/>
        <v>1.5223721387712848E+17</v>
      </c>
      <c r="H434" s="3">
        <f t="shared" si="434"/>
        <v>2.0074701400814707E+19</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163</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1.3582948410409256E-10</v>
      </c>
      <c r="C438" s="92">
        <f t="shared" si="435"/>
        <v>7.0118746719018342E-9</v>
      </c>
      <c r="D438" s="92">
        <f t="shared" si="435"/>
        <v>8.2847198649309812E-8</v>
      </c>
      <c r="E438" s="92">
        <f t="shared" si="435"/>
        <v>7.1345871276069284E-7</v>
      </c>
      <c r="F438" s="92">
        <f t="shared" si="435"/>
        <v>1.0000000000000001E-5</v>
      </c>
      <c r="G438" s="92">
        <f t="shared" si="435"/>
        <v>1.522372138771285E-3</v>
      </c>
      <c r="H438" s="92">
        <f t="shared" si="435"/>
        <v>0.20074701400814707</v>
      </c>
      <c r="I438" s="92">
        <f t="shared" si="435"/>
        <v>1.0000000000000001E-5</v>
      </c>
      <c r="J438" s="92">
        <f t="shared" si="435"/>
        <v>9457.2689514888043</v>
      </c>
      <c r="K438" s="92">
        <f t="shared" si="435"/>
        <v>8963.5955807199589</v>
      </c>
      <c r="L438" s="92">
        <f t="shared" si="435"/>
        <v>8521.038668453999</v>
      </c>
      <c r="M438" s="92">
        <f t="shared" si="435"/>
        <v>8118.5828227804013</v>
      </c>
      <c r="N438" s="92">
        <f t="shared" si="435"/>
        <v>7682.4342615636733</v>
      </c>
      <c r="O438" s="92">
        <f t="shared" si="435"/>
        <v>6866.3570711275343</v>
      </c>
      <c r="P438" s="92">
        <f t="shared" si="435"/>
        <v>6048.4964574924006</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1.3582948410409255E-9</v>
      </c>
      <c r="C439" s="92">
        <f t="shared" si="436"/>
        <v>7.0118746719018342E-8</v>
      </c>
      <c r="D439" s="92">
        <f t="shared" si="436"/>
        <v>8.2847198649309812E-7</v>
      </c>
      <c r="E439" s="92">
        <f t="shared" si="436"/>
        <v>7.1345871276069277E-6</v>
      </c>
      <c r="F439" s="92">
        <f t="shared" si="436"/>
        <v>1E-4</v>
      </c>
      <c r="G439" s="92">
        <f t="shared" si="436"/>
        <v>1.5223721387712849E-2</v>
      </c>
      <c r="H439" s="92">
        <f t="shared" si="436"/>
        <v>2.0074701400814705</v>
      </c>
      <c r="I439" s="92">
        <f t="shared" si="436"/>
        <v>1E-4</v>
      </c>
      <c r="J439" s="92">
        <f t="shared" si="436"/>
        <v>9196.9082117763955</v>
      </c>
      <c r="K439" s="92">
        <f t="shared" si="436"/>
        <v>8614.6063850970258</v>
      </c>
      <c r="L439" s="92">
        <f t="shared" si="436"/>
        <v>8159.6492921187164</v>
      </c>
      <c r="M439" s="92">
        <f t="shared" si="436"/>
        <v>7811.8955545814642</v>
      </c>
      <c r="N439" s="92">
        <f t="shared" si="436"/>
        <v>7403.9105678680935</v>
      </c>
      <c r="O439" s="92">
        <f t="shared" si="436"/>
        <v>6590.7809918049779</v>
      </c>
      <c r="P439" s="92">
        <f t="shared" si="436"/>
        <v>5696.5517580815231</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1.3582948410409256E-8</v>
      </c>
      <c r="C440" s="92">
        <f t="shared" si="436"/>
        <v>7.0118746719018337E-7</v>
      </c>
      <c r="D440" s="92">
        <f t="shared" si="436"/>
        <v>8.2847198649309812E-6</v>
      </c>
      <c r="E440" s="92">
        <f t="shared" si="436"/>
        <v>7.1345871276069279E-5</v>
      </c>
      <c r="F440" s="92">
        <f t="shared" si="436"/>
        <v>1E-3</v>
      </c>
      <c r="G440" s="92">
        <f t="shared" si="436"/>
        <v>0.15223721387712849</v>
      </c>
      <c r="H440" s="92">
        <f t="shared" si="436"/>
        <v>20.074701400814707</v>
      </c>
      <c r="I440" s="92">
        <f t="shared" si="436"/>
        <v>1E-3</v>
      </c>
      <c r="J440" s="92">
        <f t="shared" si="436"/>
        <v>8853.3090866661241</v>
      </c>
      <c r="K440" s="92">
        <f t="shared" si="436"/>
        <v>8248.4064055257641</v>
      </c>
      <c r="L440" s="92">
        <f t="shared" si="436"/>
        <v>7853.7898979258625</v>
      </c>
      <c r="M440" s="92">
        <f t="shared" si="436"/>
        <v>7534.5067060295696</v>
      </c>
      <c r="N440" s="92">
        <f t="shared" si="436"/>
        <v>7132.2476769922887</v>
      </c>
      <c r="O440" s="92">
        <f t="shared" si="436"/>
        <v>6298.9484082003064</v>
      </c>
      <c r="P440" s="92">
        <f t="shared" si="436"/>
        <v>5284.0344872686346</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1.3582948410409254E-7</v>
      </c>
      <c r="C441" s="92">
        <f t="shared" si="436"/>
        <v>7.0118746719018341E-6</v>
      </c>
      <c r="D441" s="92">
        <f t="shared" si="436"/>
        <v>8.2847198649309812E-5</v>
      </c>
      <c r="E441" s="92">
        <f t="shared" si="436"/>
        <v>7.1345871276069274E-4</v>
      </c>
      <c r="F441" s="92">
        <f t="shared" si="436"/>
        <v>0.01</v>
      </c>
      <c r="G441" s="92">
        <f t="shared" si="436"/>
        <v>1.5223721387712847</v>
      </c>
      <c r="H441" s="92">
        <f t="shared" si="436"/>
        <v>200.74701400814706</v>
      </c>
      <c r="I441" s="92">
        <f t="shared" si="436"/>
        <v>0.01</v>
      </c>
      <c r="J441" s="92">
        <f t="shared" si="436"/>
        <v>8479.914716286281</v>
      </c>
      <c r="K441" s="92">
        <f t="shared" si="436"/>
        <v>7932.3411730217404</v>
      </c>
      <c r="L441" s="92">
        <f t="shared" si="436"/>
        <v>7573.2536155058961</v>
      </c>
      <c r="M441" s="92">
        <f t="shared" si="436"/>
        <v>7256.8628130889483</v>
      </c>
      <c r="N441" s="92">
        <f t="shared" si="436"/>
        <v>6844.7384968439528</v>
      </c>
      <c r="O441" s="92">
        <f t="shared" si="436"/>
        <v>5945.6821100901007</v>
      </c>
      <c r="P441" s="92">
        <f t="shared" si="436"/>
        <v>4808.4059861038604</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1.3582948410409255E-6</v>
      </c>
      <c r="C442" s="92">
        <f t="shared" si="436"/>
        <v>7.0118746719018347E-5</v>
      </c>
      <c r="D442" s="92">
        <f t="shared" si="436"/>
        <v>8.2847198649309815E-4</v>
      </c>
      <c r="E442" s="92">
        <f t="shared" si="436"/>
        <v>7.134587127606928E-3</v>
      </c>
      <c r="F442" s="92">
        <f t="shared" si="436"/>
        <v>0.1</v>
      </c>
      <c r="G442" s="92">
        <f t="shared" si="436"/>
        <v>15.22372138771285</v>
      </c>
      <c r="H442" s="92">
        <f t="shared" si="436"/>
        <v>2007.4701400814706</v>
      </c>
      <c r="I442" s="92">
        <f t="shared" si="436"/>
        <v>0.1</v>
      </c>
      <c r="J442" s="92">
        <f t="shared" si="436"/>
        <v>8128.965640404419</v>
      </c>
      <c r="K442" s="92">
        <f t="shared" si="436"/>
        <v>7651.3188875674869</v>
      </c>
      <c r="L442" s="92">
        <f t="shared" si="436"/>
        <v>7293.8613287583112</v>
      </c>
      <c r="M442" s="92">
        <f t="shared" si="436"/>
        <v>6971.3695334324493</v>
      </c>
      <c r="N442" s="92">
        <f t="shared" si="436"/>
        <v>6572.6294407257219</v>
      </c>
      <c r="O442" s="92">
        <f t="shared" si="436"/>
        <v>5548.4424875147679</v>
      </c>
      <c r="P442" s="92">
        <f t="shared" si="436"/>
        <v>4180.5720256158129</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1.3582948410409255E-5</v>
      </c>
      <c r="C443" s="92">
        <f t="shared" si="436"/>
        <v>7.0118746719018338E-4</v>
      </c>
      <c r="D443" s="92">
        <f t="shared" si="436"/>
        <v>8.2847198649309804E-3</v>
      </c>
      <c r="E443" s="92">
        <f t="shared" si="436"/>
        <v>7.134587127606927E-2</v>
      </c>
      <c r="F443" s="92">
        <f t="shared" si="436"/>
        <v>1</v>
      </c>
      <c r="G443" s="92">
        <f t="shared" si="436"/>
        <v>152.23721387712848</v>
      </c>
      <c r="H443" s="92">
        <f t="shared" si="436"/>
        <v>20074.701400814705</v>
      </c>
      <c r="I443" s="92">
        <f t="shared" si="436"/>
        <v>1</v>
      </c>
      <c r="J443" s="92">
        <f t="shared" si="436"/>
        <v>7846.4940246078413</v>
      </c>
      <c r="K443" s="92">
        <f t="shared" si="436"/>
        <v>7368.015082756323</v>
      </c>
      <c r="L443" s="92">
        <f t="shared" si="436"/>
        <v>7004.3784649959834</v>
      </c>
      <c r="M443" s="92">
        <f t="shared" si="436"/>
        <v>6688.5259415281262</v>
      </c>
      <c r="N443" s="92">
        <f t="shared" si="436"/>
        <v>6219.0027578185491</v>
      </c>
      <c r="O443" s="92">
        <f t="shared" si="436"/>
        <v>4973.8956031837224</v>
      </c>
      <c r="P443" s="92">
        <f t="shared" si="436"/>
        <v>3284.9966289927738</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1.3582948410409255E-4</v>
      </c>
      <c r="C444" s="92">
        <f t="shared" si="436"/>
        <v>7.0118746719018341E-3</v>
      </c>
      <c r="D444" s="92">
        <f t="shared" si="436"/>
        <v>8.2847198649309811E-2</v>
      </c>
      <c r="E444" s="92">
        <f t="shared" si="436"/>
        <v>0.71345871276069273</v>
      </c>
      <c r="F444" s="92">
        <f t="shared" si="436"/>
        <v>10</v>
      </c>
      <c r="G444" s="92">
        <f t="shared" si="436"/>
        <v>1522.3721387712849</v>
      </c>
      <c r="H444" s="92">
        <f t="shared" si="436"/>
        <v>200747.01400814706</v>
      </c>
      <c r="I444" s="92">
        <f t="shared" si="436"/>
        <v>10</v>
      </c>
      <c r="J444" s="92">
        <f t="shared" si="436"/>
        <v>7554.3574872186746</v>
      </c>
      <c r="K444" s="92">
        <f t="shared" si="436"/>
        <v>7078.2683200185556</v>
      </c>
      <c r="L444" s="92">
        <f t="shared" si="436"/>
        <v>6716.1281746734903</v>
      </c>
      <c r="M444" s="92">
        <f t="shared" si="436"/>
        <v>6332.8599538611707</v>
      </c>
      <c r="N444" s="92">
        <f t="shared" si="436"/>
        <v>5690.6299745251627</v>
      </c>
      <c r="O444" s="92">
        <f t="shared" si="436"/>
        <v>4041.6864062630743</v>
      </c>
      <c r="P444" s="92">
        <f t="shared" si="436"/>
        <v>2245.2955925232422</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1.3582948410409254E-3</v>
      </c>
      <c r="C445" s="92">
        <f t="shared" si="436"/>
        <v>7.0118746719018341E-2</v>
      </c>
      <c r="D445" s="92">
        <f t="shared" si="436"/>
        <v>0.82847198649309806</v>
      </c>
      <c r="E445" s="92">
        <f t="shared" si="436"/>
        <v>7.1345871276069275</v>
      </c>
      <c r="F445" s="92">
        <f t="shared" si="436"/>
        <v>100</v>
      </c>
      <c r="G445" s="92">
        <f t="shared" si="436"/>
        <v>15223.721387712849</v>
      </c>
      <c r="H445" s="92">
        <f t="shared" si="436"/>
        <v>2007470.1400814706</v>
      </c>
      <c r="I445" s="92">
        <f t="shared" si="436"/>
        <v>100</v>
      </c>
      <c r="J445" s="92">
        <f t="shared" si="436"/>
        <v>7271.4639946770558</v>
      </c>
      <c r="K445" s="92">
        <f t="shared" si="436"/>
        <v>6780.7506129740432</v>
      </c>
      <c r="L445" s="92">
        <f t="shared" si="436"/>
        <v>6317.4824905918776</v>
      </c>
      <c r="M445" s="92">
        <f t="shared" si="436"/>
        <v>5707.8128215740962</v>
      </c>
      <c r="N445" s="92">
        <f t="shared" si="436"/>
        <v>4763.4711208275512</v>
      </c>
      <c r="O445" s="92">
        <f t="shared" si="436"/>
        <v>2997.7303823547541</v>
      </c>
      <c r="P445" s="92">
        <f t="shared" si="436"/>
        <v>1455.0382053123094</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1.3582948410409254E-2</v>
      </c>
      <c r="C446" s="92">
        <f t="shared" si="436"/>
        <v>0.70118746719018343</v>
      </c>
      <c r="D446" s="92">
        <f t="shared" si="436"/>
        <v>8.284719864930981</v>
      </c>
      <c r="E446" s="92">
        <f t="shared" si="436"/>
        <v>71.345871276069275</v>
      </c>
      <c r="F446" s="92">
        <f t="shared" si="436"/>
        <v>1000</v>
      </c>
      <c r="G446" s="92">
        <f t="shared" si="436"/>
        <v>152237.21387712847</v>
      </c>
      <c r="H446" s="92">
        <f t="shared" si="436"/>
        <v>20074701.400814705</v>
      </c>
      <c r="I446" s="92">
        <f t="shared" si="436"/>
        <v>1000</v>
      </c>
      <c r="J446" s="92">
        <f t="shared" si="436"/>
        <v>6968.3337174677063</v>
      </c>
      <c r="K446" s="92">
        <f t="shared" si="436"/>
        <v>6359.8481605512916</v>
      </c>
      <c r="L446" s="92">
        <f t="shared" si="436"/>
        <v>5575.0877249610812</v>
      </c>
      <c r="M446" s="92">
        <f t="shared" si="436"/>
        <v>4703.4024219609055</v>
      </c>
      <c r="N446" s="92">
        <f t="shared" si="436"/>
        <v>3748.4083561986595</v>
      </c>
      <c r="O446" s="92">
        <f t="shared" si="436"/>
        <v>2118.9396419195423</v>
      </c>
      <c r="P446" s="92">
        <f t="shared" si="436"/>
        <v>939.75400333325899</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0.13582948410409254</v>
      </c>
      <c r="C447" s="92">
        <f t="shared" si="436"/>
        <v>7.0118746719018343</v>
      </c>
      <c r="D447" s="92">
        <f t="shared" si="436"/>
        <v>82.847198649309803</v>
      </c>
      <c r="E447" s="92">
        <f t="shared" si="436"/>
        <v>713.45871276069272</v>
      </c>
      <c r="F447" s="92">
        <f t="shared" si="436"/>
        <v>10000</v>
      </c>
      <c r="G447" s="92">
        <f t="shared" si="436"/>
        <v>1522372.1387712848</v>
      </c>
      <c r="H447" s="92">
        <f t="shared" si="436"/>
        <v>200747014.00814706</v>
      </c>
      <c r="I447" s="92">
        <f t="shared" si="436"/>
        <v>10000</v>
      </c>
      <c r="J447" s="92">
        <f t="shared" si="436"/>
        <v>6660.7873102364538</v>
      </c>
      <c r="K447" s="92">
        <f t="shared" si="436"/>
        <v>5533.5094566127227</v>
      </c>
      <c r="L447" s="92">
        <f t="shared" si="436"/>
        <v>4517.4360226770941</v>
      </c>
      <c r="M447" s="92">
        <f t="shared" si="436"/>
        <v>3716.6695709784594</v>
      </c>
      <c r="N447" s="92">
        <f t="shared" si="436"/>
        <v>2899.8712503562774</v>
      </c>
      <c r="O447" s="92">
        <f t="shared" si="436"/>
        <v>1431.9051140793895</v>
      </c>
      <c r="P447" s="92">
        <f t="shared" si="436"/>
        <v>667.66248335298053</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1.3582948410409255</v>
      </c>
      <c r="C448" s="92">
        <f t="shared" si="436"/>
        <v>70.118746719018347</v>
      </c>
      <c r="D448" s="92">
        <f t="shared" si="436"/>
        <v>828.47198649309814</v>
      </c>
      <c r="E448" s="92">
        <f t="shared" si="436"/>
        <v>7134.5871276069274</v>
      </c>
      <c r="F448" s="92">
        <f t="shared" si="436"/>
        <v>100000</v>
      </c>
      <c r="G448" s="92">
        <f t="shared" si="436"/>
        <v>15223721.387712847</v>
      </c>
      <c r="H448" s="92">
        <f t="shared" si="436"/>
        <v>2007470140.0814705</v>
      </c>
      <c r="I448" s="92">
        <f t="shared" si="436"/>
        <v>100000</v>
      </c>
      <c r="J448" s="92">
        <f t="shared" si="436"/>
        <v>6120.1247453486039</v>
      </c>
      <c r="K448" s="92">
        <f t="shared" si="436"/>
        <v>4472.2559132167689</v>
      </c>
      <c r="L448" s="92">
        <f t="shared" si="436"/>
        <v>3579.1976948167016</v>
      </c>
      <c r="M448" s="92">
        <f t="shared" si="436"/>
        <v>2925.6425281910142</v>
      </c>
      <c r="N448" s="92">
        <f t="shared" si="436"/>
        <v>2207.9514817928284</v>
      </c>
      <c r="O448" s="92">
        <f t="shared" si="436"/>
        <v>967.83847313448518</v>
      </c>
      <c r="P448" s="92">
        <f t="shared" si="436"/>
        <v>524.73653922891083</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13.582948410409255</v>
      </c>
      <c r="C449" s="92">
        <f t="shared" si="436"/>
        <v>701.18746719018338</v>
      </c>
      <c r="D449" s="92">
        <f t="shared" si="436"/>
        <v>8284.7198649309812</v>
      </c>
      <c r="E449" s="92">
        <f t="shared" si="436"/>
        <v>71345.871276069272</v>
      </c>
      <c r="F449" s="92">
        <f t="shared" si="436"/>
        <v>1000000</v>
      </c>
      <c r="G449" s="92">
        <f t="shared" si="436"/>
        <v>152237213.87712848</v>
      </c>
      <c r="H449" s="92">
        <f t="shared" si="436"/>
        <v>20074701400.814705</v>
      </c>
      <c r="I449" s="92">
        <f t="shared" si="436"/>
        <v>1000000</v>
      </c>
      <c r="J449" s="92">
        <f t="shared" si="436"/>
        <v>5179.772775385416</v>
      </c>
      <c r="K449" s="92">
        <f t="shared" si="436"/>
        <v>3559.9181790033126</v>
      </c>
      <c r="L449" s="92">
        <f t="shared" si="436"/>
        <v>2836.8024969308635</v>
      </c>
      <c r="M449" s="92">
        <f t="shared" si="436"/>
        <v>2271.2592133629987</v>
      </c>
      <c r="N449" s="92">
        <f t="shared" si="436"/>
        <v>1604.1263924000411</v>
      </c>
      <c r="O449" s="92">
        <f t="shared" si="436"/>
        <v>675.63698437161315</v>
      </c>
      <c r="P449" s="92">
        <f t="shared" si="436"/>
        <v>458.1071148045329</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135.82948410409256</v>
      </c>
      <c r="C450" s="92">
        <f t="shared" si="436"/>
        <v>7011.8746719018336</v>
      </c>
      <c r="D450" s="92">
        <f t="shared" si="436"/>
        <v>82847.198649309808</v>
      </c>
      <c r="E450" s="92">
        <f t="shared" si="436"/>
        <v>713458.7127606927</v>
      </c>
      <c r="F450" s="92">
        <f t="shared" si="436"/>
        <v>10000000</v>
      </c>
      <c r="G450" s="92">
        <f t="shared" si="436"/>
        <v>1522372138.7712848</v>
      </c>
      <c r="H450" s="92">
        <f t="shared" si="436"/>
        <v>200747014008.14706</v>
      </c>
      <c r="I450" s="92">
        <f t="shared" si="436"/>
        <v>10000000</v>
      </c>
      <c r="J450" s="92">
        <f t="shared" si="436"/>
        <v>4110.4480491252179</v>
      </c>
      <c r="K450" s="92">
        <f t="shared" si="436"/>
        <v>2844.2645935941323</v>
      </c>
      <c r="L450" s="92">
        <f t="shared" si="436"/>
        <v>2213.6861360404496</v>
      </c>
      <c r="M450" s="92">
        <f t="shared" si="436"/>
        <v>1690.9117320692962</v>
      </c>
      <c r="N450" s="92">
        <f t="shared" si="436"/>
        <v>1123.4067588567204</v>
      </c>
      <c r="O450" s="92">
        <f t="shared" si="436"/>
        <v>531.67099399258564</v>
      </c>
      <c r="P450" s="92">
        <f t="shared" si="436"/>
        <v>416.14335450856197</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1358.2948410409256</v>
      </c>
      <c r="C451" s="92">
        <f t="shared" si="436"/>
        <v>70118.746719018338</v>
      </c>
      <c r="D451" s="92">
        <f t="shared" si="436"/>
        <v>828471.98649309808</v>
      </c>
      <c r="E451" s="92">
        <f t="shared" si="436"/>
        <v>7134587.1276069274</v>
      </c>
      <c r="F451" s="92">
        <f t="shared" si="436"/>
        <v>100000000</v>
      </c>
      <c r="G451" s="92">
        <f t="shared" si="436"/>
        <v>15223721387.712849</v>
      </c>
      <c r="H451" s="92">
        <f t="shared" si="436"/>
        <v>2007470140081.4705</v>
      </c>
      <c r="I451" s="92">
        <f t="shared" si="436"/>
        <v>100000000</v>
      </c>
      <c r="J451" s="92">
        <f t="shared" si="436"/>
        <v>3245.0810486621449</v>
      </c>
      <c r="K451" s="92">
        <f t="shared" si="436"/>
        <v>2237.2915384432267</v>
      </c>
      <c r="L451" s="92">
        <f t="shared" si="436"/>
        <v>1650.6334197278006</v>
      </c>
      <c r="M451" s="92">
        <f t="shared" si="436"/>
        <v>1194.4542594457305</v>
      </c>
      <c r="N451" s="92">
        <f t="shared" si="436"/>
        <v>780.76520754617513</v>
      </c>
      <c r="O451" s="92">
        <f t="shared" si="436"/>
        <v>453.91977153237434</v>
      </c>
      <c r="P451" s="92">
        <f t="shared" si="436"/>
        <v>393.17885286775953</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13582.948410409255</v>
      </c>
      <c r="C452" s="92">
        <f t="shared" si="436"/>
        <v>701187.46719018335</v>
      </c>
      <c r="D452" s="92">
        <f t="shared" si="436"/>
        <v>8284719.8649309808</v>
      </c>
      <c r="E452" s="92">
        <f t="shared" si="436"/>
        <v>71345871.276069269</v>
      </c>
      <c r="F452" s="92">
        <f t="shared" si="436"/>
        <v>1000000000</v>
      </c>
      <c r="G452" s="92">
        <f t="shared" si="436"/>
        <v>152237213877.12848</v>
      </c>
      <c r="H452" s="92">
        <f t="shared" si="436"/>
        <v>20074701400814.703</v>
      </c>
      <c r="I452" s="92">
        <f t="shared" si="436"/>
        <v>1000000000</v>
      </c>
      <c r="J452" s="92">
        <f t="shared" si="436"/>
        <v>2543.9226414929772</v>
      </c>
      <c r="K452" s="92">
        <f t="shared" si="436"/>
        <v>1684.6343995836892</v>
      </c>
      <c r="L452" s="92">
        <f t="shared" si="436"/>
        <v>1168.6567020451771</v>
      </c>
      <c r="M452" s="92">
        <f t="shared" si="436"/>
        <v>834.8043301176574</v>
      </c>
      <c r="N452" s="92">
        <f t="shared" si="436"/>
        <v>582.0058323502866</v>
      </c>
      <c r="O452" s="92">
        <f t="shared" si="436"/>
        <v>417.85505040960345</v>
      </c>
      <c r="P452" s="92">
        <f t="shared" si="436"/>
        <v>379.36405724647841</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135829.48410409255</v>
      </c>
      <c r="C453" s="92">
        <f t="shared" si="436"/>
        <v>7011874.6719018342</v>
      </c>
      <c r="D453" s="92">
        <f t="shared" si="436"/>
        <v>82847198.649309814</v>
      </c>
      <c r="E453" s="92">
        <f t="shared" si="436"/>
        <v>713458712.76069272</v>
      </c>
      <c r="F453" s="92">
        <f t="shared" si="436"/>
        <v>10000000000</v>
      </c>
      <c r="G453" s="92">
        <f t="shared" si="436"/>
        <v>1522372138771.2849</v>
      </c>
      <c r="H453" s="92">
        <f t="shared" si="436"/>
        <v>200747014008147.06</v>
      </c>
      <c r="I453" s="92">
        <f t="shared" si="436"/>
        <v>10000000000</v>
      </c>
      <c r="J453" s="92">
        <f t="shared" si="436"/>
        <v>1944.565914995268</v>
      </c>
      <c r="K453" s="92">
        <f t="shared" si="436"/>
        <v>1197.1004230306633</v>
      </c>
      <c r="L453" s="92">
        <f t="shared" si="436"/>
        <v>818.07631905971209</v>
      </c>
      <c r="M453" s="92">
        <f t="shared" si="436"/>
        <v>607.40413984309237</v>
      </c>
      <c r="N453" s="92">
        <f t="shared" si="436"/>
        <v>477.43912435634792</v>
      </c>
      <c r="O453" s="92">
        <f t="shared" si="436"/>
        <v>391.91620643386665</v>
      </c>
      <c r="P453" s="92">
        <f t="shared" si="436"/>
        <v>357.29334618358928</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1358294.8410409256</v>
      </c>
      <c r="C454" s="92">
        <f t="shared" si="437"/>
        <v>70118746.71901834</v>
      </c>
      <c r="D454" s="92">
        <f t="shared" si="437"/>
        <v>828471986.49309814</v>
      </c>
      <c r="E454" s="92">
        <f t="shared" si="437"/>
        <v>7134587127.6069279</v>
      </c>
      <c r="F454" s="92">
        <f t="shared" si="437"/>
        <v>100000000000</v>
      </c>
      <c r="G454" s="92">
        <f t="shared" si="437"/>
        <v>15223721387712.848</v>
      </c>
      <c r="H454" s="92">
        <f t="shared" si="437"/>
        <v>2007470140081470.5</v>
      </c>
      <c r="I454" s="92">
        <f t="shared" si="437"/>
        <v>100000000000</v>
      </c>
      <c r="J454" s="92">
        <f t="shared" si="437"/>
        <v>1396.8383179282553</v>
      </c>
      <c r="K454" s="92">
        <f t="shared" si="437"/>
        <v>840.12332203849121</v>
      </c>
      <c r="L454" s="92">
        <f t="shared" si="437"/>
        <v>599.03104161742488</v>
      </c>
      <c r="M454" s="92">
        <f t="shared" si="437"/>
        <v>493.01101666641495</v>
      </c>
      <c r="N454" s="92">
        <f t="shared" si="437"/>
        <v>428.31766172038903</v>
      </c>
      <c r="O454" s="92">
        <f t="shared" si="437"/>
        <v>379.02694798430821</v>
      </c>
      <c r="P454" s="92">
        <f t="shared" si="437"/>
        <v>350.56361233759071</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13582948.410409255</v>
      </c>
      <c r="C455" s="92">
        <f t="shared" si="437"/>
        <v>701187467.1901834</v>
      </c>
      <c r="D455" s="92">
        <f t="shared" si="437"/>
        <v>8284719864.9309807</v>
      </c>
      <c r="E455" s="92">
        <f t="shared" si="437"/>
        <v>71345871276.069275</v>
      </c>
      <c r="F455" s="92">
        <f t="shared" si="437"/>
        <v>1000000000000</v>
      </c>
      <c r="G455" s="92">
        <f t="shared" si="437"/>
        <v>152237213877128.47</v>
      </c>
      <c r="H455" s="92">
        <f t="shared" si="437"/>
        <v>2.0074701400814704E+16</v>
      </c>
      <c r="I455" s="92">
        <f t="shared" si="437"/>
        <v>1000000000000</v>
      </c>
      <c r="J455" s="92">
        <f t="shared" si="437"/>
        <v>982.12621210790121</v>
      </c>
      <c r="K455" s="92">
        <f t="shared" si="437"/>
        <v>609.58567269963044</v>
      </c>
      <c r="L455" s="92">
        <f t="shared" si="437"/>
        <v>488.03069035934635</v>
      </c>
      <c r="M455" s="92">
        <f t="shared" si="437"/>
        <v>433.7285115590953</v>
      </c>
      <c r="N455" s="92">
        <f t="shared" si="437"/>
        <v>398.6513774250231</v>
      </c>
      <c r="O455" s="92">
        <f t="shared" si="437"/>
        <v>367.59357086994629</v>
      </c>
      <c r="P455" s="92">
        <f t="shared" si="437"/>
        <v>345.69227327199394</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135829484.10409254</v>
      </c>
      <c r="C456" s="92">
        <f t="shared" si="437"/>
        <v>7011874671.9018335</v>
      </c>
      <c r="D456" s="92">
        <f t="shared" si="437"/>
        <v>82847198649.309814</v>
      </c>
      <c r="E456" s="92">
        <f t="shared" si="437"/>
        <v>713458712760.69275</v>
      </c>
      <c r="F456" s="92">
        <f t="shared" si="437"/>
        <v>10000000000000</v>
      </c>
      <c r="G456" s="92">
        <f t="shared" si="437"/>
        <v>1522372138771284.7</v>
      </c>
      <c r="H456" s="92">
        <f t="shared" si="437"/>
        <v>2.0074701400814704E+17</v>
      </c>
      <c r="I456" s="92">
        <f t="shared" si="437"/>
        <v>10000000000000</v>
      </c>
      <c r="J456" s="92">
        <f t="shared" si="437"/>
        <v>689.03519551617785</v>
      </c>
      <c r="K456" s="92">
        <f t="shared" si="437"/>
        <v>494.5048529689002</v>
      </c>
      <c r="L456" s="92">
        <f t="shared" si="437"/>
        <v>431.51308603872349</v>
      </c>
      <c r="M456" s="92">
        <f t="shared" si="437"/>
        <v>403.76473002951963</v>
      </c>
      <c r="N456" s="92">
        <f t="shared" si="437"/>
        <v>385.25122525189607</v>
      </c>
      <c r="O456" s="92">
        <f t="shared" si="437"/>
        <v>348.16027376363564</v>
      </c>
      <c r="P456" s="92">
        <f t="shared" si="437"/>
        <v>345.40832820533547</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1358294841.0409255</v>
      </c>
      <c r="C457" s="92">
        <f t="shared" si="437"/>
        <v>70118746719.018341</v>
      </c>
      <c r="D457" s="92">
        <f t="shared" si="437"/>
        <v>828471986493.09814</v>
      </c>
      <c r="E457" s="92">
        <f t="shared" si="437"/>
        <v>7134587127606.9277</v>
      </c>
      <c r="F457" s="92">
        <f t="shared" si="437"/>
        <v>100000000000000</v>
      </c>
      <c r="G457" s="92">
        <f t="shared" si="437"/>
        <v>1.5223721387712848E+16</v>
      </c>
      <c r="H457" s="92">
        <f t="shared" si="437"/>
        <v>2.0074701400814705E+18</v>
      </c>
      <c r="I457" s="92">
        <f t="shared" si="437"/>
        <v>100000000000000</v>
      </c>
      <c r="J457" s="92">
        <f t="shared" si="437"/>
        <v>537.03681449352746</v>
      </c>
      <c r="K457" s="92">
        <f t="shared" si="437"/>
        <v>433.69545003412065</v>
      </c>
      <c r="L457" s="92">
        <f t="shared" si="437"/>
        <v>402.06033913876905</v>
      </c>
      <c r="M457" s="92">
        <f t="shared" si="437"/>
        <v>387.64349199783766</v>
      </c>
      <c r="N457" s="92">
        <f t="shared" si="437"/>
        <v>372.90060316523403</v>
      </c>
      <c r="O457" s="92">
        <f t="shared" si="437"/>
        <v>346.81429429478277</v>
      </c>
      <c r="P457" s="92">
        <f t="shared" si="437"/>
        <v>343.52176757284224</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13582948410.409254</v>
      </c>
      <c r="C458" s="92">
        <f t="shared" si="437"/>
        <v>701187467190.18335</v>
      </c>
      <c r="D458" s="92">
        <f t="shared" si="437"/>
        <v>8284719864930.9814</v>
      </c>
      <c r="E458" s="92">
        <f t="shared" si="437"/>
        <v>71345871276069.281</v>
      </c>
      <c r="F458" s="92">
        <f t="shared" si="437"/>
        <v>1000000000000000</v>
      </c>
      <c r="G458" s="92">
        <f t="shared" si="437"/>
        <v>1.5223721387712848E+17</v>
      </c>
      <c r="H458" s="92">
        <f t="shared" si="437"/>
        <v>2.0074701400814707E+19</v>
      </c>
      <c r="I458" s="92">
        <f t="shared" si="437"/>
        <v>1000000000000000</v>
      </c>
      <c r="J458" s="92">
        <f t="shared" si="437"/>
        <v>452.34025000519932</v>
      </c>
      <c r="K458" s="92">
        <f t="shared" si="437"/>
        <v>404.17805740514621</v>
      </c>
      <c r="L458" s="92">
        <f t="shared" si="437"/>
        <v>386.49357349528668</v>
      </c>
      <c r="M458" s="92">
        <f t="shared" si="437"/>
        <v>374.47481405228427</v>
      </c>
      <c r="N458" s="92">
        <f t="shared" si="437"/>
        <v>356.83813776395743</v>
      </c>
      <c r="O458" s="92">
        <f t="shared" si="437"/>
        <v>343.74512434370951</v>
      </c>
      <c r="P458" s="92">
        <f t="shared" si="437"/>
        <v>342.36979608181048</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164" zoomScale="110" zoomScaleNormal="110" workbookViewId="0">
      <selection activeCell="J72" sqref="J72"/>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-9.8670059488046888</v>
      </c>
      <c r="C4" s="10">
        <f>LOG10('Mastercurve bestimmen'!C438)</f>
        <v>-8.1541658549552949</v>
      </c>
      <c r="D4" s="10">
        <f>LOG10('Mastercurve bestimmen'!D438)</f>
        <v>-7.0817221719967902</v>
      </c>
      <c r="E4" s="10">
        <f>LOG10('Mastercurve bestimmen'!E438)</f>
        <v>-6.1466311540686256</v>
      </c>
      <c r="F4" s="10">
        <f>LOG10('Mastercurve bestimmen'!F438)</f>
        <v>-5</v>
      </c>
      <c r="G4" s="10">
        <f>LOG10('Mastercurve bestimmen'!G438)</f>
        <v>-2.8174791727561197</v>
      </c>
      <c r="H4" s="10">
        <f>LOG10('Mastercurve bestimmen'!H438)</f>
        <v>-0.69735090587209214</v>
      </c>
      <c r="I4" s="3">
        <f>'Mastercurve bestimmen'!I438</f>
        <v>1.0000000000000001E-5</v>
      </c>
      <c r="J4" s="3">
        <f>'Mastercurve bestimmen'!J438</f>
        <v>9457.2689514888043</v>
      </c>
      <c r="K4" s="3">
        <f>'Mastercurve bestimmen'!K438</f>
        <v>8963.5955807199589</v>
      </c>
      <c r="L4" s="3">
        <f>'Mastercurve bestimmen'!L438</f>
        <v>8521.038668453999</v>
      </c>
      <c r="M4" s="3">
        <f>'Mastercurve bestimmen'!M438</f>
        <v>8118.5828227804013</v>
      </c>
      <c r="N4" s="3">
        <f>'Mastercurve bestimmen'!N438</f>
        <v>7682.4342615636733</v>
      </c>
      <c r="O4" s="3">
        <f>'Mastercurve bestimmen'!O438</f>
        <v>6866.3570711275343</v>
      </c>
      <c r="P4" s="3">
        <f>'Mastercurve bestimmen'!P438</f>
        <v>6048.4964574924006</v>
      </c>
      <c r="Q4" s="3"/>
    </row>
    <row r="5" spans="1:17" x14ac:dyDescent="0.25">
      <c r="A5" s="10">
        <f>LOG10('Mastercurve bestimmen'!A439)</f>
        <v>-4</v>
      </c>
      <c r="B5" s="10">
        <f>LOG10('Mastercurve bestimmen'!B439)</f>
        <v>-8.8670059488046888</v>
      </c>
      <c r="C5" s="10">
        <f>LOG10('Mastercurve bestimmen'!C439)</f>
        <v>-7.154165854955294</v>
      </c>
      <c r="D5" s="10">
        <f>LOG10('Mastercurve bestimmen'!D439)</f>
        <v>-6.0817221719967902</v>
      </c>
      <c r="E5" s="10">
        <f>LOG10('Mastercurve bestimmen'!E439)</f>
        <v>-5.1466311540686256</v>
      </c>
      <c r="F5" s="10">
        <f>LOG10('Mastercurve bestimmen'!F439)</f>
        <v>-4</v>
      </c>
      <c r="G5" s="10">
        <f>LOG10('Mastercurve bestimmen'!G439)</f>
        <v>-1.8174791727561197</v>
      </c>
      <c r="H5" s="10">
        <f>LOG10('Mastercurve bestimmen'!H439)</f>
        <v>0.3026490941279078</v>
      </c>
      <c r="I5" s="3">
        <f>'Mastercurve bestimmen'!I439</f>
        <v>1E-4</v>
      </c>
      <c r="J5" s="3">
        <f>'Mastercurve bestimmen'!J439</f>
        <v>9196.9082117763955</v>
      </c>
      <c r="K5" s="3">
        <f>'Mastercurve bestimmen'!K439</f>
        <v>8614.6063850970258</v>
      </c>
      <c r="L5" s="3">
        <f>'Mastercurve bestimmen'!L439</f>
        <v>8159.6492921187164</v>
      </c>
      <c r="M5" s="3">
        <f>'Mastercurve bestimmen'!M439</f>
        <v>7811.8955545814642</v>
      </c>
      <c r="N5" s="3">
        <f>'Mastercurve bestimmen'!N439</f>
        <v>7403.9105678680935</v>
      </c>
      <c r="O5" s="3">
        <f>'Mastercurve bestimmen'!O439</f>
        <v>6590.7809918049779</v>
      </c>
      <c r="P5" s="3">
        <f>'Mastercurve bestimmen'!P439</f>
        <v>5696.5517580815231</v>
      </c>
    </row>
    <row r="6" spans="1:17" x14ac:dyDescent="0.25">
      <c r="A6" s="10">
        <f>LOG10('Mastercurve bestimmen'!A440)</f>
        <v>-3</v>
      </c>
      <c r="B6" s="10">
        <f>LOG10('Mastercurve bestimmen'!B440)</f>
        <v>-7.8670059488046888</v>
      </c>
      <c r="C6" s="10">
        <f>LOG10('Mastercurve bestimmen'!C440)</f>
        <v>-6.154165854955294</v>
      </c>
      <c r="D6" s="10">
        <f>LOG10('Mastercurve bestimmen'!D440)</f>
        <v>-5.0817221719967902</v>
      </c>
      <c r="E6" s="10">
        <f>LOG10('Mastercurve bestimmen'!E440)</f>
        <v>-4.1466311540686256</v>
      </c>
      <c r="F6" s="10">
        <f>LOG10('Mastercurve bestimmen'!F440)</f>
        <v>-3</v>
      </c>
      <c r="G6" s="10">
        <f>LOG10('Mastercurve bestimmen'!G440)</f>
        <v>-0.81747917275611959</v>
      </c>
      <c r="H6" s="10">
        <f>LOG10('Mastercurve bestimmen'!H440)</f>
        <v>1.3026490941279079</v>
      </c>
      <c r="I6" s="3">
        <f>'Mastercurve bestimmen'!I440</f>
        <v>1E-3</v>
      </c>
      <c r="J6" s="3">
        <f>'Mastercurve bestimmen'!J440</f>
        <v>8853.3090866661241</v>
      </c>
      <c r="K6" s="3">
        <f>'Mastercurve bestimmen'!K440</f>
        <v>8248.4064055257641</v>
      </c>
      <c r="L6" s="3">
        <f>'Mastercurve bestimmen'!L440</f>
        <v>7853.7898979258625</v>
      </c>
      <c r="M6" s="3">
        <f>'Mastercurve bestimmen'!M440</f>
        <v>7534.5067060295696</v>
      </c>
      <c r="N6" s="3">
        <f>'Mastercurve bestimmen'!N440</f>
        <v>7132.2476769922887</v>
      </c>
      <c r="O6" s="3">
        <f>'Mastercurve bestimmen'!O440</f>
        <v>6298.9484082003064</v>
      </c>
      <c r="P6" s="3">
        <f>'Mastercurve bestimmen'!P440</f>
        <v>5284.0344872686346</v>
      </c>
    </row>
    <row r="7" spans="1:17" x14ac:dyDescent="0.25">
      <c r="A7" s="10">
        <f>LOG10('Mastercurve bestimmen'!A441)</f>
        <v>-2</v>
      </c>
      <c r="B7" s="10">
        <f>LOG10('Mastercurve bestimmen'!B441)</f>
        <v>-6.8670059488046888</v>
      </c>
      <c r="C7" s="10">
        <f>LOG10('Mastercurve bestimmen'!C441)</f>
        <v>-5.154165854955294</v>
      </c>
      <c r="D7" s="10">
        <f>LOG10('Mastercurve bestimmen'!D441)</f>
        <v>-4.0817221719967902</v>
      </c>
      <c r="E7" s="10">
        <f>LOG10('Mastercurve bestimmen'!E441)</f>
        <v>-3.146631154068626</v>
      </c>
      <c r="F7" s="10">
        <f>LOG10('Mastercurve bestimmen'!F441)</f>
        <v>-2</v>
      </c>
      <c r="G7" s="10">
        <f>LOG10('Mastercurve bestimmen'!G441)</f>
        <v>0.18252082724388033</v>
      </c>
      <c r="H7" s="10">
        <f>LOG10('Mastercurve bestimmen'!H441)</f>
        <v>2.3026490941279079</v>
      </c>
      <c r="I7" s="3">
        <f>'Mastercurve bestimmen'!I441</f>
        <v>0.01</v>
      </c>
      <c r="J7" s="3">
        <f>'Mastercurve bestimmen'!J441</f>
        <v>8479.914716286281</v>
      </c>
      <c r="K7" s="3">
        <f>'Mastercurve bestimmen'!K441</f>
        <v>7932.3411730217404</v>
      </c>
      <c r="L7" s="3">
        <f>'Mastercurve bestimmen'!L441</f>
        <v>7573.2536155058961</v>
      </c>
      <c r="M7" s="3">
        <f>'Mastercurve bestimmen'!M441</f>
        <v>7256.8628130889483</v>
      </c>
      <c r="N7" s="3">
        <f>'Mastercurve bestimmen'!N441</f>
        <v>6844.7384968439528</v>
      </c>
      <c r="O7" s="3">
        <f>'Mastercurve bestimmen'!O441</f>
        <v>5945.6821100901007</v>
      </c>
      <c r="P7" s="3">
        <f>'Mastercurve bestimmen'!P441</f>
        <v>4808.4059861038604</v>
      </c>
    </row>
    <row r="8" spans="1:17" x14ac:dyDescent="0.25">
      <c r="A8" s="10">
        <f>LOG10('Mastercurve bestimmen'!A442)</f>
        <v>-1</v>
      </c>
      <c r="B8" s="10">
        <f>LOG10('Mastercurve bestimmen'!B442)</f>
        <v>-5.8670059488046888</v>
      </c>
      <c r="C8" s="10">
        <f>LOG10('Mastercurve bestimmen'!C442)</f>
        <v>-4.154165854955294</v>
      </c>
      <c r="D8" s="10">
        <f>LOG10('Mastercurve bestimmen'!D442)</f>
        <v>-3.0817221719967907</v>
      </c>
      <c r="E8" s="10">
        <f>LOG10('Mastercurve bestimmen'!E442)</f>
        <v>-2.146631154068626</v>
      </c>
      <c r="F8" s="10">
        <f>LOG10('Mastercurve bestimmen'!F442)</f>
        <v>-1</v>
      </c>
      <c r="G8" s="10">
        <f>LOG10('Mastercurve bestimmen'!G442)</f>
        <v>1.1825208272438803</v>
      </c>
      <c r="H8" s="10">
        <f>LOG10('Mastercurve bestimmen'!H442)</f>
        <v>3.3026490941279079</v>
      </c>
      <c r="I8" s="3">
        <f>'Mastercurve bestimmen'!I442</f>
        <v>0.1</v>
      </c>
      <c r="J8" s="3">
        <f>'Mastercurve bestimmen'!J442</f>
        <v>8128.965640404419</v>
      </c>
      <c r="K8" s="3">
        <f>'Mastercurve bestimmen'!K442</f>
        <v>7651.3188875674869</v>
      </c>
      <c r="L8" s="3">
        <f>'Mastercurve bestimmen'!L442</f>
        <v>7293.8613287583112</v>
      </c>
      <c r="M8" s="3">
        <f>'Mastercurve bestimmen'!M442</f>
        <v>6971.3695334324493</v>
      </c>
      <c r="N8" s="3">
        <f>'Mastercurve bestimmen'!N442</f>
        <v>6572.6294407257219</v>
      </c>
      <c r="O8" s="3">
        <f>'Mastercurve bestimmen'!O442</f>
        <v>5548.4424875147679</v>
      </c>
      <c r="P8" s="3">
        <f>'Mastercurve bestimmen'!P442</f>
        <v>4180.5720256158129</v>
      </c>
    </row>
    <row r="9" spans="1:17" x14ac:dyDescent="0.25">
      <c r="A9" s="10">
        <f>LOG10('Mastercurve bestimmen'!A443)</f>
        <v>0</v>
      </c>
      <c r="B9" s="10">
        <f>LOG10('Mastercurve bestimmen'!B443)</f>
        <v>-4.8670059488046888</v>
      </c>
      <c r="C9" s="10">
        <f>LOG10('Mastercurve bestimmen'!C443)</f>
        <v>-3.154165854955294</v>
      </c>
      <c r="D9" s="10">
        <f>LOG10('Mastercurve bestimmen'!D443)</f>
        <v>-2.0817221719967907</v>
      </c>
      <c r="E9" s="10">
        <f>LOG10('Mastercurve bestimmen'!E443)</f>
        <v>-1.146631154068626</v>
      </c>
      <c r="F9" s="10">
        <f>LOG10('Mastercurve bestimmen'!F443)</f>
        <v>0</v>
      </c>
      <c r="G9" s="10">
        <f>LOG10('Mastercurve bestimmen'!G443)</f>
        <v>2.1825208272438803</v>
      </c>
      <c r="H9" s="10">
        <f>LOG10('Mastercurve bestimmen'!H443)</f>
        <v>4.3026490941279079</v>
      </c>
      <c r="I9" s="3">
        <f>'Mastercurve bestimmen'!I443</f>
        <v>1</v>
      </c>
      <c r="J9" s="3">
        <f>'Mastercurve bestimmen'!J443</f>
        <v>7846.4940246078413</v>
      </c>
      <c r="K9" s="3">
        <f>'Mastercurve bestimmen'!K443</f>
        <v>7368.015082756323</v>
      </c>
      <c r="L9" s="3">
        <f>'Mastercurve bestimmen'!L443</f>
        <v>7004.3784649959834</v>
      </c>
      <c r="M9" s="3">
        <f>'Mastercurve bestimmen'!M443</f>
        <v>6688.5259415281262</v>
      </c>
      <c r="N9" s="3">
        <f>'Mastercurve bestimmen'!N443</f>
        <v>6219.0027578185491</v>
      </c>
      <c r="O9" s="3">
        <f>'Mastercurve bestimmen'!O443</f>
        <v>4973.8956031837224</v>
      </c>
      <c r="P9" s="3">
        <f>'Mastercurve bestimmen'!P443</f>
        <v>3284.9966289927738</v>
      </c>
    </row>
    <row r="10" spans="1:17" x14ac:dyDescent="0.25">
      <c r="A10" s="10">
        <f>LOG10('Mastercurve bestimmen'!A444)</f>
        <v>1</v>
      </c>
      <c r="B10" s="10">
        <f>LOG10('Mastercurve bestimmen'!B444)</f>
        <v>-3.8670059488046893</v>
      </c>
      <c r="C10" s="10">
        <f>LOG10('Mastercurve bestimmen'!C444)</f>
        <v>-2.154165854955294</v>
      </c>
      <c r="D10" s="10">
        <f>LOG10('Mastercurve bestimmen'!D444)</f>
        <v>-1.0817221719967907</v>
      </c>
      <c r="E10" s="10">
        <f>LOG10('Mastercurve bestimmen'!E444)</f>
        <v>-0.14663115406862604</v>
      </c>
      <c r="F10" s="10">
        <f>LOG10('Mastercurve bestimmen'!F444)</f>
        <v>1</v>
      </c>
      <c r="G10" s="10">
        <f>LOG10('Mastercurve bestimmen'!G444)</f>
        <v>3.1825208272438803</v>
      </c>
      <c r="H10" s="10">
        <f>LOG10('Mastercurve bestimmen'!H444)</f>
        <v>5.3026490941279079</v>
      </c>
      <c r="I10" s="3">
        <f>'Mastercurve bestimmen'!I444</f>
        <v>10</v>
      </c>
      <c r="J10" s="3">
        <f>'Mastercurve bestimmen'!J444</f>
        <v>7554.3574872186746</v>
      </c>
      <c r="K10" s="3">
        <f>'Mastercurve bestimmen'!K444</f>
        <v>7078.2683200185556</v>
      </c>
      <c r="L10" s="3">
        <f>'Mastercurve bestimmen'!L444</f>
        <v>6716.1281746734903</v>
      </c>
      <c r="M10" s="3">
        <f>'Mastercurve bestimmen'!M444</f>
        <v>6332.8599538611707</v>
      </c>
      <c r="N10" s="3">
        <f>'Mastercurve bestimmen'!N444</f>
        <v>5690.6299745251627</v>
      </c>
      <c r="O10" s="3">
        <f>'Mastercurve bestimmen'!O444</f>
        <v>4041.6864062630743</v>
      </c>
      <c r="P10" s="3">
        <f>'Mastercurve bestimmen'!P444</f>
        <v>2245.2955925232422</v>
      </c>
    </row>
    <row r="11" spans="1:17" x14ac:dyDescent="0.25">
      <c r="A11" s="10">
        <f>LOG10('Mastercurve bestimmen'!A445)</f>
        <v>2</v>
      </c>
      <c r="B11" s="10">
        <f>LOG10('Mastercurve bestimmen'!B445)</f>
        <v>-2.8670059488046893</v>
      </c>
      <c r="C11" s="10">
        <f>LOG10('Mastercurve bestimmen'!C445)</f>
        <v>-1.154165854955294</v>
      </c>
      <c r="D11" s="10">
        <f>LOG10('Mastercurve bestimmen'!D445)</f>
        <v>-8.172217199679066E-2</v>
      </c>
      <c r="E11" s="10">
        <f>LOG10('Mastercurve bestimmen'!E445)</f>
        <v>0.85336884593137396</v>
      </c>
      <c r="F11" s="10">
        <f>LOG10('Mastercurve bestimmen'!F445)</f>
        <v>2</v>
      </c>
      <c r="G11" s="10">
        <f>LOG10('Mastercurve bestimmen'!G445)</f>
        <v>4.1825208272438807</v>
      </c>
      <c r="H11" s="10">
        <f>LOG10('Mastercurve bestimmen'!H445)</f>
        <v>6.3026490941279079</v>
      </c>
      <c r="I11" s="3">
        <f>'Mastercurve bestimmen'!I445</f>
        <v>100</v>
      </c>
      <c r="J11" s="3">
        <f>'Mastercurve bestimmen'!J445</f>
        <v>7271.4639946770558</v>
      </c>
      <c r="K11" s="3">
        <f>'Mastercurve bestimmen'!K445</f>
        <v>6780.7506129740432</v>
      </c>
      <c r="L11" s="3">
        <f>'Mastercurve bestimmen'!L445</f>
        <v>6317.4824905918776</v>
      </c>
      <c r="M11" s="3">
        <f>'Mastercurve bestimmen'!M445</f>
        <v>5707.8128215740962</v>
      </c>
      <c r="N11" s="3">
        <f>'Mastercurve bestimmen'!N445</f>
        <v>4763.4711208275512</v>
      </c>
      <c r="O11" s="3">
        <f>'Mastercurve bestimmen'!O445</f>
        <v>2997.7303823547541</v>
      </c>
      <c r="P11" s="3">
        <f>'Mastercurve bestimmen'!P445</f>
        <v>1455.0382053123094</v>
      </c>
    </row>
    <row r="12" spans="1:17" x14ac:dyDescent="0.25">
      <c r="A12" s="10">
        <f>LOG10('Mastercurve bestimmen'!A446)</f>
        <v>3</v>
      </c>
      <c r="B12" s="10">
        <f>LOG10('Mastercurve bestimmen'!B446)</f>
        <v>-1.8670059488046893</v>
      </c>
      <c r="C12" s="10">
        <f>LOG10('Mastercurve bestimmen'!C446)</f>
        <v>-0.15416585495529406</v>
      </c>
      <c r="D12" s="10">
        <f>LOG10('Mastercurve bestimmen'!D446)</f>
        <v>0.91827782800320934</v>
      </c>
      <c r="E12" s="10">
        <f>LOG10('Mastercurve bestimmen'!E446)</f>
        <v>1.853368845931374</v>
      </c>
      <c r="F12" s="10">
        <f>LOG10('Mastercurve bestimmen'!F446)</f>
        <v>3</v>
      </c>
      <c r="G12" s="10">
        <f>LOG10('Mastercurve bestimmen'!G446)</f>
        <v>5.1825208272438807</v>
      </c>
      <c r="H12" s="10">
        <f>LOG10('Mastercurve bestimmen'!H446)</f>
        <v>7.3026490941279079</v>
      </c>
      <c r="I12" s="3">
        <f>'Mastercurve bestimmen'!I446</f>
        <v>1000</v>
      </c>
      <c r="J12" s="3">
        <f>'Mastercurve bestimmen'!J446</f>
        <v>6968.3337174677063</v>
      </c>
      <c r="K12" s="3">
        <f>'Mastercurve bestimmen'!K446</f>
        <v>6359.8481605512916</v>
      </c>
      <c r="L12" s="3">
        <f>'Mastercurve bestimmen'!L446</f>
        <v>5575.0877249610812</v>
      </c>
      <c r="M12" s="3">
        <f>'Mastercurve bestimmen'!M446</f>
        <v>4703.4024219609055</v>
      </c>
      <c r="N12" s="3">
        <f>'Mastercurve bestimmen'!N446</f>
        <v>3748.4083561986595</v>
      </c>
      <c r="O12" s="3">
        <f>'Mastercurve bestimmen'!O446</f>
        <v>2118.9396419195423</v>
      </c>
      <c r="P12" s="3">
        <f>'Mastercurve bestimmen'!P446</f>
        <v>939.75400333325899</v>
      </c>
    </row>
    <row r="13" spans="1:17" x14ac:dyDescent="0.25">
      <c r="A13" s="10">
        <f>LOG10('Mastercurve bestimmen'!A447)</f>
        <v>4</v>
      </c>
      <c r="B13" s="10">
        <f>LOG10('Mastercurve bestimmen'!B447)</f>
        <v>-0.86700594880468917</v>
      </c>
      <c r="C13" s="10">
        <f>LOG10('Mastercurve bestimmen'!C447)</f>
        <v>0.845834145044706</v>
      </c>
      <c r="D13" s="10">
        <f>LOG10('Mastercurve bestimmen'!D447)</f>
        <v>1.9182778280032093</v>
      </c>
      <c r="E13" s="10">
        <f>LOG10('Mastercurve bestimmen'!E447)</f>
        <v>2.853368845931374</v>
      </c>
      <c r="F13" s="10">
        <f>LOG10('Mastercurve bestimmen'!F447)</f>
        <v>4</v>
      </c>
      <c r="G13" s="10">
        <f>LOG10('Mastercurve bestimmen'!G447)</f>
        <v>6.1825208272438807</v>
      </c>
      <c r="H13" s="10">
        <f>LOG10('Mastercurve bestimmen'!H447)</f>
        <v>8.3026490941279079</v>
      </c>
      <c r="I13" s="3">
        <f>'Mastercurve bestimmen'!I447</f>
        <v>10000</v>
      </c>
      <c r="J13" s="3">
        <f>'Mastercurve bestimmen'!J447</f>
        <v>6660.7873102364538</v>
      </c>
      <c r="K13" s="3">
        <f>'Mastercurve bestimmen'!K447</f>
        <v>5533.5094566127227</v>
      </c>
      <c r="L13" s="3">
        <f>'Mastercurve bestimmen'!L447</f>
        <v>4517.4360226770941</v>
      </c>
      <c r="M13" s="3">
        <f>'Mastercurve bestimmen'!M447</f>
        <v>3716.6695709784594</v>
      </c>
      <c r="N13" s="3">
        <f>'Mastercurve bestimmen'!N447</f>
        <v>2899.8712503562774</v>
      </c>
      <c r="O13" s="3">
        <f>'Mastercurve bestimmen'!O447</f>
        <v>1431.9051140793895</v>
      </c>
      <c r="P13" s="3">
        <f>'Mastercurve bestimmen'!P447</f>
        <v>667.66248335298053</v>
      </c>
    </row>
    <row r="14" spans="1:17" x14ac:dyDescent="0.25">
      <c r="A14" s="10">
        <f>LOG10('Mastercurve bestimmen'!A448)</f>
        <v>5</v>
      </c>
      <c r="B14" s="10">
        <f>LOG10('Mastercurve bestimmen'!B448)</f>
        <v>0.13299405119531083</v>
      </c>
      <c r="C14" s="10">
        <f>LOG10('Mastercurve bestimmen'!C448)</f>
        <v>1.845834145044706</v>
      </c>
      <c r="D14" s="10">
        <f>LOG10('Mastercurve bestimmen'!D448)</f>
        <v>2.9182778280032093</v>
      </c>
      <c r="E14" s="10">
        <f>LOG10('Mastercurve bestimmen'!E448)</f>
        <v>3.853368845931374</v>
      </c>
      <c r="F14" s="10">
        <f>LOG10('Mastercurve bestimmen'!F448)</f>
        <v>5</v>
      </c>
      <c r="G14" s="10">
        <f>LOG10('Mastercurve bestimmen'!G448)</f>
        <v>7.1825208272438807</v>
      </c>
      <c r="H14" s="10">
        <f>LOG10('Mastercurve bestimmen'!H448)</f>
        <v>9.3026490941279079</v>
      </c>
      <c r="I14" s="3">
        <f>'Mastercurve bestimmen'!I448</f>
        <v>100000</v>
      </c>
      <c r="J14" s="3">
        <f>'Mastercurve bestimmen'!J448</f>
        <v>6120.1247453486039</v>
      </c>
      <c r="K14" s="3">
        <f>'Mastercurve bestimmen'!K448</f>
        <v>4472.2559132167689</v>
      </c>
      <c r="L14" s="3">
        <f>'Mastercurve bestimmen'!L448</f>
        <v>3579.1976948167016</v>
      </c>
      <c r="M14" s="3">
        <f>'Mastercurve bestimmen'!M448</f>
        <v>2925.6425281910142</v>
      </c>
      <c r="N14" s="3">
        <f>'Mastercurve bestimmen'!N448</f>
        <v>2207.9514817928284</v>
      </c>
      <c r="O14" s="3">
        <f>'Mastercurve bestimmen'!O448</f>
        <v>967.83847313448518</v>
      </c>
      <c r="P14" s="3">
        <f>'Mastercurve bestimmen'!P448</f>
        <v>524.73653922891083</v>
      </c>
    </row>
    <row r="15" spans="1:17" x14ac:dyDescent="0.25">
      <c r="A15" s="10">
        <f>LOG10('Mastercurve bestimmen'!A449)</f>
        <v>6</v>
      </c>
      <c r="B15" s="10">
        <f>LOG10('Mastercurve bestimmen'!B449)</f>
        <v>1.1329940511953109</v>
      </c>
      <c r="C15" s="10">
        <f>LOG10('Mastercurve bestimmen'!C449)</f>
        <v>2.845834145044706</v>
      </c>
      <c r="D15" s="10">
        <f>LOG10('Mastercurve bestimmen'!D449)</f>
        <v>3.9182778280032093</v>
      </c>
      <c r="E15" s="10">
        <f>LOG10('Mastercurve bestimmen'!E449)</f>
        <v>4.8533688459313735</v>
      </c>
      <c r="F15" s="10">
        <f>LOG10('Mastercurve bestimmen'!F449)</f>
        <v>6</v>
      </c>
      <c r="G15" s="10">
        <f>LOG10('Mastercurve bestimmen'!G449)</f>
        <v>8.1825208272438807</v>
      </c>
      <c r="H15" s="10">
        <f>LOG10('Mastercurve bestimmen'!H449)</f>
        <v>10.302649094127908</v>
      </c>
      <c r="I15" s="3">
        <f>'Mastercurve bestimmen'!I449</f>
        <v>1000000</v>
      </c>
      <c r="J15" s="3">
        <f>'Mastercurve bestimmen'!J449</f>
        <v>5179.772775385416</v>
      </c>
      <c r="K15" s="3">
        <f>'Mastercurve bestimmen'!K449</f>
        <v>3559.9181790033126</v>
      </c>
      <c r="L15" s="3">
        <f>'Mastercurve bestimmen'!L449</f>
        <v>2836.8024969308635</v>
      </c>
      <c r="M15" s="3">
        <f>'Mastercurve bestimmen'!M449</f>
        <v>2271.2592133629987</v>
      </c>
      <c r="N15" s="3">
        <f>'Mastercurve bestimmen'!N449</f>
        <v>1604.1263924000411</v>
      </c>
      <c r="O15" s="3">
        <f>'Mastercurve bestimmen'!O449</f>
        <v>675.63698437161315</v>
      </c>
      <c r="P15" s="3">
        <f>'Mastercurve bestimmen'!P449</f>
        <v>458.1071148045329</v>
      </c>
    </row>
    <row r="16" spans="1:17" x14ac:dyDescent="0.25">
      <c r="A16" s="10">
        <f>LOG10('Mastercurve bestimmen'!A450)</f>
        <v>7</v>
      </c>
      <c r="B16" s="10">
        <f>LOG10('Mastercurve bestimmen'!B450)</f>
        <v>2.1329940511953107</v>
      </c>
      <c r="C16" s="10">
        <f>LOG10('Mastercurve bestimmen'!C450)</f>
        <v>3.845834145044706</v>
      </c>
      <c r="D16" s="10">
        <f>LOG10('Mastercurve bestimmen'!D450)</f>
        <v>4.9182778280032098</v>
      </c>
      <c r="E16" s="10">
        <f>LOG10('Mastercurve bestimmen'!E450)</f>
        <v>5.8533688459313735</v>
      </c>
      <c r="F16" s="10">
        <f>LOG10('Mastercurve bestimmen'!F450)</f>
        <v>7</v>
      </c>
      <c r="G16" s="10">
        <f>LOG10('Mastercurve bestimmen'!G450)</f>
        <v>9.1825208272438807</v>
      </c>
      <c r="H16" s="10">
        <f>LOG10('Mastercurve bestimmen'!H450)</f>
        <v>11.302649094127908</v>
      </c>
      <c r="I16" s="3">
        <f>'Mastercurve bestimmen'!I450</f>
        <v>10000000</v>
      </c>
      <c r="J16" s="3">
        <f>'Mastercurve bestimmen'!J450</f>
        <v>4110.4480491252179</v>
      </c>
      <c r="K16" s="3">
        <f>'Mastercurve bestimmen'!K450</f>
        <v>2844.2645935941323</v>
      </c>
      <c r="L16" s="3">
        <f>'Mastercurve bestimmen'!L450</f>
        <v>2213.6861360404496</v>
      </c>
      <c r="M16" s="3">
        <f>'Mastercurve bestimmen'!M450</f>
        <v>1690.9117320692962</v>
      </c>
      <c r="N16" s="3">
        <f>'Mastercurve bestimmen'!N450</f>
        <v>1123.4067588567204</v>
      </c>
      <c r="O16" s="3">
        <f>'Mastercurve bestimmen'!O450</f>
        <v>531.67099399258564</v>
      </c>
      <c r="P16" s="3">
        <f>'Mastercurve bestimmen'!P450</f>
        <v>416.14335450856197</v>
      </c>
    </row>
    <row r="17" spans="1:16" x14ac:dyDescent="0.25">
      <c r="A17" s="10">
        <f>LOG10('Mastercurve bestimmen'!A451)</f>
        <v>8</v>
      </c>
      <c r="B17" s="10">
        <f>LOG10('Mastercurve bestimmen'!B451)</f>
        <v>3.1329940511953107</v>
      </c>
      <c r="C17" s="10">
        <f>LOG10('Mastercurve bestimmen'!C451)</f>
        <v>4.845834145044706</v>
      </c>
      <c r="D17" s="10">
        <f>LOG10('Mastercurve bestimmen'!D451)</f>
        <v>5.9182778280032098</v>
      </c>
      <c r="E17" s="10">
        <f>LOG10('Mastercurve bestimmen'!E451)</f>
        <v>6.8533688459313744</v>
      </c>
      <c r="F17" s="10">
        <f>LOG10('Mastercurve bestimmen'!F451)</f>
        <v>8</v>
      </c>
      <c r="G17" s="10">
        <f>LOG10('Mastercurve bestimmen'!G451)</f>
        <v>10.182520827243881</v>
      </c>
      <c r="H17" s="10">
        <f>LOG10('Mastercurve bestimmen'!H451)</f>
        <v>12.302649094127908</v>
      </c>
      <c r="I17" s="3">
        <f>'Mastercurve bestimmen'!I451</f>
        <v>100000000</v>
      </c>
      <c r="J17" s="3">
        <f>'Mastercurve bestimmen'!J451</f>
        <v>3245.0810486621449</v>
      </c>
      <c r="K17" s="3">
        <f>'Mastercurve bestimmen'!K451</f>
        <v>2237.2915384432267</v>
      </c>
      <c r="L17" s="3">
        <f>'Mastercurve bestimmen'!L451</f>
        <v>1650.6334197278006</v>
      </c>
      <c r="M17" s="3">
        <f>'Mastercurve bestimmen'!M451</f>
        <v>1194.4542594457305</v>
      </c>
      <c r="N17" s="3">
        <f>'Mastercurve bestimmen'!N451</f>
        <v>780.76520754617513</v>
      </c>
      <c r="O17" s="3">
        <f>'Mastercurve bestimmen'!O451</f>
        <v>453.91977153237434</v>
      </c>
      <c r="P17" s="3">
        <f>'Mastercurve bestimmen'!P451</f>
        <v>393.17885286775953</v>
      </c>
    </row>
    <row r="18" spans="1:16" x14ac:dyDescent="0.25">
      <c r="A18" s="10">
        <f>LOG10('Mastercurve bestimmen'!A452)</f>
        <v>9</v>
      </c>
      <c r="B18" s="10">
        <f>LOG10('Mastercurve bestimmen'!B452)</f>
        <v>4.1329940511953112</v>
      </c>
      <c r="C18" s="10">
        <f>LOG10('Mastercurve bestimmen'!C452)</f>
        <v>5.845834145044706</v>
      </c>
      <c r="D18" s="10">
        <f>LOG10('Mastercurve bestimmen'!D452)</f>
        <v>6.9182778280032098</v>
      </c>
      <c r="E18" s="10">
        <f>LOG10('Mastercurve bestimmen'!E452)</f>
        <v>7.8533688459313735</v>
      </c>
      <c r="F18" s="10">
        <f>LOG10('Mastercurve bestimmen'!F452)</f>
        <v>9</v>
      </c>
      <c r="G18" s="10">
        <f>LOG10('Mastercurve bestimmen'!G452)</f>
        <v>11.182520827243881</v>
      </c>
      <c r="H18" s="10">
        <f>LOG10('Mastercurve bestimmen'!H452)</f>
        <v>13.302649094127908</v>
      </c>
      <c r="I18" s="3">
        <f>'Mastercurve bestimmen'!I452</f>
        <v>1000000000</v>
      </c>
      <c r="J18" s="3">
        <f>'Mastercurve bestimmen'!J452</f>
        <v>2543.9226414929772</v>
      </c>
      <c r="K18" s="3">
        <f>'Mastercurve bestimmen'!K452</f>
        <v>1684.6343995836892</v>
      </c>
      <c r="L18" s="3">
        <f>'Mastercurve bestimmen'!L452</f>
        <v>1168.6567020451771</v>
      </c>
      <c r="M18" s="3">
        <f>'Mastercurve bestimmen'!M452</f>
        <v>834.8043301176574</v>
      </c>
      <c r="N18" s="3">
        <f>'Mastercurve bestimmen'!N452</f>
        <v>582.0058323502866</v>
      </c>
      <c r="O18" s="3">
        <f>'Mastercurve bestimmen'!O452</f>
        <v>417.85505040960345</v>
      </c>
      <c r="P18" s="3">
        <f>'Mastercurve bestimmen'!P452</f>
        <v>379.36405724647841</v>
      </c>
    </row>
    <row r="19" spans="1:16" x14ac:dyDescent="0.25">
      <c r="A19" s="10">
        <f>LOG10('Mastercurve bestimmen'!A453)</f>
        <v>10</v>
      </c>
      <c r="B19" s="10">
        <f>LOG10('Mastercurve bestimmen'!B453)</f>
        <v>5.1329940511953112</v>
      </c>
      <c r="C19" s="10">
        <f>LOG10('Mastercurve bestimmen'!C453)</f>
        <v>6.845834145044706</v>
      </c>
      <c r="D19" s="10">
        <f>LOG10('Mastercurve bestimmen'!D453)</f>
        <v>7.9182778280032098</v>
      </c>
      <c r="E19" s="10">
        <f>LOG10('Mastercurve bestimmen'!E453)</f>
        <v>8.8533688459313744</v>
      </c>
      <c r="F19" s="10">
        <f>LOG10('Mastercurve bestimmen'!F453)</f>
        <v>10</v>
      </c>
      <c r="G19" s="10">
        <f>LOG10('Mastercurve bestimmen'!G453)</f>
        <v>12.182520827243881</v>
      </c>
      <c r="H19" s="10">
        <f>LOG10('Mastercurve bestimmen'!H453)</f>
        <v>14.302649094127908</v>
      </c>
      <c r="I19" s="3">
        <f>'Mastercurve bestimmen'!I453</f>
        <v>10000000000</v>
      </c>
      <c r="J19" s="3">
        <f>'Mastercurve bestimmen'!J453</f>
        <v>1944.565914995268</v>
      </c>
      <c r="K19" s="3">
        <f>'Mastercurve bestimmen'!K453</f>
        <v>1197.1004230306633</v>
      </c>
      <c r="L19" s="3">
        <f>'Mastercurve bestimmen'!L453</f>
        <v>818.07631905971209</v>
      </c>
      <c r="M19" s="3">
        <f>'Mastercurve bestimmen'!M453</f>
        <v>607.40413984309237</v>
      </c>
      <c r="N19" s="3">
        <f>'Mastercurve bestimmen'!N453</f>
        <v>477.43912435634792</v>
      </c>
      <c r="O19" s="3">
        <f>'Mastercurve bestimmen'!O453</f>
        <v>391.91620643386665</v>
      </c>
      <c r="P19" s="3">
        <f>'Mastercurve bestimmen'!P453</f>
        <v>357.29334618358928</v>
      </c>
    </row>
    <row r="20" spans="1:16" x14ac:dyDescent="0.25">
      <c r="A20" s="10">
        <f>LOG10('Mastercurve bestimmen'!A454)</f>
        <v>11</v>
      </c>
      <c r="B20" s="10">
        <f>LOG10('Mastercurve bestimmen'!B454)</f>
        <v>6.1329940511953112</v>
      </c>
      <c r="C20" s="10">
        <f>LOG10('Mastercurve bestimmen'!C454)</f>
        <v>7.845834145044706</v>
      </c>
      <c r="D20" s="10">
        <f>LOG10('Mastercurve bestimmen'!D454)</f>
        <v>8.9182778280032089</v>
      </c>
      <c r="E20" s="10">
        <f>LOG10('Mastercurve bestimmen'!E454)</f>
        <v>9.8533688459313744</v>
      </c>
      <c r="F20" s="10">
        <f>LOG10('Mastercurve bestimmen'!F454)</f>
        <v>11</v>
      </c>
      <c r="G20" s="10">
        <f>LOG10('Mastercurve bestimmen'!G454)</f>
        <v>13.182520827243881</v>
      </c>
      <c r="H20" s="10">
        <f>LOG10('Mastercurve bestimmen'!H454)</f>
        <v>15.302649094127908</v>
      </c>
      <c r="I20" s="3">
        <f>'Mastercurve bestimmen'!I454</f>
        <v>100000000000</v>
      </c>
      <c r="J20" s="3">
        <f>'Mastercurve bestimmen'!J454</f>
        <v>1396.8383179282553</v>
      </c>
      <c r="K20" s="3">
        <f>'Mastercurve bestimmen'!K454</f>
        <v>840.12332203849121</v>
      </c>
      <c r="L20" s="3">
        <f>'Mastercurve bestimmen'!L454</f>
        <v>599.03104161742488</v>
      </c>
      <c r="M20" s="3">
        <f>'Mastercurve bestimmen'!M454</f>
        <v>493.01101666641495</v>
      </c>
      <c r="N20" s="3">
        <f>'Mastercurve bestimmen'!N454</f>
        <v>428.31766172038903</v>
      </c>
      <c r="O20" s="3">
        <f>'Mastercurve bestimmen'!O454</f>
        <v>379.02694798430821</v>
      </c>
      <c r="P20" s="3">
        <f>'Mastercurve bestimmen'!P454</f>
        <v>350.56361233759071</v>
      </c>
    </row>
    <row r="21" spans="1:16" x14ac:dyDescent="0.25">
      <c r="A21" s="10">
        <f>LOG10('Mastercurve bestimmen'!A455)</f>
        <v>12</v>
      </c>
      <c r="B21" s="10">
        <f>LOG10('Mastercurve bestimmen'!B455)</f>
        <v>7.1329940511953112</v>
      </c>
      <c r="C21" s="10">
        <f>LOG10('Mastercurve bestimmen'!C455)</f>
        <v>8.8458341450447051</v>
      </c>
      <c r="D21" s="10">
        <f>LOG10('Mastercurve bestimmen'!D455)</f>
        <v>9.9182778280032089</v>
      </c>
      <c r="E21" s="10">
        <f>LOG10('Mastercurve bestimmen'!E455)</f>
        <v>10.853368845931374</v>
      </c>
      <c r="F21" s="10">
        <f>LOG10('Mastercurve bestimmen'!F455)</f>
        <v>12</v>
      </c>
      <c r="G21" s="10">
        <f>LOG10('Mastercurve bestimmen'!G455)</f>
        <v>14.182520827243881</v>
      </c>
      <c r="H21" s="10">
        <f>LOG10('Mastercurve bestimmen'!H455)</f>
        <v>16.302649094127908</v>
      </c>
      <c r="I21" s="3">
        <f>'Mastercurve bestimmen'!I455</f>
        <v>1000000000000</v>
      </c>
      <c r="J21" s="3">
        <f>'Mastercurve bestimmen'!J455</f>
        <v>982.12621210790121</v>
      </c>
      <c r="K21" s="3">
        <f>'Mastercurve bestimmen'!K455</f>
        <v>609.58567269963044</v>
      </c>
      <c r="L21" s="3">
        <f>'Mastercurve bestimmen'!L455</f>
        <v>488.03069035934635</v>
      </c>
      <c r="M21" s="3">
        <f>'Mastercurve bestimmen'!M455</f>
        <v>433.7285115590953</v>
      </c>
      <c r="N21" s="3">
        <f>'Mastercurve bestimmen'!N455</f>
        <v>398.6513774250231</v>
      </c>
      <c r="O21" s="3">
        <f>'Mastercurve bestimmen'!O455</f>
        <v>367.59357086994629</v>
      </c>
      <c r="P21" s="3">
        <f>'Mastercurve bestimmen'!P455</f>
        <v>345.69227327199394</v>
      </c>
    </row>
    <row r="22" spans="1:16" x14ac:dyDescent="0.25">
      <c r="A22" s="10">
        <f>LOG10('Mastercurve bestimmen'!A456)</f>
        <v>13</v>
      </c>
      <c r="B22" s="10">
        <f>LOG10('Mastercurve bestimmen'!B456)</f>
        <v>8.1329940511953112</v>
      </c>
      <c r="C22" s="10">
        <f>LOG10('Mastercurve bestimmen'!C456)</f>
        <v>9.8458341450447051</v>
      </c>
      <c r="D22" s="10">
        <f>LOG10('Mastercurve bestimmen'!D456)</f>
        <v>10.918277828003209</v>
      </c>
      <c r="E22" s="10">
        <f>LOG10('Mastercurve bestimmen'!E456)</f>
        <v>11.853368845931374</v>
      </c>
      <c r="F22" s="10">
        <f>LOG10('Mastercurve bestimmen'!F456)</f>
        <v>13</v>
      </c>
      <c r="G22" s="10">
        <f>LOG10('Mastercurve bestimmen'!G456)</f>
        <v>15.182520827243881</v>
      </c>
      <c r="H22" s="10">
        <f>LOG10('Mastercurve bestimmen'!H456)</f>
        <v>17.302649094127908</v>
      </c>
      <c r="I22" s="3">
        <f>'Mastercurve bestimmen'!I456</f>
        <v>10000000000000</v>
      </c>
      <c r="J22" s="3">
        <f>'Mastercurve bestimmen'!J456</f>
        <v>689.03519551617785</v>
      </c>
      <c r="K22" s="3">
        <f>'Mastercurve bestimmen'!K456</f>
        <v>494.5048529689002</v>
      </c>
      <c r="L22" s="3">
        <f>'Mastercurve bestimmen'!L456</f>
        <v>431.51308603872349</v>
      </c>
      <c r="M22" s="3">
        <f>'Mastercurve bestimmen'!M456</f>
        <v>403.76473002951963</v>
      </c>
      <c r="N22" s="3">
        <f>'Mastercurve bestimmen'!N456</f>
        <v>385.25122525189607</v>
      </c>
      <c r="O22" s="3">
        <f>'Mastercurve bestimmen'!O456</f>
        <v>348.16027376363564</v>
      </c>
      <c r="P22" s="3">
        <f>'Mastercurve bestimmen'!P456</f>
        <v>345.40832820533547</v>
      </c>
    </row>
    <row r="23" spans="1:16" x14ac:dyDescent="0.25">
      <c r="A23" s="10">
        <f>LOG10('Mastercurve bestimmen'!A457)</f>
        <v>14</v>
      </c>
      <c r="B23" s="10">
        <f>LOG10('Mastercurve bestimmen'!B457)</f>
        <v>9.1329940511953112</v>
      </c>
      <c r="C23" s="10">
        <f>LOG10('Mastercurve bestimmen'!C457)</f>
        <v>10.845834145044705</v>
      </c>
      <c r="D23" s="10">
        <f>LOG10('Mastercurve bestimmen'!D457)</f>
        <v>11.918277828003209</v>
      </c>
      <c r="E23" s="10">
        <f>LOG10('Mastercurve bestimmen'!E457)</f>
        <v>12.853368845931374</v>
      </c>
      <c r="F23" s="10">
        <f>LOG10('Mastercurve bestimmen'!F457)</f>
        <v>14</v>
      </c>
      <c r="G23" s="10">
        <f>LOG10('Mastercurve bestimmen'!G457)</f>
        <v>16.182520827243881</v>
      </c>
      <c r="H23" s="10">
        <f>LOG10('Mastercurve bestimmen'!H457)</f>
        <v>18.302649094127908</v>
      </c>
      <c r="I23" s="3">
        <f>'Mastercurve bestimmen'!I457</f>
        <v>100000000000000</v>
      </c>
      <c r="J23" s="3">
        <f>'Mastercurve bestimmen'!J457</f>
        <v>537.03681449352746</v>
      </c>
      <c r="K23" s="3">
        <f>'Mastercurve bestimmen'!K457</f>
        <v>433.69545003412065</v>
      </c>
      <c r="L23" s="3">
        <f>'Mastercurve bestimmen'!L457</f>
        <v>402.06033913876905</v>
      </c>
      <c r="M23" s="3">
        <f>'Mastercurve bestimmen'!M457</f>
        <v>387.64349199783766</v>
      </c>
      <c r="N23" s="3">
        <f>'Mastercurve bestimmen'!N457</f>
        <v>372.90060316523403</v>
      </c>
      <c r="O23" s="3">
        <f>'Mastercurve bestimmen'!O457</f>
        <v>346.81429429478277</v>
      </c>
      <c r="P23" s="3">
        <f>'Mastercurve bestimmen'!P457</f>
        <v>343.52176757284224</v>
      </c>
    </row>
    <row r="24" spans="1:16" x14ac:dyDescent="0.25">
      <c r="A24" s="10">
        <f>LOG10('Mastercurve bestimmen'!A458)</f>
        <v>15</v>
      </c>
      <c r="B24" s="10">
        <f>LOG10('Mastercurve bestimmen'!B458)</f>
        <v>10.132994051195311</v>
      </c>
      <c r="C24" s="10">
        <f>LOG10('Mastercurve bestimmen'!C458)</f>
        <v>11.845834145044705</v>
      </c>
      <c r="D24" s="10">
        <f>LOG10('Mastercurve bestimmen'!D458)</f>
        <v>12.918277828003209</v>
      </c>
      <c r="E24" s="10">
        <f>LOG10('Mastercurve bestimmen'!E458)</f>
        <v>13.853368845931374</v>
      </c>
      <c r="F24" s="10">
        <f>LOG10('Mastercurve bestimmen'!F458)</f>
        <v>15</v>
      </c>
      <c r="G24" s="10">
        <f>LOG10('Mastercurve bestimmen'!G458)</f>
        <v>17.182520827243881</v>
      </c>
      <c r="H24" s="10">
        <f>LOG10('Mastercurve bestimmen'!H458)</f>
        <v>19.302649094127908</v>
      </c>
      <c r="I24" s="3">
        <f>'Mastercurve bestimmen'!I458</f>
        <v>1000000000000000</v>
      </c>
      <c r="J24" s="3">
        <f>'Mastercurve bestimmen'!J458</f>
        <v>452.34025000519932</v>
      </c>
      <c r="K24" s="3">
        <f>'Mastercurve bestimmen'!K458</f>
        <v>404.17805740514621</v>
      </c>
      <c r="L24" s="3">
        <f>'Mastercurve bestimmen'!L458</f>
        <v>386.49357349528668</v>
      </c>
      <c r="M24" s="3">
        <f>'Mastercurve bestimmen'!M458</f>
        <v>374.47481405228427</v>
      </c>
      <c r="N24" s="3">
        <f>'Mastercurve bestimmen'!N458</f>
        <v>356.83813776395743</v>
      </c>
      <c r="O24" s="3">
        <f>'Mastercurve bestimmen'!O458</f>
        <v>343.74512434370951</v>
      </c>
      <c r="P24" s="3">
        <f>'Mastercurve bestimmen'!P458</f>
        <v>342.36979608181048</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164</v>
      </c>
      <c r="B36" s="3"/>
      <c r="C36" s="3"/>
      <c r="D36" s="3"/>
      <c r="E36" s="3"/>
      <c r="F36" s="3"/>
      <c r="G36" s="3"/>
      <c r="H36" s="3"/>
      <c r="I36" s="3"/>
      <c r="J36" s="3"/>
      <c r="K36" s="3"/>
      <c r="L36" s="3"/>
      <c r="M36" s="3"/>
      <c r="N36" s="3"/>
      <c r="O36" s="3"/>
      <c r="P36" s="3"/>
    </row>
    <row r="37" spans="1:16" x14ac:dyDescent="0.25">
      <c r="A37" s="119">
        <f>-15</f>
        <v>-15</v>
      </c>
      <c r="B37" s="3"/>
      <c r="C37" s="3">
        <v>6200.2105978468089</v>
      </c>
      <c r="D37" s="3">
        <v>5378.6083440825278</v>
      </c>
      <c r="E37" s="3">
        <v>4433.766415672103</v>
      </c>
      <c r="F37" s="3">
        <v>3590.208067362345</v>
      </c>
      <c r="G37" s="3">
        <v>2207.9514817928284</v>
      </c>
      <c r="H37" s="3">
        <v>1043.8423268881359</v>
      </c>
      <c r="I37" s="3"/>
      <c r="J37" s="3"/>
      <c r="K37" s="3"/>
      <c r="L37" s="3"/>
      <c r="M37" s="3"/>
      <c r="N37" s="3"/>
      <c r="O37" s="3"/>
      <c r="P37" s="3"/>
    </row>
    <row r="38" spans="1:16" x14ac:dyDescent="0.25">
      <c r="A38" s="120">
        <f>A37+1</f>
        <v>-14</v>
      </c>
      <c r="B38" s="3"/>
      <c r="C38" s="3">
        <v>6200.2105978468089</v>
      </c>
      <c r="D38" s="3">
        <v>5378.6083440825278</v>
      </c>
      <c r="E38" s="3">
        <v>4433.766415672103</v>
      </c>
      <c r="F38" s="3">
        <v>3590.208067362345</v>
      </c>
      <c r="G38" s="3">
        <v>2207.9514817928284</v>
      </c>
      <c r="H38" s="3">
        <v>1043.8423268881359</v>
      </c>
      <c r="I38" s="3"/>
      <c r="J38" s="3"/>
      <c r="K38" s="3"/>
      <c r="L38" s="3"/>
      <c r="M38" s="3"/>
      <c r="N38" s="3"/>
      <c r="O38" s="3"/>
      <c r="P38" s="3"/>
    </row>
    <row r="39" spans="1:16" x14ac:dyDescent="0.25">
      <c r="A39" s="120">
        <f t="shared" ref="A39:A67" si="0">A38+1</f>
        <v>-13</v>
      </c>
      <c r="B39" s="3"/>
      <c r="C39" s="3">
        <v>6200.2105978468089</v>
      </c>
      <c r="D39" s="3">
        <v>5378.6083440825278</v>
      </c>
      <c r="E39" s="3">
        <v>4433.766415672103</v>
      </c>
      <c r="F39" s="3">
        <v>3590.208067362345</v>
      </c>
      <c r="G39" s="3">
        <v>2207.9514817928284</v>
      </c>
      <c r="H39" s="3">
        <v>1043.8423268881359</v>
      </c>
      <c r="I39" s="3"/>
      <c r="J39" s="3"/>
      <c r="K39" s="3"/>
      <c r="L39" s="3"/>
      <c r="M39" s="3"/>
      <c r="N39" s="3"/>
      <c r="O39" s="3"/>
      <c r="P39" s="3"/>
    </row>
    <row r="40" spans="1:16" x14ac:dyDescent="0.25">
      <c r="A40" s="120">
        <f t="shared" si="0"/>
        <v>-12</v>
      </c>
      <c r="B40" s="3"/>
      <c r="C40" s="3">
        <v>6200.2105978468089</v>
      </c>
      <c r="D40" s="3">
        <v>5378.6083440825278</v>
      </c>
      <c r="E40" s="3">
        <v>4433.766415672103</v>
      </c>
      <c r="F40" s="3">
        <v>3590.208067362345</v>
      </c>
      <c r="G40" s="3">
        <v>2207.9514817928284</v>
      </c>
      <c r="H40" s="3">
        <v>1043.8423268881359</v>
      </c>
      <c r="I40" s="3"/>
      <c r="J40" s="3"/>
      <c r="K40" s="3"/>
      <c r="L40" s="3"/>
      <c r="M40" s="3"/>
      <c r="N40" s="3"/>
      <c r="O40" s="3"/>
      <c r="P40" s="3"/>
    </row>
    <row r="41" spans="1:16" x14ac:dyDescent="0.25">
      <c r="A41" s="120">
        <f t="shared" si="0"/>
        <v>-11</v>
      </c>
      <c r="B41" s="3"/>
      <c r="C41" s="3">
        <v>6200.2105978468089</v>
      </c>
      <c r="D41" s="3">
        <v>5378.6083440825278</v>
      </c>
      <c r="E41" s="3">
        <v>4433.766415672103</v>
      </c>
      <c r="F41" s="3">
        <v>3590.208067362345</v>
      </c>
      <c r="G41" s="3">
        <v>2207.9514817928284</v>
      </c>
      <c r="H41" s="3">
        <v>1043.8423268881359</v>
      </c>
      <c r="I41" s="3"/>
      <c r="J41" s="3"/>
      <c r="K41" s="3"/>
      <c r="L41" s="3"/>
      <c r="M41" s="3"/>
      <c r="N41" s="3"/>
      <c r="O41" s="3"/>
      <c r="P41" s="3"/>
    </row>
    <row r="42" spans="1:16" x14ac:dyDescent="0.25">
      <c r="A42" s="120">
        <f t="shared" si="0"/>
        <v>-10</v>
      </c>
      <c r="B42" s="3"/>
      <c r="C42" s="3">
        <v>6200.2105978468089</v>
      </c>
      <c r="D42" s="3">
        <v>5378.6083440825278</v>
      </c>
      <c r="E42" s="3">
        <v>4433.766415672103</v>
      </c>
      <c r="F42" s="3">
        <v>3590.208067362345</v>
      </c>
      <c r="G42" s="3">
        <v>2207.9514817928284</v>
      </c>
      <c r="H42" s="3">
        <v>1043.8423268881359</v>
      </c>
      <c r="I42" s="3"/>
      <c r="J42" s="3"/>
      <c r="K42" s="3"/>
      <c r="L42" s="3"/>
      <c r="M42" s="3"/>
      <c r="N42" s="3"/>
      <c r="O42" s="3"/>
      <c r="P42" s="3"/>
    </row>
    <row r="43" spans="1:16" x14ac:dyDescent="0.25">
      <c r="A43" s="120">
        <f t="shared" si="0"/>
        <v>-9</v>
      </c>
      <c r="B43" s="3">
        <v>9251.8682861384877</v>
      </c>
      <c r="C43" s="3">
        <v>6200.2105978468089</v>
      </c>
      <c r="D43" s="3">
        <v>5378.6083440825278</v>
      </c>
      <c r="E43" s="3">
        <v>4433.766415672103</v>
      </c>
      <c r="F43" s="3">
        <v>3590.208067362345</v>
      </c>
      <c r="G43" s="3">
        <v>2207.9514817928284</v>
      </c>
      <c r="H43" s="3">
        <v>1043.8423268881359</v>
      </c>
      <c r="I43" s="3"/>
      <c r="J43" s="3"/>
      <c r="K43" s="3"/>
      <c r="L43" s="3"/>
      <c r="M43" s="3"/>
      <c r="N43" s="3"/>
      <c r="O43" s="3"/>
      <c r="P43" s="3"/>
    </row>
    <row r="44" spans="1:16" x14ac:dyDescent="0.25">
      <c r="A44" s="120">
        <f t="shared" si="0"/>
        <v>-8</v>
      </c>
      <c r="B44" s="3">
        <v>8907.662620831421</v>
      </c>
      <c r="C44" s="3">
        <v>8926.6511195808525</v>
      </c>
      <c r="D44" s="3">
        <v>5378.6083440825278</v>
      </c>
      <c r="E44" s="3">
        <v>4433.766415672103</v>
      </c>
      <c r="F44" s="3">
        <v>3590.208067362345</v>
      </c>
      <c r="G44" s="3">
        <v>2207.9514817928284</v>
      </c>
      <c r="H44" s="3">
        <v>1043.8423268881359</v>
      </c>
      <c r="I44" s="3"/>
      <c r="J44" s="3"/>
      <c r="K44" s="3"/>
      <c r="L44" s="3"/>
      <c r="M44" s="3"/>
      <c r="N44" s="3"/>
      <c r="O44" s="3"/>
      <c r="P44" s="3"/>
    </row>
    <row r="45" spans="1:16" x14ac:dyDescent="0.25">
      <c r="A45" s="120">
        <f t="shared" si="0"/>
        <v>-7</v>
      </c>
      <c r="B45" s="3">
        <v>8528.150158496941</v>
      </c>
      <c r="C45" s="3">
        <v>8578.9524826967663</v>
      </c>
      <c r="D45" s="3">
        <v>8498.9745136565653</v>
      </c>
      <c r="E45" s="3">
        <v>4433.766415672103</v>
      </c>
      <c r="F45" s="3">
        <v>3590.208067362345</v>
      </c>
      <c r="G45" s="3">
        <v>2207.9514817928284</v>
      </c>
      <c r="H45" s="3">
        <v>1043.8423268881359</v>
      </c>
      <c r="I45" s="3"/>
      <c r="J45" s="3"/>
      <c r="K45" s="3"/>
      <c r="L45" s="3"/>
      <c r="M45" s="3"/>
      <c r="N45" s="3"/>
      <c r="O45" s="3"/>
      <c r="P45" s="3"/>
    </row>
    <row r="46" spans="1:16" x14ac:dyDescent="0.25">
      <c r="A46" s="120">
        <f t="shared" si="0"/>
        <v>-6</v>
      </c>
      <c r="B46" s="3">
        <v>8171.7385568803238</v>
      </c>
      <c r="C46" s="3">
        <v>8190.0619829249617</v>
      </c>
      <c r="D46" s="3">
        <v>8145.3751861820401</v>
      </c>
      <c r="E46" s="3">
        <v>8085.1588829941484</v>
      </c>
      <c r="F46" s="3">
        <v>3590.208067362345</v>
      </c>
      <c r="G46" s="3">
        <v>2207.9514817928284</v>
      </c>
      <c r="H46" s="3">
        <v>1043.8423268881359</v>
      </c>
      <c r="I46" s="3"/>
      <c r="J46" s="3"/>
      <c r="K46" s="3"/>
      <c r="L46" s="3"/>
      <c r="M46" s="3"/>
      <c r="N46" s="3"/>
      <c r="O46" s="3"/>
      <c r="P46" s="3"/>
    </row>
    <row r="47" spans="1:16" x14ac:dyDescent="0.25">
      <c r="A47" s="120">
        <f t="shared" si="0"/>
        <v>-5</v>
      </c>
      <c r="B47" s="3">
        <v>7883.4157540494962</v>
      </c>
      <c r="C47" s="3">
        <v>7889.346143401488</v>
      </c>
      <c r="D47" s="3">
        <v>7826.9599285964896</v>
      </c>
      <c r="E47" s="3">
        <v>7786.6918789620568</v>
      </c>
      <c r="F47" s="3">
        <v>7682.4342615636733</v>
      </c>
      <c r="G47" s="3">
        <v>2207.9514817928284</v>
      </c>
      <c r="H47" s="3">
        <v>1043.8423268881359</v>
      </c>
      <c r="I47" s="3"/>
      <c r="J47" s="3"/>
      <c r="K47" s="3"/>
      <c r="L47" s="3"/>
      <c r="M47" s="3"/>
      <c r="N47" s="3"/>
      <c r="O47" s="3"/>
      <c r="P47" s="3"/>
    </row>
    <row r="48" spans="1:16" x14ac:dyDescent="0.25">
      <c r="A48" s="120">
        <f t="shared" si="0"/>
        <v>-4</v>
      </c>
      <c r="B48" s="3">
        <v>7592.8270248789613</v>
      </c>
      <c r="C48" s="3">
        <v>7607.8537546837724</v>
      </c>
      <c r="D48" s="3">
        <v>7551.5771794153388</v>
      </c>
      <c r="E48" s="3">
        <v>7489.8953113963162</v>
      </c>
      <c r="F48" s="3">
        <v>7403.9105678680935</v>
      </c>
      <c r="G48" s="3">
        <v>2207.9514817928284</v>
      </c>
      <c r="H48" s="3">
        <v>1043.8423268881359</v>
      </c>
      <c r="I48" s="3"/>
      <c r="J48" s="3"/>
      <c r="K48" s="3"/>
      <c r="L48" s="3"/>
      <c r="M48" s="3"/>
      <c r="N48" s="3"/>
      <c r="O48" s="3"/>
      <c r="P48" s="3"/>
    </row>
    <row r="49" spans="1:16" x14ac:dyDescent="0.25">
      <c r="A49" s="120">
        <f t="shared" si="0"/>
        <v>-3</v>
      </c>
      <c r="B49" s="3">
        <v>7310.5368134837008</v>
      </c>
      <c r="C49" s="3">
        <v>7323.6932781719261</v>
      </c>
      <c r="D49" s="3">
        <v>7270.1380948803817</v>
      </c>
      <c r="E49" s="3">
        <v>7216.3163995848254</v>
      </c>
      <c r="F49" s="3">
        <v>7132.2476769922887</v>
      </c>
      <c r="G49" s="3">
        <v>2207.9514817928284</v>
      </c>
      <c r="H49" s="3">
        <v>1043.8423268881359</v>
      </c>
      <c r="I49" s="3"/>
      <c r="J49" s="3"/>
      <c r="K49" s="3"/>
      <c r="L49" s="3"/>
      <c r="M49" s="3"/>
      <c r="N49" s="3"/>
      <c r="O49" s="3"/>
      <c r="P49" s="3"/>
    </row>
    <row r="50" spans="1:16" x14ac:dyDescent="0.25">
      <c r="A50" s="120">
        <f t="shared" si="0"/>
        <v>-2</v>
      </c>
      <c r="B50" s="3">
        <v>7006.3814669332342</v>
      </c>
      <c r="C50" s="3">
        <v>7033.5219218737402</v>
      </c>
      <c r="D50" s="3">
        <v>6981.2827077316806</v>
      </c>
      <c r="E50" s="3">
        <v>6929.9730198500874</v>
      </c>
      <c r="F50" s="3">
        <v>6844.7384968439528</v>
      </c>
      <c r="G50" s="3">
        <v>6661.5649445068993</v>
      </c>
      <c r="H50" s="3">
        <v>1043.8423268881359</v>
      </c>
      <c r="I50" s="3"/>
      <c r="J50" s="3"/>
      <c r="K50" s="3"/>
      <c r="L50" s="3"/>
      <c r="M50" s="3"/>
      <c r="N50" s="3"/>
      <c r="O50" s="3"/>
      <c r="P50" s="3"/>
    </row>
    <row r="51" spans="1:16" x14ac:dyDescent="0.25">
      <c r="A51" s="120">
        <f t="shared" si="0"/>
        <v>-1</v>
      </c>
      <c r="B51" s="3">
        <v>6712.9010471988395</v>
      </c>
      <c r="C51" s="3">
        <v>6731.4719263823308</v>
      </c>
      <c r="D51" s="3">
        <v>6690.5573837197662</v>
      </c>
      <c r="E51" s="3">
        <v>6644.5837069116596</v>
      </c>
      <c r="F51" s="3">
        <v>6572.6294407257219</v>
      </c>
      <c r="G51" s="3">
        <v>6364.1411322516915</v>
      </c>
      <c r="H51" s="3">
        <v>1043.8423268881359</v>
      </c>
      <c r="I51" s="3"/>
      <c r="J51" s="3"/>
      <c r="K51" s="3"/>
      <c r="L51" s="3"/>
      <c r="M51" s="3"/>
      <c r="N51" s="3"/>
      <c r="O51" s="3"/>
      <c r="P51" s="3"/>
    </row>
    <row r="52" spans="1:16" x14ac:dyDescent="0.25">
      <c r="A52" s="120">
        <f t="shared" si="0"/>
        <v>0</v>
      </c>
      <c r="B52" s="3">
        <v>6200.2105978468089</v>
      </c>
      <c r="C52" s="3">
        <v>6259.6107755772555</v>
      </c>
      <c r="D52" s="3">
        <v>6272.1183270432139</v>
      </c>
      <c r="E52" s="3">
        <v>6263.832334644776</v>
      </c>
      <c r="F52" s="3">
        <v>6219.0027578185491</v>
      </c>
      <c r="G52" s="3">
        <v>6011.0287302145025</v>
      </c>
      <c r="H52" s="3">
        <v>5843.6323123596239</v>
      </c>
      <c r="I52" s="3"/>
      <c r="J52" s="3"/>
      <c r="K52" s="3"/>
      <c r="L52" s="3"/>
      <c r="M52" s="3"/>
      <c r="N52" s="3"/>
      <c r="O52" s="3"/>
      <c r="P52" s="3"/>
    </row>
    <row r="53" spans="1:16" x14ac:dyDescent="0.25">
      <c r="A53" s="120">
        <f t="shared" si="0"/>
        <v>1</v>
      </c>
      <c r="B53" s="3">
        <v>6200.2105978468089</v>
      </c>
      <c r="C53" s="3">
        <v>5378.6083440825278</v>
      </c>
      <c r="D53" s="3">
        <v>5495.4986104290492</v>
      </c>
      <c r="E53" s="3">
        <v>5578.7338599899276</v>
      </c>
      <c r="F53" s="3">
        <v>5690.6299745251627</v>
      </c>
      <c r="G53" s="3">
        <v>5628.3112375203527</v>
      </c>
      <c r="H53" s="3">
        <v>5432.7728232315121</v>
      </c>
      <c r="I53" s="3"/>
      <c r="J53" s="3"/>
      <c r="K53" s="3"/>
      <c r="L53" s="3"/>
      <c r="M53" s="3"/>
      <c r="N53" s="3"/>
      <c r="O53" s="3"/>
      <c r="P53" s="3"/>
    </row>
    <row r="54" spans="1:16" x14ac:dyDescent="0.25">
      <c r="A54" s="120">
        <f t="shared" si="0"/>
        <v>2</v>
      </c>
      <c r="B54" s="3">
        <v>6200.2105978468089</v>
      </c>
      <c r="C54" s="3">
        <v>5378.6083440825278</v>
      </c>
      <c r="D54" s="3">
        <v>4433.766415672103</v>
      </c>
      <c r="E54" s="3">
        <v>4548.7401895556422</v>
      </c>
      <c r="F54" s="3">
        <v>4763.4711208275512</v>
      </c>
      <c r="G54" s="3">
        <v>5104.2781838993396</v>
      </c>
      <c r="H54" s="3">
        <v>4957.806557005174</v>
      </c>
      <c r="I54" s="3"/>
      <c r="J54" s="3"/>
      <c r="K54" s="3"/>
      <c r="L54" s="3"/>
      <c r="M54" s="3"/>
      <c r="N54" s="3"/>
      <c r="O54" s="3"/>
      <c r="P54" s="3"/>
    </row>
    <row r="55" spans="1:16" x14ac:dyDescent="0.25">
      <c r="A55" s="120">
        <f t="shared" si="0"/>
        <v>3</v>
      </c>
      <c r="B55" s="3">
        <v>6200.2105978468089</v>
      </c>
      <c r="C55" s="3">
        <v>5378.6083440825278</v>
      </c>
      <c r="D55" s="3">
        <v>4433.766415672103</v>
      </c>
      <c r="E55" s="3">
        <v>3590.208067362345</v>
      </c>
      <c r="F55" s="3">
        <v>3748.4083561986595</v>
      </c>
      <c r="G55" s="3">
        <v>4230.6817479789688</v>
      </c>
      <c r="H55" s="3">
        <v>4396.7625327256646</v>
      </c>
      <c r="I55" s="3"/>
      <c r="J55" s="3"/>
      <c r="K55" s="3"/>
      <c r="L55" s="3"/>
      <c r="M55" s="3"/>
      <c r="N55" s="3"/>
      <c r="O55" s="3"/>
      <c r="P55" s="3"/>
    </row>
    <row r="56" spans="1:16" x14ac:dyDescent="0.25">
      <c r="A56" s="120">
        <f t="shared" si="0"/>
        <v>4</v>
      </c>
      <c r="B56" s="3">
        <v>6200.2105978468089</v>
      </c>
      <c r="C56" s="3">
        <v>5378.6083440825278</v>
      </c>
      <c r="D56" s="3">
        <v>4433.766415672103</v>
      </c>
      <c r="E56" s="3">
        <v>3590.208067362345</v>
      </c>
      <c r="F56" s="3">
        <v>2899.8712503562774</v>
      </c>
      <c r="G56" s="3">
        <v>3180.7769333118949</v>
      </c>
      <c r="H56" s="3">
        <v>3583.6397417481867</v>
      </c>
      <c r="I56" s="3"/>
      <c r="J56" s="3"/>
      <c r="K56" s="3"/>
      <c r="L56" s="3"/>
      <c r="M56" s="3"/>
      <c r="N56" s="3"/>
      <c r="O56" s="3"/>
      <c r="P56" s="3"/>
    </row>
    <row r="57" spans="1:16" x14ac:dyDescent="0.25">
      <c r="A57" s="120">
        <f t="shared" si="0"/>
        <v>5</v>
      </c>
      <c r="B57" s="3">
        <v>6200.2105978468089</v>
      </c>
      <c r="C57" s="3">
        <v>5378.6083440825278</v>
      </c>
      <c r="D57" s="3">
        <v>4433.766415672103</v>
      </c>
      <c r="E57" s="3">
        <v>3590.208067362345</v>
      </c>
      <c r="F57" s="3">
        <v>2207.9514817928284</v>
      </c>
      <c r="G57" s="3">
        <v>2265.4052057102376</v>
      </c>
      <c r="H57" s="3">
        <v>2548.630584720142</v>
      </c>
      <c r="I57" s="3"/>
      <c r="J57" s="3"/>
      <c r="K57" s="3"/>
      <c r="L57" s="3"/>
      <c r="M57" s="3"/>
      <c r="N57" s="3"/>
      <c r="O57" s="3"/>
      <c r="P57" s="3"/>
    </row>
    <row r="58" spans="1:16" x14ac:dyDescent="0.25">
      <c r="A58" s="120">
        <f t="shared" si="0"/>
        <v>6</v>
      </c>
      <c r="B58" s="3">
        <v>6200.2105978468089</v>
      </c>
      <c r="C58" s="3">
        <v>5378.6083440825278</v>
      </c>
      <c r="D58" s="3">
        <v>4433.766415672103</v>
      </c>
      <c r="E58" s="3">
        <v>3590.208067362345</v>
      </c>
      <c r="F58" s="3">
        <v>2207.9514817928284</v>
      </c>
      <c r="G58" s="3">
        <v>1539.386206894008</v>
      </c>
      <c r="H58" s="3">
        <v>1662.1950113150506</v>
      </c>
      <c r="I58" s="3"/>
      <c r="J58" s="3"/>
      <c r="K58" s="3"/>
      <c r="L58" s="3"/>
      <c r="M58" s="3"/>
      <c r="N58" s="3"/>
      <c r="O58" s="3"/>
      <c r="P58" s="3"/>
    </row>
    <row r="59" spans="1:16" x14ac:dyDescent="0.25">
      <c r="A59" s="120">
        <f t="shared" si="0"/>
        <v>7</v>
      </c>
      <c r="B59" s="3">
        <v>6200.2105978468089</v>
      </c>
      <c r="C59" s="3">
        <v>5378.6083440825278</v>
      </c>
      <c r="D59" s="3">
        <v>4433.766415672103</v>
      </c>
      <c r="E59" s="3">
        <v>3590.208067362345</v>
      </c>
      <c r="F59" s="3">
        <v>2207.9514817928284</v>
      </c>
      <c r="G59" s="3">
        <v>1043.8423268881359</v>
      </c>
      <c r="H59" s="3">
        <v>1068.0067285228092</v>
      </c>
      <c r="I59" s="3"/>
      <c r="J59" s="3"/>
      <c r="K59" s="3"/>
      <c r="L59" s="3"/>
      <c r="M59" s="3"/>
      <c r="N59" s="3"/>
      <c r="O59" s="3"/>
      <c r="P59" s="3"/>
    </row>
    <row r="60" spans="1:16" x14ac:dyDescent="0.25">
      <c r="A60" s="120">
        <f t="shared" si="0"/>
        <v>8</v>
      </c>
      <c r="B60" s="3">
        <v>6200.2105978468089</v>
      </c>
      <c r="C60" s="3">
        <v>5378.6083440825278</v>
      </c>
      <c r="D60" s="3">
        <v>4433.766415672103</v>
      </c>
      <c r="E60" s="3">
        <v>3590.208067362345</v>
      </c>
      <c r="F60" s="3">
        <v>2207.9514817928284</v>
      </c>
      <c r="G60" s="3">
        <v>1043.8423268881359</v>
      </c>
      <c r="H60" s="3">
        <v>730.09820628828561</v>
      </c>
      <c r="I60" s="3"/>
      <c r="J60" s="3"/>
      <c r="K60" s="3"/>
      <c r="L60" s="3"/>
      <c r="M60" s="3"/>
      <c r="N60" s="3"/>
      <c r="O60" s="3"/>
      <c r="P60" s="3"/>
    </row>
    <row r="61" spans="1:16" x14ac:dyDescent="0.25">
      <c r="A61" s="120">
        <f t="shared" si="0"/>
        <v>9</v>
      </c>
      <c r="B61" s="3">
        <v>6200.2105978468089</v>
      </c>
      <c r="C61" s="3">
        <v>5378.6083440825278</v>
      </c>
      <c r="D61" s="3">
        <v>4433.766415672103</v>
      </c>
      <c r="E61" s="3">
        <v>3590.208067362345</v>
      </c>
      <c r="F61" s="3">
        <v>2207.9514817928284</v>
      </c>
      <c r="G61" s="3">
        <v>1043.8423268881359</v>
      </c>
      <c r="H61" s="3">
        <v>562.20924765160123</v>
      </c>
      <c r="I61" s="3"/>
      <c r="J61" s="3"/>
      <c r="K61" s="3"/>
      <c r="L61" s="3"/>
      <c r="M61" s="3"/>
      <c r="N61" s="3"/>
      <c r="O61" s="3"/>
      <c r="P61" s="3"/>
    </row>
    <row r="62" spans="1:16" x14ac:dyDescent="0.25">
      <c r="A62" s="120">
        <f t="shared" si="0"/>
        <v>10</v>
      </c>
      <c r="B62" s="3">
        <v>6200.2105978468089</v>
      </c>
      <c r="C62" s="3">
        <v>5378.6083440825278</v>
      </c>
      <c r="D62" s="3">
        <v>4433.766415672103</v>
      </c>
      <c r="E62" s="3">
        <v>3590.208067362345</v>
      </c>
      <c r="F62" s="3">
        <v>2207.9514817928284</v>
      </c>
      <c r="G62" s="3">
        <v>1043.8423268881359</v>
      </c>
      <c r="H62" s="3">
        <v>562.20924765160123</v>
      </c>
      <c r="I62" s="3"/>
      <c r="J62" s="3"/>
      <c r="K62" s="3"/>
      <c r="L62" s="3"/>
      <c r="M62" s="3"/>
      <c r="N62" s="3"/>
      <c r="O62" s="3"/>
      <c r="P62" s="3"/>
    </row>
    <row r="63" spans="1:16" x14ac:dyDescent="0.25">
      <c r="A63" s="120">
        <f t="shared" si="0"/>
        <v>11</v>
      </c>
      <c r="B63" s="3">
        <v>6200.2105978468089</v>
      </c>
      <c r="C63" s="3">
        <v>5378.6083440825278</v>
      </c>
      <c r="D63" s="3">
        <v>4433.766415672103</v>
      </c>
      <c r="E63" s="3">
        <v>3590.208067362345</v>
      </c>
      <c r="F63" s="3">
        <v>2207.9514817928284</v>
      </c>
      <c r="G63" s="3">
        <v>1043.8423268881359</v>
      </c>
      <c r="H63" s="3">
        <v>562.20924765160123</v>
      </c>
      <c r="I63" s="3"/>
      <c r="J63" s="3"/>
      <c r="K63" s="3"/>
      <c r="L63" s="3"/>
      <c r="M63" s="3"/>
      <c r="N63" s="3"/>
      <c r="O63" s="3"/>
      <c r="P63" s="3"/>
    </row>
    <row r="64" spans="1:16" x14ac:dyDescent="0.25">
      <c r="A64" s="120">
        <f t="shared" si="0"/>
        <v>12</v>
      </c>
      <c r="B64" s="3">
        <v>6200.2105978468089</v>
      </c>
      <c r="C64" s="3">
        <v>5378.6083440825278</v>
      </c>
      <c r="D64" s="3">
        <v>4433.766415672103</v>
      </c>
      <c r="E64" s="3">
        <v>3590.208067362345</v>
      </c>
      <c r="F64" s="3">
        <v>2207.9514817928284</v>
      </c>
      <c r="G64" s="3">
        <v>1043.8423268881359</v>
      </c>
      <c r="H64" s="3">
        <v>562.20924765160123</v>
      </c>
      <c r="I64" s="3"/>
      <c r="J64" s="3"/>
      <c r="K64" s="3"/>
      <c r="L64" s="3"/>
      <c r="M64" s="3"/>
      <c r="N64" s="3"/>
      <c r="O64" s="3"/>
      <c r="P64" s="3"/>
    </row>
    <row r="65" spans="1:16" x14ac:dyDescent="0.25">
      <c r="A65" s="120">
        <f t="shared" si="0"/>
        <v>13</v>
      </c>
      <c r="B65" s="3">
        <v>6200.2105978468089</v>
      </c>
      <c r="C65" s="3">
        <v>5378.6083440825278</v>
      </c>
      <c r="D65" s="3">
        <v>4433.766415672103</v>
      </c>
      <c r="E65" s="3">
        <v>3590.208067362345</v>
      </c>
      <c r="F65" s="3">
        <v>2207.9514817928284</v>
      </c>
      <c r="G65" s="3">
        <v>1043.8423268881359</v>
      </c>
      <c r="H65" s="3">
        <v>562.20924765160123</v>
      </c>
      <c r="I65" s="3"/>
      <c r="J65" s="3"/>
      <c r="K65" s="3"/>
      <c r="L65" s="3"/>
      <c r="M65" s="3"/>
      <c r="N65" s="3"/>
      <c r="O65" s="3"/>
      <c r="P65" s="3"/>
    </row>
    <row r="66" spans="1:16" x14ac:dyDescent="0.25">
      <c r="A66" s="120">
        <f t="shared" si="0"/>
        <v>14</v>
      </c>
      <c r="B66" s="3">
        <v>6200.2105978468089</v>
      </c>
      <c r="C66" s="3">
        <v>5378.6083440825278</v>
      </c>
      <c r="D66" s="3">
        <v>4433.766415672103</v>
      </c>
      <c r="E66" s="3">
        <v>3590.208067362345</v>
      </c>
      <c r="F66" s="3">
        <v>2207.9514817928284</v>
      </c>
      <c r="G66" s="3">
        <v>1043.8423268881359</v>
      </c>
      <c r="H66" s="3">
        <v>562.20924765160123</v>
      </c>
      <c r="I66" s="3"/>
      <c r="J66" s="3"/>
      <c r="K66" s="3"/>
      <c r="L66" s="3"/>
      <c r="M66" s="3"/>
      <c r="N66" s="3"/>
      <c r="O66" s="3"/>
      <c r="P66" s="3"/>
    </row>
    <row r="67" spans="1:16" x14ac:dyDescent="0.25">
      <c r="A67" s="120">
        <f t="shared" si="0"/>
        <v>15</v>
      </c>
      <c r="B67" s="3">
        <v>6200.2105978468089</v>
      </c>
      <c r="C67" s="3">
        <v>5378.6083440825278</v>
      </c>
      <c r="D67" s="3">
        <v>4433.766415672103</v>
      </c>
      <c r="E67" s="3">
        <v>3590.208067362345</v>
      </c>
      <c r="F67" s="3">
        <v>2207.9514817928284</v>
      </c>
      <c r="G67" s="3">
        <v>1043.8423268881359</v>
      </c>
      <c r="H67" s="3">
        <v>562.20924765160123</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IF(ISERROR(AVERAGE(B72:H72)),IF(J71&gt;0,J71,$K$72),AVERAGE(B72:H72))</f>
        <v>9251.8682861384877</v>
      </c>
      <c r="K72" s="3">
        <f>MAX(B72:H102)</f>
        <v>9251.8682861384877</v>
      </c>
      <c r="L72" s="3"/>
      <c r="M72" s="3"/>
      <c r="N72" s="3"/>
      <c r="O72" s="3"/>
      <c r="P72" s="3"/>
    </row>
    <row r="73" spans="1:16" x14ac:dyDescent="0.25">
      <c r="A73" s="121">
        <f t="shared" ref="A73:A102" si="2">10^A38</f>
        <v>1E-14</v>
      </c>
      <c r="B73" s="122" t="str">
        <f t="shared" si="1"/>
        <v>nv</v>
      </c>
      <c r="C73" s="122" t="str">
        <f t="shared" si="1"/>
        <v>nv</v>
      </c>
      <c r="D73" s="122" t="str">
        <f t="shared" si="1"/>
        <v>nv</v>
      </c>
      <c r="E73" s="122" t="str">
        <f t="shared" si="1"/>
        <v>nv</v>
      </c>
      <c r="F73" s="122" t="str">
        <f t="shared" si="1"/>
        <v>nv</v>
      </c>
      <c r="G73" s="122" t="str">
        <f t="shared" si="1"/>
        <v>nv</v>
      </c>
      <c r="H73" s="122" t="str">
        <f t="shared" si="1"/>
        <v>nv</v>
      </c>
      <c r="I73" s="122"/>
      <c r="J73" s="122">
        <f t="shared" ref="J73:J102" si="3">IF(ISERROR(AVERAGE(B73:H73)),IF(J72&gt;0,J72,$K$72),AVERAGE(B73:H73))</f>
        <v>9251.8682861384877</v>
      </c>
      <c r="K73" s="3"/>
      <c r="L73" s="3"/>
      <c r="M73" s="3"/>
      <c r="N73" s="3"/>
      <c r="O73" s="3"/>
      <c r="P73" s="3"/>
    </row>
    <row r="74" spans="1:16" x14ac:dyDescent="0.25">
      <c r="A74" s="121">
        <f t="shared" si="2"/>
        <v>1E-13</v>
      </c>
      <c r="B74" s="122" t="str">
        <f t="shared" si="1"/>
        <v>nv</v>
      </c>
      <c r="C74" s="122" t="str">
        <f t="shared" si="1"/>
        <v>nv</v>
      </c>
      <c r="D74" s="122" t="str">
        <f t="shared" si="1"/>
        <v>nv</v>
      </c>
      <c r="E74" s="122" t="str">
        <f t="shared" si="1"/>
        <v>nv</v>
      </c>
      <c r="F74" s="122" t="str">
        <f t="shared" si="1"/>
        <v>nv</v>
      </c>
      <c r="G74" s="122" t="str">
        <f t="shared" si="1"/>
        <v>nv</v>
      </c>
      <c r="H74" s="122" t="str">
        <f t="shared" si="1"/>
        <v>nv</v>
      </c>
      <c r="I74" s="122"/>
      <c r="J74" s="122">
        <f t="shared" si="3"/>
        <v>9251.8682861384877</v>
      </c>
      <c r="K74" s="3"/>
      <c r="L74" s="3"/>
      <c r="M74" s="3"/>
      <c r="N74" s="3"/>
      <c r="O74" s="3"/>
      <c r="P74" s="3"/>
    </row>
    <row r="75" spans="1:16" x14ac:dyDescent="0.25">
      <c r="A75" s="121">
        <f t="shared" si="2"/>
        <v>9.9999999999999998E-13</v>
      </c>
      <c r="B75" s="122" t="str">
        <f t="shared" si="1"/>
        <v>nv</v>
      </c>
      <c r="C75" s="122" t="str">
        <f t="shared" si="1"/>
        <v>nv</v>
      </c>
      <c r="D75" s="122" t="str">
        <f t="shared" si="1"/>
        <v>nv</v>
      </c>
      <c r="E75" s="122" t="str">
        <f t="shared" si="1"/>
        <v>nv</v>
      </c>
      <c r="F75" s="122" t="str">
        <f t="shared" si="1"/>
        <v>nv</v>
      </c>
      <c r="G75" s="122" t="str">
        <f t="shared" si="1"/>
        <v>nv</v>
      </c>
      <c r="H75" s="122" t="str">
        <f t="shared" si="1"/>
        <v>nv</v>
      </c>
      <c r="I75" s="122"/>
      <c r="J75" s="122">
        <f t="shared" si="3"/>
        <v>9251.8682861384877</v>
      </c>
      <c r="K75" s="3"/>
      <c r="L75" s="3"/>
      <c r="M75" s="3"/>
      <c r="N75" s="3"/>
      <c r="O75" s="3"/>
      <c r="P75" s="3"/>
    </row>
    <row r="76" spans="1:16" x14ac:dyDescent="0.25">
      <c r="A76" s="121">
        <f t="shared" si="2"/>
        <v>9.9999999999999994E-12</v>
      </c>
      <c r="B76" s="122" t="str">
        <f t="shared" si="1"/>
        <v>nv</v>
      </c>
      <c r="C76" s="122" t="str">
        <f t="shared" si="1"/>
        <v>nv</v>
      </c>
      <c r="D76" s="122" t="str">
        <f t="shared" si="1"/>
        <v>nv</v>
      </c>
      <c r="E76" s="122" t="str">
        <f t="shared" si="1"/>
        <v>nv</v>
      </c>
      <c r="F76" s="122" t="str">
        <f t="shared" si="1"/>
        <v>nv</v>
      </c>
      <c r="G76" s="122" t="str">
        <f t="shared" si="1"/>
        <v>nv</v>
      </c>
      <c r="H76" s="122" t="str">
        <f t="shared" si="1"/>
        <v>nv</v>
      </c>
      <c r="I76" s="122"/>
      <c r="J76" s="122">
        <f t="shared" si="3"/>
        <v>9251.8682861384877</v>
      </c>
      <c r="K76" s="3"/>
      <c r="L76" s="3"/>
      <c r="M76" s="3"/>
      <c r="N76" s="3"/>
      <c r="O76" s="3"/>
      <c r="P76" s="3"/>
    </row>
    <row r="77" spans="1:16" x14ac:dyDescent="0.25">
      <c r="A77" s="121">
        <f t="shared" si="2"/>
        <v>1E-10</v>
      </c>
      <c r="B77" s="122" t="str">
        <f t="shared" si="1"/>
        <v>nv</v>
      </c>
      <c r="C77" s="122" t="str">
        <f t="shared" si="1"/>
        <v>nv</v>
      </c>
      <c r="D77" s="122" t="str">
        <f t="shared" si="1"/>
        <v>nv</v>
      </c>
      <c r="E77" s="122" t="str">
        <f t="shared" si="1"/>
        <v>nv</v>
      </c>
      <c r="F77" s="122" t="str">
        <f t="shared" si="1"/>
        <v>nv</v>
      </c>
      <c r="G77" s="122" t="str">
        <f t="shared" si="1"/>
        <v>nv</v>
      </c>
      <c r="H77" s="122" t="str">
        <f t="shared" si="1"/>
        <v>nv</v>
      </c>
      <c r="I77" s="122"/>
      <c r="J77" s="122">
        <f t="shared" si="3"/>
        <v>9251.8682861384877</v>
      </c>
      <c r="K77" s="3"/>
      <c r="L77" s="3"/>
      <c r="M77" s="3"/>
      <c r="N77" s="3"/>
      <c r="O77" s="3"/>
      <c r="P77" s="3"/>
    </row>
    <row r="78" spans="1:16" x14ac:dyDescent="0.25">
      <c r="A78" s="121">
        <f t="shared" si="2"/>
        <v>1.0000000000000001E-9</v>
      </c>
      <c r="B78" s="122">
        <f t="shared" si="1"/>
        <v>9251.8682861384877</v>
      </c>
      <c r="C78" s="122" t="str">
        <f t="shared" si="1"/>
        <v>nv</v>
      </c>
      <c r="D78" s="122" t="str">
        <f t="shared" si="1"/>
        <v>nv</v>
      </c>
      <c r="E78" s="122" t="str">
        <f t="shared" si="1"/>
        <v>nv</v>
      </c>
      <c r="F78" s="122" t="str">
        <f t="shared" si="1"/>
        <v>nv</v>
      </c>
      <c r="G78" s="122" t="str">
        <f t="shared" si="1"/>
        <v>nv</v>
      </c>
      <c r="H78" s="122" t="str">
        <f t="shared" si="1"/>
        <v>nv</v>
      </c>
      <c r="I78" s="122"/>
      <c r="J78" s="122">
        <f t="shared" si="3"/>
        <v>9251.8682861384877</v>
      </c>
    </row>
    <row r="79" spans="1:16" x14ac:dyDescent="0.25">
      <c r="A79" s="121">
        <f t="shared" si="2"/>
        <v>1E-8</v>
      </c>
      <c r="B79" s="122">
        <f t="shared" si="1"/>
        <v>8907.662620831421</v>
      </c>
      <c r="C79" s="122">
        <f t="shared" si="1"/>
        <v>8926.6511195808525</v>
      </c>
      <c r="D79" s="122" t="str">
        <f t="shared" si="1"/>
        <v>nv</v>
      </c>
      <c r="E79" s="122" t="str">
        <f t="shared" si="1"/>
        <v>nv</v>
      </c>
      <c r="F79" s="122" t="str">
        <f t="shared" si="1"/>
        <v>nv</v>
      </c>
      <c r="G79" s="122" t="str">
        <f t="shared" si="1"/>
        <v>nv</v>
      </c>
      <c r="H79" s="122" t="str">
        <f t="shared" si="1"/>
        <v>nv</v>
      </c>
      <c r="I79" s="122"/>
      <c r="J79" s="122">
        <f t="shared" si="3"/>
        <v>8917.1568702061377</v>
      </c>
    </row>
    <row r="80" spans="1:16" x14ac:dyDescent="0.25">
      <c r="A80" s="121">
        <f t="shared" si="2"/>
        <v>9.9999999999999995E-8</v>
      </c>
      <c r="B80" s="122">
        <f>IF($A80&gt;=10^B$4,IF($A80&lt;=10^INDEX($B$4:$H$34,$A$1,COLUMN(B12)-1),B45,"nv"),"nv")</f>
        <v>8528.150158496941</v>
      </c>
      <c r="C80" s="122">
        <f t="shared" ref="C80:H80" si="4">IF($A80&gt;=10^C$4,IF($A80&lt;=10^INDEX($B$4:$H$34,$A$1,COLUMN(C12)-1),C45,"nv"),"nv")</f>
        <v>8578.9524826967663</v>
      </c>
      <c r="D80" s="122">
        <f t="shared" si="4"/>
        <v>8498.9745136565653</v>
      </c>
      <c r="E80" s="122" t="str">
        <f t="shared" si="4"/>
        <v>nv</v>
      </c>
      <c r="F80" s="122" t="str">
        <f t="shared" si="4"/>
        <v>nv</v>
      </c>
      <c r="G80" s="122" t="str">
        <f t="shared" si="4"/>
        <v>nv</v>
      </c>
      <c r="H80" s="122" t="str">
        <f t="shared" si="4"/>
        <v>nv</v>
      </c>
      <c r="I80" s="122"/>
      <c r="J80" s="122">
        <f t="shared" si="3"/>
        <v>8535.3590516167569</v>
      </c>
    </row>
    <row r="81" spans="1:10" x14ac:dyDescent="0.25">
      <c r="A81" s="121">
        <f t="shared" si="2"/>
        <v>9.9999999999999995E-7</v>
      </c>
      <c r="B81" s="122">
        <f t="shared" ref="B81:H102" si="5">IF($A81&gt;=10^B$4,IF($A81&lt;=10^INDEX($B$4:$H$34,$A$1,COLUMN(B13)-1),B46,"nv"),"nv")</f>
        <v>8171.7385568803238</v>
      </c>
      <c r="C81" s="122">
        <f t="shared" si="5"/>
        <v>8190.0619829249617</v>
      </c>
      <c r="D81" s="122">
        <f t="shared" si="5"/>
        <v>8145.3751861820401</v>
      </c>
      <c r="E81" s="122">
        <f t="shared" si="5"/>
        <v>8085.1588829941484</v>
      </c>
      <c r="F81" s="122" t="str">
        <f t="shared" si="5"/>
        <v>nv</v>
      </c>
      <c r="G81" s="122" t="str">
        <f t="shared" si="5"/>
        <v>nv</v>
      </c>
      <c r="H81" s="122" t="str">
        <f t="shared" si="5"/>
        <v>nv</v>
      </c>
      <c r="I81" s="122"/>
      <c r="J81" s="122">
        <f t="shared" si="3"/>
        <v>8148.0836522453683</v>
      </c>
    </row>
    <row r="82" spans="1:10" x14ac:dyDescent="0.25">
      <c r="A82" s="121">
        <f t="shared" si="2"/>
        <v>1.0000000000000001E-5</v>
      </c>
      <c r="B82" s="122">
        <f t="shared" si="5"/>
        <v>7883.4157540494962</v>
      </c>
      <c r="C82" s="122">
        <f t="shared" si="5"/>
        <v>7889.346143401488</v>
      </c>
      <c r="D82" s="122">
        <f t="shared" si="5"/>
        <v>7826.9599285964896</v>
      </c>
      <c r="E82" s="122">
        <f t="shared" si="5"/>
        <v>7786.6918789620568</v>
      </c>
      <c r="F82" s="122">
        <f t="shared" si="5"/>
        <v>7682.4342615636733</v>
      </c>
      <c r="G82" s="122" t="str">
        <f t="shared" si="5"/>
        <v>nv</v>
      </c>
      <c r="H82" s="122" t="str">
        <f t="shared" si="5"/>
        <v>nv</v>
      </c>
      <c r="I82" s="122"/>
      <c r="J82" s="122">
        <f t="shared" si="3"/>
        <v>7813.7695933146406</v>
      </c>
    </row>
    <row r="83" spans="1:10" x14ac:dyDescent="0.25">
      <c r="A83" s="121">
        <f t="shared" si="2"/>
        <v>1E-4</v>
      </c>
      <c r="B83" s="122">
        <f t="shared" si="5"/>
        <v>7592.8270248789613</v>
      </c>
      <c r="C83" s="122">
        <f t="shared" si="5"/>
        <v>7607.8537546837724</v>
      </c>
      <c r="D83" s="122">
        <f t="shared" si="5"/>
        <v>7551.5771794153388</v>
      </c>
      <c r="E83" s="122">
        <f t="shared" si="5"/>
        <v>7489.8953113963162</v>
      </c>
      <c r="F83" s="122">
        <f t="shared" si="5"/>
        <v>7403.9105678680935</v>
      </c>
      <c r="G83" s="122" t="str">
        <f t="shared" si="5"/>
        <v>nv</v>
      </c>
      <c r="H83" s="122" t="str">
        <f t="shared" si="5"/>
        <v>nv</v>
      </c>
      <c r="I83" s="122"/>
      <c r="J83" s="122">
        <f t="shared" si="3"/>
        <v>7529.2127676484961</v>
      </c>
    </row>
    <row r="84" spans="1:10" x14ac:dyDescent="0.25">
      <c r="A84" s="121">
        <f t="shared" si="2"/>
        <v>1E-3</v>
      </c>
      <c r="B84" s="122">
        <f t="shared" si="5"/>
        <v>7310.5368134837008</v>
      </c>
      <c r="C84" s="122">
        <f t="shared" si="5"/>
        <v>7323.6932781719261</v>
      </c>
      <c r="D84" s="122">
        <f t="shared" si="5"/>
        <v>7270.1380948803817</v>
      </c>
      <c r="E84" s="122">
        <f t="shared" si="5"/>
        <v>7216.3163995848254</v>
      </c>
      <c r="F84" s="122">
        <f t="shared" si="5"/>
        <v>7132.2476769922887</v>
      </c>
      <c r="G84" s="122" t="str">
        <f t="shared" si="5"/>
        <v>nv</v>
      </c>
      <c r="H84" s="122" t="str">
        <f t="shared" si="5"/>
        <v>nv</v>
      </c>
      <c r="I84" s="122"/>
      <c r="J84" s="122">
        <f t="shared" si="3"/>
        <v>7250.5864526226242</v>
      </c>
    </row>
    <row r="85" spans="1:10" x14ac:dyDescent="0.25">
      <c r="A85" s="121">
        <f t="shared" si="2"/>
        <v>0.01</v>
      </c>
      <c r="B85" s="122">
        <f t="shared" si="5"/>
        <v>7006.3814669332342</v>
      </c>
      <c r="C85" s="122">
        <f t="shared" si="5"/>
        <v>7033.5219218737402</v>
      </c>
      <c r="D85" s="122">
        <f t="shared" si="5"/>
        <v>6981.2827077316806</v>
      </c>
      <c r="E85" s="122">
        <f t="shared" si="5"/>
        <v>6929.9730198500874</v>
      </c>
      <c r="F85" s="122">
        <f t="shared" si="5"/>
        <v>6844.7384968439528</v>
      </c>
      <c r="G85" s="122">
        <f t="shared" si="5"/>
        <v>6661.5649445068993</v>
      </c>
      <c r="H85" s="122" t="str">
        <f t="shared" si="5"/>
        <v>nv</v>
      </c>
      <c r="I85" s="122"/>
      <c r="J85" s="122">
        <f t="shared" si="3"/>
        <v>6909.5770929565988</v>
      </c>
    </row>
    <row r="86" spans="1:10" x14ac:dyDescent="0.25">
      <c r="A86" s="121">
        <f t="shared" si="2"/>
        <v>0.1</v>
      </c>
      <c r="B86" s="122">
        <f t="shared" si="5"/>
        <v>6712.9010471988395</v>
      </c>
      <c r="C86" s="122">
        <f t="shared" si="5"/>
        <v>6731.4719263823308</v>
      </c>
      <c r="D86" s="122">
        <f t="shared" si="5"/>
        <v>6690.5573837197662</v>
      </c>
      <c r="E86" s="122">
        <f t="shared" si="5"/>
        <v>6644.5837069116596</v>
      </c>
      <c r="F86" s="122">
        <f t="shared" si="5"/>
        <v>6572.6294407257219</v>
      </c>
      <c r="G86" s="122">
        <f t="shared" si="5"/>
        <v>6364.1411322516915</v>
      </c>
      <c r="H86" s="122" t="str">
        <f t="shared" si="5"/>
        <v>nv</v>
      </c>
      <c r="I86" s="122"/>
      <c r="J86" s="122">
        <f t="shared" si="3"/>
        <v>6619.3807728650027</v>
      </c>
    </row>
    <row r="87" spans="1:10" x14ac:dyDescent="0.25">
      <c r="A87" s="121">
        <f t="shared" si="2"/>
        <v>1</v>
      </c>
      <c r="B87" s="122">
        <f t="shared" si="5"/>
        <v>6200.2105978468089</v>
      </c>
      <c r="C87" s="122">
        <f t="shared" si="5"/>
        <v>6259.6107755772555</v>
      </c>
      <c r="D87" s="122">
        <f t="shared" si="5"/>
        <v>6272.1183270432139</v>
      </c>
      <c r="E87" s="122">
        <f t="shared" si="5"/>
        <v>6263.832334644776</v>
      </c>
      <c r="F87" s="122">
        <f t="shared" si="5"/>
        <v>6219.0027578185491</v>
      </c>
      <c r="G87" s="122">
        <f t="shared" si="5"/>
        <v>6011.0287302145025</v>
      </c>
      <c r="H87" s="122">
        <f t="shared" si="5"/>
        <v>5843.6323123596239</v>
      </c>
      <c r="I87" s="122"/>
      <c r="J87" s="122">
        <f t="shared" si="3"/>
        <v>6152.7765479292475</v>
      </c>
    </row>
    <row r="88" spans="1:10" x14ac:dyDescent="0.25">
      <c r="A88" s="121">
        <f t="shared" si="2"/>
        <v>10</v>
      </c>
      <c r="B88" s="122" t="str">
        <f t="shared" si="5"/>
        <v>nv</v>
      </c>
      <c r="C88" s="122">
        <f t="shared" si="5"/>
        <v>5378.6083440825278</v>
      </c>
      <c r="D88" s="122">
        <f t="shared" si="5"/>
        <v>5495.4986104290492</v>
      </c>
      <c r="E88" s="122">
        <f t="shared" si="5"/>
        <v>5578.7338599899276</v>
      </c>
      <c r="F88" s="122">
        <f t="shared" si="5"/>
        <v>5690.6299745251627</v>
      </c>
      <c r="G88" s="122">
        <f t="shared" si="5"/>
        <v>5628.3112375203527</v>
      </c>
      <c r="H88" s="122">
        <f t="shared" si="5"/>
        <v>5432.7728232315121</v>
      </c>
      <c r="I88" s="122"/>
      <c r="J88" s="122">
        <f t="shared" si="3"/>
        <v>5534.0924749630894</v>
      </c>
    </row>
    <row r="89" spans="1:10" x14ac:dyDescent="0.25">
      <c r="A89" s="121">
        <f t="shared" si="2"/>
        <v>100</v>
      </c>
      <c r="B89" s="122" t="str">
        <f t="shared" si="5"/>
        <v>nv</v>
      </c>
      <c r="C89" s="122" t="str">
        <f t="shared" si="5"/>
        <v>nv</v>
      </c>
      <c r="D89" s="122">
        <f t="shared" si="5"/>
        <v>4433.766415672103</v>
      </c>
      <c r="E89" s="122">
        <f t="shared" si="5"/>
        <v>4548.7401895556422</v>
      </c>
      <c r="F89" s="122">
        <f t="shared" si="5"/>
        <v>4763.4711208275512</v>
      </c>
      <c r="G89" s="122">
        <f t="shared" si="5"/>
        <v>5104.2781838993396</v>
      </c>
      <c r="H89" s="122">
        <f t="shared" si="5"/>
        <v>4957.806557005174</v>
      </c>
      <c r="I89" s="122"/>
      <c r="J89" s="122">
        <f t="shared" si="3"/>
        <v>4761.6124933919618</v>
      </c>
    </row>
    <row r="90" spans="1:10" x14ac:dyDescent="0.25">
      <c r="A90" s="121">
        <f t="shared" si="2"/>
        <v>1000</v>
      </c>
      <c r="B90" s="122" t="str">
        <f t="shared" si="5"/>
        <v>nv</v>
      </c>
      <c r="C90" s="122" t="str">
        <f t="shared" si="5"/>
        <v>nv</v>
      </c>
      <c r="D90" s="122" t="str">
        <f t="shared" si="5"/>
        <v>nv</v>
      </c>
      <c r="E90" s="122">
        <f t="shared" si="5"/>
        <v>3590.208067362345</v>
      </c>
      <c r="F90" s="122">
        <f t="shared" si="5"/>
        <v>3748.4083561986595</v>
      </c>
      <c r="G90" s="122">
        <f t="shared" si="5"/>
        <v>4230.6817479789688</v>
      </c>
      <c r="H90" s="122">
        <f t="shared" si="5"/>
        <v>4396.7625327256646</v>
      </c>
      <c r="I90" s="122"/>
      <c r="J90" s="122">
        <f t="shared" si="3"/>
        <v>3991.5151760664094</v>
      </c>
    </row>
    <row r="91" spans="1:10" x14ac:dyDescent="0.25">
      <c r="A91" s="121">
        <f t="shared" si="2"/>
        <v>10000</v>
      </c>
      <c r="B91" s="122" t="str">
        <f t="shared" si="5"/>
        <v>nv</v>
      </c>
      <c r="C91" s="122" t="str">
        <f t="shared" si="5"/>
        <v>nv</v>
      </c>
      <c r="D91" s="122" t="str">
        <f t="shared" si="5"/>
        <v>nv</v>
      </c>
      <c r="E91" s="122" t="str">
        <f t="shared" si="5"/>
        <v>nv</v>
      </c>
      <c r="F91" s="122">
        <f t="shared" si="5"/>
        <v>2899.8712503562774</v>
      </c>
      <c r="G91" s="122">
        <f t="shared" si="5"/>
        <v>3180.7769333118949</v>
      </c>
      <c r="H91" s="122">
        <f t="shared" si="5"/>
        <v>3583.6397417481867</v>
      </c>
      <c r="I91" s="122"/>
      <c r="J91" s="122">
        <f t="shared" si="3"/>
        <v>3221.4293084721198</v>
      </c>
    </row>
    <row r="92" spans="1:10" x14ac:dyDescent="0.25">
      <c r="A92" s="121">
        <f t="shared" si="2"/>
        <v>100000</v>
      </c>
      <c r="B92" s="122" t="str">
        <f t="shared" si="5"/>
        <v>nv</v>
      </c>
      <c r="C92" s="122" t="str">
        <f t="shared" si="5"/>
        <v>nv</v>
      </c>
      <c r="D92" s="122" t="str">
        <f t="shared" si="5"/>
        <v>nv</v>
      </c>
      <c r="E92" s="122" t="str">
        <f t="shared" si="5"/>
        <v>nv</v>
      </c>
      <c r="F92" s="122">
        <f t="shared" si="5"/>
        <v>2207.9514817928284</v>
      </c>
      <c r="G92" s="122">
        <f t="shared" si="5"/>
        <v>2265.4052057102376</v>
      </c>
      <c r="H92" s="122">
        <f t="shared" si="5"/>
        <v>2548.630584720142</v>
      </c>
      <c r="I92" s="122"/>
      <c r="J92" s="122">
        <f t="shared" si="3"/>
        <v>2340.6624240744027</v>
      </c>
    </row>
    <row r="93" spans="1:10" x14ac:dyDescent="0.25">
      <c r="A93" s="121">
        <f t="shared" si="2"/>
        <v>1000000</v>
      </c>
      <c r="B93" s="122" t="str">
        <f t="shared" si="5"/>
        <v>nv</v>
      </c>
      <c r="C93" s="122" t="str">
        <f t="shared" si="5"/>
        <v>nv</v>
      </c>
      <c r="D93" s="122" t="str">
        <f t="shared" si="5"/>
        <v>nv</v>
      </c>
      <c r="E93" s="122" t="str">
        <f t="shared" si="5"/>
        <v>nv</v>
      </c>
      <c r="F93" s="122" t="str">
        <f t="shared" si="5"/>
        <v>nv</v>
      </c>
      <c r="G93" s="122">
        <f t="shared" si="5"/>
        <v>1539.386206894008</v>
      </c>
      <c r="H93" s="122">
        <f t="shared" si="5"/>
        <v>1662.1950113150506</v>
      </c>
      <c r="I93" s="122"/>
      <c r="J93" s="122">
        <f t="shared" si="3"/>
        <v>1600.7906091045293</v>
      </c>
    </row>
    <row r="94" spans="1:10" x14ac:dyDescent="0.25">
      <c r="A94" s="121">
        <f t="shared" si="2"/>
        <v>10000000</v>
      </c>
      <c r="B94" s="122" t="str">
        <f t="shared" si="5"/>
        <v>nv</v>
      </c>
      <c r="C94" s="122" t="str">
        <f t="shared" si="5"/>
        <v>nv</v>
      </c>
      <c r="D94" s="122" t="str">
        <f t="shared" si="5"/>
        <v>nv</v>
      </c>
      <c r="E94" s="122" t="str">
        <f t="shared" si="5"/>
        <v>nv</v>
      </c>
      <c r="F94" s="122" t="str">
        <f t="shared" si="5"/>
        <v>nv</v>
      </c>
      <c r="G94" s="122">
        <f t="shared" si="5"/>
        <v>1043.8423268881359</v>
      </c>
      <c r="H94" s="122">
        <f t="shared" si="5"/>
        <v>1068.0067285228092</v>
      </c>
      <c r="I94" s="122"/>
      <c r="J94" s="122">
        <f t="shared" si="3"/>
        <v>1055.9245277054724</v>
      </c>
    </row>
    <row r="95" spans="1:10" x14ac:dyDescent="0.25">
      <c r="A95" s="121">
        <f t="shared" si="2"/>
        <v>100000000</v>
      </c>
      <c r="B95" s="122" t="str">
        <f t="shared" si="5"/>
        <v>nv</v>
      </c>
      <c r="C95" s="122" t="str">
        <f t="shared" si="5"/>
        <v>nv</v>
      </c>
      <c r="D95" s="122" t="str">
        <f t="shared" si="5"/>
        <v>nv</v>
      </c>
      <c r="E95" s="122" t="str">
        <f t="shared" si="5"/>
        <v>nv</v>
      </c>
      <c r="F95" s="122" t="str">
        <f t="shared" si="5"/>
        <v>nv</v>
      </c>
      <c r="G95" s="122" t="str">
        <f t="shared" si="5"/>
        <v>nv</v>
      </c>
      <c r="H95" s="122">
        <f t="shared" si="5"/>
        <v>730.09820628828561</v>
      </c>
      <c r="I95" s="122"/>
      <c r="J95" s="122">
        <f t="shared" si="3"/>
        <v>730.09820628828561</v>
      </c>
    </row>
    <row r="96" spans="1:10" x14ac:dyDescent="0.25">
      <c r="A96" s="121">
        <f t="shared" si="2"/>
        <v>1000000000</v>
      </c>
      <c r="B96" s="122" t="str">
        <f t="shared" si="5"/>
        <v>nv</v>
      </c>
      <c r="C96" s="122" t="str">
        <f t="shared" si="5"/>
        <v>nv</v>
      </c>
      <c r="D96" s="122" t="str">
        <f t="shared" si="5"/>
        <v>nv</v>
      </c>
      <c r="E96" s="122" t="str">
        <f t="shared" si="5"/>
        <v>nv</v>
      </c>
      <c r="F96" s="122" t="str">
        <f t="shared" si="5"/>
        <v>nv</v>
      </c>
      <c r="G96" s="122" t="str">
        <f t="shared" si="5"/>
        <v>nv</v>
      </c>
      <c r="H96" s="122">
        <f t="shared" si="5"/>
        <v>562.20924765160123</v>
      </c>
      <c r="I96" s="122"/>
      <c r="J96" s="122">
        <f t="shared" si="3"/>
        <v>562.20924765160123</v>
      </c>
    </row>
    <row r="97" spans="1:36" x14ac:dyDescent="0.25">
      <c r="A97" s="121">
        <f t="shared" si="2"/>
        <v>10000000000</v>
      </c>
      <c r="B97" s="122" t="str">
        <f t="shared" si="5"/>
        <v>nv</v>
      </c>
      <c r="C97" s="122" t="str">
        <f t="shared" si="5"/>
        <v>nv</v>
      </c>
      <c r="D97" s="122" t="str">
        <f t="shared" si="5"/>
        <v>nv</v>
      </c>
      <c r="E97" s="122" t="str">
        <f t="shared" si="5"/>
        <v>nv</v>
      </c>
      <c r="F97" s="122" t="str">
        <f t="shared" si="5"/>
        <v>nv</v>
      </c>
      <c r="G97" s="122" t="str">
        <f t="shared" si="5"/>
        <v>nv</v>
      </c>
      <c r="H97" s="122" t="str">
        <f t="shared" si="5"/>
        <v>nv</v>
      </c>
      <c r="I97" s="122"/>
      <c r="J97" s="122">
        <f t="shared" si="3"/>
        <v>562.20924765160123</v>
      </c>
    </row>
    <row r="98" spans="1:36" x14ac:dyDescent="0.25">
      <c r="A98" s="121">
        <f t="shared" si="2"/>
        <v>100000000000</v>
      </c>
      <c r="B98" s="122" t="str">
        <f t="shared" si="5"/>
        <v>nv</v>
      </c>
      <c r="C98" s="122" t="str">
        <f t="shared" si="5"/>
        <v>nv</v>
      </c>
      <c r="D98" s="122" t="str">
        <f t="shared" si="5"/>
        <v>nv</v>
      </c>
      <c r="E98" s="122" t="str">
        <f t="shared" si="5"/>
        <v>nv</v>
      </c>
      <c r="F98" s="122" t="str">
        <f t="shared" si="5"/>
        <v>nv</v>
      </c>
      <c r="G98" s="122" t="str">
        <f t="shared" si="5"/>
        <v>nv</v>
      </c>
      <c r="H98" s="122" t="str">
        <f t="shared" si="5"/>
        <v>nv</v>
      </c>
      <c r="I98" s="122"/>
      <c r="J98" s="122">
        <f t="shared" si="3"/>
        <v>562.20924765160123</v>
      </c>
    </row>
    <row r="99" spans="1:36" x14ac:dyDescent="0.25">
      <c r="A99" s="121">
        <f t="shared" si="2"/>
        <v>1000000000000</v>
      </c>
      <c r="B99" s="122" t="str">
        <f t="shared" si="5"/>
        <v>nv</v>
      </c>
      <c r="C99" s="122" t="str">
        <f t="shared" si="5"/>
        <v>nv</v>
      </c>
      <c r="D99" s="122" t="str">
        <f t="shared" si="5"/>
        <v>nv</v>
      </c>
      <c r="E99" s="122" t="str">
        <f t="shared" si="5"/>
        <v>nv</v>
      </c>
      <c r="F99" s="122" t="str">
        <f t="shared" si="5"/>
        <v>nv</v>
      </c>
      <c r="G99" s="122" t="str">
        <f t="shared" si="5"/>
        <v>nv</v>
      </c>
      <c r="H99" s="122" t="str">
        <f t="shared" si="5"/>
        <v>nv</v>
      </c>
      <c r="I99" s="122"/>
      <c r="J99" s="122">
        <f t="shared" si="3"/>
        <v>562.20924765160123</v>
      </c>
    </row>
    <row r="100" spans="1:36" x14ac:dyDescent="0.25">
      <c r="A100" s="121">
        <f t="shared" si="2"/>
        <v>10000000000000</v>
      </c>
      <c r="B100" s="122" t="str">
        <f t="shared" si="5"/>
        <v>nv</v>
      </c>
      <c r="C100" s="122" t="str">
        <f t="shared" si="5"/>
        <v>nv</v>
      </c>
      <c r="D100" s="122" t="str">
        <f t="shared" si="5"/>
        <v>nv</v>
      </c>
      <c r="E100" s="122" t="str">
        <f t="shared" si="5"/>
        <v>nv</v>
      </c>
      <c r="F100" s="122" t="str">
        <f t="shared" si="5"/>
        <v>nv</v>
      </c>
      <c r="G100" s="122" t="str">
        <f t="shared" si="5"/>
        <v>nv</v>
      </c>
      <c r="H100" s="122" t="str">
        <f t="shared" si="5"/>
        <v>nv</v>
      </c>
      <c r="I100" s="122"/>
      <c r="J100" s="122">
        <f t="shared" si="3"/>
        <v>562.20924765160123</v>
      </c>
    </row>
    <row r="101" spans="1:36" x14ac:dyDescent="0.25">
      <c r="A101" s="121">
        <f t="shared" si="2"/>
        <v>100000000000000</v>
      </c>
      <c r="B101" s="122" t="str">
        <f t="shared" si="5"/>
        <v>nv</v>
      </c>
      <c r="C101" s="122" t="str">
        <f t="shared" si="5"/>
        <v>nv</v>
      </c>
      <c r="D101" s="122" t="str">
        <f t="shared" si="5"/>
        <v>nv</v>
      </c>
      <c r="E101" s="122" t="str">
        <f t="shared" si="5"/>
        <v>nv</v>
      </c>
      <c r="F101" s="122" t="str">
        <f t="shared" si="5"/>
        <v>nv</v>
      </c>
      <c r="G101" s="122" t="str">
        <f t="shared" si="5"/>
        <v>nv</v>
      </c>
      <c r="H101" s="122" t="str">
        <f t="shared" si="5"/>
        <v>nv</v>
      </c>
      <c r="I101" s="122"/>
      <c r="J101" s="122">
        <f t="shared" si="3"/>
        <v>562.20924765160123</v>
      </c>
    </row>
    <row r="102" spans="1:36" x14ac:dyDescent="0.25">
      <c r="A102" s="121">
        <f t="shared" si="2"/>
        <v>1000000000000000</v>
      </c>
      <c r="B102" s="122" t="str">
        <f t="shared" si="5"/>
        <v>nv</v>
      </c>
      <c r="C102" s="122" t="str">
        <f t="shared" si="5"/>
        <v>nv</v>
      </c>
      <c r="D102" s="122" t="str">
        <f t="shared" si="5"/>
        <v>nv</v>
      </c>
      <c r="E102" s="122" t="str">
        <f t="shared" si="5"/>
        <v>nv</v>
      </c>
      <c r="F102" s="122" t="str">
        <f t="shared" si="5"/>
        <v>nv</v>
      </c>
      <c r="G102" s="122" t="str">
        <f t="shared" si="5"/>
        <v>nv</v>
      </c>
      <c r="H102" s="122" t="str">
        <f t="shared" si="5"/>
        <v>nv</v>
      </c>
      <c r="I102" s="122"/>
      <c r="J102" s="122">
        <f t="shared" si="3"/>
        <v>562.20924765160123</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9251.8682861384877</v>
      </c>
      <c r="G109" s="26">
        <f t="shared" ref="G109:AJ109" si="7">INDEX($J$72:$J$102,COLUMN(B72),1)</f>
        <v>9251.8682861384877</v>
      </c>
      <c r="H109" s="26">
        <f t="shared" si="7"/>
        <v>9251.8682861384877</v>
      </c>
      <c r="I109" s="26">
        <f t="shared" si="7"/>
        <v>9251.8682861384877</v>
      </c>
      <c r="J109" s="26">
        <f t="shared" si="7"/>
        <v>9251.8682861384877</v>
      </c>
      <c r="K109" s="26">
        <f t="shared" si="7"/>
        <v>9251.8682861384877</v>
      </c>
      <c r="L109" s="26">
        <f t="shared" si="7"/>
        <v>9251.8682861384877</v>
      </c>
      <c r="M109" s="26">
        <f t="shared" si="7"/>
        <v>8917.1568702061377</v>
      </c>
      <c r="N109" s="26">
        <f t="shared" si="7"/>
        <v>8535.3590516167569</v>
      </c>
      <c r="O109" s="26">
        <f t="shared" si="7"/>
        <v>8148.0836522453683</v>
      </c>
      <c r="P109" s="26">
        <f t="shared" si="7"/>
        <v>7813.7695933146406</v>
      </c>
      <c r="Q109" s="26">
        <f t="shared" si="7"/>
        <v>7529.2127676484961</v>
      </c>
      <c r="R109" s="26">
        <f t="shared" si="7"/>
        <v>7250.5864526226242</v>
      </c>
      <c r="S109" s="26">
        <f t="shared" si="7"/>
        <v>6909.5770929565988</v>
      </c>
      <c r="T109" s="26">
        <f t="shared" si="7"/>
        <v>6619.3807728650027</v>
      </c>
      <c r="U109" s="26">
        <f t="shared" si="7"/>
        <v>6152.7765479292475</v>
      </c>
      <c r="V109" s="26">
        <f t="shared" si="7"/>
        <v>5534.0924749630894</v>
      </c>
      <c r="W109" s="26">
        <f t="shared" si="7"/>
        <v>4761.6124933919618</v>
      </c>
      <c r="X109" s="26">
        <f t="shared" si="7"/>
        <v>3991.5151760664094</v>
      </c>
      <c r="Y109" s="26">
        <f t="shared" si="7"/>
        <v>3221.4293084721198</v>
      </c>
      <c r="Z109" s="26">
        <f t="shared" si="7"/>
        <v>2340.6624240744027</v>
      </c>
      <c r="AA109" s="26">
        <f t="shared" si="7"/>
        <v>1600.7906091045293</v>
      </c>
      <c r="AB109" s="26">
        <f t="shared" si="7"/>
        <v>1055.9245277054724</v>
      </c>
      <c r="AC109" s="26">
        <f t="shared" si="7"/>
        <v>730.09820628828561</v>
      </c>
      <c r="AD109" s="26">
        <f t="shared" si="7"/>
        <v>562.20924765160123</v>
      </c>
      <c r="AE109" s="26">
        <f t="shared" si="7"/>
        <v>562.20924765160123</v>
      </c>
      <c r="AF109" s="26">
        <f t="shared" si="7"/>
        <v>562.20924765160123</v>
      </c>
      <c r="AG109" s="26">
        <f t="shared" si="7"/>
        <v>562.20924765160123</v>
      </c>
      <c r="AH109" s="26">
        <f t="shared" si="7"/>
        <v>562.20924765160123</v>
      </c>
      <c r="AI109" s="26">
        <f t="shared" si="7"/>
        <v>562.20924765160123</v>
      </c>
      <c r="AJ109" s="26">
        <f t="shared" si="7"/>
        <v>562.20924765160123</v>
      </c>
    </row>
    <row r="110" spans="1:36" x14ac:dyDescent="0.25">
      <c r="A110" s="14" t="s">
        <v>20</v>
      </c>
      <c r="B110" s="107">
        <v>6.8307840217809515E-2</v>
      </c>
      <c r="C110" s="18">
        <f>ABS(B110/$B$142)</f>
        <v>4.9290599873820271E-2</v>
      </c>
      <c r="D110" s="111"/>
      <c r="E110" s="77" t="s">
        <v>22</v>
      </c>
      <c r="F110" s="27">
        <f>($C$110+SUM(F111:F141))*$B$144</f>
        <v>9259.4299850126572</v>
      </c>
      <c r="G110" s="27">
        <f t="shared" ref="G110:AJ110" si="8">($C$110+SUM(G111:G141))*$B$144</f>
        <v>9259.4294517358558</v>
      </c>
      <c r="H110" s="27">
        <f t="shared" si="8"/>
        <v>9259.4241190040757</v>
      </c>
      <c r="I110" s="27">
        <f t="shared" si="8"/>
        <v>9259.3707953082358</v>
      </c>
      <c r="J110" s="27">
        <f t="shared" si="8"/>
        <v>9258.8379203630957</v>
      </c>
      <c r="K110" s="27">
        <f t="shared" si="8"/>
        <v>9253.5451902141667</v>
      </c>
      <c r="L110" s="27">
        <f t="shared" si="8"/>
        <v>9204.0445496232478</v>
      </c>
      <c r="M110" s="27">
        <f t="shared" si="8"/>
        <v>8927.5401188928445</v>
      </c>
      <c r="N110" s="27">
        <f t="shared" si="8"/>
        <v>8532.5729579193267</v>
      </c>
      <c r="O110" s="27">
        <f t="shared" si="8"/>
        <v>8152.0503811339877</v>
      </c>
      <c r="P110" s="27">
        <f t="shared" si="8"/>
        <v>7807.0930590307698</v>
      </c>
      <c r="Q110" s="27">
        <f t="shared" si="8"/>
        <v>7538.8634656106733</v>
      </c>
      <c r="R110" s="27">
        <f t="shared" si="8"/>
        <v>7238.7190318071725</v>
      </c>
      <c r="S110" s="27">
        <f t="shared" si="8"/>
        <v>6922.0376434984682</v>
      </c>
      <c r="T110" s="27">
        <f t="shared" si="8"/>
        <v>6608.1703988529653</v>
      </c>
      <c r="U110" s="27">
        <f t="shared" si="8"/>
        <v>6161.4437615835432</v>
      </c>
      <c r="V110" s="27">
        <f t="shared" si="8"/>
        <v>5528.3196760220981</v>
      </c>
      <c r="W110" s="27">
        <f t="shared" si="8"/>
        <v>4764.9319126986775</v>
      </c>
      <c r="X110" s="27">
        <f t="shared" si="8"/>
        <v>3989.8642608909072</v>
      </c>
      <c r="Y110" s="27">
        <f t="shared" si="8"/>
        <v>3222.1406837945628</v>
      </c>
      <c r="Z110" s="27">
        <f t="shared" si="8"/>
        <v>2340.3964261252763</v>
      </c>
      <c r="AA110" s="27">
        <f t="shared" si="8"/>
        <v>1600.8775595899531</v>
      </c>
      <c r="AB110" s="27">
        <f t="shared" si="8"/>
        <v>1055.8869374905705</v>
      </c>
      <c r="AC110" s="27">
        <f t="shared" si="8"/>
        <v>730.13795367967327</v>
      </c>
      <c r="AD110" s="27">
        <f t="shared" si="8"/>
        <v>562.22383472435831</v>
      </c>
      <c r="AE110" s="27">
        <f t="shared" si="8"/>
        <v>562.20311090420796</v>
      </c>
      <c r="AF110" s="27">
        <f t="shared" si="8"/>
        <v>562.20311090420796</v>
      </c>
      <c r="AG110" s="27">
        <f t="shared" si="8"/>
        <v>562.20311090420796</v>
      </c>
      <c r="AH110" s="27">
        <f t="shared" si="8"/>
        <v>562.20311090420796</v>
      </c>
      <c r="AI110" s="27">
        <f t="shared" si="8"/>
        <v>562.20311090420796</v>
      </c>
      <c r="AJ110" s="27">
        <f t="shared" si="8"/>
        <v>562.20311090420796</v>
      </c>
    </row>
    <row r="111" spans="1:36" x14ac:dyDescent="0.25">
      <c r="A111" s="3">
        <f>0.000000000000001/10^5</f>
        <v>1.0000000000000001E-20</v>
      </c>
      <c r="B111" s="107">
        <v>0.26079538255591123</v>
      </c>
      <c r="C111" s="18">
        <f t="shared" ref="C111:C141" si="9">ABS(B111/$B$142)</f>
        <v>0.18818865901064982</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7">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7">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7">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7">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7">
        <v>0</v>
      </c>
      <c r="C116" s="18">
        <f t="shared" si="9"/>
        <v>0</v>
      </c>
      <c r="D116" s="17"/>
      <c r="E116" s="11"/>
      <c r="F116" s="3">
        <f t="shared" si="11"/>
        <v>0</v>
      </c>
      <c r="G116" s="3">
        <f t="shared" si="10"/>
        <v>0</v>
      </c>
      <c r="H116" s="3">
        <f t="shared" si="10"/>
        <v>0</v>
      </c>
      <c r="I116" s="3">
        <f t="shared" si="10"/>
        <v>0</v>
      </c>
      <c r="J116" s="3">
        <f t="shared" si="10"/>
        <v>0</v>
      </c>
      <c r="K116" s="3">
        <f t="shared" si="10"/>
        <v>0</v>
      </c>
      <c r="L116" s="3">
        <f t="shared" si="10"/>
        <v>0</v>
      </c>
      <c r="M116" s="3">
        <f t="shared" si="10"/>
        <v>0</v>
      </c>
      <c r="N116" s="3">
        <f t="shared" si="10"/>
        <v>0</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7">
        <v>4.1748211534143334E-2</v>
      </c>
      <c r="C117" s="18">
        <f t="shared" si="9"/>
        <v>3.0125303092814672E-2</v>
      </c>
      <c r="D117" s="17"/>
      <c r="E117" s="11"/>
      <c r="F117" s="3">
        <f t="shared" si="11"/>
        <v>3.0125298483182659E-2</v>
      </c>
      <c r="G117" s="3">
        <f t="shared" si="10"/>
        <v>3.0125256996526278E-2</v>
      </c>
      <c r="H117" s="3">
        <f t="shared" si="10"/>
        <v>3.0124842133104762E-2</v>
      </c>
      <c r="I117" s="3">
        <f t="shared" si="10"/>
        <v>3.0120693813102718E-2</v>
      </c>
      <c r="J117" s="3">
        <f t="shared" si="10"/>
        <v>3.0079242018386892E-2</v>
      </c>
      <c r="K117" s="3">
        <f t="shared" si="10"/>
        <v>2.9667848658181173E-2</v>
      </c>
      <c r="L117" s="3">
        <f t="shared" si="10"/>
        <v>2.5851022373827987E-2</v>
      </c>
      <c r="M117" s="3">
        <f t="shared" si="10"/>
        <v>6.5222044705923032E-3</v>
      </c>
      <c r="N117" s="3">
        <f t="shared" si="10"/>
        <v>6.8164973805519252E-9</v>
      </c>
      <c r="O117" s="3">
        <f t="shared" si="10"/>
        <v>1.0598145947505034E-68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7">
        <v>5.4122366634100111E-2</v>
      </c>
      <c r="C118" s="18">
        <f t="shared" si="9"/>
        <v>3.9054432250810484E-2</v>
      </c>
      <c r="D118" s="17"/>
      <c r="E118" s="11"/>
      <c r="F118" s="3">
        <f t="shared" si="11"/>
        <v>3.9054431711732264E-2</v>
      </c>
      <c r="G118" s="3">
        <f t="shared" si="10"/>
        <v>3.905442686002867E-2</v>
      </c>
      <c r="H118" s="3">
        <f t="shared" si="10"/>
        <v>3.9054378343025796E-2</v>
      </c>
      <c r="I118" s="3">
        <f t="shared" si="10"/>
        <v>3.9053893176312027E-2</v>
      </c>
      <c r="J118" s="3">
        <f t="shared" si="10"/>
        <v>3.9049041840655482E-2</v>
      </c>
      <c r="K118" s="3">
        <f t="shared" si="10"/>
        <v>3.9000561616968431E-2</v>
      </c>
      <c r="L118" s="3">
        <f t="shared" si="10"/>
        <v>3.8519057488944235E-2</v>
      </c>
      <c r="M118" s="3">
        <f t="shared" si="10"/>
        <v>3.4019158093757051E-2</v>
      </c>
      <c r="N118" s="3">
        <f t="shared" si="10"/>
        <v>9.8220616726464888E-3</v>
      </c>
      <c r="O118" s="3">
        <f t="shared" si="10"/>
        <v>3.9536080215843473E-8</v>
      </c>
      <c r="P118" s="3">
        <f t="shared" si="10"/>
        <v>4.4147196945135666E-62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7">
        <v>4.7136717778569488E-2</v>
      </c>
      <c r="C119" s="18">
        <f t="shared" si="9"/>
        <v>3.401362256485007E-2</v>
      </c>
      <c r="D119" s="17"/>
      <c r="E119" s="11"/>
      <c r="F119" s="3">
        <f t="shared" si="11"/>
        <v>3.4013622522497386E-2</v>
      </c>
      <c r="G119" s="3">
        <f t="shared" si="10"/>
        <v>3.4013622141323231E-2</v>
      </c>
      <c r="H119" s="3">
        <f t="shared" si="10"/>
        <v>3.4013618329581961E-2</v>
      </c>
      <c r="I119" s="3">
        <f t="shared" si="10"/>
        <v>3.4013580212192689E-2</v>
      </c>
      <c r="J119" s="3">
        <f t="shared" si="10"/>
        <v>3.4013199040649415E-2</v>
      </c>
      <c r="K119" s="3">
        <f t="shared" si="10"/>
        <v>3.4009387560145647E-2</v>
      </c>
      <c r="L119" s="3">
        <f t="shared" si="10"/>
        <v>3.3971296238272629E-2</v>
      </c>
      <c r="M119" s="3">
        <f t="shared" si="10"/>
        <v>3.3592721628041493E-2</v>
      </c>
      <c r="N119" s="3">
        <f t="shared" si="10"/>
        <v>3.0031423411259153E-2</v>
      </c>
      <c r="O119" s="3">
        <f t="shared" si="10"/>
        <v>9.7922654351137849E-3</v>
      </c>
      <c r="P119" s="3">
        <f t="shared" si="10"/>
        <v>1.3303189520409048E-7</v>
      </c>
      <c r="Q119" s="3">
        <f t="shared" si="10"/>
        <v>2.8489300621446158E-56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7">
        <v>4.52224592098645E-2</v>
      </c>
      <c r="C120" s="18">
        <f t="shared" si="9"/>
        <v>3.2632303043339729E-2</v>
      </c>
      <c r="D120" s="17"/>
      <c r="E120" s="11"/>
      <c r="F120" s="3">
        <f t="shared" si="11"/>
        <v>3.2632303039674321E-2</v>
      </c>
      <c r="G120" s="3">
        <f t="shared" ref="G120:AJ128" si="12">$C120*EXP(-G$108/$A120)</f>
        <v>3.2632303006685646E-2</v>
      </c>
      <c r="H120" s="3">
        <f t="shared" si="12"/>
        <v>3.2632302676798897E-2</v>
      </c>
      <c r="I120" s="3">
        <f t="shared" si="12"/>
        <v>3.2632299377931599E-2</v>
      </c>
      <c r="J120" s="3">
        <f t="shared" si="12"/>
        <v>3.263226638927693E-2</v>
      </c>
      <c r="K120" s="3">
        <f t="shared" si="12"/>
        <v>3.2631936504564474E-2</v>
      </c>
      <c r="L120" s="3">
        <f t="shared" si="12"/>
        <v>3.2628637840851446E-2</v>
      </c>
      <c r="M120" s="3">
        <f t="shared" si="12"/>
        <v>3.2595669538016812E-2</v>
      </c>
      <c r="N120" s="3">
        <f t="shared" si="12"/>
        <v>3.2267813099967964E-2</v>
      </c>
      <c r="O120" s="3">
        <f t="shared" si="12"/>
        <v>2.9165256397196485E-2</v>
      </c>
      <c r="P120" s="3">
        <f t="shared" si="12"/>
        <v>1.0612762818494334E-2</v>
      </c>
      <c r="Q120" s="3">
        <f t="shared" si="12"/>
        <v>4.319714608563056E-7</v>
      </c>
      <c r="R120" s="3">
        <f t="shared" si="12"/>
        <v>5.3916416853321525E-51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7">
        <v>2.5643936955229513E-2</v>
      </c>
      <c r="C121" s="18">
        <f t="shared" si="9"/>
        <v>1.8504538155784553E-2</v>
      </c>
      <c r="D121" s="17"/>
      <c r="E121" s="11"/>
      <c r="F121" s="3">
        <f t="shared" si="11"/>
        <v>1.8504538155597054E-2</v>
      </c>
      <c r="G121" s="3">
        <f t="shared" si="12"/>
        <v>1.850453815390956E-2</v>
      </c>
      <c r="H121" s="3">
        <f t="shared" si="12"/>
        <v>1.8504538137034631E-2</v>
      </c>
      <c r="I121" s="3">
        <f t="shared" si="12"/>
        <v>1.8504537968285328E-2</v>
      </c>
      <c r="J121" s="3">
        <f t="shared" si="12"/>
        <v>1.8504536280792388E-2</v>
      </c>
      <c r="K121" s="3">
        <f t="shared" si="12"/>
        <v>1.8504519405871455E-2</v>
      </c>
      <c r="L121" s="3">
        <f t="shared" si="12"/>
        <v>1.8504350657508516E-2</v>
      </c>
      <c r="M121" s="3">
        <f t="shared" si="12"/>
        <v>1.8502663258514528E-2</v>
      </c>
      <c r="N121" s="3">
        <f t="shared" si="12"/>
        <v>1.848579772926125E-2</v>
      </c>
      <c r="O121" s="3">
        <f t="shared" si="12"/>
        <v>1.8317985657568467E-2</v>
      </c>
      <c r="P121" s="3">
        <f t="shared" si="12"/>
        <v>1.6721409939617751E-2</v>
      </c>
      <c r="Q121" s="3">
        <f t="shared" si="12"/>
        <v>6.7177631655571937E-3</v>
      </c>
      <c r="R121" s="3">
        <f t="shared" si="12"/>
        <v>7.3577094704961895E-7</v>
      </c>
      <c r="S121" s="3">
        <f t="shared" si="12"/>
        <v>1.8277723313542439E-46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7">
        <v>4.7787359688839348E-2</v>
      </c>
      <c r="C122" s="18">
        <f t="shared" si="9"/>
        <v>3.4483122551352184E-2</v>
      </c>
      <c r="D122" s="17"/>
      <c r="E122" s="11"/>
      <c r="F122" s="3">
        <f t="shared" si="11"/>
        <v>3.4483122551320668E-2</v>
      </c>
      <c r="G122" s="3">
        <f t="shared" si="12"/>
        <v>3.4483122551036992E-2</v>
      </c>
      <c r="H122" s="3">
        <f t="shared" si="12"/>
        <v>3.4483122548200268E-2</v>
      </c>
      <c r="I122" s="3">
        <f t="shared" si="12"/>
        <v>3.4483122519833043E-2</v>
      </c>
      <c r="J122" s="3">
        <f t="shared" si="12"/>
        <v>3.4483122236160749E-2</v>
      </c>
      <c r="K122" s="3">
        <f t="shared" si="12"/>
        <v>3.4483119399437996E-2</v>
      </c>
      <c r="L122" s="3">
        <f t="shared" si="12"/>
        <v>3.4483091032223231E-2</v>
      </c>
      <c r="M122" s="3">
        <f t="shared" si="12"/>
        <v>3.448280736135912E-2</v>
      </c>
      <c r="N122" s="3">
        <f t="shared" si="12"/>
        <v>3.447997078106186E-2</v>
      </c>
      <c r="O122" s="3">
        <f t="shared" si="12"/>
        <v>3.4451617808574073E-2</v>
      </c>
      <c r="P122" s="3">
        <f t="shared" si="12"/>
        <v>3.4169367235446405E-2</v>
      </c>
      <c r="Q122" s="3">
        <f t="shared" si="12"/>
        <v>3.147096742795083E-2</v>
      </c>
      <c r="R122" s="3">
        <f t="shared" si="12"/>
        <v>1.3824252710175349E-2</v>
      </c>
      <c r="S122" s="3">
        <f t="shared" si="12"/>
        <v>3.6979188075801468E-6</v>
      </c>
      <c r="T122" s="3">
        <f t="shared" si="12"/>
        <v>6.9360855955688061E-42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7">
        <v>3.3527934866920892E-2</v>
      </c>
      <c r="C123" s="18">
        <f t="shared" si="9"/>
        <v>2.4193592080371897E-2</v>
      </c>
      <c r="D123" s="17"/>
      <c r="E123" s="11"/>
      <c r="F123" s="3">
        <f t="shared" si="11"/>
        <v>2.4193592080369902E-2</v>
      </c>
      <c r="G123" s="3">
        <f t="shared" si="12"/>
        <v>2.4193592080351947E-2</v>
      </c>
      <c r="H123" s="3">
        <f t="shared" si="12"/>
        <v>2.419359208017241E-2</v>
      </c>
      <c r="I123" s="3">
        <f t="shared" si="12"/>
        <v>2.4193592078377027E-2</v>
      </c>
      <c r="J123" s="3">
        <f t="shared" si="12"/>
        <v>2.4193592060423187E-2</v>
      </c>
      <c r="K123" s="3">
        <f t="shared" si="12"/>
        <v>2.419359188088482E-2</v>
      </c>
      <c r="L123" s="3">
        <f t="shared" si="12"/>
        <v>2.4193590085501218E-2</v>
      </c>
      <c r="M123" s="3">
        <f t="shared" si="12"/>
        <v>2.419357213167252E-2</v>
      </c>
      <c r="N123" s="3">
        <f t="shared" si="12"/>
        <v>2.4193392594118311E-2</v>
      </c>
      <c r="O123" s="3">
        <f t="shared" si="12"/>
        <v>2.4191597291852565E-2</v>
      </c>
      <c r="P123" s="3">
        <f t="shared" si="12"/>
        <v>2.4173651594815253E-2</v>
      </c>
      <c r="Q123" s="3">
        <f t="shared" si="12"/>
        <v>2.3994925179022689E-2</v>
      </c>
      <c r="R123" s="3">
        <f t="shared" si="12"/>
        <v>2.2278749766152205E-2</v>
      </c>
      <c r="S123" s="3">
        <f t="shared" si="12"/>
        <v>1.0607302895492084E-2</v>
      </c>
      <c r="T123" s="3">
        <f t="shared" si="12"/>
        <v>6.3496022283214323E-6</v>
      </c>
      <c r="U123" s="3">
        <f t="shared" si="12"/>
        <v>3.7511291075655489E-38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7">
        <v>4.1704673484001802E-2</v>
      </c>
      <c r="C124" s="18">
        <f t="shared" si="9"/>
        <v>3.0093886251029458E-2</v>
      </c>
      <c r="D124" s="17"/>
      <c r="E124" s="11"/>
      <c r="F124" s="3">
        <f t="shared" si="11"/>
        <v>3.0093886251029232E-2</v>
      </c>
      <c r="G124" s="3">
        <f t="shared" si="12"/>
        <v>3.009388625102722E-2</v>
      </c>
      <c r="H124" s="3">
        <f t="shared" si="12"/>
        <v>3.0093886251007073E-2</v>
      </c>
      <c r="I124" s="3">
        <f t="shared" si="12"/>
        <v>3.009388625080562E-2</v>
      </c>
      <c r="J124" s="3">
        <f t="shared" si="12"/>
        <v>3.0093886248791051E-2</v>
      </c>
      <c r="K124" s="3">
        <f t="shared" si="12"/>
        <v>3.0093886228645377E-2</v>
      </c>
      <c r="L124" s="3">
        <f t="shared" si="12"/>
        <v>3.0093886027188644E-2</v>
      </c>
      <c r="M124" s="3">
        <f t="shared" si="12"/>
        <v>3.0093884012621398E-2</v>
      </c>
      <c r="N124" s="3">
        <f t="shared" si="12"/>
        <v>3.0093863866956366E-2</v>
      </c>
      <c r="O124" s="3">
        <f t="shared" si="12"/>
        <v>3.0093662411047748E-2</v>
      </c>
      <c r="P124" s="3">
        <f t="shared" si="12"/>
        <v>3.0091647926132892E-2</v>
      </c>
      <c r="Q124" s="3">
        <f t="shared" si="12"/>
        <v>3.0071510492279987E-2</v>
      </c>
      <c r="R124" s="3">
        <f t="shared" si="12"/>
        <v>2.9870875849919352E-2</v>
      </c>
      <c r="S124" s="3">
        <f t="shared" si="12"/>
        <v>2.7936699248369924E-2</v>
      </c>
      <c r="T124" s="3">
        <f t="shared" si="12"/>
        <v>1.4303635965355398E-2</v>
      </c>
      <c r="U124" s="3">
        <f t="shared" si="12"/>
        <v>1.7707612514726654E-5</v>
      </c>
      <c r="V124" s="3">
        <f t="shared" si="12"/>
        <v>1.4972544901689364E-34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7">
        <v>6.8516334174279672E-2</v>
      </c>
      <c r="C125" s="18">
        <f t="shared" si="9"/>
        <v>4.9441048082279379E-2</v>
      </c>
      <c r="D125" s="17"/>
      <c r="E125" s="11"/>
      <c r="F125" s="3">
        <f t="shared" si="11"/>
        <v>4.9441048082279344E-2</v>
      </c>
      <c r="G125" s="3">
        <f t="shared" si="12"/>
        <v>4.9441048082279053E-2</v>
      </c>
      <c r="H125" s="3">
        <f t="shared" si="12"/>
        <v>4.9441048082276062E-2</v>
      </c>
      <c r="I125" s="3">
        <f t="shared" si="12"/>
        <v>4.9441048082246204E-2</v>
      </c>
      <c r="J125" s="3">
        <f t="shared" si="12"/>
        <v>4.9441048081947644E-2</v>
      </c>
      <c r="K125" s="3">
        <f t="shared" si="12"/>
        <v>4.9441048078961998E-2</v>
      </c>
      <c r="L125" s="3">
        <f t="shared" si="12"/>
        <v>4.9441048049105575E-2</v>
      </c>
      <c r="M125" s="3">
        <f t="shared" si="12"/>
        <v>4.9441047750541353E-2</v>
      </c>
      <c r="N125" s="3">
        <f t="shared" si="12"/>
        <v>4.9441044764899189E-2</v>
      </c>
      <c r="O125" s="3">
        <f t="shared" si="12"/>
        <v>4.9441014908487513E-2</v>
      </c>
      <c r="P125" s="3">
        <f t="shared" si="12"/>
        <v>4.9440716345362339E-2</v>
      </c>
      <c r="Q125" s="3">
        <f t="shared" si="12"/>
        <v>4.9437730813271345E-2</v>
      </c>
      <c r="R125" s="3">
        <f t="shared" si="12"/>
        <v>4.9407885406220681E-2</v>
      </c>
      <c r="S125" s="3">
        <f t="shared" si="12"/>
        <v>4.9110420510105876E-2</v>
      </c>
      <c r="T125" s="3">
        <f t="shared" si="12"/>
        <v>4.6232514070182938E-2</v>
      </c>
      <c r="U125" s="3">
        <f t="shared" si="12"/>
        <v>2.5274704542423407E-2</v>
      </c>
      <c r="V125" s="3">
        <f t="shared" si="12"/>
        <v>6.0265929182717469E-5</v>
      </c>
      <c r="W125" s="3">
        <f t="shared" si="12"/>
        <v>3.5803835374451785E-31</v>
      </c>
      <c r="X125" s="3">
        <f t="shared" si="12"/>
        <v>1.9611305189233612E-293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7">
        <v>9.2515512242501471E-2</v>
      </c>
      <c r="C126" s="18">
        <f t="shared" si="9"/>
        <v>6.6758736354801632E-2</v>
      </c>
      <c r="D126" s="17"/>
      <c r="E126" s="11"/>
      <c r="F126" s="3">
        <f t="shared" si="11"/>
        <v>6.6758736354801618E-2</v>
      </c>
      <c r="G126" s="3">
        <f t="shared" si="12"/>
        <v>6.675873635480159E-2</v>
      </c>
      <c r="H126" s="3">
        <f t="shared" si="12"/>
        <v>6.6758736354801229E-2</v>
      </c>
      <c r="I126" s="3">
        <f t="shared" si="12"/>
        <v>6.6758736354797593E-2</v>
      </c>
      <c r="J126" s="3">
        <f t="shared" si="12"/>
        <v>6.6758736354761219E-2</v>
      </c>
      <c r="K126" s="3">
        <f t="shared" si="12"/>
        <v>6.6758736354397552E-2</v>
      </c>
      <c r="L126" s="3">
        <f t="shared" si="12"/>
        <v>6.6758736350760878E-2</v>
      </c>
      <c r="M126" s="3">
        <f t="shared" si="12"/>
        <v>6.6758736314394107E-2</v>
      </c>
      <c r="N126" s="3">
        <f t="shared" si="12"/>
        <v>6.6758735950726344E-2</v>
      </c>
      <c r="O126" s="3">
        <f t="shared" si="12"/>
        <v>6.6758732314048871E-2</v>
      </c>
      <c r="P126" s="3">
        <f t="shared" si="12"/>
        <v>6.6758695947285063E-2</v>
      </c>
      <c r="Q126" s="3">
        <f t="shared" si="12"/>
        <v>6.6758332280736535E-2</v>
      </c>
      <c r="R126" s="3">
        <f t="shared" si="12"/>
        <v>6.6754695724208168E-2</v>
      </c>
      <c r="S126" s="3">
        <f t="shared" si="12"/>
        <v>6.6718341052411589E-2</v>
      </c>
      <c r="T126" s="3">
        <f t="shared" si="12"/>
        <v>6.6355881490695948E-2</v>
      </c>
      <c r="U126" s="3">
        <f t="shared" si="12"/>
        <v>6.2837841819365678E-2</v>
      </c>
      <c r="V126" s="3">
        <f t="shared" si="12"/>
        <v>3.6445141357086416E-2</v>
      </c>
      <c r="W126" s="3">
        <f t="shared" si="12"/>
        <v>1.569724448977423E-4</v>
      </c>
      <c r="X126" s="3">
        <f t="shared" si="12"/>
        <v>3.4487463855324246E-28</v>
      </c>
      <c r="Y126" s="3">
        <f t="shared" si="12"/>
        <v>9.0373190664805145E-265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7">
        <v>0.10382235962587348</v>
      </c>
      <c r="C127" s="18">
        <f t="shared" si="9"/>
        <v>7.4917701539925927E-2</v>
      </c>
      <c r="D127" s="17"/>
      <c r="E127" s="11"/>
      <c r="F127" s="3">
        <f t="shared" si="11"/>
        <v>7.4917701539925927E-2</v>
      </c>
      <c r="G127" s="3">
        <f t="shared" si="12"/>
        <v>7.4917701539925927E-2</v>
      </c>
      <c r="H127" s="3">
        <f t="shared" si="12"/>
        <v>7.4917701539925885E-2</v>
      </c>
      <c r="I127" s="3">
        <f t="shared" si="12"/>
        <v>7.4917701539925524E-2</v>
      </c>
      <c r="J127" s="3">
        <f t="shared" si="12"/>
        <v>7.4917701539921833E-2</v>
      </c>
      <c r="K127" s="3">
        <f t="shared" si="12"/>
        <v>7.4917701539885015E-2</v>
      </c>
      <c r="L127" s="3">
        <f t="shared" si="12"/>
        <v>7.4917701539516865E-2</v>
      </c>
      <c r="M127" s="3">
        <f t="shared" si="12"/>
        <v>7.4917701535835352E-2</v>
      </c>
      <c r="N127" s="3">
        <f t="shared" si="12"/>
        <v>7.4917701499020092E-2</v>
      </c>
      <c r="O127" s="3">
        <f t="shared" si="12"/>
        <v>7.4917701130867612E-2</v>
      </c>
      <c r="P127" s="3">
        <f t="shared" si="12"/>
        <v>7.4917697449342943E-2</v>
      </c>
      <c r="Q127" s="3">
        <f t="shared" si="12"/>
        <v>7.4917660634106126E-2</v>
      </c>
      <c r="R127" s="3">
        <f t="shared" si="12"/>
        <v>7.4917292482733058E-2</v>
      </c>
      <c r="S127" s="3">
        <f t="shared" si="12"/>
        <v>7.4913611068502695E-2</v>
      </c>
      <c r="T127" s="3">
        <f t="shared" si="12"/>
        <v>7.4876806874432544E-2</v>
      </c>
      <c r="U127" s="3">
        <f t="shared" si="12"/>
        <v>7.4509757950648556E-2</v>
      </c>
      <c r="V127" s="3">
        <f t="shared" si="12"/>
        <v>7.0936788374239737E-2</v>
      </c>
      <c r="W127" s="3">
        <f t="shared" si="12"/>
        <v>4.3396551296931089E-2</v>
      </c>
      <c r="X127" s="3">
        <f t="shared" si="12"/>
        <v>3.1863404254988737E-4</v>
      </c>
      <c r="Y127" s="3">
        <f t="shared" si="12"/>
        <v>1.450981021034158E-25</v>
      </c>
      <c r="Z127" s="3">
        <f t="shared" si="12"/>
        <v>5.5636181478478388E-239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7">
        <v>8.5855356861291532E-2</v>
      </c>
      <c r="C128" s="18">
        <f t="shared" si="9"/>
        <v>6.1952801151083994E-2</v>
      </c>
      <c r="D128" s="17"/>
      <c r="E128" s="11"/>
      <c r="F128" s="3">
        <f t="shared" si="11"/>
        <v>6.1952801151083994E-2</v>
      </c>
      <c r="G128" s="3">
        <f t="shared" si="12"/>
        <v>6.1952801151083994E-2</v>
      </c>
      <c r="H128" s="3">
        <f t="shared" si="12"/>
        <v>6.1952801151083994E-2</v>
      </c>
      <c r="I128" s="3">
        <f t="shared" si="12"/>
        <v>6.1952801151083967E-2</v>
      </c>
      <c r="J128" s="3">
        <f t="shared" si="12"/>
        <v>6.1952801151083689E-2</v>
      </c>
      <c r="K128" s="3">
        <f t="shared" si="12"/>
        <v>6.1952801151080941E-2</v>
      </c>
      <c r="L128" s="3">
        <f t="shared" si="12"/>
        <v>6.1952801151053484E-2</v>
      </c>
      <c r="M128" s="3">
        <f t="shared" si="12"/>
        <v>6.1952801150778843E-2</v>
      </c>
      <c r="N128" s="3">
        <f t="shared" si="12"/>
        <v>6.1952801148032526E-2</v>
      </c>
      <c r="O128" s="3">
        <f t="shared" si="12"/>
        <v>6.1952801120569348E-2</v>
      </c>
      <c r="P128" s="3">
        <f t="shared" si="12"/>
        <v>6.1952800845937551E-2</v>
      </c>
      <c r="Q128" s="3">
        <f t="shared" si="12"/>
        <v>6.1952798099619628E-2</v>
      </c>
      <c r="R128" s="3">
        <f t="shared" si="12"/>
        <v>6.1952770636447135E-2</v>
      </c>
      <c r="S128" s="3">
        <f t="shared" si="12"/>
        <v>6.1952496005391766E-2</v>
      </c>
      <c r="T128" s="3">
        <f t="shared" si="12"/>
        <v>6.1949749761794966E-2</v>
      </c>
      <c r="U128" s="3">
        <f t="shared" si="12"/>
        <v>6.1922294020420897E-2</v>
      </c>
      <c r="V128" s="3">
        <f t="shared" ref="G128:AJ136" si="13">$C128*EXP(-V$108/$A128)</f>
        <v>6.1648404969344817E-2</v>
      </c>
      <c r="W128" s="3">
        <f t="shared" si="13"/>
        <v>5.8975267366880357E-2</v>
      </c>
      <c r="X128" s="3">
        <f t="shared" si="13"/>
        <v>3.7857388973629807E-2</v>
      </c>
      <c r="Y128" s="3">
        <f t="shared" si="13"/>
        <v>4.4973640731510721E-4</v>
      </c>
      <c r="Z128" s="3">
        <f t="shared" si="13"/>
        <v>2.5178620683501462E-23</v>
      </c>
      <c r="AA128" s="3">
        <f t="shared" si="13"/>
        <v>7.6167697097297204E-216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7">
        <v>0.11772639899712568</v>
      </c>
      <c r="C129" s="18">
        <f t="shared" si="9"/>
        <v>8.49507876262805E-2</v>
      </c>
      <c r="D129" s="17"/>
      <c r="E129" s="11"/>
      <c r="F129" s="3">
        <f t="shared" si="11"/>
        <v>8.49507876262805E-2</v>
      </c>
      <c r="G129" s="3">
        <f t="shared" si="13"/>
        <v>8.49507876262805E-2</v>
      </c>
      <c r="H129" s="3">
        <f t="shared" si="13"/>
        <v>8.49507876262805E-2</v>
      </c>
      <c r="I129" s="3">
        <f t="shared" si="13"/>
        <v>8.49507876262805E-2</v>
      </c>
      <c r="J129" s="3">
        <f t="shared" si="13"/>
        <v>8.4950787626280458E-2</v>
      </c>
      <c r="K129" s="3">
        <f t="shared" si="13"/>
        <v>8.4950787626280125E-2</v>
      </c>
      <c r="L129" s="3">
        <f t="shared" si="13"/>
        <v>8.4950787626276725E-2</v>
      </c>
      <c r="M129" s="3">
        <f t="shared" si="13"/>
        <v>8.4950787626242752E-2</v>
      </c>
      <c r="N129" s="3">
        <f t="shared" si="13"/>
        <v>8.4950787625903038E-2</v>
      </c>
      <c r="O129" s="3">
        <f t="shared" si="13"/>
        <v>8.4950787622505977E-2</v>
      </c>
      <c r="P129" s="3">
        <f t="shared" si="13"/>
        <v>8.4950787588535331E-2</v>
      </c>
      <c r="Q129" s="3">
        <f t="shared" si="13"/>
        <v>8.4950787248828818E-2</v>
      </c>
      <c r="R129" s="3">
        <f t="shared" si="13"/>
        <v>8.4950783851763759E-2</v>
      </c>
      <c r="S129" s="3">
        <f t="shared" si="13"/>
        <v>8.4950749881120585E-2</v>
      </c>
      <c r="T129" s="3">
        <f t="shared" si="13"/>
        <v>8.4950410175436031E-2</v>
      </c>
      <c r="U129" s="3">
        <f t="shared" si="13"/>
        <v>8.4947013193303403E-2</v>
      </c>
      <c r="V129" s="3">
        <f t="shared" si="13"/>
        <v>8.4913050842166909E-2</v>
      </c>
      <c r="W129" s="3">
        <f t="shared" si="13"/>
        <v>8.4574173245689138E-2</v>
      </c>
      <c r="X129" s="3">
        <f t="shared" si="13"/>
        <v>8.1258896835034747E-2</v>
      </c>
      <c r="Y129" s="3">
        <f t="shared" si="13"/>
        <v>5.4475663995409956E-2</v>
      </c>
      <c r="Z129" s="3">
        <f t="shared" si="13"/>
        <v>9.9889223403955567E-4</v>
      </c>
      <c r="AA129" s="3">
        <f t="shared" si="13"/>
        <v>4.2921973153899156E-21</v>
      </c>
      <c r="AB129" s="3">
        <f t="shared" si="13"/>
        <v>9.2106461373508847E-195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7">
        <v>0.10265190135386754</v>
      </c>
      <c r="C130" s="18">
        <f t="shared" si="9"/>
        <v>7.4073104636108056E-2</v>
      </c>
      <c r="D130" s="17"/>
      <c r="E130" s="11"/>
      <c r="F130" s="3">
        <f t="shared" si="11"/>
        <v>7.4073104636108056E-2</v>
      </c>
      <c r="G130" s="3">
        <f t="shared" si="13"/>
        <v>7.4073104636108056E-2</v>
      </c>
      <c r="H130" s="3">
        <f t="shared" si="13"/>
        <v>7.4073104636108056E-2</v>
      </c>
      <c r="I130" s="3">
        <f t="shared" si="13"/>
        <v>7.4073104636108056E-2</v>
      </c>
      <c r="J130" s="3">
        <f t="shared" si="13"/>
        <v>7.4073104636108056E-2</v>
      </c>
      <c r="K130" s="3">
        <f t="shared" si="13"/>
        <v>7.4073104636108028E-2</v>
      </c>
      <c r="L130" s="3">
        <f t="shared" si="13"/>
        <v>7.4073104636107764E-2</v>
      </c>
      <c r="M130" s="3">
        <f t="shared" si="13"/>
        <v>7.4073104636105086E-2</v>
      </c>
      <c r="N130" s="3">
        <f t="shared" si="13"/>
        <v>7.4073104636078371E-2</v>
      </c>
      <c r="O130" s="3">
        <f t="shared" si="13"/>
        <v>7.4073104635811168E-2</v>
      </c>
      <c r="P130" s="3">
        <f t="shared" si="13"/>
        <v>7.4073104633139125E-2</v>
      </c>
      <c r="Q130" s="3">
        <f t="shared" si="13"/>
        <v>7.407310460641868E-2</v>
      </c>
      <c r="R130" s="3">
        <f t="shared" si="13"/>
        <v>7.4073104339214282E-2</v>
      </c>
      <c r="S130" s="3">
        <f t="shared" si="13"/>
        <v>7.4073101667170335E-2</v>
      </c>
      <c r="T130" s="3">
        <f t="shared" si="13"/>
        <v>7.4073074946736289E-2</v>
      </c>
      <c r="U130" s="3">
        <f t="shared" si="13"/>
        <v>7.4072807742925878E-2</v>
      </c>
      <c r="V130" s="3">
        <f t="shared" si="13"/>
        <v>7.407013575783479E-2</v>
      </c>
      <c r="W130" s="3">
        <f t="shared" si="13"/>
        <v>7.4043421207522941E-2</v>
      </c>
      <c r="X130" s="3">
        <f t="shared" si="13"/>
        <v>7.3776805057509068E-2</v>
      </c>
      <c r="Y130" s="3">
        <f t="shared" si="13"/>
        <v>7.1162879103922258E-2</v>
      </c>
      <c r="Z130" s="3">
        <f t="shared" si="13"/>
        <v>4.9612392993681802E-2</v>
      </c>
      <c r="AA130" s="3">
        <f t="shared" si="13"/>
        <v>1.3457265570166336E-3</v>
      </c>
      <c r="AB130" s="3">
        <f t="shared" si="13"/>
        <v>2.9015048508350055E-19</v>
      </c>
      <c r="AC130" s="3">
        <f t="shared" si="13"/>
        <v>6.2992389178390183E-176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7">
        <v>7.1892721143726315E-2</v>
      </c>
      <c r="C131" s="18">
        <f t="shared" si="9"/>
        <v>5.1877432230855988E-2</v>
      </c>
      <c r="D131" s="17"/>
      <c r="E131" s="11"/>
      <c r="F131" s="3">
        <f t="shared" si="11"/>
        <v>5.1877432230855988E-2</v>
      </c>
      <c r="G131" s="3">
        <f t="shared" si="13"/>
        <v>5.1877432230855988E-2</v>
      </c>
      <c r="H131" s="3">
        <f t="shared" si="13"/>
        <v>5.1877432230855988E-2</v>
      </c>
      <c r="I131" s="3">
        <f t="shared" si="13"/>
        <v>5.1877432230855988E-2</v>
      </c>
      <c r="J131" s="3">
        <f t="shared" si="13"/>
        <v>5.1877432230855988E-2</v>
      </c>
      <c r="K131" s="3">
        <f t="shared" si="13"/>
        <v>5.1877432230855988E-2</v>
      </c>
      <c r="L131" s="3">
        <f t="shared" si="13"/>
        <v>5.1877432230855974E-2</v>
      </c>
      <c r="M131" s="3">
        <f t="shared" si="13"/>
        <v>5.1877432230855801E-2</v>
      </c>
      <c r="N131" s="3">
        <f t="shared" si="13"/>
        <v>5.1877432230854108E-2</v>
      </c>
      <c r="O131" s="3">
        <f t="shared" si="13"/>
        <v>5.1877432230837232E-2</v>
      </c>
      <c r="P131" s="3">
        <f t="shared" si="13"/>
        <v>5.1877432230668416E-2</v>
      </c>
      <c r="Q131" s="3">
        <f t="shared" si="13"/>
        <v>5.187743222898028E-2</v>
      </c>
      <c r="R131" s="3">
        <f t="shared" si="13"/>
        <v>5.1877432212098888E-2</v>
      </c>
      <c r="S131" s="3">
        <f t="shared" si="13"/>
        <v>5.1877432043285023E-2</v>
      </c>
      <c r="T131" s="3">
        <f t="shared" si="13"/>
        <v>5.1877430355146387E-2</v>
      </c>
      <c r="U131" s="3">
        <f t="shared" si="13"/>
        <v>5.1877413473762998E-2</v>
      </c>
      <c r="V131" s="3">
        <f t="shared" si="13"/>
        <v>5.1877244660231282E-2</v>
      </c>
      <c r="W131" s="3">
        <f t="shared" si="13"/>
        <v>5.187555655512717E-2</v>
      </c>
      <c r="X131" s="3">
        <f t="shared" si="13"/>
        <v>5.1858678525027825E-2</v>
      </c>
      <c r="Y131" s="3">
        <f t="shared" si="13"/>
        <v>5.1690199954805276E-2</v>
      </c>
      <c r="Z131" s="3">
        <f t="shared" si="13"/>
        <v>5.0035227182194074E-2</v>
      </c>
      <c r="AA131" s="3">
        <f t="shared" si="13"/>
        <v>3.6137034847132675E-2</v>
      </c>
      <c r="AB131" s="3">
        <f t="shared" si="13"/>
        <v>1.3954648431011992E-3</v>
      </c>
      <c r="AC131" s="3">
        <f t="shared" si="13"/>
        <v>1.0289227012174016E-17</v>
      </c>
      <c r="AD131" s="3">
        <f t="shared" si="13"/>
        <v>4.8867626564463134E-159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7">
        <v>2.1379795349864204E-2</v>
      </c>
      <c r="C132" s="18">
        <f t="shared" si="9"/>
        <v>1.5427554649862323E-2</v>
      </c>
      <c r="D132" s="17"/>
      <c r="E132" s="11"/>
      <c r="F132" s="3">
        <f t="shared" si="11"/>
        <v>1.5427554649862323E-2</v>
      </c>
      <c r="G132" s="3">
        <f t="shared" si="13"/>
        <v>1.5427554649862323E-2</v>
      </c>
      <c r="H132" s="3">
        <f t="shared" si="13"/>
        <v>1.5427554649862323E-2</v>
      </c>
      <c r="I132" s="3">
        <f t="shared" si="13"/>
        <v>1.5427554649862323E-2</v>
      </c>
      <c r="J132" s="3">
        <f t="shared" si="13"/>
        <v>1.5427554649862323E-2</v>
      </c>
      <c r="K132" s="3">
        <f t="shared" si="13"/>
        <v>1.5427554649862323E-2</v>
      </c>
      <c r="L132" s="3">
        <f t="shared" si="13"/>
        <v>1.5427554649862322E-2</v>
      </c>
      <c r="M132" s="3">
        <f t="shared" si="13"/>
        <v>1.5427554649862308E-2</v>
      </c>
      <c r="N132" s="3">
        <f t="shared" si="13"/>
        <v>1.5427554649862169E-2</v>
      </c>
      <c r="O132" s="3">
        <f t="shared" si="13"/>
        <v>1.5427554649860779E-2</v>
      </c>
      <c r="P132" s="3">
        <f t="shared" si="13"/>
        <v>1.5427554649846896E-2</v>
      </c>
      <c r="Q132" s="3">
        <f t="shared" si="13"/>
        <v>1.5427554649708047E-2</v>
      </c>
      <c r="R132" s="3">
        <f t="shared" si="13"/>
        <v>1.5427554648319568E-2</v>
      </c>
      <c r="S132" s="3">
        <f t="shared" si="13"/>
        <v>1.5427554634434768E-2</v>
      </c>
      <c r="T132" s="3">
        <f t="shared" si="13"/>
        <v>1.5427554495586778E-2</v>
      </c>
      <c r="U132" s="3">
        <f t="shared" si="13"/>
        <v>1.5427553107106936E-2</v>
      </c>
      <c r="V132" s="3">
        <f t="shared" si="13"/>
        <v>1.5427539222315387E-2</v>
      </c>
      <c r="W132" s="3">
        <f t="shared" si="13"/>
        <v>1.54274003750872E-2</v>
      </c>
      <c r="X132" s="3">
        <f t="shared" si="13"/>
        <v>1.5426011971532538E-2</v>
      </c>
      <c r="Y132" s="3">
        <f t="shared" si="13"/>
        <v>1.541213480641917E-2</v>
      </c>
      <c r="Z132" s="3">
        <f t="shared" si="13"/>
        <v>1.5274047916252399E-2</v>
      </c>
      <c r="AA132" s="3">
        <f t="shared" si="13"/>
        <v>1.3959428715990086E-2</v>
      </c>
      <c r="AB132" s="3">
        <f t="shared" si="13"/>
        <v>5.6754801832332386E-3</v>
      </c>
      <c r="AC132" s="3">
        <f t="shared" si="13"/>
        <v>7.004098975106461E-7</v>
      </c>
      <c r="AD132" s="3">
        <f t="shared" si="13"/>
        <v>5.7391675421701371E-46</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7">
        <v>5.5461542385701182E-2</v>
      </c>
      <c r="C133" s="18">
        <f t="shared" si="9"/>
        <v>4.002077485397891E-2</v>
      </c>
      <c r="D133" s="17"/>
      <c r="E133" s="11"/>
      <c r="F133" s="3">
        <f t="shared" si="11"/>
        <v>4.002077485397891E-2</v>
      </c>
      <c r="G133" s="3">
        <f t="shared" si="13"/>
        <v>4.002077485397891E-2</v>
      </c>
      <c r="H133" s="3">
        <f t="shared" si="13"/>
        <v>4.002077485397891E-2</v>
      </c>
      <c r="I133" s="3">
        <f t="shared" si="13"/>
        <v>4.002077485397891E-2</v>
      </c>
      <c r="J133" s="3">
        <f t="shared" si="13"/>
        <v>4.002077485397891E-2</v>
      </c>
      <c r="K133" s="3">
        <f t="shared" si="13"/>
        <v>4.002077485397891E-2</v>
      </c>
      <c r="L133" s="3">
        <f t="shared" si="13"/>
        <v>4.002077485397891E-2</v>
      </c>
      <c r="M133" s="3">
        <f t="shared" si="13"/>
        <v>4.0020774853978903E-2</v>
      </c>
      <c r="N133" s="3">
        <f t="shared" si="13"/>
        <v>4.0020774853978869E-2</v>
      </c>
      <c r="O133" s="3">
        <f t="shared" si="13"/>
        <v>4.0020774853978508E-2</v>
      </c>
      <c r="P133" s="3">
        <f t="shared" si="13"/>
        <v>4.0020774853974907E-2</v>
      </c>
      <c r="Q133" s="3">
        <f t="shared" si="13"/>
        <v>4.0020774853938894E-2</v>
      </c>
      <c r="R133" s="3">
        <f t="shared" si="13"/>
        <v>4.0020774853578703E-2</v>
      </c>
      <c r="S133" s="3">
        <f t="shared" si="13"/>
        <v>4.0020774849976834E-2</v>
      </c>
      <c r="T133" s="3">
        <f t="shared" si="13"/>
        <v>4.0020774813958139E-2</v>
      </c>
      <c r="U133" s="3">
        <f t="shared" si="13"/>
        <v>4.0020774453771162E-2</v>
      </c>
      <c r="V133" s="3">
        <f t="shared" si="13"/>
        <v>4.002077085190163E-2</v>
      </c>
      <c r="W133" s="3">
        <f t="shared" si="13"/>
        <v>4.0020734833224068E-2</v>
      </c>
      <c r="X133" s="3">
        <f t="shared" si="13"/>
        <v>4.0020374648231404E-2</v>
      </c>
      <c r="Y133" s="3">
        <f t="shared" si="13"/>
        <v>4.0016772976590717E-2</v>
      </c>
      <c r="Z133" s="3">
        <f t="shared" si="13"/>
        <v>3.9980774082843895E-2</v>
      </c>
      <c r="AA133" s="3">
        <f t="shared" si="13"/>
        <v>3.9622561490694708E-2</v>
      </c>
      <c r="AB133" s="3">
        <f t="shared" si="13"/>
        <v>3.621229458667273E-2</v>
      </c>
      <c r="AC133" s="3">
        <f t="shared" si="13"/>
        <v>1.4722820288529873E-2</v>
      </c>
      <c r="AD133" s="3">
        <f t="shared" si="13"/>
        <v>1.8169403674108626E-6</v>
      </c>
      <c r="AE133" s="3">
        <f t="shared" si="13"/>
        <v>1.4888032307602573E-45</v>
      </c>
      <c r="AF133" s="3">
        <f t="shared" si="13"/>
        <v>0</v>
      </c>
      <c r="AG133" s="3">
        <f t="shared" si="13"/>
        <v>0</v>
      </c>
      <c r="AH133" s="3">
        <f t="shared" si="13"/>
        <v>0</v>
      </c>
      <c r="AI133" s="3">
        <f t="shared" si="13"/>
        <v>0</v>
      </c>
      <c r="AJ133" s="3">
        <f t="shared" si="13"/>
        <v>0</v>
      </c>
    </row>
    <row r="134" spans="1:36" x14ac:dyDescent="0.25">
      <c r="A134" s="3">
        <f t="shared" si="14"/>
        <v>1000000000</v>
      </c>
      <c r="B134" s="107">
        <v>0</v>
      </c>
      <c r="C134" s="18">
        <f t="shared" si="9"/>
        <v>0</v>
      </c>
      <c r="D134" s="17"/>
      <c r="E134" s="11"/>
      <c r="F134" s="3">
        <f t="shared" si="11"/>
        <v>0</v>
      </c>
      <c r="G134" s="3">
        <f t="shared" si="13"/>
        <v>0</v>
      </c>
      <c r="H134" s="3">
        <f t="shared" si="13"/>
        <v>0</v>
      </c>
      <c r="I134" s="3">
        <f t="shared" si="13"/>
        <v>0</v>
      </c>
      <c r="J134" s="3">
        <f t="shared" si="13"/>
        <v>0</v>
      </c>
      <c r="K134" s="3">
        <f t="shared" si="13"/>
        <v>0</v>
      </c>
      <c r="L134" s="3">
        <f t="shared" si="13"/>
        <v>0</v>
      </c>
      <c r="M134" s="3">
        <f t="shared" si="13"/>
        <v>0</v>
      </c>
      <c r="N134" s="3">
        <f t="shared" si="13"/>
        <v>0</v>
      </c>
      <c r="O134" s="3">
        <f t="shared" si="13"/>
        <v>0</v>
      </c>
      <c r="P134" s="3">
        <f t="shared" si="13"/>
        <v>0</v>
      </c>
      <c r="Q134" s="3">
        <f t="shared" si="13"/>
        <v>0</v>
      </c>
      <c r="R134" s="3">
        <f t="shared" si="13"/>
        <v>0</v>
      </c>
      <c r="S134" s="3">
        <f t="shared" si="13"/>
        <v>0</v>
      </c>
      <c r="T134" s="3">
        <f t="shared" si="13"/>
        <v>0</v>
      </c>
      <c r="U134" s="3">
        <f t="shared" si="13"/>
        <v>0</v>
      </c>
      <c r="V134" s="3">
        <f t="shared" si="13"/>
        <v>0</v>
      </c>
      <c r="W134" s="3">
        <f t="shared" si="13"/>
        <v>0</v>
      </c>
      <c r="X134" s="3">
        <f t="shared" si="13"/>
        <v>0</v>
      </c>
      <c r="Y134" s="3">
        <f t="shared" si="13"/>
        <v>0</v>
      </c>
      <c r="Z134" s="3">
        <f t="shared" si="13"/>
        <v>0</v>
      </c>
      <c r="AA134" s="3">
        <f t="shared" si="13"/>
        <v>0</v>
      </c>
      <c r="AB134" s="3">
        <f t="shared" si="13"/>
        <v>0</v>
      </c>
      <c r="AC134" s="3">
        <f t="shared" si="13"/>
        <v>0</v>
      </c>
      <c r="AD134" s="3">
        <f t="shared" si="13"/>
        <v>0</v>
      </c>
      <c r="AE134" s="3">
        <f t="shared" si="13"/>
        <v>0</v>
      </c>
      <c r="AF134" s="3">
        <f t="shared" si="13"/>
        <v>0</v>
      </c>
      <c r="AG134" s="3">
        <f t="shared" si="13"/>
        <v>0</v>
      </c>
      <c r="AH134" s="3">
        <f t="shared" si="13"/>
        <v>0</v>
      </c>
      <c r="AI134" s="3">
        <f t="shared" si="13"/>
        <v>0</v>
      </c>
      <c r="AJ134" s="3">
        <f t="shared" si="13"/>
        <v>0</v>
      </c>
    </row>
    <row r="135" spans="1:36" x14ac:dyDescent="0.25">
      <c r="A135" s="3">
        <f t="shared" si="14"/>
        <v>10000000000</v>
      </c>
      <c r="B135" s="107">
        <v>0</v>
      </c>
      <c r="C135" s="18">
        <f t="shared" si="9"/>
        <v>0</v>
      </c>
      <c r="D135" s="17"/>
      <c r="E135" s="11"/>
      <c r="F135" s="3">
        <f t="shared" si="11"/>
        <v>0</v>
      </c>
      <c r="G135" s="3">
        <f t="shared" si="13"/>
        <v>0</v>
      </c>
      <c r="H135" s="3">
        <f t="shared" si="13"/>
        <v>0</v>
      </c>
      <c r="I135" s="3">
        <f t="shared" si="13"/>
        <v>0</v>
      </c>
      <c r="J135" s="3">
        <f t="shared" si="13"/>
        <v>0</v>
      </c>
      <c r="K135" s="3">
        <f t="shared" si="13"/>
        <v>0</v>
      </c>
      <c r="L135" s="3">
        <f t="shared" si="13"/>
        <v>0</v>
      </c>
      <c r="M135" s="3">
        <f t="shared" si="13"/>
        <v>0</v>
      </c>
      <c r="N135" s="3">
        <f t="shared" si="13"/>
        <v>0</v>
      </c>
      <c r="O135" s="3">
        <f t="shared" si="13"/>
        <v>0</v>
      </c>
      <c r="P135" s="3">
        <f t="shared" si="13"/>
        <v>0</v>
      </c>
      <c r="Q135" s="3">
        <f t="shared" si="13"/>
        <v>0</v>
      </c>
      <c r="R135" s="3">
        <f t="shared" si="13"/>
        <v>0</v>
      </c>
      <c r="S135" s="3">
        <f t="shared" si="13"/>
        <v>0</v>
      </c>
      <c r="T135" s="3">
        <f t="shared" si="13"/>
        <v>0</v>
      </c>
      <c r="U135" s="3">
        <f t="shared" si="13"/>
        <v>0</v>
      </c>
      <c r="V135" s="3">
        <f t="shared" si="13"/>
        <v>0</v>
      </c>
      <c r="W135" s="3">
        <f t="shared" si="13"/>
        <v>0</v>
      </c>
      <c r="X135" s="3">
        <f t="shared" si="13"/>
        <v>0</v>
      </c>
      <c r="Y135" s="3">
        <f t="shared" si="13"/>
        <v>0</v>
      </c>
      <c r="Z135" s="3">
        <f t="shared" si="13"/>
        <v>0</v>
      </c>
      <c r="AA135" s="3">
        <f t="shared" si="13"/>
        <v>0</v>
      </c>
      <c r="AB135" s="3">
        <f t="shared" si="13"/>
        <v>0</v>
      </c>
      <c r="AC135" s="3">
        <f t="shared" si="13"/>
        <v>0</v>
      </c>
      <c r="AD135" s="3">
        <f t="shared" si="13"/>
        <v>0</v>
      </c>
      <c r="AE135" s="3">
        <f t="shared" si="13"/>
        <v>0</v>
      </c>
      <c r="AF135" s="3">
        <f t="shared" si="13"/>
        <v>0</v>
      </c>
      <c r="AG135" s="3">
        <f t="shared" si="13"/>
        <v>0</v>
      </c>
      <c r="AH135" s="3">
        <f t="shared" si="13"/>
        <v>0</v>
      </c>
      <c r="AI135" s="3">
        <f t="shared" si="13"/>
        <v>0</v>
      </c>
      <c r="AJ135" s="3">
        <f t="shared" si="13"/>
        <v>0</v>
      </c>
    </row>
    <row r="136" spans="1:36" x14ac:dyDescent="0.25">
      <c r="A136" s="3">
        <f t="shared" si="14"/>
        <v>100000000000</v>
      </c>
      <c r="B136" s="107">
        <v>0</v>
      </c>
      <c r="C136" s="18">
        <f t="shared" si="9"/>
        <v>0</v>
      </c>
      <c r="D136" s="17"/>
      <c r="E136" s="11"/>
      <c r="F136" s="3">
        <f t="shared" si="11"/>
        <v>0</v>
      </c>
      <c r="G136" s="3">
        <f t="shared" si="13"/>
        <v>0</v>
      </c>
      <c r="H136" s="3">
        <f t="shared" si="13"/>
        <v>0</v>
      </c>
      <c r="I136" s="3">
        <f t="shared" si="13"/>
        <v>0</v>
      </c>
      <c r="J136" s="3">
        <f t="shared" si="13"/>
        <v>0</v>
      </c>
      <c r="K136" s="3">
        <f t="shared" si="13"/>
        <v>0</v>
      </c>
      <c r="L136" s="3">
        <f t="shared" si="13"/>
        <v>0</v>
      </c>
      <c r="M136" s="3">
        <f t="shared" si="13"/>
        <v>0</v>
      </c>
      <c r="N136" s="3">
        <f t="shared" si="13"/>
        <v>0</v>
      </c>
      <c r="O136" s="3">
        <f t="shared" si="13"/>
        <v>0</v>
      </c>
      <c r="P136" s="3">
        <f t="shared" si="13"/>
        <v>0</v>
      </c>
      <c r="Q136" s="3">
        <f t="shared" si="13"/>
        <v>0</v>
      </c>
      <c r="R136" s="3">
        <f t="shared" si="13"/>
        <v>0</v>
      </c>
      <c r="S136" s="3">
        <f t="shared" si="13"/>
        <v>0</v>
      </c>
      <c r="T136" s="3">
        <f t="shared" si="13"/>
        <v>0</v>
      </c>
      <c r="U136" s="3">
        <f t="shared" si="13"/>
        <v>0</v>
      </c>
      <c r="V136" s="3">
        <f t="shared" si="13"/>
        <v>0</v>
      </c>
      <c r="W136" s="3">
        <f t="shared" si="13"/>
        <v>0</v>
      </c>
      <c r="X136" s="3">
        <f t="shared" si="13"/>
        <v>0</v>
      </c>
      <c r="Y136" s="3">
        <f t="shared" si="13"/>
        <v>0</v>
      </c>
      <c r="Z136" s="3">
        <f t="shared" si="13"/>
        <v>0</v>
      </c>
      <c r="AA136" s="3">
        <f t="shared" si="13"/>
        <v>0</v>
      </c>
      <c r="AB136" s="3">
        <f t="shared" si="13"/>
        <v>0</v>
      </c>
      <c r="AC136" s="3">
        <f t="shared" si="13"/>
        <v>0</v>
      </c>
      <c r="AD136" s="3">
        <f t="shared" si="13"/>
        <v>0</v>
      </c>
      <c r="AE136" s="3">
        <f t="shared" si="13"/>
        <v>0</v>
      </c>
      <c r="AF136" s="3">
        <f t="shared" si="13"/>
        <v>0</v>
      </c>
      <c r="AG136" s="3">
        <f t="shared" si="13"/>
        <v>0</v>
      </c>
      <c r="AH136" s="3">
        <f t="shared" si="13"/>
        <v>0</v>
      </c>
      <c r="AI136" s="3">
        <f t="shared" si="13"/>
        <v>0</v>
      </c>
      <c r="AJ136" s="3">
        <f t="shared" si="13"/>
        <v>0</v>
      </c>
    </row>
    <row r="137" spans="1:36" x14ac:dyDescent="0.25">
      <c r="A137" s="3">
        <f t="shared" si="14"/>
        <v>1000000000000</v>
      </c>
      <c r="B137" s="107">
        <v>0</v>
      </c>
      <c r="C137" s="18">
        <f t="shared" si="9"/>
        <v>0</v>
      </c>
      <c r="D137" s="17"/>
      <c r="E137" s="11"/>
      <c r="F137" s="3">
        <f t="shared" si="11"/>
        <v>0</v>
      </c>
      <c r="G137" s="3">
        <f t="shared" ref="G137:AJ141" si="15">$C137*EXP(-G$108/$A137)</f>
        <v>0</v>
      </c>
      <c r="H137" s="3">
        <f t="shared" si="15"/>
        <v>0</v>
      </c>
      <c r="I137" s="3">
        <f t="shared" si="15"/>
        <v>0</v>
      </c>
      <c r="J137" s="3">
        <f t="shared" si="15"/>
        <v>0</v>
      </c>
      <c r="K137" s="3">
        <f t="shared" si="15"/>
        <v>0</v>
      </c>
      <c r="L137" s="3">
        <f t="shared" si="15"/>
        <v>0</v>
      </c>
      <c r="M137" s="3">
        <f t="shared" si="15"/>
        <v>0</v>
      </c>
      <c r="N137" s="3">
        <f t="shared" si="15"/>
        <v>0</v>
      </c>
      <c r="O137" s="3">
        <f t="shared" si="15"/>
        <v>0</v>
      </c>
      <c r="P137" s="3">
        <f t="shared" si="15"/>
        <v>0</v>
      </c>
      <c r="Q137" s="3">
        <f t="shared" si="15"/>
        <v>0</v>
      </c>
      <c r="R137" s="3">
        <f t="shared" si="15"/>
        <v>0</v>
      </c>
      <c r="S137" s="3">
        <f t="shared" si="15"/>
        <v>0</v>
      </c>
      <c r="T137" s="3">
        <f t="shared" si="15"/>
        <v>0</v>
      </c>
      <c r="U137" s="3">
        <f t="shared" si="15"/>
        <v>0</v>
      </c>
      <c r="V137" s="3">
        <f t="shared" si="15"/>
        <v>0</v>
      </c>
      <c r="W137" s="3">
        <f t="shared" si="15"/>
        <v>0</v>
      </c>
      <c r="X137" s="3">
        <f t="shared" si="15"/>
        <v>0</v>
      </c>
      <c r="Y137" s="3">
        <f t="shared" si="15"/>
        <v>0</v>
      </c>
      <c r="Z137" s="3">
        <f t="shared" si="15"/>
        <v>0</v>
      </c>
      <c r="AA137" s="3">
        <f t="shared" si="15"/>
        <v>0</v>
      </c>
      <c r="AB137" s="3">
        <f t="shared" si="15"/>
        <v>0</v>
      </c>
      <c r="AC137" s="3">
        <f t="shared" si="15"/>
        <v>0</v>
      </c>
      <c r="AD137" s="3">
        <f t="shared" si="15"/>
        <v>0</v>
      </c>
      <c r="AE137" s="3">
        <f t="shared" si="15"/>
        <v>0</v>
      </c>
      <c r="AF137" s="3">
        <f t="shared" si="15"/>
        <v>0</v>
      </c>
      <c r="AG137" s="3">
        <f t="shared" si="15"/>
        <v>0</v>
      </c>
      <c r="AH137" s="3">
        <f t="shared" si="15"/>
        <v>0</v>
      </c>
      <c r="AI137" s="3">
        <f t="shared" si="15"/>
        <v>0</v>
      </c>
      <c r="AJ137" s="3">
        <f t="shared" si="15"/>
        <v>0</v>
      </c>
    </row>
    <row r="138" spans="1:36" x14ac:dyDescent="0.25">
      <c r="A138" s="3">
        <f t="shared" si="14"/>
        <v>10000000000000</v>
      </c>
      <c r="B138" s="107">
        <v>0</v>
      </c>
      <c r="C138" s="18">
        <f t="shared" si="9"/>
        <v>0</v>
      </c>
      <c r="D138" s="17"/>
      <c r="E138" s="11"/>
      <c r="F138" s="3">
        <f t="shared" si="11"/>
        <v>0</v>
      </c>
      <c r="G138" s="3">
        <f t="shared" si="15"/>
        <v>0</v>
      </c>
      <c r="H138" s="3">
        <f t="shared" si="15"/>
        <v>0</v>
      </c>
      <c r="I138" s="3">
        <f t="shared" si="15"/>
        <v>0</v>
      </c>
      <c r="J138" s="3">
        <f t="shared" si="15"/>
        <v>0</v>
      </c>
      <c r="K138" s="3">
        <f t="shared" si="15"/>
        <v>0</v>
      </c>
      <c r="L138" s="3">
        <f t="shared" si="15"/>
        <v>0</v>
      </c>
      <c r="M138" s="3">
        <f t="shared" si="15"/>
        <v>0</v>
      </c>
      <c r="N138" s="3">
        <f t="shared" si="15"/>
        <v>0</v>
      </c>
      <c r="O138" s="3">
        <f t="shared" si="15"/>
        <v>0</v>
      </c>
      <c r="P138" s="3">
        <f t="shared" si="15"/>
        <v>0</v>
      </c>
      <c r="Q138" s="3">
        <f t="shared" si="15"/>
        <v>0</v>
      </c>
      <c r="R138" s="3">
        <f t="shared" si="15"/>
        <v>0</v>
      </c>
      <c r="S138" s="3">
        <f t="shared" si="15"/>
        <v>0</v>
      </c>
      <c r="T138" s="3">
        <f t="shared" si="15"/>
        <v>0</v>
      </c>
      <c r="U138" s="3">
        <f t="shared" si="15"/>
        <v>0</v>
      </c>
      <c r="V138" s="3">
        <f t="shared" si="15"/>
        <v>0</v>
      </c>
      <c r="W138" s="3">
        <f t="shared" si="15"/>
        <v>0</v>
      </c>
      <c r="X138" s="3">
        <f t="shared" si="15"/>
        <v>0</v>
      </c>
      <c r="Y138" s="3">
        <f t="shared" si="15"/>
        <v>0</v>
      </c>
      <c r="Z138" s="3">
        <f t="shared" si="15"/>
        <v>0</v>
      </c>
      <c r="AA138" s="3">
        <f t="shared" si="15"/>
        <v>0</v>
      </c>
      <c r="AB138" s="3">
        <f t="shared" si="15"/>
        <v>0</v>
      </c>
      <c r="AC138" s="3">
        <f t="shared" si="15"/>
        <v>0</v>
      </c>
      <c r="AD138" s="3">
        <f t="shared" si="15"/>
        <v>0</v>
      </c>
      <c r="AE138" s="3">
        <f t="shared" si="15"/>
        <v>0</v>
      </c>
      <c r="AF138" s="3">
        <f t="shared" si="15"/>
        <v>0</v>
      </c>
      <c r="AG138" s="3">
        <f t="shared" si="15"/>
        <v>0</v>
      </c>
      <c r="AH138" s="3">
        <f t="shared" si="15"/>
        <v>0</v>
      </c>
      <c r="AI138" s="3">
        <f t="shared" si="15"/>
        <v>0</v>
      </c>
      <c r="AJ138" s="3">
        <f t="shared" si="15"/>
        <v>0</v>
      </c>
    </row>
    <row r="139" spans="1:36" x14ac:dyDescent="0.25">
      <c r="A139" s="3">
        <f t="shared" si="14"/>
        <v>100000000000000</v>
      </c>
      <c r="B139" s="107">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7">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7">
        <v>0</v>
      </c>
      <c r="C141" s="18">
        <f t="shared" si="9"/>
        <v>0</v>
      </c>
      <c r="D141" s="17"/>
      <c r="E141" s="11"/>
      <c r="F141" s="3">
        <f t="shared" si="11"/>
        <v>0</v>
      </c>
      <c r="G141" s="3">
        <f t="shared" si="15"/>
        <v>0</v>
      </c>
      <c r="H141" s="3">
        <f t="shared" si="15"/>
        <v>0</v>
      </c>
      <c r="I141" s="3">
        <f t="shared" si="15"/>
        <v>0</v>
      </c>
      <c r="J141" s="3">
        <f t="shared" si="15"/>
        <v>0</v>
      </c>
      <c r="K141" s="3">
        <f t="shared" si="15"/>
        <v>0</v>
      </c>
      <c r="L141" s="3">
        <f t="shared" si="15"/>
        <v>0</v>
      </c>
      <c r="M141" s="3">
        <f t="shared" si="15"/>
        <v>0</v>
      </c>
      <c r="N141" s="3">
        <f t="shared" si="15"/>
        <v>0</v>
      </c>
      <c r="O141" s="3">
        <f t="shared" si="15"/>
        <v>0</v>
      </c>
      <c r="P141" s="3">
        <f t="shared" si="15"/>
        <v>0</v>
      </c>
      <c r="Q141" s="3">
        <f t="shared" si="15"/>
        <v>0</v>
      </c>
      <c r="R141" s="3">
        <f t="shared" si="15"/>
        <v>0</v>
      </c>
      <c r="S141" s="3">
        <f t="shared" si="15"/>
        <v>0</v>
      </c>
      <c r="T141" s="3">
        <f t="shared" si="15"/>
        <v>0</v>
      </c>
      <c r="U141" s="3">
        <f t="shared" si="15"/>
        <v>0</v>
      </c>
      <c r="V141" s="3">
        <f t="shared" si="15"/>
        <v>0</v>
      </c>
      <c r="W141" s="3">
        <f t="shared" si="15"/>
        <v>0</v>
      </c>
      <c r="X141" s="3">
        <f t="shared" si="15"/>
        <v>0</v>
      </c>
      <c r="Y141" s="3">
        <f t="shared" si="15"/>
        <v>0</v>
      </c>
      <c r="Z141" s="3">
        <f t="shared" si="15"/>
        <v>0</v>
      </c>
      <c r="AA141" s="3">
        <f t="shared" si="15"/>
        <v>0</v>
      </c>
      <c r="AB141" s="3">
        <f t="shared" si="15"/>
        <v>0</v>
      </c>
      <c r="AC141" s="3">
        <f t="shared" si="15"/>
        <v>0</v>
      </c>
      <c r="AD141" s="3">
        <f t="shared" si="15"/>
        <v>0</v>
      </c>
      <c r="AE141" s="3">
        <f t="shared" si="15"/>
        <v>0</v>
      </c>
      <c r="AF141" s="3">
        <f t="shared" si="15"/>
        <v>0</v>
      </c>
      <c r="AG141" s="3">
        <f t="shared" si="15"/>
        <v>0</v>
      </c>
      <c r="AH141" s="3">
        <f t="shared" si="15"/>
        <v>0</v>
      </c>
      <c r="AI141" s="3">
        <f t="shared" si="15"/>
        <v>0</v>
      </c>
      <c r="AJ141" s="3">
        <f t="shared" si="15"/>
        <v>0</v>
      </c>
    </row>
    <row r="142" spans="1:36" x14ac:dyDescent="0.25">
      <c r="A142" s="11"/>
      <c r="B142" s="123">
        <f>SUM(B110:B141)</f>
        <v>1.385818805059621</v>
      </c>
      <c r="C142" s="18">
        <f>SUM(C110:C141)</f>
        <v>1</v>
      </c>
      <c r="D142" s="11"/>
      <c r="E142" s="11"/>
      <c r="F142" s="3">
        <f t="shared" ref="F142:AJ142" si="16">F109-F110</f>
        <v>-7.5616988741694513</v>
      </c>
      <c r="G142" s="3">
        <f t="shared" si="16"/>
        <v>-7.5611655973680172</v>
      </c>
      <c r="H142" s="3">
        <f t="shared" si="16"/>
        <v>-7.555832865587945</v>
      </c>
      <c r="I142" s="3">
        <f t="shared" si="16"/>
        <v>-7.5025091697480093</v>
      </c>
      <c r="J142" s="3">
        <f t="shared" si="16"/>
        <v>-6.9696342246079439</v>
      </c>
      <c r="K142" s="3">
        <f t="shared" si="16"/>
        <v>-1.6769040756789764</v>
      </c>
      <c r="L142" s="3">
        <f t="shared" si="16"/>
        <v>47.823736515239943</v>
      </c>
      <c r="M142" s="3">
        <f t="shared" si="16"/>
        <v>-10.383248686706793</v>
      </c>
      <c r="N142" s="3">
        <f t="shared" si="16"/>
        <v>2.7860936974302604</v>
      </c>
      <c r="O142" s="3">
        <f t="shared" si="16"/>
        <v>-3.9667288886194001</v>
      </c>
      <c r="P142" s="3">
        <f t="shared" si="16"/>
        <v>6.6765342838707511</v>
      </c>
      <c r="Q142" s="3">
        <f t="shared" si="16"/>
        <v>-9.6506979621772189</v>
      </c>
      <c r="R142" s="3">
        <f t="shared" si="16"/>
        <v>11.867420815451624</v>
      </c>
      <c r="S142" s="3">
        <f t="shared" si="16"/>
        <v>-12.460550541869452</v>
      </c>
      <c r="T142" s="3">
        <f t="shared" si="16"/>
        <v>11.210374012037391</v>
      </c>
      <c r="U142" s="3">
        <f t="shared" si="16"/>
        <v>-8.667213654295665</v>
      </c>
      <c r="V142" s="3">
        <f t="shared" si="16"/>
        <v>5.7727989409913789</v>
      </c>
      <c r="W142" s="3">
        <f t="shared" si="16"/>
        <v>-3.3194193067156448</v>
      </c>
      <c r="X142" s="3">
        <f t="shared" si="16"/>
        <v>1.6509151755021776</v>
      </c>
      <c r="Y142" s="3">
        <f t="shared" si="16"/>
        <v>-0.71137532244301838</v>
      </c>
      <c r="Z142" s="3">
        <f t="shared" si="16"/>
        <v>0.26599794912635844</v>
      </c>
      <c r="AA142" s="3">
        <f t="shared" si="16"/>
        <v>-8.6950485423813006E-2</v>
      </c>
      <c r="AB142" s="3">
        <f t="shared" si="16"/>
        <v>3.7590214901911168E-2</v>
      </c>
      <c r="AC142" s="3">
        <f t="shared" si="16"/>
        <v>-3.9747391387663811E-2</v>
      </c>
      <c r="AD142" s="3">
        <f t="shared" si="16"/>
        <v>-1.4587072757080932E-2</v>
      </c>
      <c r="AE142" s="3">
        <f t="shared" si="16"/>
        <v>6.1367473932705252E-3</v>
      </c>
      <c r="AF142" s="3">
        <f t="shared" si="16"/>
        <v>6.1367473932705252E-3</v>
      </c>
      <c r="AG142" s="3">
        <f t="shared" si="16"/>
        <v>6.1367473932705252E-3</v>
      </c>
      <c r="AH142" s="3">
        <f t="shared" si="16"/>
        <v>6.1367473932705252E-3</v>
      </c>
      <c r="AI142" s="3">
        <f t="shared" si="16"/>
        <v>6.1367473932705252E-3</v>
      </c>
      <c r="AJ142" s="3">
        <f t="shared" si="16"/>
        <v>6.1367473932705252E-3</v>
      </c>
    </row>
    <row r="143" spans="1:36" x14ac:dyDescent="0.25">
      <c r="A143" s="11"/>
      <c r="B143" s="11"/>
      <c r="C143" s="11"/>
      <c r="D143" s="11"/>
      <c r="E143" s="11"/>
      <c r="F143" s="57">
        <f t="shared" ref="F143:AJ143" si="17">F142/F110</f>
        <v>-8.1664842073527648E-4</v>
      </c>
      <c r="G143" s="57">
        <f t="shared" si="17"/>
        <v>-8.1659087493242183E-4</v>
      </c>
      <c r="H143" s="57">
        <f t="shared" si="17"/>
        <v>-8.1601542044934809E-4</v>
      </c>
      <c r="I143" s="57">
        <f t="shared" si="17"/>
        <v>-8.1026123001247169E-4</v>
      </c>
      <c r="J143" s="57">
        <f t="shared" si="17"/>
        <v>-7.5275475006204905E-4</v>
      </c>
      <c r="K143" s="57">
        <f t="shared" si="17"/>
        <v>-1.812174730018437E-4</v>
      </c>
      <c r="L143" s="57">
        <f t="shared" si="17"/>
        <v>5.1959479615075882E-3</v>
      </c>
      <c r="M143" s="57">
        <f t="shared" si="17"/>
        <v>-1.1630581939064395E-3</v>
      </c>
      <c r="N143" s="57">
        <f t="shared" si="17"/>
        <v>3.265244506165525E-4</v>
      </c>
      <c r="O143" s="57">
        <f t="shared" si="17"/>
        <v>-4.865927837982289E-4</v>
      </c>
      <c r="P143" s="57">
        <f t="shared" si="17"/>
        <v>8.5518825424371527E-4</v>
      </c>
      <c r="Q143" s="57">
        <f t="shared" si="17"/>
        <v>-1.2801263753084138E-3</v>
      </c>
      <c r="R143" s="57">
        <f t="shared" si="17"/>
        <v>1.6394365858525219E-3</v>
      </c>
      <c r="S143" s="57">
        <f t="shared" si="17"/>
        <v>-1.800127532327571E-3</v>
      </c>
      <c r="T143" s="57">
        <f t="shared" si="17"/>
        <v>1.6964414255999313E-3</v>
      </c>
      <c r="U143" s="57">
        <f t="shared" si="17"/>
        <v>-1.4066855090580455E-3</v>
      </c>
      <c r="V143" s="57">
        <f t="shared" si="17"/>
        <v>1.0442230694490511E-3</v>
      </c>
      <c r="W143" s="57">
        <f t="shared" si="17"/>
        <v>-6.9663520225111692E-4</v>
      </c>
      <c r="X143" s="57">
        <f t="shared" si="17"/>
        <v>4.1377727851161041E-4</v>
      </c>
      <c r="Y143" s="57">
        <f t="shared" si="17"/>
        <v>-2.2077723856714577E-4</v>
      </c>
      <c r="Z143" s="57">
        <f t="shared" si="17"/>
        <v>1.13655082599293E-4</v>
      </c>
      <c r="AA143" s="57">
        <f t="shared" si="17"/>
        <v>-5.4314263388190912E-5</v>
      </c>
      <c r="AB143" s="57">
        <f t="shared" si="17"/>
        <v>3.5600606056599564E-5</v>
      </c>
      <c r="AC143" s="57">
        <f t="shared" si="17"/>
        <v>-5.4438193751398683E-5</v>
      </c>
      <c r="AD143" s="57">
        <f t="shared" si="17"/>
        <v>-2.5945311913417085E-5</v>
      </c>
      <c r="AE143" s="57">
        <f t="shared" si="17"/>
        <v>1.0915534393611967E-5</v>
      </c>
      <c r="AF143" s="57">
        <f t="shared" si="17"/>
        <v>1.0915534393611967E-5</v>
      </c>
      <c r="AG143" s="57">
        <f t="shared" si="17"/>
        <v>1.0915534393611967E-5</v>
      </c>
      <c r="AH143" s="57">
        <f t="shared" si="17"/>
        <v>1.0915534393611967E-5</v>
      </c>
      <c r="AI143" s="57">
        <f t="shared" si="17"/>
        <v>1.0915534393611967E-5</v>
      </c>
      <c r="AJ143" s="57">
        <f t="shared" si="17"/>
        <v>1.0915534393611967E-5</v>
      </c>
    </row>
    <row r="144" spans="1:36" x14ac:dyDescent="0.25">
      <c r="A144" s="13" t="s">
        <v>21</v>
      </c>
      <c r="B144" s="3">
        <f>STUTT!D8</f>
        <v>11405.888999999999</v>
      </c>
      <c r="C144" s="11"/>
      <c r="D144" s="11"/>
      <c r="E144" s="11" t="s">
        <v>24</v>
      </c>
      <c r="F144" s="20">
        <f t="shared" ref="F144:AJ144" si="18">(F109-F110)^2</f>
        <v>57.179289863615544</v>
      </c>
      <c r="G144" s="20">
        <f t="shared" si="18"/>
        <v>57.171225190821644</v>
      </c>
      <c r="H144" s="20">
        <f t="shared" si="18"/>
        <v>57.090610292698933</v>
      </c>
      <c r="I144" s="20">
        <f t="shared" si="18"/>
        <v>56.287643842152967</v>
      </c>
      <c r="J144" s="20">
        <f t="shared" si="18"/>
        <v>48.575801224826378</v>
      </c>
      <c r="K144" s="20">
        <f t="shared" si="18"/>
        <v>2.8120072790287622</v>
      </c>
      <c r="L144" s="20">
        <f t="shared" si="18"/>
        <v>2287.1097742790944</v>
      </c>
      <c r="M144" s="20">
        <f t="shared" si="18"/>
        <v>107.81185328999834</v>
      </c>
      <c r="N144" s="20">
        <f t="shared" si="18"/>
        <v>7.7623180908606191</v>
      </c>
      <c r="O144" s="20">
        <f t="shared" si="18"/>
        <v>15.734938075807701</v>
      </c>
      <c r="P144" s="20">
        <f t="shared" si="18"/>
        <v>44.576110043701526</v>
      </c>
      <c r="Q144" s="20">
        <f t="shared" si="18"/>
        <v>93.135971157171525</v>
      </c>
      <c r="R144" s="20">
        <f t="shared" si="18"/>
        <v>140.83567681101448</v>
      </c>
      <c r="S144" s="20">
        <f t="shared" si="18"/>
        <v>155.26531980648309</v>
      </c>
      <c r="T144" s="20">
        <f t="shared" si="18"/>
        <v>125.67248548976332</v>
      </c>
      <c r="U144" s="20">
        <f t="shared" si="18"/>
        <v>75.120592529209219</v>
      </c>
      <c r="V144" s="20">
        <f t="shared" si="18"/>
        <v>33.325207613111189</v>
      </c>
      <c r="W144" s="20">
        <f t="shared" si="18"/>
        <v>11.018544533796572</v>
      </c>
      <c r="X144" s="20">
        <f t="shared" si="18"/>
        <v>2.725520916703386</v>
      </c>
      <c r="Y144" s="20">
        <f t="shared" si="18"/>
        <v>0.50605484938090839</v>
      </c>
      <c r="Z144" s="20">
        <f t="shared" si="18"/>
        <v>7.0754908939428776E-2</v>
      </c>
      <c r="AA144" s="20">
        <f t="shared" si="18"/>
        <v>7.5603869154367183E-3</v>
      </c>
      <c r="AB144" s="20">
        <f t="shared" si="18"/>
        <v>1.4130242563718644E-3</v>
      </c>
      <c r="AC144" s="20">
        <f t="shared" si="18"/>
        <v>1.5798551221241314E-3</v>
      </c>
      <c r="AD144" s="20">
        <f t="shared" si="18"/>
        <v>2.1278269162037272E-4</v>
      </c>
      <c r="AE144" s="20">
        <f t="shared" si="18"/>
        <v>3.7659668568812589E-5</v>
      </c>
      <c r="AF144" s="20">
        <f t="shared" si="18"/>
        <v>3.7659668568812589E-5</v>
      </c>
      <c r="AG144" s="20">
        <f t="shared" si="18"/>
        <v>3.7659668568812589E-5</v>
      </c>
      <c r="AH144" s="20">
        <f t="shared" si="18"/>
        <v>3.7659668568812589E-5</v>
      </c>
      <c r="AI144" s="20">
        <f t="shared" si="18"/>
        <v>3.7659668568812589E-5</v>
      </c>
      <c r="AJ144" s="20">
        <f t="shared" si="18"/>
        <v>3.7659668568812589E-5</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3379.7986920951766</v>
      </c>
      <c r="H146" s="11"/>
      <c r="I146" s="3">
        <f>G146+C216</f>
        <v>3379.7986920951766</v>
      </c>
      <c r="J146" s="11"/>
      <c r="K146" s="3">
        <f>SUM(Z144:AJ144)</f>
        <v>8.1746915936394701E-2</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8.1731588045829459E-4</v>
      </c>
      <c r="G148" s="31">
        <f t="shared" si="19"/>
        <v>8.1725824055412161E-4</v>
      </c>
      <c r="H148" s="31">
        <f t="shared" si="19"/>
        <v>8.1668184542881895E-4</v>
      </c>
      <c r="I148" s="31">
        <f t="shared" si="19"/>
        <v>8.1091828566005018E-4</v>
      </c>
      <c r="J148" s="31">
        <f t="shared" si="19"/>
        <v>7.5332181663784854E-4</v>
      </c>
      <c r="K148" s="31">
        <f t="shared" si="19"/>
        <v>1.8125031872658412E-4</v>
      </c>
      <c r="L148" s="31">
        <f t="shared" si="19"/>
        <v>5.1690896407260078E-3</v>
      </c>
      <c r="M148" s="31">
        <f t="shared" si="19"/>
        <v>1.1644124733746848E-3</v>
      </c>
      <c r="N148" s="31">
        <f t="shared" si="19"/>
        <v>3.2641786720179298E-4</v>
      </c>
      <c r="O148" s="31">
        <f t="shared" si="19"/>
        <v>4.8682967160336996E-4</v>
      </c>
      <c r="P148" s="31">
        <f t="shared" si="19"/>
        <v>8.5445753219842919E-4</v>
      </c>
      <c r="Q148" s="31">
        <f t="shared" si="19"/>
        <v>1.2817671993072524E-3</v>
      </c>
      <c r="R148" s="31">
        <f t="shared" si="19"/>
        <v>1.636753232720787E-3</v>
      </c>
      <c r="S148" s="31">
        <f t="shared" si="19"/>
        <v>1.8033738352194286E-3</v>
      </c>
      <c r="T148" s="31">
        <f t="shared" si="19"/>
        <v>1.693568386032779E-3</v>
      </c>
      <c r="U148" s="31">
        <f t="shared" si="19"/>
        <v>1.4086670605992779E-3</v>
      </c>
      <c r="V148" s="31">
        <f t="shared" si="19"/>
        <v>1.0431338050652798E-3</v>
      </c>
      <c r="W148" s="31">
        <f t="shared" si="19"/>
        <v>6.9712084116929835E-4</v>
      </c>
      <c r="X148" s="31">
        <f t="shared" si="19"/>
        <v>4.1360613768958154E-4</v>
      </c>
      <c r="Y148" s="31">
        <f t="shared" si="19"/>
        <v>2.2082599191984567E-4</v>
      </c>
      <c r="Z148" s="31">
        <f t="shared" si="19"/>
        <v>1.1364216658946251E-4</v>
      </c>
      <c r="AA148" s="31">
        <f t="shared" si="19"/>
        <v>5.4317213587636227E-5</v>
      </c>
      <c r="AB148" s="31">
        <f t="shared" si="19"/>
        <v>3.559933869856668E-5</v>
      </c>
      <c r="AC148" s="31">
        <f t="shared" si="19"/>
        <v>5.444115742967489E-5</v>
      </c>
      <c r="AD148" s="31">
        <f t="shared" si="19"/>
        <v>2.5945985090093149E-5</v>
      </c>
      <c r="AE148" s="31">
        <f t="shared" si="19"/>
        <v>1.0915415246021429E-5</v>
      </c>
      <c r="AF148" s="31">
        <f t="shared" si="19"/>
        <v>1.0915415246021429E-5</v>
      </c>
      <c r="AG148" s="31">
        <f t="shared" si="19"/>
        <v>1.0915415246021429E-5</v>
      </c>
      <c r="AH148" s="31">
        <f t="shared" si="19"/>
        <v>1.0915415246021429E-5</v>
      </c>
      <c r="AI148" s="31">
        <f t="shared" si="19"/>
        <v>1.0915415246021429E-5</v>
      </c>
      <c r="AJ148" s="31">
        <f t="shared" si="19"/>
        <v>1.0915415246021429E-5</v>
      </c>
    </row>
    <row r="149" spans="1:36" x14ac:dyDescent="0.25">
      <c r="A149" s="11"/>
      <c r="B149" s="11"/>
      <c r="C149" s="11"/>
      <c r="D149" s="11"/>
      <c r="E149" s="13" t="s">
        <v>31</v>
      </c>
      <c r="F149" s="32">
        <f>AVERAGE(F148:AJ148)</f>
        <v>7.3374865855371286E-4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1.1765783442959409E-3</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-11.206695345231019</v>
      </c>
      <c r="M1" s="54">
        <v>1</v>
      </c>
      <c r="N1" s="56">
        <f>INDEX($H$217:$P$217,1,Q1)</f>
        <v>9.5813315763234083E-2</v>
      </c>
      <c r="O1" s="11"/>
      <c r="P1" s="55">
        <v>1</v>
      </c>
      <c r="Q1" s="11">
        <v>2</v>
      </c>
    </row>
    <row r="2" spans="1:17" x14ac:dyDescent="0.25">
      <c r="A2" s="11">
        <f>'Mastercurve bestimmen'!M119</f>
        <v>0</v>
      </c>
      <c r="B2" s="11">
        <f>'Mastercurve bestimmen'!N119</f>
        <v>-7.2627352784508794</v>
      </c>
      <c r="M2" s="54">
        <v>2</v>
      </c>
      <c r="N2" s="56">
        <f t="shared" ref="N2:N9" si="0">INDEX($H$217:$P$217,1,Q2)</f>
        <v>3.4219279981944999E-4</v>
      </c>
      <c r="O2" s="11"/>
      <c r="P2" s="55">
        <v>2</v>
      </c>
      <c r="Q2" s="11">
        <f>Q1+1</f>
        <v>3</v>
      </c>
    </row>
    <row r="3" spans="1:17" x14ac:dyDescent="0.25">
      <c r="A3" s="11">
        <f>'Mastercurve bestimmen'!M120</f>
        <v>25</v>
      </c>
      <c r="B3" s="11">
        <f>'Mastercurve bestimmen'!N120</f>
        <v>-4.793342440994997</v>
      </c>
      <c r="M3" s="54">
        <v>3</v>
      </c>
      <c r="N3" s="56">
        <f t="shared" si="0"/>
        <v>8.9282771773298823E-7</v>
      </c>
      <c r="O3" s="11"/>
      <c r="P3" s="55">
        <v>3</v>
      </c>
      <c r="Q3" s="11">
        <f t="shared" ref="Q3:Q8" si="1">Q2+1</f>
        <v>4</v>
      </c>
    </row>
    <row r="4" spans="1:17" x14ac:dyDescent="0.25">
      <c r="A4" s="11">
        <f>'Mastercurve bestimmen'!M121</f>
        <v>50</v>
      </c>
      <c r="B4" s="11">
        <f>'Mastercurve bestimmen'!N121</f>
        <v>-2.6402158025209772</v>
      </c>
      <c r="M4" s="54">
        <v>4</v>
      </c>
      <c r="N4" s="56">
        <f t="shared" si="0"/>
        <v>-3.9111408679181262E-8</v>
      </c>
      <c r="O4" s="11"/>
      <c r="P4" s="55">
        <v>4</v>
      </c>
      <c r="Q4" s="11">
        <f t="shared" si="1"/>
        <v>5</v>
      </c>
    </row>
    <row r="5" spans="1:17" x14ac:dyDescent="0.25">
      <c r="A5" s="11">
        <f>'Mastercurve bestimmen'!M122</f>
        <v>80</v>
      </c>
      <c r="B5" s="11">
        <f>'Mastercurve bestimmen'!N122</f>
        <v>0</v>
      </c>
      <c r="M5" s="54">
        <v>5</v>
      </c>
      <c r="N5" s="56">
        <f t="shared" si="0"/>
        <v>4.460262882470063E-10</v>
      </c>
      <c r="O5" s="11"/>
      <c r="P5" s="55">
        <v>5</v>
      </c>
      <c r="Q5" s="11">
        <f t="shared" si="1"/>
        <v>6</v>
      </c>
    </row>
    <row r="6" spans="1:17" x14ac:dyDescent="0.25">
      <c r="A6" s="11">
        <f>'Mastercurve bestimmen'!M123</f>
        <v>125</v>
      </c>
      <c r="B6" s="11">
        <f>'Mastercurve bestimmen'!N123</f>
        <v>5.0254399219607917</v>
      </c>
      <c r="M6" s="54">
        <v>6</v>
      </c>
      <c r="N6" s="56">
        <f t="shared" si="0"/>
        <v>4.3805762414856282E-12</v>
      </c>
      <c r="O6" s="11"/>
      <c r="P6" s="55">
        <v>6</v>
      </c>
      <c r="Q6" s="11">
        <f t="shared" si="1"/>
        <v>7</v>
      </c>
    </row>
    <row r="7" spans="1:17" x14ac:dyDescent="0.25">
      <c r="A7" s="11">
        <f>'Mastercurve bestimmen'!M124</f>
        <v>160</v>
      </c>
      <c r="B7" s="11">
        <f>'Mastercurve bestimmen'!N124</f>
        <v>9.907215664523255</v>
      </c>
      <c r="M7" s="54">
        <v>7</v>
      </c>
      <c r="N7" s="56">
        <f t="shared" si="0"/>
        <v>-4.4515305291725012E-14</v>
      </c>
      <c r="O7" s="11"/>
      <c r="P7" s="55">
        <v>7</v>
      </c>
      <c r="Q7" s="11">
        <f t="shared" si="1"/>
        <v>8</v>
      </c>
    </row>
    <row r="8" spans="1:17" x14ac:dyDescent="0.25">
      <c r="A8" s="11"/>
      <c r="B8" s="11"/>
      <c r="M8" s="54">
        <v>8</v>
      </c>
      <c r="N8" s="56">
        <f t="shared" si="0"/>
        <v>-2.9950233127754521E-16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-11.206695345231019</v>
      </c>
      <c r="E15" s="11">
        <f>A15-'Mastercurve bestimmen'!$B$2</f>
        <v>-120</v>
      </c>
      <c r="F15" s="11">
        <f>B15</f>
        <v>-11.206695345231019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-11.133003281522667</v>
      </c>
      <c r="E16" s="11">
        <f>A16-'Mastercurve bestimmen'!$B$2</f>
        <v>-119</v>
      </c>
      <c r="F16" s="11">
        <f t="shared" ref="F16:F79" si="4">B16</f>
        <v>-11.133003281522667</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-11.059217758384815</v>
      </c>
      <c r="E17" s="11">
        <f>A17-'Mastercurve bestimmen'!$B$2</f>
        <v>-118</v>
      </c>
      <c r="F17" s="11">
        <f t="shared" si="4"/>
        <v>-11.059217758384815</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-10.985245316387973</v>
      </c>
      <c r="E18" s="11">
        <f>A18-'Mastercurve bestimmen'!$B$2</f>
        <v>-117</v>
      </c>
      <c r="F18" s="11">
        <f t="shared" si="4"/>
        <v>-10.985245316387973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-10.910992496102633</v>
      </c>
      <c r="E19" s="11">
        <f>A19-'Mastercurve bestimmen'!$B$2</f>
        <v>-116</v>
      </c>
      <c r="F19" s="11">
        <f t="shared" si="4"/>
        <v>-10.910992496102633</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-10.836365838099304</v>
      </c>
      <c r="E20" s="11">
        <f>A20-'Mastercurve bestimmen'!$B$2</f>
        <v>-115</v>
      </c>
      <c r="F20" s="11">
        <f t="shared" si="4"/>
        <v>-10.836365838099304</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-10.761271882948483</v>
      </c>
      <c r="E21" s="11">
        <f>A21-'Mastercurve bestimmen'!$B$2</f>
        <v>-114</v>
      </c>
      <c r="F21" s="11">
        <f t="shared" si="4"/>
        <v>-10.761271882948483</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-10.685617171220679</v>
      </c>
      <c r="E22" s="11">
        <f>A22-'Mastercurve bestimmen'!$B$2</f>
        <v>-113</v>
      </c>
      <c r="F22" s="11">
        <f t="shared" si="4"/>
        <v>-10.685617171220679</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-10.609308243486389</v>
      </c>
      <c r="E23" s="11">
        <f>A23-'Mastercurve bestimmen'!$B$2</f>
        <v>-112</v>
      </c>
      <c r="F23" s="11">
        <f t="shared" si="4"/>
        <v>-10.609308243486389</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-10.532251640316117</v>
      </c>
      <c r="E24" s="11">
        <f>A24-'Mastercurve bestimmen'!$B$2</f>
        <v>-111</v>
      </c>
      <c r="F24" s="11">
        <f t="shared" si="4"/>
        <v>-10.532251640316117</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-10.454353902280367</v>
      </c>
      <c r="E25" s="11">
        <f>A25-'Mastercurve bestimmen'!$B$2</f>
        <v>-110</v>
      </c>
      <c r="F25" s="11">
        <f t="shared" si="4"/>
        <v>-10.454353902280367</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-10.375521569949637</v>
      </c>
      <c r="E26" s="11">
        <f>A26-'Mastercurve bestimmen'!$B$2</f>
        <v>-109</v>
      </c>
      <c r="F26" s="11">
        <f t="shared" si="4"/>
        <v>-10.375521569949637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-10.295661183894435</v>
      </c>
      <c r="E27" s="11">
        <f>A27-'Mastercurve bestimmen'!$B$2</f>
        <v>-108</v>
      </c>
      <c r="F27" s="11">
        <f t="shared" si="4"/>
        <v>-10.295661183894435</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-10.214679284685257</v>
      </c>
      <c r="E28" s="11">
        <f>A28-'Mastercurve bestimmen'!$B$2</f>
        <v>-107</v>
      </c>
      <c r="F28" s="11">
        <f t="shared" si="4"/>
        <v>-10.214679284685257</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-10.132482412892609</v>
      </c>
      <c r="E29" s="11">
        <f>A29-'Mastercurve bestimmen'!$B$2</f>
        <v>-106</v>
      </c>
      <c r="F29" s="11">
        <f t="shared" si="4"/>
        <v>-10.132482412892609</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-10.048977109086993</v>
      </c>
      <c r="E30" s="11">
        <f>A30-'Mastercurve bestimmen'!$B$2</f>
        <v>-105</v>
      </c>
      <c r="F30" s="11">
        <f t="shared" si="4"/>
        <v>-10.048977109086993</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-9.9640699138389088</v>
      </c>
      <c r="E31" s="11">
        <f>A31-'Mastercurve bestimmen'!$B$2</f>
        <v>-104</v>
      </c>
      <c r="F31" s="11">
        <f t="shared" si="4"/>
        <v>-9.9640699138389088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-9.877667367718864</v>
      </c>
      <c r="E32" s="11">
        <f>A32-'Mastercurve bestimmen'!$B$2</f>
        <v>-103</v>
      </c>
      <c r="F32" s="11">
        <f t="shared" si="4"/>
        <v>-9.877667367718864</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-9.789676011297356</v>
      </c>
      <c r="E33" s="11">
        <f>A33-'Mastercurve bestimmen'!$B$2</f>
        <v>-102</v>
      </c>
      <c r="F33" s="11">
        <f t="shared" si="4"/>
        <v>-9.789676011297356</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-9.7000023851448862</v>
      </c>
      <c r="E34" s="11">
        <f>A34-'Mastercurve bestimmen'!$B$2</f>
        <v>-101</v>
      </c>
      <c r="F34" s="11">
        <f t="shared" si="4"/>
        <v>-9.7000023851448862</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-9.6085530298319615</v>
      </c>
      <c r="E35" s="11">
        <f>A35-'Mastercurve bestimmen'!$B$2</f>
        <v>-100</v>
      </c>
      <c r="F35" s="11">
        <f t="shared" si="4"/>
        <v>-9.6085530298319615</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-9.5152344859290814</v>
      </c>
      <c r="E36" s="11">
        <f>A36-'Mastercurve bestimmen'!$B$2</f>
        <v>-99</v>
      </c>
      <c r="F36" s="11">
        <f t="shared" si="4"/>
        <v>-9.5152344859290814</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-9.4199532940067474</v>
      </c>
      <c r="E37" s="11">
        <f>A37-'Mastercurve bestimmen'!$B$2</f>
        <v>-98</v>
      </c>
      <c r="F37" s="11">
        <f t="shared" si="4"/>
        <v>-9.4199532940067474</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-9.3226159946354628</v>
      </c>
      <c r="E38" s="11">
        <f>A38-'Mastercurve bestimmen'!$B$2</f>
        <v>-97</v>
      </c>
      <c r="F38" s="11">
        <f t="shared" si="4"/>
        <v>-9.3226159946354628</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-9.2231291283857324</v>
      </c>
      <c r="E39" s="11">
        <f>A39-'Mastercurve bestimmen'!$B$2</f>
        <v>-96</v>
      </c>
      <c r="F39" s="11">
        <f t="shared" si="4"/>
        <v>-9.2231291283857324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-9.1213992358280525</v>
      </c>
      <c r="E40" s="11">
        <f>A40-'Mastercurve bestimmen'!$B$2</f>
        <v>-95</v>
      </c>
      <c r="F40" s="11">
        <f t="shared" si="4"/>
        <v>-9.1213992358280525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-9.0173328575329315</v>
      </c>
      <c r="E41" s="11">
        <f>A41-'Mastercurve bestimmen'!$B$2</f>
        <v>-94</v>
      </c>
      <c r="F41" s="11">
        <f t="shared" si="4"/>
        <v>-9.0173328575329315</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-8.9108365340708673</v>
      </c>
      <c r="E42" s="11">
        <f>A42-'Mastercurve bestimmen'!$B$2</f>
        <v>-93</v>
      </c>
      <c r="F42" s="11">
        <f t="shared" si="4"/>
        <v>-8.9108365340708673</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-8.8018168060123649</v>
      </c>
      <c r="E43" s="11">
        <f>A43-'Mastercurve bestimmen'!$B$2</f>
        <v>-92</v>
      </c>
      <c r="F43" s="11">
        <f t="shared" si="4"/>
        <v>-8.8018168060123649</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-8.6901802139279241</v>
      </c>
      <c r="E44" s="11">
        <f>A44-'Mastercurve bestimmen'!$B$2</f>
        <v>-91</v>
      </c>
      <c r="F44" s="11">
        <f t="shared" si="4"/>
        <v>-8.6901802139279241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-8.5758332983880496</v>
      </c>
      <c r="E45" s="11">
        <f>A45-'Mastercurve bestimmen'!$B$2</f>
        <v>-90</v>
      </c>
      <c r="F45" s="11">
        <f t="shared" si="4"/>
        <v>-8.5758332983880496</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-8.4586825999632431</v>
      </c>
      <c r="E46" s="11">
        <f>A46-'Mastercurve bestimmen'!$B$2</f>
        <v>-89</v>
      </c>
      <c r="F46" s="11">
        <f t="shared" si="4"/>
        <v>-8.4586825999632431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-8.3386346592240042</v>
      </c>
      <c r="E47" s="11">
        <f>A47-'Mastercurve bestimmen'!$B$2</f>
        <v>-88</v>
      </c>
      <c r="F47" s="11">
        <f t="shared" si="4"/>
        <v>-8.3386346592240042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-8.2155960167408377</v>
      </c>
      <c r="E48" s="11">
        <f>A48-'Mastercurve bestimmen'!$B$2</f>
        <v>-87</v>
      </c>
      <c r="F48" s="11">
        <f t="shared" si="4"/>
        <v>-8.2155960167408377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-8.089473213084247</v>
      </c>
      <c r="E49" s="11">
        <f>A49-'Mastercurve bestimmen'!$B$2</f>
        <v>-86</v>
      </c>
      <c r="F49" s="11">
        <f t="shared" si="4"/>
        <v>-8.089473213084247</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-7.9601727888247318</v>
      </c>
      <c r="E50" s="11">
        <f>A50-'Mastercurve bestimmen'!$B$2</f>
        <v>-85</v>
      </c>
      <c r="F50" s="11">
        <f t="shared" si="4"/>
        <v>-7.9601727888247318</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-7.8276012845327951</v>
      </c>
      <c r="E51" s="11">
        <f>A51-'Mastercurve bestimmen'!$B$2</f>
        <v>-84</v>
      </c>
      <c r="F51" s="11">
        <f t="shared" si="4"/>
        <v>-7.8276012845327951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-7.6916652407789394</v>
      </c>
      <c r="E52" s="11">
        <f>A52-'Mastercurve bestimmen'!$B$2</f>
        <v>-83</v>
      </c>
      <c r="F52" s="11">
        <f t="shared" si="4"/>
        <v>-7.6916652407789394</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-7.5522711981336661</v>
      </c>
      <c r="E53" s="11">
        <f>A53-'Mastercurve bestimmen'!$B$2</f>
        <v>-82</v>
      </c>
      <c r="F53" s="11">
        <f t="shared" si="4"/>
        <v>-7.5522711981336661</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-7.4093256971674801</v>
      </c>
      <c r="E54" s="11">
        <f>A54-'Mastercurve bestimmen'!$B$2</f>
        <v>-81</v>
      </c>
      <c r="F54" s="11">
        <f t="shared" si="4"/>
        <v>-7.4093256971674801</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-7.2627352784508812</v>
      </c>
      <c r="E55" s="11">
        <f>A55-'Mastercurve bestimmen'!$B$2</f>
        <v>-80</v>
      </c>
      <c r="F55" s="11">
        <f t="shared" si="4"/>
        <v>-7.2627352784508812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-7.1858713151458637</v>
      </c>
      <c r="E56" s="11">
        <f>A56-'Mastercurve bestimmen'!$B$2</f>
        <v>-79</v>
      </c>
      <c r="F56" s="11">
        <f t="shared" si="4"/>
        <v>-7.1858713151458637</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-7.1054896359683006</v>
      </c>
      <c r="E57" s="11">
        <f>A57-'Mastercurve bestimmen'!$B$2</f>
        <v>-78</v>
      </c>
      <c r="F57" s="11">
        <f t="shared" si="4"/>
        <v>-7.1054896359683006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-7.0218109022255533</v>
      </c>
      <c r="E58" s="11">
        <f>A58-'Mastercurve bestimmen'!$B$2</f>
        <v>-77</v>
      </c>
      <c r="F58" s="11">
        <f t="shared" si="4"/>
        <v>-7.0218109022255533</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-6.9350557752249822</v>
      </c>
      <c r="E59" s="11">
        <f>A59-'Mastercurve bestimmen'!$B$2</f>
        <v>-76</v>
      </c>
      <c r="F59" s="11">
        <f t="shared" si="4"/>
        <v>-6.9350557752249822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-6.8454449162739515</v>
      </c>
      <c r="E60" s="11">
        <f>A60-'Mastercurve bestimmen'!$B$2</f>
        <v>-75</v>
      </c>
      <c r="F60" s="11">
        <f t="shared" si="4"/>
        <v>-6.8454449162739515</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-6.7531989866798234</v>
      </c>
      <c r="E61" s="11">
        <f>A61-'Mastercurve bestimmen'!$B$2</f>
        <v>-74</v>
      </c>
      <c r="F61" s="11">
        <f t="shared" si="4"/>
        <v>-6.7531989866798234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-6.6585386477499577</v>
      </c>
      <c r="E62" s="11">
        <f>A62-'Mastercurve bestimmen'!$B$2</f>
        <v>-73</v>
      </c>
      <c r="F62" s="11">
        <f t="shared" si="4"/>
        <v>-6.6585386477499577</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-6.561684560791722</v>
      </c>
      <c r="E63" s="11">
        <f>A63-'Mastercurve bestimmen'!$B$2</f>
        <v>-72</v>
      </c>
      <c r="F63" s="11">
        <f t="shared" si="4"/>
        <v>-6.561684560791722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-6.4628573871124768</v>
      </c>
      <c r="E64" s="11">
        <f>A64-'Mastercurve bestimmen'!$B$2</f>
        <v>-71</v>
      </c>
      <c r="F64" s="11">
        <f t="shared" si="4"/>
        <v>-6.4628573871124768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-6.3622777880195835</v>
      </c>
      <c r="E65" s="11">
        <f>A65-'Mastercurve bestimmen'!$B$2</f>
        <v>-70</v>
      </c>
      <c r="F65" s="11">
        <f t="shared" si="4"/>
        <v>-6.3622777880195835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-6.2601664248204054</v>
      </c>
      <c r="E66" s="11">
        <f>A66-'Mastercurve bestimmen'!$B$2</f>
        <v>-69</v>
      </c>
      <c r="F66" s="11">
        <f t="shared" si="4"/>
        <v>-6.2601664248204054</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-6.1567439588223039</v>
      </c>
      <c r="E67" s="11">
        <f>A67-'Mastercurve bestimmen'!$B$2</f>
        <v>-68</v>
      </c>
      <c r="F67" s="11">
        <f t="shared" si="4"/>
        <v>-6.1567439588223039</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-6.0522310513326429</v>
      </c>
      <c r="E68" s="11">
        <f>A68-'Mastercurve bestimmen'!$B$2</f>
        <v>-67</v>
      </c>
      <c r="F68" s="11">
        <f t="shared" si="4"/>
        <v>-6.0522310513326429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-5.9468483636587841</v>
      </c>
      <c r="E69" s="11">
        <f>A69-'Mastercurve bestimmen'!$B$2</f>
        <v>-66</v>
      </c>
      <c r="F69" s="11">
        <f t="shared" si="4"/>
        <v>-5.9468483636587841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-5.8408165571080914</v>
      </c>
      <c r="E70" s="11">
        <f>A70-'Mastercurve bestimmen'!$B$2</f>
        <v>-65</v>
      </c>
      <c r="F70" s="11">
        <f t="shared" si="4"/>
        <v>-5.8408165571080914</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-5.7343562929879264</v>
      </c>
      <c r="E71" s="11">
        <f>A71-'Mastercurve bestimmen'!$B$2</f>
        <v>-64</v>
      </c>
      <c r="F71" s="11">
        <f t="shared" si="4"/>
        <v>-5.7343562929879264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-5.6276882326056512</v>
      </c>
      <c r="E72" s="11">
        <f>A72-'Mastercurve bestimmen'!$B$2</f>
        <v>-63</v>
      </c>
      <c r="F72" s="11">
        <f t="shared" si="4"/>
        <v>-5.6276882326056512</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-5.5210330372686292</v>
      </c>
      <c r="E73" s="11">
        <f>A73-'Mastercurve bestimmen'!$B$2</f>
        <v>-62</v>
      </c>
      <c r="F73" s="11">
        <f t="shared" si="4"/>
        <v>-5.5210330372686292</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-5.4146113682842207</v>
      </c>
      <c r="E74" s="11">
        <f>A74-'Mastercurve bestimmen'!$B$2</f>
        <v>-61</v>
      </c>
      <c r="F74" s="11">
        <f t="shared" si="4"/>
        <v>-5.4146113682842207</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-5.3086438869597918</v>
      </c>
      <c r="E75" s="11">
        <f>A75-'Mastercurve bestimmen'!$B$2</f>
        <v>-60</v>
      </c>
      <c r="F75" s="11">
        <f t="shared" si="4"/>
        <v>-5.3086438869597918</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-5.2033512546027021</v>
      </c>
      <c r="E76" s="11">
        <f>A76-'Mastercurve bestimmen'!$B$2</f>
        <v>-59</v>
      </c>
      <c r="F76" s="11">
        <f t="shared" si="4"/>
        <v>-5.2033512546027021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-5.0989541325203156</v>
      </c>
      <c r="E77" s="11">
        <f>A77-'Mastercurve bestimmen'!$B$2</f>
        <v>-58</v>
      </c>
      <c r="F77" s="11">
        <f t="shared" si="4"/>
        <v>-5.0989541325203156</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-4.9956731820199938</v>
      </c>
      <c r="E78" s="11">
        <f>A78-'Mastercurve bestimmen'!$B$2</f>
        <v>-57</v>
      </c>
      <c r="F78" s="11">
        <f t="shared" si="4"/>
        <v>-4.9956731820199938</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-4.8937290644091007</v>
      </c>
      <c r="E79" s="11">
        <f>A79-'Mastercurve bestimmen'!$B$2</f>
        <v>-56</v>
      </c>
      <c r="F79" s="11">
        <f t="shared" si="4"/>
        <v>-4.8937290644091007</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-4.793342440994997</v>
      </c>
      <c r="E80" s="11">
        <f>A80-'Mastercurve bestimmen'!$B$2</f>
        <v>-55</v>
      </c>
      <c r="F80" s="11">
        <f t="shared" ref="F80:F143" si="10">B80</f>
        <v>-4.793342440994997</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-4.6946830879016153</v>
      </c>
      <c r="E81" s="11">
        <f>A81-'Mastercurve bestimmen'!$B$2</f>
        <v>-54</v>
      </c>
      <c r="F81" s="11">
        <f t="shared" si="10"/>
        <v>-4.6946830879016153</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-4.5977172405191613</v>
      </c>
      <c r="E82" s="11">
        <f>A82-'Mastercurve bestimmen'!$B$2</f>
        <v>-53</v>
      </c>
      <c r="F82" s="11">
        <f t="shared" si="10"/>
        <v>-4.5977172405191613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-4.5023602490544095</v>
      </c>
      <c r="E83" s="11">
        <f>A83-'Mastercurve bestimmen'!$B$2</f>
        <v>-52</v>
      </c>
      <c r="F83" s="11">
        <f t="shared" si="10"/>
        <v>-4.5023602490544095</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-4.408527463714135</v>
      </c>
      <c r="E84" s="11">
        <f>A84-'Mastercurve bestimmen'!$B$2</f>
        <v>-51</v>
      </c>
      <c r="F84" s="11">
        <f t="shared" si="10"/>
        <v>-4.408527463714135</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-4.316134234705113</v>
      </c>
      <c r="E85" s="11">
        <f>A85-'Mastercurve bestimmen'!$B$2</f>
        <v>-50</v>
      </c>
      <c r="F85" s="11">
        <f t="shared" si="10"/>
        <v>-4.316134234705113</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-4.225095912234119</v>
      </c>
      <c r="E86" s="11">
        <f>A86-'Mastercurve bestimmen'!$B$2</f>
        <v>-49</v>
      </c>
      <c r="F86" s="11">
        <f t="shared" si="10"/>
        <v>-4.225095912234119</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-4.1353278465079262</v>
      </c>
      <c r="E87" s="11">
        <f>A87-'Mastercurve bestimmen'!$B$2</f>
        <v>-48</v>
      </c>
      <c r="F87" s="11">
        <f t="shared" si="10"/>
        <v>-4.1353278465079262</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-4.0467453877333108</v>
      </c>
      <c r="E88" s="11">
        <f>A88-'Mastercurve bestimmen'!$B$2</f>
        <v>-47</v>
      </c>
      <c r="F88" s="11">
        <f t="shared" si="10"/>
        <v>-4.0467453877333108</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-3.9592638861170468</v>
      </c>
      <c r="E89" s="11">
        <f>A89-'Mastercurve bestimmen'!$B$2</f>
        <v>-46</v>
      </c>
      <c r="F89" s="11">
        <f t="shared" si="10"/>
        <v>-3.9592638861170468</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-3.8727986918659103</v>
      </c>
      <c r="E90" s="11">
        <f>A90-'Mastercurve bestimmen'!$B$2</f>
        <v>-45</v>
      </c>
      <c r="F90" s="11">
        <f t="shared" si="10"/>
        <v>-3.8727986918659103</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-3.7872651551866747</v>
      </c>
      <c r="E91" s="11">
        <f>A91-'Mastercurve bestimmen'!$B$2</f>
        <v>-44</v>
      </c>
      <c r="F91" s="11">
        <f t="shared" si="10"/>
        <v>-3.7872651551866747</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-3.7025786262861158</v>
      </c>
      <c r="E92" s="11">
        <f>A92-'Mastercurve bestimmen'!$B$2</f>
        <v>-43</v>
      </c>
      <c r="F92" s="11">
        <f t="shared" si="10"/>
        <v>-3.7025786262861158</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-3.6186544553710083</v>
      </c>
      <c r="E93" s="11">
        <f>A93-'Mastercurve bestimmen'!$B$2</f>
        <v>-42</v>
      </c>
      <c r="F93" s="11">
        <f t="shared" si="10"/>
        <v>-3.6186544553710083</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-3.5354079926481266</v>
      </c>
      <c r="E94" s="11">
        <f>A94-'Mastercurve bestimmen'!$B$2</f>
        <v>-41</v>
      </c>
      <c r="F94" s="11">
        <f t="shared" si="10"/>
        <v>-3.5354079926481266</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-3.4527545883242468</v>
      </c>
      <c r="E95" s="11">
        <f>A95-'Mastercurve bestimmen'!$B$2</f>
        <v>-40</v>
      </c>
      <c r="F95" s="11">
        <f t="shared" si="10"/>
        <v>-3.4527545883242468</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-3.3706095926061419</v>
      </c>
      <c r="E96" s="11">
        <f>A96-'Mastercurve bestimmen'!$B$2</f>
        <v>-39</v>
      </c>
      <c r="F96" s="11">
        <f t="shared" si="10"/>
        <v>-3.3706095926061419</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-3.2888883557005886</v>
      </c>
      <c r="E97" s="11">
        <f>A97-'Mastercurve bestimmen'!$B$2</f>
        <v>-38</v>
      </c>
      <c r="F97" s="11">
        <f t="shared" si="10"/>
        <v>-3.2888883557005886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-3.2075062278143607</v>
      </c>
      <c r="E98" s="11">
        <f>A98-'Mastercurve bestimmen'!$B$2</f>
        <v>-37</v>
      </c>
      <c r="F98" s="11">
        <f t="shared" si="10"/>
        <v>-3.2075062278143607</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-3.1263785591542339</v>
      </c>
      <c r="E99" s="11">
        <f>A99-'Mastercurve bestimmen'!$B$2</f>
        <v>-36</v>
      </c>
      <c r="F99" s="11">
        <f t="shared" si="10"/>
        <v>-3.1263785591542339</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-3.0454206999269822</v>
      </c>
      <c r="E100" s="11">
        <f>A100-'Mastercurve bestimmen'!$B$2</f>
        <v>-35</v>
      </c>
      <c r="F100" s="11">
        <f t="shared" si="10"/>
        <v>-3.0454206999269822</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-2.9645480003393807</v>
      </c>
      <c r="E101" s="11">
        <f>A101-'Mastercurve bestimmen'!$B$2</f>
        <v>-34</v>
      </c>
      <c r="F101" s="11">
        <f t="shared" si="10"/>
        <v>-2.9645480003393807</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-2.8836758105982052</v>
      </c>
      <c r="E102" s="11">
        <f>A102-'Mastercurve bestimmen'!$B$2</f>
        <v>-33</v>
      </c>
      <c r="F102" s="11">
        <f t="shared" si="10"/>
        <v>-2.8836758105982052</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-2.8027194809102292</v>
      </c>
      <c r="E103" s="11">
        <f>A103-'Mastercurve bestimmen'!$B$2</f>
        <v>-32</v>
      </c>
      <c r="F103" s="11">
        <f t="shared" si="10"/>
        <v>-2.8027194809102292</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-2.7215943614822282</v>
      </c>
      <c r="E104" s="11">
        <f>A104-'Mastercurve bestimmen'!$B$2</f>
        <v>-31</v>
      </c>
      <c r="F104" s="11">
        <f t="shared" si="10"/>
        <v>-2.7215943614822282</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-2.6402158025209772</v>
      </c>
      <c r="E105" s="11">
        <f>A105-'Mastercurve bestimmen'!$B$2</f>
        <v>-30</v>
      </c>
      <c r="F105" s="11">
        <f t="shared" si="10"/>
        <v>-2.6402158025209772</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-2.5585117043563499</v>
      </c>
      <c r="E106" s="11">
        <f>A106-'Mastercurve bestimmen'!$B$2</f>
        <v>-29</v>
      </c>
      <c r="F106" s="11">
        <f t="shared" si="10"/>
        <v>-2.5585117043563499</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-2.4764601678106164</v>
      </c>
      <c r="E107" s="11">
        <f>A107-'Mastercurve bestimmen'!$B$2</f>
        <v>-28</v>
      </c>
      <c r="F107" s="11">
        <f t="shared" si="10"/>
        <v>-2.4764601678106164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-2.3940518438291467</v>
      </c>
      <c r="E108" s="11">
        <f>A108-'Mastercurve bestimmen'!$B$2</f>
        <v>-27</v>
      </c>
      <c r="F108" s="11">
        <f t="shared" si="10"/>
        <v>-2.3940518438291467</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-2.311277383357309</v>
      </c>
      <c r="E109" s="11">
        <f>A109-'Mastercurve bestimmen'!$B$2</f>
        <v>-26</v>
      </c>
      <c r="F109" s="11">
        <f t="shared" si="10"/>
        <v>-2.311277383357309</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-2.2281274373404729</v>
      </c>
      <c r="E110" s="11">
        <f>A110-'Mastercurve bestimmen'!$B$2</f>
        <v>-25</v>
      </c>
      <c r="F110" s="11">
        <f t="shared" si="10"/>
        <v>-2.2281274373404729</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-2.144592656724007</v>
      </c>
      <c r="E111" s="11">
        <f>A111-'Mastercurve bestimmen'!$B$2</f>
        <v>-24</v>
      </c>
      <c r="F111" s="11">
        <f t="shared" si="10"/>
        <v>-2.144592656724007</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-2.0606636924532822</v>
      </c>
      <c r="E112" s="11">
        <f>A112-'Mastercurve bestimmen'!$B$2</f>
        <v>-23</v>
      </c>
      <c r="F112" s="11">
        <f t="shared" si="10"/>
        <v>-2.0606636924532822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-1.9763311954736662</v>
      </c>
      <c r="E113" s="11">
        <f>A113-'Mastercurve bestimmen'!$B$2</f>
        <v>-22</v>
      </c>
      <c r="F113" s="11">
        <f t="shared" si="10"/>
        <v>-1.9763311954736662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-1.8915858167305282</v>
      </c>
      <c r="E114" s="11">
        <f>A114-'Mastercurve bestimmen'!$B$2</f>
        <v>-21</v>
      </c>
      <c r="F114" s="11">
        <f t="shared" si="10"/>
        <v>-1.8915858167305282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-1.8064182071692381</v>
      </c>
      <c r="E115" s="11">
        <f>A115-'Mastercurve bestimmen'!$B$2</f>
        <v>-20</v>
      </c>
      <c r="F115" s="11">
        <f t="shared" si="10"/>
        <v>-1.8064182071692381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-1.7208190177351648</v>
      </c>
      <c r="E116" s="11">
        <f>A116-'Mastercurve bestimmen'!$B$2</f>
        <v>-19</v>
      </c>
      <c r="F116" s="11">
        <f t="shared" si="10"/>
        <v>-1.7208190177351648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-1.6347788993736774</v>
      </c>
      <c r="E117" s="11">
        <f>A117-'Mastercurve bestimmen'!$B$2</f>
        <v>-18</v>
      </c>
      <c r="F117" s="11">
        <f t="shared" si="10"/>
        <v>-1.6347788993736774</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-1.5482885030301452</v>
      </c>
      <c r="E118" s="11">
        <f>A118-'Mastercurve bestimmen'!$B$2</f>
        <v>-17</v>
      </c>
      <c r="F118" s="11">
        <f t="shared" si="10"/>
        <v>-1.5482885030301452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-1.4613384796499373</v>
      </c>
      <c r="E119" s="11">
        <f>A119-'Mastercurve bestimmen'!$B$2</f>
        <v>-16</v>
      </c>
      <c r="F119" s="11">
        <f t="shared" si="10"/>
        <v>-1.4613384796499373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-1.3739194801784231</v>
      </c>
      <c r="E120" s="11">
        <f>A120-'Mastercurve bestimmen'!$B$2</f>
        <v>-15</v>
      </c>
      <c r="F120" s="11">
        <f t="shared" si="10"/>
        <v>-1.3739194801784231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-1.2860221555609717</v>
      </c>
      <c r="E121" s="11">
        <f>A121-'Mastercurve bestimmen'!$B$2</f>
        <v>-14</v>
      </c>
      <c r="F121" s="11">
        <f t="shared" si="10"/>
        <v>-1.2860221555609717</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-1.1976371567429522</v>
      </c>
      <c r="E122" s="11">
        <f>A122-'Mastercurve bestimmen'!$B$2</f>
        <v>-13</v>
      </c>
      <c r="F122" s="11">
        <f t="shared" si="10"/>
        <v>-1.1976371567429522</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-1.108755134669734</v>
      </c>
      <c r="E123" s="11">
        <f>A123-'Mastercurve bestimmen'!$B$2</f>
        <v>-12</v>
      </c>
      <c r="F123" s="11">
        <f t="shared" si="10"/>
        <v>-1.108755134669734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-1.0193667402866864</v>
      </c>
      <c r="E124" s="11">
        <f>A124-'Mastercurve bestimmen'!$B$2</f>
        <v>-11</v>
      </c>
      <c r="F124" s="11">
        <f t="shared" si="10"/>
        <v>-1.0193667402866864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-0.92946262453917827</v>
      </c>
      <c r="E125" s="11">
        <f>A125-'Mastercurve bestimmen'!$B$2</f>
        <v>-10</v>
      </c>
      <c r="F125" s="11">
        <f t="shared" si="10"/>
        <v>-0.92946262453917827</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-0.83903343837257893</v>
      </c>
      <c r="E126" s="11">
        <f>A126-'Mastercurve bestimmen'!$B$2</f>
        <v>-9</v>
      </c>
      <c r="F126" s="11">
        <f t="shared" si="10"/>
        <v>-0.83903343837257893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-0.74806983273225747</v>
      </c>
      <c r="E127" s="11">
        <f>A127-'Mastercurve bestimmen'!$B$2</f>
        <v>-8</v>
      </c>
      <c r="F127" s="11">
        <f t="shared" si="10"/>
        <v>-0.74806983273225747</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-0.65656245856358342</v>
      </c>
      <c r="E128" s="11">
        <f>A128-'Mastercurve bestimmen'!$B$2</f>
        <v>-7</v>
      </c>
      <c r="F128" s="11">
        <f t="shared" si="10"/>
        <v>-0.65656245856358342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-0.56450196681192566</v>
      </c>
      <c r="E129" s="11">
        <f>A129-'Mastercurve bestimmen'!$B$2</f>
        <v>-6</v>
      </c>
      <c r="F129" s="11">
        <f t="shared" si="10"/>
        <v>-0.56450196681192566</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-0.47187900842265373</v>
      </c>
      <c r="E130" s="11">
        <f>A130-'Mastercurve bestimmen'!$B$2</f>
        <v>-5</v>
      </c>
      <c r="F130" s="11">
        <f t="shared" si="10"/>
        <v>-0.47187900842265373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-0.37868423434113646</v>
      </c>
      <c r="E131" s="11">
        <f>A131-'Mastercurve bestimmen'!$B$2</f>
        <v>-4</v>
      </c>
      <c r="F131" s="11">
        <f t="shared" si="10"/>
        <v>-0.37868423434113646</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-0.28490829551274333</v>
      </c>
      <c r="E132" s="11">
        <f>A132-'Mastercurve bestimmen'!$B$2</f>
        <v>-3</v>
      </c>
      <c r="F132" s="11">
        <f t="shared" si="10"/>
        <v>-0.28490829551274333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-0.19054184288284337</v>
      </c>
      <c r="E133" s="11">
        <f>A133-'Mastercurve bestimmen'!$B$2</f>
        <v>-2</v>
      </c>
      <c r="F133" s="11">
        <f t="shared" si="10"/>
        <v>-0.19054184288284337</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-9.5575527396805873E-2</v>
      </c>
      <c r="E134" s="11">
        <f>A134-'Mastercurve bestimmen'!$B$2</f>
        <v>-1</v>
      </c>
      <c r="F134" s="11">
        <f t="shared" si="10"/>
        <v>-9.5575527396805873E-2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-1.3877787807814457E-17</v>
      </c>
      <c r="E135" s="11">
        <f>A135-'Mastercurve bestimmen'!$B$2</f>
        <v>0</v>
      </c>
      <c r="F135" s="11">
        <f t="shared" si="10"/>
        <v>-1.3877787807814457E-17</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9.6193456394475241E-2</v>
      </c>
      <c r="E136" s="11">
        <f>A136-'Mastercurve bestimmen'!$B$2</f>
        <v>1</v>
      </c>
      <c r="F136" s="11">
        <f t="shared" si="10"/>
        <v>9.6193456394475241E-2</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0.1930110310026015</v>
      </c>
      <c r="E137" s="11">
        <f>A137-'Mastercurve bestimmen'!$B$2</f>
        <v>2</v>
      </c>
      <c r="F137" s="11">
        <f t="shared" si="10"/>
        <v>0.1930110310026015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0.29045828107263083</v>
      </c>
      <c r="E138" s="11">
        <f>A138-'Mastercurve bestimmen'!$B$2</f>
        <v>3</v>
      </c>
      <c r="F138" s="11">
        <f t="shared" si="10"/>
        <v>0.29045828107263083</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0.388540763852815</v>
      </c>
      <c r="E139" s="11">
        <f>A139-'Mastercurve bestimmen'!$B$2</f>
        <v>4</v>
      </c>
      <c r="F139" s="11">
        <f t="shared" si="10"/>
        <v>0.388540763852815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0.4872640365914061</v>
      </c>
      <c r="E140" s="11">
        <f>A140-'Mastercurve bestimmen'!$B$2</f>
        <v>5</v>
      </c>
      <c r="F140" s="11">
        <f t="shared" si="10"/>
        <v>0.4872640365914061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0.586633656536656</v>
      </c>
      <c r="E141" s="11">
        <f>A141-'Mastercurve bestimmen'!$B$2</f>
        <v>6</v>
      </c>
      <c r="F141" s="11">
        <f t="shared" si="10"/>
        <v>0.586633656536656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0.68665518093681654</v>
      </c>
      <c r="E142" s="11">
        <f>A142-'Mastercurve bestimmen'!$B$2</f>
        <v>7</v>
      </c>
      <c r="F142" s="11">
        <f t="shared" si="10"/>
        <v>0.68665518093681654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0.7873341670401397</v>
      </c>
      <c r="E143" s="11">
        <f>A143-'Mastercurve bestimmen'!$B$2</f>
        <v>8</v>
      </c>
      <c r="F143" s="11">
        <f t="shared" si="10"/>
        <v>0.7873341670401397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0.88867617209487759</v>
      </c>
      <c r="E144" s="11">
        <f>A144-'Mastercurve bestimmen'!$B$2</f>
        <v>9</v>
      </c>
      <c r="F144" s="11">
        <f t="shared" ref="F144:F207" si="15">B144</f>
        <v>0.88867617209487759</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0.9906867533492818</v>
      </c>
      <c r="E145" s="11">
        <f>A145-'Mastercurve bestimmen'!$B$2</f>
        <v>10</v>
      </c>
      <c r="F145" s="11">
        <f t="shared" si="15"/>
        <v>0.9906867533492818</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1.0933714680516047</v>
      </c>
      <c r="E146" s="11">
        <f>A146-'Mastercurve bestimmen'!$B$2</f>
        <v>11</v>
      </c>
      <c r="F146" s="11">
        <f t="shared" si="15"/>
        <v>1.0933714680516047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1.1967358734500975</v>
      </c>
      <c r="E147" s="11">
        <f>A147-'Mastercurve bestimmen'!$B$2</f>
        <v>12</v>
      </c>
      <c r="F147" s="11">
        <f t="shared" si="15"/>
        <v>1.1967358734500975</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1.3007855267930128</v>
      </c>
      <c r="E148" s="11">
        <f>A148-'Mastercurve bestimmen'!$B$2</f>
        <v>13</v>
      </c>
      <c r="F148" s="11">
        <f t="shared" si="15"/>
        <v>1.3007855267930128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1.4055259853286024</v>
      </c>
      <c r="E149" s="11">
        <f>A149-'Mastercurve bestimmen'!$B$2</f>
        <v>14</v>
      </c>
      <c r="F149" s="11">
        <f t="shared" si="15"/>
        <v>1.4055259853286024</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1.5109628063051181</v>
      </c>
      <c r="E150" s="11">
        <f>A150-'Mastercurve bestimmen'!$B$2</f>
        <v>15</v>
      </c>
      <c r="F150" s="11">
        <f t="shared" si="15"/>
        <v>1.5109628063051181</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1.6171015469708117</v>
      </c>
      <c r="E151" s="11">
        <f>A151-'Mastercurve bestimmen'!$B$2</f>
        <v>16</v>
      </c>
      <c r="F151" s="11">
        <f t="shared" si="15"/>
        <v>1.6171015469708117</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1.7239477645739354</v>
      </c>
      <c r="E152" s="11">
        <f>A152-'Mastercurve bestimmen'!$B$2</f>
        <v>17</v>
      </c>
      <c r="F152" s="11">
        <f t="shared" si="15"/>
        <v>1.7239477645739354</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1.8315070163627409</v>
      </c>
      <c r="E153" s="11">
        <f>A153-'Mastercurve bestimmen'!$B$2</f>
        <v>18</v>
      </c>
      <c r="F153" s="11">
        <f t="shared" si="15"/>
        <v>1.8315070163627409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1.9397848595854805</v>
      </c>
      <c r="E154" s="11">
        <f>A154-'Mastercurve bestimmen'!$B$2</f>
        <v>19</v>
      </c>
      <c r="F154" s="11">
        <f t="shared" si="15"/>
        <v>1.9397848595854805</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2.0487868514904055</v>
      </c>
      <c r="E155" s="11">
        <f>A155-'Mastercurve bestimmen'!$B$2</f>
        <v>20</v>
      </c>
      <c r="F155" s="11">
        <f t="shared" si="15"/>
        <v>2.0487868514904055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2.1585185493257684</v>
      </c>
      <c r="E156" s="11">
        <f>A156-'Mastercurve bestimmen'!$B$2</f>
        <v>21</v>
      </c>
      <c r="F156" s="11">
        <f t="shared" si="15"/>
        <v>2.1585185493257684</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2.2689855103398213</v>
      </c>
      <c r="E157" s="11">
        <f>A157-'Mastercurve bestimmen'!$B$2</f>
        <v>22</v>
      </c>
      <c r="F157" s="11">
        <f t="shared" si="15"/>
        <v>2.2689855103398213</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2.3801932917808148</v>
      </c>
      <c r="E158" s="11">
        <f>A158-'Mastercurve bestimmen'!$B$2</f>
        <v>23</v>
      </c>
      <c r="F158" s="11">
        <f t="shared" si="15"/>
        <v>2.3801932917808148</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2.4921474508970025</v>
      </c>
      <c r="E159" s="11">
        <f>A159-'Mastercurve bestimmen'!$B$2</f>
        <v>24</v>
      </c>
      <c r="F159" s="11">
        <f t="shared" si="15"/>
        <v>2.4921474508970025</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2.6048535449366352</v>
      </c>
      <c r="E160" s="11">
        <f>A160-'Mastercurve bestimmen'!$B$2</f>
        <v>25</v>
      </c>
      <c r="F160" s="11">
        <f t="shared" si="15"/>
        <v>2.6048535449366352</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2.7183171311479652</v>
      </c>
      <c r="E161" s="11">
        <f>A161-'Mastercurve bestimmen'!$B$2</f>
        <v>26</v>
      </c>
      <c r="F161" s="11">
        <f t="shared" si="15"/>
        <v>2.7183171311479652</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2.8325437667792448</v>
      </c>
      <c r="E162" s="11">
        <f>A162-'Mastercurve bestimmen'!$B$2</f>
        <v>27</v>
      </c>
      <c r="F162" s="11">
        <f t="shared" si="15"/>
        <v>2.8325437667792448</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2.9475390090787252</v>
      </c>
      <c r="E163" s="11">
        <f>A163-'Mastercurve bestimmen'!$B$2</f>
        <v>28</v>
      </c>
      <c r="F163" s="11">
        <f t="shared" si="15"/>
        <v>2.9475390090787252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3.0633084152946592</v>
      </c>
      <c r="E164" s="11">
        <f>A164-'Mastercurve bestimmen'!$B$2</f>
        <v>29</v>
      </c>
      <c r="F164" s="11">
        <f t="shared" si="15"/>
        <v>3.0633084152946592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3.1798575426752982</v>
      </c>
      <c r="E165" s="11">
        <f>A165-'Mastercurve bestimmen'!$B$2</f>
        <v>30</v>
      </c>
      <c r="F165" s="11">
        <f t="shared" si="15"/>
        <v>3.1798575426752982</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3.2971919484688939</v>
      </c>
      <c r="E166" s="11">
        <f>A166-'Mastercurve bestimmen'!$B$2</f>
        <v>31</v>
      </c>
      <c r="F166" s="11">
        <f t="shared" si="15"/>
        <v>3.2971919484688939</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3.415317189923698</v>
      </c>
      <c r="E167" s="11">
        <f>A167-'Mastercurve bestimmen'!$B$2</f>
        <v>32</v>
      </c>
      <c r="F167" s="11">
        <f t="shared" si="15"/>
        <v>3.415317189923698</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3.5342388242879634</v>
      </c>
      <c r="E168" s="11">
        <f>A168-'Mastercurve bestimmen'!$B$2</f>
        <v>33</v>
      </c>
      <c r="F168" s="11">
        <f t="shared" si="15"/>
        <v>3.5342388242879634</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3.6539624088099414</v>
      </c>
      <c r="E169" s="11">
        <f>A169-'Mastercurve bestimmen'!$B$2</f>
        <v>34</v>
      </c>
      <c r="F169" s="11">
        <f t="shared" si="15"/>
        <v>3.6539624088099414</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3.7744935007378841</v>
      </c>
      <c r="E170" s="11">
        <f>A170-'Mastercurve bestimmen'!$B$2</f>
        <v>35</v>
      </c>
      <c r="F170" s="11">
        <f t="shared" si="15"/>
        <v>3.7744935007378841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3.8958376573200435</v>
      </c>
      <c r="E171" s="11">
        <f>A171-'Mastercurve bestimmen'!$B$2</f>
        <v>36</v>
      </c>
      <c r="F171" s="11">
        <f t="shared" si="15"/>
        <v>3.8958376573200435</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4.0180004358046713</v>
      </c>
      <c r="E172" s="11">
        <f>A172-'Mastercurve bestimmen'!$B$2</f>
        <v>37</v>
      </c>
      <c r="F172" s="11">
        <f t="shared" si="15"/>
        <v>4.0180004358046713</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4.1409873934400201</v>
      </c>
      <c r="E173" s="11">
        <f>A173-'Mastercurve bestimmen'!$B$2</f>
        <v>38</v>
      </c>
      <c r="F173" s="11">
        <f t="shared" si="15"/>
        <v>4.1409873934400201</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4.2648040874743396</v>
      </c>
      <c r="E174" s="11">
        <f>A174-'Mastercurve bestimmen'!$B$2</f>
        <v>39</v>
      </c>
      <c r="F174" s="11">
        <f t="shared" si="15"/>
        <v>4.2648040874743396</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4.3894560751558851</v>
      </c>
      <c r="E175" s="11">
        <f>A175-'Mastercurve bestimmen'!$B$2</f>
        <v>40</v>
      </c>
      <c r="F175" s="11">
        <f t="shared" si="15"/>
        <v>4.3894560751558851</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4.5149489137329066</v>
      </c>
      <c r="E176" s="11">
        <f>A176-'Mastercurve bestimmen'!$B$2</f>
        <v>41</v>
      </c>
      <c r="F176" s="11">
        <f t="shared" si="15"/>
        <v>4.5149489137329066</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4.6412881604536551</v>
      </c>
      <c r="E177" s="11">
        <f>A177-'Mastercurve bestimmen'!$B$2</f>
        <v>42</v>
      </c>
      <c r="F177" s="11">
        <f t="shared" si="15"/>
        <v>4.6412881604536551</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4.768479372566385</v>
      </c>
      <c r="E178" s="11">
        <f>A178-'Mastercurve bestimmen'!$B$2</f>
        <v>43</v>
      </c>
      <c r="F178" s="11">
        <f t="shared" si="15"/>
        <v>4.768479372566385</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4.8965281073193463</v>
      </c>
      <c r="E179" s="11">
        <f>A179-'Mastercurve bestimmen'!$B$2</f>
        <v>44</v>
      </c>
      <c r="F179" s="11">
        <f t="shared" si="15"/>
        <v>4.8965281073193463</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5.0254399219607917</v>
      </c>
      <c r="E180" s="11">
        <f>A180-'Mastercurve bestimmen'!$B$2</f>
        <v>45</v>
      </c>
      <c r="F180" s="11">
        <f t="shared" si="15"/>
        <v>5.0254399219607917</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5.1552153111636132</v>
      </c>
      <c r="E181" s="11">
        <f>A181-'Mastercurve bestimmen'!$B$2</f>
        <v>46</v>
      </c>
      <c r="F181" s="11">
        <f t="shared" si="15"/>
        <v>5.1552153111636132</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5.2858345192992644</v>
      </c>
      <c r="E182" s="11">
        <f>A182-'Mastercurve bestimmen'!$B$2</f>
        <v>47</v>
      </c>
      <c r="F182" s="11">
        <f t="shared" si="15"/>
        <v>5.2858345192992644</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5.4172727281638364</v>
      </c>
      <c r="E183" s="11">
        <f>A183-'Mastercurve bestimmen'!$B$2</f>
        <v>48</v>
      </c>
      <c r="F183" s="11">
        <f t="shared" si="15"/>
        <v>5.4172727281638364</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5.5495051195534248</v>
      </c>
      <c r="E184" s="11">
        <f>A184-'Mastercurve bestimmen'!$B$2</f>
        <v>49</v>
      </c>
      <c r="F184" s="11">
        <f t="shared" si="15"/>
        <v>5.5495051195534248</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5.6825068752641226</v>
      </c>
      <c r="E185" s="11">
        <f>A185-'Mastercurve bestimmen'!$B$2</f>
        <v>50</v>
      </c>
      <c r="F185" s="11">
        <f t="shared" si="15"/>
        <v>5.6825068752641226</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5.8162531770920216</v>
      </c>
      <c r="E186" s="11">
        <f>A186-'Mastercurve bestimmen'!$B$2</f>
        <v>51</v>
      </c>
      <c r="F186" s="11">
        <f t="shared" si="15"/>
        <v>5.8162531770920216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5.9507192068332166</v>
      </c>
      <c r="E187" s="11">
        <f>A187-'Mastercurve bestimmen'!$B$2</f>
        <v>52</v>
      </c>
      <c r="F187" s="11">
        <f t="shared" si="15"/>
        <v>5.9507192068332166</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6.0858801462838006</v>
      </c>
      <c r="E188" s="11">
        <f>A188-'Mastercurve bestimmen'!$B$2</f>
        <v>53</v>
      </c>
      <c r="F188" s="11">
        <f t="shared" si="15"/>
        <v>6.0858801462838006</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6.2217111772398663</v>
      </c>
      <c r="E189" s="11">
        <f>A189-'Mastercurve bestimmen'!$B$2</f>
        <v>54</v>
      </c>
      <c r="F189" s="11">
        <f t="shared" si="15"/>
        <v>6.2217111772398663</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6.3581874814975068</v>
      </c>
      <c r="E190" s="11">
        <f>A190-'Mastercurve bestimmen'!$B$2</f>
        <v>55</v>
      </c>
      <c r="F190" s="11">
        <f t="shared" si="15"/>
        <v>6.3581874814975068</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6.4952842408528157</v>
      </c>
      <c r="E191" s="11">
        <f>A191-'Mastercurve bestimmen'!$B$2</f>
        <v>56</v>
      </c>
      <c r="F191" s="11">
        <f t="shared" si="15"/>
        <v>6.4952842408528157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6.632976637101887</v>
      </c>
      <c r="E192" s="11">
        <f>A192-'Mastercurve bestimmen'!$B$2</f>
        <v>57</v>
      </c>
      <c r="F192" s="11">
        <f t="shared" si="15"/>
        <v>6.632976637101887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6.7712398520408126</v>
      </c>
      <c r="E193" s="11">
        <f>A193-'Mastercurve bestimmen'!$B$2</f>
        <v>58</v>
      </c>
      <c r="F193" s="11">
        <f t="shared" si="15"/>
        <v>6.7712398520408126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6.9100490674656863</v>
      </c>
      <c r="E194" s="11">
        <f>A194-'Mastercurve bestimmen'!$B$2</f>
        <v>59</v>
      </c>
      <c r="F194" s="11">
        <f t="shared" si="15"/>
        <v>6.9100490674656863</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7.0493794651726027</v>
      </c>
      <c r="E195" s="11">
        <f>A195-'Mastercurve bestimmen'!$B$2</f>
        <v>60</v>
      </c>
      <c r="F195" s="11">
        <f t="shared" si="15"/>
        <v>7.0493794651726027</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7.1892062269576531</v>
      </c>
      <c r="E196" s="11">
        <f>A196-'Mastercurve bestimmen'!$B$2</f>
        <v>61</v>
      </c>
      <c r="F196" s="11">
        <f t="shared" si="15"/>
        <v>7.1892062269576531</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7.3295045346169312</v>
      </c>
      <c r="E197" s="11">
        <f>A197-'Mastercurve bestimmen'!$B$2</f>
        <v>62</v>
      </c>
      <c r="F197" s="11">
        <f t="shared" si="15"/>
        <v>7.3295045346169312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7.4702495699465317</v>
      </c>
      <c r="E198" s="11">
        <f>A198-'Mastercurve bestimmen'!$B$2</f>
        <v>63</v>
      </c>
      <c r="F198" s="11">
        <f t="shared" si="15"/>
        <v>7.4702495699465317</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7.6114165147425457</v>
      </c>
      <c r="E199" s="11">
        <f>A199-'Mastercurve bestimmen'!$B$2</f>
        <v>64</v>
      </c>
      <c r="F199" s="11">
        <f t="shared" si="15"/>
        <v>7.6114165147425457</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7.7529805508010678</v>
      </c>
      <c r="E200" s="11">
        <f>A200-'Mastercurve bestimmen'!$B$2</f>
        <v>65</v>
      </c>
      <c r="F200" s="11">
        <f t="shared" si="15"/>
        <v>7.7529805508010678</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7.8949168599181911</v>
      </c>
      <c r="E201" s="11">
        <f>A201-'Mastercurve bestimmen'!$B$2</f>
        <v>66</v>
      </c>
      <c r="F201" s="11">
        <f t="shared" si="15"/>
        <v>7.8949168599181911</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8.0372006238900084</v>
      </c>
      <c r="E202" s="11">
        <f>A202-'Mastercurve bestimmen'!$B$2</f>
        <v>67</v>
      </c>
      <c r="F202" s="11">
        <f t="shared" si="15"/>
        <v>8.0372006238900084</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8.1798070245126144</v>
      </c>
      <c r="E203" s="11">
        <f>A203-'Mastercurve bestimmen'!$B$2</f>
        <v>68</v>
      </c>
      <c r="F203" s="11">
        <f t="shared" si="15"/>
        <v>8.1798070245126144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8.3227112435820985</v>
      </c>
      <c r="E204" s="11">
        <f>A204-'Mastercurve bestimmen'!$B$2</f>
        <v>69</v>
      </c>
      <c r="F204" s="11">
        <f t="shared" si="15"/>
        <v>8.3227112435820985</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8.4658884628945597</v>
      </c>
      <c r="E205" s="11">
        <f>A205-'Mastercurve bestimmen'!$B$2</f>
        <v>70</v>
      </c>
      <c r="F205" s="11">
        <f t="shared" si="15"/>
        <v>8.4658884628945597</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8.6093138642460865</v>
      </c>
      <c r="E206" s="11">
        <f>A206-'Mastercurve bestimmen'!$B$2</f>
        <v>71</v>
      </c>
      <c r="F206" s="11">
        <f t="shared" si="15"/>
        <v>8.6093138642460865</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8.7529626294327745</v>
      </c>
      <c r="E207" s="11">
        <f>A207-'Mastercurve bestimmen'!$B$2</f>
        <v>72</v>
      </c>
      <c r="F207" s="11">
        <f t="shared" si="15"/>
        <v>8.7529626294327745</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8.8968099402507175</v>
      </c>
      <c r="E208" s="11">
        <f>A208-'Mastercurve bestimmen'!$B$2</f>
        <v>73</v>
      </c>
      <c r="F208" s="11">
        <f t="shared" ref="F208:F215" si="21">B208</f>
        <v>8.8968099402507175</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9.0408309784960075</v>
      </c>
      <c r="E209" s="11">
        <f>A209-'Mastercurve bestimmen'!$B$2</f>
        <v>74</v>
      </c>
      <c r="F209" s="11">
        <f t="shared" si="21"/>
        <v>9.0408309784960075</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9.1850009259647365</v>
      </c>
      <c r="E210" s="11">
        <f>A210-'Mastercurve bestimmen'!$B$2</f>
        <v>75</v>
      </c>
      <c r="F210" s="11">
        <f t="shared" si="21"/>
        <v>9.1850009259647365</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9.3292949644529983</v>
      </c>
      <c r="E211" s="11">
        <f>A211-'Mastercurve bestimmen'!$B$2</f>
        <v>76</v>
      </c>
      <c r="F211" s="11">
        <f t="shared" si="21"/>
        <v>9.3292949644529983</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9.4736882757568903</v>
      </c>
      <c r="E212" s="11">
        <f>A212-'Mastercurve bestimmen'!$B$2</f>
        <v>77</v>
      </c>
      <c r="F212" s="11">
        <f t="shared" si="21"/>
        <v>9.4736882757568903</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9.6181560416725009</v>
      </c>
      <c r="E213" s="11">
        <f>A213-'Mastercurve bestimmen'!$B$2</f>
        <v>78</v>
      </c>
      <c r="F213" s="11">
        <f t="shared" si="21"/>
        <v>9.6181560416725009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9.762673443995924</v>
      </c>
      <c r="E214" s="11">
        <f>A214-'Mastercurve bestimmen'!$B$2</f>
        <v>79</v>
      </c>
      <c r="F214" s="11">
        <f t="shared" si="21"/>
        <v>9.762673443995924</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9.907215664523255</v>
      </c>
      <c r="E215" s="11">
        <f>A215-'Mastercurve bestimmen'!$B$2</f>
        <v>80</v>
      </c>
      <c r="F215" s="11">
        <f t="shared" si="21"/>
        <v>9.907215664523255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9.5813315763234083E-2</v>
      </c>
      <c r="J217" s="98">
        <v>3.4219279981944999E-4</v>
      </c>
      <c r="K217" s="98">
        <v>8.9282771773298823E-7</v>
      </c>
      <c r="L217" s="98">
        <v>-3.9111408679181262E-8</v>
      </c>
      <c r="M217" s="98">
        <v>4.460262882470063E-10</v>
      </c>
      <c r="N217" s="98">
        <v>4.3805762414856282E-12</v>
      </c>
      <c r="O217" s="98">
        <v>-4.4515305291725012E-14</v>
      </c>
      <c r="P217" s="98">
        <v>-2.9950233127754521E-16</v>
      </c>
    </row>
    <row r="218" spans="1:16" x14ac:dyDescent="0.25">
      <c r="G218" s="11"/>
      <c r="H218" s="11">
        <v>0</v>
      </c>
      <c r="I218" s="11">
        <v>2.6602109887969297E-4</v>
      </c>
      <c r="J218" s="11">
        <v>4.9550539578249601E-6</v>
      </c>
      <c r="K218" s="3">
        <v>2.5176427884006211E-7</v>
      </c>
      <c r="L218" s="3">
        <v>2.2923886459526224E-9</v>
      </c>
      <c r="M218" s="3">
        <v>7.1981432726404842E-11</v>
      </c>
      <c r="N218" s="3">
        <v>3.9554553676104525E-13</v>
      </c>
      <c r="O218" s="11">
        <v>6.3606025874148795E-15</v>
      </c>
      <c r="P218" s="11">
        <v>3.8678738937706827E-17</v>
      </c>
    </row>
    <row r="219" spans="1:16" x14ac:dyDescent="0.25">
      <c r="G219" s="11"/>
      <c r="H219" s="11">
        <v>0.99998052293994633</v>
      </c>
      <c r="I219" s="11">
        <v>2.7521142430820468E-2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-11.168613655119856</v>
      </c>
      <c r="G222">
        <f>F15</f>
        <v>-11.206695345231019</v>
      </c>
    </row>
    <row r="223" spans="1:16" x14ac:dyDescent="0.25">
      <c r="E223" s="11">
        <f t="shared" ref="E223:E286" si="25">E16</f>
        <v>-119</v>
      </c>
      <c r="F223" s="11">
        <f t="shared" ref="F223:F286" si="26">$H$217*0+E223*$I$217+E223^2*$J$217+E223^3*$K$217+E223^4*$L$217+E223^5*$M$217+E223^6*$N$217+E223^7*$O$217+E223^8*$P$217</f>
        <v>-11.108705973829704</v>
      </c>
      <c r="G223" s="11">
        <f t="shared" ref="G223:G286" si="27">F16</f>
        <v>-11.133003281522667</v>
      </c>
    </row>
    <row r="224" spans="1:16" x14ac:dyDescent="0.25">
      <c r="E224" s="11">
        <f t="shared" si="25"/>
        <v>-118</v>
      </c>
      <c r="F224" s="11">
        <f t="shared" si="26"/>
        <v>-11.047091001618808</v>
      </c>
      <c r="G224" s="11">
        <f t="shared" si="27"/>
        <v>-11.059217758384815</v>
      </c>
    </row>
    <row r="225" spans="5:7" x14ac:dyDescent="0.25">
      <c r="E225" s="11">
        <f t="shared" si="25"/>
        <v>-117</v>
      </c>
      <c r="F225" s="11">
        <f t="shared" si="26"/>
        <v>-10.98364279117467</v>
      </c>
      <c r="G225" s="11">
        <f t="shared" si="27"/>
        <v>-10.985245316387973</v>
      </c>
    </row>
    <row r="226" spans="5:7" x14ac:dyDescent="0.25">
      <c r="E226" s="11">
        <f t="shared" si="25"/>
        <v>-116</v>
      </c>
      <c r="F226" s="11">
        <f t="shared" si="26"/>
        <v>-10.918256815054759</v>
      </c>
      <c r="G226" s="11">
        <f t="shared" si="27"/>
        <v>-10.910992496102633</v>
      </c>
    </row>
    <row r="227" spans="5:7" x14ac:dyDescent="0.25">
      <c r="E227" s="11">
        <f t="shared" si="25"/>
        <v>-115</v>
      </c>
      <c r="F227" s="11">
        <f t="shared" si="26"/>
        <v>-10.85084856627744</v>
      </c>
      <c r="G227" s="11">
        <f t="shared" si="27"/>
        <v>-10.836365838099304</v>
      </c>
    </row>
    <row r="228" spans="5:7" x14ac:dyDescent="0.25">
      <c r="E228" s="11">
        <f t="shared" si="25"/>
        <v>-114</v>
      </c>
      <c r="F228" s="11">
        <f t="shared" si="26"/>
        <v>-10.781352212165782</v>
      </c>
      <c r="G228" s="11">
        <f t="shared" si="27"/>
        <v>-10.761271882948483</v>
      </c>
    </row>
    <row r="229" spans="5:7" x14ac:dyDescent="0.25">
      <c r="E229" s="11">
        <f t="shared" si="25"/>
        <v>-113</v>
      </c>
      <c r="F229" s="11">
        <f t="shared" si="26"/>
        <v>-10.709719300261902</v>
      </c>
      <c r="G229" s="11">
        <f t="shared" si="27"/>
        <v>-10.685617171220679</v>
      </c>
    </row>
    <row r="230" spans="5:7" x14ac:dyDescent="0.25">
      <c r="E230" s="11">
        <f t="shared" si="25"/>
        <v>-112</v>
      </c>
      <c r="F230" s="11">
        <f t="shared" si="26"/>
        <v>-10.635917515141276</v>
      </c>
      <c r="G230" s="11">
        <f t="shared" si="27"/>
        <v>-10.609308243486389</v>
      </c>
    </row>
    <row r="231" spans="5:7" x14ac:dyDescent="0.25">
      <c r="E231" s="11">
        <f t="shared" si="25"/>
        <v>-111</v>
      </c>
      <c r="F231" s="11">
        <f t="shared" si="26"/>
        <v>-10.559929484968809</v>
      </c>
      <c r="G231" s="11">
        <f t="shared" si="27"/>
        <v>-10.532251640316117</v>
      </c>
    </row>
    <row r="232" spans="5:7" x14ac:dyDescent="0.25">
      <c r="E232" s="11">
        <f t="shared" si="25"/>
        <v>-110</v>
      </c>
      <c r="F232" s="11">
        <f t="shared" si="26"/>
        <v>-10.481751636650369</v>
      </c>
      <c r="G232" s="11">
        <f t="shared" si="27"/>
        <v>-10.454353902280367</v>
      </c>
    </row>
    <row r="233" spans="5:7" x14ac:dyDescent="0.25">
      <c r="E233" s="11">
        <f t="shared" si="25"/>
        <v>-109</v>
      </c>
      <c r="F233" s="11">
        <f t="shared" si="26"/>
        <v>-10.401393098445505</v>
      </c>
      <c r="G233" s="11">
        <f t="shared" si="27"/>
        <v>-10.375521569949637</v>
      </c>
    </row>
    <row r="234" spans="5:7" x14ac:dyDescent="0.25">
      <c r="E234" s="11">
        <f t="shared" si="25"/>
        <v>-108</v>
      </c>
      <c r="F234" s="11">
        <f t="shared" si="26"/>
        <v>-10.318874648919422</v>
      </c>
      <c r="G234" s="11">
        <f t="shared" si="27"/>
        <v>-10.295661183894435</v>
      </c>
    </row>
    <row r="235" spans="5:7" x14ac:dyDescent="0.25">
      <c r="E235" s="11">
        <f t="shared" si="25"/>
        <v>-107</v>
      </c>
      <c r="F235" s="11">
        <f t="shared" si="26"/>
        <v>-10.234227711123982</v>
      </c>
      <c r="G235" s="11">
        <f t="shared" si="27"/>
        <v>-10.214679284685257</v>
      </c>
    </row>
    <row r="236" spans="5:7" x14ac:dyDescent="0.25">
      <c r="E236" s="11">
        <f t="shared" si="25"/>
        <v>-106</v>
      </c>
      <c r="F236" s="11">
        <f t="shared" si="26"/>
        <v>-10.147493390909951</v>
      </c>
      <c r="G236" s="11">
        <f t="shared" si="27"/>
        <v>-10.132482412892609</v>
      </c>
    </row>
    <row r="237" spans="5:7" x14ac:dyDescent="0.25">
      <c r="E237" s="11">
        <f t="shared" si="25"/>
        <v>-105</v>
      </c>
      <c r="F237" s="11">
        <f t="shared" si="26"/>
        <v>-10.058721558284422</v>
      </c>
      <c r="G237" s="11">
        <f t="shared" si="27"/>
        <v>-10.048977109086993</v>
      </c>
    </row>
    <row r="238" spans="5:7" x14ac:dyDescent="0.25">
      <c r="E238" s="11">
        <f t="shared" si="25"/>
        <v>-104</v>
      </c>
      <c r="F238" s="11">
        <f t="shared" si="26"/>
        <v>-9.9679699707398512</v>
      </c>
      <c r="G238" s="11">
        <f t="shared" si="27"/>
        <v>-9.9640699138389088</v>
      </c>
    </row>
    <row r="239" spans="5:7" x14ac:dyDescent="0.25">
      <c r="E239" s="11">
        <f t="shared" si="25"/>
        <v>-103</v>
      </c>
      <c r="F239" s="11">
        <f t="shared" si="26"/>
        <v>-9.8753034374926862</v>
      </c>
      <c r="G239" s="11">
        <f t="shared" si="27"/>
        <v>-9.877667367718864</v>
      </c>
    </row>
    <row r="240" spans="5:7" x14ac:dyDescent="0.25">
      <c r="E240" s="11">
        <f t="shared" si="25"/>
        <v>-102</v>
      </c>
      <c r="F240" s="11">
        <f t="shared" si="26"/>
        <v>-9.7807930235822127</v>
      </c>
      <c r="G240" s="11">
        <f t="shared" si="27"/>
        <v>-9.789676011297356</v>
      </c>
    </row>
    <row r="241" spans="5:7" x14ac:dyDescent="0.25">
      <c r="E241" s="11">
        <f t="shared" si="25"/>
        <v>-101</v>
      </c>
      <c r="F241" s="11">
        <f t="shared" si="26"/>
        <v>-9.6845152927918363</v>
      </c>
      <c r="G241" s="11">
        <f t="shared" si="27"/>
        <v>-9.7000023851448862</v>
      </c>
    </row>
    <row r="242" spans="5:7" x14ac:dyDescent="0.25">
      <c r="E242" s="11">
        <f t="shared" si="25"/>
        <v>-100</v>
      </c>
      <c r="F242" s="11">
        <f t="shared" si="26"/>
        <v>-9.5865515883674099</v>
      </c>
      <c r="G242" s="11">
        <f t="shared" si="27"/>
        <v>-9.6085530298319615</v>
      </c>
    </row>
    <row r="243" spans="5:7" x14ac:dyDescent="0.25">
      <c r="E243" s="11">
        <f t="shared" si="25"/>
        <v>-99</v>
      </c>
      <c r="F243" s="11">
        <f t="shared" si="26"/>
        <v>-9.4869873505191258</v>
      </c>
      <c r="G243" s="11">
        <f t="shared" si="27"/>
        <v>-9.5152344859290814</v>
      </c>
    </row>
    <row r="244" spans="5:7" x14ac:dyDescent="0.25">
      <c r="E244" s="11">
        <f t="shared" si="25"/>
        <v>-98</v>
      </c>
      <c r="F244" s="11">
        <f t="shared" si="26"/>
        <v>-9.3859114697056629</v>
      </c>
      <c r="G244" s="11">
        <f t="shared" si="27"/>
        <v>-9.4199532940067474</v>
      </c>
    </row>
    <row r="245" spans="5:7" x14ac:dyDescent="0.25">
      <c r="E245" s="11">
        <f t="shared" si="25"/>
        <v>-97</v>
      </c>
      <c r="F245" s="11">
        <f t="shared" si="26"/>
        <v>-9.2834156747112768</v>
      </c>
      <c r="G245" s="11">
        <f t="shared" si="27"/>
        <v>-9.3226159946354628</v>
      </c>
    </row>
    <row r="246" spans="5:7" x14ac:dyDescent="0.25">
      <c r="E246" s="11">
        <f t="shared" si="25"/>
        <v>-96</v>
      </c>
      <c r="F246" s="11">
        <f t="shared" si="26"/>
        <v>-9.1795939545386656</v>
      </c>
      <c r="G246" s="11">
        <f t="shared" si="27"/>
        <v>-9.2231291283857324</v>
      </c>
    </row>
    <row r="247" spans="5:7" x14ac:dyDescent="0.25">
      <c r="E247" s="11">
        <f t="shared" si="25"/>
        <v>-95</v>
      </c>
      <c r="F247" s="11">
        <f t="shared" si="26"/>
        <v>-9.0745420131524543</v>
      </c>
      <c r="G247" s="11">
        <f t="shared" si="27"/>
        <v>-9.1213992358280525</v>
      </c>
    </row>
    <row r="248" spans="5:7" x14ac:dyDescent="0.25">
      <c r="E248" s="11">
        <f t="shared" si="25"/>
        <v>-94</v>
      </c>
      <c r="F248" s="11">
        <f t="shared" si="26"/>
        <v>-8.9683567561202988</v>
      </c>
      <c r="G248" s="11">
        <f t="shared" si="27"/>
        <v>-9.0173328575329315</v>
      </c>
    </row>
    <row r="249" spans="5:7" x14ac:dyDescent="0.25">
      <c r="E249" s="11">
        <f t="shared" si="25"/>
        <v>-93</v>
      </c>
      <c r="F249" s="11">
        <f t="shared" si="26"/>
        <v>-8.861135808210598</v>
      </c>
      <c r="G249" s="11">
        <f t="shared" si="27"/>
        <v>-8.9108365340708673</v>
      </c>
    </row>
    <row r="250" spans="5:7" x14ac:dyDescent="0.25">
      <c r="E250" s="11">
        <f t="shared" si="25"/>
        <v>-92</v>
      </c>
      <c r="F250" s="11">
        <f t="shared" si="26"/>
        <v>-8.7529770610179245</v>
      </c>
      <c r="G250" s="11">
        <f t="shared" si="27"/>
        <v>-8.8018168060123649</v>
      </c>
    </row>
    <row r="251" spans="5:7" x14ac:dyDescent="0.25">
      <c r="E251" s="11">
        <f t="shared" si="25"/>
        <v>-91</v>
      </c>
      <c r="F251" s="11">
        <f t="shared" si="26"/>
        <v>-8.6439782496993995</v>
      </c>
      <c r="G251" s="11">
        <f t="shared" si="27"/>
        <v>-8.6901802139279241</v>
      </c>
    </row>
    <row r="252" spans="5:7" x14ac:dyDescent="0.25">
      <c r="E252" s="11">
        <f t="shared" si="25"/>
        <v>-90</v>
      </c>
      <c r="F252" s="11">
        <f t="shared" si="26"/>
        <v>-8.5342365579171773</v>
      </c>
      <c r="G252" s="11">
        <f t="shared" si="27"/>
        <v>-8.5758332983880496</v>
      </c>
    </row>
    <row r="253" spans="5:7" x14ac:dyDescent="0.25">
      <c r="E253" s="11">
        <f t="shared" si="25"/>
        <v>-89</v>
      </c>
      <c r="F253" s="11">
        <f t="shared" si="26"/>
        <v>-8.4238482500944993</v>
      </c>
      <c r="G253" s="11">
        <f t="shared" si="27"/>
        <v>-8.4586825999632431</v>
      </c>
    </row>
    <row r="254" spans="5:7" x14ac:dyDescent="0.25">
      <c r="E254" s="11">
        <f t="shared" si="25"/>
        <v>-88</v>
      </c>
      <c r="F254" s="11">
        <f t="shared" si="26"/>
        <v>-8.3129083301045945</v>
      </c>
      <c r="G254" s="11">
        <f t="shared" si="27"/>
        <v>-8.3386346592240042</v>
      </c>
    </row>
    <row r="255" spans="5:7" x14ac:dyDescent="0.25">
      <c r="E255" s="11">
        <f t="shared" si="25"/>
        <v>-87</v>
      </c>
      <c r="F255" s="11">
        <f t="shared" si="26"/>
        <v>-8.2015102255240091</v>
      </c>
      <c r="G255" s="11">
        <f t="shared" si="27"/>
        <v>-8.2155960167408377</v>
      </c>
    </row>
    <row r="256" spans="5:7" x14ac:dyDescent="0.25">
      <c r="E256" s="11">
        <f t="shared" si="25"/>
        <v>-86</v>
      </c>
      <c r="F256" s="11">
        <f t="shared" si="26"/>
        <v>-8.0897454965938991</v>
      </c>
      <c r="G256" s="11">
        <f t="shared" si="27"/>
        <v>-8.089473213084247</v>
      </c>
    </row>
    <row r="257" spans="5:7" x14ac:dyDescent="0.25">
      <c r="E257" s="11">
        <f t="shared" si="25"/>
        <v>-85</v>
      </c>
      <c r="F257" s="11">
        <f t="shared" si="26"/>
        <v>-7.9777035690448725</v>
      </c>
      <c r="G257" s="11">
        <f t="shared" si="27"/>
        <v>-7.9601727888247318</v>
      </c>
    </row>
    <row r="258" spans="5:7" x14ac:dyDescent="0.25">
      <c r="E258" s="11">
        <f t="shared" si="25"/>
        <v>-84</v>
      </c>
      <c r="F258" s="11">
        <f t="shared" si="26"/>
        <v>-7.8654714899531868</v>
      </c>
      <c r="G258" s="11">
        <f t="shared" si="27"/>
        <v>-7.8276012845327951</v>
      </c>
    </row>
    <row r="259" spans="5:7" x14ac:dyDescent="0.25">
      <c r="E259" s="11">
        <f t="shared" si="25"/>
        <v>-83</v>
      </c>
      <c r="F259" s="11">
        <f t="shared" si="26"/>
        <v>-7.7531337058079952</v>
      </c>
      <c r="G259" s="11">
        <f t="shared" si="27"/>
        <v>-7.6916652407789394</v>
      </c>
    </row>
    <row r="260" spans="5:7" x14ac:dyDescent="0.25">
      <c r="E260" s="11">
        <f t="shared" si="25"/>
        <v>-82</v>
      </c>
      <c r="F260" s="11">
        <f t="shared" si="26"/>
        <v>-7.6407718619816034</v>
      </c>
      <c r="G260" s="11">
        <f t="shared" si="27"/>
        <v>-7.5522711981336661</v>
      </c>
    </row>
    <row r="261" spans="5:7" x14ac:dyDescent="0.25">
      <c r="E261" s="11">
        <f t="shared" si="25"/>
        <v>-81</v>
      </c>
      <c r="F261" s="11">
        <f t="shared" si="26"/>
        <v>-7.5284646228065686</v>
      </c>
      <c r="G261" s="11">
        <f t="shared" si="27"/>
        <v>-7.4093256971674801</v>
      </c>
    </row>
    <row r="262" spans="5:7" x14ac:dyDescent="0.25">
      <c r="E262" s="11">
        <f t="shared" si="25"/>
        <v>-80</v>
      </c>
      <c r="F262" s="11">
        <f t="shared" si="26"/>
        <v>-7.41628751147576</v>
      </c>
      <c r="G262" s="11">
        <f t="shared" si="27"/>
        <v>-7.2627352784508812</v>
      </c>
    </row>
    <row r="263" spans="5:7" x14ac:dyDescent="0.25">
      <c r="E263" s="11">
        <f t="shared" si="25"/>
        <v>-79</v>
      </c>
      <c r="F263" s="11">
        <f t="shared" si="26"/>
        <v>-7.3043127689934026</v>
      </c>
      <c r="G263" s="11">
        <f t="shared" si="27"/>
        <v>-7.1858713151458637</v>
      </c>
    </row>
    <row r="264" spans="5:7" x14ac:dyDescent="0.25">
      <c r="E264" s="11">
        <f t="shared" si="25"/>
        <v>-78</v>
      </c>
      <c r="F264" s="11">
        <f t="shared" si="26"/>
        <v>-7.1926092314173156</v>
      </c>
      <c r="G264" s="11">
        <f t="shared" si="27"/>
        <v>-7.1054896359683006</v>
      </c>
    </row>
    <row r="265" spans="5:7" x14ac:dyDescent="0.25">
      <c r="E265" s="11">
        <f t="shared" si="25"/>
        <v>-77</v>
      </c>
      <c r="F265" s="11">
        <f t="shared" si="26"/>
        <v>-7.0812422246445514</v>
      </c>
      <c r="G265" s="11">
        <f t="shared" si="27"/>
        <v>-7.0218109022255533</v>
      </c>
    </row>
    <row r="266" spans="5:7" x14ac:dyDescent="0.25">
      <c r="E266" s="11">
        <f t="shared" si="25"/>
        <v>-76</v>
      </c>
      <c r="F266" s="11">
        <f t="shared" si="26"/>
        <v>-6.9702734760047989</v>
      </c>
      <c r="G266" s="11">
        <f t="shared" si="27"/>
        <v>-6.9350557752249822</v>
      </c>
    </row>
    <row r="267" spans="5:7" x14ac:dyDescent="0.25">
      <c r="E267" s="11">
        <f t="shared" si="25"/>
        <v>-75</v>
      </c>
      <c r="F267" s="11">
        <f t="shared" si="26"/>
        <v>-6.8597610419379089</v>
      </c>
      <c r="G267" s="11">
        <f t="shared" si="27"/>
        <v>-6.8454449162739515</v>
      </c>
    </row>
    <row r="268" spans="5:7" x14ac:dyDescent="0.25">
      <c r="E268" s="11">
        <f t="shared" si="25"/>
        <v>-74</v>
      </c>
      <c r="F268" s="11">
        <f t="shared" si="26"/>
        <v>-6.7497592510440452</v>
      </c>
      <c r="G268" s="11">
        <f t="shared" si="27"/>
        <v>-6.7531989866798234</v>
      </c>
    </row>
    <row r="269" spans="5:7" x14ac:dyDescent="0.25">
      <c r="E269" s="11">
        <f t="shared" si="25"/>
        <v>-73</v>
      </c>
      <c r="F269" s="11">
        <f t="shared" si="26"/>
        <v>-6.6403186618069761</v>
      </c>
      <c r="G269" s="11">
        <f t="shared" si="27"/>
        <v>-6.6585386477499577</v>
      </c>
    </row>
    <row r="270" spans="5:7" x14ac:dyDescent="0.25">
      <c r="E270" s="11">
        <f t="shared" si="25"/>
        <v>-72</v>
      </c>
      <c r="F270" s="11">
        <f t="shared" si="26"/>
        <v>-6.5314860343031667</v>
      </c>
      <c r="G270" s="11">
        <f t="shared" si="27"/>
        <v>-6.561684560791722</v>
      </c>
    </row>
    <row r="271" spans="5:7" x14ac:dyDescent="0.25">
      <c r="E271" s="11">
        <f t="shared" si="25"/>
        <v>-71</v>
      </c>
      <c r="F271" s="11">
        <f t="shared" si="26"/>
        <v>-6.4233043152213432</v>
      </c>
      <c r="G271" s="11">
        <f t="shared" si="27"/>
        <v>-6.4628573871124768</v>
      </c>
    </row>
    <row r="272" spans="5:7" x14ac:dyDescent="0.25">
      <c r="E272" s="11">
        <f t="shared" si="25"/>
        <v>-70</v>
      </c>
      <c r="F272" s="11">
        <f t="shared" si="26"/>
        <v>-6.3158126355293192</v>
      </c>
      <c r="G272" s="11">
        <f t="shared" si="27"/>
        <v>-6.3622777880195835</v>
      </c>
    </row>
    <row r="273" spans="5:7" x14ac:dyDescent="0.25">
      <c r="E273" s="11">
        <f t="shared" si="25"/>
        <v>-69</v>
      </c>
      <c r="F273" s="11">
        <f t="shared" si="26"/>
        <v>-6.209046320136939</v>
      </c>
      <c r="G273" s="11">
        <f t="shared" si="27"/>
        <v>-6.2601664248204054</v>
      </c>
    </row>
    <row r="274" spans="5:7" x14ac:dyDescent="0.25">
      <c r="E274" s="11">
        <f t="shared" si="25"/>
        <v>-68</v>
      </c>
      <c r="F274" s="11">
        <f t="shared" si="26"/>
        <v>-6.1030369089160423</v>
      </c>
      <c r="G274" s="11">
        <f t="shared" si="27"/>
        <v>-6.1567439588223039</v>
      </c>
    </row>
    <row r="275" spans="5:7" x14ac:dyDescent="0.25">
      <c r="E275" s="11">
        <f t="shared" si="25"/>
        <v>-67</v>
      </c>
      <c r="F275" s="11">
        <f t="shared" si="26"/>
        <v>-5.9978121884505038</v>
      </c>
      <c r="G275" s="11">
        <f t="shared" si="27"/>
        <v>-6.0522310513326429</v>
      </c>
    </row>
    <row r="276" spans="5:7" x14ac:dyDescent="0.25">
      <c r="E276" s="11">
        <f t="shared" si="25"/>
        <v>-66</v>
      </c>
      <c r="F276" s="11">
        <f t="shared" si="26"/>
        <v>-5.893396233901349</v>
      </c>
      <c r="G276" s="11">
        <f t="shared" si="27"/>
        <v>-5.9468483636587841</v>
      </c>
    </row>
    <row r="277" spans="5:7" x14ac:dyDescent="0.25">
      <c r="E277" s="11">
        <f t="shared" si="25"/>
        <v>-65</v>
      </c>
      <c r="F277" s="11">
        <f t="shared" si="26"/>
        <v>-5.7898094603842001</v>
      </c>
      <c r="G277" s="11">
        <f t="shared" si="27"/>
        <v>-5.8408165571080914</v>
      </c>
    </row>
    <row r="278" spans="5:7" x14ac:dyDescent="0.25">
      <c r="E278" s="11">
        <f t="shared" si="25"/>
        <v>-64</v>
      </c>
      <c r="F278" s="11">
        <f t="shared" si="26"/>
        <v>-5.6870686832681878</v>
      </c>
      <c r="G278" s="11">
        <f t="shared" si="27"/>
        <v>-5.7343562929879264</v>
      </c>
    </row>
    <row r="279" spans="5:7" x14ac:dyDescent="0.25">
      <c r="E279" s="11">
        <f t="shared" si="25"/>
        <v>-63</v>
      </c>
      <c r="F279" s="11">
        <f t="shared" si="26"/>
        <v>-5.5851871868177012</v>
      </c>
      <c r="G279" s="11">
        <f t="shared" si="27"/>
        <v>-5.6276882326056512</v>
      </c>
    </row>
    <row r="280" spans="5:7" x14ac:dyDescent="0.25">
      <c r="E280" s="11">
        <f t="shared" si="25"/>
        <v>-62</v>
      </c>
      <c r="F280" s="11">
        <f t="shared" si="26"/>
        <v>-5.4841748006103499</v>
      </c>
      <c r="G280" s="11">
        <f t="shared" si="27"/>
        <v>-5.5210330372686292</v>
      </c>
    </row>
    <row r="281" spans="5:7" x14ac:dyDescent="0.25">
      <c r="E281" s="11">
        <f t="shared" si="25"/>
        <v>-61</v>
      </c>
      <c r="F281" s="11">
        <f t="shared" si="26"/>
        <v>-5.384037983176543</v>
      </c>
      <c r="G281" s="11">
        <f t="shared" si="27"/>
        <v>-5.4146113682842207</v>
      </c>
    </row>
    <row r="282" spans="5:7" x14ac:dyDescent="0.25">
      <c r="E282" s="11">
        <f t="shared" si="25"/>
        <v>-60</v>
      </c>
      <c r="F282" s="11">
        <f t="shared" si="26"/>
        <v>-5.2847799123183208</v>
      </c>
      <c r="G282" s="11">
        <f t="shared" si="27"/>
        <v>-5.3086438869597918</v>
      </c>
    </row>
    <row r="283" spans="5:7" x14ac:dyDescent="0.25">
      <c r="E283" s="11">
        <f t="shared" si="25"/>
        <v>-59</v>
      </c>
      <c r="F283" s="11">
        <f t="shared" si="26"/>
        <v>-5.1864005815769483</v>
      </c>
      <c r="G283" s="11">
        <f t="shared" si="27"/>
        <v>-5.2033512546027021</v>
      </c>
    </row>
    <row r="284" spans="5:7" x14ac:dyDescent="0.25">
      <c r="E284" s="11">
        <f t="shared" si="25"/>
        <v>-58</v>
      </c>
      <c r="F284" s="11">
        <f t="shared" si="26"/>
        <v>-5.0888969023310198</v>
      </c>
      <c r="G284" s="11">
        <f t="shared" si="27"/>
        <v>-5.0989541325203156</v>
      </c>
    </row>
    <row r="285" spans="5:7" x14ac:dyDescent="0.25">
      <c r="E285" s="11">
        <f t="shared" si="25"/>
        <v>-57</v>
      </c>
      <c r="F285" s="11">
        <f t="shared" si="26"/>
        <v>-4.9922628110188239</v>
      </c>
      <c r="G285" s="11">
        <f t="shared" si="27"/>
        <v>-4.9956731820199938</v>
      </c>
    </row>
    <row r="286" spans="5:7" x14ac:dyDescent="0.25">
      <c r="E286" s="11">
        <f t="shared" si="25"/>
        <v>-56</v>
      </c>
      <c r="F286" s="11">
        <f t="shared" si="26"/>
        <v>-4.8964893809907988</v>
      </c>
      <c r="G286" s="11">
        <f t="shared" si="27"/>
        <v>-4.8937290644091007</v>
      </c>
    </row>
    <row r="287" spans="5:7" x14ac:dyDescent="0.25">
      <c r="E287" s="11">
        <f t="shared" ref="E287:E350" si="28">E80</f>
        <v>-55</v>
      </c>
      <c r="F287" s="11">
        <f t="shared" ref="F287:F350" si="29">$H$217*0+E287*$I$217+E287^2*$J$217+E287^3*$K$217+E287^4*$L$217+E287^5*$M$217+E287^6*$N$217+E287^7*$O$217+E287^8*$P$217</f>
        <v>-4.8015649385099932</v>
      </c>
      <c r="G287" s="11">
        <f t="shared" ref="G287:G350" si="30">F80</f>
        <v>-4.793342440994997</v>
      </c>
    </row>
    <row r="288" spans="5:7" x14ac:dyDescent="0.25">
      <c r="E288" s="11">
        <f t="shared" si="28"/>
        <v>-54</v>
      </c>
      <c r="F288" s="11">
        <f t="shared" si="29"/>
        <v>-4.7074751824305459</v>
      </c>
      <c r="G288" s="11">
        <f t="shared" si="30"/>
        <v>-4.6946830879016153</v>
      </c>
    </row>
    <row r="289" spans="5:7" x14ac:dyDescent="0.25">
      <c r="E289" s="11">
        <f t="shared" si="28"/>
        <v>-53</v>
      </c>
      <c r="F289" s="11">
        <f t="shared" si="29"/>
        <v>-4.6142033070962185</v>
      </c>
      <c r="G289" s="11">
        <f t="shared" si="30"/>
        <v>-4.5977172405191613</v>
      </c>
    </row>
    <row r="290" spans="5:7" x14ac:dyDescent="0.25">
      <c r="E290" s="11">
        <f t="shared" si="28"/>
        <v>-52</v>
      </c>
      <c r="F290" s="11">
        <f t="shared" si="29"/>
        <v>-4.5217301280131394</v>
      </c>
      <c r="G290" s="11">
        <f t="shared" si="30"/>
        <v>-4.5023602490544095</v>
      </c>
    </row>
    <row r="291" spans="5:7" x14ac:dyDescent="0.25">
      <c r="E291" s="11">
        <f t="shared" si="28"/>
        <v>-51</v>
      </c>
      <c r="F291" s="11">
        <f t="shared" si="29"/>
        <v>-4.4300342098629963</v>
      </c>
      <c r="G291" s="11">
        <f t="shared" si="30"/>
        <v>-4.408527463714135</v>
      </c>
    </row>
    <row r="292" spans="5:7" x14ac:dyDescent="0.25">
      <c r="E292" s="11">
        <f t="shared" si="28"/>
        <v>-50</v>
      </c>
      <c r="F292" s="11">
        <f t="shared" si="29"/>
        <v>-4.3390919964349308</v>
      </c>
      <c r="G292" s="11">
        <f t="shared" si="30"/>
        <v>-4.316134234705113</v>
      </c>
    </row>
    <row r="293" spans="5:7" x14ac:dyDescent="0.25">
      <c r="E293" s="11">
        <f t="shared" si="28"/>
        <v>-49</v>
      </c>
      <c r="F293" s="11">
        <f t="shared" si="29"/>
        <v>-4.2488779420665459</v>
      </c>
      <c r="G293" s="11">
        <f t="shared" si="30"/>
        <v>-4.225095912234119</v>
      </c>
    </row>
    <row r="294" spans="5:7" x14ac:dyDescent="0.25">
      <c r="E294" s="11">
        <f t="shared" si="28"/>
        <v>-48</v>
      </c>
      <c r="F294" s="11">
        <f t="shared" si="29"/>
        <v>-4.1593646441964447</v>
      </c>
      <c r="G294" s="11">
        <f t="shared" si="30"/>
        <v>-4.1353278465079262</v>
      </c>
    </row>
    <row r="295" spans="5:7" x14ac:dyDescent="0.25">
      <c r="E295" s="11">
        <f t="shared" si="28"/>
        <v>-47</v>
      </c>
      <c r="F295" s="11">
        <f t="shared" si="29"/>
        <v>-4.0705229766428417</v>
      </c>
      <c r="G295" s="11">
        <f t="shared" si="30"/>
        <v>-4.0467453877333108</v>
      </c>
    </row>
    <row r="296" spans="5:7" x14ac:dyDescent="0.25">
      <c r="E296" s="11">
        <f t="shared" si="28"/>
        <v>-46</v>
      </c>
      <c r="F296" s="11">
        <f t="shared" si="29"/>
        <v>-3.9823222232348297</v>
      </c>
      <c r="G296" s="11">
        <f t="shared" si="30"/>
        <v>-3.9592638861170468</v>
      </c>
    </row>
    <row r="297" spans="5:7" x14ac:dyDescent="0.25">
      <c r="E297" s="11">
        <f t="shared" si="28"/>
        <v>-45</v>
      </c>
      <c r="F297" s="11">
        <f t="shared" si="29"/>
        <v>-3.8947302114349891</v>
      </c>
      <c r="G297" s="11">
        <f t="shared" si="30"/>
        <v>-3.8727986918659103</v>
      </c>
    </row>
    <row r="298" spans="5:7" x14ac:dyDescent="0.25">
      <c r="E298" s="11">
        <f t="shared" si="28"/>
        <v>-44</v>
      </c>
      <c r="F298" s="11">
        <f t="shared" si="29"/>
        <v>-3.8077134456040858</v>
      </c>
      <c r="G298" s="11">
        <f t="shared" si="30"/>
        <v>-3.7872651551866747</v>
      </c>
    </row>
    <row r="299" spans="5:7" x14ac:dyDescent="0.25">
      <c r="E299" s="11">
        <f t="shared" si="28"/>
        <v>-43</v>
      </c>
      <c r="F299" s="11">
        <f t="shared" si="29"/>
        <v>-3.7212372395706788</v>
      </c>
      <c r="G299" s="11">
        <f t="shared" si="30"/>
        <v>-3.7025786262861158</v>
      </c>
    </row>
    <row r="300" spans="5:7" x14ac:dyDescent="0.25">
      <c r="E300" s="11">
        <f t="shared" si="28"/>
        <v>-42</v>
      </c>
      <c r="F300" s="11">
        <f t="shared" si="29"/>
        <v>-3.6352658481805493</v>
      </c>
      <c r="G300" s="11">
        <f t="shared" si="30"/>
        <v>-3.6186544553710083</v>
      </c>
    </row>
    <row r="301" spans="5:7" x14ac:dyDescent="0.25">
      <c r="E301" s="11">
        <f t="shared" si="28"/>
        <v>-41</v>
      </c>
      <c r="F301" s="11">
        <f t="shared" si="29"/>
        <v>-3.5497625975129119</v>
      </c>
      <c r="G301" s="11">
        <f t="shared" si="30"/>
        <v>-3.5354079926481266</v>
      </c>
    </row>
    <row r="302" spans="5:7" x14ac:dyDescent="0.25">
      <c r="E302" s="11">
        <f t="shared" si="28"/>
        <v>-40</v>
      </c>
      <c r="F302" s="11">
        <f t="shared" si="29"/>
        <v>-3.4646900134624916</v>
      </c>
      <c r="G302" s="11">
        <f t="shared" si="30"/>
        <v>-3.4527545883242468</v>
      </c>
    </row>
    <row r="303" spans="5:7" x14ac:dyDescent="0.25">
      <c r="E303" s="11">
        <f t="shared" si="28"/>
        <v>-39</v>
      </c>
      <c r="F303" s="11">
        <f t="shared" si="29"/>
        <v>-3.3800099483985666</v>
      </c>
      <c r="G303" s="11">
        <f t="shared" si="30"/>
        <v>-3.3706095926061419</v>
      </c>
    </row>
    <row r="304" spans="5:7" x14ac:dyDescent="0.25">
      <c r="E304" s="11">
        <f t="shared" si="28"/>
        <v>-38</v>
      </c>
      <c r="F304" s="11">
        <f t="shared" si="29"/>
        <v>-3.2956837056241963</v>
      </c>
      <c r="G304" s="11">
        <f t="shared" si="30"/>
        <v>-3.2888883557005886</v>
      </c>
    </row>
    <row r="305" spans="5:7" x14ac:dyDescent="0.25">
      <c r="E305" s="11">
        <f t="shared" si="28"/>
        <v>-37</v>
      </c>
      <c r="F305" s="11">
        <f t="shared" si="29"/>
        <v>-3.2116721613709207</v>
      </c>
      <c r="G305" s="11">
        <f t="shared" si="30"/>
        <v>-3.2075062278143607</v>
      </c>
    </row>
    <row r="306" spans="5:7" x14ac:dyDescent="0.25">
      <c r="E306" s="11">
        <f t="shared" si="28"/>
        <v>-36</v>
      </c>
      <c r="F306" s="11">
        <f t="shared" si="29"/>
        <v>-3.127935884076273</v>
      </c>
      <c r="G306" s="11">
        <f t="shared" si="30"/>
        <v>-3.1263785591542339</v>
      </c>
    </row>
    <row r="307" spans="5:7" x14ac:dyDescent="0.25">
      <c r="E307" s="11">
        <f t="shared" si="28"/>
        <v>-35</v>
      </c>
      <c r="F307" s="11">
        <f t="shared" si="29"/>
        <v>-3.0444352507035664</v>
      </c>
      <c r="G307" s="11">
        <f t="shared" si="30"/>
        <v>-3.0454206999269822</v>
      </c>
    </row>
    <row r="308" spans="5:7" x14ac:dyDescent="0.25">
      <c r="E308" s="11">
        <f t="shared" si="28"/>
        <v>-34</v>
      </c>
      <c r="F308" s="11">
        <f t="shared" si="29"/>
        <v>-2.961130559875425</v>
      </c>
      <c r="G308" s="11">
        <f t="shared" si="30"/>
        <v>-2.9645480003393807</v>
      </c>
    </row>
    <row r="309" spans="5:7" x14ac:dyDescent="0.25">
      <c r="E309" s="11">
        <f t="shared" si="28"/>
        <v>-33</v>
      </c>
      <c r="F309" s="11">
        <f t="shared" si="29"/>
        <v>-2.8779821416046873</v>
      </c>
      <c r="G309" s="11">
        <f t="shared" si="30"/>
        <v>-2.8836758105982052</v>
      </c>
    </row>
    <row r="310" spans="5:7" x14ac:dyDescent="0.25">
      <c r="E310" s="11">
        <f t="shared" si="28"/>
        <v>-32</v>
      </c>
      <c r="F310" s="11">
        <f t="shared" si="29"/>
        <v>-2.7949504634183131</v>
      </c>
      <c r="G310" s="11">
        <f t="shared" si="30"/>
        <v>-2.8027194809102292</v>
      </c>
    </row>
    <row r="311" spans="5:7" x14ac:dyDescent="0.25">
      <c r="E311" s="11">
        <f t="shared" si="28"/>
        <v>-31</v>
      </c>
      <c r="F311" s="11">
        <f t="shared" si="29"/>
        <v>-2.7119962326820435</v>
      </c>
      <c r="G311" s="11">
        <f t="shared" si="30"/>
        <v>-2.7215943614822282</v>
      </c>
    </row>
    <row r="312" spans="5:7" x14ac:dyDescent="0.25">
      <c r="E312" s="11">
        <f t="shared" si="28"/>
        <v>-30</v>
      </c>
      <c r="F312" s="11">
        <f t="shared" si="29"/>
        <v>-2.6290804949456255</v>
      </c>
      <c r="G312" s="11">
        <f t="shared" si="30"/>
        <v>-2.6402158025209772</v>
      </c>
    </row>
    <row r="313" spans="5:7" x14ac:dyDescent="0.25">
      <c r="E313" s="11">
        <f t="shared" si="28"/>
        <v>-29</v>
      </c>
      <c r="F313" s="11">
        <f t="shared" si="29"/>
        <v>-2.5461647281404942</v>
      </c>
      <c r="G313" s="11">
        <f t="shared" si="30"/>
        <v>-2.5585117043563499</v>
      </c>
    </row>
    <row r="314" spans="5:7" x14ac:dyDescent="0.25">
      <c r="E314" s="11">
        <f t="shared" si="28"/>
        <v>-28</v>
      </c>
      <c r="F314" s="11">
        <f t="shared" si="29"/>
        <v>-2.4632109324738631</v>
      </c>
      <c r="G314" s="11">
        <f t="shared" si="30"/>
        <v>-2.4764601678106164</v>
      </c>
    </row>
    <row r="315" spans="5:7" x14ac:dyDescent="0.25">
      <c r="E315" s="11">
        <f t="shared" si="28"/>
        <v>-27</v>
      </c>
      <c r="F315" s="11">
        <f t="shared" si="29"/>
        <v>-2.3801817158752927</v>
      </c>
      <c r="G315" s="11">
        <f t="shared" si="30"/>
        <v>-2.3940518438291467</v>
      </c>
    </row>
    <row r="316" spans="5:7" x14ac:dyDescent="0.25">
      <c r="E316" s="11">
        <f t="shared" si="28"/>
        <v>-26</v>
      </c>
      <c r="F316" s="11">
        <f t="shared" si="29"/>
        <v>-2.2970403748638164</v>
      </c>
      <c r="G316" s="11">
        <f t="shared" si="30"/>
        <v>-2.311277383357309</v>
      </c>
    </row>
    <row r="317" spans="5:7" x14ac:dyDescent="0.25">
      <c r="E317" s="11">
        <f t="shared" si="28"/>
        <v>-25</v>
      </c>
      <c r="F317" s="11">
        <f t="shared" si="29"/>
        <v>-2.2137509707158523</v>
      </c>
      <c r="G317" s="11">
        <f t="shared" si="30"/>
        <v>-2.2281274373404729</v>
      </c>
    </row>
    <row r="318" spans="5:7" x14ac:dyDescent="0.25">
      <c r="E318" s="11">
        <f t="shared" si="28"/>
        <v>-24</v>
      </c>
      <c r="F318" s="11">
        <f t="shared" si="29"/>
        <v>-2.1302784008261435</v>
      </c>
      <c r="G318" s="11">
        <f t="shared" si="30"/>
        <v>-2.144592656724007</v>
      </c>
    </row>
    <row r="319" spans="5:7" x14ac:dyDescent="0.25">
      <c r="E319" s="11">
        <f t="shared" si="28"/>
        <v>-23</v>
      </c>
      <c r="F319" s="11">
        <f t="shared" si="29"/>
        <v>-2.0465884651660948</v>
      </c>
      <c r="G319" s="11">
        <f t="shared" si="30"/>
        <v>-2.0606636924532822</v>
      </c>
    </row>
    <row r="320" spans="5:7" x14ac:dyDescent="0.25">
      <c r="E320" s="11">
        <f t="shared" si="28"/>
        <v>-22</v>
      </c>
      <c r="F320" s="11">
        <f t="shared" si="29"/>
        <v>-1.9626479277558979</v>
      </c>
      <c r="G320" s="11">
        <f t="shared" si="30"/>
        <v>-1.9763311954736662</v>
      </c>
    </row>
    <row r="321" spans="5:7" x14ac:dyDescent="0.25">
      <c r="E321" s="11">
        <f t="shared" si="28"/>
        <v>-21</v>
      </c>
      <c r="F321" s="11">
        <f t="shared" si="29"/>
        <v>-1.8784245730789721</v>
      </c>
      <c r="G321" s="11">
        <f t="shared" si="30"/>
        <v>-1.8915858167305282</v>
      </c>
    </row>
    <row r="322" spans="5:7" x14ac:dyDescent="0.25">
      <c r="E322" s="11">
        <f t="shared" si="28"/>
        <v>-20</v>
      </c>
      <c r="F322" s="11">
        <f t="shared" si="29"/>
        <v>-1.793887257379277</v>
      </c>
      <c r="G322" s="11">
        <f t="shared" si="30"/>
        <v>-1.8064182071692381</v>
      </c>
    </row>
    <row r="323" spans="5:7" x14ac:dyDescent="0.25">
      <c r="E323" s="11">
        <f t="shared" si="28"/>
        <v>-19</v>
      </c>
      <c r="F323" s="11">
        <f t="shared" si="29"/>
        <v>-1.709005954794141</v>
      </c>
      <c r="G323" s="11">
        <f t="shared" si="30"/>
        <v>-1.7208190177351648</v>
      </c>
    </row>
    <row r="324" spans="5:7" x14ac:dyDescent="0.25">
      <c r="E324" s="11">
        <f t="shared" si="28"/>
        <v>-18</v>
      </c>
      <c r="F324" s="11">
        <f t="shared" si="29"/>
        <v>-1.6237517982873453</v>
      </c>
      <c r="G324" s="11">
        <f t="shared" si="30"/>
        <v>-1.6347788993736774</v>
      </c>
    </row>
    <row r="325" spans="5:7" x14ac:dyDescent="0.25">
      <c r="E325" s="11">
        <f t="shared" si="28"/>
        <v>-17</v>
      </c>
      <c r="F325" s="11">
        <f t="shared" si="29"/>
        <v>-1.538097115359252</v>
      </c>
      <c r="G325" s="11">
        <f t="shared" si="30"/>
        <v>-1.5482885030301452</v>
      </c>
    </row>
    <row r="326" spans="5:7" x14ac:dyDescent="0.25">
      <c r="E326" s="11">
        <f t="shared" si="28"/>
        <v>-16</v>
      </c>
      <c r="F326" s="11">
        <f t="shared" si="29"/>
        <v>-1.4520154585228593</v>
      </c>
      <c r="G326" s="11">
        <f t="shared" si="30"/>
        <v>-1.4613384796499373</v>
      </c>
    </row>
    <row r="327" spans="5:7" x14ac:dyDescent="0.25">
      <c r="E327" s="11">
        <f t="shared" si="28"/>
        <v>-15</v>
      </c>
      <c r="F327" s="11">
        <f t="shared" si="29"/>
        <v>-1.3654816305467312</v>
      </c>
      <c r="G327" s="11">
        <f t="shared" si="30"/>
        <v>-1.3739194801784231</v>
      </c>
    </row>
    <row r="328" spans="5:7" x14ac:dyDescent="0.25">
      <c r="E328" s="11">
        <f t="shared" si="28"/>
        <v>-14</v>
      </c>
      <c r="F328" s="11">
        <f t="shared" si="29"/>
        <v>-1.2784717044778335</v>
      </c>
      <c r="G328" s="11">
        <f t="shared" si="30"/>
        <v>-1.2860221555609717</v>
      </c>
    </row>
    <row r="329" spans="5:7" x14ac:dyDescent="0.25">
      <c r="E329" s="11">
        <f t="shared" si="28"/>
        <v>-13</v>
      </c>
      <c r="F329" s="11">
        <f t="shared" si="29"/>
        <v>-1.1909630384693779</v>
      </c>
      <c r="G329" s="11">
        <f t="shared" si="30"/>
        <v>-1.1976371567429522</v>
      </c>
    </row>
    <row r="330" spans="5:7" x14ac:dyDescent="0.25">
      <c r="E330" s="11">
        <f t="shared" si="28"/>
        <v>-12</v>
      </c>
      <c r="F330" s="11">
        <f t="shared" si="29"/>
        <v>-1.1029342854508593</v>
      </c>
      <c r="G330" s="11">
        <f t="shared" si="30"/>
        <v>-1.108755134669734</v>
      </c>
    </row>
    <row r="331" spans="5:7" x14ac:dyDescent="0.25">
      <c r="E331" s="11">
        <f t="shared" si="28"/>
        <v>-11</v>
      </c>
      <c r="F331" s="11">
        <f t="shared" si="29"/>
        <v>-1.0143653976895357</v>
      </c>
      <c r="G331" s="11">
        <f t="shared" si="30"/>
        <v>-1.0193667402866864</v>
      </c>
    </row>
    <row r="332" spans="5:7" x14ac:dyDescent="0.25">
      <c r="E332" s="11">
        <f t="shared" si="28"/>
        <v>-10</v>
      </c>
      <c r="F332" s="11">
        <f t="shared" si="29"/>
        <v>-0.9252376263046842</v>
      </c>
      <c r="G332" s="11">
        <f t="shared" si="30"/>
        <v>-0.92946262453917827</v>
      </c>
    </row>
    <row r="333" spans="5:7" x14ac:dyDescent="0.25">
      <c r="E333" s="11">
        <f t="shared" si="28"/>
        <v>-9</v>
      </c>
      <c r="F333" s="11">
        <f t="shared" si="29"/>
        <v>-0.83553351580804713</v>
      </c>
      <c r="G333" s="11">
        <f t="shared" si="30"/>
        <v>-0.83903343837257893</v>
      </c>
    </row>
    <row r="334" spans="5:7" x14ac:dyDescent="0.25">
      <c r="E334" s="11">
        <f t="shared" si="28"/>
        <v>-8</v>
      </c>
      <c r="F334" s="11">
        <f t="shared" si="29"/>
        <v>-0.74523689375594593</v>
      </c>
      <c r="G334" s="11">
        <f t="shared" si="30"/>
        <v>-0.74806983273225747</v>
      </c>
    </row>
    <row r="335" spans="5:7" x14ac:dyDescent="0.25">
      <c r="E335" s="11">
        <f t="shared" si="28"/>
        <v>-7</v>
      </c>
      <c r="F335" s="11">
        <f t="shared" si="29"/>
        <v>-0.65433285561062227</v>
      </c>
      <c r="G335" s="11">
        <f t="shared" si="30"/>
        <v>-0.65656245856358342</v>
      </c>
    </row>
    <row r="336" spans="5:7" x14ac:dyDescent="0.25">
      <c r="E336" s="11">
        <f t="shared" si="28"/>
        <v>-6</v>
      </c>
      <c r="F336" s="11">
        <f t="shared" si="29"/>
        <v>-0.56280774492044761</v>
      </c>
      <c r="G336" s="11">
        <f t="shared" si="30"/>
        <v>-0.56450196681192566</v>
      </c>
    </row>
    <row r="337" spans="5:7" x14ac:dyDescent="0.25">
      <c r="E337" s="11">
        <f t="shared" si="28"/>
        <v>-5</v>
      </c>
      <c r="F337" s="11">
        <f t="shared" si="29"/>
        <v>-0.4706491289407071</v>
      </c>
      <c r="G337" s="11">
        <f t="shared" si="30"/>
        <v>-0.47187900842265373</v>
      </c>
    </row>
    <row r="338" spans="5:7" x14ac:dyDescent="0.25">
      <c r="E338" s="11">
        <f t="shared" si="28"/>
        <v>-4</v>
      </c>
      <c r="F338" s="11">
        <f t="shared" si="29"/>
        <v>-0.37784576982875023</v>
      </c>
      <c r="G338" s="11">
        <f t="shared" si="30"/>
        <v>-0.37868423434113646</v>
      </c>
    </row>
    <row r="339" spans="5:7" x14ac:dyDescent="0.25">
      <c r="E339" s="11">
        <f t="shared" si="28"/>
        <v>-3</v>
      </c>
      <c r="F339" s="11">
        <f t="shared" si="29"/>
        <v>-0.28438759155936699</v>
      </c>
      <c r="G339" s="11">
        <f t="shared" si="30"/>
        <v>-0.28490829551274333</v>
      </c>
    </row>
    <row r="340" spans="5:7" x14ac:dyDescent="0.25">
      <c r="E340" s="11">
        <f t="shared" si="28"/>
        <v>-2</v>
      </c>
      <c r="F340" s="11">
        <f t="shared" si="29"/>
        <v>-0.19026564271833413</v>
      </c>
      <c r="G340" s="11">
        <f t="shared" si="30"/>
        <v>-0.19054184288284337</v>
      </c>
    </row>
    <row r="341" spans="5:7" x14ac:dyDescent="0.25">
      <c r="E341" s="11">
        <f t="shared" si="28"/>
        <v>-1</v>
      </c>
      <c r="F341" s="11">
        <f t="shared" si="29"/>
        <v>-9.5472055344142534E-2</v>
      </c>
      <c r="G341" s="11">
        <f t="shared" si="30"/>
        <v>-9.5575527396805873E-2</v>
      </c>
    </row>
    <row r="342" spans="5:7" x14ac:dyDescent="0.25">
      <c r="E342" s="11">
        <f t="shared" si="28"/>
        <v>0</v>
      </c>
      <c r="F342" s="11">
        <f t="shared" si="29"/>
        <v>0</v>
      </c>
      <c r="G342" s="11">
        <f t="shared" si="30"/>
        <v>-1.3877787807814457E-17</v>
      </c>
    </row>
    <row r="343" spans="5:7" x14ac:dyDescent="0.25">
      <c r="E343" s="11">
        <f t="shared" si="28"/>
        <v>1</v>
      </c>
      <c r="F343" s="11">
        <f t="shared" si="29"/>
        <v>9.6156362729724623E-2</v>
      </c>
      <c r="G343" s="11">
        <f t="shared" si="30"/>
        <v>9.6193456394475241E-2</v>
      </c>
    </row>
    <row r="344" spans="5:7" x14ac:dyDescent="0.25">
      <c r="E344" s="11">
        <f t="shared" si="28"/>
        <v>2</v>
      </c>
      <c r="F344" s="11">
        <f t="shared" si="29"/>
        <v>0.19300193411237243</v>
      </c>
      <c r="G344" s="11">
        <f t="shared" si="30"/>
        <v>0.1930110310026015</v>
      </c>
    </row>
    <row r="345" spans="5:7" x14ac:dyDescent="0.25">
      <c r="E345" s="11">
        <f t="shared" si="28"/>
        <v>3</v>
      </c>
      <c r="F345" s="11">
        <f t="shared" si="29"/>
        <v>0.29054073229086119</v>
      </c>
      <c r="G345" s="11">
        <f t="shared" si="30"/>
        <v>0.29045828107263083</v>
      </c>
    </row>
    <row r="346" spans="5:7" x14ac:dyDescent="0.25">
      <c r="E346" s="11">
        <f t="shared" si="28"/>
        <v>4</v>
      </c>
      <c r="F346" s="11">
        <f t="shared" si="29"/>
        <v>0.38877595022815298</v>
      </c>
      <c r="G346" s="11">
        <f t="shared" si="30"/>
        <v>0.388540763852815</v>
      </c>
    </row>
    <row r="347" spans="5:7" x14ac:dyDescent="0.25">
      <c r="E347" s="11">
        <f t="shared" si="28"/>
        <v>5</v>
      </c>
      <c r="F347" s="11">
        <f t="shared" si="29"/>
        <v>0.487710016329852</v>
      </c>
      <c r="G347" s="11">
        <f t="shared" si="30"/>
        <v>0.4872640365914061</v>
      </c>
    </row>
    <row r="348" spans="5:7" x14ac:dyDescent="0.25">
      <c r="E348" s="11">
        <f t="shared" si="28"/>
        <v>6</v>
      </c>
      <c r="F348" s="11">
        <f t="shared" si="29"/>
        <v>0.58734465749038378</v>
      </c>
      <c r="G348" s="11">
        <f t="shared" si="30"/>
        <v>0.586633656536656</v>
      </c>
    </row>
    <row r="349" spans="5:7" x14ac:dyDescent="0.25">
      <c r="E349" s="11">
        <f t="shared" si="28"/>
        <v>7</v>
      </c>
      <c r="F349" s="11">
        <f t="shared" si="29"/>
        <v>0.68768096429613679</v>
      </c>
      <c r="G349" s="11">
        <f t="shared" si="30"/>
        <v>0.68665518093681654</v>
      </c>
    </row>
    <row r="350" spans="5:7" x14ac:dyDescent="0.25">
      <c r="E350" s="11">
        <f t="shared" si="28"/>
        <v>8</v>
      </c>
      <c r="F350" s="11">
        <f t="shared" si="29"/>
        <v>0.7887194581068615</v>
      </c>
      <c r="G350" s="11">
        <f t="shared" si="30"/>
        <v>0.7873341670401397</v>
      </c>
    </row>
    <row r="351" spans="5:7" x14ac:dyDescent="0.25">
      <c r="E351" s="11">
        <f t="shared" ref="E351:E414" si="31">E144</f>
        <v>9</v>
      </c>
      <c r="F351" s="11">
        <f t="shared" ref="F351:F414" si="32">$H$217*0+E351*$I$217+E351^2*$J$217+E351^3*$K$217+E351^4*$L$217+E351^5*$M$217+E351^6*$N$217+E351^7*$O$217+E351^8*$P$217</f>
        <v>0.89046015972455972</v>
      </c>
      <c r="G351" s="11">
        <f t="shared" ref="G351:G414" si="33">F144</f>
        <v>0.88867617209487759</v>
      </c>
    </row>
    <row r="352" spans="5:7" x14ac:dyDescent="0.25">
      <c r="E352" s="11">
        <f t="shared" si="31"/>
        <v>10</v>
      </c>
      <c r="F352" s="11">
        <f t="shared" si="32"/>
        <v>0.99290265934700717</v>
      </c>
      <c r="G352" s="11">
        <f t="shared" si="33"/>
        <v>0.9906867533492818</v>
      </c>
    </row>
    <row r="353" spans="5:7" x14ac:dyDescent="0.25">
      <c r="E353" s="11">
        <f t="shared" si="31"/>
        <v>11</v>
      </c>
      <c r="F353" s="11">
        <f t="shared" si="32"/>
        <v>1.0960461874909835</v>
      </c>
      <c r="G353" s="11">
        <f t="shared" si="33"/>
        <v>1.0933714680516047</v>
      </c>
    </row>
    <row r="354" spans="5:7" x14ac:dyDescent="0.25">
      <c r="E354" s="11">
        <f t="shared" si="31"/>
        <v>12</v>
      </c>
      <c r="F354" s="11">
        <f t="shared" si="32"/>
        <v>1.1998896865582132</v>
      </c>
      <c r="G354" s="11">
        <f t="shared" si="33"/>
        <v>1.1967358734500975</v>
      </c>
    </row>
    <row r="355" spans="5:7" x14ac:dyDescent="0.25">
      <c r="E355" s="11">
        <f t="shared" si="31"/>
        <v>13</v>
      </c>
      <c r="F355" s="11">
        <f t="shared" si="32"/>
        <v>1.3044318827049297</v>
      </c>
      <c r="G355" s="11">
        <f t="shared" si="33"/>
        <v>1.3007855267930128</v>
      </c>
    </row>
    <row r="356" spans="5:7" x14ac:dyDescent="0.25">
      <c r="E356" s="11">
        <f t="shared" si="31"/>
        <v>14</v>
      </c>
      <c r="F356" s="11">
        <f t="shared" si="32"/>
        <v>1.4096713576639153</v>
      </c>
      <c r="G356" s="11">
        <f t="shared" si="33"/>
        <v>1.4055259853286024</v>
      </c>
    </row>
    <row r="357" spans="5:7" x14ac:dyDescent="0.25">
      <c r="E357" s="11">
        <f t="shared" si="31"/>
        <v>15</v>
      </c>
      <c r="F357" s="11">
        <f t="shared" si="32"/>
        <v>1.5156066201557836</v>
      </c>
      <c r="G357" s="11">
        <f t="shared" si="33"/>
        <v>1.5109628063051181</v>
      </c>
    </row>
    <row r="358" spans="5:7" x14ac:dyDescent="0.25">
      <c r="E358" s="11">
        <f t="shared" si="31"/>
        <v>16</v>
      </c>
      <c r="F358" s="11">
        <f t="shared" si="32"/>
        <v>1.6222361765141999</v>
      </c>
      <c r="G358" s="11">
        <f t="shared" si="33"/>
        <v>1.6171015469708117</v>
      </c>
    </row>
    <row r="359" spans="5:7" x14ac:dyDescent="0.25">
      <c r="E359" s="11">
        <f t="shared" si="31"/>
        <v>17</v>
      </c>
      <c r="F359" s="11">
        <f t="shared" si="32"/>
        <v>1.7295586001376511</v>
      </c>
      <c r="G359" s="11">
        <f t="shared" si="33"/>
        <v>1.7239477645739354</v>
      </c>
    </row>
    <row r="360" spans="5:7" x14ac:dyDescent="0.25">
      <c r="E360" s="11">
        <f t="shared" si="31"/>
        <v>18</v>
      </c>
      <c r="F360" s="11">
        <f t="shared" si="32"/>
        <v>1.8375725993683198</v>
      </c>
      <c r="G360" s="11">
        <f t="shared" si="33"/>
        <v>1.8315070163627409</v>
      </c>
    </row>
    <row r="361" spans="5:7" x14ac:dyDescent="0.25">
      <c r="E361" s="11">
        <f t="shared" si="31"/>
        <v>19</v>
      </c>
      <c r="F361" s="11">
        <f t="shared" si="32"/>
        <v>1.9462770833865131</v>
      </c>
      <c r="G361" s="11">
        <f t="shared" si="33"/>
        <v>1.9397848595854805</v>
      </c>
    </row>
    <row r="362" spans="5:7" x14ac:dyDescent="0.25">
      <c r="E362" s="11">
        <f t="shared" si="31"/>
        <v>20</v>
      </c>
      <c r="F362" s="11">
        <f t="shared" si="32"/>
        <v>2.055671225697048</v>
      </c>
      <c r="G362" s="11">
        <f t="shared" si="33"/>
        <v>2.0487868514904055</v>
      </c>
    </row>
    <row r="363" spans="5:7" x14ac:dyDescent="0.25">
      <c r="E363" s="11">
        <f t="shared" si="31"/>
        <v>21</v>
      </c>
      <c r="F363" s="11">
        <f t="shared" si="32"/>
        <v>2.1657545247719003</v>
      </c>
      <c r="G363" s="11">
        <f t="shared" si="33"/>
        <v>2.1585185493257684</v>
      </c>
    </row>
    <row r="364" spans="5:7" x14ac:dyDescent="0.25">
      <c r="E364" s="11">
        <f t="shared" si="31"/>
        <v>22</v>
      </c>
      <c r="F364" s="11">
        <f t="shared" si="32"/>
        <v>2.2765268614013645</v>
      </c>
      <c r="G364" s="11">
        <f t="shared" si="33"/>
        <v>2.2689855103398213</v>
      </c>
    </row>
    <row r="365" spans="5:7" x14ac:dyDescent="0.25">
      <c r="E365" s="11">
        <f t="shared" si="31"/>
        <v>23</v>
      </c>
      <c r="F365" s="11">
        <f t="shared" si="32"/>
        <v>2.3879885522938595</v>
      </c>
      <c r="G365" s="11">
        <f t="shared" si="33"/>
        <v>2.3801932917808148</v>
      </c>
    </row>
    <row r="366" spans="5:7" x14ac:dyDescent="0.25">
      <c r="E366" s="11">
        <f t="shared" si="31"/>
        <v>24</v>
      </c>
      <c r="F366" s="11">
        <f t="shared" si="32"/>
        <v>2.5001403994525244</v>
      </c>
      <c r="G366" s="11">
        <f t="shared" si="33"/>
        <v>2.4921474508970025</v>
      </c>
    </row>
    <row r="367" spans="5:7" x14ac:dyDescent="0.25">
      <c r="E367" s="11">
        <f t="shared" si="31"/>
        <v>25</v>
      </c>
      <c r="F367" s="11">
        <f t="shared" si="32"/>
        <v>2.6129837348445331</v>
      </c>
      <c r="G367" s="11">
        <f t="shared" si="33"/>
        <v>2.6048535449366352</v>
      </c>
    </row>
    <row r="368" spans="5:7" x14ac:dyDescent="0.25">
      <c r="E368" s="11">
        <f t="shared" si="31"/>
        <v>26</v>
      </c>
      <c r="F368" s="11">
        <f t="shared" si="32"/>
        <v>2.7265204598671406</v>
      </c>
      <c r="G368" s="11">
        <f t="shared" si="33"/>
        <v>2.7183171311479652</v>
      </c>
    </row>
    <row r="369" spans="5:7" x14ac:dyDescent="0.25">
      <c r="E369" s="11">
        <f t="shared" si="31"/>
        <v>27</v>
      </c>
      <c r="F369" s="11">
        <f t="shared" si="32"/>
        <v>2.8407530791022664</v>
      </c>
      <c r="G369" s="11">
        <f t="shared" si="33"/>
        <v>2.8325437667792448</v>
      </c>
    </row>
    <row r="370" spans="5:7" x14ac:dyDescent="0.25">
      <c r="E370" s="11">
        <f t="shared" si="31"/>
        <v>28</v>
      </c>
      <c r="F370" s="11">
        <f t="shared" si="32"/>
        <v>2.9556847278394227</v>
      </c>
      <c r="G370" s="11">
        <f t="shared" si="33"/>
        <v>2.9475390090787252</v>
      </c>
    </row>
    <row r="371" spans="5:7" x14ac:dyDescent="0.25">
      <c r="E371" s="11">
        <f t="shared" si="31"/>
        <v>29</v>
      </c>
      <c r="F371" s="11">
        <f t="shared" si="32"/>
        <v>3.0713191928346864</v>
      </c>
      <c r="G371" s="11">
        <f t="shared" si="33"/>
        <v>3.0633084152946592</v>
      </c>
    </row>
    <row r="372" spans="5:7" x14ac:dyDescent="0.25">
      <c r="E372" s="11">
        <f t="shared" si="31"/>
        <v>30</v>
      </c>
      <c r="F372" s="11">
        <f t="shared" si="32"/>
        <v>3.1876609257613455</v>
      </c>
      <c r="G372" s="11">
        <f t="shared" si="33"/>
        <v>3.1798575426752982</v>
      </c>
    </row>
    <row r="373" spans="5:7" x14ac:dyDescent="0.25">
      <c r="E373" s="11">
        <f t="shared" si="31"/>
        <v>31</v>
      </c>
      <c r="F373" s="11">
        <f t="shared" si="32"/>
        <v>3.3047150487957744</v>
      </c>
      <c r="G373" s="11">
        <f t="shared" si="33"/>
        <v>3.2971919484688939</v>
      </c>
    </row>
    <row r="374" spans="5:7" x14ac:dyDescent="0.25">
      <c r="E374" s="11">
        <f t="shared" si="31"/>
        <v>32</v>
      </c>
      <c r="F374" s="11">
        <f t="shared" si="32"/>
        <v>3.4224873517700209</v>
      </c>
      <c r="G374" s="11">
        <f t="shared" si="33"/>
        <v>3.415317189923698</v>
      </c>
    </row>
    <row r="375" spans="5:7" x14ac:dyDescent="0.25">
      <c r="E375" s="11">
        <f t="shared" si="31"/>
        <v>33</v>
      </c>
      <c r="F375" s="11">
        <f t="shared" si="32"/>
        <v>3.5409842803105001</v>
      </c>
      <c r="G375" s="11">
        <f t="shared" si="33"/>
        <v>3.5342388242879634</v>
      </c>
    </row>
    <row r="376" spans="5:7" x14ac:dyDescent="0.25">
      <c r="E376" s="11">
        <f t="shared" si="31"/>
        <v>34</v>
      </c>
      <c r="F376" s="11">
        <f t="shared" si="32"/>
        <v>3.6602129143701374</v>
      </c>
      <c r="G376" s="11">
        <f t="shared" si="33"/>
        <v>3.6539624088099414</v>
      </c>
    </row>
    <row r="377" spans="5:7" x14ac:dyDescent="0.25">
      <c r="E377" s="11">
        <f t="shared" si="31"/>
        <v>35</v>
      </c>
      <c r="F377" s="11">
        <f t="shared" si="32"/>
        <v>3.7801809365491792</v>
      </c>
      <c r="G377" s="11">
        <f t="shared" si="33"/>
        <v>3.7744935007378841</v>
      </c>
    </row>
    <row r="378" spans="5:7" x14ac:dyDescent="0.25">
      <c r="E378" s="11">
        <f t="shared" si="31"/>
        <v>36</v>
      </c>
      <c r="F378" s="11">
        <f t="shared" si="32"/>
        <v>3.9008965895878931</v>
      </c>
      <c r="G378" s="11">
        <f t="shared" si="33"/>
        <v>3.8958376573200435</v>
      </c>
    </row>
    <row r="379" spans="5:7" x14ac:dyDescent="0.25">
      <c r="E379" s="11">
        <f t="shared" si="31"/>
        <v>37</v>
      </c>
      <c r="F379" s="11">
        <f t="shared" si="32"/>
        <v>4.0223686224022153</v>
      </c>
      <c r="G379" s="11">
        <f t="shared" si="33"/>
        <v>4.0180004358046713</v>
      </c>
    </row>
    <row r="380" spans="5:7" x14ac:dyDescent="0.25">
      <c r="E380" s="11">
        <f t="shared" si="31"/>
        <v>38</v>
      </c>
      <c r="F380" s="11">
        <f t="shared" si="32"/>
        <v>4.1446062240213912</v>
      </c>
      <c r="G380" s="11">
        <f t="shared" si="33"/>
        <v>4.1409873934400201</v>
      </c>
    </row>
    <row r="381" spans="5:7" x14ac:dyDescent="0.25">
      <c r="E381" s="11">
        <f t="shared" si="31"/>
        <v>39</v>
      </c>
      <c r="F381" s="11">
        <f t="shared" si="32"/>
        <v>4.2676189447745436</v>
      </c>
      <c r="G381" s="11">
        <f t="shared" si="33"/>
        <v>4.2648040874743396</v>
      </c>
    </row>
    <row r="382" spans="5:7" x14ac:dyDescent="0.25">
      <c r="E382" s="11">
        <f t="shared" si="31"/>
        <v>40</v>
      </c>
      <c r="F382" s="11">
        <f t="shared" si="32"/>
        <v>4.3914166040610523</v>
      </c>
      <c r="G382" s="11">
        <f t="shared" si="33"/>
        <v>4.3894560751558851</v>
      </c>
    </row>
    <row r="383" spans="5:7" x14ac:dyDescent="0.25">
      <c r="E383" s="11">
        <f t="shared" si="31"/>
        <v>41</v>
      </c>
      <c r="F383" s="11">
        <f t="shared" si="32"/>
        <v>4.5160091840275314</v>
      </c>
      <c r="G383" s="11">
        <f t="shared" si="33"/>
        <v>4.5149489137329066</v>
      </c>
    </row>
    <row r="384" spans="5:7" x14ac:dyDescent="0.25">
      <c r="E384" s="11">
        <f t="shared" si="31"/>
        <v>42</v>
      </c>
      <c r="F384" s="11">
        <f t="shared" si="32"/>
        <v>4.6414067084621236</v>
      </c>
      <c r="G384" s="11">
        <f t="shared" si="33"/>
        <v>4.6412881604536551</v>
      </c>
    </row>
    <row r="385" spans="5:7" x14ac:dyDescent="0.25">
      <c r="E385" s="11">
        <f t="shared" si="31"/>
        <v>43</v>
      </c>
      <c r="F385" s="11">
        <f t="shared" si="32"/>
        <v>4.7676191062047666</v>
      </c>
      <c r="G385" s="11">
        <f t="shared" si="33"/>
        <v>4.768479372566385</v>
      </c>
    </row>
    <row r="386" spans="5:7" x14ac:dyDescent="0.25">
      <c r="E386" s="11">
        <f t="shared" si="31"/>
        <v>44</v>
      </c>
      <c r="F386" s="11">
        <f t="shared" si="32"/>
        <v>4.8946560583599794</v>
      </c>
      <c r="G386" s="11">
        <f t="shared" si="33"/>
        <v>4.8965281073193463</v>
      </c>
    </row>
    <row r="387" spans="5:7" x14ac:dyDescent="0.25">
      <c r="E387" s="11">
        <f t="shared" si="31"/>
        <v>45</v>
      </c>
      <c r="F387" s="11">
        <f t="shared" si="32"/>
        <v>5.0225268285866722</v>
      </c>
      <c r="G387" s="11">
        <f t="shared" si="33"/>
        <v>5.0254399219607917</v>
      </c>
    </row>
    <row r="388" spans="5:7" x14ac:dyDescent="0.25">
      <c r="E388" s="11">
        <f t="shared" si="31"/>
        <v>46</v>
      </c>
      <c r="F388" s="11">
        <f t="shared" si="32"/>
        <v>5.1512400757274088</v>
      </c>
      <c r="G388" s="11">
        <f t="shared" si="33"/>
        <v>5.1552153111636132</v>
      </c>
    </row>
    <row r="389" spans="5:7" x14ac:dyDescent="0.25">
      <c r="E389" s="11">
        <f t="shared" si="31"/>
        <v>47</v>
      </c>
      <c r="F389" s="11">
        <f t="shared" si="32"/>
        <v>5.280803648027419</v>
      </c>
      <c r="G389" s="11">
        <f t="shared" si="33"/>
        <v>5.2858345192992644</v>
      </c>
    </row>
    <row r="390" spans="5:7" x14ac:dyDescent="0.25">
      <c r="E390" s="11">
        <f t="shared" si="31"/>
        <v>48</v>
      </c>
      <c r="F390" s="11">
        <f t="shared" si="32"/>
        <v>5.4112243581816877</v>
      </c>
      <c r="G390" s="11">
        <f t="shared" si="33"/>
        <v>5.4172727281638364</v>
      </c>
    </row>
    <row r="391" spans="5:7" x14ac:dyDescent="0.25">
      <c r="E391" s="11">
        <f t="shared" si="31"/>
        <v>49</v>
      </c>
      <c r="F391" s="11">
        <f t="shared" si="32"/>
        <v>5.5425077384362389</v>
      </c>
      <c r="G391" s="11">
        <f t="shared" si="33"/>
        <v>5.5495051195534248</v>
      </c>
    </row>
    <row r="392" spans="5:7" x14ac:dyDescent="0.25">
      <c r="E392" s="11">
        <f t="shared" si="31"/>
        <v>50</v>
      </c>
      <c r="F392" s="11">
        <f t="shared" si="32"/>
        <v>5.674657774957784</v>
      </c>
      <c r="G392" s="11">
        <f t="shared" si="33"/>
        <v>5.6825068752641226</v>
      </c>
    </row>
    <row r="393" spans="5:7" x14ac:dyDescent="0.25">
      <c r="E393" s="11">
        <f t="shared" si="31"/>
        <v>51</v>
      </c>
      <c r="F393" s="11">
        <f t="shared" si="32"/>
        <v>5.807676620673738</v>
      </c>
      <c r="G393" s="11">
        <f t="shared" si="33"/>
        <v>5.8162531770920216</v>
      </c>
    </row>
    <row r="394" spans="5:7" x14ac:dyDescent="0.25">
      <c r="E394" s="11">
        <f t="shared" si="31"/>
        <v>52</v>
      </c>
      <c r="F394" s="11">
        <f t="shared" si="32"/>
        <v>5.9415642857725821</v>
      </c>
      <c r="G394" s="11">
        <f t="shared" si="33"/>
        <v>5.9507192068332166</v>
      </c>
    </row>
    <row r="395" spans="5:7" x14ac:dyDescent="0.25">
      <c r="E395" s="11">
        <f t="shared" si="31"/>
        <v>53</v>
      </c>
      <c r="F395" s="11">
        <f t="shared" si="32"/>
        <v>6.0763183050424274</v>
      </c>
      <c r="G395" s="11">
        <f t="shared" si="33"/>
        <v>6.0858801462838006</v>
      </c>
    </row>
    <row r="396" spans="5:7" x14ac:dyDescent="0.25">
      <c r="E396" s="11">
        <f t="shared" si="31"/>
        <v>54</v>
      </c>
      <c r="F396" s="11">
        <f t="shared" si="32"/>
        <v>6.2119333812136333</v>
      </c>
      <c r="G396" s="11">
        <f t="shared" si="33"/>
        <v>6.2217111772398663</v>
      </c>
    </row>
    <row r="397" spans="5:7" x14ac:dyDescent="0.25">
      <c r="E397" s="11">
        <f t="shared" si="31"/>
        <v>55</v>
      </c>
      <c r="F397" s="11">
        <f t="shared" si="32"/>
        <v>6.3484010034591707</v>
      </c>
      <c r="G397" s="11">
        <f t="shared" si="33"/>
        <v>6.3581874814975068</v>
      </c>
    </row>
    <row r="398" spans="5:7" x14ac:dyDescent="0.25">
      <c r="E398" s="11">
        <f t="shared" si="31"/>
        <v>56</v>
      </c>
      <c r="F398" s="11">
        <f t="shared" si="32"/>
        <v>6.4857090401944149</v>
      </c>
      <c r="G398" s="11">
        <f t="shared" si="33"/>
        <v>6.4952842408528157</v>
      </c>
    </row>
    <row r="399" spans="5:7" x14ac:dyDescent="0.25">
      <c r="E399" s="11">
        <f t="shared" si="31"/>
        <v>57</v>
      </c>
      <c r="F399" s="11">
        <f t="shared" si="32"/>
        <v>6.6238413053059144</v>
      </c>
      <c r="G399" s="11">
        <f t="shared" si="33"/>
        <v>6.632976637101887</v>
      </c>
    </row>
    <row r="400" spans="5:7" x14ac:dyDescent="0.25">
      <c r="E400" s="11">
        <f t="shared" si="31"/>
        <v>58</v>
      </c>
      <c r="F400" s="11">
        <f t="shared" si="32"/>
        <v>6.7627770969267091</v>
      </c>
      <c r="G400" s="11">
        <f t="shared" si="33"/>
        <v>6.7712398520408126</v>
      </c>
    </row>
    <row r="401" spans="5:7" x14ac:dyDescent="0.25">
      <c r="E401" s="11">
        <f t="shared" si="31"/>
        <v>59</v>
      </c>
      <c r="F401" s="11">
        <f t="shared" si="32"/>
        <v>6.90249070786352</v>
      </c>
      <c r="G401" s="11">
        <f t="shared" si="33"/>
        <v>6.9100490674656863</v>
      </c>
    </row>
    <row r="402" spans="5:7" x14ac:dyDescent="0.25">
      <c r="E402" s="11">
        <f t="shared" si="31"/>
        <v>60</v>
      </c>
      <c r="F402" s="11">
        <f t="shared" si="32"/>
        <v>7.0429509067692759</v>
      </c>
      <c r="G402" s="11">
        <f t="shared" si="33"/>
        <v>7.0493794651726027</v>
      </c>
    </row>
    <row r="403" spans="5:7" x14ac:dyDescent="0.25">
      <c r="E403" s="11">
        <f t="shared" si="31"/>
        <v>61</v>
      </c>
      <c r="F403" s="11">
        <f t="shared" si="32"/>
        <v>7.1841203891421666</v>
      </c>
      <c r="G403" s="11">
        <f t="shared" si="33"/>
        <v>7.1892062269576531</v>
      </c>
    </row>
    <row r="404" spans="5:7" x14ac:dyDescent="0.25">
      <c r="E404" s="11">
        <f t="shared" si="31"/>
        <v>62</v>
      </c>
      <c r="F404" s="11">
        <f t="shared" si="32"/>
        <v>7.3259551972204759</v>
      </c>
      <c r="G404" s="11">
        <f t="shared" si="33"/>
        <v>7.3295045346169312</v>
      </c>
    </row>
    <row r="405" spans="5:7" x14ac:dyDescent="0.25">
      <c r="E405" s="11">
        <f t="shared" si="31"/>
        <v>63</v>
      </c>
      <c r="F405" s="11">
        <f t="shared" si="32"/>
        <v>7.4684041078302874</v>
      </c>
      <c r="G405" s="11">
        <f t="shared" si="33"/>
        <v>7.4702495699465317</v>
      </c>
    </row>
    <row r="406" spans="5:7" x14ac:dyDescent="0.25">
      <c r="E406" s="11">
        <f t="shared" si="31"/>
        <v>64</v>
      </c>
      <c r="F406" s="11">
        <f t="shared" si="32"/>
        <v>7.6114079872311473</v>
      </c>
      <c r="G406" s="11">
        <f t="shared" si="33"/>
        <v>7.6114165147425457</v>
      </c>
    </row>
    <row r="407" spans="5:7" x14ac:dyDescent="0.25">
      <c r="E407" s="11">
        <f t="shared" si="31"/>
        <v>65</v>
      </c>
      <c r="F407" s="11">
        <f t="shared" si="32"/>
        <v>7.7548991119926098</v>
      </c>
      <c r="G407" s="11">
        <f t="shared" si="33"/>
        <v>7.7529805508010678</v>
      </c>
    </row>
    <row r="408" spans="5:7" x14ac:dyDescent="0.25">
      <c r="E408" s="11">
        <f t="shared" si="31"/>
        <v>66</v>
      </c>
      <c r="F408" s="11">
        <f t="shared" si="32"/>
        <v>7.8988004549226032</v>
      </c>
      <c r="G408" s="11">
        <f t="shared" si="33"/>
        <v>7.8949168599181911</v>
      </c>
    </row>
    <row r="409" spans="5:7" x14ac:dyDescent="0.25">
      <c r="E409" s="11">
        <f t="shared" si="31"/>
        <v>67</v>
      </c>
      <c r="F409" s="11">
        <f t="shared" si="32"/>
        <v>8.0430249350564154</v>
      </c>
      <c r="G409" s="11">
        <f t="shared" si="33"/>
        <v>8.0372006238900084</v>
      </c>
    </row>
    <row r="410" spans="5:7" x14ac:dyDescent="0.25">
      <c r="E410" s="11">
        <f t="shared" si="31"/>
        <v>68</v>
      </c>
      <c r="F410" s="11">
        <f t="shared" si="32"/>
        <v>8.1874746307030559</v>
      </c>
      <c r="G410" s="11">
        <f t="shared" si="33"/>
        <v>8.1798070245126144</v>
      </c>
    </row>
    <row r="411" spans="5:7" x14ac:dyDescent="0.25">
      <c r="E411" s="11">
        <f t="shared" si="31"/>
        <v>69</v>
      </c>
      <c r="F411" s="11">
        <f t="shared" si="32"/>
        <v>8.3320399545336539</v>
      </c>
      <c r="G411" s="11">
        <f t="shared" si="33"/>
        <v>8.3227112435820985</v>
      </c>
    </row>
    <row r="412" spans="5:7" x14ac:dyDescent="0.25">
      <c r="E412" s="11">
        <f t="shared" si="31"/>
        <v>70</v>
      </c>
      <c r="F412" s="11">
        <f t="shared" si="32"/>
        <v>8.4765987896845072</v>
      </c>
      <c r="G412" s="11">
        <f t="shared" si="33"/>
        <v>8.4658884628945597</v>
      </c>
    </row>
    <row r="413" spans="5:7" x14ac:dyDescent="0.25">
      <c r="E413" s="11">
        <f t="shared" si="31"/>
        <v>71</v>
      </c>
      <c r="F413" s="11">
        <f t="shared" si="32"/>
        <v>8.6210155858352344</v>
      </c>
      <c r="G413" s="11">
        <f t="shared" si="33"/>
        <v>8.6093138642460865</v>
      </c>
    </row>
    <row r="414" spans="5:7" x14ac:dyDescent="0.25">
      <c r="E414" s="11">
        <f t="shared" si="31"/>
        <v>72</v>
      </c>
      <c r="F414" s="11">
        <f t="shared" si="32"/>
        <v>8.7651404142105847</v>
      </c>
      <c r="G414" s="11">
        <f t="shared" si="33"/>
        <v>8.7529626294327745</v>
      </c>
    </row>
    <row r="415" spans="5:7" x14ac:dyDescent="0.25">
      <c r="E415" s="11">
        <f t="shared" ref="E415:E422" si="34">E208</f>
        <v>73</v>
      </c>
      <c r="F415" s="11">
        <f t="shared" ref="F415:F422" si="35">$H$217*0+E415*$I$217+E415^2*$J$217+E415^3*$K$217+E415^4*$L$217+E415^5*$M$217+E415^6*$N$217+E415^7*$O$217+E415^8*$P$217</f>
        <v>8.9088079804421572</v>
      </c>
      <c r="G415" s="11">
        <f t="shared" ref="G415:G422" si="36">F208</f>
        <v>8.8968099402507175</v>
      </c>
    </row>
    <row r="416" spans="5:7" x14ac:dyDescent="0.25">
      <c r="E416" s="11">
        <f t="shared" si="34"/>
        <v>74</v>
      </c>
      <c r="F416" s="11">
        <f t="shared" si="35"/>
        <v>9.0518365942143877</v>
      </c>
      <c r="G416" s="11">
        <f t="shared" si="36"/>
        <v>9.0408309784960075</v>
      </c>
    </row>
    <row r="417" spans="5:7" x14ac:dyDescent="0.25">
      <c r="E417" s="11">
        <f t="shared" si="34"/>
        <v>75</v>
      </c>
      <c r="F417" s="11">
        <f t="shared" si="35"/>
        <v>9.1940270946069873</v>
      </c>
      <c r="G417" s="11">
        <f t="shared" si="36"/>
        <v>9.1850009259647365</v>
      </c>
    </row>
    <row r="418" spans="5:7" x14ac:dyDescent="0.25">
      <c r="E418" s="11">
        <f t="shared" si="34"/>
        <v>76</v>
      </c>
      <c r="F418" s="11">
        <f t="shared" si="35"/>
        <v>9.3351617300340006</v>
      </c>
      <c r="G418" s="11">
        <f t="shared" si="36"/>
        <v>9.3292949644529983</v>
      </c>
    </row>
    <row r="419" spans="5:7" x14ac:dyDescent="0.25">
      <c r="E419" s="11">
        <f t="shared" si="34"/>
        <v>77</v>
      </c>
      <c r="F419" s="11">
        <f t="shared" si="35"/>
        <v>9.4750029916674805</v>
      </c>
      <c r="G419" s="11">
        <f t="shared" si="36"/>
        <v>9.4736882757568903</v>
      </c>
    </row>
    <row r="420" spans="5:7" x14ac:dyDescent="0.25">
      <c r="E420" s="11">
        <f t="shared" si="34"/>
        <v>78</v>
      </c>
      <c r="F420" s="11">
        <f t="shared" si="35"/>
        <v>9.6132923992218746</v>
      </c>
      <c r="G420" s="11">
        <f t="shared" si="36"/>
        <v>9.6181560416725009</v>
      </c>
    </row>
    <row r="421" spans="5:7" x14ac:dyDescent="0.25">
      <c r="E421" s="11">
        <f t="shared" si="34"/>
        <v>79</v>
      </c>
      <c r="F421" s="11">
        <f t="shared" si="35"/>
        <v>9.7497492379628916</v>
      </c>
      <c r="G421" s="11">
        <f t="shared" si="36"/>
        <v>9.762673443995924</v>
      </c>
    </row>
    <row r="422" spans="5:7" x14ac:dyDescent="0.25">
      <c r="E422" s="11">
        <f t="shared" si="34"/>
        <v>80</v>
      </c>
      <c r="F422" s="11">
        <f t="shared" si="35"/>
        <v>9.884069245792821</v>
      </c>
      <c r="G422" s="11">
        <f t="shared" si="36"/>
        <v>9.907215664523255</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2022-01-21T13:38:39Z</dcterms:modified>
</cp:coreProperties>
</file>