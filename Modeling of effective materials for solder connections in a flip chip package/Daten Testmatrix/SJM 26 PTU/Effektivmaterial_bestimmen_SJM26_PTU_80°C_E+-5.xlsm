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bestimmen'!$D$126:$H$126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C403" i="43"/>
  <c r="G403" i="43"/>
  <c r="B403" i="43"/>
  <c r="H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H434" i="43" l="1"/>
  <c r="H418" i="43"/>
  <c r="H415" i="43"/>
  <c r="H410" i="43"/>
  <c r="H424" i="43"/>
  <c r="H405" i="43"/>
  <c r="H413" i="43"/>
  <c r="H409" i="43"/>
  <c r="H421" i="43"/>
  <c r="H433" i="43"/>
  <c r="H426" i="43"/>
  <c r="H408" i="43"/>
  <c r="H420" i="43"/>
  <c r="H417" i="43"/>
  <c r="H414" i="43"/>
  <c r="H430" i="43"/>
  <c r="H423" i="43"/>
  <c r="H416" i="43"/>
  <c r="H404" i="43"/>
  <c r="H427" i="43"/>
  <c r="H422" i="43"/>
  <c r="H428" i="43"/>
  <c r="H432" i="43"/>
  <c r="H412" i="43"/>
  <c r="H425" i="43"/>
  <c r="H407" i="43"/>
  <c r="H419" i="43"/>
  <c r="H431" i="43"/>
  <c r="H411" i="43"/>
  <c r="H429" i="43"/>
  <c r="H406" i="43"/>
  <c r="D406" i="43"/>
  <c r="D417" i="43"/>
  <c r="D419" i="43"/>
  <c r="D426" i="43"/>
  <c r="D430" i="43"/>
  <c r="D404" i="43"/>
  <c r="D434" i="43"/>
  <c r="D407" i="43"/>
  <c r="D414" i="43"/>
  <c r="D425" i="43"/>
  <c r="D429" i="43"/>
  <c r="D411" i="43"/>
  <c r="D416" i="43"/>
  <c r="D423" i="43"/>
  <c r="D428" i="43"/>
  <c r="D427" i="43"/>
  <c r="D432" i="43"/>
  <c r="D409" i="43"/>
  <c r="D421" i="43"/>
  <c r="D418" i="43"/>
  <c r="D410" i="43"/>
  <c r="D412" i="43"/>
  <c r="D420" i="43"/>
  <c r="D422" i="43"/>
  <c r="D431" i="43"/>
  <c r="D405" i="43"/>
  <c r="D408" i="43"/>
  <c r="D413" i="43"/>
  <c r="D415" i="43"/>
  <c r="D424" i="43"/>
  <c r="D433" i="43"/>
  <c r="B405" i="43"/>
  <c r="B424" i="43"/>
  <c r="B425" i="43"/>
  <c r="B413" i="43"/>
  <c r="B414" i="43"/>
  <c r="B408" i="43"/>
  <c r="B410" i="43"/>
  <c r="B407" i="43"/>
  <c r="B431" i="43"/>
  <c r="B427" i="43"/>
  <c r="B420" i="43"/>
  <c r="B415" i="43"/>
  <c r="B417" i="43"/>
  <c r="B409" i="43"/>
  <c r="B406" i="43"/>
  <c r="B429" i="43"/>
  <c r="B411" i="43"/>
  <c r="B416" i="43"/>
  <c r="B432" i="43"/>
  <c r="B404" i="43"/>
  <c r="B428" i="43"/>
  <c r="B434" i="43"/>
  <c r="B430" i="43"/>
  <c r="B423" i="43"/>
  <c r="B418" i="43"/>
  <c r="B419" i="43"/>
  <c r="B433" i="43"/>
  <c r="B426" i="43"/>
  <c r="B421" i="43"/>
  <c r="B422" i="43"/>
  <c r="B412" i="43"/>
  <c r="G410" i="43"/>
  <c r="G413" i="43"/>
  <c r="G431" i="43"/>
  <c r="G416" i="43"/>
  <c r="G434" i="43"/>
  <c r="G428" i="43"/>
  <c r="G429" i="43"/>
  <c r="G411" i="43"/>
  <c r="G427" i="43"/>
  <c r="G409" i="43"/>
  <c r="G423" i="43"/>
  <c r="G405" i="43"/>
  <c r="G407" i="43"/>
  <c r="G418" i="43"/>
  <c r="G422" i="43"/>
  <c r="G426" i="43"/>
  <c r="G408" i="43"/>
  <c r="G424" i="43"/>
  <c r="G404" i="43"/>
  <c r="G406" i="43"/>
  <c r="G419" i="43"/>
  <c r="G421" i="43"/>
  <c r="G420" i="43"/>
  <c r="G417" i="43"/>
  <c r="G433" i="43"/>
  <c r="G415" i="43"/>
  <c r="G425" i="43"/>
  <c r="G432" i="43"/>
  <c r="G414" i="43"/>
  <c r="G430" i="43"/>
  <c r="G412" i="43"/>
  <c r="C406" i="43"/>
  <c r="C423" i="43"/>
  <c r="C428" i="43"/>
  <c r="C404" i="43"/>
  <c r="C434" i="43"/>
  <c r="C425" i="43"/>
  <c r="C420" i="43"/>
  <c r="C409" i="43"/>
  <c r="C421" i="43"/>
  <c r="C427" i="43"/>
  <c r="C429" i="43"/>
  <c r="C410" i="43"/>
  <c r="C422" i="43"/>
  <c r="C407" i="43"/>
  <c r="C414" i="43"/>
  <c r="C418" i="43"/>
  <c r="C432" i="43"/>
  <c r="C412" i="43"/>
  <c r="C431" i="43"/>
  <c r="C405" i="43"/>
  <c r="C408" i="43"/>
  <c r="C415" i="43"/>
  <c r="C424" i="43"/>
  <c r="C433" i="43"/>
  <c r="C417" i="43"/>
  <c r="C419" i="43"/>
  <c r="C426" i="43"/>
  <c r="C430" i="43"/>
  <c r="C413" i="43"/>
  <c r="C411" i="43"/>
  <c r="C416" i="43"/>
  <c r="E405" i="43"/>
  <c r="E408" i="43"/>
  <c r="E413" i="43"/>
  <c r="E415" i="43"/>
  <c r="E424" i="43"/>
  <c r="E433" i="43"/>
  <c r="E430" i="43"/>
  <c r="E423" i="43"/>
  <c r="E434" i="43"/>
  <c r="E406" i="43"/>
  <c r="E417" i="43"/>
  <c r="E419" i="43"/>
  <c r="E426" i="43"/>
  <c r="E404" i="43"/>
  <c r="E411" i="43"/>
  <c r="E416" i="43"/>
  <c r="E418" i="43"/>
  <c r="E425" i="43"/>
  <c r="E427" i="43"/>
  <c r="E429" i="43"/>
  <c r="E410" i="43"/>
  <c r="E420" i="43"/>
  <c r="E422" i="43"/>
  <c r="E431" i="43"/>
  <c r="E432" i="43"/>
  <c r="E412" i="43"/>
  <c r="E421" i="43"/>
  <c r="E409" i="43"/>
  <c r="E407" i="43"/>
  <c r="E428" i="43"/>
  <c r="E414" i="43"/>
  <c r="F415" i="43"/>
  <c r="F410" i="43"/>
  <c r="F420" i="43"/>
  <c r="F431" i="43"/>
  <c r="F419" i="43"/>
  <c r="F430" i="43"/>
  <c r="F424" i="43"/>
  <c r="F416" i="43"/>
  <c r="F423" i="43"/>
  <c r="F404" i="43"/>
  <c r="F434" i="43"/>
  <c r="F427" i="43"/>
  <c r="F421" i="43"/>
  <c r="F425" i="43"/>
  <c r="F426" i="43"/>
  <c r="F412" i="43"/>
  <c r="F432" i="43"/>
  <c r="F418" i="43"/>
  <c r="F417" i="43"/>
  <c r="F414" i="43"/>
  <c r="F422" i="43"/>
  <c r="F411" i="43"/>
  <c r="F405"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P398" i="43" l="1"/>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<sst xmlns="http://schemas.openxmlformats.org/spreadsheetml/2006/main" count="311" uniqueCount="164">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</sst>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05501392"/>
        <c:axId val="4054966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055013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5496688"/>
        <c:crossesAt val="-8.0000000000000019E-3"/>
        <c:crossBetween val="midCat"/>
      </c:valAx>
      <c:valAx>
        <c:axId val="405496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550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8582168"/>
        <c:axId val="4538478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85821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7896"/>
        <c:crosses val="autoZero"/>
        <c:crossBetween val="midCat"/>
      </c:valAx>
      <c:valAx>
        <c:axId val="45384789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85821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3841624"/>
        <c:axId val="4538451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38416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5152"/>
        <c:crosses val="autoZero"/>
        <c:crossBetween val="midCat"/>
        <c:majorUnit val="10000"/>
      </c:valAx>
      <c:valAx>
        <c:axId val="453845152"/>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162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3845544"/>
        <c:axId val="453843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8455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3843584"/>
        <c:crosses val="autoZero"/>
        <c:crossBetween val="midCat"/>
        <c:majorUnit val="10000"/>
      </c:valAx>
      <c:valAx>
        <c:axId val="45384358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3845544"/>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3846720"/>
        <c:axId val="4538471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84672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7112"/>
        <c:crosses val="autoZero"/>
        <c:crossBetween val="midCat"/>
        <c:majorUnit val="10000"/>
      </c:valAx>
      <c:valAx>
        <c:axId val="453847112"/>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672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6.2584855829560292E-3</c:v>
                </c:pt>
                <c:pt idx="1">
                  <c:v>8.2839409378199242E-3</c:v>
                </c:pt>
                <c:pt idx="2">
                  <c:v>2.2436136837792188E-3</c:v>
                </c:pt>
                <c:pt idx="3">
                  <c:v>3.771460611301743E-4</c:v>
                </c:pt>
                <c:pt idx="4">
                  <c:v>5.3773469585616223E-5</c:v>
                </c:pt>
                <c:pt idx="5">
                  <c:v>8.2986540132672836E-6</c:v>
                </c:pt>
                <c:pt idx="6">
                  <c:v>1.7762902671676217E-5</c:v>
                </c:pt>
                <c:pt idx="7">
                  <c:v>5.927590909585528E-5</c:v>
                </c:pt>
                <c:pt idx="8">
                  <c:v>1.5066949756039946E-4</c:v>
                </c:pt>
                <c:pt idx="9">
                  <c:v>3.2234391883334334E-4</c:v>
                </c:pt>
                <c:pt idx="10">
                  <c:v>5.7802674068207279E-4</c:v>
                </c:pt>
                <c:pt idx="11">
                  <c:v>8.7005368254914662E-4</c:v>
                </c:pt>
                <c:pt idx="12">
                  <c:v>1.1092379698642754E-3</c:v>
                </c:pt>
                <c:pt idx="13">
                  <c:v>1.2128364719025436E-3</c:v>
                </c:pt>
                <c:pt idx="14">
                  <c:v>1.1339907855815292E-3</c:v>
                </c:pt>
                <c:pt idx="15">
                  <c:v>9.2053759726134013E-4</c:v>
                </c:pt>
                <c:pt idx="16">
                  <c:v>6.6576801242101979E-4</c:v>
                </c:pt>
                <c:pt idx="17">
                  <c:v>4.5870213036361954E-4</c:v>
                </c:pt>
                <c:pt idx="18">
                  <c:v>2.9389013872538458E-4</c:v>
                </c:pt>
                <c:pt idx="19">
                  <c:v>1.6593923642786081E-4</c:v>
                </c:pt>
                <c:pt idx="20">
                  <c:v>8.2680542901092898E-5</c:v>
                </c:pt>
                <c:pt idx="21">
                  <c:v>3.7557722760490515E-5</c:v>
                </c:pt>
                <c:pt idx="22">
                  <c:v>1.5955967082689637E-5</c:v>
                </c:pt>
                <c:pt idx="23">
                  <c:v>1.2387554044983806E-5</c:v>
                </c:pt>
                <c:pt idx="24">
                  <c:v>1.4447421240959094E-5</c:v>
                </c:pt>
                <c:pt idx="25">
                  <c:v>1.6223004092321256E-5</c:v>
                </c:pt>
                <c:pt idx="26">
                  <c:v>2.3411533823225929E-5</c:v>
                </c:pt>
                <c:pt idx="27">
                  <c:v>6.2341690152839559E-5</c:v>
                </c:pt>
                <c:pt idx="28">
                  <c:v>1.1364130236948987E-4</c:v>
                </c:pt>
                <c:pt idx="29">
                  <c:v>1.100108118238921E-4</c:v>
                </c:pt>
                <c:pt idx="30">
                  <c:v>4.7056671242453376E-5</c:v>
                </c:pt>
              </c:numCache>
            </c:numRef>
          </c:yVal>
          <c:smooth val="1"/>
        </c:ser>
        <c:dLbls>
          <c:showLegendKey val="0"/>
          <c:showVal val="0"/>
          <c:showCatName val="0"/>
          <c:showSerName val="0"/>
          <c:showPercent val="0"/>
          <c:showBubbleSize val="0"/>
        </c:dLbls>
        <c:axId val="453843192"/>
        <c:axId val="453843976"/>
      </c:scatterChart>
      <c:valAx>
        <c:axId val="453843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3976"/>
        <c:crossesAt val="-1.5000000000000005E-3"/>
        <c:crossBetween val="midCat"/>
      </c:valAx>
      <c:valAx>
        <c:axId val="45384397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8431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10389.692468569694</c:v>
                </c:pt>
                <c:pt idx="1">
                  <c:v>10301.393058117992</c:v>
                </c:pt>
                <c:pt idx="2">
                  <c:v>9968.4703397048888</c:v>
                </c:pt>
                <c:pt idx="3">
                  <c:v>9744.3666211086711</c:v>
                </c:pt>
                <c:pt idx="4">
                  <c:v>9485.6230303506763</c:v>
                </c:pt>
                <c:pt idx="5">
                  <c:v>9224.3764926407584</c:v>
                </c:pt>
                <c:pt idx="6">
                  <c:v>8983.4950393918589</c:v>
                </c:pt>
                <c:pt idx="7">
                  <c:v>8670.9074213877102</c:v>
                </c:pt>
                <c:pt idx="8">
                  <c:v>8317.4929906208345</c:v>
                </c:pt>
                <c:pt idx="9">
                  <c:v>7971.2431477275059</c:v>
                </c:pt>
                <c:pt idx="10">
                  <c:v>7677.9936091269574</c:v>
                </c:pt>
                <c:pt idx="11">
                  <c:v>7410.3523675229317</c:v>
                </c:pt>
                <c:pt idx="12">
                  <c:v>7124.3363170584926</c:v>
                </c:pt>
                <c:pt idx="13">
                  <c:v>6853.0400453335606</c:v>
                </c:pt>
                <c:pt idx="14">
                  <c:v>6565.1761395028971</c:v>
                </c:pt>
                <c:pt idx="15">
                  <c:v>6224.727583674593</c:v>
                </c:pt>
                <c:pt idx="16">
                  <c:v>5686.8413351175996</c:v>
                </c:pt>
                <c:pt idx="17">
                  <c:v>4765.6561351786004</c:v>
                </c:pt>
                <c:pt idx="18">
                  <c:v>3747.3067359468569</c:v>
                </c:pt>
                <c:pt idx="19">
                  <c:v>2900.3524527773006</c:v>
                </c:pt>
                <c:pt idx="20">
                  <c:v>2207.7689271656145</c:v>
                </c:pt>
                <c:pt idx="21">
                  <c:v>1604.1866397343597</c:v>
                </c:pt>
                <c:pt idx="22">
                  <c:v>1123.3888338154557</c:v>
                </c:pt>
                <c:pt idx="23">
                  <c:v>780.77487931738005</c:v>
                </c:pt>
                <c:pt idx="24">
                  <c:v>581.99742386686194</c:v>
                </c:pt>
                <c:pt idx="25">
                  <c:v>477.44686985321619</c:v>
                </c:pt>
                <c:pt idx="26">
                  <c:v>428.30763414696457</c:v>
                </c:pt>
                <c:pt idx="27">
                  <c:v>398.67623002567353</c:v>
                </c:pt>
                <c:pt idx="28">
                  <c:v>385.20744480091901</c:v>
                </c:pt>
                <c:pt idx="29">
                  <c:v>372.94162626331786</c:v>
                </c:pt>
                <c:pt idx="30">
                  <c:v>356.82134614902191</c:v>
                </c:pt>
              </c:numCache>
            </c:numRef>
          </c:yVal>
          <c:smooth val="1"/>
        </c:ser>
        <c:dLbls>
          <c:showLegendKey val="0"/>
          <c:showVal val="0"/>
          <c:showCatName val="0"/>
          <c:showSerName val="0"/>
          <c:showPercent val="0"/>
          <c:showBubbleSize val="0"/>
        </c:dLbls>
        <c:axId val="405499432"/>
        <c:axId val="453328792"/>
      </c:scatterChart>
      <c:valAx>
        <c:axId val="4054994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8792"/>
        <c:crosses val="autoZero"/>
        <c:crossBetween val="midCat"/>
      </c:valAx>
      <c:valAx>
        <c:axId val="4533287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0549943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2.8248252403603635E-2</c:v>
                </c:pt>
                <c:pt idx="11">
                  <c:v>2.719706593226557E-2</c:v>
                </c:pt>
                <c:pt idx="12">
                  <c:v>2.6190409718723617E-2</c:v>
                </c:pt>
                <c:pt idx="13">
                  <c:v>2.5390002339733313E-2</c:v>
                </c:pt>
                <c:pt idx="14">
                  <c:v>2.5481288153350334E-2</c:v>
                </c:pt>
                <c:pt idx="15">
                  <c:v>2.6603195081776814E-2</c:v>
                </c:pt>
                <c:pt idx="16">
                  <c:v>2.4455532478612079E-2</c:v>
                </c:pt>
                <c:pt idx="17">
                  <c:v>2.626465766382104E-2</c:v>
                </c:pt>
                <c:pt idx="18">
                  <c:v>2.177896536713015E-2</c:v>
                </c:pt>
                <c:pt idx="19">
                  <c:v>2.1543714920494172E-2</c:v>
                </c:pt>
                <c:pt idx="20">
                  <c:v>8.7845870573750318E-3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3.3623098439961141E-2</c:v>
                </c:pt>
                <c:pt idx="1">
                  <c:v>1.4628149238268127E-2</c:v>
                </c:pt>
                <c:pt idx="2">
                  <c:v>2.1725828502276372E-3</c:v>
                </c:pt>
                <c:pt idx="3">
                  <c:v>1.1573064272095946E-2</c:v>
                </c:pt>
                <c:pt idx="4">
                  <c:v>1.2105650838137087E-2</c:v>
                </c:pt>
                <c:pt idx="5">
                  <c:v>9.8837780058211935E-3</c:v>
                </c:pt>
                <c:pt idx="6">
                  <c:v>1.1508367204432051E-2</c:v>
                </c:pt>
                <c:pt idx="7">
                  <c:v>9.8565031150820766E-3</c:v>
                </c:pt>
                <c:pt idx="8">
                  <c:v>1.0961303566807593E-2</c:v>
                </c:pt>
                <c:pt idx="9">
                  <c:v>1.1924502423943181E-2</c:v>
                </c:pt>
                <c:pt idx="10">
                  <c:v>1.1390405081314533E-2</c:v>
                </c:pt>
                <c:pt idx="11">
                  <c:v>1.1644075331757056E-2</c:v>
                </c:pt>
                <c:pt idx="12">
                  <c:v>1.0875136614180814E-2</c:v>
                </c:pt>
                <c:pt idx="13">
                  <c:v>1.2019604753992321E-2</c:v>
                </c:pt>
                <c:pt idx="14">
                  <c:v>1.1771706956936055E-2</c:v>
                </c:pt>
                <c:pt idx="15">
                  <c:v>1.1344912407254383E-2</c:v>
                </c:pt>
                <c:pt idx="16">
                  <c:v>9.4414366402545691E-3</c:v>
                </c:pt>
                <c:pt idx="17">
                  <c:v>1.5132574094645098E-2</c:v>
                </c:pt>
                <c:pt idx="18">
                  <c:v>4.1919897036901375E-2</c:v>
                </c:pt>
                <c:pt idx="19">
                  <c:v>3.9920909089524219E-2</c:v>
                </c:pt>
                <c:pt idx="20">
                  <c:v>2.3388424248446744E-2</c:v>
                </c:pt>
                <c:pt idx="21">
                  <c:v>9.8897869700036861E-3</c:v>
                </c:pt>
                <c:pt idx="22">
                  <c:v>1.410683714924355E-2</c:v>
                </c:pt>
                <c:pt idx="23">
                  <c:v>7.5758916302676466E-3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5.5706417220224608E-4</c:v>
                </c:pt>
                <c:pt idx="11">
                  <c:v>8.9173563010004457E-4</c:v>
                </c:pt>
                <c:pt idx="12">
                  <c:v>1.0850421848956015E-3</c:v>
                </c:pt>
                <c:pt idx="13">
                  <c:v>1.2333178340458461E-3</c:v>
                </c:pt>
                <c:pt idx="14">
                  <c:v>1.1060056934535734E-3</c:v>
                </c:pt>
                <c:pt idx="15">
                  <c:v>9.5106367960553367E-4</c:v>
                </c:pt>
                <c:pt idx="16">
                  <c:v>5.9144775748194115E-4</c:v>
                </c:pt>
                <c:pt idx="17">
                  <c:v>5.6732281291108631E-4</c:v>
                </c:pt>
                <c:pt idx="18">
                  <c:v>1.7844975110446946E-4</c:v>
                </c:pt>
                <c:pt idx="19">
                  <c:v>2.8121722186951034E-4</c:v>
                </c:pt>
                <c:pt idx="20">
                  <c:v>5.6291221569809633E-5</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8.1803906694767198E-2</c:v>
                </c:pt>
                <c:pt idx="11">
                  <c:v>8.8706353159045681E-2</c:v>
                </c:pt>
                <c:pt idx="12">
                  <c:v>6.6619579910793356E-2</c:v>
                </c:pt>
                <c:pt idx="13">
                  <c:v>2.1736972363321058E-2</c:v>
                </c:pt>
                <c:pt idx="14">
                  <c:v>0.11586521754638295</c:v>
                </c:pt>
                <c:pt idx="15">
                  <c:v>0.12900102875022695</c:v>
                </c:pt>
                <c:pt idx="16">
                  <c:v>3.267163316682431E-2</c:v>
                </c:pt>
                <c:pt idx="17">
                  <c:v>8.6361152965227908E-2</c:v>
                </c:pt>
                <c:pt idx="18">
                  <c:v>0.16076669118159101</c:v>
                </c:pt>
                <c:pt idx="19">
                  <c:v>0.14507358092920949</c:v>
                </c:pt>
                <c:pt idx="20">
                  <c:v>8.9231939309465103E-2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53322912"/>
        <c:axId val="453322128"/>
      </c:scatterChart>
      <c:valAx>
        <c:axId val="4533229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2128"/>
        <c:crossesAt val="1.0000000000000005E-9"/>
        <c:crossBetween val="midCat"/>
      </c:valAx>
      <c:valAx>
        <c:axId val="453322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29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-11.207038780645185</c:v>
                </c:pt>
                <c:pt idx="1">
                  <c:v>-7.262337894521731</c:v>
                </c:pt>
                <c:pt idx="2">
                  <c:v>-4.5819420054473978</c:v>
                </c:pt>
                <c:pt idx="3">
                  <c:v>-2.6397977553378618</c:v>
                </c:pt>
                <c:pt idx="4">
                  <c:v>0</c:v>
                </c:pt>
                <c:pt idx="5">
                  <c:v>4.6943755531120974</c:v>
                </c:pt>
                <c:pt idx="6">
                  <c:v>9.3532480425269053</c:v>
                </c:pt>
              </c:numCache>
            </c:numRef>
          </c:yVal>
          <c:smooth val="0"/>
        </c:ser>
        <c:dLbls>
          <c:showLegendKey val="0"/>
          <c:showVal val="0"/>
          <c:showCatName val="0"/>
          <c:showSerName val="0"/>
          <c:showPercent val="0"/>
          <c:showBubbleSize val="0"/>
        </c:dLbls>
        <c:axId val="453329184"/>
        <c:axId val="453324480"/>
      </c:scatterChart>
      <c:valAx>
        <c:axId val="4533291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4480"/>
        <c:crossesAt val="-100"/>
        <c:crossBetween val="midCat"/>
      </c:valAx>
      <c:valAx>
        <c:axId val="45332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91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53324088"/>
        <c:axId val="453323304"/>
      </c:scatterChart>
      <c:valAx>
        <c:axId val="4533240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3304"/>
        <c:crosses val="autoZero"/>
        <c:crossBetween val="midCat"/>
      </c:valAx>
      <c:valAx>
        <c:axId val="45332330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408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1.3578284345844646E-20</c:v>
                </c:pt>
                <c:pt idx="1">
                  <c:v>1.3578284345844645E-19</c:v>
                </c:pt>
                <c:pt idx="2">
                  <c:v>1.3578284345844646E-18</c:v>
                </c:pt>
                <c:pt idx="3">
                  <c:v>1.3578284345844645E-17</c:v>
                </c:pt>
                <c:pt idx="4">
                  <c:v>1.3578284345844644E-16</c:v>
                </c:pt>
                <c:pt idx="5">
                  <c:v>1.3578284345844645E-15</c:v>
                </c:pt>
                <c:pt idx="6">
                  <c:v>1.3578284345844645E-14</c:v>
                </c:pt>
                <c:pt idx="7">
                  <c:v>1.3578284345844645E-13</c:v>
                </c:pt>
                <c:pt idx="8">
                  <c:v>1.3578284345844644E-12</c:v>
                </c:pt>
                <c:pt idx="9">
                  <c:v>1.3578284345844644E-11</c:v>
                </c:pt>
                <c:pt idx="10">
                  <c:v>1.3578284345844646E-10</c:v>
                </c:pt>
                <c:pt idx="11">
                  <c:v>1.3578284345844646E-9</c:v>
                </c:pt>
                <c:pt idx="12">
                  <c:v>1.3578284345844645E-8</c:v>
                </c:pt>
                <c:pt idx="13">
                  <c:v>1.3578284345844645E-7</c:v>
                </c:pt>
                <c:pt idx="14">
                  <c:v>1.3578284345844646E-6</c:v>
                </c:pt>
                <c:pt idx="15">
                  <c:v>1.3578284345844645E-5</c:v>
                </c:pt>
                <c:pt idx="16">
                  <c:v>1.3578284345844646E-4</c:v>
                </c:pt>
                <c:pt idx="17">
                  <c:v>1.3578284345844645E-3</c:v>
                </c:pt>
                <c:pt idx="18">
                  <c:v>1.3578284345844644E-2</c:v>
                </c:pt>
                <c:pt idx="19">
                  <c:v>0.13578284345844643</c:v>
                </c:pt>
                <c:pt idx="20">
                  <c:v>1.3578284345844644</c:v>
                </c:pt>
                <c:pt idx="21">
                  <c:v>13.578284345844645</c:v>
                </c:pt>
                <c:pt idx="22">
                  <c:v>135.78284345844645</c:v>
                </c:pt>
                <c:pt idx="23">
                  <c:v>1357.8284345844645</c:v>
                </c:pt>
                <c:pt idx="24">
                  <c:v>13578.284345844644</c:v>
                </c:pt>
                <c:pt idx="25">
                  <c:v>135782.84345844644</c:v>
                </c:pt>
                <c:pt idx="26">
                  <c:v>1357828.4345844644</c:v>
                </c:pt>
                <c:pt idx="27">
                  <c:v>13578284.345844645</c:v>
                </c:pt>
                <c:pt idx="28">
                  <c:v>135782843.45844644</c:v>
                </c:pt>
                <c:pt idx="29">
                  <c:v>1357828434.5844646</c:v>
                </c:pt>
                <c:pt idx="30">
                  <c:v>13578284345.844645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7.0146616319195381E-19</c:v>
                </c:pt>
                <c:pt idx="1">
                  <c:v>7.0146616319195371E-18</c:v>
                </c:pt>
                <c:pt idx="2">
                  <c:v>7.0146616319195374E-17</c:v>
                </c:pt>
                <c:pt idx="3">
                  <c:v>7.0146616319195372E-16</c:v>
                </c:pt>
                <c:pt idx="4">
                  <c:v>7.0146616319195368E-15</c:v>
                </c:pt>
                <c:pt idx="5">
                  <c:v>7.0146616319195374E-14</c:v>
                </c:pt>
                <c:pt idx="6">
                  <c:v>7.0146616319195379E-13</c:v>
                </c:pt>
                <c:pt idx="7">
                  <c:v>7.0146616319195375E-12</c:v>
                </c:pt>
                <c:pt idx="8">
                  <c:v>7.0146616319195372E-11</c:v>
                </c:pt>
                <c:pt idx="9">
                  <c:v>7.0146616319195372E-10</c:v>
                </c:pt>
                <c:pt idx="10">
                  <c:v>7.0146616319195382E-9</c:v>
                </c:pt>
                <c:pt idx="11">
                  <c:v>7.0146616319195376E-8</c:v>
                </c:pt>
                <c:pt idx="12">
                  <c:v>7.0146616319195371E-7</c:v>
                </c:pt>
                <c:pt idx="13">
                  <c:v>7.0146616319195375E-6</c:v>
                </c:pt>
                <c:pt idx="14">
                  <c:v>7.0146616319195375E-5</c:v>
                </c:pt>
                <c:pt idx="15">
                  <c:v>7.0146616319195375E-4</c:v>
                </c:pt>
                <c:pt idx="16">
                  <c:v>7.0146616319195377E-3</c:v>
                </c:pt>
                <c:pt idx="17">
                  <c:v>7.0146616319195373E-2</c:v>
                </c:pt>
                <c:pt idx="18">
                  <c:v>0.70146616319195376</c:v>
                </c:pt>
                <c:pt idx="19">
                  <c:v>7.0146616319195374</c:v>
                </c:pt>
                <c:pt idx="20">
                  <c:v>70.146616319195374</c:v>
                </c:pt>
                <c:pt idx="21">
                  <c:v>701.4661631919538</c:v>
                </c:pt>
                <c:pt idx="22">
                  <c:v>7014.6616319195373</c:v>
                </c:pt>
                <c:pt idx="23">
                  <c:v>70146.616319195367</c:v>
                </c:pt>
                <c:pt idx="24">
                  <c:v>701466.16319195379</c:v>
                </c:pt>
                <c:pt idx="25">
                  <c:v>7014661.6319195377</c:v>
                </c:pt>
                <c:pt idx="26">
                  <c:v>70146616.319195375</c:v>
                </c:pt>
                <c:pt idx="27">
                  <c:v>701466163.19195378</c:v>
                </c:pt>
                <c:pt idx="28">
                  <c:v>7014661631.9195375</c:v>
                </c:pt>
                <c:pt idx="29">
                  <c:v>70146616319.195374</c:v>
                </c:pt>
                <c:pt idx="30">
                  <c:v>701466163191.95374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1.0235000557003929E-17</c:v>
                </c:pt>
                <c:pt idx="1">
                  <c:v>1.0235000557003928E-16</c:v>
                </c:pt>
                <c:pt idx="2">
                  <c:v>1.0235000557003929E-15</c:v>
                </c:pt>
                <c:pt idx="3">
                  <c:v>1.0235000557003928E-14</c:v>
                </c:pt>
                <c:pt idx="4">
                  <c:v>1.0235000557003928E-13</c:v>
                </c:pt>
                <c:pt idx="5">
                  <c:v>1.0235000557003929E-12</c:v>
                </c:pt>
                <c:pt idx="6">
                  <c:v>1.0235000557003928E-11</c:v>
                </c:pt>
                <c:pt idx="7">
                  <c:v>1.0235000557003928E-10</c:v>
                </c:pt>
                <c:pt idx="8">
                  <c:v>1.0235000557003928E-9</c:v>
                </c:pt>
                <c:pt idx="9">
                  <c:v>1.0235000557003928E-8</c:v>
                </c:pt>
                <c:pt idx="10">
                  <c:v>1.0235000557003929E-7</c:v>
                </c:pt>
                <c:pt idx="11">
                  <c:v>1.0235000557003928E-6</c:v>
                </c:pt>
                <c:pt idx="12">
                  <c:v>1.0235000557003929E-5</c:v>
                </c:pt>
                <c:pt idx="13">
                  <c:v>1.0235000557003928E-4</c:v>
                </c:pt>
                <c:pt idx="14">
                  <c:v>1.023500055700393E-3</c:v>
                </c:pt>
                <c:pt idx="15">
                  <c:v>1.0235000557003928E-2</c:v>
                </c:pt>
                <c:pt idx="16">
                  <c:v>0.10235000557003927</c:v>
                </c:pt>
                <c:pt idx="17">
                  <c:v>1.0235000557003928</c:v>
                </c:pt>
                <c:pt idx="18">
                  <c:v>10.235000557003929</c:v>
                </c:pt>
                <c:pt idx="19">
                  <c:v>102.35000557003929</c:v>
                </c:pt>
                <c:pt idx="20">
                  <c:v>1023.5000557003927</c:v>
                </c:pt>
                <c:pt idx="21">
                  <c:v>10235.000557003928</c:v>
                </c:pt>
                <c:pt idx="22">
                  <c:v>102350.00557003928</c:v>
                </c:pt>
                <c:pt idx="23">
                  <c:v>1023500.0557003928</c:v>
                </c:pt>
                <c:pt idx="24">
                  <c:v>10235000.557003928</c:v>
                </c:pt>
                <c:pt idx="25">
                  <c:v>102350005.57003929</c:v>
                </c:pt>
                <c:pt idx="26">
                  <c:v>1023500055.7003928</c:v>
                </c:pt>
                <c:pt idx="27">
                  <c:v>10235000557.003927</c:v>
                </c:pt>
                <c:pt idx="28">
                  <c:v>102350005570.03928</c:v>
                </c:pt>
                <c:pt idx="29">
                  <c:v>1023500055700.3928</c:v>
                </c:pt>
                <c:pt idx="30">
                  <c:v>10235000557003.928</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7.1375703451777197E-17</c:v>
                </c:pt>
                <c:pt idx="1">
                  <c:v>7.1375703451777192E-16</c:v>
                </c:pt>
                <c:pt idx="2">
                  <c:v>7.137570345177719E-15</c:v>
                </c:pt>
                <c:pt idx="3">
                  <c:v>7.1375703451777199E-14</c:v>
                </c:pt>
                <c:pt idx="4">
                  <c:v>7.1375703451777194E-13</c:v>
                </c:pt>
                <c:pt idx="5">
                  <c:v>7.13757034517772E-12</c:v>
                </c:pt>
                <c:pt idx="6">
                  <c:v>7.13757034517772E-11</c:v>
                </c:pt>
                <c:pt idx="7">
                  <c:v>7.1375703451777195E-10</c:v>
                </c:pt>
                <c:pt idx="8">
                  <c:v>7.1375703451777193E-9</c:v>
                </c:pt>
                <c:pt idx="9">
                  <c:v>7.1375703451777197E-8</c:v>
                </c:pt>
                <c:pt idx="10">
                  <c:v>7.1375703451777202E-7</c:v>
                </c:pt>
                <c:pt idx="11">
                  <c:v>7.1375703451777198E-6</c:v>
                </c:pt>
                <c:pt idx="12">
                  <c:v>7.1375703451777203E-5</c:v>
                </c:pt>
                <c:pt idx="13">
                  <c:v>7.1375703451777197E-4</c:v>
                </c:pt>
                <c:pt idx="14">
                  <c:v>7.1375703451777199E-3</c:v>
                </c:pt>
                <c:pt idx="15">
                  <c:v>7.1375703451777198E-2</c:v>
                </c:pt>
                <c:pt idx="16">
                  <c:v>0.71375703451777195</c:v>
                </c:pt>
                <c:pt idx="17">
                  <c:v>7.1375703451777195</c:v>
                </c:pt>
                <c:pt idx="18">
                  <c:v>71.375703451777198</c:v>
                </c:pt>
                <c:pt idx="19">
                  <c:v>713.7570345177719</c:v>
                </c:pt>
                <c:pt idx="20">
                  <c:v>7137.5703451777199</c:v>
                </c:pt>
                <c:pt idx="21">
                  <c:v>71375.703451777197</c:v>
                </c:pt>
                <c:pt idx="22">
                  <c:v>713757.03451777191</c:v>
                </c:pt>
                <c:pt idx="23">
                  <c:v>7137570.3451777194</c:v>
                </c:pt>
                <c:pt idx="24">
                  <c:v>71375703.45177719</c:v>
                </c:pt>
                <c:pt idx="25">
                  <c:v>713757034.51777196</c:v>
                </c:pt>
                <c:pt idx="26">
                  <c:v>7137570345.1777191</c:v>
                </c:pt>
                <c:pt idx="27">
                  <c:v>71375703451.777191</c:v>
                </c:pt>
                <c:pt idx="28">
                  <c:v>713757034517.77197</c:v>
                </c:pt>
                <c:pt idx="29">
                  <c:v>7137570345177.7197</c:v>
                </c:pt>
                <c:pt idx="30">
                  <c:v>71375703451777.203</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1.0933051622093015E-13</c:v>
                </c:pt>
                <c:pt idx="1">
                  <c:v>1.0933051622093013E-12</c:v>
                </c:pt>
                <c:pt idx="2">
                  <c:v>1.0933051622093014E-11</c:v>
                </c:pt>
                <c:pt idx="3">
                  <c:v>1.0933051622093013E-10</c:v>
                </c:pt>
                <c:pt idx="4">
                  <c:v>1.0933051622093014E-9</c:v>
                </c:pt>
                <c:pt idx="5">
                  <c:v>1.0933051622093014E-8</c:v>
                </c:pt>
                <c:pt idx="6">
                  <c:v>1.0933051622093014E-7</c:v>
                </c:pt>
                <c:pt idx="7">
                  <c:v>1.0933051622093015E-6</c:v>
                </c:pt>
                <c:pt idx="8">
                  <c:v>1.0933051622093014E-5</c:v>
                </c:pt>
                <c:pt idx="9">
                  <c:v>1.0933051622093014E-4</c:v>
                </c:pt>
                <c:pt idx="10">
                  <c:v>1.0933051622093015E-3</c:v>
                </c:pt>
                <c:pt idx="11">
                  <c:v>1.0933051622093013E-2</c:v>
                </c:pt>
                <c:pt idx="12">
                  <c:v>0.10933051622093014</c:v>
                </c:pt>
                <c:pt idx="13">
                  <c:v>1.0933051622093013</c:v>
                </c:pt>
                <c:pt idx="14">
                  <c:v>10.933051622093014</c:v>
                </c:pt>
                <c:pt idx="15">
                  <c:v>109.33051622093014</c:v>
                </c:pt>
                <c:pt idx="16">
                  <c:v>1093.3051622093014</c:v>
                </c:pt>
                <c:pt idx="17">
                  <c:v>10933.051622093013</c:v>
                </c:pt>
                <c:pt idx="18">
                  <c:v>109330.51622093013</c:v>
                </c:pt>
                <c:pt idx="19">
                  <c:v>1093305.1622093015</c:v>
                </c:pt>
                <c:pt idx="20">
                  <c:v>10933051.622093014</c:v>
                </c:pt>
                <c:pt idx="21">
                  <c:v>109330516.22093014</c:v>
                </c:pt>
                <c:pt idx="22">
                  <c:v>1093305162.2093015</c:v>
                </c:pt>
                <c:pt idx="23">
                  <c:v>10933051622.093014</c:v>
                </c:pt>
                <c:pt idx="24">
                  <c:v>109330516220.93013</c:v>
                </c:pt>
                <c:pt idx="25">
                  <c:v>1093305162209.3014</c:v>
                </c:pt>
                <c:pt idx="26">
                  <c:v>10933051622093.014</c:v>
                </c:pt>
                <c:pt idx="27">
                  <c:v>109330516220930.14</c:v>
                </c:pt>
                <c:pt idx="28">
                  <c:v>1093305162209301.4</c:v>
                </c:pt>
                <c:pt idx="29">
                  <c:v>1.0933051622093014E+16</c:v>
                </c:pt>
                <c:pt idx="30">
                  <c:v>1.0933051622093014E+17</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1.1536232833462724E-11</c:v>
                </c:pt>
                <c:pt idx="1">
                  <c:v>1.1536232833462722E-10</c:v>
                </c:pt>
                <c:pt idx="2">
                  <c:v>1.1536232833462722E-9</c:v>
                </c:pt>
                <c:pt idx="3">
                  <c:v>1.1536232833462723E-8</c:v>
                </c:pt>
                <c:pt idx="4">
                  <c:v>1.1536232833462722E-7</c:v>
                </c:pt>
                <c:pt idx="5">
                  <c:v>1.1536232833462723E-6</c:v>
                </c:pt>
                <c:pt idx="6">
                  <c:v>1.1536232833462723E-5</c:v>
                </c:pt>
                <c:pt idx="7">
                  <c:v>1.1536232833462723E-4</c:v>
                </c:pt>
                <c:pt idx="8">
                  <c:v>1.1536232833462721E-3</c:v>
                </c:pt>
                <c:pt idx="9">
                  <c:v>1.1536232833462721E-2</c:v>
                </c:pt>
                <c:pt idx="10">
                  <c:v>0.11536232833462723</c:v>
                </c:pt>
                <c:pt idx="11">
                  <c:v>1.1536232833462723</c:v>
                </c:pt>
                <c:pt idx="12">
                  <c:v>11.536232833462723</c:v>
                </c:pt>
                <c:pt idx="13">
                  <c:v>115.36232833462722</c:v>
                </c:pt>
                <c:pt idx="14">
                  <c:v>1153.6232833462723</c:v>
                </c:pt>
                <c:pt idx="15">
                  <c:v>11536.232833462722</c:v>
                </c:pt>
                <c:pt idx="16">
                  <c:v>115362.32833462722</c:v>
                </c:pt>
                <c:pt idx="17">
                  <c:v>1153623.2833462723</c:v>
                </c:pt>
                <c:pt idx="18">
                  <c:v>11536232.833462723</c:v>
                </c:pt>
                <c:pt idx="19">
                  <c:v>115362328.33462723</c:v>
                </c:pt>
                <c:pt idx="20">
                  <c:v>1153623283.3462722</c:v>
                </c:pt>
                <c:pt idx="21">
                  <c:v>11536232833.462723</c:v>
                </c:pt>
                <c:pt idx="22">
                  <c:v>115362328334.62723</c:v>
                </c:pt>
                <c:pt idx="23">
                  <c:v>1153623283346.2722</c:v>
                </c:pt>
                <c:pt idx="24">
                  <c:v>11536232833462.723</c:v>
                </c:pt>
                <c:pt idx="25">
                  <c:v>115362328334627.22</c:v>
                </c:pt>
                <c:pt idx="26">
                  <c:v>1153623283346272.2</c:v>
                </c:pt>
                <c:pt idx="27">
                  <c:v>1.1536232833462722E+16</c:v>
                </c:pt>
                <c:pt idx="28">
                  <c:v>1.1536232833462722E+17</c:v>
                </c:pt>
                <c:pt idx="29">
                  <c:v>1.1536232833462723E+18</c:v>
                </c:pt>
                <c:pt idx="30">
                  <c:v>1.1536232833462723E+19</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53324872"/>
        <c:axId val="453323696"/>
      </c:scatterChart>
      <c:valAx>
        <c:axId val="45332487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3696"/>
        <c:crosses val="autoZero"/>
        <c:crossBetween val="midCat"/>
      </c:valAx>
      <c:valAx>
        <c:axId val="453323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487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1.3578284345844646E-20</c:v>
                </c:pt>
                <c:pt idx="1">
                  <c:v>1.3578284345844645E-19</c:v>
                </c:pt>
                <c:pt idx="2">
                  <c:v>1.3578284345844646E-18</c:v>
                </c:pt>
                <c:pt idx="3">
                  <c:v>1.3578284345844645E-17</c:v>
                </c:pt>
                <c:pt idx="4">
                  <c:v>1.3578284345844644E-16</c:v>
                </c:pt>
                <c:pt idx="5">
                  <c:v>1.3578284345844645E-15</c:v>
                </c:pt>
                <c:pt idx="6">
                  <c:v>1.3578284345844645E-14</c:v>
                </c:pt>
                <c:pt idx="7">
                  <c:v>1.3578284345844645E-13</c:v>
                </c:pt>
                <c:pt idx="8">
                  <c:v>1.3578284345844644E-12</c:v>
                </c:pt>
                <c:pt idx="9">
                  <c:v>1.3578284345844644E-11</c:v>
                </c:pt>
                <c:pt idx="10">
                  <c:v>1.3578284345844646E-10</c:v>
                </c:pt>
                <c:pt idx="11">
                  <c:v>1.3578284345844646E-9</c:v>
                </c:pt>
                <c:pt idx="12">
                  <c:v>1.3578284345844645E-8</c:v>
                </c:pt>
                <c:pt idx="13">
                  <c:v>1.3578284345844645E-7</c:v>
                </c:pt>
                <c:pt idx="14">
                  <c:v>1.3578284345844646E-6</c:v>
                </c:pt>
                <c:pt idx="15">
                  <c:v>1.3578284345844645E-5</c:v>
                </c:pt>
                <c:pt idx="16">
                  <c:v>1.3578284345844646E-4</c:v>
                </c:pt>
                <c:pt idx="17">
                  <c:v>1.3578284345844645E-3</c:v>
                </c:pt>
                <c:pt idx="18">
                  <c:v>1.3578284345844644E-2</c:v>
                </c:pt>
                <c:pt idx="19">
                  <c:v>0.13578284345844643</c:v>
                </c:pt>
                <c:pt idx="20">
                  <c:v>1.3578284345844644</c:v>
                </c:pt>
                <c:pt idx="21">
                  <c:v>13.578284345844645</c:v>
                </c:pt>
                <c:pt idx="22">
                  <c:v>135.78284345844645</c:v>
                </c:pt>
                <c:pt idx="23">
                  <c:v>1357.8284345844645</c:v>
                </c:pt>
                <c:pt idx="24">
                  <c:v>13578.284345844644</c:v>
                </c:pt>
                <c:pt idx="25">
                  <c:v>135782.84345844644</c:v>
                </c:pt>
                <c:pt idx="26">
                  <c:v>1357828.4345844644</c:v>
                </c:pt>
                <c:pt idx="27">
                  <c:v>13578284.345844645</c:v>
                </c:pt>
                <c:pt idx="28">
                  <c:v>135782843.45844644</c:v>
                </c:pt>
                <c:pt idx="29">
                  <c:v>1357828434.5844646</c:v>
                </c:pt>
                <c:pt idx="30">
                  <c:v>13578284345.844645</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7.0146616319195381E-19</c:v>
                </c:pt>
                <c:pt idx="1">
                  <c:v>7.0146616319195371E-18</c:v>
                </c:pt>
                <c:pt idx="2">
                  <c:v>7.0146616319195374E-17</c:v>
                </c:pt>
                <c:pt idx="3">
                  <c:v>7.0146616319195372E-16</c:v>
                </c:pt>
                <c:pt idx="4">
                  <c:v>7.0146616319195368E-15</c:v>
                </c:pt>
                <c:pt idx="5">
                  <c:v>7.0146616319195374E-14</c:v>
                </c:pt>
                <c:pt idx="6">
                  <c:v>7.0146616319195379E-13</c:v>
                </c:pt>
                <c:pt idx="7">
                  <c:v>7.0146616319195375E-12</c:v>
                </c:pt>
                <c:pt idx="8">
                  <c:v>7.0146616319195372E-11</c:v>
                </c:pt>
                <c:pt idx="9">
                  <c:v>7.0146616319195372E-10</c:v>
                </c:pt>
                <c:pt idx="10">
                  <c:v>7.0146616319195382E-9</c:v>
                </c:pt>
                <c:pt idx="11">
                  <c:v>7.0146616319195376E-8</c:v>
                </c:pt>
                <c:pt idx="12">
                  <c:v>7.0146616319195371E-7</c:v>
                </c:pt>
                <c:pt idx="13">
                  <c:v>7.0146616319195375E-6</c:v>
                </c:pt>
                <c:pt idx="14">
                  <c:v>7.0146616319195375E-5</c:v>
                </c:pt>
                <c:pt idx="15">
                  <c:v>7.0146616319195375E-4</c:v>
                </c:pt>
                <c:pt idx="16">
                  <c:v>7.0146616319195377E-3</c:v>
                </c:pt>
                <c:pt idx="17">
                  <c:v>7.0146616319195373E-2</c:v>
                </c:pt>
                <c:pt idx="18">
                  <c:v>0.70146616319195376</c:v>
                </c:pt>
                <c:pt idx="19">
                  <c:v>7.0146616319195374</c:v>
                </c:pt>
                <c:pt idx="20">
                  <c:v>70.146616319195374</c:v>
                </c:pt>
                <c:pt idx="21">
                  <c:v>701.4661631919538</c:v>
                </c:pt>
                <c:pt idx="22">
                  <c:v>7014.6616319195373</c:v>
                </c:pt>
                <c:pt idx="23">
                  <c:v>70146.616319195367</c:v>
                </c:pt>
                <c:pt idx="24">
                  <c:v>701466.16319195379</c:v>
                </c:pt>
                <c:pt idx="25">
                  <c:v>7014661.6319195377</c:v>
                </c:pt>
                <c:pt idx="26">
                  <c:v>70146616.319195375</c:v>
                </c:pt>
                <c:pt idx="27">
                  <c:v>701466163.19195378</c:v>
                </c:pt>
                <c:pt idx="28">
                  <c:v>7014661631.9195375</c:v>
                </c:pt>
                <c:pt idx="29">
                  <c:v>70146616319.195374</c:v>
                </c:pt>
                <c:pt idx="30">
                  <c:v>701466163191.95374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1.0235000557003929E-17</c:v>
                </c:pt>
                <c:pt idx="1">
                  <c:v>1.0235000557003928E-16</c:v>
                </c:pt>
                <c:pt idx="2">
                  <c:v>1.0235000557003929E-15</c:v>
                </c:pt>
                <c:pt idx="3">
                  <c:v>1.0235000557003928E-14</c:v>
                </c:pt>
                <c:pt idx="4">
                  <c:v>1.0235000557003928E-13</c:v>
                </c:pt>
                <c:pt idx="5">
                  <c:v>1.0235000557003929E-12</c:v>
                </c:pt>
                <c:pt idx="6">
                  <c:v>1.0235000557003928E-11</c:v>
                </c:pt>
                <c:pt idx="7">
                  <c:v>1.0235000557003928E-10</c:v>
                </c:pt>
                <c:pt idx="8">
                  <c:v>1.0235000557003928E-9</c:v>
                </c:pt>
                <c:pt idx="9">
                  <c:v>1.0235000557003928E-8</c:v>
                </c:pt>
                <c:pt idx="10">
                  <c:v>1.0235000557003929E-7</c:v>
                </c:pt>
                <c:pt idx="11">
                  <c:v>1.0235000557003928E-6</c:v>
                </c:pt>
                <c:pt idx="12">
                  <c:v>1.0235000557003929E-5</c:v>
                </c:pt>
                <c:pt idx="13">
                  <c:v>1.0235000557003928E-4</c:v>
                </c:pt>
                <c:pt idx="14">
                  <c:v>1.023500055700393E-3</c:v>
                </c:pt>
                <c:pt idx="15">
                  <c:v>1.0235000557003928E-2</c:v>
                </c:pt>
                <c:pt idx="16">
                  <c:v>0.10235000557003927</c:v>
                </c:pt>
                <c:pt idx="17">
                  <c:v>1.0235000557003928</c:v>
                </c:pt>
                <c:pt idx="18">
                  <c:v>10.235000557003929</c:v>
                </c:pt>
                <c:pt idx="19">
                  <c:v>102.35000557003929</c:v>
                </c:pt>
                <c:pt idx="20">
                  <c:v>1023.5000557003927</c:v>
                </c:pt>
                <c:pt idx="21">
                  <c:v>10235.000557003928</c:v>
                </c:pt>
                <c:pt idx="22">
                  <c:v>102350.00557003928</c:v>
                </c:pt>
                <c:pt idx="23">
                  <c:v>1023500.0557003928</c:v>
                </c:pt>
                <c:pt idx="24">
                  <c:v>10235000.557003928</c:v>
                </c:pt>
                <c:pt idx="25">
                  <c:v>102350005.57003929</c:v>
                </c:pt>
                <c:pt idx="26">
                  <c:v>1023500055.7003928</c:v>
                </c:pt>
                <c:pt idx="27">
                  <c:v>10235000557.003927</c:v>
                </c:pt>
                <c:pt idx="28">
                  <c:v>102350005570.03928</c:v>
                </c:pt>
                <c:pt idx="29">
                  <c:v>1023500055700.3928</c:v>
                </c:pt>
                <c:pt idx="30">
                  <c:v>10235000557003.928</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7.1375703451777197E-17</c:v>
                </c:pt>
                <c:pt idx="1">
                  <c:v>7.1375703451777192E-16</c:v>
                </c:pt>
                <c:pt idx="2">
                  <c:v>7.137570345177719E-15</c:v>
                </c:pt>
                <c:pt idx="3">
                  <c:v>7.1375703451777199E-14</c:v>
                </c:pt>
                <c:pt idx="4">
                  <c:v>7.1375703451777194E-13</c:v>
                </c:pt>
                <c:pt idx="5">
                  <c:v>7.13757034517772E-12</c:v>
                </c:pt>
                <c:pt idx="6">
                  <c:v>7.13757034517772E-11</c:v>
                </c:pt>
                <c:pt idx="7">
                  <c:v>7.1375703451777195E-10</c:v>
                </c:pt>
                <c:pt idx="8">
                  <c:v>7.1375703451777193E-9</c:v>
                </c:pt>
                <c:pt idx="9">
                  <c:v>7.1375703451777197E-8</c:v>
                </c:pt>
                <c:pt idx="10">
                  <c:v>7.1375703451777202E-7</c:v>
                </c:pt>
                <c:pt idx="11">
                  <c:v>7.1375703451777198E-6</c:v>
                </c:pt>
                <c:pt idx="12">
                  <c:v>7.1375703451777203E-5</c:v>
                </c:pt>
                <c:pt idx="13">
                  <c:v>7.1375703451777197E-4</c:v>
                </c:pt>
                <c:pt idx="14">
                  <c:v>7.1375703451777199E-3</c:v>
                </c:pt>
                <c:pt idx="15">
                  <c:v>7.1375703451777198E-2</c:v>
                </c:pt>
                <c:pt idx="16">
                  <c:v>0.71375703451777195</c:v>
                </c:pt>
                <c:pt idx="17">
                  <c:v>7.1375703451777195</c:v>
                </c:pt>
                <c:pt idx="18">
                  <c:v>71.375703451777198</c:v>
                </c:pt>
                <c:pt idx="19">
                  <c:v>713.7570345177719</c:v>
                </c:pt>
                <c:pt idx="20">
                  <c:v>7137.5703451777199</c:v>
                </c:pt>
                <c:pt idx="21">
                  <c:v>71375.703451777197</c:v>
                </c:pt>
                <c:pt idx="22">
                  <c:v>713757.03451777191</c:v>
                </c:pt>
                <c:pt idx="23">
                  <c:v>7137570.3451777194</c:v>
                </c:pt>
                <c:pt idx="24">
                  <c:v>71375703.45177719</c:v>
                </c:pt>
                <c:pt idx="25">
                  <c:v>713757034.51777196</c:v>
                </c:pt>
                <c:pt idx="26">
                  <c:v>7137570345.1777191</c:v>
                </c:pt>
                <c:pt idx="27">
                  <c:v>71375703451.777191</c:v>
                </c:pt>
                <c:pt idx="28">
                  <c:v>713757034517.77197</c:v>
                </c:pt>
                <c:pt idx="29">
                  <c:v>7137570345177.7197</c:v>
                </c:pt>
                <c:pt idx="30">
                  <c:v>71375703451777.203</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1.0933051622093015E-13</c:v>
                </c:pt>
                <c:pt idx="1">
                  <c:v>1.0933051622093013E-12</c:v>
                </c:pt>
                <c:pt idx="2">
                  <c:v>1.0933051622093014E-11</c:v>
                </c:pt>
                <c:pt idx="3">
                  <c:v>1.0933051622093013E-10</c:v>
                </c:pt>
                <c:pt idx="4">
                  <c:v>1.0933051622093014E-9</c:v>
                </c:pt>
                <c:pt idx="5">
                  <c:v>1.0933051622093014E-8</c:v>
                </c:pt>
                <c:pt idx="6">
                  <c:v>1.0933051622093014E-7</c:v>
                </c:pt>
                <c:pt idx="7">
                  <c:v>1.0933051622093015E-6</c:v>
                </c:pt>
                <c:pt idx="8">
                  <c:v>1.0933051622093014E-5</c:v>
                </c:pt>
                <c:pt idx="9">
                  <c:v>1.0933051622093014E-4</c:v>
                </c:pt>
                <c:pt idx="10">
                  <c:v>1.0933051622093015E-3</c:v>
                </c:pt>
                <c:pt idx="11">
                  <c:v>1.0933051622093013E-2</c:v>
                </c:pt>
                <c:pt idx="12">
                  <c:v>0.10933051622093014</c:v>
                </c:pt>
                <c:pt idx="13">
                  <c:v>1.0933051622093013</c:v>
                </c:pt>
                <c:pt idx="14">
                  <c:v>10.933051622093014</c:v>
                </c:pt>
                <c:pt idx="15">
                  <c:v>109.33051622093014</c:v>
                </c:pt>
                <c:pt idx="16">
                  <c:v>1093.3051622093014</c:v>
                </c:pt>
                <c:pt idx="17">
                  <c:v>10933.051622093013</c:v>
                </c:pt>
                <c:pt idx="18">
                  <c:v>109330.51622093013</c:v>
                </c:pt>
                <c:pt idx="19">
                  <c:v>1093305.1622093015</c:v>
                </c:pt>
                <c:pt idx="20">
                  <c:v>10933051.622093014</c:v>
                </c:pt>
                <c:pt idx="21">
                  <c:v>109330516.22093014</c:v>
                </c:pt>
                <c:pt idx="22">
                  <c:v>1093305162.2093015</c:v>
                </c:pt>
                <c:pt idx="23">
                  <c:v>10933051622.093014</c:v>
                </c:pt>
                <c:pt idx="24">
                  <c:v>109330516220.93013</c:v>
                </c:pt>
                <c:pt idx="25">
                  <c:v>1093305162209.3014</c:v>
                </c:pt>
                <c:pt idx="26">
                  <c:v>10933051622093.014</c:v>
                </c:pt>
                <c:pt idx="27">
                  <c:v>109330516220930.14</c:v>
                </c:pt>
                <c:pt idx="28">
                  <c:v>1093305162209301.4</c:v>
                </c:pt>
                <c:pt idx="29">
                  <c:v>1.0933051622093014E+16</c:v>
                </c:pt>
                <c:pt idx="30">
                  <c:v>1.0933051622093014E+17</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1.1536232833462724E-11</c:v>
                </c:pt>
                <c:pt idx="1">
                  <c:v>1.1536232833462722E-10</c:v>
                </c:pt>
                <c:pt idx="2">
                  <c:v>1.1536232833462722E-9</c:v>
                </c:pt>
                <c:pt idx="3">
                  <c:v>1.1536232833462723E-8</c:v>
                </c:pt>
                <c:pt idx="4">
                  <c:v>1.1536232833462722E-7</c:v>
                </c:pt>
                <c:pt idx="5">
                  <c:v>1.1536232833462723E-6</c:v>
                </c:pt>
                <c:pt idx="6">
                  <c:v>1.1536232833462723E-5</c:v>
                </c:pt>
                <c:pt idx="7">
                  <c:v>1.1536232833462723E-4</c:v>
                </c:pt>
                <c:pt idx="8">
                  <c:v>1.1536232833462721E-3</c:v>
                </c:pt>
                <c:pt idx="9">
                  <c:v>1.1536232833462721E-2</c:v>
                </c:pt>
                <c:pt idx="10">
                  <c:v>0.11536232833462723</c:v>
                </c:pt>
                <c:pt idx="11">
                  <c:v>1.1536232833462723</c:v>
                </c:pt>
                <c:pt idx="12">
                  <c:v>11.536232833462723</c:v>
                </c:pt>
                <c:pt idx="13">
                  <c:v>115.36232833462722</c:v>
                </c:pt>
                <c:pt idx="14">
                  <c:v>1153.6232833462723</c:v>
                </c:pt>
                <c:pt idx="15">
                  <c:v>11536.232833462722</c:v>
                </c:pt>
                <c:pt idx="16">
                  <c:v>115362.32833462722</c:v>
                </c:pt>
                <c:pt idx="17">
                  <c:v>1153623.2833462723</c:v>
                </c:pt>
                <c:pt idx="18">
                  <c:v>11536232.833462723</c:v>
                </c:pt>
                <c:pt idx="19">
                  <c:v>115362328.33462723</c:v>
                </c:pt>
                <c:pt idx="20">
                  <c:v>1153623283.3462722</c:v>
                </c:pt>
                <c:pt idx="21">
                  <c:v>11536232833.462723</c:v>
                </c:pt>
                <c:pt idx="22">
                  <c:v>115362328334.62723</c:v>
                </c:pt>
                <c:pt idx="23">
                  <c:v>1153623283346.2722</c:v>
                </c:pt>
                <c:pt idx="24">
                  <c:v>11536232833462.723</c:v>
                </c:pt>
                <c:pt idx="25">
                  <c:v>115362328334627.22</c:v>
                </c:pt>
                <c:pt idx="26">
                  <c:v>1153623283346272.2</c:v>
                </c:pt>
                <c:pt idx="27">
                  <c:v>1.1536232833462722E+16</c:v>
                </c:pt>
                <c:pt idx="28">
                  <c:v>1.1536232833462722E+17</c:v>
                </c:pt>
                <c:pt idx="29">
                  <c:v>1.1536232833462723E+18</c:v>
                </c:pt>
                <c:pt idx="30">
                  <c:v>1.1536232833462723E+19</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53325656"/>
        <c:axId val="453326048"/>
      </c:scatterChart>
      <c:valAx>
        <c:axId val="45332565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6048"/>
        <c:crosses val="autoZero"/>
        <c:crossBetween val="midCat"/>
      </c:valAx>
      <c:valAx>
        <c:axId val="453326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565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-11.207038780645185</c:v>
                </c:pt>
                <c:pt idx="1">
                  <c:v>-11.139939241331334</c:v>
                </c:pt>
                <c:pt idx="2">
                  <c:v>-11.072721435665363</c:v>
                </c:pt>
                <c:pt idx="3">
                  <c:v>-11.005267097295157</c:v>
                </c:pt>
                <c:pt idx="4">
                  <c:v>-10.937457959868603</c:v>
                </c:pt>
                <c:pt idx="5">
                  <c:v>-10.869175757033577</c:v>
                </c:pt>
                <c:pt idx="6">
                  <c:v>-10.800302222437967</c:v>
                </c:pt>
                <c:pt idx="7">
                  <c:v>-10.730719089729655</c:v>
                </c:pt>
                <c:pt idx="8">
                  <c:v>-10.660308092556519</c:v>
                </c:pt>
                <c:pt idx="9">
                  <c:v>-10.588950964566449</c:v>
                </c:pt>
                <c:pt idx="10">
                  <c:v>-10.516529439407321</c:v>
                </c:pt>
                <c:pt idx="11">
                  <c:v>-10.442925250727024</c:v>
                </c:pt>
                <c:pt idx="12">
                  <c:v>-10.368020132173436</c:v>
                </c:pt>
                <c:pt idx="13">
                  <c:v>-10.291695817394441</c:v>
                </c:pt>
                <c:pt idx="14">
                  <c:v>-10.213834040037924</c:v>
                </c:pt>
                <c:pt idx="15">
                  <c:v>-10.134316533751766</c:v>
                </c:pt>
                <c:pt idx="16">
                  <c:v>-10.053025032183848</c:v>
                </c:pt>
                <c:pt idx="17">
                  <c:v>-9.9698412689820568</c:v>
                </c:pt>
                <c:pt idx="18">
                  <c:v>-9.884646977794274</c:v>
                </c:pt>
                <c:pt idx="19">
                  <c:v>-9.7973238922683805</c:v>
                </c:pt>
                <c:pt idx="20">
                  <c:v>-9.7077537460522585</c:v>
                </c:pt>
                <c:pt idx="21">
                  <c:v>-9.6158182727937955</c:v>
                </c:pt>
                <c:pt idx="22">
                  <c:v>-9.5213992061408685</c:v>
                </c:pt>
                <c:pt idx="23">
                  <c:v>-9.4243782797413651</c:v>
                </c:pt>
                <c:pt idx="24">
                  <c:v>-9.3246372272431657</c:v>
                </c:pt>
                <c:pt idx="25">
                  <c:v>-9.2220577822941525</c:v>
                </c:pt>
                <c:pt idx="26">
                  <c:v>-9.1165216785422096</c:v>
                </c:pt>
                <c:pt idx="27">
                  <c:v>-9.007910649635221</c:v>
                </c:pt>
                <c:pt idx="28">
                  <c:v>-8.8961064292210672</c:v>
                </c:pt>
                <c:pt idx="29">
                  <c:v>-8.7809907509476304</c:v>
                </c:pt>
                <c:pt idx="30">
                  <c:v>-8.6624453484627963</c:v>
                </c:pt>
                <c:pt idx="31">
                  <c:v>-8.5403519554144456</c:v>
                </c:pt>
                <c:pt idx="32">
                  <c:v>-8.4145923054504621</c:v>
                </c:pt>
                <c:pt idx="33">
                  <c:v>-8.2850481322187264</c:v>
                </c:pt>
                <c:pt idx="34">
                  <c:v>-8.151601169367126</c:v>
                </c:pt>
                <c:pt idx="35">
                  <c:v>-8.0141331505435396</c:v>
                </c:pt>
                <c:pt idx="36">
                  <c:v>-7.8725258093958494</c:v>
                </c:pt>
                <c:pt idx="37">
                  <c:v>-7.7266608795719423</c:v>
                </c:pt>
                <c:pt idx="38">
                  <c:v>-7.5764200947196976</c:v>
                </c:pt>
                <c:pt idx="39">
                  <c:v>-7.4216851884870003</c:v>
                </c:pt>
                <c:pt idx="40">
                  <c:v>-7.262337894521731</c:v>
                </c:pt>
                <c:pt idx="41">
                  <c:v>-7.1785831455332207</c:v>
                </c:pt>
                <c:pt idx="42">
                  <c:v>-7.0904179997911934</c:v>
                </c:pt>
                <c:pt idx="43">
                  <c:v>-6.9981627146268215</c:v>
                </c:pt>
                <c:pt idx="44">
                  <c:v>-6.9021375473712734</c:v>
                </c:pt>
                <c:pt idx="45">
                  <c:v>-6.8026627553557217</c:v>
                </c:pt>
                <c:pt idx="46">
                  <c:v>-6.7000585959113383</c:v>
                </c:pt>
                <c:pt idx="47">
                  <c:v>-6.5946453263692932</c:v>
                </c:pt>
                <c:pt idx="48">
                  <c:v>-6.4867432040607582</c:v>
                </c:pt>
                <c:pt idx="49">
                  <c:v>-6.3766724863169024</c:v>
                </c:pt>
                <c:pt idx="50">
                  <c:v>-6.2647534304688985</c:v>
                </c:pt>
                <c:pt idx="51">
                  <c:v>-6.1513062938479193</c:v>
                </c:pt>
                <c:pt idx="52">
                  <c:v>-6.0366513337851329</c:v>
                </c:pt>
                <c:pt idx="53">
                  <c:v>-5.9211088076117111</c:v>
                </c:pt>
                <c:pt idx="54">
                  <c:v>-5.8049989726588258</c:v>
                </c:pt>
                <c:pt idx="55">
                  <c:v>-5.688642086257647</c:v>
                </c:pt>
                <c:pt idx="56">
                  <c:v>-5.5723584057393474</c:v>
                </c:pt>
                <c:pt idx="57">
                  <c:v>-5.4564681884350961</c:v>
                </c:pt>
                <c:pt idx="58">
                  <c:v>-5.3412916916760658</c:v>
                </c:pt>
                <c:pt idx="59">
                  <c:v>-5.2271491727934274</c:v>
                </c:pt>
                <c:pt idx="60">
                  <c:v>-5.114360889118351</c:v>
                </c:pt>
                <c:pt idx="61">
                  <c:v>-5.0032470979820092</c:v>
                </c:pt>
                <c:pt idx="62">
                  <c:v>-4.8941280567155712</c:v>
                </c:pt>
                <c:pt idx="63">
                  <c:v>-4.7873240226502096</c:v>
                </c:pt>
                <c:pt idx="64">
                  <c:v>-4.6831552531170955</c:v>
                </c:pt>
                <c:pt idx="65">
                  <c:v>-4.5819420054473978</c:v>
                </c:pt>
                <c:pt idx="66">
                  <c:v>-4.483920753909401</c:v>
                </c:pt>
                <c:pt idx="67">
                  <c:v>-4.3889928405198244</c:v>
                </c:pt>
                <c:pt idx="68">
                  <c:v>-4.2969758242325016</c:v>
                </c:pt>
                <c:pt idx="69">
                  <c:v>-4.2076872640012644</c:v>
                </c:pt>
                <c:pt idx="70">
                  <c:v>-4.1209447187799446</c:v>
                </c:pt>
                <c:pt idx="71">
                  <c:v>-4.0365657475223751</c:v>
                </c:pt>
                <c:pt idx="72">
                  <c:v>-3.9543679091823885</c:v>
                </c:pt>
                <c:pt idx="73">
                  <c:v>-3.8741687627138157</c:v>
                </c:pt>
                <c:pt idx="74">
                  <c:v>-3.7957858670704896</c:v>
                </c:pt>
                <c:pt idx="75">
                  <c:v>-3.7190367812062419</c:v>
                </c:pt>
                <c:pt idx="76">
                  <c:v>-3.6437390640749054</c:v>
                </c:pt>
                <c:pt idx="77">
                  <c:v>-3.569710274630312</c:v>
                </c:pt>
                <c:pt idx="78">
                  <c:v>-3.4967679718262938</c:v>
                </c:pt>
                <c:pt idx="79">
                  <c:v>-3.4247297146166833</c:v>
                </c:pt>
                <c:pt idx="80">
                  <c:v>-3.3534130619553117</c:v>
                </c:pt>
                <c:pt idx="81">
                  <c:v>-3.2826355727960128</c:v>
                </c:pt>
                <c:pt idx="82">
                  <c:v>-3.2122148060926174</c:v>
                </c:pt>
                <c:pt idx="83">
                  <c:v>-3.1419683207989584</c:v>
                </c:pt>
                <c:pt idx="84">
                  <c:v>-3.0717136758688683</c:v>
                </c:pt>
                <c:pt idx="85">
                  <c:v>-3.0012684302561778</c:v>
                </c:pt>
                <c:pt idx="86">
                  <c:v>-2.9304501429147205</c:v>
                </c:pt>
                <c:pt idx="87">
                  <c:v>-2.8590763727983277</c:v>
                </c:pt>
                <c:pt idx="88">
                  <c:v>-2.7869646788608322</c:v>
                </c:pt>
                <c:pt idx="89">
                  <c:v>-2.7139326200560663</c:v>
                </c:pt>
                <c:pt idx="90">
                  <c:v>-2.6397977553378613</c:v>
                </c:pt>
                <c:pt idx="91">
                  <c:v>-2.5644147533091233</c:v>
                </c:pt>
                <c:pt idx="92">
                  <c:v>-2.4877867211690434</c:v>
                </c:pt>
                <c:pt idx="93">
                  <c:v>-2.409953875765888</c:v>
                </c:pt>
                <c:pt idx="94">
                  <c:v>-2.330956433947923</c:v>
                </c:pt>
                <c:pt idx="95">
                  <c:v>-2.2508346125634127</c:v>
                </c:pt>
                <c:pt idx="96">
                  <c:v>-2.1696286284606239</c:v>
                </c:pt>
                <c:pt idx="97">
                  <c:v>-2.0873786984878202</c:v>
                </c:pt>
                <c:pt idx="98">
                  <c:v>-2.0041250394932688</c:v>
                </c:pt>
                <c:pt idx="99">
                  <c:v>-1.9199078683252342</c:v>
                </c:pt>
                <c:pt idx="100">
                  <c:v>-1.8347674018319819</c:v>
                </c:pt>
                <c:pt idx="101">
                  <c:v>-1.7487438568617777</c:v>
                </c:pt>
                <c:pt idx="102">
                  <c:v>-1.6618774502628868</c:v>
                </c:pt>
                <c:pt idx="103">
                  <c:v>-1.5742083988835744</c:v>
                </c:pt>
                <c:pt idx="104">
                  <c:v>-1.4857769195721062</c:v>
                </c:pt>
                <c:pt idx="105">
                  <c:v>-1.3966232291767477</c:v>
                </c:pt>
                <c:pt idx="106">
                  <c:v>-1.306787544545764</c:v>
                </c:pt>
                <c:pt idx="107">
                  <c:v>-1.2163100825274207</c:v>
                </c:pt>
                <c:pt idx="108">
                  <c:v>-1.1252310599699833</c:v>
                </c:pt>
                <c:pt idx="109">
                  <c:v>-1.033590693721717</c:v>
                </c:pt>
                <c:pt idx="110">
                  <c:v>-0.94142920063088742</c:v>
                </c:pt>
                <c:pt idx="111">
                  <c:v>-0.84878679754575992</c:v>
                </c:pt>
                <c:pt idx="112">
                  <c:v>-0.75570370131459985</c:v>
                </c:pt>
                <c:pt idx="113">
                  <c:v>-0.66222012878567282</c:v>
                </c:pt>
                <c:pt idx="114">
                  <c:v>-0.56837629680724389</c:v>
                </c:pt>
                <c:pt idx="115">
                  <c:v>-0.47421242222757892</c:v>
                </c:pt>
                <c:pt idx="116">
                  <c:v>-0.37976872189494304</c:v>
                </c:pt>
                <c:pt idx="117">
                  <c:v>-0.28508541265760184</c:v>
                </c:pt>
                <c:pt idx="118">
                  <c:v>-0.19020271136382064</c:v>
                </c:pt>
                <c:pt idx="119">
                  <c:v>-9.5160834861864885E-2</c:v>
                </c:pt>
                <c:pt idx="120">
                  <c:v>-1.7347234759768071E-18</c:v>
                </c:pt>
                <c:pt idx="121">
                  <c:v>9.5249904299724755E-2</c:v>
                </c:pt>
                <c:pt idx="122">
                  <c:v>0.19060030082012464</c:v>
                </c:pt>
                <c:pt idx="123">
                  <c:v>0.28607294027023111</c:v>
                </c:pt>
                <c:pt idx="124">
                  <c:v>0.38168957335907561</c:v>
                </c:pt>
                <c:pt idx="125">
                  <c:v>0.4774719507956896</c:v>
                </c:pt>
                <c:pt idx="126">
                  <c:v>0.57344182328910431</c:v>
                </c:pt>
                <c:pt idx="127">
                  <c:v>0.66962094154835161</c:v>
                </c:pt>
                <c:pt idx="128">
                  <c:v>0.76603105628246249</c:v>
                </c:pt>
                <c:pt idx="129">
                  <c:v>0.8626939182004687</c:v>
                </c:pt>
                <c:pt idx="130">
                  <c:v>0.95963127801140147</c:v>
                </c:pt>
                <c:pt idx="131">
                  <c:v>1.0568648864242924</c:v>
                </c:pt>
                <c:pt idx="132">
                  <c:v>1.1544164941481725</c:v>
                </c:pt>
                <c:pt idx="133">
                  <c:v>1.2523078518920738</c:v>
                </c:pt>
                <c:pt idx="134">
                  <c:v>1.3505607103650277</c:v>
                </c:pt>
                <c:pt idx="135">
                  <c:v>1.4491968202760652</c:v>
                </c:pt>
                <c:pt idx="136">
                  <c:v>1.5482379323342181</c:v>
                </c:pt>
                <c:pt idx="137">
                  <c:v>1.6477057972485176</c:v>
                </c:pt>
                <c:pt idx="138">
                  <c:v>1.7476221657279953</c:v>
                </c:pt>
                <c:pt idx="139">
                  <c:v>1.8480087884816825</c:v>
                </c:pt>
                <c:pt idx="140">
                  <c:v>1.9488874162186107</c:v>
                </c:pt>
                <c:pt idx="141">
                  <c:v>2.0502797996478113</c:v>
                </c:pt>
                <c:pt idx="142">
                  <c:v>2.152207689478316</c:v>
                </c:pt>
                <c:pt idx="143">
                  <c:v>2.2546928364191556</c:v>
                </c:pt>
                <c:pt idx="144">
                  <c:v>2.3577569911793623</c:v>
                </c:pt>
                <c:pt idx="145">
                  <c:v>2.4614219044679673</c:v>
                </c:pt>
                <c:pt idx="146">
                  <c:v>2.5657093269940017</c:v>
                </c:pt>
                <c:pt idx="147">
                  <c:v>2.6706410094664972</c:v>
                </c:pt>
                <c:pt idx="148">
                  <c:v>2.776238702594485</c:v>
                </c:pt>
                <c:pt idx="149">
                  <c:v>2.8825241570869973</c:v>
                </c:pt>
                <c:pt idx="150">
                  <c:v>2.9895191236530647</c:v>
                </c:pt>
                <c:pt idx="151">
                  <c:v>3.097245353001719</c:v>
                </c:pt>
                <c:pt idx="152">
                  <c:v>3.2057245958419913</c:v>
                </c:pt>
                <c:pt idx="153">
                  <c:v>3.3149786028829133</c:v>
                </c:pt>
                <c:pt idx="154">
                  <c:v>3.4250291248335167</c:v>
                </c:pt>
                <c:pt idx="155">
                  <c:v>3.5358979124028322</c:v>
                </c:pt>
                <c:pt idx="156">
                  <c:v>3.6476067162998924</c:v>
                </c:pt>
                <c:pt idx="157">
                  <c:v>3.7601772872337276</c:v>
                </c:pt>
                <c:pt idx="158">
                  <c:v>3.8736313759133698</c:v>
                </c:pt>
                <c:pt idx="159">
                  <c:v>3.9879907330478499</c:v>
                </c:pt>
                <c:pt idx="160">
                  <c:v>4.1032771093462008</c:v>
                </c:pt>
                <c:pt idx="161">
                  <c:v>4.2195122555174516</c:v>
                </c:pt>
                <c:pt idx="162">
                  <c:v>4.336717922270636</c:v>
                </c:pt>
                <c:pt idx="163">
                  <c:v>4.4549158603147836</c:v>
                </c:pt>
                <c:pt idx="164">
                  <c:v>4.5741278203589282</c:v>
                </c:pt>
                <c:pt idx="165">
                  <c:v>4.6943755531120983</c:v>
                </c:pt>
                <c:pt idx="166">
                  <c:v>4.8156721483393543</c:v>
                </c:pt>
                <c:pt idx="167">
                  <c:v>4.9379960520298676</c:v>
                </c:pt>
                <c:pt idx="168">
                  <c:v>5.061317049228836</c:v>
                </c:pt>
                <c:pt idx="169">
                  <c:v>5.1856049249814582</c:v>
                </c:pt>
                <c:pt idx="170">
                  <c:v>5.3108294643329312</c:v>
                </c:pt>
                <c:pt idx="171">
                  <c:v>5.4369604523284547</c:v>
                </c:pt>
                <c:pt idx="172">
                  <c:v>5.5639676740132273</c:v>
                </c:pt>
                <c:pt idx="173">
                  <c:v>5.6918209144324461</c:v>
                </c:pt>
                <c:pt idx="174">
                  <c:v>5.8204899586313097</c:v>
                </c:pt>
                <c:pt idx="175">
                  <c:v>5.949944591655016</c:v>
                </c:pt>
                <c:pt idx="176">
                  <c:v>6.0801545985487646</c:v>
                </c:pt>
                <c:pt idx="177">
                  <c:v>6.2110897643577534</c:v>
                </c:pt>
                <c:pt idx="178">
                  <c:v>6.3427198741271802</c:v>
                </c:pt>
                <c:pt idx="179">
                  <c:v>6.4750147129022437</c:v>
                </c:pt>
                <c:pt idx="180">
                  <c:v>6.6079440657281427</c:v>
                </c:pt>
                <c:pt idx="181">
                  <c:v>6.7414777176500751</c:v>
                </c:pt>
                <c:pt idx="182">
                  <c:v>6.8755854537132386</c:v>
                </c:pt>
                <c:pt idx="183">
                  <c:v>7.0102370589628329</c:v>
                </c:pt>
                <c:pt idx="184">
                  <c:v>7.1454023184440558</c:v>
                </c:pt>
                <c:pt idx="185">
                  <c:v>7.2810510172021043</c:v>
                </c:pt>
                <c:pt idx="186">
                  <c:v>7.4171529402821781</c:v>
                </c:pt>
                <c:pt idx="187">
                  <c:v>7.5536778727294749</c:v>
                </c:pt>
                <c:pt idx="188">
                  <c:v>7.6905955995891944</c:v>
                </c:pt>
                <c:pt idx="189">
                  <c:v>7.8278759059065326</c:v>
                </c:pt>
                <c:pt idx="190">
                  <c:v>7.9654885767266901</c:v>
                </c:pt>
                <c:pt idx="191">
                  <c:v>8.1034033970948638</c:v>
                </c:pt>
                <c:pt idx="192">
                  <c:v>8.2415901520562524</c:v>
                </c:pt>
                <c:pt idx="193">
                  <c:v>8.3800186266560548</c:v>
                </c:pt>
                <c:pt idx="194">
                  <c:v>8.5186586059394696</c:v>
                </c:pt>
                <c:pt idx="195">
                  <c:v>8.6574798749516937</c:v>
                </c:pt>
                <c:pt idx="196">
                  <c:v>8.7964522187379259</c:v>
                </c:pt>
                <c:pt idx="197">
                  <c:v>8.935545422343365</c:v>
                </c:pt>
                <c:pt idx="198">
                  <c:v>9.0747292708132097</c:v>
                </c:pt>
                <c:pt idx="199">
                  <c:v>9.2139735491926569</c:v>
                </c:pt>
                <c:pt idx="200">
                  <c:v>9.3532480425269053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-11.207038780645185</c:v>
                </c:pt>
                <c:pt idx="1">
                  <c:v>-7.262337894521731</c:v>
                </c:pt>
                <c:pt idx="2">
                  <c:v>-4.5819420054473978</c:v>
                </c:pt>
                <c:pt idx="3">
                  <c:v>-2.6397977553378618</c:v>
                </c:pt>
                <c:pt idx="4">
                  <c:v>0</c:v>
                </c:pt>
                <c:pt idx="5">
                  <c:v>4.6943755531120974</c:v>
                </c:pt>
                <c:pt idx="6">
                  <c:v>9.3532480425269053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-11.181118660321975</c:v>
                </c:pt>
                <c:pt idx="1">
                  <c:v>-11.11764869399676</c:v>
                </c:pt>
                <c:pt idx="2">
                  <c:v>-11.055545363552827</c:v>
                </c:pt>
                <c:pt idx="3">
                  <c:v>-10.994151914496211</c:v>
                </c:pt>
                <c:pt idx="4">
                  <c:v>-10.932881905715519</c:v>
                </c:pt>
                <c:pt idx="5">
                  <c:v>-10.871214949950975</c:v>
                </c:pt>
                <c:pt idx="6">
                  <c:v>-10.808692615981627</c:v>
                </c:pt>
                <c:pt idx="7">
                  <c:v>-10.744914488874532</c:v>
                </c:pt>
                <c:pt idx="8">
                  <c:v>-10.679534384678089</c:v>
                </c:pt>
                <c:pt idx="9">
                  <c:v>-10.6122567159799</c:v>
                </c:pt>
                <c:pt idx="10">
                  <c:v>-10.542833004787557</c:v>
                </c:pt>
                <c:pt idx="11">
                  <c:v>-10.471058539228952</c:v>
                </c:pt>
                <c:pt idx="12">
                  <c:v>-10.396769170607033</c:v>
                </c:pt>
                <c:pt idx="13">
                  <c:v>-10.319838247381938</c:v>
                </c:pt>
                <c:pt idx="14">
                  <c:v>-10.240173682691593</c:v>
                </c:pt>
                <c:pt idx="15">
                  <c:v>-10.157715152060227</c:v>
                </c:pt>
                <c:pt idx="16">
                  <c:v>-10.072431417982161</c:v>
                </c:pt>
                <c:pt idx="17">
                  <c:v>-9.984317778106675</c:v>
                </c:pt>
                <c:pt idx="18">
                  <c:v>-9.8933936337876638</c:v>
                </c:pt>
                <c:pt idx="19">
                  <c:v>-9.7997001758001296</c:v>
                </c:pt>
                <c:pt idx="20">
                  <c:v>-9.7032981840637245</c:v>
                </c:pt>
                <c:pt idx="21">
                  <c:v>-9.6042659382516895</c:v>
                </c:pt>
                <c:pt idx="22">
                  <c:v>-9.5026972362015805</c:v>
                </c:pt>
                <c:pt idx="23">
                  <c:v>-9.3986995170826244</c:v>
                </c:pt>
                <c:pt idx="24">
                  <c:v>-9.2923920863125495</c:v>
                </c:pt>
                <c:pt idx="25">
                  <c:v>-9.1839044392547677</c:v>
                </c:pt>
                <c:pt idx="26">
                  <c:v>-9.0733746807652871</c:v>
                </c:pt>
                <c:pt idx="27">
                  <c:v>-8.960948037696614</c:v>
                </c:pt>
                <c:pt idx="28">
                  <c:v>-8.8467754615042438</c:v>
                </c:pt>
                <c:pt idx="29">
                  <c:v>-8.7310123181393919</c:v>
                </c:pt>
                <c:pt idx="30">
                  <c:v>-8.6138171624499194</c:v>
                </c:pt>
                <c:pt idx="31">
                  <c:v>-8.4953505943494143</c:v>
                </c:pt>
                <c:pt idx="32">
                  <c:v>-8.3757741940527648</c:v>
                </c:pt>
                <c:pt idx="33">
                  <c:v>-8.2552495337144762</c:v>
                </c:pt>
                <c:pt idx="34">
                  <c:v>-8.1339372628444391</c:v>
                </c:pt>
                <c:pt idx="35">
                  <c:v>-8.0119962649137708</c:v>
                </c:pt>
                <c:pt idx="36">
                  <c:v>-7.8895828826017063</c:v>
                </c:pt>
                <c:pt idx="37">
                  <c:v>-7.7668502091725404</c:v>
                </c:pt>
                <c:pt idx="38">
                  <c:v>-7.6439474435099513</c:v>
                </c:pt>
                <c:pt idx="39">
                  <c:v>-7.5210193063740842</c:v>
                </c:pt>
                <c:pt idx="40">
                  <c:v>-7.3982055154849045</c:v>
                </c:pt>
                <c:pt idx="41">
                  <c:v>-7.2756403170737549</c:v>
                </c:pt>
                <c:pt idx="42">
                  <c:v>-7.1534520715828389</c:v>
                </c:pt>
                <c:pt idx="43">
                  <c:v>-7.0317628912308807</c:v>
                </c:pt>
                <c:pt idx="44">
                  <c:v>-6.9106883272011732</c:v>
                </c:pt>
                <c:pt idx="45">
                  <c:v>-6.7903371042464187</c:v>
                </c:pt>
                <c:pt idx="46">
                  <c:v>-6.6708109005430529</c:v>
                </c:pt>
                <c:pt idx="47">
                  <c:v>-6.5522041706657479</c:v>
                </c:pt>
                <c:pt idx="48">
                  <c:v>-6.4346040095911086</c:v>
                </c:pt>
                <c:pt idx="49">
                  <c:v>-6.3180900556776303</c:v>
                </c:pt>
                <c:pt idx="50">
                  <c:v>-6.2027344306072738</c:v>
                </c:pt>
                <c:pt idx="51">
                  <c:v>-6.0886017143120377</c:v>
                </c:pt>
                <c:pt idx="52">
                  <c:v>-5.9757489529472299</c:v>
                </c:pt>
                <c:pt idx="53">
                  <c:v>-5.8642256980112144</c:v>
                </c:pt>
                <c:pt idx="54">
                  <c:v>-5.7540740747495942</c:v>
                </c:pt>
                <c:pt idx="55">
                  <c:v>-5.6453288780199955</c:v>
                </c:pt>
                <c:pt idx="56">
                  <c:v>-5.5380176938317529</c:v>
                </c:pt>
                <c:pt idx="57">
                  <c:v>-5.4321610448129984</c:v>
                </c:pt>
                <c:pt idx="58">
                  <c:v>-5.3277725578957815</c:v>
                </c:pt>
                <c:pt idx="59">
                  <c:v>-5.2248591525480679</c:v>
                </c:pt>
                <c:pt idx="60">
                  <c:v>-5.1234212479196142</c:v>
                </c:pt>
                <c:pt idx="61">
                  <c:v>-5.0234529873068707</c:v>
                </c:pt>
                <c:pt idx="62">
                  <c:v>-4.9249424783802604</c:v>
                </c:pt>
                <c:pt idx="63">
                  <c:v>-4.8278720476553367</c:v>
                </c:pt>
                <c:pt idx="64">
                  <c:v>-4.7322185077275041</c:v>
                </c:pt>
                <c:pt idx="65">
                  <c:v>-4.6379534358281518</c:v>
                </c:pt>
                <c:pt idx="66">
                  <c:v>-4.5450434622981994</c:v>
                </c:pt>
                <c:pt idx="67">
                  <c:v>-4.453450567613281</c:v>
                </c:pt>
                <c:pt idx="68">
                  <c:v>-4.3631323866329002</c:v>
                </c:pt>
                <c:pt idx="69">
                  <c:v>-4.2740425187840767</c:v>
                </c:pt>
                <c:pt idx="70">
                  <c:v>-4.186130842928252</c:v>
                </c:pt>
                <c:pt idx="71">
                  <c:v>-4.0993438356982148</c:v>
                </c:pt>
                <c:pt idx="72">
                  <c:v>-4.0136248921302036</c:v>
                </c:pt>
                <c:pt idx="73">
                  <c:v>-3.9289146474543313</c:v>
                </c:pt>
                <c:pt idx="74">
                  <c:v>-3.8451512989447254</c:v>
                </c:pt>
                <c:pt idx="75">
                  <c:v>-3.7622709267689478</c:v>
                </c:pt>
                <c:pt idx="76">
                  <c:v>-3.680207812814432</c:v>
                </c:pt>
                <c:pt idx="77">
                  <c:v>-3.5988947565077973</c:v>
                </c:pt>
                <c:pt idx="78">
                  <c:v>-3.5182633866811286</c:v>
                </c:pt>
                <c:pt idx="79">
                  <c:v>-3.4382444685774742</c:v>
                </c:pt>
                <c:pt idx="80">
                  <c:v>-3.3587682051259211</c:v>
                </c:pt>
                <c:pt idx="81">
                  <c:v>-3.2797645316548754</c:v>
                </c:pt>
                <c:pt idx="82">
                  <c:v>-3.2011634032502583</c:v>
                </c:pt>
                <c:pt idx="83">
                  <c:v>-3.1228950740035666</c:v>
                </c:pt>
                <c:pt idx="84">
                  <c:v>-3.0448903674328571</c:v>
                </c:pt>
                <c:pt idx="85">
                  <c:v>-2.9670809373979306</c:v>
                </c:pt>
                <c:pt idx="86">
                  <c:v>-2.889399518869153</c:v>
                </c:pt>
                <c:pt idx="87">
                  <c:v>-2.8117801679474925</c:v>
                </c:pt>
                <c:pt idx="88">
                  <c:v>-2.7341584905715615</c:v>
                </c:pt>
                <c:pt idx="89">
                  <c:v>-2.6564718593855958</c:v>
                </c:pt>
                <c:pt idx="90">
                  <c:v>-2.5786596182804868</c:v>
                </c:pt>
                <c:pt idx="91">
                  <c:v>-2.5006632741581498</c:v>
                </c:pt>
                <c:pt idx="92">
                  <c:v>-2.4224266755076718</c:v>
                </c:pt>
                <c:pt idx="93">
                  <c:v>-2.3438961774198845</c:v>
                </c:pt>
                <c:pt idx="94">
                  <c:v>-2.2650207927051267</c:v>
                </c:pt>
                <c:pt idx="95">
                  <c:v>-2.1857523288171885</c:v>
                </c:pt>
                <c:pt idx="96">
                  <c:v>-2.106045510324551</c:v>
                </c:pt>
                <c:pt idx="97">
                  <c:v>-2.0258580867082436</c:v>
                </c:pt>
                <c:pt idx="98">
                  <c:v>-1.9451509253037811</c:v>
                </c:pt>
                <c:pt idx="99">
                  <c:v>-1.8638880892428389</c:v>
                </c:pt>
                <c:pt idx="100">
                  <c:v>-1.7820369002884757</c:v>
                </c:pt>
                <c:pt idx="101">
                  <c:v>-1.6995679864958944</c:v>
                </c:pt>
                <c:pt idx="102">
                  <c:v>-1.6164553146689</c:v>
                </c:pt>
                <c:pt idx="103">
                  <c:v>-1.5326762076203806</c:v>
                </c:pt>
                <c:pt idx="104">
                  <c:v>-1.4482113462833133</c:v>
                </c:pt>
                <c:pt idx="105">
                  <c:v>-1.3630447567569648</c:v>
                </c:pt>
                <c:pt idx="106">
                  <c:v>-1.2771637824111244</c:v>
                </c:pt>
                <c:pt idx="107">
                  <c:v>-1.1905590412093821</c:v>
                </c:pt>
                <c:pt idx="108">
                  <c:v>-1.103224368450634</c:v>
                </c:pt>
                <c:pt idx="109">
                  <c:v>-1.0151567451661643</c:v>
                </c:pt>
                <c:pt idx="110">
                  <c:v>-0.92635621244782995</c:v>
                </c:pt>
                <c:pt idx="111">
                  <c:v>-0.83682577202103414</c:v>
                </c:pt>
                <c:pt idx="112">
                  <c:v>-0.74657127341436214</c:v>
                </c:pt>
                <c:pt idx="113">
                  <c:v>-0.65560128811590335</c:v>
                </c:pt>
                <c:pt idx="114">
                  <c:v>-0.56392697114447066</c:v>
                </c:pt>
                <c:pt idx="115">
                  <c:v>-0.47156191050208784</c:v>
                </c:pt>
                <c:pt idx="116">
                  <c:v>-0.37852196501229518</c:v>
                </c:pt>
                <c:pt idx="117">
                  <c:v>-0.28482509108698378</c:v>
                </c:pt>
                <c:pt idx="118">
                  <c:v>-0.19049115900265015</c:v>
                </c:pt>
                <c:pt idx="119">
                  <c:v>-9.5541759305123999E-2</c:v>
                </c:pt>
                <c:pt idx="120">
                  <c:v>0</c:v>
                </c:pt>
                <c:pt idx="121">
                  <c:v>9.6109704775830571E-2</c:v>
                </c:pt>
                <c:pt idx="122">
                  <c:v>0.19276185386797837</c:v>
                </c:pt>
                <c:pt idx="123">
                  <c:v>0.28993008523194658</c:v>
                </c:pt>
                <c:pt idx="124">
                  <c:v>0.38758740826420279</c:v>
                </c:pt>
                <c:pt idx="125">
                  <c:v>0.48570644148885367</c:v>
                </c:pt>
                <c:pt idx="126">
                  <c:v>0.58425965471366925</c:v>
                </c:pt>
                <c:pt idx="127">
                  <c:v>0.68321961473103865</c:v>
                </c:pt>
                <c:pt idx="128">
                  <c:v>0.782559233601263</c:v>
                </c:pt>
                <c:pt idx="129">
                  <c:v>0.88225201851742452</c:v>
                </c:pt>
                <c:pt idx="130">
                  <c:v>0.98227232221289795</c:v>
                </c:pt>
                <c:pt idx="131">
                  <c:v>1.0825955928344053</c:v>
                </c:pt>
                <c:pt idx="132">
                  <c:v>1.1831986221653294</c:v>
                </c:pt>
                <c:pt idx="133">
                  <c:v>1.2840597910458595</c:v>
                </c:pt>
                <c:pt idx="134">
                  <c:v>1.3851593107983324</c:v>
                </c:pt>
                <c:pt idx="135">
                  <c:v>1.4864794594280062</c:v>
                </c:pt>
                <c:pt idx="136">
                  <c:v>1.5880048113312895</c:v>
                </c:pt>
                <c:pt idx="137">
                  <c:v>1.6897224592053173</c:v>
                </c:pt>
                <c:pt idx="138">
                  <c:v>1.7916222268145665</c:v>
                </c:pt>
                <c:pt idx="139">
                  <c:v>1.8936968712320454</c:v>
                </c:pt>
                <c:pt idx="140">
                  <c:v>1.9959422731344225</c:v>
                </c:pt>
                <c:pt idx="141">
                  <c:v>2.0983576136922801</c:v>
                </c:pt>
                <c:pt idx="142">
                  <c:v>2.2009455365585215</c:v>
                </c:pt>
                <c:pt idx="143">
                  <c:v>2.3037122934197756</c:v>
                </c:pt>
                <c:pt idx="144">
                  <c:v>2.4066678715374823</c:v>
                </c:pt>
                <c:pt idx="145">
                  <c:v>2.5098261016671648</c:v>
                </c:pt>
                <c:pt idx="146">
                  <c:v>2.6132047447062372</c:v>
                </c:pt>
                <c:pt idx="147">
                  <c:v>2.716825555382496</c:v>
                </c:pt>
                <c:pt idx="148">
                  <c:v>2.8207143212573209</c:v>
                </c:pt>
                <c:pt idx="149">
                  <c:v>2.9249008752793886</c:v>
                </c:pt>
                <c:pt idx="150">
                  <c:v>3.0294190800865617</c:v>
                </c:pt>
                <c:pt idx="151">
                  <c:v>3.1343067822154578</c:v>
                </c:pt>
                <c:pt idx="152">
                  <c:v>3.2396057343399787</c:v>
                </c:pt>
                <c:pt idx="153">
                  <c:v>3.345361483621986</c:v>
                </c:pt>
                <c:pt idx="154">
                  <c:v>3.4516232242190643</c:v>
                </c:pt>
                <c:pt idx="155">
                  <c:v>3.5584436119561889</c:v>
                </c:pt>
                <c:pt idx="156">
                  <c:v>3.6658785391299471</c:v>
                </c:pt>
                <c:pt idx="157">
                  <c:v>3.7739868673757391</c:v>
                </c:pt>
                <c:pt idx="158">
                  <c:v>3.8828301164902941</c:v>
                </c:pt>
                <c:pt idx="159">
                  <c:v>3.9924721070635956</c:v>
                </c:pt>
                <c:pt idx="160">
                  <c:v>4.1029785547361621</c:v>
                </c:pt>
                <c:pt idx="161">
                  <c:v>4.2144166138595081</c:v>
                </c:pt>
                <c:pt idx="162">
                  <c:v>4.3268543682993297</c:v>
                </c:pt>
                <c:pt idx="163">
                  <c:v>4.4403602670829212</c:v>
                </c:pt>
                <c:pt idx="164">
                  <c:v>4.5550025025540322</c:v>
                </c:pt>
                <c:pt idx="165">
                  <c:v>4.6708483286603322</c:v>
                </c:pt>
                <c:pt idx="166">
                  <c:v>4.7879633169603233</c:v>
                </c:pt>
                <c:pt idx="167">
                  <c:v>4.9064105478985534</c:v>
                </c:pt>
                <c:pt idx="168">
                  <c:v>5.0262497348596504</c:v>
                </c:pt>
                <c:pt idx="169">
                  <c:v>5.1475362784736074</c:v>
                </c:pt>
                <c:pt idx="170">
                  <c:v>5.2703202486066054</c:v>
                </c:pt>
                <c:pt idx="171">
                  <c:v>5.3946452914333829</c:v>
                </c:pt>
                <c:pt idx="172">
                  <c:v>5.5205474589491148</c:v>
                </c:pt>
                <c:pt idx="173">
                  <c:v>5.6480539582405074</c:v>
                </c:pt>
                <c:pt idx="174">
                  <c:v>5.7771818177976861</c:v>
                </c:pt>
                <c:pt idx="175">
                  <c:v>5.9079364681102504</c:v>
                </c:pt>
                <c:pt idx="176">
                  <c:v>6.0403102337527397</c:v>
                </c:pt>
                <c:pt idx="177">
                  <c:v>6.1742807341265706</c:v>
                </c:pt>
                <c:pt idx="178">
                  <c:v>6.309809189987285</c:v>
                </c:pt>
                <c:pt idx="179">
                  <c:v>6.4468386328478697</c:v>
                </c:pt>
                <c:pt idx="180">
                  <c:v>6.5852920143106601</c:v>
                </c:pt>
                <c:pt idx="181">
                  <c:v>6.7250702123422217</c:v>
                </c:pt>
                <c:pt idx="182">
                  <c:v>6.8660499314673524</c:v>
                </c:pt>
                <c:pt idx="183">
                  <c:v>7.0080814938203382</c:v>
                </c:pt>
                <c:pt idx="184">
                  <c:v>7.1509865179532088</c:v>
                </c:pt>
                <c:pt idx="185">
                  <c:v>7.2945554822627638</c:v>
                </c:pt>
                <c:pt idx="186">
                  <c:v>7.4385451698598413</c:v>
                </c:pt>
                <c:pt idx="187">
                  <c:v>7.5826759916662043</c:v>
                </c:pt>
                <c:pt idx="188">
                  <c:v>7.7266291844861996</c:v>
                </c:pt>
                <c:pt idx="189">
                  <c:v>7.8700438807622195</c:v>
                </c:pt>
                <c:pt idx="190">
                  <c:v>8.0125140466847711</c:v>
                </c:pt>
                <c:pt idx="191">
                  <c:v>8.1535852852898607</c:v>
                </c:pt>
                <c:pt idx="192">
                  <c:v>8.2927515011381345</c:v>
                </c:pt>
                <c:pt idx="193">
                  <c:v>8.429451423132166</c:v>
                </c:pt>
                <c:pt idx="194">
                  <c:v>8.5630649819899727</c:v>
                </c:pt>
                <c:pt idx="195">
                  <c:v>8.6929095388548099</c:v>
                </c:pt>
                <c:pt idx="196">
                  <c:v>8.8182359614830066</c:v>
                </c:pt>
                <c:pt idx="197">
                  <c:v>8.9382245444135187</c:v>
                </c:pt>
                <c:pt idx="198">
                  <c:v>9.0519807694846293</c:v>
                </c:pt>
                <c:pt idx="199">
                  <c:v>9.1585309030251807</c:v>
                </c:pt>
                <c:pt idx="200">
                  <c:v>9.256817426009361</c:v>
                </c:pt>
              </c:numCache>
            </c:numRef>
          </c:yVal>
          <c:smooth val="1"/>
        </c:ser>
        <c:dLbls>
          <c:showLegendKey val="0"/>
          <c:showVal val="0"/>
          <c:showCatName val="0"/>
          <c:showSerName val="0"/>
          <c:showPercent val="0"/>
          <c:showBubbleSize val="0"/>
        </c:dLbls>
        <c:axId val="453326832"/>
        <c:axId val="453327616"/>
      </c:scatterChart>
      <c:valAx>
        <c:axId val="45332683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7616"/>
        <c:crossesAt val="-1000"/>
        <c:crossBetween val="midCat"/>
      </c:valAx>
      <c:valAx>
        <c:axId val="453327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32683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45"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9.5829899074419245E-2</v>
      </c>
      <c r="D59" s="55">
        <v>1</v>
      </c>
    </row>
    <row r="60" spans="1:4" s="11" customFormat="1" x14ac:dyDescent="0.25">
      <c r="A60" s="54">
        <v>2</v>
      </c>
      <c r="B60" s="56">
        <f>'Shiftfunktion bestimmen'!N2</f>
        <v>2.8401806674750138E-4</v>
      </c>
      <c r="D60" s="55">
        <v>2</v>
      </c>
    </row>
    <row r="61" spans="1:4" s="11" customFormat="1" x14ac:dyDescent="0.25">
      <c r="A61" s="54">
        <v>3</v>
      </c>
      <c r="B61" s="56">
        <f>'Shiftfunktion bestimmen'!N3</f>
        <v>-4.1688911533949549E-6</v>
      </c>
      <c r="D61" s="55">
        <v>3</v>
      </c>
    </row>
    <row r="62" spans="1:4" s="11" customFormat="1" x14ac:dyDescent="0.25">
      <c r="A62" s="54">
        <v>4</v>
      </c>
      <c r="B62" s="56">
        <f>'Shiftfunktion bestimmen'!N4</f>
        <v>-4.5341147633066766E-8</v>
      </c>
      <c r="D62" s="55">
        <v>4</v>
      </c>
    </row>
    <row r="63" spans="1:4" s="11" customFormat="1" x14ac:dyDescent="0.25">
      <c r="A63" s="54">
        <v>5</v>
      </c>
      <c r="B63" s="56">
        <f>'Shiftfunktion bestimmen'!N5</f>
        <v>1.8573683556545501E-9</v>
      </c>
      <c r="D63" s="55">
        <v>5</v>
      </c>
    </row>
    <row r="64" spans="1:4" s="11" customFormat="1" x14ac:dyDescent="0.25">
      <c r="A64" s="54">
        <v>6</v>
      </c>
      <c r="B64" s="56">
        <f>'Shiftfunktion bestimmen'!N6</f>
        <v>9.754353062963304E-12</v>
      </c>
      <c r="D64" s="55">
        <v>6</v>
      </c>
    </row>
    <row r="65" spans="1:5" s="11" customFormat="1" x14ac:dyDescent="0.25">
      <c r="A65" s="54">
        <v>7</v>
      </c>
      <c r="B65" s="56">
        <f>'Shiftfunktion bestimmen'!N7</f>
        <v>-1.5690959989914988E-13</v>
      </c>
      <c r="D65" s="55">
        <v>7</v>
      </c>
    </row>
    <row r="66" spans="1:5" x14ac:dyDescent="0.25">
      <c r="A66" s="54">
        <v>8</v>
      </c>
      <c r="B66" s="56">
        <f>'Shiftfunktion bestimmen'!N8</f>
        <v>-9.4668948305178878E-16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8.8124140087449648E-2</v>
      </c>
      <c r="D74" s="51">
        <v>1</v>
      </c>
      <c r="E74" s="56">
        <f>'Mastercurve bestimmen'!A18</f>
        <v>1.0000000000000001E-20</v>
      </c>
    </row>
    <row r="75" spans="1:5" x14ac:dyDescent="0.25">
      <c r="A75" s="50">
        <f>A74+1</f>
        <v>2</v>
      </c>
      <c r="B75" s="56">
        <f>'Mastercurve bestimmen'!C19</f>
        <v>3.6514591817959942E-2</v>
      </c>
      <c r="D75" s="51">
        <v>2</v>
      </c>
      <c r="E75" s="56">
        <f>'Mastercurve bestimmen'!A19</f>
        <v>3.9038946506297401E-14</v>
      </c>
    </row>
    <row r="76" spans="1:5" x14ac:dyDescent="0.25">
      <c r="A76" s="50">
        <f t="shared" ref="A76:A104" si="0">A75+1</f>
        <v>3</v>
      </c>
      <c r="B76" s="56">
        <f>'Mastercurve bestimmen'!C20</f>
        <v>1.7686200365280833E-2</v>
      </c>
      <c r="D76" s="51">
        <v>3</v>
      </c>
      <c r="E76" s="56">
        <f>'Mastercurve bestimmen'!A20</f>
        <v>4.3276437088188502E-13</v>
      </c>
    </row>
    <row r="77" spans="1:5" x14ac:dyDescent="0.25">
      <c r="A77" s="50">
        <f t="shared" si="0"/>
        <v>4</v>
      </c>
      <c r="B77" s="56">
        <f>'Mastercurve bestimmen'!C21</f>
        <v>2.4470489121356472E-2</v>
      </c>
      <c r="D77" s="51">
        <v>4</v>
      </c>
      <c r="E77" s="56">
        <f>'Mastercurve bestimmen'!A21</f>
        <v>4.7973886968128502E-12</v>
      </c>
    </row>
    <row r="78" spans="1:5" x14ac:dyDescent="0.25">
      <c r="A78" s="50">
        <f t="shared" si="0"/>
        <v>5</v>
      </c>
      <c r="B78" s="56">
        <f>'Mastercurve bestimmen'!C22</f>
        <v>2.4627512030384147E-2</v>
      </c>
      <c r="D78" s="51">
        <v>5</v>
      </c>
      <c r="E78" s="56">
        <f>'Mastercurve bestimmen'!A22</f>
        <v>5.31812225239524E-11</v>
      </c>
    </row>
    <row r="79" spans="1:5" x14ac:dyDescent="0.25">
      <c r="A79" s="50">
        <f t="shared" si="0"/>
        <v>6</v>
      </c>
      <c r="B79" s="56">
        <f>'Mastercurve bestimmen'!C23</f>
        <v>1.9757999415409316E-2</v>
      </c>
      <c r="D79" s="51">
        <v>6</v>
      </c>
      <c r="E79" s="56">
        <f>'Mastercurve bestimmen'!A23</f>
        <v>5.8953789402578301E-10</v>
      </c>
    </row>
    <row r="80" spans="1:5" x14ac:dyDescent="0.25">
      <c r="A80" s="50">
        <f t="shared" si="0"/>
        <v>7</v>
      </c>
      <c r="B80" s="56">
        <f>'Mastercurve bestimmen'!C24</f>
        <v>3.0456673139818591E-2</v>
      </c>
      <c r="D80" s="51">
        <v>7</v>
      </c>
      <c r="E80" s="56">
        <f>'Mastercurve bestimmen'!A24</f>
        <v>6.5352940755699598E-9</v>
      </c>
    </row>
    <row r="81" spans="1:5" x14ac:dyDescent="0.25">
      <c r="A81" s="50">
        <f t="shared" si="0"/>
        <v>8</v>
      </c>
      <c r="B81" s="56">
        <f>'Mastercurve bestimmen'!C25</f>
        <v>3.3429649525112674E-2</v>
      </c>
      <c r="D81" s="51">
        <v>8</v>
      </c>
      <c r="E81" s="56">
        <f>'Mastercurve bestimmen'!A25</f>
        <v>7.2446689325643296E-8</v>
      </c>
    </row>
    <row r="82" spans="1:5" x14ac:dyDescent="0.25">
      <c r="A82" s="50">
        <f t="shared" si="0"/>
        <v>9</v>
      </c>
      <c r="B82" s="56">
        <f>'Mastercurve bestimmen'!C26</f>
        <v>3.254093488233234E-2</v>
      </c>
      <c r="D82" s="51">
        <f>A82</f>
        <v>9</v>
      </c>
      <c r="E82" s="56">
        <f>'Mastercurve bestimmen'!A26</f>
        <v>8.03104303120212E-7</v>
      </c>
    </row>
    <row r="83" spans="1:5" x14ac:dyDescent="0.25">
      <c r="A83" s="50">
        <f t="shared" si="0"/>
        <v>10</v>
      </c>
      <c r="B83" s="56">
        <f>'Mastercurve bestimmen'!C27</f>
        <v>2.4641511300848837E-2</v>
      </c>
      <c r="C83" s="11"/>
      <c r="D83" s="51">
        <f t="shared" ref="D83:D104" si="1">A83</f>
        <v>10</v>
      </c>
      <c r="E83" s="56">
        <f>'Mastercurve bestimmen'!A27</f>
        <v>8.9027742702096099E-6</v>
      </c>
    </row>
    <row r="84" spans="1:5" x14ac:dyDescent="0.25">
      <c r="A84" s="50">
        <f t="shared" si="0"/>
        <v>11</v>
      </c>
      <c r="B84" s="56">
        <f>'Mastercurve bestimmen'!C28</f>
        <v>2.412241796775583E-2</v>
      </c>
      <c r="C84" s="11"/>
      <c r="D84" s="51">
        <f t="shared" si="1"/>
        <v>11</v>
      </c>
      <c r="E84" s="56">
        <f>'Mastercurve bestimmen'!A28</f>
        <v>9.86912775817142E-5</v>
      </c>
    </row>
    <row r="85" spans="1:5" x14ac:dyDescent="0.25">
      <c r="A85" s="50">
        <f t="shared" si="0"/>
        <v>12</v>
      </c>
      <c r="B85" s="56">
        <f>'Mastercurve bestimmen'!C29</f>
        <v>2.8528246553067089E-2</v>
      </c>
      <c r="C85" s="11"/>
      <c r="D85" s="51">
        <f t="shared" si="1"/>
        <v>12</v>
      </c>
      <c r="E85" s="56">
        <f>'Mastercurve bestimmen'!A29</f>
        <v>1.0940374286813801E-3</v>
      </c>
    </row>
    <row r="86" spans="1:5" x14ac:dyDescent="0.25">
      <c r="A86" s="50">
        <f t="shared" si="0"/>
        <v>13</v>
      </c>
      <c r="B86" s="56">
        <f>'Mastercurve bestimmen'!C30</f>
        <v>2.1048719571397968E-2</v>
      </c>
      <c r="C86" s="11"/>
      <c r="D86" s="51">
        <f t="shared" si="1"/>
        <v>13</v>
      </c>
      <c r="E86" s="56">
        <f>'Mastercurve bestimmen'!A30</f>
        <v>1.2127899493091E-2</v>
      </c>
    </row>
    <row r="87" spans="1:5" x14ac:dyDescent="0.25">
      <c r="A87" s="50">
        <f t="shared" si="0"/>
        <v>14</v>
      </c>
      <c r="B87" s="56">
        <f>'Mastercurve bestimmen'!C31</f>
        <v>3.1114198963852646E-2</v>
      </c>
      <c r="C87" s="11"/>
      <c r="D87" s="51">
        <f t="shared" si="1"/>
        <v>14</v>
      </c>
      <c r="E87" s="56">
        <f>'Mastercurve bestimmen'!A31</f>
        <v>0.13444324870292301</v>
      </c>
    </row>
    <row r="88" spans="1:5" x14ac:dyDescent="0.25">
      <c r="A88" s="50">
        <f t="shared" si="0"/>
        <v>15</v>
      </c>
      <c r="B88" s="56">
        <f>'Mastercurve bestimmen'!C32</f>
        <v>2.5140718095571668E-2</v>
      </c>
      <c r="C88" s="11"/>
      <c r="D88" s="51">
        <f t="shared" si="1"/>
        <v>15</v>
      </c>
      <c r="E88" s="56">
        <f>'Mastercurve bestimmen'!A32</f>
        <v>1.49036419143257</v>
      </c>
    </row>
    <row r="89" spans="1:5" x14ac:dyDescent="0.25">
      <c r="A89" s="50">
        <f t="shared" si="0"/>
        <v>16</v>
      </c>
      <c r="B89" s="56">
        <f>'Mastercurve bestimmen'!C33</f>
        <v>7.3741618123119579E-2</v>
      </c>
      <c r="C89" s="11"/>
      <c r="D89" s="51">
        <f t="shared" si="1"/>
        <v>16</v>
      </c>
      <c r="E89" s="56">
        <f>'Mastercurve bestimmen'!A33</f>
        <v>16.521360830937301</v>
      </c>
    </row>
    <row r="90" spans="1:5" x14ac:dyDescent="0.25">
      <c r="A90" s="50">
        <f t="shared" si="0"/>
        <v>17</v>
      </c>
      <c r="B90" s="56">
        <f>'Mastercurve bestimmen'!C34</f>
        <v>9.9846945696723061E-2</v>
      </c>
      <c r="C90" s="11"/>
      <c r="D90" s="51">
        <f t="shared" si="1"/>
        <v>17</v>
      </c>
      <c r="E90" s="56">
        <f>'Mastercurve bestimmen'!A34</f>
        <v>183.146753843879</v>
      </c>
    </row>
    <row r="91" spans="1:5" x14ac:dyDescent="0.25">
      <c r="A91" s="50">
        <f t="shared" si="0"/>
        <v>18</v>
      </c>
      <c r="B91" s="56">
        <f>'Mastercurve bestimmen'!C35</f>
        <v>8.4959897030223219E-2</v>
      </c>
      <c r="C91" s="11"/>
      <c r="D91" s="51">
        <f t="shared" si="1"/>
        <v>18</v>
      </c>
      <c r="E91" s="56">
        <f>'Mastercurve bestimmen'!A35</f>
        <v>2030.26456396616</v>
      </c>
    </row>
    <row r="92" spans="1:5" x14ac:dyDescent="0.25">
      <c r="A92" s="50">
        <f t="shared" si="0"/>
        <v>19</v>
      </c>
      <c r="B92" s="56">
        <f>'Mastercurve bestimmen'!C36</f>
        <v>6.3888587804479924E-2</v>
      </c>
      <c r="C92" s="11"/>
      <c r="D92" s="51">
        <f t="shared" si="1"/>
        <v>19</v>
      </c>
      <c r="E92" s="56">
        <f>'Mastercurve bestimmen'!A36</f>
        <v>22506.400540467101</v>
      </c>
    </row>
    <row r="93" spans="1:5" x14ac:dyDescent="0.25">
      <c r="A93" s="50">
        <f t="shared" si="0"/>
        <v>20</v>
      </c>
      <c r="B93" s="56">
        <f>'Mastercurve bestimmen'!C37</f>
        <v>6.4356714781999613E-2</v>
      </c>
      <c r="C93" s="11"/>
      <c r="D93" s="51">
        <f t="shared" si="1"/>
        <v>20</v>
      </c>
      <c r="E93" s="56">
        <f>'Mastercurve bestimmen'!A37</f>
        <v>249493.62476110301</v>
      </c>
    </row>
    <row r="94" spans="1:5" x14ac:dyDescent="0.25">
      <c r="A94" s="50">
        <f t="shared" si="0"/>
        <v>21</v>
      </c>
      <c r="B94" s="56">
        <f>'Mastercurve bestimmen'!C38</f>
        <v>2.3762961942572935E-2</v>
      </c>
      <c r="C94" s="11"/>
      <c r="D94" s="51">
        <f t="shared" si="1"/>
        <v>21</v>
      </c>
      <c r="E94" s="56">
        <f>'Mastercurve bestimmen'!A38</f>
        <v>2765749.6224023802</v>
      </c>
    </row>
    <row r="95" spans="1:5" x14ac:dyDescent="0.25">
      <c r="A95" s="50">
        <f t="shared" si="0"/>
        <v>22</v>
      </c>
      <c r="B95" s="56">
        <f>'Mastercurve bestimmen'!C39</f>
        <v>4.2794407584768095E-2</v>
      </c>
      <c r="C95" s="11"/>
      <c r="D95" s="51">
        <f t="shared" si="1"/>
        <v>22</v>
      </c>
      <c r="E95" s="56">
        <f>'Mastercurve bestimmen'!A39</f>
        <v>10000000</v>
      </c>
    </row>
    <row r="96" spans="1:5" x14ac:dyDescent="0.25">
      <c r="A96" s="50">
        <f t="shared" si="0"/>
        <v>23</v>
      </c>
      <c r="B96" s="56">
        <f>'Mastercurve bestimmen'!C40</f>
        <v>2.2817294808056693E-2</v>
      </c>
      <c r="C96" s="11"/>
      <c r="D96" s="51">
        <f t="shared" si="1"/>
        <v>23</v>
      </c>
      <c r="E96" s="56">
        <f>'Mastercurve bestimmen'!A40</f>
        <v>100000000</v>
      </c>
    </row>
    <row r="97" spans="1:5" x14ac:dyDescent="0.25">
      <c r="A97" s="50">
        <f t="shared" si="0"/>
        <v>24</v>
      </c>
      <c r="B97" s="56">
        <f>'Mastercurve bestimmen'!C41</f>
        <v>1.5874068547548043E-2</v>
      </c>
      <c r="C97" s="11"/>
      <c r="D97" s="51">
        <f t="shared" si="1"/>
        <v>24</v>
      </c>
      <c r="E97" s="56">
        <f>'Mastercurve bestimmen'!A41</f>
        <v>1000000000</v>
      </c>
    </row>
    <row r="98" spans="1:5" x14ac:dyDescent="0.25">
      <c r="A98" s="50">
        <f t="shared" si="0"/>
        <v>25</v>
      </c>
      <c r="B98" s="56">
        <f>'Mastercurve bestimmen'!C42</f>
        <v>5.5424436077778048E-3</v>
      </c>
      <c r="C98" s="11"/>
      <c r="D98" s="51">
        <f t="shared" si="1"/>
        <v>25</v>
      </c>
      <c r="E98" s="56">
        <f>'Mastercurve bestimmen'!A42</f>
        <v>10000000000</v>
      </c>
    </row>
    <row r="99" spans="1:5" x14ac:dyDescent="0.25">
      <c r="A99" s="50">
        <f t="shared" si="0"/>
        <v>26</v>
      </c>
      <c r="B99" s="56">
        <f>'Mastercurve bestimmen'!C43</f>
        <v>3.8861309197679899E-3</v>
      </c>
      <c r="C99" s="11"/>
      <c r="D99" s="51">
        <f t="shared" si="1"/>
        <v>26</v>
      </c>
      <c r="E99" s="56">
        <f>'Mastercurve bestimmen'!A43</f>
        <v>100000000000</v>
      </c>
    </row>
    <row r="100" spans="1:5" x14ac:dyDescent="0.25">
      <c r="A100" s="50">
        <f t="shared" si="0"/>
        <v>27</v>
      </c>
      <c r="B100" s="56">
        <f>'Mastercurve bestimmen'!C44</f>
        <v>2.064572113999586E-3</v>
      </c>
      <c r="C100" s="11"/>
      <c r="D100" s="51">
        <f t="shared" si="1"/>
        <v>27</v>
      </c>
      <c r="E100" s="56">
        <f>'Mastercurve bestimmen'!A44</f>
        <v>1000000000000</v>
      </c>
    </row>
    <row r="101" spans="1:5" x14ac:dyDescent="0.25">
      <c r="A101" s="50">
        <f t="shared" si="0"/>
        <v>28</v>
      </c>
      <c r="B101" s="56">
        <f>'Mastercurve bestimmen'!C45</f>
        <v>5.3484126683110472E-4</v>
      </c>
      <c r="C101" s="11"/>
      <c r="D101" s="51">
        <f t="shared" si="1"/>
        <v>28</v>
      </c>
      <c r="E101" s="56">
        <f>'Mastercurve bestimmen'!A45</f>
        <v>10000000000000</v>
      </c>
    </row>
    <row r="102" spans="1:5" x14ac:dyDescent="0.25">
      <c r="A102" s="50">
        <f t="shared" si="0"/>
        <v>29</v>
      </c>
      <c r="B102" s="56">
        <f>'Mastercurve bestimmen'!C46</f>
        <v>1.465148476990797E-3</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1.026110794379005E-2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E116" zoomScale="120" zoomScaleNormal="120" zoomScaleSheetLayoutView="110" workbookViewId="0">
      <selection activeCell="D66" sqref="D6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10455.125722169887</v>
      </c>
      <c r="G16" s="26">
        <f>INDEX(Comparison!$AM$3:$AS$33,G14,$B$3)</f>
        <v>10216.758037955571</v>
      </c>
      <c r="H16" s="26">
        <f>INDEX(Comparison!$AM$3:$AS$33,H14,$B$3)</f>
        <v>9990.8860283110862</v>
      </c>
      <c r="I16" s="26">
        <f>INDEX(Comparison!$AM$3:$AS$33,I14,$B$3)</f>
        <v>9740.6929571272121</v>
      </c>
      <c r="J16" s="26">
        <f>INDEX(Comparison!$AM$3:$AS$33,J14,$B$3)</f>
        <v>9486.1331326421696</v>
      </c>
      <c r="K16" s="26">
        <f>INDEX(Comparison!$AM$3:$AS$33,K14,$B$3)</f>
        <v>9224.2999433670138</v>
      </c>
      <c r="L16" s="26">
        <f>INDEX(Comparison!$AM$3:$AS$33,L14,$B$3)</f>
        <v>8983.6546151744242</v>
      </c>
      <c r="M16" s="26">
        <f>INDEX(Comparison!$AM$3:$AS$33,M14,$B$3)</f>
        <v>8670.3934759322055</v>
      </c>
      <c r="N16" s="26">
        <f>INDEX(Comparison!$AM$3:$AS$33,N14,$B$3)</f>
        <v>8318.7463719570296</v>
      </c>
      <c r="O16" s="26">
        <f>INDEX(Comparison!$AM$3:$AS$33,O14,$B$3)</f>
        <v>7968.6744939632144</v>
      </c>
      <c r="P16" s="26">
        <f>INDEX(Comparison!$AM$3:$AS$33,P14,$B$3)</f>
        <v>7682.4342615636733</v>
      </c>
      <c r="Q16" s="26">
        <f>INDEX(Comparison!$AM$3:$AS$33,Q14,$B$3)</f>
        <v>7403.9105678680935</v>
      </c>
      <c r="R16" s="26">
        <f>INDEX(Comparison!$AM$3:$AS$33,R14,$B$3)</f>
        <v>7132.2476769922887</v>
      </c>
      <c r="S16" s="26">
        <f>INDEX(Comparison!$AM$3:$AS$33,S14,$B$3)</f>
        <v>6844.7384968439528</v>
      </c>
      <c r="T16" s="26">
        <f>INDEX(Comparison!$AM$3:$AS$33,T14,$B$3)</f>
        <v>6572.6294407257219</v>
      </c>
      <c r="U16" s="26">
        <f>INDEX(Comparison!$AM$3:$AS$33,U14,$B$3)</f>
        <v>6219.0027578185491</v>
      </c>
      <c r="V16" s="26">
        <f>INDEX(Comparison!$AM$3:$AS$33,V14,$B$3)</f>
        <v>5690.6299745251627</v>
      </c>
      <c r="W16" s="26">
        <f>INDEX(Comparison!$AM$3:$AS$33,W14,$B$3)</f>
        <v>4763.4711208275512</v>
      </c>
      <c r="X16" s="26">
        <f>INDEX(Comparison!$AM$3:$AS$33,X14,$B$3)</f>
        <v>3748.4083561986595</v>
      </c>
      <c r="Y16" s="26">
        <f>INDEX(Comparison!$AM$3:$AS$33,Y14,$B$3)</f>
        <v>2899.8712503562774</v>
      </c>
      <c r="Z16" s="26">
        <f>INDEX(Comparison!$AM$3:$AS$33,Z14,$B$3)</f>
        <v>2207.9514817928284</v>
      </c>
      <c r="AA16" s="26">
        <f>INDEX(Comparison!$AM$3:$AS$33,AA14,$B$3)</f>
        <v>1604.1263924000411</v>
      </c>
      <c r="AB16" s="26">
        <f>INDEX(Comparison!$AM$3:$AS$33,AB14,$B$3)</f>
        <v>1123.4067588567204</v>
      </c>
      <c r="AC16" s="26">
        <f>INDEX(Comparison!$AM$3:$AS$33,AC14,$B$3)</f>
        <v>780.76520754617513</v>
      </c>
      <c r="AD16" s="26">
        <f>INDEX(Comparison!$AM$3:$AS$33,AD14,$B$3)</f>
        <v>582.0058323502866</v>
      </c>
      <c r="AE16" s="26">
        <f>INDEX(Comparison!$AM$3:$AS$33,AE14,$B$3)</f>
        <v>477.43912435634792</v>
      </c>
      <c r="AF16" s="26">
        <f>INDEX(Comparison!$AM$3:$AS$33,AF14,$B$3)</f>
        <v>428.31766172038903</v>
      </c>
      <c r="AG16" s="26">
        <f>INDEX(Comparison!$AM$3:$AS$33,AG14,$B$3)</f>
        <v>398.6513774250231</v>
      </c>
      <c r="AH16" s="26">
        <f>INDEX(Comparison!$AM$3:$AS$33,AH14,$B$3)</f>
        <v>385.25122525189607</v>
      </c>
      <c r="AI16" s="26">
        <f>INDEX(Comparison!$AM$3:$AS$33,AI14,$B$3)</f>
        <v>372.90060316523403</v>
      </c>
      <c r="AJ16" s="26">
        <f>INDEX(Comparison!$AM$3:$AS$33,AJ14,$B$3)</f>
        <v>356.83813776395743</v>
      </c>
    </row>
    <row r="17" spans="1:36" x14ac:dyDescent="0.25">
      <c r="A17" s="14" t="s">
        <v>20</v>
      </c>
      <c r="B17" s="105">
        <v>1.9717227732529461E-2</v>
      </c>
      <c r="C17" s="18">
        <f t="shared" ref="C17:C48" si="3">ABS(B17/$B$49)</f>
        <v>2.1999256513753576E-2</v>
      </c>
      <c r="D17" s="66"/>
      <c r="E17" s="65" t="s">
        <v>22</v>
      </c>
      <c r="F17" s="27">
        <f>($C$17+SUM(F18:F48))*$B$51</f>
        <v>10389.692468569694</v>
      </c>
      <c r="G17" s="27">
        <f t="shared" ref="G17:M17" si="4">($C$17+SUM(G18:G48))*$B$51</f>
        <v>10301.393058117992</v>
      </c>
      <c r="H17" s="27">
        <f t="shared" si="4"/>
        <v>9968.4703397048888</v>
      </c>
      <c r="I17" s="27">
        <f t="shared" si="4"/>
        <v>9744.3666211086711</v>
      </c>
      <c r="J17" s="27">
        <f t="shared" si="4"/>
        <v>9485.6230303506763</v>
      </c>
      <c r="K17" s="27">
        <f t="shared" si="4"/>
        <v>9224.3764926407584</v>
      </c>
      <c r="L17" s="27">
        <f t="shared" si="4"/>
        <v>8983.4950393918589</v>
      </c>
      <c r="M17" s="27">
        <f t="shared" si="4"/>
        <v>8670.9074213877102</v>
      </c>
      <c r="N17" s="27">
        <f t="shared" ref="N17" si="5">($C$17+SUM(N18:N48))*$B$51</f>
        <v>8317.4929906208345</v>
      </c>
      <c r="O17" s="27">
        <f t="shared" ref="O17" si="6">($C$17+SUM(O18:O48))*$B$51</f>
        <v>7971.2431477275059</v>
      </c>
      <c r="P17" s="27">
        <f t="shared" ref="P17" si="7">($C$17+SUM(P18:P48))*$B$51</f>
        <v>7677.9936091269574</v>
      </c>
      <c r="Q17" s="27">
        <f t="shared" ref="Q17" si="8">($C$17+SUM(Q18:Q48))*$B$51</f>
        <v>7410.3523675229317</v>
      </c>
      <c r="R17" s="27">
        <f t="shared" ref="R17" si="9">($C$17+SUM(R18:R48))*$B$51</f>
        <v>7124.3363170584926</v>
      </c>
      <c r="S17" s="27">
        <f t="shared" ref="S17:T17" si="10">($C$17+SUM(S18:S48))*$B$51</f>
        <v>6853.0400453335606</v>
      </c>
      <c r="T17" s="27">
        <f t="shared" si="10"/>
        <v>6565.1761395028971</v>
      </c>
      <c r="U17" s="27">
        <f t="shared" ref="U17" si="11">($C$17+SUM(U18:U48))*$B$51</f>
        <v>6224.727583674593</v>
      </c>
      <c r="V17" s="27">
        <f t="shared" ref="V17" si="12">($C$17+SUM(V18:V48))*$B$51</f>
        <v>5686.8413351175996</v>
      </c>
      <c r="W17" s="27">
        <f t="shared" ref="W17" si="13">($C$17+SUM(W18:W48))*$B$51</f>
        <v>4765.6561351786004</v>
      </c>
      <c r="X17" s="27">
        <f t="shared" ref="X17" si="14">($C$17+SUM(X18:X48))*$B$51</f>
        <v>3747.3067359468569</v>
      </c>
      <c r="Y17" s="27">
        <f t="shared" ref="Y17" si="15">($C$17+SUM(Y18:Y48))*$B$51</f>
        <v>2900.3524527773006</v>
      </c>
      <c r="Z17" s="27">
        <f t="shared" ref="Z17:AA17" si="16">($C$17+SUM(Z18:Z48))*$B$51</f>
        <v>2207.7689271656145</v>
      </c>
      <c r="AA17" s="27">
        <f t="shared" si="16"/>
        <v>1604.1866397343597</v>
      </c>
      <c r="AB17" s="27">
        <f t="shared" ref="AB17" si="17">($C$17+SUM(AB18:AB48))*$B$51</f>
        <v>1123.3888338154557</v>
      </c>
      <c r="AC17" s="27">
        <f t="shared" ref="AC17" si="18">($C$17+SUM(AC18:AC48))*$B$51</f>
        <v>780.77487931738005</v>
      </c>
      <c r="AD17" s="27">
        <f t="shared" ref="AD17" si="19">($C$17+SUM(AD18:AD48))*$B$51</f>
        <v>581.99742386686194</v>
      </c>
      <c r="AE17" s="27">
        <f t="shared" ref="AE17" si="20">($C$17+SUM(AE18:AE48))*$B$51</f>
        <v>477.44686985321619</v>
      </c>
      <c r="AF17" s="27">
        <f t="shared" ref="AF17" si="21">($C$17+SUM(AF18:AF48))*$B$51</f>
        <v>428.30763414696457</v>
      </c>
      <c r="AG17" s="27">
        <f t="shared" ref="AG17:AH17" si="22">($C$17+SUM(AG18:AG48))*$B$51</f>
        <v>398.67623002567353</v>
      </c>
      <c r="AH17" s="27">
        <f t="shared" si="22"/>
        <v>385.20744480091901</v>
      </c>
      <c r="AI17" s="27">
        <f t="shared" ref="AI17" si="23">($C$17+SUM(AI18:AI48))*$B$51</f>
        <v>372.94162626331786</v>
      </c>
      <c r="AJ17" s="27">
        <f t="shared" ref="AJ17" si="24">($C$17+SUM(AJ18:AJ48))*$B$51</f>
        <v>356.82134614902191</v>
      </c>
    </row>
    <row r="18" spans="1:36" x14ac:dyDescent="0.25">
      <c r="A18" s="3">
        <f>0.000000000000001/10^5</f>
        <v>1.0000000000000001E-20</v>
      </c>
      <c r="B18" s="106">
        <v>7.8982839158735968E-2</v>
      </c>
      <c r="C18" s="18">
        <f t="shared" si="3"/>
        <v>8.8124140087449648E-2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3.2726857018325221E-2</v>
      </c>
      <c r="C19" s="18">
        <f t="shared" si="3"/>
        <v>3.6514591817959942E-2</v>
      </c>
      <c r="D19" s="17"/>
      <c r="F19" s="3">
        <f t="shared" si="25"/>
        <v>3.5591132195738791E-2</v>
      </c>
      <c r="G19" s="3">
        <f t="shared" si="25"/>
        <v>2.82631123312992E-2</v>
      </c>
      <c r="H19" s="3">
        <f t="shared" si="25"/>
        <v>2.8183945757674668E-3</v>
      </c>
      <c r="I19" s="3">
        <f t="shared" si="25"/>
        <v>2.740437435852812E-13</v>
      </c>
      <c r="J19" s="3">
        <f t="shared" si="25"/>
        <v>2.0701454674234542E-113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1.5851573897843869E-2</v>
      </c>
      <c r="C20" s="18">
        <f t="shared" si="3"/>
        <v>1.7686200365280833E-2</v>
      </c>
      <c r="D20" s="17"/>
      <c r="F20" s="3">
        <f t="shared" si="25"/>
        <v>1.7645379578496982E-2</v>
      </c>
      <c r="G20" s="3">
        <f t="shared" si="25"/>
        <v>1.7282206262165027E-2</v>
      </c>
      <c r="H20" s="3">
        <f t="shared" si="25"/>
        <v>1.403721571791897E-2</v>
      </c>
      <c r="I20" s="3">
        <f t="shared" si="25"/>
        <v>1.7542798420925887E-3</v>
      </c>
      <c r="J20" s="3">
        <f t="shared" si="25"/>
        <v>1.6303387967876827E-12</v>
      </c>
      <c r="K20" s="3">
        <f t="shared" si="25"/>
        <v>7.8355189929859825E-103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2.1932114225338719E-2</v>
      </c>
      <c r="C21" s="18">
        <f t="shared" si="3"/>
        <v>2.4470489121356472E-2</v>
      </c>
      <c r="D21" s="17"/>
      <c r="F21" s="3">
        <f t="shared" si="25"/>
        <v>2.4465388859433133E-2</v>
      </c>
      <c r="G21" s="3">
        <f t="shared" si="25"/>
        <v>2.4419534311541806E-2</v>
      </c>
      <c r="H21" s="3">
        <f t="shared" si="25"/>
        <v>2.3965689242648931E-2</v>
      </c>
      <c r="I21" s="3">
        <f t="shared" si="25"/>
        <v>1.986622657773935E-2</v>
      </c>
      <c r="J21" s="3">
        <f t="shared" si="25"/>
        <v>3.043476773756507E-3</v>
      </c>
      <c r="K21" s="3">
        <f t="shared" si="25"/>
        <v>2.1672852036841897E-11</v>
      </c>
      <c r="L21" s="3">
        <f t="shared" si="25"/>
        <v>7.2673622446618793E-93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2.2072848820373209E-2</v>
      </c>
      <c r="C22" s="18">
        <f t="shared" si="3"/>
        <v>2.4627512030384147E-2</v>
      </c>
      <c r="D22" s="17"/>
      <c r="F22" s="3">
        <f t="shared" si="25"/>
        <v>2.4627048948128425E-2</v>
      </c>
      <c r="G22" s="3">
        <f t="shared" si="25"/>
        <v>2.46228815996468E-2</v>
      </c>
      <c r="H22" s="3">
        <f t="shared" si="25"/>
        <v>2.4581246880697426E-2</v>
      </c>
      <c r="I22" s="3">
        <f t="shared" si="25"/>
        <v>2.4168752113711046E-2</v>
      </c>
      <c r="J22" s="3">
        <f t="shared" si="25"/>
        <v>2.040597804053736E-2</v>
      </c>
      <c r="K22" s="3">
        <f t="shared" si="25"/>
        <v>3.7565510107890011E-3</v>
      </c>
      <c r="L22" s="3">
        <f t="shared" si="25"/>
        <v>1.6792217340342331E-10</v>
      </c>
      <c r="M22" s="3">
        <f t="shared" si="25"/>
        <v>5.3492834055631188E-84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1.7708460909542773E-2</v>
      </c>
      <c r="C23" s="18">
        <f t="shared" si="3"/>
        <v>1.9757999415409316E-2</v>
      </c>
      <c r="D23" s="17"/>
      <c r="F23" s="3">
        <f t="shared" si="25"/>
        <v>1.9757965901053651E-2</v>
      </c>
      <c r="G23" s="3">
        <f t="shared" si="25"/>
        <v>1.9757664274410839E-2</v>
      </c>
      <c r="H23" s="3">
        <f t="shared" si="25"/>
        <v>1.9754648261227178E-2</v>
      </c>
      <c r="I23" s="3">
        <f t="shared" si="25"/>
        <v>1.972451343953879E-2</v>
      </c>
      <c r="J23" s="3">
        <f t="shared" si="25"/>
        <v>1.9425681999254735E-2</v>
      </c>
      <c r="K23" s="3">
        <f t="shared" si="25"/>
        <v>1.6675391380633547E-2</v>
      </c>
      <c r="L23" s="3">
        <f t="shared" si="25"/>
        <v>3.6230442989145816E-3</v>
      </c>
      <c r="M23" s="3">
        <f t="shared" si="25"/>
        <v>8.4927771346464767E-10</v>
      </c>
      <c r="N23" s="3">
        <f t="shared" si="25"/>
        <v>4.254128084723896E-76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2.7297338884956418E-2</v>
      </c>
      <c r="C24" s="18">
        <f t="shared" si="3"/>
        <v>3.0456673139818591E-2</v>
      </c>
      <c r="D24" s="17"/>
      <c r="F24" s="3">
        <f t="shared" si="25"/>
        <v>3.0456668479481894E-2</v>
      </c>
      <c r="G24" s="3">
        <f t="shared" si="25"/>
        <v>3.0456626536483705E-2</v>
      </c>
      <c r="H24" s="3">
        <f t="shared" si="25"/>
        <v>3.0456207109678675E-2</v>
      </c>
      <c r="I24" s="3">
        <f t="shared" si="25"/>
        <v>3.0452013159297749E-2</v>
      </c>
      <c r="J24" s="3">
        <f t="shared" si="25"/>
        <v>3.0410105406242813E-2</v>
      </c>
      <c r="K24" s="3">
        <f t="shared" si="25"/>
        <v>2.9994186832242947E-2</v>
      </c>
      <c r="L24" s="3">
        <f t="shared" si="25"/>
        <v>2.6135376508713285E-2</v>
      </c>
      <c r="M24" s="3">
        <f t="shared" si="25"/>
        <v>6.593946925608626E-3</v>
      </c>
      <c r="N24" s="3">
        <f t="shared" si="25"/>
        <v>6.8914769766222572E-9</v>
      </c>
      <c r="O24" s="3">
        <f t="shared" si="25"/>
        <v>1.07147226375373E-68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2.9961922226471985E-2</v>
      </c>
      <c r="C25" s="18">
        <f t="shared" si="3"/>
        <v>3.3429649525112674E-2</v>
      </c>
      <c r="D25" s="17"/>
      <c r="F25" s="3">
        <f t="shared" si="25"/>
        <v>3.3429649063674759E-2</v>
      </c>
      <c r="G25" s="3">
        <f t="shared" si="25"/>
        <v>3.3429644910733809E-2</v>
      </c>
      <c r="H25" s="3">
        <f t="shared" si="25"/>
        <v>3.3429603381352674E-2</v>
      </c>
      <c r="I25" s="3">
        <f t="shared" si="25"/>
        <v>3.3429188090378821E-2</v>
      </c>
      <c r="J25" s="3">
        <f t="shared" si="25"/>
        <v>3.3425035464380179E-2</v>
      </c>
      <c r="K25" s="3">
        <f t="shared" si="25"/>
        <v>3.338353756533638E-2</v>
      </c>
      <c r="L25" s="3">
        <f t="shared" si="25"/>
        <v>3.2971381676310238E-2</v>
      </c>
      <c r="M25" s="3">
        <f t="shared" si="25"/>
        <v>2.9119576618351618E-2</v>
      </c>
      <c r="N25" s="3">
        <f t="shared" si="25"/>
        <v>8.4074472577641939E-3</v>
      </c>
      <c r="O25" s="3">
        <f t="shared" si="25"/>
        <v>3.3841928535139822E-8</v>
      </c>
      <c r="P25" s="3">
        <f t="shared" si="25"/>
        <v>3.7788932941443104E-62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2.9165395807955147E-2</v>
      </c>
      <c r="C26" s="18">
        <f t="shared" si="3"/>
        <v>3.254093488233234E-2</v>
      </c>
      <c r="D26" s="17"/>
      <c r="F26" s="3">
        <f t="shared" si="25"/>
        <v>3.2540934841813397E-2</v>
      </c>
      <c r="G26" s="3">
        <f t="shared" si="25"/>
        <v>3.2540934477142944E-2</v>
      </c>
      <c r="H26" s="3">
        <f t="shared" si="25"/>
        <v>3.2540930830438616E-2</v>
      </c>
      <c r="I26" s="3">
        <f t="shared" si="25"/>
        <v>3.2540894363417804E-2</v>
      </c>
      <c r="J26" s="3">
        <f t="shared" si="25"/>
        <v>3.2540529695457336E-2</v>
      </c>
      <c r="K26" s="3">
        <f t="shared" si="25"/>
        <v>3.2536883240609958E-2</v>
      </c>
      <c r="L26" s="3">
        <f t="shared" si="25"/>
        <v>3.2500441158550386E-2</v>
      </c>
      <c r="M26" s="3">
        <f t="shared" si="25"/>
        <v>3.2138257691730635E-2</v>
      </c>
      <c r="N26" s="3">
        <f t="shared" si="25"/>
        <v>2.8731152989844518E-2</v>
      </c>
      <c r="O26" s="3">
        <f t="shared" si="25"/>
        <v>9.3682897570529916E-3</v>
      </c>
      <c r="P26" s="3">
        <f t="shared" si="25"/>
        <v>1.2727201376025061E-7</v>
      </c>
      <c r="Q26" s="3">
        <f t="shared" si="25"/>
        <v>2.7255799484401555E-56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2.2085395917302096E-2</v>
      </c>
      <c r="C27" s="18">
        <f t="shared" si="3"/>
        <v>2.4641511300848837E-2</v>
      </c>
      <c r="D27" s="17"/>
      <c r="F27" s="3">
        <f t="shared" si="25"/>
        <v>2.4641511298080992E-2</v>
      </c>
      <c r="G27" s="3">
        <f t="shared" si="25"/>
        <v>2.4641511273170373E-2</v>
      </c>
      <c r="H27" s="3">
        <f t="shared" si="25"/>
        <v>2.4641511024064203E-2</v>
      </c>
      <c r="I27" s="3">
        <f t="shared" si="25"/>
        <v>2.4641508533002638E-2</v>
      </c>
      <c r="J27" s="3">
        <f t="shared" si="25"/>
        <v>2.4641483622400845E-2</v>
      </c>
      <c r="K27" s="3">
        <f t="shared" si="25"/>
        <v>2.4641234517767955E-2</v>
      </c>
      <c r="L27" s="3">
        <f t="shared" si="25"/>
        <v>2.4638743609937935E-2</v>
      </c>
      <c r="M27" s="3">
        <f t="shared" si="25"/>
        <v>2.4613848376347142E-2</v>
      </c>
      <c r="N27" s="3">
        <f t="shared" si="25"/>
        <v>2.4366275346870584E-2</v>
      </c>
      <c r="O27" s="3">
        <f t="shared" si="25"/>
        <v>2.2023453084177986E-2</v>
      </c>
      <c r="P27" s="3">
        <f t="shared" si="25"/>
        <v>8.0139766591966529E-3</v>
      </c>
      <c r="Q27" s="3">
        <f t="shared" si="25"/>
        <v>3.2619302475212121E-7</v>
      </c>
      <c r="R27" s="3">
        <f t="shared" si="25"/>
        <v>4.0713706091411268E-51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2.1620149218776908E-2</v>
      </c>
      <c r="C28" s="18">
        <f t="shared" si="3"/>
        <v>2.412241796775583E-2</v>
      </c>
      <c r="D28" s="17"/>
      <c r="F28" s="3">
        <f t="shared" si="25"/>
        <v>2.4122417967511408E-2</v>
      </c>
      <c r="G28" s="3">
        <f t="shared" si="25"/>
        <v>2.4122417965311602E-2</v>
      </c>
      <c r="H28" s="3">
        <f t="shared" si="25"/>
        <v>2.4122417943313528E-2</v>
      </c>
      <c r="I28" s="3">
        <f t="shared" si="25"/>
        <v>2.4122417723332835E-2</v>
      </c>
      <c r="J28" s="3">
        <f t="shared" si="25"/>
        <v>2.412241552352597E-2</v>
      </c>
      <c r="K28" s="3">
        <f t="shared" si="25"/>
        <v>2.412239352546839E-2</v>
      </c>
      <c r="L28" s="3">
        <f t="shared" si="25"/>
        <v>2.4122173545995898E-2</v>
      </c>
      <c r="M28" s="3">
        <f t="shared" si="25"/>
        <v>2.4119973861601255E-2</v>
      </c>
      <c r="N28" s="3">
        <f t="shared" si="25"/>
        <v>2.4097988046961085E-2</v>
      </c>
      <c r="O28" s="3">
        <f t="shared" si="25"/>
        <v>2.3879229118782007E-2</v>
      </c>
      <c r="P28" s="3">
        <f t="shared" si="25"/>
        <v>2.1797941465918447E-2</v>
      </c>
      <c r="Q28" s="3">
        <f t="shared" si="25"/>
        <v>8.7572404954785864E-3</v>
      </c>
      <c r="R28" s="3">
        <f t="shared" si="25"/>
        <v>9.5914711104066199E-7</v>
      </c>
      <c r="S28" s="3">
        <f t="shared" si="25"/>
        <v>2.3826743340278326E-46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2.5568952011851304E-2</v>
      </c>
      <c r="C29" s="18">
        <f t="shared" si="3"/>
        <v>2.8528246553067089E-2</v>
      </c>
      <c r="D29" s="17"/>
      <c r="F29" s="3">
        <f t="shared" si="25"/>
        <v>2.8528246553041012E-2</v>
      </c>
      <c r="G29" s="3">
        <f t="shared" si="25"/>
        <v>2.8528246552806329E-2</v>
      </c>
      <c r="H29" s="3">
        <f t="shared" si="25"/>
        <v>2.8528246550459477E-2</v>
      </c>
      <c r="I29" s="3">
        <f t="shared" si="25"/>
        <v>2.8528246526990972E-2</v>
      </c>
      <c r="J29" s="3">
        <f t="shared" si="25"/>
        <v>2.8528246292305933E-2</v>
      </c>
      <c r="K29" s="3">
        <f t="shared" si="25"/>
        <v>2.8528243945455643E-2</v>
      </c>
      <c r="L29" s="3">
        <f t="shared" si="25"/>
        <v>2.8528220476963323E-2</v>
      </c>
      <c r="M29" s="3">
        <f t="shared" si="25"/>
        <v>2.8527985793101982E-2</v>
      </c>
      <c r="N29" s="3">
        <f t="shared" si="25"/>
        <v>2.8525639060668826E-2</v>
      </c>
      <c r="O29" s="3">
        <f t="shared" si="25"/>
        <v>2.8502182351131014E-2</v>
      </c>
      <c r="P29" s="3">
        <f t="shared" si="25"/>
        <v>2.8268673511322801E-2</v>
      </c>
      <c r="Q29" s="3">
        <f t="shared" si="25"/>
        <v>2.6036259236996477E-2</v>
      </c>
      <c r="R29" s="3">
        <f t="shared" si="25"/>
        <v>1.1436948296676902E-2</v>
      </c>
      <c r="S29" s="3">
        <f t="shared" si="25"/>
        <v>3.0593267566986482E-6</v>
      </c>
      <c r="T29" s="3">
        <f t="shared" si="25"/>
        <v>5.7382958776105634E-42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1.8865291970569024E-2</v>
      </c>
      <c r="C30" s="18">
        <f t="shared" si="3"/>
        <v>2.1048719571397968E-2</v>
      </c>
      <c r="D30" s="17"/>
      <c r="F30" s="3">
        <f t="shared" si="25"/>
        <v>2.1048719571396233E-2</v>
      </c>
      <c r="G30" s="3">
        <f t="shared" si="25"/>
        <v>2.104871957138061E-2</v>
      </c>
      <c r="H30" s="3">
        <f t="shared" si="25"/>
        <v>2.1048719571224412E-2</v>
      </c>
      <c r="I30" s="3">
        <f t="shared" si="25"/>
        <v>2.1048719569662405E-2</v>
      </c>
      <c r="J30" s="3">
        <f t="shared" si="25"/>
        <v>2.1048719554042351E-2</v>
      </c>
      <c r="K30" s="3">
        <f t="shared" si="25"/>
        <v>2.1048719397841784E-2</v>
      </c>
      <c r="L30" s="3">
        <f t="shared" si="25"/>
        <v>2.1048717835836197E-2</v>
      </c>
      <c r="M30" s="3">
        <f t="shared" si="25"/>
        <v>2.1048702215786714E-2</v>
      </c>
      <c r="N30" s="3">
        <f t="shared" si="25"/>
        <v>2.1048546015929391E-2</v>
      </c>
      <c r="O30" s="3">
        <f t="shared" si="25"/>
        <v>2.1046984081107473E-2</v>
      </c>
      <c r="P30" s="3">
        <f t="shared" si="25"/>
        <v>2.1031371106266995E-2</v>
      </c>
      <c r="Q30" s="3">
        <f t="shared" si="25"/>
        <v>2.0875876949238911E-2</v>
      </c>
      <c r="R30" s="3">
        <f t="shared" si="25"/>
        <v>1.9382783452380894E-2</v>
      </c>
      <c r="S30" s="3">
        <f t="shared" si="25"/>
        <v>9.2284826211163646E-3</v>
      </c>
      <c r="T30" s="3">
        <f t="shared" si="25"/>
        <v>5.5242312199804206E-6</v>
      </c>
      <c r="U30" s="3">
        <f t="shared" si="25"/>
        <v>3.2635279787705616E-38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2.7886658183287855E-2</v>
      </c>
      <c r="C31" s="18">
        <f t="shared" si="3"/>
        <v>3.1114198963852646E-2</v>
      </c>
      <c r="D31" s="17"/>
      <c r="F31" s="3">
        <f t="shared" si="25"/>
        <v>3.1114198963852414E-2</v>
      </c>
      <c r="G31" s="3">
        <f t="shared" si="25"/>
        <v>3.1114198963850332E-2</v>
      </c>
      <c r="H31" s="3">
        <f t="shared" si="25"/>
        <v>3.1114198963829501E-2</v>
      </c>
      <c r="I31" s="3">
        <f t="shared" si="25"/>
        <v>3.1114198963621217E-2</v>
      </c>
      <c r="J31" s="3">
        <f t="shared" si="25"/>
        <v>3.1114198961538345E-2</v>
      </c>
      <c r="K31" s="3">
        <f t="shared" si="25"/>
        <v>3.1114198940709648E-2</v>
      </c>
      <c r="L31" s="3">
        <f t="shared" si="25"/>
        <v>3.111419873242266E-2</v>
      </c>
      <c r="M31" s="3">
        <f t="shared" si="25"/>
        <v>3.1114196649552887E-2</v>
      </c>
      <c r="N31" s="3">
        <f t="shared" si="25"/>
        <v>3.1114175820862802E-2</v>
      </c>
      <c r="O31" s="3">
        <f t="shared" si="25"/>
        <v>3.111396753472884E-2</v>
      </c>
      <c r="P31" s="3">
        <f t="shared" si="25"/>
        <v>3.1111884750075251E-2</v>
      </c>
      <c r="Q31" s="3">
        <f t="shared" si="25"/>
        <v>3.1091064570245561E-2</v>
      </c>
      <c r="R31" s="3">
        <f t="shared" si="25"/>
        <v>3.0883627547011756E-2</v>
      </c>
      <c r="S31" s="3">
        <f t="shared" si="25"/>
        <v>2.8883874005384058E-2</v>
      </c>
      <c r="T31" s="3">
        <f t="shared" si="25"/>
        <v>1.4788590998856524E-2</v>
      </c>
      <c r="U31" s="3">
        <f t="shared" si="25"/>
        <v>1.8307977054281746E-5</v>
      </c>
      <c r="V31" s="3">
        <f t="shared" si="26"/>
        <v>1.5480178837003621E-34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2.2532818949576958E-2</v>
      </c>
      <c r="C32" s="18">
        <f t="shared" si="3"/>
        <v>2.5140718095571668E-2</v>
      </c>
      <c r="D32" s="17"/>
      <c r="F32" s="3">
        <f t="shared" si="25"/>
        <v>2.5140718095571651E-2</v>
      </c>
      <c r="G32" s="3">
        <f t="shared" si="25"/>
        <v>2.5140718095571502E-2</v>
      </c>
      <c r="H32" s="3">
        <f t="shared" si="25"/>
        <v>2.5140718095569982E-2</v>
      </c>
      <c r="I32" s="3">
        <f t="shared" si="25"/>
        <v>2.51407180955548E-2</v>
      </c>
      <c r="J32" s="3">
        <f t="shared" si="25"/>
        <v>2.514071809540298E-2</v>
      </c>
      <c r="K32" s="3">
        <f t="shared" si="25"/>
        <v>2.5140718093884785E-2</v>
      </c>
      <c r="L32" s="3">
        <f t="shared" si="25"/>
        <v>2.5140718078702825E-2</v>
      </c>
      <c r="M32" s="3">
        <f t="shared" si="25"/>
        <v>2.5140717926883251E-2</v>
      </c>
      <c r="N32" s="3">
        <f t="shared" si="25"/>
        <v>2.5140716408687525E-2</v>
      </c>
      <c r="O32" s="3">
        <f t="shared" si="25"/>
        <v>2.5140701226735309E-2</v>
      </c>
      <c r="P32" s="3">
        <f t="shared" si="25"/>
        <v>2.514054940771741E-2</v>
      </c>
      <c r="Q32" s="3">
        <f t="shared" si="25"/>
        <v>2.5139031267961555E-2</v>
      </c>
      <c r="R32" s="3">
        <f t="shared" si="25"/>
        <v>2.5123854911589423E-2</v>
      </c>
      <c r="S32" s="3">
        <f t="shared" si="25"/>
        <v>2.4972594341948883E-2</v>
      </c>
      <c r="T32" s="3">
        <f t="shared" si="25"/>
        <v>2.350918211025177E-2</v>
      </c>
      <c r="U32" s="3">
        <f t="shared" si="25"/>
        <v>1.2852159217831787E-2</v>
      </c>
      <c r="V32" s="3">
        <f t="shared" si="26"/>
        <v>3.0645158125064849E-5</v>
      </c>
      <c r="W32" s="3">
        <f t="shared" si="26"/>
        <v>1.820621056397011E-31</v>
      </c>
      <c r="X32" s="3">
        <f t="shared" si="26"/>
        <v>9.9723269302104421E-294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6.6092246207946417E-2</v>
      </c>
      <c r="C33" s="18">
        <f t="shared" si="3"/>
        <v>7.3741618123119579E-2</v>
      </c>
      <c r="D33" s="17"/>
      <c r="F33" s="3">
        <f t="shared" si="25"/>
        <v>7.3741618123119565E-2</v>
      </c>
      <c r="G33" s="3">
        <f t="shared" si="25"/>
        <v>7.3741618123119537E-2</v>
      </c>
      <c r="H33" s="3">
        <f t="shared" si="25"/>
        <v>7.3741618123119135E-2</v>
      </c>
      <c r="I33" s="3">
        <f t="shared" si="25"/>
        <v>7.374161812311511E-2</v>
      </c>
      <c r="J33" s="3">
        <f t="shared" si="25"/>
        <v>7.3741618123074948E-2</v>
      </c>
      <c r="K33" s="3">
        <f t="shared" si="25"/>
        <v>7.3741618122673228E-2</v>
      </c>
      <c r="L33" s="3">
        <f t="shared" si="25"/>
        <v>7.3741618118656163E-2</v>
      </c>
      <c r="M33" s="3">
        <f t="shared" si="25"/>
        <v>7.3741618078485463E-2</v>
      </c>
      <c r="N33" s="3">
        <f t="shared" si="25"/>
        <v>7.3741617676778518E-2</v>
      </c>
      <c r="O33" s="3">
        <f t="shared" si="25"/>
        <v>7.3741613659709049E-2</v>
      </c>
      <c r="P33" s="3">
        <f t="shared" si="25"/>
        <v>7.3741573489026449E-2</v>
      </c>
      <c r="Q33" s="3">
        <f t="shared" si="25"/>
        <v>7.3741171783403933E-2</v>
      </c>
      <c r="R33" s="3">
        <f t="shared" si="25"/>
        <v>7.3737154847532446E-2</v>
      </c>
      <c r="S33" s="3">
        <f t="shared" si="25"/>
        <v>7.3696997521750143E-2</v>
      </c>
      <c r="T33" s="3">
        <f t="shared" si="25"/>
        <v>7.3296625135384791E-2</v>
      </c>
      <c r="U33" s="3">
        <f t="shared" ref="P33:AE48" si="27">$C33*EXP(-U$15/$A33)</f>
        <v>6.9410602838520824E-2</v>
      </c>
      <c r="V33" s="3">
        <f t="shared" si="27"/>
        <v>4.0257258347642134E-2</v>
      </c>
      <c r="W33" s="3">
        <f t="shared" si="27"/>
        <v>1.7339156969631858E-4</v>
      </c>
      <c r="X33" s="3">
        <f t="shared" si="27"/>
        <v>3.8094810185413173E-28</v>
      </c>
      <c r="Y33" s="3">
        <f t="shared" si="27"/>
        <v>9.9826115328988084E-265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8.9489613681670965E-2</v>
      </c>
      <c r="C34" s="18">
        <f t="shared" si="3"/>
        <v>9.9846945696723061E-2</v>
      </c>
      <c r="D34" s="17"/>
      <c r="F34" s="3">
        <f t="shared" ref="F34:O48" si="28">$C34*EXP(-F$15/$A34)</f>
        <v>9.9846945696723061E-2</v>
      </c>
      <c r="G34" s="3">
        <f t="shared" si="28"/>
        <v>9.9846945696723061E-2</v>
      </c>
      <c r="H34" s="3">
        <f t="shared" si="28"/>
        <v>9.9846945696723005E-2</v>
      </c>
      <c r="I34" s="3">
        <f t="shared" si="28"/>
        <v>9.9846945696722519E-2</v>
      </c>
      <c r="J34" s="3">
        <f t="shared" si="28"/>
        <v>9.9846945696717607E-2</v>
      </c>
      <c r="K34" s="3">
        <f t="shared" si="28"/>
        <v>9.9846945696668549E-2</v>
      </c>
      <c r="L34" s="3">
        <f t="shared" si="28"/>
        <v>9.9846945696177886E-2</v>
      </c>
      <c r="M34" s="3">
        <f t="shared" si="28"/>
        <v>9.9846945691271324E-2</v>
      </c>
      <c r="N34" s="3">
        <f t="shared" si="28"/>
        <v>9.9846945642205601E-2</v>
      </c>
      <c r="O34" s="3">
        <f t="shared" si="28"/>
        <v>9.984694515154853E-2</v>
      </c>
      <c r="P34" s="3">
        <f t="shared" si="27"/>
        <v>9.9846940244977894E-2</v>
      </c>
      <c r="Q34" s="3">
        <f t="shared" si="27"/>
        <v>9.9846891179284802E-2</v>
      </c>
      <c r="R34" s="3">
        <f t="shared" si="27"/>
        <v>9.9846400523680046E-2</v>
      </c>
      <c r="S34" s="3">
        <f t="shared" si="27"/>
        <v>9.9841494100242192E-2</v>
      </c>
      <c r="T34" s="3">
        <f t="shared" si="27"/>
        <v>9.9792443124422078E-2</v>
      </c>
      <c r="U34" s="3">
        <f t="shared" si="27"/>
        <v>9.9303256814540844E-2</v>
      </c>
      <c r="V34" s="3">
        <f t="shared" si="27"/>
        <v>9.4541363537801529E-2</v>
      </c>
      <c r="W34" s="3">
        <f t="shared" si="27"/>
        <v>5.7836973261393247E-2</v>
      </c>
      <c r="X34" s="3">
        <f t="shared" si="27"/>
        <v>4.2466113201098358E-4</v>
      </c>
      <c r="Y34" s="3">
        <f t="shared" si="27"/>
        <v>1.9338022955357823E-25</v>
      </c>
      <c r="Z34" s="3">
        <f t="shared" si="27"/>
        <v>7.414940229972455E-239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7.6146829636259447E-2</v>
      </c>
      <c r="C35" s="18">
        <f t="shared" si="3"/>
        <v>8.4959897030223219E-2</v>
      </c>
      <c r="D35" s="17"/>
      <c r="F35" s="3">
        <f t="shared" si="28"/>
        <v>8.4959897030223219E-2</v>
      </c>
      <c r="G35" s="3">
        <f t="shared" si="28"/>
        <v>8.4959897030223219E-2</v>
      </c>
      <c r="H35" s="3">
        <f t="shared" si="28"/>
        <v>8.4959897030223219E-2</v>
      </c>
      <c r="I35" s="3">
        <f t="shared" si="28"/>
        <v>8.4959897030223178E-2</v>
      </c>
      <c r="J35" s="3">
        <f t="shared" si="28"/>
        <v>8.4959897030222803E-2</v>
      </c>
      <c r="K35" s="3">
        <f t="shared" si="28"/>
        <v>8.4959897030219028E-2</v>
      </c>
      <c r="L35" s="3">
        <f t="shared" si="28"/>
        <v>8.4959897030181378E-2</v>
      </c>
      <c r="M35" s="3">
        <f t="shared" si="28"/>
        <v>8.4959897029804748E-2</v>
      </c>
      <c r="N35" s="3">
        <f t="shared" si="28"/>
        <v>8.4959897026038539E-2</v>
      </c>
      <c r="O35" s="3">
        <f t="shared" si="28"/>
        <v>8.4959896988376499E-2</v>
      </c>
      <c r="P35" s="3">
        <f t="shared" si="27"/>
        <v>8.4959896611756097E-2</v>
      </c>
      <c r="Q35" s="3">
        <f t="shared" si="27"/>
        <v>8.4959892845552096E-2</v>
      </c>
      <c r="R35" s="3">
        <f t="shared" si="27"/>
        <v>8.4959855183521255E-2</v>
      </c>
      <c r="S35" s="3">
        <f t="shared" si="27"/>
        <v>8.4959478564131136E-2</v>
      </c>
      <c r="T35" s="3">
        <f t="shared" si="27"/>
        <v>8.4955712462052316E-2</v>
      </c>
      <c r="U35" s="3">
        <f t="shared" si="27"/>
        <v>8.4918060621995237E-2</v>
      </c>
      <c r="V35" s="3">
        <f t="shared" si="27"/>
        <v>8.4542458790523842E-2</v>
      </c>
      <c r="W35" s="3">
        <f t="shared" si="27"/>
        <v>8.087661170640012E-2</v>
      </c>
      <c r="X35" s="3">
        <f t="shared" si="27"/>
        <v>5.1916294489880693E-2</v>
      </c>
      <c r="Y35" s="3">
        <f t="shared" si="27"/>
        <v>6.1675272378810717E-4</v>
      </c>
      <c r="Z35" s="3">
        <f t="shared" si="27"/>
        <v>3.4529076666227603E-23</v>
      </c>
      <c r="AA35" s="3">
        <f t="shared" si="27"/>
        <v>1.0445370640520869E-215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5.7261291283325307E-2</v>
      </c>
      <c r="C36" s="18">
        <f t="shared" si="3"/>
        <v>6.3888587804479924E-2</v>
      </c>
      <c r="D36" s="17"/>
      <c r="F36" s="3">
        <f t="shared" si="28"/>
        <v>6.3888587804479924E-2</v>
      </c>
      <c r="G36" s="3">
        <f t="shared" si="28"/>
        <v>6.3888587804479924E-2</v>
      </c>
      <c r="H36" s="3">
        <f t="shared" si="28"/>
        <v>6.3888587804479924E-2</v>
      </c>
      <c r="I36" s="3">
        <f t="shared" si="28"/>
        <v>6.3888587804479924E-2</v>
      </c>
      <c r="J36" s="3">
        <f t="shared" si="28"/>
        <v>6.3888587804479896E-2</v>
      </c>
      <c r="K36" s="3">
        <f t="shared" si="28"/>
        <v>6.3888587804479646E-2</v>
      </c>
      <c r="L36" s="3">
        <f t="shared" si="28"/>
        <v>6.3888587804477093E-2</v>
      </c>
      <c r="M36" s="3">
        <f t="shared" si="28"/>
        <v>6.3888587804451544E-2</v>
      </c>
      <c r="N36" s="3">
        <f t="shared" si="28"/>
        <v>6.3888587804196054E-2</v>
      </c>
      <c r="O36" s="3">
        <f t="shared" si="28"/>
        <v>6.3888587801641236E-2</v>
      </c>
      <c r="P36" s="3">
        <f t="shared" si="27"/>
        <v>6.3888587776093075E-2</v>
      </c>
      <c r="Q36" s="3">
        <f t="shared" si="27"/>
        <v>6.3888587520611398E-2</v>
      </c>
      <c r="R36" s="3">
        <f t="shared" si="27"/>
        <v>6.3888584965794706E-2</v>
      </c>
      <c r="S36" s="3">
        <f t="shared" si="27"/>
        <v>6.3888559417633481E-2</v>
      </c>
      <c r="T36" s="3">
        <f t="shared" si="27"/>
        <v>6.3888303936583082E-2</v>
      </c>
      <c r="U36" s="3">
        <f t="shared" si="27"/>
        <v>6.3885749182268081E-2</v>
      </c>
      <c r="V36" s="3">
        <f t="shared" si="27"/>
        <v>6.3860207257192866E-2</v>
      </c>
      <c r="W36" s="3">
        <f t="shared" si="27"/>
        <v>6.3605348983567594E-2</v>
      </c>
      <c r="X36" s="3">
        <f t="shared" si="27"/>
        <v>6.1112042753259162E-2</v>
      </c>
      <c r="Y36" s="3">
        <f t="shared" si="27"/>
        <v>4.0969287509011881E-2</v>
      </c>
      <c r="Z36" s="3">
        <f t="shared" si="27"/>
        <v>7.5123275469086395E-4</v>
      </c>
      <c r="AA36" s="3">
        <f t="shared" si="27"/>
        <v>3.2280150981626427E-21</v>
      </c>
      <c r="AB36" s="3">
        <f t="shared" si="27"/>
        <v>6.927012578987442E-195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5.7680858472685809E-2</v>
      </c>
      <c r="C37" s="18">
        <f t="shared" si="3"/>
        <v>6.4356714781999613E-2</v>
      </c>
      <c r="D37" s="17"/>
      <c r="F37" s="3">
        <f t="shared" si="28"/>
        <v>6.4356714781999613E-2</v>
      </c>
      <c r="G37" s="3">
        <f t="shared" si="28"/>
        <v>6.4356714781999613E-2</v>
      </c>
      <c r="H37" s="3">
        <f t="shared" si="28"/>
        <v>6.4356714781999613E-2</v>
      </c>
      <c r="I37" s="3">
        <f t="shared" si="28"/>
        <v>6.4356714781999613E-2</v>
      </c>
      <c r="J37" s="3">
        <f t="shared" si="28"/>
        <v>6.4356714781999613E-2</v>
      </c>
      <c r="K37" s="3">
        <f t="shared" si="28"/>
        <v>6.4356714781999586E-2</v>
      </c>
      <c r="L37" s="3">
        <f t="shared" si="28"/>
        <v>6.435671478199935E-2</v>
      </c>
      <c r="M37" s="3">
        <f t="shared" si="28"/>
        <v>6.4356714781997032E-2</v>
      </c>
      <c r="N37" s="3">
        <f t="shared" si="28"/>
        <v>6.4356714781973814E-2</v>
      </c>
      <c r="O37" s="3">
        <f t="shared" si="28"/>
        <v>6.4356714781741667E-2</v>
      </c>
      <c r="P37" s="3">
        <f t="shared" si="27"/>
        <v>6.4356714779420121E-2</v>
      </c>
      <c r="Q37" s="3">
        <f t="shared" si="27"/>
        <v>6.4356714756204678E-2</v>
      </c>
      <c r="R37" s="3">
        <f t="shared" si="27"/>
        <v>6.4356714524050285E-2</v>
      </c>
      <c r="S37" s="3">
        <f t="shared" si="27"/>
        <v>6.43567122025063E-2</v>
      </c>
      <c r="T37" s="3">
        <f t="shared" si="27"/>
        <v>6.4356688987071212E-2</v>
      </c>
      <c r="U37" s="3">
        <f t="shared" si="27"/>
        <v>6.4356456833180808E-2</v>
      </c>
      <c r="V37" s="3">
        <f t="shared" si="27"/>
        <v>6.4354135340335961E-2</v>
      </c>
      <c r="W37" s="3">
        <f t="shared" si="27"/>
        <v>6.4330925017191065E-2</v>
      </c>
      <c r="X37" s="3">
        <f t="shared" si="27"/>
        <v>6.409928170202274E-2</v>
      </c>
      <c r="Y37" s="3">
        <f t="shared" si="27"/>
        <v>6.1828232204601659E-2</v>
      </c>
      <c r="Z37" s="3">
        <f t="shared" si="27"/>
        <v>4.3104587572402535E-2</v>
      </c>
      <c r="AA37" s="3">
        <f t="shared" si="27"/>
        <v>1.1692035946102922E-3</v>
      </c>
      <c r="AB37" s="3">
        <f t="shared" si="27"/>
        <v>2.5209058138053492E-19</v>
      </c>
      <c r="AC37" s="3">
        <f t="shared" si="27"/>
        <v>5.4729489788581111E-176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2.1297980317117438E-2</v>
      </c>
      <c r="C38" s="18">
        <f t="shared" si="3"/>
        <v>2.3762961942572935E-2</v>
      </c>
      <c r="D38" s="17"/>
      <c r="F38" s="3">
        <f t="shared" si="28"/>
        <v>2.3762961942572935E-2</v>
      </c>
      <c r="G38" s="3">
        <f t="shared" si="28"/>
        <v>2.3762961942572935E-2</v>
      </c>
      <c r="H38" s="3">
        <f t="shared" si="28"/>
        <v>2.3762961942572935E-2</v>
      </c>
      <c r="I38" s="3">
        <f t="shared" si="28"/>
        <v>2.3762961942572935E-2</v>
      </c>
      <c r="J38" s="3">
        <f t="shared" si="28"/>
        <v>2.3762961942572935E-2</v>
      </c>
      <c r="K38" s="3">
        <f t="shared" si="28"/>
        <v>2.3762961942572935E-2</v>
      </c>
      <c r="L38" s="3">
        <f t="shared" si="28"/>
        <v>2.3762961942572929E-2</v>
      </c>
      <c r="M38" s="3">
        <f t="shared" si="28"/>
        <v>2.3762961942572849E-2</v>
      </c>
      <c r="N38" s="3">
        <f t="shared" si="28"/>
        <v>2.3762961942572075E-2</v>
      </c>
      <c r="O38" s="3">
        <f t="shared" si="28"/>
        <v>2.3762961942564342E-2</v>
      </c>
      <c r="P38" s="3">
        <f t="shared" si="27"/>
        <v>2.3762961942487018E-2</v>
      </c>
      <c r="Q38" s="3">
        <f t="shared" si="27"/>
        <v>2.3762961941713748E-2</v>
      </c>
      <c r="R38" s="3">
        <f t="shared" si="27"/>
        <v>2.3762961933981065E-2</v>
      </c>
      <c r="S38" s="3">
        <f t="shared" si="27"/>
        <v>2.3762961856654233E-2</v>
      </c>
      <c r="T38" s="3">
        <f t="shared" si="27"/>
        <v>2.3762961083385926E-2</v>
      </c>
      <c r="U38" s="3">
        <f t="shared" si="27"/>
        <v>2.3762953350704222E-2</v>
      </c>
      <c r="V38" s="3">
        <f t="shared" si="27"/>
        <v>2.3762876024025607E-2</v>
      </c>
      <c r="W38" s="3">
        <f t="shared" si="27"/>
        <v>2.3762102771078823E-2</v>
      </c>
      <c r="X38" s="3">
        <f t="shared" si="27"/>
        <v>2.3754371625382721E-2</v>
      </c>
      <c r="Y38" s="3">
        <f t="shared" si="27"/>
        <v>2.3677198379133339E-2</v>
      </c>
      <c r="Z38" s="3">
        <f t="shared" si="27"/>
        <v>2.291912201875089E-2</v>
      </c>
      <c r="AA38" s="3">
        <f t="shared" si="27"/>
        <v>1.6552919966595591E-2</v>
      </c>
      <c r="AB38" s="3">
        <f t="shared" si="27"/>
        <v>6.3920623155070062E-4</v>
      </c>
      <c r="AC38" s="3">
        <f t="shared" si="27"/>
        <v>4.7130804165622871E-18</v>
      </c>
      <c r="AD38" s="3">
        <f t="shared" si="27"/>
        <v>2.2384291209858962E-159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3.8355254392348971E-2</v>
      </c>
      <c r="C39" s="18">
        <f t="shared" si="3"/>
        <v>4.2794407584768095E-2</v>
      </c>
      <c r="D39" s="17"/>
      <c r="F39" s="3">
        <f t="shared" si="28"/>
        <v>4.2794407584768095E-2</v>
      </c>
      <c r="G39" s="3">
        <f t="shared" si="28"/>
        <v>4.2794407584768095E-2</v>
      </c>
      <c r="H39" s="3">
        <f t="shared" si="28"/>
        <v>4.2794407584768095E-2</v>
      </c>
      <c r="I39" s="3">
        <f t="shared" si="28"/>
        <v>4.2794407584768095E-2</v>
      </c>
      <c r="J39" s="3">
        <f t="shared" si="28"/>
        <v>4.2794407584768095E-2</v>
      </c>
      <c r="K39" s="3">
        <f t="shared" si="28"/>
        <v>4.2794407584768095E-2</v>
      </c>
      <c r="L39" s="3">
        <f t="shared" si="28"/>
        <v>4.2794407584768088E-2</v>
      </c>
      <c r="M39" s="3">
        <f t="shared" si="28"/>
        <v>4.2794407584768053E-2</v>
      </c>
      <c r="N39" s="3">
        <f t="shared" si="28"/>
        <v>4.2794407584767664E-2</v>
      </c>
      <c r="O39" s="3">
        <f t="shared" si="28"/>
        <v>4.2794407584763813E-2</v>
      </c>
      <c r="P39" s="3">
        <f t="shared" si="27"/>
        <v>4.2794407584725302E-2</v>
      </c>
      <c r="Q39" s="3">
        <f t="shared" si="27"/>
        <v>4.2794407584340152E-2</v>
      </c>
      <c r="R39" s="3">
        <f t="shared" si="27"/>
        <v>4.2794407580488657E-2</v>
      </c>
      <c r="S39" s="3">
        <f t="shared" si="27"/>
        <v>4.2794407541973688E-2</v>
      </c>
      <c r="T39" s="3">
        <f t="shared" si="27"/>
        <v>4.2794407156824019E-2</v>
      </c>
      <c r="U39" s="3">
        <f t="shared" si="27"/>
        <v>4.279440330532755E-2</v>
      </c>
      <c r="V39" s="3">
        <f t="shared" si="27"/>
        <v>4.2794364790381907E-2</v>
      </c>
      <c r="W39" s="3">
        <f t="shared" si="27"/>
        <v>4.2793979642831957E-2</v>
      </c>
      <c r="X39" s="3">
        <f t="shared" si="27"/>
        <v>4.2790128357974522E-2</v>
      </c>
      <c r="Y39" s="3">
        <f t="shared" si="27"/>
        <v>4.2751634567256502E-2</v>
      </c>
      <c r="Z39" s="3">
        <f t="shared" si="27"/>
        <v>4.2368596114693791E-2</v>
      </c>
      <c r="AA39" s="3">
        <f t="shared" si="27"/>
        <v>3.8721981265380047E-2</v>
      </c>
      <c r="AB39" s="3">
        <f t="shared" si="27"/>
        <v>1.5743182747547421E-2</v>
      </c>
      <c r="AC39" s="3">
        <f t="shared" si="27"/>
        <v>1.9428630985756205E-6</v>
      </c>
      <c r="AD39" s="3">
        <f t="shared" si="27"/>
        <v>1.5919844756413963E-45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2.0450409207667979E-2</v>
      </c>
      <c r="C40" s="18">
        <f t="shared" si="3"/>
        <v>2.2817294808056693E-2</v>
      </c>
      <c r="D40" s="17"/>
      <c r="F40" s="3">
        <f t="shared" si="28"/>
        <v>2.2817294808056693E-2</v>
      </c>
      <c r="G40" s="3">
        <f t="shared" si="28"/>
        <v>2.2817294808056693E-2</v>
      </c>
      <c r="H40" s="3">
        <f t="shared" si="28"/>
        <v>2.2817294808056693E-2</v>
      </c>
      <c r="I40" s="3">
        <f t="shared" si="28"/>
        <v>2.2817294808056693E-2</v>
      </c>
      <c r="J40" s="3">
        <f t="shared" si="28"/>
        <v>2.2817294808056693E-2</v>
      </c>
      <c r="K40" s="3">
        <f t="shared" si="28"/>
        <v>2.2817294808056693E-2</v>
      </c>
      <c r="L40" s="3">
        <f t="shared" si="28"/>
        <v>2.2817294808056693E-2</v>
      </c>
      <c r="M40" s="3">
        <f t="shared" si="28"/>
        <v>2.2817294808056689E-2</v>
      </c>
      <c r="N40" s="3">
        <f t="shared" si="28"/>
        <v>2.2817294808056669E-2</v>
      </c>
      <c r="O40" s="3">
        <f t="shared" si="28"/>
        <v>2.2817294808056464E-2</v>
      </c>
      <c r="P40" s="3">
        <f t="shared" si="27"/>
        <v>2.281729480805441E-2</v>
      </c>
      <c r="Q40" s="3">
        <f t="shared" si="27"/>
        <v>2.2817294808033878E-2</v>
      </c>
      <c r="R40" s="3">
        <f t="shared" si="27"/>
        <v>2.2817294807828521E-2</v>
      </c>
      <c r="S40" s="3">
        <f t="shared" si="27"/>
        <v>2.2817294805774962E-2</v>
      </c>
      <c r="T40" s="3">
        <f t="shared" si="27"/>
        <v>2.28172947852394E-2</v>
      </c>
      <c r="U40" s="3">
        <f t="shared" si="27"/>
        <v>2.2817294579883747E-2</v>
      </c>
      <c r="V40" s="3">
        <f t="shared" si="27"/>
        <v>2.2817292526327328E-2</v>
      </c>
      <c r="W40" s="3">
        <f t="shared" si="27"/>
        <v>2.2817271990773293E-2</v>
      </c>
      <c r="X40" s="3">
        <f t="shared" si="27"/>
        <v>2.2817066636249474E-2</v>
      </c>
      <c r="Y40" s="3">
        <f t="shared" si="27"/>
        <v>2.2815013192658558E-2</v>
      </c>
      <c r="Z40" s="3">
        <f t="shared" si="27"/>
        <v>2.2794488918094109E-2</v>
      </c>
      <c r="AA40" s="3">
        <f t="shared" si="27"/>
        <v>2.2590258931322285E-2</v>
      </c>
      <c r="AB40" s="3">
        <f t="shared" si="27"/>
        <v>2.0645942120687322E-2</v>
      </c>
      <c r="AC40" s="3">
        <f t="shared" si="27"/>
        <v>8.3940136630319493E-3</v>
      </c>
      <c r="AD40" s="3">
        <f t="shared" si="27"/>
        <v>1.0359035816556843E-6</v>
      </c>
      <c r="AE40" s="3">
        <f t="shared" si="27"/>
        <v>8.4882070253236654E-46</v>
      </c>
      <c r="AF40" s="3">
        <f t="shared" si="29"/>
        <v>0</v>
      </c>
      <c r="AG40" s="3">
        <f t="shared" si="29"/>
        <v>0</v>
      </c>
      <c r="AH40" s="3">
        <f t="shared" si="29"/>
        <v>0</v>
      </c>
      <c r="AI40" s="3">
        <f t="shared" si="29"/>
        <v>0</v>
      </c>
      <c r="AJ40" s="3">
        <f t="shared" si="29"/>
        <v>0</v>
      </c>
    </row>
    <row r="41" spans="1:36" x14ac:dyDescent="0.25">
      <c r="A41" s="3">
        <f t="shared" si="30"/>
        <v>1000000000</v>
      </c>
      <c r="B41" s="106">
        <v>1.4227418294709644E-2</v>
      </c>
      <c r="C41" s="18">
        <f t="shared" si="3"/>
        <v>1.5874068547548043E-2</v>
      </c>
      <c r="D41" s="17"/>
      <c r="F41" s="3">
        <f t="shared" si="28"/>
        <v>1.5874068547548043E-2</v>
      </c>
      <c r="G41" s="3">
        <f t="shared" si="28"/>
        <v>1.5874068547548043E-2</v>
      </c>
      <c r="H41" s="3">
        <f t="shared" si="28"/>
        <v>1.5874068547548043E-2</v>
      </c>
      <c r="I41" s="3">
        <f t="shared" si="28"/>
        <v>1.5874068547548043E-2</v>
      </c>
      <c r="J41" s="3">
        <f t="shared" si="28"/>
        <v>1.5874068547548043E-2</v>
      </c>
      <c r="K41" s="3">
        <f t="shared" si="28"/>
        <v>1.5874068547548043E-2</v>
      </c>
      <c r="L41" s="3">
        <f t="shared" si="28"/>
        <v>1.5874068547548043E-2</v>
      </c>
      <c r="M41" s="3">
        <f t="shared" si="28"/>
        <v>1.5874068547548043E-2</v>
      </c>
      <c r="N41" s="3">
        <f t="shared" si="28"/>
        <v>1.587406854754804E-2</v>
      </c>
      <c r="O41" s="3">
        <f t="shared" si="28"/>
        <v>1.5874068547548026E-2</v>
      </c>
      <c r="P41" s="3">
        <f t="shared" si="27"/>
        <v>1.5874068547547884E-2</v>
      </c>
      <c r="Q41" s="3">
        <f t="shared" si="27"/>
        <v>1.5874068547546454E-2</v>
      </c>
      <c r="R41" s="3">
        <f t="shared" si="27"/>
        <v>1.5874068547532171E-2</v>
      </c>
      <c r="S41" s="3">
        <f t="shared" si="27"/>
        <v>1.5874068547389302E-2</v>
      </c>
      <c r="T41" s="3">
        <f t="shared" si="27"/>
        <v>1.5874068545960636E-2</v>
      </c>
      <c r="U41" s="3">
        <f t="shared" si="27"/>
        <v>1.5874068531673974E-2</v>
      </c>
      <c r="V41" s="3">
        <f t="shared" si="27"/>
        <v>1.5874068388807359E-2</v>
      </c>
      <c r="W41" s="3">
        <f t="shared" si="27"/>
        <v>1.5874066960141268E-2</v>
      </c>
      <c r="X41" s="3">
        <f t="shared" si="27"/>
        <v>1.5874052673487432E-2</v>
      </c>
      <c r="Y41" s="3">
        <f t="shared" si="27"/>
        <v>1.5873909807656267E-2</v>
      </c>
      <c r="Z41" s="3">
        <f t="shared" si="27"/>
        <v>1.5872481220060984E-2</v>
      </c>
      <c r="AA41" s="3">
        <f t="shared" si="27"/>
        <v>1.5858202413389751E-2</v>
      </c>
      <c r="AB41" s="3">
        <f t="shared" si="27"/>
        <v>1.5716118926422839E-2</v>
      </c>
      <c r="AC41" s="3">
        <f t="shared" si="27"/>
        <v>1.4363451198289206E-2</v>
      </c>
      <c r="AD41" s="3">
        <f t="shared" si="27"/>
        <v>5.8397434663891431E-3</v>
      </c>
      <c r="AE41" s="3">
        <f t="shared" si="27"/>
        <v>7.2068159710355114E-7</v>
      </c>
      <c r="AF41" s="3">
        <f t="shared" si="29"/>
        <v>5.9052741045441444E-46</v>
      </c>
      <c r="AG41" s="3">
        <f t="shared" si="29"/>
        <v>0</v>
      </c>
      <c r="AH41" s="3">
        <f t="shared" si="29"/>
        <v>0</v>
      </c>
      <c r="AI41" s="3">
        <f t="shared" si="29"/>
        <v>0</v>
      </c>
      <c r="AJ41" s="3">
        <f t="shared" si="29"/>
        <v>0</v>
      </c>
    </row>
    <row r="42" spans="1:36" x14ac:dyDescent="0.25">
      <c r="A42" s="3">
        <f t="shared" si="30"/>
        <v>10000000000</v>
      </c>
      <c r="B42" s="106">
        <v>4.9675143676303829E-3</v>
      </c>
      <c r="C42" s="18">
        <f t="shared" si="3"/>
        <v>5.5424436077778048E-3</v>
      </c>
      <c r="D42" s="17"/>
      <c r="F42" s="3">
        <f t="shared" si="28"/>
        <v>5.5424436077778048E-3</v>
      </c>
      <c r="G42" s="3">
        <f t="shared" si="28"/>
        <v>5.5424436077778048E-3</v>
      </c>
      <c r="H42" s="3">
        <f t="shared" si="28"/>
        <v>5.5424436077778048E-3</v>
      </c>
      <c r="I42" s="3">
        <f t="shared" si="28"/>
        <v>5.5424436077778048E-3</v>
      </c>
      <c r="J42" s="3">
        <f t="shared" si="28"/>
        <v>5.5424436077778048E-3</v>
      </c>
      <c r="K42" s="3">
        <f t="shared" si="28"/>
        <v>5.5424436077778048E-3</v>
      </c>
      <c r="L42" s="3">
        <f t="shared" si="28"/>
        <v>5.5424436077778048E-3</v>
      </c>
      <c r="M42" s="3">
        <f t="shared" si="28"/>
        <v>5.5424436077778048E-3</v>
      </c>
      <c r="N42" s="3">
        <f t="shared" si="28"/>
        <v>5.5424436077778048E-3</v>
      </c>
      <c r="O42" s="3">
        <f t="shared" si="28"/>
        <v>5.542443607777804E-3</v>
      </c>
      <c r="P42" s="3">
        <f t="shared" si="27"/>
        <v>5.5424436077777996E-3</v>
      </c>
      <c r="Q42" s="3">
        <f t="shared" si="27"/>
        <v>5.5424436077777493E-3</v>
      </c>
      <c r="R42" s="3">
        <f t="shared" si="27"/>
        <v>5.5424436077772506E-3</v>
      </c>
      <c r="S42" s="3">
        <f t="shared" si="27"/>
        <v>5.5424436077722624E-3</v>
      </c>
      <c r="T42" s="3">
        <f t="shared" si="27"/>
        <v>5.5424436077223804E-3</v>
      </c>
      <c r="U42" s="3">
        <f t="shared" si="27"/>
        <v>5.5424436072235607E-3</v>
      </c>
      <c r="V42" s="3">
        <f t="shared" si="27"/>
        <v>5.5424436022353616E-3</v>
      </c>
      <c r="W42" s="3">
        <f t="shared" si="27"/>
        <v>5.542443552353369E-3</v>
      </c>
      <c r="X42" s="3">
        <f t="shared" si="27"/>
        <v>5.5424430535334721E-3</v>
      </c>
      <c r="Y42" s="3">
        <f t="shared" si="27"/>
        <v>5.5424380653369687E-3</v>
      </c>
      <c r="Z42" s="3">
        <f t="shared" si="27"/>
        <v>5.5423881836188481E-3</v>
      </c>
      <c r="AA42" s="3">
        <f t="shared" si="27"/>
        <v>5.5418893911283211E-3</v>
      </c>
      <c r="AB42" s="3">
        <f t="shared" si="27"/>
        <v>5.5369039344683214E-3</v>
      </c>
      <c r="AC42" s="3">
        <f t="shared" si="27"/>
        <v>5.4872953724445549E-3</v>
      </c>
      <c r="AD42" s="3">
        <f t="shared" si="27"/>
        <v>5.0150103636715775E-3</v>
      </c>
      <c r="AE42" s="3">
        <f t="shared" si="27"/>
        <v>2.0389510571535317E-3</v>
      </c>
      <c r="AF42" s="3">
        <f t="shared" si="29"/>
        <v>2.5162655050564549E-7</v>
      </c>
      <c r="AG42" s="3">
        <f t="shared" si="29"/>
        <v>2.0618311313744462E-46</v>
      </c>
      <c r="AH42" s="3">
        <f t="shared" si="29"/>
        <v>0</v>
      </c>
      <c r="AI42" s="3">
        <f t="shared" si="29"/>
        <v>0</v>
      </c>
      <c r="AJ42" s="3">
        <f t="shared" si="29"/>
        <v>0</v>
      </c>
    </row>
    <row r="43" spans="1:36" x14ac:dyDescent="0.25">
      <c r="A43" s="3">
        <f t="shared" si="30"/>
        <v>100000000000</v>
      </c>
      <c r="B43" s="106">
        <v>3.4830144507649939E-3</v>
      </c>
      <c r="C43" s="18">
        <f t="shared" si="3"/>
        <v>3.8861309197679899E-3</v>
      </c>
      <c r="D43" s="17"/>
      <c r="F43" s="3">
        <f t="shared" si="28"/>
        <v>3.8861309197679899E-3</v>
      </c>
      <c r="G43" s="3">
        <f t="shared" si="28"/>
        <v>3.8861309197679899E-3</v>
      </c>
      <c r="H43" s="3">
        <f t="shared" si="28"/>
        <v>3.8861309197679899E-3</v>
      </c>
      <c r="I43" s="3">
        <f t="shared" si="28"/>
        <v>3.8861309197679899E-3</v>
      </c>
      <c r="J43" s="3">
        <f t="shared" si="28"/>
        <v>3.8861309197679899E-3</v>
      </c>
      <c r="K43" s="3">
        <f t="shared" si="28"/>
        <v>3.8861309197679899E-3</v>
      </c>
      <c r="L43" s="3">
        <f t="shared" si="28"/>
        <v>3.8861309197679899E-3</v>
      </c>
      <c r="M43" s="3">
        <f t="shared" si="28"/>
        <v>3.8861309197679899E-3</v>
      </c>
      <c r="N43" s="3">
        <f t="shared" si="28"/>
        <v>3.8861309197679899E-3</v>
      </c>
      <c r="O43" s="3">
        <f t="shared" si="28"/>
        <v>3.8861309197679899E-3</v>
      </c>
      <c r="P43" s="3">
        <f t="shared" si="27"/>
        <v>3.8861309197679894E-3</v>
      </c>
      <c r="Q43" s="3">
        <f t="shared" si="27"/>
        <v>3.886130919767986E-3</v>
      </c>
      <c r="R43" s="3">
        <f t="shared" si="27"/>
        <v>3.8861309197679508E-3</v>
      </c>
      <c r="S43" s="3">
        <f t="shared" si="27"/>
        <v>3.8861309197676013E-3</v>
      </c>
      <c r="T43" s="3">
        <f t="shared" si="27"/>
        <v>3.8861309197641036E-3</v>
      </c>
      <c r="U43" s="3">
        <f t="shared" si="27"/>
        <v>3.8861309197291286E-3</v>
      </c>
      <c r="V43" s="3">
        <f t="shared" si="27"/>
        <v>3.8861309193793767E-3</v>
      </c>
      <c r="W43" s="3">
        <f t="shared" si="27"/>
        <v>3.8861309158818589E-3</v>
      </c>
      <c r="X43" s="3">
        <f t="shared" si="27"/>
        <v>3.8861308809066807E-3</v>
      </c>
      <c r="Y43" s="3">
        <f t="shared" si="27"/>
        <v>3.8861305311549176E-3</v>
      </c>
      <c r="Z43" s="3">
        <f t="shared" si="27"/>
        <v>3.8861270336390131E-3</v>
      </c>
      <c r="AA43" s="3">
        <f t="shared" si="27"/>
        <v>3.8860920586530978E-3</v>
      </c>
      <c r="AB43" s="3">
        <f t="shared" si="27"/>
        <v>3.88574232610602E-3</v>
      </c>
      <c r="AC43" s="3">
        <f t="shared" si="27"/>
        <v>3.8822467312661555E-3</v>
      </c>
      <c r="AD43" s="3">
        <f t="shared" si="27"/>
        <v>3.8474632710438E-3</v>
      </c>
      <c r="AE43" s="3">
        <f t="shared" si="27"/>
        <v>3.5163166675925765E-3</v>
      </c>
      <c r="AF43" s="3">
        <f t="shared" si="29"/>
        <v>1.4296276710833113E-3</v>
      </c>
      <c r="AG43" s="3">
        <f t="shared" si="29"/>
        <v>1.7643007080528739E-7</v>
      </c>
      <c r="AH43" s="3">
        <f t="shared" si="29"/>
        <v>1.4456702274300655E-46</v>
      </c>
      <c r="AI43" s="3">
        <f t="shared" si="29"/>
        <v>0</v>
      </c>
      <c r="AJ43" s="3">
        <f t="shared" si="29"/>
        <v>0</v>
      </c>
    </row>
    <row r="44" spans="1:36" x14ac:dyDescent="0.25">
      <c r="A44" s="3">
        <f t="shared" si="30"/>
        <v>1000000000000</v>
      </c>
      <c r="B44" s="106">
        <v>1.8504097407341864E-3</v>
      </c>
      <c r="C44" s="18">
        <f t="shared" si="3"/>
        <v>2.064572113999586E-3</v>
      </c>
      <c r="D44" s="17"/>
      <c r="F44" s="3">
        <f t="shared" si="28"/>
        <v>2.064572113999586E-3</v>
      </c>
      <c r="G44" s="3">
        <f t="shared" si="28"/>
        <v>2.064572113999586E-3</v>
      </c>
      <c r="H44" s="3">
        <f t="shared" si="28"/>
        <v>2.064572113999586E-3</v>
      </c>
      <c r="I44" s="3">
        <f t="shared" si="28"/>
        <v>2.064572113999586E-3</v>
      </c>
      <c r="J44" s="3">
        <f t="shared" si="28"/>
        <v>2.064572113999586E-3</v>
      </c>
      <c r="K44" s="3">
        <f t="shared" si="28"/>
        <v>2.064572113999586E-3</v>
      </c>
      <c r="L44" s="3">
        <f t="shared" si="28"/>
        <v>2.064572113999586E-3</v>
      </c>
      <c r="M44" s="3">
        <f t="shared" si="28"/>
        <v>2.064572113999586E-3</v>
      </c>
      <c r="N44" s="3">
        <f t="shared" si="28"/>
        <v>2.064572113999586E-3</v>
      </c>
      <c r="O44" s="3">
        <f t="shared" si="28"/>
        <v>2.064572113999586E-3</v>
      </c>
      <c r="P44" s="3">
        <f t="shared" si="27"/>
        <v>2.064572113999586E-3</v>
      </c>
      <c r="Q44" s="3">
        <f t="shared" si="27"/>
        <v>2.0645721139995856E-3</v>
      </c>
      <c r="R44" s="3">
        <f t="shared" si="27"/>
        <v>2.0645721139995838E-3</v>
      </c>
      <c r="S44" s="3">
        <f t="shared" si="27"/>
        <v>2.0645721139995652E-3</v>
      </c>
      <c r="T44" s="3">
        <f t="shared" si="27"/>
        <v>2.0645721139993796E-3</v>
      </c>
      <c r="U44" s="3">
        <f t="shared" si="27"/>
        <v>2.0645721139975217E-3</v>
      </c>
      <c r="V44" s="3">
        <f t="shared" si="27"/>
        <v>2.0645721139789402E-3</v>
      </c>
      <c r="W44" s="3">
        <f t="shared" si="27"/>
        <v>2.0645721137931288E-3</v>
      </c>
      <c r="X44" s="3">
        <f t="shared" si="27"/>
        <v>2.064572111935014E-3</v>
      </c>
      <c r="Y44" s="3">
        <f t="shared" si="27"/>
        <v>2.0645720933538652E-3</v>
      </c>
      <c r="Z44" s="3">
        <f t="shared" si="27"/>
        <v>2.0645719075423848E-3</v>
      </c>
      <c r="AA44" s="3">
        <f t="shared" si="27"/>
        <v>2.0645700494285042E-3</v>
      </c>
      <c r="AB44" s="3">
        <f t="shared" si="27"/>
        <v>2.0645514683816741E-3</v>
      </c>
      <c r="AC44" s="3">
        <f t="shared" si="27"/>
        <v>2.0643656671107025E-3</v>
      </c>
      <c r="AD44" s="3">
        <f t="shared" si="27"/>
        <v>2.0625085738276341E-3</v>
      </c>
      <c r="AE44" s="3">
        <f t="shared" si="27"/>
        <v>2.0440292782284587E-3</v>
      </c>
      <c r="AF44" s="3">
        <f t="shared" si="29"/>
        <v>1.868102100980428E-3</v>
      </c>
      <c r="AG44" s="3">
        <f t="shared" si="29"/>
        <v>7.5951363555631099E-4</v>
      </c>
      <c r="AH44" s="3">
        <f t="shared" si="29"/>
        <v>9.3731428965166076E-8</v>
      </c>
      <c r="AI44" s="3">
        <f t="shared" si="29"/>
        <v>7.680365122052411E-47</v>
      </c>
      <c r="AJ44" s="3">
        <f t="shared" si="29"/>
        <v>0</v>
      </c>
    </row>
    <row r="45" spans="1:36" x14ac:dyDescent="0.25">
      <c r="A45" s="3">
        <f t="shared" si="30"/>
        <v>10000000000000</v>
      </c>
      <c r="B45" s="106">
        <v>4.7936106623742113E-4</v>
      </c>
      <c r="C45" s="18">
        <f t="shared" si="3"/>
        <v>5.3484126683110472E-4</v>
      </c>
      <c r="D45" s="17"/>
      <c r="F45" s="3">
        <f t="shared" si="28"/>
        <v>5.3484126683110472E-4</v>
      </c>
      <c r="G45" s="3">
        <f t="shared" si="28"/>
        <v>5.3484126683110472E-4</v>
      </c>
      <c r="H45" s="3">
        <f t="shared" si="28"/>
        <v>5.3484126683110472E-4</v>
      </c>
      <c r="I45" s="3">
        <f t="shared" si="28"/>
        <v>5.3484126683110472E-4</v>
      </c>
      <c r="J45" s="3">
        <f t="shared" si="28"/>
        <v>5.3484126683110472E-4</v>
      </c>
      <c r="K45" s="3">
        <f t="shared" si="28"/>
        <v>5.3484126683110472E-4</v>
      </c>
      <c r="L45" s="3">
        <f t="shared" si="28"/>
        <v>5.3484126683110472E-4</v>
      </c>
      <c r="M45" s="3">
        <f t="shared" si="28"/>
        <v>5.3484126683110472E-4</v>
      </c>
      <c r="N45" s="3">
        <f t="shared" si="28"/>
        <v>5.3484126683110472E-4</v>
      </c>
      <c r="O45" s="3">
        <f t="shared" si="28"/>
        <v>5.3484126683110472E-4</v>
      </c>
      <c r="P45" s="3">
        <f t="shared" si="27"/>
        <v>5.3484126683110472E-4</v>
      </c>
      <c r="Q45" s="3">
        <f t="shared" si="27"/>
        <v>5.3484126683110472E-4</v>
      </c>
      <c r="R45" s="3">
        <f t="shared" si="27"/>
        <v>5.3484126683110461E-4</v>
      </c>
      <c r="S45" s="3">
        <f t="shared" si="27"/>
        <v>5.3484126683110418E-4</v>
      </c>
      <c r="T45" s="3">
        <f t="shared" si="27"/>
        <v>5.3484126683109941E-4</v>
      </c>
      <c r="U45" s="3">
        <f t="shared" si="27"/>
        <v>5.3484126683105127E-4</v>
      </c>
      <c r="V45" s="3">
        <f t="shared" si="27"/>
        <v>5.3484126683056988E-4</v>
      </c>
      <c r="W45" s="3">
        <f t="shared" si="27"/>
        <v>5.3484126682575635E-4</v>
      </c>
      <c r="X45" s="3">
        <f t="shared" si="27"/>
        <v>5.3484126677762059E-4</v>
      </c>
      <c r="Y45" s="3">
        <f t="shared" si="27"/>
        <v>5.3484126629626345E-4</v>
      </c>
      <c r="Z45" s="3">
        <f t="shared" si="27"/>
        <v>5.3484126148269204E-4</v>
      </c>
      <c r="AA45" s="3">
        <f t="shared" si="27"/>
        <v>5.3484121334698069E-4</v>
      </c>
      <c r="AB45" s="3">
        <f t="shared" si="27"/>
        <v>5.3484073199010532E-4</v>
      </c>
      <c r="AC45" s="3">
        <f t="shared" si="27"/>
        <v>5.3483591844517842E-4</v>
      </c>
      <c r="AD45" s="3">
        <f t="shared" si="27"/>
        <v>5.3478778537853879E-4</v>
      </c>
      <c r="AE45" s="3">
        <f t="shared" si="27"/>
        <v>5.3430669289578916E-4</v>
      </c>
      <c r="AF45" s="3">
        <f t="shared" si="29"/>
        <v>5.2951950730832967E-4</v>
      </c>
      <c r="AG45" s="3">
        <f t="shared" si="29"/>
        <v>4.8394439093853847E-4</v>
      </c>
      <c r="AH45" s="3">
        <f t="shared" si="29"/>
        <v>1.9675710635725307E-4</v>
      </c>
      <c r="AI45" s="3">
        <f t="shared" si="29"/>
        <v>2.4281755948210576E-8</v>
      </c>
      <c r="AJ45" s="3">
        <f t="shared" si="29"/>
        <v>1.9896501477229423E-47</v>
      </c>
    </row>
    <row r="46" spans="1:36" x14ac:dyDescent="0.25">
      <c r="A46" s="3">
        <f t="shared" si="30"/>
        <v>100000000000000</v>
      </c>
      <c r="B46" s="106">
        <v>1.3131655683334355E-3</v>
      </c>
      <c r="C46" s="18">
        <f t="shared" si="3"/>
        <v>1.465148476990797E-3</v>
      </c>
      <c r="D46" s="17"/>
      <c r="F46" s="3">
        <f t="shared" si="28"/>
        <v>1.465148476990797E-3</v>
      </c>
      <c r="G46" s="3">
        <f t="shared" si="28"/>
        <v>1.465148476990797E-3</v>
      </c>
      <c r="H46" s="3">
        <f t="shared" si="28"/>
        <v>1.465148476990797E-3</v>
      </c>
      <c r="I46" s="3">
        <f t="shared" si="28"/>
        <v>1.465148476990797E-3</v>
      </c>
      <c r="J46" s="3">
        <f t="shared" si="28"/>
        <v>1.465148476990797E-3</v>
      </c>
      <c r="K46" s="3">
        <f t="shared" si="28"/>
        <v>1.465148476990797E-3</v>
      </c>
      <c r="L46" s="3">
        <f t="shared" si="28"/>
        <v>1.465148476990797E-3</v>
      </c>
      <c r="M46" s="3">
        <f t="shared" si="28"/>
        <v>1.465148476990797E-3</v>
      </c>
      <c r="N46" s="3">
        <f t="shared" si="28"/>
        <v>1.465148476990797E-3</v>
      </c>
      <c r="O46" s="3">
        <f t="shared" si="28"/>
        <v>1.465148476990797E-3</v>
      </c>
      <c r="P46" s="3">
        <f t="shared" si="27"/>
        <v>1.465148476990797E-3</v>
      </c>
      <c r="Q46" s="3">
        <f t="shared" si="27"/>
        <v>1.465148476990797E-3</v>
      </c>
      <c r="R46" s="3">
        <f t="shared" si="27"/>
        <v>1.465148476990797E-3</v>
      </c>
      <c r="S46" s="3">
        <f t="shared" si="27"/>
        <v>1.4651484769907968E-3</v>
      </c>
      <c r="T46" s="3">
        <f t="shared" si="27"/>
        <v>1.4651484769907955E-3</v>
      </c>
      <c r="U46" s="3">
        <f t="shared" si="27"/>
        <v>1.4651484769907823E-3</v>
      </c>
      <c r="V46" s="3">
        <f t="shared" si="27"/>
        <v>1.4651484769906504E-3</v>
      </c>
      <c r="W46" s="3">
        <f t="shared" si="27"/>
        <v>1.4651484769893318E-3</v>
      </c>
      <c r="X46" s="3">
        <f t="shared" si="27"/>
        <v>1.4651484769761455E-3</v>
      </c>
      <c r="Y46" s="3">
        <f t="shared" si="27"/>
        <v>1.465148476844282E-3</v>
      </c>
      <c r="Z46" s="3">
        <f t="shared" si="27"/>
        <v>1.4651484755256485E-3</v>
      </c>
      <c r="AA46" s="3">
        <f t="shared" si="27"/>
        <v>1.4651484623393123E-3</v>
      </c>
      <c r="AB46" s="3">
        <f t="shared" si="27"/>
        <v>1.4651483304759566E-3</v>
      </c>
      <c r="AC46" s="3">
        <f t="shared" si="27"/>
        <v>1.4651470118430526E-3</v>
      </c>
      <c r="AD46" s="3">
        <f t="shared" si="27"/>
        <v>1.4651338255792842E-3</v>
      </c>
      <c r="AE46" s="3">
        <f t="shared" si="27"/>
        <v>1.4650019694685962E-3</v>
      </c>
      <c r="AF46" s="3">
        <f t="shared" si="29"/>
        <v>1.4636840608439144E-3</v>
      </c>
      <c r="AG46" s="3">
        <f t="shared" si="29"/>
        <v>1.4505700060625855E-3</v>
      </c>
      <c r="AH46" s="3">
        <f t="shared" si="29"/>
        <v>1.3257211649596711E-3</v>
      </c>
      <c r="AI46" s="3">
        <f t="shared" si="29"/>
        <v>5.389980029485642E-4</v>
      </c>
      <c r="AJ46" s="3">
        <f t="shared" si="29"/>
        <v>6.651763794699384E-8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9.1967018062309499E-3</v>
      </c>
      <c r="C48" s="18">
        <f t="shared" si="3"/>
        <v>1.026110794379005E-2</v>
      </c>
      <c r="D48" s="17"/>
      <c r="F48" s="3">
        <f t="shared" si="28"/>
        <v>1.026110794379005E-2</v>
      </c>
      <c r="G48" s="3">
        <f t="shared" si="28"/>
        <v>1.026110794379005E-2</v>
      </c>
      <c r="H48" s="3">
        <f t="shared" si="28"/>
        <v>1.026110794379005E-2</v>
      </c>
      <c r="I48" s="3">
        <f t="shared" si="28"/>
        <v>1.026110794379005E-2</v>
      </c>
      <c r="J48" s="3">
        <f t="shared" si="28"/>
        <v>1.026110794379005E-2</v>
      </c>
      <c r="K48" s="3">
        <f t="shared" si="28"/>
        <v>1.026110794379005E-2</v>
      </c>
      <c r="L48" s="3">
        <f t="shared" si="28"/>
        <v>1.026110794379005E-2</v>
      </c>
      <c r="M48" s="3">
        <f t="shared" si="28"/>
        <v>1.026110794379005E-2</v>
      </c>
      <c r="N48" s="3">
        <f t="shared" si="28"/>
        <v>1.026110794379005E-2</v>
      </c>
      <c r="O48" s="3">
        <f t="shared" si="28"/>
        <v>1.026110794379005E-2</v>
      </c>
      <c r="P48" s="3">
        <f t="shared" si="27"/>
        <v>1.026110794379005E-2</v>
      </c>
      <c r="Q48" s="3">
        <f t="shared" si="27"/>
        <v>1.026110794379005E-2</v>
      </c>
      <c r="R48" s="3">
        <f t="shared" si="27"/>
        <v>1.026110794379005E-2</v>
      </c>
      <c r="S48" s="3">
        <f t="shared" si="27"/>
        <v>1.026110794379005E-2</v>
      </c>
      <c r="T48" s="3">
        <f t="shared" si="27"/>
        <v>1.026110794379005E-2</v>
      </c>
      <c r="U48" s="3">
        <f t="shared" si="27"/>
        <v>1.0261107943790048E-2</v>
      </c>
      <c r="V48" s="3">
        <f t="shared" si="27"/>
        <v>1.0261107943790039E-2</v>
      </c>
      <c r="W48" s="3">
        <f t="shared" si="27"/>
        <v>1.0261107943789947E-2</v>
      </c>
      <c r="X48" s="3">
        <f t="shared" si="27"/>
        <v>1.0261107943789023E-2</v>
      </c>
      <c r="Y48" s="3">
        <f t="shared" si="27"/>
        <v>1.0261107943779789E-2</v>
      </c>
      <c r="Z48" s="3">
        <f t="shared" si="27"/>
        <v>1.0261107943687439E-2</v>
      </c>
      <c r="AA48" s="3">
        <f t="shared" si="27"/>
        <v>1.0261107942763938E-2</v>
      </c>
      <c r="AB48" s="3">
        <f t="shared" si="27"/>
        <v>1.0261107933528942E-2</v>
      </c>
      <c r="AC48" s="3">
        <f t="shared" si="27"/>
        <v>1.026110784117897E-2</v>
      </c>
      <c r="AD48" s="3">
        <f t="shared" si="27"/>
        <v>1.0261106917679307E-2</v>
      </c>
      <c r="AE48" s="3">
        <f t="shared" si="27"/>
        <v>1.0261097682687237E-2</v>
      </c>
      <c r="AF48" s="3">
        <f t="shared" si="29"/>
        <v>1.0261005333223666E-2</v>
      </c>
      <c r="AG48" s="3">
        <f t="shared" si="29"/>
        <v>1.0260081884299501E-2</v>
      </c>
      <c r="AH48" s="3">
        <f t="shared" si="29"/>
        <v>1.0250851964690475E-2</v>
      </c>
      <c r="AI48" s="3">
        <f t="shared" si="29"/>
        <v>1.0159008213831608E-2</v>
      </c>
      <c r="AJ48" s="3">
        <f t="shared" si="29"/>
        <v>9.2846344180472617E-3</v>
      </c>
    </row>
    <row r="49" spans="1:36" x14ac:dyDescent="0.25">
      <c r="B49" s="16">
        <f>SUM(B17:B48)</f>
        <v>0.89626791342710022</v>
      </c>
      <c r="C49" s="18">
        <f>SUM(C17:C48)</f>
        <v>1</v>
      </c>
      <c r="F49" s="3">
        <f t="shared" ref="F49:AJ49" si="31">F16-F17</f>
        <v>65.433253600192984</v>
      </c>
      <c r="G49" s="3">
        <f t="shared" si="31"/>
        <v>-84.635020162420915</v>
      </c>
      <c r="H49" s="3">
        <f t="shared" si="31"/>
        <v>22.415688606197364</v>
      </c>
      <c r="I49" s="3">
        <f t="shared" si="31"/>
        <v>-3.673663981458958</v>
      </c>
      <c r="J49" s="3">
        <f t="shared" si="31"/>
        <v>0.51010229149324005</v>
      </c>
      <c r="K49" s="3">
        <f t="shared" si="31"/>
        <v>-7.6549273744603852E-2</v>
      </c>
      <c r="L49" s="3">
        <f t="shared" si="31"/>
        <v>0.15957578256529814</v>
      </c>
      <c r="M49" s="3">
        <f t="shared" si="31"/>
        <v>-0.51394545550465409</v>
      </c>
      <c r="N49" s="3">
        <f t="shared" si="31"/>
        <v>1.2533813361951616</v>
      </c>
      <c r="O49" s="3">
        <f t="shared" si="31"/>
        <v>-2.5686537642914118</v>
      </c>
      <c r="P49" s="3">
        <f t="shared" si="31"/>
        <v>4.4406524367159363</v>
      </c>
      <c r="Q49" s="3">
        <f t="shared" si="31"/>
        <v>-6.441799654838178</v>
      </c>
      <c r="R49" s="3">
        <f t="shared" si="31"/>
        <v>7.9113599337961205</v>
      </c>
      <c r="S49" s="3">
        <f t="shared" si="31"/>
        <v>-8.3015484896077396</v>
      </c>
      <c r="T49" s="3">
        <f t="shared" si="31"/>
        <v>7.4533012228248481</v>
      </c>
      <c r="U49" s="3">
        <f t="shared" si="31"/>
        <v>-5.7248258560439353</v>
      </c>
      <c r="V49" s="3">
        <f t="shared" si="31"/>
        <v>3.788639407563096</v>
      </c>
      <c r="W49" s="3">
        <f t="shared" si="31"/>
        <v>-2.1850143510491762</v>
      </c>
      <c r="X49" s="3">
        <f t="shared" si="31"/>
        <v>1.1016202518026148</v>
      </c>
      <c r="Y49" s="3">
        <f t="shared" si="31"/>
        <v>-0.48120242102322663</v>
      </c>
      <c r="Z49" s="3">
        <f t="shared" si="31"/>
        <v>0.18255462721390359</v>
      </c>
      <c r="AA49" s="3">
        <f t="shared" si="31"/>
        <v>-6.0247334318546564E-2</v>
      </c>
      <c r="AB49" s="3">
        <f t="shared" si="31"/>
        <v>1.7925041264788888E-2</v>
      </c>
      <c r="AC49" s="3">
        <f t="shared" si="31"/>
        <v>-9.6717712049212423E-3</v>
      </c>
      <c r="AD49" s="3">
        <f t="shared" si="31"/>
        <v>8.4084834246596074E-3</v>
      </c>
      <c r="AE49" s="3">
        <f t="shared" si="31"/>
        <v>-7.7454968682673098E-3</v>
      </c>
      <c r="AF49" s="3">
        <f t="shared" si="31"/>
        <v>1.002757342445193E-2</v>
      </c>
      <c r="AG49" s="3">
        <f t="shared" si="31"/>
        <v>-2.4852600650433487E-2</v>
      </c>
      <c r="AH49" s="3">
        <f t="shared" si="31"/>
        <v>4.3780450977067176E-2</v>
      </c>
      <c r="AI49" s="3">
        <f t="shared" si="31"/>
        <v>-4.1023098083826426E-2</v>
      </c>
      <c r="AJ49" s="3">
        <f t="shared" si="31"/>
        <v>1.6791614935527832E-2</v>
      </c>
    </row>
    <row r="50" spans="1:36" x14ac:dyDescent="0.25">
      <c r="F50" s="57">
        <f t="shared" ref="F50:AJ50" si="32">F49/F17</f>
        <v>6.2979009049726866E-3</v>
      </c>
      <c r="G50" s="57">
        <f t="shared" si="32"/>
        <v>-8.2158810643308544E-3</v>
      </c>
      <c r="H50" s="57">
        <f t="shared" si="32"/>
        <v>2.2486588054452662E-3</v>
      </c>
      <c r="I50" s="57">
        <f t="shared" si="32"/>
        <v>-3.7700387560345969E-4</v>
      </c>
      <c r="J50" s="57">
        <f t="shared" si="32"/>
        <v>5.3776361327146475E-5</v>
      </c>
      <c r="K50" s="57">
        <f t="shared" si="32"/>
        <v>-8.2985851461803559E-6</v>
      </c>
      <c r="L50" s="57">
        <f t="shared" si="32"/>
        <v>1.7763218197992202E-5</v>
      </c>
      <c r="M50" s="57">
        <f t="shared" si="32"/>
        <v>-5.927239567071761E-5</v>
      </c>
      <c r="N50" s="57">
        <f t="shared" si="32"/>
        <v>1.5069220227880307E-4</v>
      </c>
      <c r="O50" s="57">
        <f t="shared" si="32"/>
        <v>-3.2224004671388054E-4</v>
      </c>
      <c r="P50" s="57">
        <f t="shared" si="32"/>
        <v>5.7836104883406776E-4</v>
      </c>
      <c r="Q50" s="57">
        <f t="shared" si="32"/>
        <v>-8.6929734719099286E-4</v>
      </c>
      <c r="R50" s="57">
        <f t="shared" si="32"/>
        <v>1.1104697450698925E-3</v>
      </c>
      <c r="S50" s="57">
        <f t="shared" si="32"/>
        <v>-1.2113672814826921E-3</v>
      </c>
      <c r="T50" s="57">
        <f t="shared" si="32"/>
        <v>1.1352781805773757E-3</v>
      </c>
      <c r="U50" s="57">
        <f t="shared" si="32"/>
        <v>-9.1969098712982474E-4</v>
      </c>
      <c r="V50" s="57">
        <f t="shared" si="32"/>
        <v>6.662115547636867E-4</v>
      </c>
      <c r="W50" s="57">
        <f t="shared" si="32"/>
        <v>-4.5849181918940305E-4</v>
      </c>
      <c r="X50" s="57">
        <f t="shared" si="32"/>
        <v>2.9397653553019353E-4</v>
      </c>
      <c r="Y50" s="57">
        <f t="shared" si="32"/>
        <v>-1.6591170516619107E-4</v>
      </c>
      <c r="Z50" s="57">
        <f t="shared" si="32"/>
        <v>8.2687379538524215E-5</v>
      </c>
      <c r="AA50" s="57">
        <f t="shared" si="32"/>
        <v>-3.7556312230927837E-5</v>
      </c>
      <c r="AB50" s="57">
        <f t="shared" si="32"/>
        <v>1.5956221679637521E-5</v>
      </c>
      <c r="AC50" s="57">
        <f t="shared" si="32"/>
        <v>-1.2387400595389453E-5</v>
      </c>
      <c r="AD50" s="57">
        <f t="shared" si="32"/>
        <v>1.4447629971955231E-5</v>
      </c>
      <c r="AE50" s="57">
        <f t="shared" si="32"/>
        <v>-1.6222740910729072E-5</v>
      </c>
      <c r="AF50" s="57">
        <f t="shared" si="32"/>
        <v>2.3412081935974046E-5</v>
      </c>
      <c r="AG50" s="57">
        <f t="shared" si="32"/>
        <v>-6.2337803908783465E-5</v>
      </c>
      <c r="AH50" s="57">
        <f t="shared" si="32"/>
        <v>1.1365421818286397E-4</v>
      </c>
      <c r="AI50" s="57">
        <f t="shared" si="32"/>
        <v>-1.0999871077642001E-4</v>
      </c>
      <c r="AJ50" s="57">
        <f t="shared" si="32"/>
        <v>4.7058885676965716E-5</v>
      </c>
    </row>
    <row r="51" spans="1:36" x14ac:dyDescent="0.25">
      <c r="A51" s="13" t="s">
        <v>21</v>
      </c>
      <c r="B51" s="3">
        <f>STUTT!D8</f>
        <v>11405.888999999999</v>
      </c>
      <c r="E51" s="11" t="s">
        <v>24</v>
      </c>
      <c r="F51" s="20">
        <f t="shared" ref="F51:AJ51" si="33">(F16-F17)^2</f>
        <v>4281.5106767071684</v>
      </c>
      <c r="G51" s="20">
        <f t="shared" si="33"/>
        <v>7163.0866378933952</v>
      </c>
      <c r="H51" s="20">
        <f t="shared" si="33"/>
        <v>502.4630956900063</v>
      </c>
      <c r="I51" s="20">
        <f t="shared" si="33"/>
        <v>13.495807048668883</v>
      </c>
      <c r="J51" s="20">
        <f t="shared" si="33"/>
        <v>0.26020434778665441</v>
      </c>
      <c r="K51" s="20">
        <f t="shared" si="33"/>
        <v>5.8597913108262966E-3</v>
      </c>
      <c r="L51" s="20">
        <f t="shared" si="33"/>
        <v>2.546443038132731E-2</v>
      </c>
      <c r="M51" s="20">
        <f t="shared" si="33"/>
        <v>0.2641399312338864</v>
      </c>
      <c r="N51" s="20">
        <f t="shared" si="33"/>
        <v>1.5709647739223687</v>
      </c>
      <c r="O51" s="20">
        <f t="shared" si="33"/>
        <v>6.5979821608084395</v>
      </c>
      <c r="P51" s="20">
        <f t="shared" si="33"/>
        <v>19.719394063711182</v>
      </c>
      <c r="Q51" s="20">
        <f t="shared" si="33"/>
        <v>41.496782793073265</v>
      </c>
      <c r="R51" s="20">
        <f t="shared" si="33"/>
        <v>62.589616002074557</v>
      </c>
      <c r="S51" s="20">
        <f t="shared" si="33"/>
        <v>68.915707325308546</v>
      </c>
      <c r="T51" s="20">
        <f t="shared" si="33"/>
        <v>55.551699118162375</v>
      </c>
      <c r="U51" s="20">
        <f t="shared" si="33"/>
        <v>32.773631082029176</v>
      </c>
      <c r="V51" s="20">
        <f t="shared" si="33"/>
        <v>14.353788560540048</v>
      </c>
      <c r="W51" s="20">
        <f t="shared" si="33"/>
        <v>4.7742877142908524</v>
      </c>
      <c r="X51" s="20">
        <f t="shared" si="33"/>
        <v>1.2135671791816565</v>
      </c>
      <c r="Y51" s="20">
        <f t="shared" si="33"/>
        <v>0.23155576999861466</v>
      </c>
      <c r="Z51" s="20">
        <f t="shared" si="33"/>
        <v>3.3326191917207308E-2</v>
      </c>
      <c r="AA51" s="20">
        <f t="shared" si="33"/>
        <v>3.6297412924907184E-3</v>
      </c>
      <c r="AB51" s="20">
        <f t="shared" si="33"/>
        <v>3.2130710434438443E-4</v>
      </c>
      <c r="AC51" s="20">
        <f t="shared" si="33"/>
        <v>9.3543158240343702E-5</v>
      </c>
      <c r="AD51" s="20">
        <f t="shared" si="33"/>
        <v>7.0702593502775356E-5</v>
      </c>
      <c r="AE51" s="20">
        <f t="shared" si="33"/>
        <v>5.9992721736338701E-5</v>
      </c>
      <c r="AF51" s="20">
        <f t="shared" si="33"/>
        <v>1.0055222878277461E-4</v>
      </c>
      <c r="AG51" s="20">
        <f t="shared" si="33"/>
        <v>6.1765175908992697E-4</v>
      </c>
      <c r="AH51" s="20">
        <f t="shared" si="33"/>
        <v>1.9167278877553822E-3</v>
      </c>
      <c r="AI51" s="20">
        <f t="shared" si="33"/>
        <v>1.6828945763952433E-3</v>
      </c>
      <c r="AJ51" s="20">
        <f t="shared" si="33"/>
        <v>2.8195833214304138E-4</v>
      </c>
    </row>
    <row r="52" spans="1:36" x14ac:dyDescent="0.25">
      <c r="A52" s="13"/>
    </row>
    <row r="53" spans="1:36" x14ac:dyDescent="0.25">
      <c r="E53" s="118" t="s">
        <v>25</v>
      </c>
      <c r="F53" s="118"/>
      <c r="G53" s="104">
        <f>SUM(F51:AJ51)</f>
        <v>12270.942963646625</v>
      </c>
      <c r="I53" s="3">
        <f>G53+C123</f>
        <v>12270.942963646625</v>
      </c>
      <c r="K53" s="3">
        <f>SUM(Z51:AJ51)</f>
        <v>4.2101263571688238E-2</v>
      </c>
    </row>
    <row r="55" spans="1:36" x14ac:dyDescent="0.25">
      <c r="E55" s="30" t="s">
        <v>30</v>
      </c>
      <c r="F55" s="31">
        <f t="shared" ref="F55:AJ55" si="34">ABS(F17-F16)/F16</f>
        <v>6.2584855829560292E-3</v>
      </c>
      <c r="G55" s="31">
        <f t="shared" si="34"/>
        <v>8.2839409378199242E-3</v>
      </c>
      <c r="H55" s="31">
        <f t="shared" si="34"/>
        <v>2.2436136837792188E-3</v>
      </c>
      <c r="I55" s="31">
        <f t="shared" si="34"/>
        <v>3.771460611301743E-4</v>
      </c>
      <c r="J55" s="31">
        <f t="shared" si="34"/>
        <v>5.3773469585616223E-5</v>
      </c>
      <c r="K55" s="31">
        <f t="shared" si="34"/>
        <v>8.2986540132672836E-6</v>
      </c>
      <c r="L55" s="31">
        <f t="shared" si="34"/>
        <v>1.7762902671676217E-5</v>
      </c>
      <c r="M55" s="31">
        <f t="shared" si="34"/>
        <v>5.927590909585528E-5</v>
      </c>
      <c r="N55" s="31">
        <f t="shared" si="34"/>
        <v>1.5066949756039946E-4</v>
      </c>
      <c r="O55" s="31">
        <f t="shared" si="34"/>
        <v>3.2234391883334334E-4</v>
      </c>
      <c r="P55" s="31">
        <f t="shared" si="34"/>
        <v>5.7802674068207279E-4</v>
      </c>
      <c r="Q55" s="31">
        <f t="shared" si="34"/>
        <v>8.7005368254914662E-4</v>
      </c>
      <c r="R55" s="31">
        <f t="shared" si="34"/>
        <v>1.1092379698642754E-3</v>
      </c>
      <c r="S55" s="31">
        <f t="shared" si="34"/>
        <v>1.2128364719025436E-3</v>
      </c>
      <c r="T55" s="31">
        <f t="shared" si="34"/>
        <v>1.1339907855815292E-3</v>
      </c>
      <c r="U55" s="31">
        <f t="shared" si="34"/>
        <v>9.2053759726134013E-4</v>
      </c>
      <c r="V55" s="31">
        <f t="shared" si="34"/>
        <v>6.6576801242101979E-4</v>
      </c>
      <c r="W55" s="31">
        <f t="shared" si="34"/>
        <v>4.5870213036361954E-4</v>
      </c>
      <c r="X55" s="31">
        <f t="shared" si="34"/>
        <v>2.9389013872538458E-4</v>
      </c>
      <c r="Y55" s="31">
        <f t="shared" si="34"/>
        <v>1.6593923642786081E-4</v>
      </c>
      <c r="Z55" s="31">
        <f t="shared" si="34"/>
        <v>8.2680542901092898E-5</v>
      </c>
      <c r="AA55" s="31">
        <f t="shared" si="34"/>
        <v>3.7557722760490515E-5</v>
      </c>
      <c r="AB55" s="31">
        <f t="shared" si="34"/>
        <v>1.5955967082689637E-5</v>
      </c>
      <c r="AC55" s="31">
        <f t="shared" si="34"/>
        <v>1.2387554044983806E-5</v>
      </c>
      <c r="AD55" s="31">
        <f t="shared" si="34"/>
        <v>1.4447421240959094E-5</v>
      </c>
      <c r="AE55" s="31">
        <f t="shared" si="34"/>
        <v>1.6223004092321256E-5</v>
      </c>
      <c r="AF55" s="31">
        <f t="shared" si="34"/>
        <v>2.3411533823225929E-5</v>
      </c>
      <c r="AG55" s="31">
        <f t="shared" si="34"/>
        <v>6.2341690152839559E-5</v>
      </c>
      <c r="AH55" s="31">
        <f t="shared" si="34"/>
        <v>1.1364130236948987E-4</v>
      </c>
      <c r="AI55" s="31">
        <f t="shared" si="34"/>
        <v>1.100108118238921E-4</v>
      </c>
      <c r="AJ55" s="31">
        <f t="shared" si="34"/>
        <v>4.7056671242453376E-5</v>
      </c>
    </row>
    <row r="56" spans="1:36" x14ac:dyDescent="0.25">
      <c r="E56" s="13" t="s">
        <v>31</v>
      </c>
      <c r="F56" s="32">
        <f>AVERAGE(F55:AJ55)</f>
        <v>8.2967766466963662E-4</v>
      </c>
    </row>
    <row r="57" spans="1:36" x14ac:dyDescent="0.25">
      <c r="A57" s="42"/>
      <c r="B57" s="15"/>
      <c r="C57" s="15"/>
      <c r="D57" s="15"/>
      <c r="F57" s="60">
        <f>AVERAGE(S55:X55)</f>
        <v>7.8095418937590606E-4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-11.207038780645185</v>
      </c>
    </row>
    <row r="119" spans="1:14" x14ac:dyDescent="0.25">
      <c r="L119" s="11">
        <f>L118+1</f>
        <v>2</v>
      </c>
      <c r="M119" s="11">
        <f t="shared" ref="M119:M124" si="35">INDEX($B$125:$K$126,1,L119)</f>
        <v>0</v>
      </c>
      <c r="N119" s="11">
        <f t="shared" ref="N119:N124" si="36">IF(L119=$B$3,0,INDEX($B$125:$K$126,2,L119))</f>
        <v>-7.262337894521731</v>
      </c>
    </row>
    <row r="120" spans="1:14" x14ac:dyDescent="0.25">
      <c r="L120" s="11">
        <f t="shared" ref="L120:L124" si="37">L119+1</f>
        <v>3</v>
      </c>
      <c r="M120" s="11">
        <f t="shared" si="35"/>
        <v>25</v>
      </c>
      <c r="N120" s="11">
        <f t="shared" si="36"/>
        <v>-4.5819420054473978</v>
      </c>
    </row>
    <row r="121" spans="1:14" x14ac:dyDescent="0.25">
      <c r="A121" s="103">
        <f>(A165+A204+A243+A282+A321+A360+A399)*10^9</f>
        <v>3322232479999245</v>
      </c>
      <c r="L121" s="11">
        <f t="shared" si="37"/>
        <v>4</v>
      </c>
      <c r="M121" s="11">
        <f t="shared" si="35"/>
        <v>50</v>
      </c>
      <c r="N121" s="11">
        <f t="shared" si="36"/>
        <v>-2.6397977553378618</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4.6943755531120974</v>
      </c>
    </row>
    <row r="124" spans="1:14" x14ac:dyDescent="0.25">
      <c r="B124" s="3"/>
      <c r="C124" s="3"/>
      <c r="D124" s="3"/>
      <c r="E124" s="3"/>
      <c r="F124" s="3"/>
      <c r="G124" s="3"/>
      <c r="H124" s="3"/>
      <c r="I124" s="3"/>
      <c r="J124" s="3"/>
      <c r="K124" s="3"/>
      <c r="L124" s="11">
        <f t="shared" si="37"/>
        <v>7</v>
      </c>
      <c r="M124" s="11">
        <f t="shared" si="35"/>
        <v>160</v>
      </c>
      <c r="N124" s="11">
        <f t="shared" si="36"/>
        <v>9.3532480425269053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-11.207038780645185</v>
      </c>
      <c r="C126" s="107">
        <v>-7.262337894521731</v>
      </c>
      <c r="D126" s="107">
        <v>-4.5819420054473978</v>
      </c>
      <c r="E126" s="107">
        <v>-2.6397977553378618</v>
      </c>
      <c r="F126" s="107">
        <v>-1.2288889323743648E-3</v>
      </c>
      <c r="G126" s="107">
        <v>4.6943755531120974</v>
      </c>
      <c r="H126" s="107">
        <v>9.3532480425269053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10659.294028284841</v>
      </c>
      <c r="C131" s="27">
        <f t="shared" ref="C131:AF131" si="40">($C$17+SUM(C132:C162))*$B$51</f>
        <v>10400.754593631465</v>
      </c>
      <c r="D131" s="27">
        <f t="shared" si="40"/>
        <v>10400.739634697589</v>
      </c>
      <c r="E131" s="27">
        <f t="shared" si="40"/>
        <v>10400.602810257116</v>
      </c>
      <c r="F131" s="27">
        <f t="shared" si="40"/>
        <v>10399.236816502231</v>
      </c>
      <c r="G131" s="27">
        <f t="shared" si="40"/>
        <v>10385.799368225065</v>
      </c>
      <c r="H131" s="27">
        <f t="shared" si="40"/>
        <v>10271.307642957303</v>
      </c>
      <c r="I131" s="27">
        <f t="shared" si="40"/>
        <v>9934.2372063450875</v>
      </c>
      <c r="J131" s="27">
        <f t="shared" si="40"/>
        <v>9714.8177181467945</v>
      </c>
      <c r="K131" s="27">
        <f t="shared" si="40"/>
        <v>9450.6782597610272</v>
      </c>
      <c r="L131" s="27">
        <f t="shared" si="40"/>
        <v>9190.1176310983847</v>
      </c>
      <c r="M131" s="27">
        <f t="shared" si="40"/>
        <v>8946.7792927677183</v>
      </c>
      <c r="N131" s="27">
        <f t="shared" si="40"/>
        <v>8621.4372943198396</v>
      </c>
      <c r="O131" s="27">
        <f t="shared" si="40"/>
        <v>8264.6096617990333</v>
      </c>
      <c r="P131" s="27">
        <f t="shared" si="40"/>
        <v>7921.82912453259</v>
      </c>
      <c r="Q131" s="27">
        <f t="shared" si="40"/>
        <v>7637.7522133632028</v>
      </c>
      <c r="R131" s="27">
        <f t="shared" si="40"/>
        <v>7369.6116523349519</v>
      </c>
      <c r="S131" s="27">
        <f t="shared" si="40"/>
        <v>7080.4814821420623</v>
      </c>
      <c r="T131" s="27">
        <f t="shared" si="40"/>
        <v>6816.5706187683718</v>
      </c>
      <c r="U131" s="27">
        <f t="shared" si="40"/>
        <v>6517.2892072786744</v>
      </c>
      <c r="V131" s="27">
        <f t="shared" si="40"/>
        <v>6173.887513976114</v>
      </c>
      <c r="W131" s="27">
        <f t="shared" si="40"/>
        <v>5574.4179389762103</v>
      </c>
      <c r="X131" s="27">
        <f t="shared" si="40"/>
        <v>4629.4483282414385</v>
      </c>
      <c r="Y131" s="27">
        <f t="shared" si="40"/>
        <v>3635.3684124385895</v>
      </c>
      <c r="Z131" s="27">
        <f t="shared" si="40"/>
        <v>2815.2601320162416</v>
      </c>
      <c r="AA131" s="27">
        <f t="shared" si="40"/>
        <v>2130.0721828578003</v>
      </c>
      <c r="AB131" s="27">
        <f t="shared" si="40"/>
        <v>1554.604300829933</v>
      </c>
      <c r="AC131" s="27">
        <f t="shared" si="40"/>
        <v>1055.1411464641824</v>
      </c>
      <c r="AD131" s="27">
        <f t="shared" si="40"/>
        <v>745.95486678069619</v>
      </c>
      <c r="AE131" s="27">
        <f t="shared" si="40"/>
        <v>559.77388678544901</v>
      </c>
      <c r="AF131" s="27">
        <f t="shared" si="40"/>
        <v>468.94744301479307</v>
      </c>
    </row>
    <row r="132" spans="1:33" x14ac:dyDescent="0.25">
      <c r="B132" s="3">
        <f t="shared" ref="B132:Z133" si="41">$C18*EXP(-B$129/$A18/EXP(-$B$126))</f>
        <v>2.2667180120522948E-2</v>
      </c>
      <c r="C132" s="3">
        <f t="shared" ref="C132:AF132" si="42">$C18*EXP(-C$129/$A18/EXP(-$B$126))</f>
        <v>1.1171742759333614E-7</v>
      </c>
      <c r="D132" s="3">
        <f t="shared" si="42"/>
        <v>9.4483340826991469E-61</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3.6514579117683202E-2</v>
      </c>
      <c r="C133" s="3">
        <f t="shared" si="41"/>
        <v>3.6514464815391327E-2</v>
      </c>
      <c r="D133" s="3">
        <f t="shared" si="41"/>
        <v>3.6513321812151521E-2</v>
      </c>
      <c r="E133" s="3">
        <f t="shared" si="41"/>
        <v>3.6501893747421764E-2</v>
      </c>
      <c r="F133" s="3">
        <f t="shared" si="41"/>
        <v>3.6387809639245844E-2</v>
      </c>
      <c r="G133" s="3">
        <f t="shared" si="41"/>
        <v>3.5266396727578225E-2</v>
      </c>
      <c r="H133" s="3">
        <f t="shared" si="41"/>
        <v>2.5787713464416526E-2</v>
      </c>
      <c r="I133" s="3">
        <f t="shared" si="41"/>
        <v>1.1270165873306763E-3</v>
      </c>
      <c r="J133" s="3">
        <f t="shared" si="41"/>
        <v>2.864870716130273E-17</v>
      </c>
      <c r="K133" s="3">
        <f t="shared" si="41"/>
        <v>3.2273958059840028E-153</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1.7686199810363953E-2</v>
      </c>
      <c r="C134" s="3">
        <f t="shared" si="44"/>
        <v>1.7686194816112832E-2</v>
      </c>
      <c r="D134" s="3">
        <f t="shared" si="44"/>
        <v>1.7686144873679175E-2</v>
      </c>
      <c r="E134" s="3">
        <f t="shared" si="44"/>
        <v>1.7685645457099049E-2</v>
      </c>
      <c r="F134" s="3">
        <f t="shared" si="44"/>
        <v>1.7680652066863579E-2</v>
      </c>
      <c r="G134" s="3">
        <f t="shared" si="44"/>
        <v>1.7630795640115309E-2</v>
      </c>
      <c r="H134" s="3">
        <f t="shared" si="44"/>
        <v>1.7139898593712333E-2</v>
      </c>
      <c r="I134" s="3">
        <f t="shared" si="44"/>
        <v>1.2923246086592207E-2</v>
      </c>
      <c r="J134" s="3">
        <f t="shared" si="44"/>
        <v>7.673708117026288E-4</v>
      </c>
      <c r="K134" s="3">
        <f t="shared" si="44"/>
        <v>4.1815942811239142E-16</v>
      </c>
      <c r="L134" s="3">
        <f t="shared" si="44"/>
        <v>9.6540171116579344E-139</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2.4470489052096447E-2</v>
      </c>
      <c r="C135" s="3">
        <f t="shared" si="47"/>
        <v>2.4470488428756234E-2</v>
      </c>
      <c r="D135" s="3">
        <f t="shared" si="47"/>
        <v>2.4470482195354987E-2</v>
      </c>
      <c r="E135" s="3">
        <f t="shared" si="47"/>
        <v>2.4470419861429841E-2</v>
      </c>
      <c r="F135" s="3">
        <f t="shared" si="47"/>
        <v>2.4469796530911435E-2</v>
      </c>
      <c r="G135" s="3">
        <f t="shared" si="47"/>
        <v>2.4463564098949741E-2</v>
      </c>
      <c r="H135" s="3">
        <f t="shared" si="47"/>
        <v>2.4401327019325954E-2</v>
      </c>
      <c r="I135" s="3">
        <f t="shared" si="47"/>
        <v>2.3787598555412317E-2</v>
      </c>
      <c r="J135" s="3">
        <f t="shared" si="47"/>
        <v>1.8438354244379403E-2</v>
      </c>
      <c r="K135" s="3">
        <f t="shared" si="47"/>
        <v>1.4435694864548244E-3</v>
      </c>
      <c r="L135" s="3">
        <f t="shared" si="47"/>
        <v>1.2490881368234714E-14</v>
      </c>
      <c r="M135" s="3">
        <f t="shared" si="47"/>
        <v>2.9386440538020183E-125</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2.4627512024096226E-2</v>
      </c>
      <c r="C136" s="3">
        <f t="shared" si="49"/>
        <v>2.4627511967504928E-2</v>
      </c>
      <c r="D136" s="3">
        <f t="shared" si="49"/>
        <v>2.462751140159199E-2</v>
      </c>
      <c r="E136" s="3">
        <f t="shared" si="49"/>
        <v>2.462750574246329E-2</v>
      </c>
      <c r="F136" s="3">
        <f t="shared" si="49"/>
        <v>2.4627449151247809E-2</v>
      </c>
      <c r="G136" s="3">
        <f t="shared" si="49"/>
        <v>2.4626883246245148E-2</v>
      </c>
      <c r="H136" s="3">
        <f t="shared" si="49"/>
        <v>2.4621224911373907E-2</v>
      </c>
      <c r="I136" s="3">
        <f t="shared" si="49"/>
        <v>2.4564713017429129E-2</v>
      </c>
      <c r="J136" s="3">
        <f t="shared" si="49"/>
        <v>2.4006679174151141E-2</v>
      </c>
      <c r="K136" s="3">
        <f t="shared" si="49"/>
        <v>1.9078139797093295E-2</v>
      </c>
      <c r="L136" s="3">
        <f t="shared" si="49"/>
        <v>1.9167938575226069E-3</v>
      </c>
      <c r="M136" s="3">
        <f t="shared" si="49"/>
        <v>2.008950476337214E-13</v>
      </c>
      <c r="N136" s="3">
        <f t="shared" si="49"/>
        <v>3.2129757641094497E-113</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1.9757999414954246E-2</v>
      </c>
      <c r="C137" s="3">
        <f t="shared" si="51"/>
        <v>1.9757999410858641E-2</v>
      </c>
      <c r="D137" s="3">
        <f t="shared" si="51"/>
        <v>1.9757999369902534E-2</v>
      </c>
      <c r="E137" s="3">
        <f t="shared" si="51"/>
        <v>1.9757998960341486E-2</v>
      </c>
      <c r="F137" s="3">
        <f t="shared" si="51"/>
        <v>1.9757994864731471E-2</v>
      </c>
      <c r="G137" s="3">
        <f t="shared" si="51"/>
        <v>1.9757953908678041E-2</v>
      </c>
      <c r="H137" s="3">
        <f t="shared" si="51"/>
        <v>1.975754435281302E-2</v>
      </c>
      <c r="I137" s="3">
        <f t="shared" si="51"/>
        <v>1.9753449261058677E-2</v>
      </c>
      <c r="J137" s="3">
        <f t="shared" si="51"/>
        <v>1.9712544997310694E-2</v>
      </c>
      <c r="K137" s="3">
        <f t="shared" si="51"/>
        <v>1.9308132154928746E-2</v>
      </c>
      <c r="L137" s="3">
        <f t="shared" si="51"/>
        <v>1.5693359108033236E-2</v>
      </c>
      <c r="M137" s="3">
        <f t="shared" si="51"/>
        <v>1.9745694486302309E-3</v>
      </c>
      <c r="N137" s="3">
        <f t="shared" si="51"/>
        <v>1.9635294400308002E-12</v>
      </c>
      <c r="O137" s="3">
        <f t="shared" si="51"/>
        <v>1.8564679584400087E-102</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3.0456673139755312E-2</v>
      </c>
      <c r="C138" s="3">
        <f t="shared" si="53"/>
        <v>3.0456673139185798E-2</v>
      </c>
      <c r="D138" s="3">
        <f t="shared" si="53"/>
        <v>3.0456673133490653E-2</v>
      </c>
      <c r="E138" s="3">
        <f t="shared" si="53"/>
        <v>3.0456673076539209E-2</v>
      </c>
      <c r="F138" s="3">
        <f t="shared" si="53"/>
        <v>3.045667250702478E-2</v>
      </c>
      <c r="G138" s="3">
        <f t="shared" si="53"/>
        <v>3.0456666811881083E-2</v>
      </c>
      <c r="H138" s="3">
        <f t="shared" si="53"/>
        <v>3.0456609860502661E-2</v>
      </c>
      <c r="I138" s="3">
        <f t="shared" si="53"/>
        <v>3.0456040352575594E-2</v>
      </c>
      <c r="J138" s="3">
        <f t="shared" si="53"/>
        <v>3.0450345858979461E-2</v>
      </c>
      <c r="K138" s="3">
        <f t="shared" si="53"/>
        <v>3.0393459449967155E-2</v>
      </c>
      <c r="L138" s="3">
        <f t="shared" si="53"/>
        <v>2.9830407763494889E-2</v>
      </c>
      <c r="M138" s="3">
        <f t="shared" si="53"/>
        <v>2.474285083649666E-2</v>
      </c>
      <c r="N138" s="3">
        <f t="shared" si="53"/>
        <v>3.8137762272927199E-3</v>
      </c>
      <c r="O138" s="3">
        <f t="shared" si="53"/>
        <v>2.8867548924539489E-11</v>
      </c>
      <c r="P138" s="3">
        <f t="shared" si="53"/>
        <v>1.7822020660873529E-92</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3.3429649525106409E-2</v>
      </c>
      <c r="C139" s="3">
        <f t="shared" si="55"/>
        <v>3.3429649525050016E-2</v>
      </c>
      <c r="D139" s="3">
        <f t="shared" si="55"/>
        <v>3.342964952448612E-2</v>
      </c>
      <c r="E139" s="3">
        <f t="shared" si="55"/>
        <v>3.3429649518847138E-2</v>
      </c>
      <c r="F139" s="3">
        <f t="shared" si="55"/>
        <v>3.3429649462457321E-2</v>
      </c>
      <c r="G139" s="3">
        <f t="shared" si="55"/>
        <v>3.342964889855915E-2</v>
      </c>
      <c r="H139" s="3">
        <f t="shared" si="55"/>
        <v>3.3429643259578E-2</v>
      </c>
      <c r="I139" s="3">
        <f t="shared" si="55"/>
        <v>3.3429586869818735E-2</v>
      </c>
      <c r="J139" s="3">
        <f t="shared" si="55"/>
        <v>3.3429022977457666E-2</v>
      </c>
      <c r="K139" s="3">
        <f t="shared" si="55"/>
        <v>3.342338457696796E-2</v>
      </c>
      <c r="L139" s="3">
        <f t="shared" si="55"/>
        <v>3.3367052851532887E-2</v>
      </c>
      <c r="M139" s="3">
        <f t="shared" si="55"/>
        <v>3.2808931061241803E-2</v>
      </c>
      <c r="N139" s="3">
        <f t="shared" si="55"/>
        <v>2.7716245432387987E-2</v>
      </c>
      <c r="O139" s="3">
        <f t="shared" si="55"/>
        <v>5.1304749670053607E-3</v>
      </c>
      <c r="P139" s="3">
        <f t="shared" si="55"/>
        <v>2.4232003198686258E-10</v>
      </c>
      <c r="Q139" s="3">
        <f t="shared" si="55"/>
        <v>1.3387724452596044E-83</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3.2540934882331791E-2</v>
      </c>
      <c r="C140" s="3">
        <f t="shared" si="57"/>
        <v>3.2540934882326837E-2</v>
      </c>
      <c r="D140" s="3">
        <f t="shared" si="57"/>
        <v>3.2540934882277321E-2</v>
      </c>
      <c r="E140" s="3">
        <f t="shared" si="57"/>
        <v>3.2540934881782162E-2</v>
      </c>
      <c r="F140" s="3">
        <f t="shared" si="57"/>
        <v>3.254093487683056E-2</v>
      </c>
      <c r="G140" s="3">
        <f t="shared" si="57"/>
        <v>3.2540934827314572E-2</v>
      </c>
      <c r="H140" s="3">
        <f t="shared" si="57"/>
        <v>3.2540934332154658E-2</v>
      </c>
      <c r="I140" s="3">
        <f t="shared" si="57"/>
        <v>3.2540929380555951E-2</v>
      </c>
      <c r="J140" s="3">
        <f t="shared" si="57"/>
        <v>3.2540879864610295E-2</v>
      </c>
      <c r="K140" s="3">
        <f t="shared" si="57"/>
        <v>3.25403847092978E-2</v>
      </c>
      <c r="L140" s="3">
        <f t="shared" si="57"/>
        <v>3.2535433570550609E-2</v>
      </c>
      <c r="M140" s="3">
        <f t="shared" si="57"/>
        <v>3.2485963597536145E-2</v>
      </c>
      <c r="N140" s="3">
        <f t="shared" si="57"/>
        <v>3.1995382090931432E-2</v>
      </c>
      <c r="O140" s="3">
        <f t="shared" si="57"/>
        <v>2.7479117226594827E-2</v>
      </c>
      <c r="P140" s="3">
        <f t="shared" si="57"/>
        <v>6.0000868347819727E-3</v>
      </c>
      <c r="Q140" s="3">
        <f t="shared" si="57"/>
        <v>1.4781044490069408E-9</v>
      </c>
      <c r="R140" s="3">
        <f t="shared" si="57"/>
        <v>1.2166930006819468E-75</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2.4641511300848799E-2</v>
      </c>
      <c r="C141" s="3">
        <f t="shared" si="59"/>
        <v>2.4641511300848462E-2</v>
      </c>
      <c r="D141" s="3">
        <f t="shared" si="59"/>
        <v>2.4641511300845079E-2</v>
      </c>
      <c r="E141" s="3">
        <f t="shared" si="59"/>
        <v>2.4641511300811252E-2</v>
      </c>
      <c r="F141" s="3">
        <f t="shared" si="59"/>
        <v>2.4641511300473009E-2</v>
      </c>
      <c r="G141" s="3">
        <f t="shared" si="59"/>
        <v>2.4641511297090576E-2</v>
      </c>
      <c r="H141" s="3">
        <f t="shared" si="59"/>
        <v>2.464151126326623E-2</v>
      </c>
      <c r="I141" s="3">
        <f t="shared" si="59"/>
        <v>2.4641510925022789E-2</v>
      </c>
      <c r="J141" s="3">
        <f t="shared" si="59"/>
        <v>2.4641507542588644E-2</v>
      </c>
      <c r="K141" s="3">
        <f t="shared" si="59"/>
        <v>2.4641473718272681E-2</v>
      </c>
      <c r="L141" s="3">
        <f t="shared" si="59"/>
        <v>2.4641135477666675E-2</v>
      </c>
      <c r="M141" s="3">
        <f t="shared" si="59"/>
        <v>2.4637753326952921E-2</v>
      </c>
      <c r="N141" s="3">
        <f t="shared" si="59"/>
        <v>2.460395734148426E-2</v>
      </c>
      <c r="O141" s="3">
        <f t="shared" si="59"/>
        <v>2.426853673911401E-2</v>
      </c>
      <c r="P141" s="3">
        <f t="shared" si="59"/>
        <v>2.1155819503797267E-2</v>
      </c>
      <c r="Q141" s="3">
        <f t="shared" si="59"/>
        <v>5.3615760254802428E-3</v>
      </c>
      <c r="R141" s="3">
        <f t="shared" si="59"/>
        <v>5.8602834587804835E-9</v>
      </c>
      <c r="S141" s="3">
        <f t="shared" si="59"/>
        <v>1.4261991359926567E-68</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2.4122417967755827E-2</v>
      </c>
      <c r="C142" s="3">
        <f t="shared" si="61"/>
        <v>2.4122417967755799E-2</v>
      </c>
      <c r="D142" s="3">
        <f t="shared" si="61"/>
        <v>2.4122417967755497E-2</v>
      </c>
      <c r="E142" s="3">
        <f t="shared" si="61"/>
        <v>2.4122417967752514E-2</v>
      </c>
      <c r="F142" s="3">
        <f t="shared" si="61"/>
        <v>2.4122417967722642E-2</v>
      </c>
      <c r="G142" s="3">
        <f t="shared" si="61"/>
        <v>2.4122417967423947E-2</v>
      </c>
      <c r="H142" s="3">
        <f t="shared" si="61"/>
        <v>2.4122417964436985E-2</v>
      </c>
      <c r="I142" s="3">
        <f t="shared" si="61"/>
        <v>2.4122417934567379E-2</v>
      </c>
      <c r="J142" s="3">
        <f t="shared" si="61"/>
        <v>2.4122417635871335E-2</v>
      </c>
      <c r="K142" s="3">
        <f t="shared" si="61"/>
        <v>2.4122414648911086E-2</v>
      </c>
      <c r="L142" s="3">
        <f t="shared" si="61"/>
        <v>2.4122384779328952E-2</v>
      </c>
      <c r="M142" s="3">
        <f t="shared" si="61"/>
        <v>2.4122086085541818E-2</v>
      </c>
      <c r="N142" s="3">
        <f t="shared" si="61"/>
        <v>2.411909935108348E-2</v>
      </c>
      <c r="O142" s="3">
        <f t="shared" si="61"/>
        <v>2.4089252338483254E-2</v>
      </c>
      <c r="P142" s="3">
        <f t="shared" si="61"/>
        <v>2.3792806126417151E-2</v>
      </c>
      <c r="Q142" s="3">
        <f t="shared" si="61"/>
        <v>2.102176197386579E-2</v>
      </c>
      <c r="R142" s="3">
        <f t="shared" si="61"/>
        <v>6.094016133047356E-3</v>
      </c>
      <c r="S142" s="3">
        <f t="shared" si="61"/>
        <v>2.5541620777244999E-8</v>
      </c>
      <c r="T142" s="3">
        <f t="shared" si="61"/>
        <v>4.2726466863501577E-62</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2.8528246553067089E-2</v>
      </c>
      <c r="C143" s="3">
        <f t="shared" si="63"/>
        <v>2.8528246553067085E-2</v>
      </c>
      <c r="D143" s="3">
        <f t="shared" si="63"/>
        <v>2.8528246553067054E-2</v>
      </c>
      <c r="E143" s="3">
        <f t="shared" si="63"/>
        <v>2.8528246553066735E-2</v>
      </c>
      <c r="F143" s="3">
        <f t="shared" si="63"/>
        <v>2.8528246553063547E-2</v>
      </c>
      <c r="G143" s="3">
        <f t="shared" si="63"/>
        <v>2.8528246553031683E-2</v>
      </c>
      <c r="H143" s="3">
        <f t="shared" si="63"/>
        <v>2.8528246552713018E-2</v>
      </c>
      <c r="I143" s="3">
        <f t="shared" si="63"/>
        <v>2.85282465495264E-2</v>
      </c>
      <c r="J143" s="3">
        <f t="shared" si="63"/>
        <v>2.8528246517660196E-2</v>
      </c>
      <c r="K143" s="3">
        <f t="shared" si="63"/>
        <v>2.8528246198998179E-2</v>
      </c>
      <c r="L143" s="3">
        <f t="shared" si="63"/>
        <v>2.8528243012378173E-2</v>
      </c>
      <c r="M143" s="3">
        <f t="shared" si="63"/>
        <v>2.8528211146197722E-2</v>
      </c>
      <c r="N143" s="3">
        <f t="shared" si="63"/>
        <v>2.8527892486350889E-2</v>
      </c>
      <c r="O143" s="3">
        <f t="shared" si="63"/>
        <v>2.8524706083644529E-2</v>
      </c>
      <c r="P143" s="3">
        <f t="shared" si="63"/>
        <v>2.8492861624687626E-2</v>
      </c>
      <c r="Q143" s="3">
        <f t="shared" si="63"/>
        <v>2.8176365782557659E-2</v>
      </c>
      <c r="R143" s="3">
        <f t="shared" si="63"/>
        <v>2.5198463113849399E-2</v>
      </c>
      <c r="S143" s="3">
        <f t="shared" si="63"/>
        <v>8.2464080604206028E-3</v>
      </c>
      <c r="T143" s="3">
        <f t="shared" si="63"/>
        <v>1.1619100304929606E-7</v>
      </c>
      <c r="U143" s="3">
        <f t="shared" si="63"/>
        <v>3.5830205251472677E-56</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2.1048719571397968E-2</v>
      </c>
      <c r="C144" s="3">
        <f t="shared" si="65"/>
        <v>2.1048719571397968E-2</v>
      </c>
      <c r="D144" s="3">
        <f t="shared" si="65"/>
        <v>2.1048719571397964E-2</v>
      </c>
      <c r="E144" s="3">
        <f t="shared" si="65"/>
        <v>2.1048719571397943E-2</v>
      </c>
      <c r="F144" s="3">
        <f t="shared" si="65"/>
        <v>2.1048719571397732E-2</v>
      </c>
      <c r="G144" s="3">
        <f t="shared" si="65"/>
        <v>2.1048719571395612E-2</v>
      </c>
      <c r="H144" s="3">
        <f t="shared" si="65"/>
        <v>2.1048719571374403E-2</v>
      </c>
      <c r="I144" s="3">
        <f t="shared" si="65"/>
        <v>2.1048719571162309E-2</v>
      </c>
      <c r="J144" s="3">
        <f t="shared" si="65"/>
        <v>2.104871956904137E-2</v>
      </c>
      <c r="K144" s="3">
        <f t="shared" si="65"/>
        <v>2.1048719547832016E-2</v>
      </c>
      <c r="L144" s="3">
        <f t="shared" si="65"/>
        <v>2.1048719335738448E-2</v>
      </c>
      <c r="M144" s="3">
        <f t="shared" si="65"/>
        <v>2.1048717214802882E-2</v>
      </c>
      <c r="N144" s="3">
        <f t="shared" si="65"/>
        <v>2.1048696005458983E-2</v>
      </c>
      <c r="O144" s="3">
        <f t="shared" si="65"/>
        <v>2.1048483913195408E-2</v>
      </c>
      <c r="P144" s="3">
        <f t="shared" si="65"/>
        <v>2.1046363108096502E-2</v>
      </c>
      <c r="Q144" s="3">
        <f t="shared" si="65"/>
        <v>2.1025166806410811E-2</v>
      </c>
      <c r="R144" s="3">
        <f t="shared" si="65"/>
        <v>2.0814374351254741E-2</v>
      </c>
      <c r="S144" s="3">
        <f t="shared" si="65"/>
        <v>1.8819256983083614E-2</v>
      </c>
      <c r="T144" s="3">
        <f t="shared" si="65"/>
        <v>6.8705829644062771E-3</v>
      </c>
      <c r="U144" s="3">
        <f t="shared" si="65"/>
        <v>2.8900459187460333E-7</v>
      </c>
      <c r="V144" s="3">
        <f t="shared" si="65"/>
        <v>5.0120603571149897E-51</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3.1114198963852646E-2</v>
      </c>
      <c r="C145" s="3">
        <f t="shared" si="68"/>
        <v>3.1114198963852646E-2</v>
      </c>
      <c r="D145" s="3">
        <f t="shared" si="68"/>
        <v>3.1114198963852646E-2</v>
      </c>
      <c r="E145" s="3">
        <f t="shared" si="68"/>
        <v>3.1114198963852643E-2</v>
      </c>
      <c r="F145" s="3">
        <f t="shared" si="68"/>
        <v>3.1114198963852615E-2</v>
      </c>
      <c r="G145" s="3">
        <f t="shared" si="68"/>
        <v>3.111419896385233E-2</v>
      </c>
      <c r="H145" s="3">
        <f t="shared" si="68"/>
        <v>3.1114198963849503E-2</v>
      </c>
      <c r="I145" s="3">
        <f t="shared" si="68"/>
        <v>3.1114198963821223E-2</v>
      </c>
      <c r="J145" s="3">
        <f t="shared" si="68"/>
        <v>3.1114198963538404E-2</v>
      </c>
      <c r="K145" s="3">
        <f t="shared" si="68"/>
        <v>3.1114198960710222E-2</v>
      </c>
      <c r="L145" s="3">
        <f t="shared" si="68"/>
        <v>3.1114198932428425E-2</v>
      </c>
      <c r="M145" s="3">
        <f t="shared" si="68"/>
        <v>3.1114198649610434E-2</v>
      </c>
      <c r="N145" s="3">
        <f t="shared" si="68"/>
        <v>3.1114195821430667E-2</v>
      </c>
      <c r="O145" s="3">
        <f t="shared" si="68"/>
        <v>3.1114167539647158E-2</v>
      </c>
      <c r="P145" s="3">
        <f t="shared" si="68"/>
        <v>3.1113884723225935E-2</v>
      </c>
      <c r="Q145" s="3">
        <f t="shared" si="68"/>
        <v>3.1111056700398234E-2</v>
      </c>
      <c r="R145" s="3">
        <f t="shared" si="68"/>
        <v>3.1082790605820781E-2</v>
      </c>
      <c r="S145" s="3">
        <f t="shared" si="68"/>
        <v>3.0801538288120805E-2</v>
      </c>
      <c r="T145" s="3">
        <f t="shared" si="68"/>
        <v>2.8125253439383921E-2</v>
      </c>
      <c r="U145" s="3">
        <f t="shared" si="68"/>
        <v>1.1332789582295538E-2</v>
      </c>
      <c r="V145" s="3">
        <f t="shared" si="68"/>
        <v>1.2786174624944224E-6</v>
      </c>
      <c r="W145" s="3">
        <f t="shared" si="68"/>
        <v>4.2734506547408878E-46</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2.5140718095571668E-2</v>
      </c>
      <c r="C146" s="3">
        <f t="shared" si="70"/>
        <v>2.5140718095571668E-2</v>
      </c>
      <c r="D146" s="3">
        <f t="shared" si="70"/>
        <v>2.5140718095571668E-2</v>
      </c>
      <c r="E146" s="3">
        <f t="shared" si="70"/>
        <v>2.5140718095571668E-2</v>
      </c>
      <c r="F146" s="3">
        <f t="shared" si="70"/>
        <v>2.5140718095571665E-2</v>
      </c>
      <c r="G146" s="3">
        <f t="shared" si="70"/>
        <v>2.5140718095571647E-2</v>
      </c>
      <c r="H146" s="3">
        <f t="shared" si="70"/>
        <v>2.5140718095571439E-2</v>
      </c>
      <c r="I146" s="3">
        <f t="shared" si="70"/>
        <v>2.5140718095569378E-2</v>
      </c>
      <c r="J146" s="3">
        <f t="shared" si="70"/>
        <v>2.5140718095548763E-2</v>
      </c>
      <c r="K146" s="3">
        <f t="shared" si="70"/>
        <v>2.5140718095342619E-2</v>
      </c>
      <c r="L146" s="3">
        <f t="shared" si="70"/>
        <v>2.514071809328117E-2</v>
      </c>
      <c r="M146" s="3">
        <f t="shared" si="70"/>
        <v>2.5140718072666674E-2</v>
      </c>
      <c r="N146" s="3">
        <f t="shared" si="70"/>
        <v>2.5140717866521736E-2</v>
      </c>
      <c r="O146" s="3">
        <f t="shared" si="70"/>
        <v>2.5140715805072437E-2</v>
      </c>
      <c r="P146" s="3">
        <f t="shared" si="70"/>
        <v>2.5140695190588751E-2</v>
      </c>
      <c r="Q146" s="3">
        <f t="shared" si="70"/>
        <v>2.5140489046681553E-2</v>
      </c>
      <c r="R146" s="3">
        <f t="shared" si="70"/>
        <v>2.5138427700573791E-2</v>
      </c>
      <c r="S146" s="3">
        <f t="shared" si="70"/>
        <v>2.5117823533096252E-2</v>
      </c>
      <c r="T146" s="3">
        <f t="shared" si="70"/>
        <v>2.4912708404946464E-2</v>
      </c>
      <c r="U146" s="3">
        <f t="shared" si="70"/>
        <v>2.2951461358593737E-2</v>
      </c>
      <c r="V146" s="3">
        <f t="shared" si="70"/>
        <v>1.0108909894883479E-2</v>
      </c>
      <c r="W146" s="3">
        <f t="shared" si="70"/>
        <v>2.7774365755042418E-6</v>
      </c>
      <c r="X146" s="3">
        <f t="shared" si="70"/>
        <v>6.8083582313408637E-42</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7.3741618123119579E-2</v>
      </c>
      <c r="C147" s="3">
        <f t="shared" si="72"/>
        <v>7.3741618123119579E-2</v>
      </c>
      <c r="D147" s="3">
        <f t="shared" si="72"/>
        <v>7.3741618123119579E-2</v>
      </c>
      <c r="E147" s="3">
        <f t="shared" si="72"/>
        <v>7.3741618123119579E-2</v>
      </c>
      <c r="F147" s="3">
        <f t="shared" si="72"/>
        <v>7.3741618123119579E-2</v>
      </c>
      <c r="G147" s="3">
        <f t="shared" si="72"/>
        <v>7.3741618123119565E-2</v>
      </c>
      <c r="H147" s="3">
        <f t="shared" si="72"/>
        <v>7.3741618123119523E-2</v>
      </c>
      <c r="I147" s="3">
        <f t="shared" si="72"/>
        <v>7.3741618123118968E-2</v>
      </c>
      <c r="J147" s="3">
        <f t="shared" si="72"/>
        <v>7.3741618123113514E-2</v>
      </c>
      <c r="K147" s="3">
        <f t="shared" si="72"/>
        <v>7.3741618123058975E-2</v>
      </c>
      <c r="L147" s="3">
        <f t="shared" si="72"/>
        <v>7.3741618122513522E-2</v>
      </c>
      <c r="M147" s="3">
        <f t="shared" si="72"/>
        <v>7.3741618117059038E-2</v>
      </c>
      <c r="N147" s="3">
        <f t="shared" si="72"/>
        <v>7.3741618062514114E-2</v>
      </c>
      <c r="O147" s="3">
        <f t="shared" si="72"/>
        <v>7.3741617517064983E-2</v>
      </c>
      <c r="P147" s="3">
        <f t="shared" si="72"/>
        <v>7.3741612062573916E-2</v>
      </c>
      <c r="Q147" s="3">
        <f t="shared" si="72"/>
        <v>7.3741557517685338E-2</v>
      </c>
      <c r="R147" s="3">
        <f t="shared" si="72"/>
        <v>7.3741012071018505E-2</v>
      </c>
      <c r="S147" s="3">
        <f t="shared" si="72"/>
        <v>7.3735557826244136E-2</v>
      </c>
      <c r="T147" s="3">
        <f t="shared" si="72"/>
        <v>7.3681037561817195E-2</v>
      </c>
      <c r="U147" s="3">
        <f t="shared" si="72"/>
        <v>7.3138047190080477E-2</v>
      </c>
      <c r="V147" s="3">
        <f t="shared" si="72"/>
        <v>6.7923434104766561E-2</v>
      </c>
      <c r="W147" s="3">
        <f t="shared" si="72"/>
        <v>3.2417713674584916E-2</v>
      </c>
      <c r="X147" s="3">
        <f t="shared" si="72"/>
        <v>1.9879701196940817E-5</v>
      </c>
      <c r="Y147" s="3">
        <f t="shared" si="72"/>
        <v>1.4951492790171811E-37</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9.9846945696723061E-2</v>
      </c>
      <c r="C148" s="3">
        <f t="shared" si="74"/>
        <v>9.9846945696723061E-2</v>
      </c>
      <c r="D148" s="3">
        <f t="shared" si="74"/>
        <v>9.9846945696723061E-2</v>
      </c>
      <c r="E148" s="3">
        <f t="shared" si="74"/>
        <v>9.9846945696723061E-2</v>
      </c>
      <c r="F148" s="3">
        <f t="shared" si="74"/>
        <v>9.9846945696723061E-2</v>
      </c>
      <c r="G148" s="3">
        <f t="shared" si="74"/>
        <v>9.9846945696723061E-2</v>
      </c>
      <c r="H148" s="3">
        <f t="shared" si="74"/>
        <v>9.9846945696723047E-2</v>
      </c>
      <c r="I148" s="3">
        <f t="shared" si="74"/>
        <v>9.9846945696722977E-2</v>
      </c>
      <c r="J148" s="3">
        <f t="shared" si="74"/>
        <v>9.9846945696722311E-2</v>
      </c>
      <c r="K148" s="3">
        <f t="shared" si="74"/>
        <v>9.984694569671565E-2</v>
      </c>
      <c r="L148" s="3">
        <f t="shared" si="74"/>
        <v>9.9846945696649037E-2</v>
      </c>
      <c r="M148" s="3">
        <f t="shared" si="74"/>
        <v>9.9846945695982806E-2</v>
      </c>
      <c r="N148" s="3">
        <f t="shared" si="74"/>
        <v>9.9846945689320524E-2</v>
      </c>
      <c r="O148" s="3">
        <f t="shared" si="74"/>
        <v>9.9846945622697719E-2</v>
      </c>
      <c r="P148" s="3">
        <f t="shared" si="74"/>
        <v>9.9846944956469577E-2</v>
      </c>
      <c r="Q148" s="3">
        <f t="shared" si="74"/>
        <v>9.9846938294188531E-2</v>
      </c>
      <c r="R148" s="3">
        <f t="shared" si="74"/>
        <v>9.9846871671402451E-2</v>
      </c>
      <c r="S148" s="3">
        <f t="shared" si="74"/>
        <v>9.9846205445986644E-2</v>
      </c>
      <c r="T148" s="3">
        <f t="shared" si="74"/>
        <v>9.983954343631897E-2</v>
      </c>
      <c r="U148" s="3">
        <f t="shared" si="74"/>
        <v>9.9772947782653901E-2</v>
      </c>
      <c r="V148" s="3">
        <f t="shared" si="74"/>
        <v>9.9109429523368028E-2</v>
      </c>
      <c r="W148" s="3">
        <f t="shared" si="74"/>
        <v>9.271216092418047E-2</v>
      </c>
      <c r="X148" s="3">
        <f t="shared" si="74"/>
        <v>4.7572281178358364E-2</v>
      </c>
      <c r="Y148" s="3">
        <f t="shared" si="74"/>
        <v>6.0190328243998745E-5</v>
      </c>
      <c r="Z148" s="3">
        <f t="shared" si="74"/>
        <v>6.3278191376909008E-34</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8.4959897030223219E-2</v>
      </c>
      <c r="C149" s="3">
        <f t="shared" si="75"/>
        <v>8.4959897030223219E-2</v>
      </c>
      <c r="D149" s="3">
        <f t="shared" si="75"/>
        <v>8.4959897030223219E-2</v>
      </c>
      <c r="E149" s="3">
        <f t="shared" si="75"/>
        <v>8.4959897030223219E-2</v>
      </c>
      <c r="F149" s="3">
        <f t="shared" si="75"/>
        <v>8.4959897030223219E-2</v>
      </c>
      <c r="G149" s="3">
        <f t="shared" si="75"/>
        <v>8.4959897030223219E-2</v>
      </c>
      <c r="H149" s="3">
        <f t="shared" si="75"/>
        <v>8.4959897030223219E-2</v>
      </c>
      <c r="I149" s="3">
        <f t="shared" si="75"/>
        <v>8.4959897030223205E-2</v>
      </c>
      <c r="J149" s="3">
        <f t="shared" si="75"/>
        <v>8.4959897030223164E-2</v>
      </c>
      <c r="K149" s="3">
        <f t="shared" si="75"/>
        <v>8.495989703022265E-2</v>
      </c>
      <c r="L149" s="3">
        <f t="shared" si="75"/>
        <v>8.4959897030217543E-2</v>
      </c>
      <c r="M149" s="3">
        <f t="shared" si="75"/>
        <v>8.4959897030166404E-2</v>
      </c>
      <c r="N149" s="3">
        <f t="shared" si="75"/>
        <v>8.4959897029655007E-2</v>
      </c>
      <c r="O149" s="3">
        <f t="shared" si="75"/>
        <v>8.4959897024541153E-2</v>
      </c>
      <c r="P149" s="3">
        <f t="shared" si="75"/>
        <v>8.4959896973402574E-2</v>
      </c>
      <c r="Q149" s="3">
        <f t="shared" si="75"/>
        <v>8.4959896462016654E-2</v>
      </c>
      <c r="R149" s="3">
        <f t="shared" si="75"/>
        <v>8.4959891348157832E-2</v>
      </c>
      <c r="S149" s="3">
        <f t="shared" si="75"/>
        <v>8.4959840209586412E-2</v>
      </c>
      <c r="T149" s="3">
        <f t="shared" si="75"/>
        <v>8.4959328825565214E-2</v>
      </c>
      <c r="U149" s="3">
        <f t="shared" si="75"/>
        <v>8.4954215154644769E-2</v>
      </c>
      <c r="V149" s="3">
        <f t="shared" si="75"/>
        <v>8.4903095370833029E-2</v>
      </c>
      <c r="W149" s="3">
        <f t="shared" si="75"/>
        <v>8.4393586308612975E-2</v>
      </c>
      <c r="X149" s="3">
        <f t="shared" si="75"/>
        <v>7.9463672018511733E-2</v>
      </c>
      <c r="Y149" s="3">
        <f t="shared" si="75"/>
        <v>4.3527177155236227E-2</v>
      </c>
      <c r="Z149" s="3">
        <f t="shared" si="75"/>
        <v>1.0584716577652375E-4</v>
      </c>
      <c r="AA149" s="3">
        <f t="shared" ref="AA149" si="76">$C35*EXP(-AA$129/$A35/EXP(-$B$126))</f>
        <v>7.6536137210541821E-31</v>
      </c>
      <c r="AB149" s="3">
        <f t="shared" si="67"/>
        <v>2.9904710258058931E-292</v>
      </c>
      <c r="AC149" s="3">
        <f t="shared" si="67"/>
        <v>0</v>
      </c>
      <c r="AD149" s="3">
        <f t="shared" si="67"/>
        <v>0</v>
      </c>
      <c r="AE149" s="3">
        <f t="shared" si="67"/>
        <v>0</v>
      </c>
      <c r="AF149" s="3">
        <f t="shared" si="67"/>
        <v>0</v>
      </c>
    </row>
    <row r="150" spans="1:32" x14ac:dyDescent="0.25">
      <c r="B150" s="3">
        <f t="shared" ref="B150:Z150" si="77">$C36*EXP(-B$129/$A36/EXP(-$B$126))</f>
        <v>6.3888587804479924E-2</v>
      </c>
      <c r="C150" s="3">
        <f t="shared" si="77"/>
        <v>6.3888587804479924E-2</v>
      </c>
      <c r="D150" s="3">
        <f t="shared" si="77"/>
        <v>6.3888587804479924E-2</v>
      </c>
      <c r="E150" s="3">
        <f t="shared" si="77"/>
        <v>6.3888587804479924E-2</v>
      </c>
      <c r="F150" s="3">
        <f t="shared" si="77"/>
        <v>6.3888587804479924E-2</v>
      </c>
      <c r="G150" s="3">
        <f t="shared" si="77"/>
        <v>6.3888587804479924E-2</v>
      </c>
      <c r="H150" s="3">
        <f t="shared" si="77"/>
        <v>6.3888587804479924E-2</v>
      </c>
      <c r="I150" s="3">
        <f t="shared" si="77"/>
        <v>6.3888587804479924E-2</v>
      </c>
      <c r="J150" s="3">
        <f t="shared" si="77"/>
        <v>6.388858780447991E-2</v>
      </c>
      <c r="K150" s="3">
        <f t="shared" si="77"/>
        <v>6.3888587804479882E-2</v>
      </c>
      <c r="L150" s="3">
        <f t="shared" si="77"/>
        <v>6.3888587804479535E-2</v>
      </c>
      <c r="M150" s="3">
        <f t="shared" si="77"/>
        <v>6.3888587804476066E-2</v>
      </c>
      <c r="N150" s="3">
        <f t="shared" si="77"/>
        <v>6.3888587804441385E-2</v>
      </c>
      <c r="O150" s="3">
        <f t="shared" si="77"/>
        <v>6.3888587804094482E-2</v>
      </c>
      <c r="P150" s="3">
        <f t="shared" si="77"/>
        <v>6.3888587800625479E-2</v>
      </c>
      <c r="Q150" s="3">
        <f t="shared" si="77"/>
        <v>6.3888587765935451E-2</v>
      </c>
      <c r="R150" s="3">
        <f t="shared" si="77"/>
        <v>6.3888587419035164E-2</v>
      </c>
      <c r="S150" s="3">
        <f t="shared" si="77"/>
        <v>6.3888583950032454E-2</v>
      </c>
      <c r="T150" s="3">
        <f t="shared" si="77"/>
        <v>6.388854926001572E-2</v>
      </c>
      <c r="U150" s="3">
        <f t="shared" si="77"/>
        <v>6.3888202360884327E-2</v>
      </c>
      <c r="V150" s="3">
        <f t="shared" si="77"/>
        <v>6.3884733473165423E-2</v>
      </c>
      <c r="W150" s="3">
        <f t="shared" si="77"/>
        <v>6.3850054953400723E-2</v>
      </c>
      <c r="X150" s="3">
        <f t="shared" si="77"/>
        <v>6.3504303420378744E-2</v>
      </c>
      <c r="Y150" s="3">
        <f t="shared" si="77"/>
        <v>6.01481077215247E-2</v>
      </c>
      <c r="Z150" s="3">
        <f t="shared" si="77"/>
        <v>3.4947015393786411E-2</v>
      </c>
      <c r="AA150" s="3">
        <f t="shared" ref="AA150" si="78">$C36*EXP(-AA$129/$A36/EXP(-$B$126))</f>
        <v>1.5321148277133432E-4</v>
      </c>
      <c r="AB150" s="3">
        <f t="shared" si="67"/>
        <v>4.0188663112894913E-28</v>
      </c>
      <c r="AC150" s="3">
        <f t="shared" si="67"/>
        <v>6.1976350325813614E-264</v>
      </c>
      <c r="AD150" s="3">
        <f t="shared" si="67"/>
        <v>0</v>
      </c>
      <c r="AE150" s="3">
        <f t="shared" si="67"/>
        <v>0</v>
      </c>
      <c r="AF150" s="3">
        <f t="shared" si="67"/>
        <v>0</v>
      </c>
    </row>
    <row r="151" spans="1:32" x14ac:dyDescent="0.25">
      <c r="B151" s="3">
        <f t="shared" ref="B151:Z151" si="79">$C37*EXP(-B$129/$A37/EXP(-$B$126))</f>
        <v>6.4356714781999613E-2</v>
      </c>
      <c r="C151" s="3">
        <f t="shared" si="79"/>
        <v>6.4356714781999613E-2</v>
      </c>
      <c r="D151" s="3">
        <f t="shared" si="79"/>
        <v>6.4356714781999613E-2</v>
      </c>
      <c r="E151" s="3">
        <f t="shared" si="79"/>
        <v>6.4356714781999613E-2</v>
      </c>
      <c r="F151" s="3">
        <f t="shared" si="79"/>
        <v>6.4356714781999613E-2</v>
      </c>
      <c r="G151" s="3">
        <f t="shared" si="79"/>
        <v>6.4356714781999613E-2</v>
      </c>
      <c r="H151" s="3">
        <f t="shared" si="79"/>
        <v>6.4356714781999613E-2</v>
      </c>
      <c r="I151" s="3">
        <f t="shared" si="79"/>
        <v>6.4356714781999613E-2</v>
      </c>
      <c r="J151" s="3">
        <f t="shared" si="79"/>
        <v>6.4356714781999613E-2</v>
      </c>
      <c r="K151" s="3">
        <f t="shared" si="79"/>
        <v>6.4356714781999613E-2</v>
      </c>
      <c r="L151" s="3">
        <f t="shared" si="79"/>
        <v>6.4356714781999572E-2</v>
      </c>
      <c r="M151" s="3">
        <f t="shared" si="79"/>
        <v>6.4356714781999266E-2</v>
      </c>
      <c r="N151" s="3">
        <f t="shared" si="79"/>
        <v>6.4356714781996116E-2</v>
      </c>
      <c r="O151" s="3">
        <f t="shared" si="79"/>
        <v>6.4356714781964586E-2</v>
      </c>
      <c r="P151" s="3">
        <f t="shared" si="79"/>
        <v>6.4356714781649366E-2</v>
      </c>
      <c r="Q151" s="3">
        <f t="shared" si="79"/>
        <v>6.4356714778497109E-2</v>
      </c>
      <c r="R151" s="3">
        <f t="shared" si="79"/>
        <v>6.4356714746974519E-2</v>
      </c>
      <c r="S151" s="3">
        <f t="shared" si="79"/>
        <v>6.4356714431748674E-2</v>
      </c>
      <c r="T151" s="3">
        <f t="shared" si="79"/>
        <v>6.4356711279490275E-2</v>
      </c>
      <c r="U151" s="3">
        <f t="shared" si="79"/>
        <v>6.4356679756914864E-2</v>
      </c>
      <c r="V151" s="3">
        <f t="shared" si="79"/>
        <v>6.4356364532009935E-2</v>
      </c>
      <c r="W151" s="3">
        <f t="shared" si="79"/>
        <v>6.4353212367879387E-2</v>
      </c>
      <c r="X151" s="3">
        <f t="shared" si="79"/>
        <v>6.4321699216912595E-2</v>
      </c>
      <c r="Y151" s="3">
        <f t="shared" si="79"/>
        <v>6.4007415204431872E-2</v>
      </c>
      <c r="Z151" s="3">
        <f t="shared" si="79"/>
        <v>6.0947808796213518E-2</v>
      </c>
      <c r="AA151" s="3">
        <f t="shared" ref="AA151" si="80">$C37*EXP(-AA$129/$A37/EXP(-$B$126))</f>
        <v>3.7345318287289084E-2</v>
      </c>
      <c r="AB151" s="3">
        <f t="shared" si="67"/>
        <v>2.786229287537265E-4</v>
      </c>
      <c r="AC151" s="3">
        <f t="shared" si="67"/>
        <v>1.4887567072441934E-25</v>
      </c>
      <c r="AD151" s="3">
        <f t="shared" si="67"/>
        <v>2.8241809032576639E-238</v>
      </c>
      <c r="AE151" s="3">
        <f t="shared" si="67"/>
        <v>0</v>
      </c>
      <c r="AF151" s="3">
        <f t="shared" si="67"/>
        <v>0</v>
      </c>
    </row>
    <row r="152" spans="1:32" x14ac:dyDescent="0.25">
      <c r="B152" s="3">
        <f t="shared" ref="B152:Z152" si="81">$C38*EXP(-B$129/$A38/EXP(-$B$126))</f>
        <v>2.3762961942572935E-2</v>
      </c>
      <c r="C152" s="3">
        <f t="shared" si="81"/>
        <v>2.3762961942572935E-2</v>
      </c>
      <c r="D152" s="3">
        <f t="shared" si="81"/>
        <v>2.3762961942572935E-2</v>
      </c>
      <c r="E152" s="3">
        <f t="shared" si="81"/>
        <v>2.3762961942572935E-2</v>
      </c>
      <c r="F152" s="3">
        <f t="shared" si="81"/>
        <v>2.3762961942572935E-2</v>
      </c>
      <c r="G152" s="3">
        <f t="shared" si="81"/>
        <v>2.3762961942572935E-2</v>
      </c>
      <c r="H152" s="3">
        <f t="shared" si="81"/>
        <v>2.3762961942572935E-2</v>
      </c>
      <c r="I152" s="3">
        <f t="shared" si="81"/>
        <v>2.3762961942572935E-2</v>
      </c>
      <c r="J152" s="3">
        <f t="shared" si="81"/>
        <v>2.3762961942572935E-2</v>
      </c>
      <c r="K152" s="3">
        <f t="shared" si="81"/>
        <v>2.3762961942572935E-2</v>
      </c>
      <c r="L152" s="3">
        <f t="shared" si="81"/>
        <v>2.3762961942572935E-2</v>
      </c>
      <c r="M152" s="3">
        <f t="shared" si="81"/>
        <v>2.3762961942572925E-2</v>
      </c>
      <c r="N152" s="3">
        <f t="shared" si="81"/>
        <v>2.3762961942572821E-2</v>
      </c>
      <c r="O152" s="3">
        <f t="shared" si="81"/>
        <v>2.376296194257177E-2</v>
      </c>
      <c r="P152" s="3">
        <f t="shared" si="81"/>
        <v>2.3762961942561268E-2</v>
      </c>
      <c r="Q152" s="3">
        <f t="shared" si="81"/>
        <v>2.3762961942456272E-2</v>
      </c>
      <c r="R152" s="3">
        <f t="shared" si="81"/>
        <v>2.3762961941406306E-2</v>
      </c>
      <c r="S152" s="3">
        <f t="shared" si="81"/>
        <v>2.3762961930906649E-2</v>
      </c>
      <c r="T152" s="3">
        <f t="shared" si="81"/>
        <v>2.3762961825910079E-2</v>
      </c>
      <c r="U152" s="3">
        <f t="shared" si="81"/>
        <v>2.3762960775944388E-2</v>
      </c>
      <c r="V152" s="3">
        <f t="shared" si="81"/>
        <v>2.3762950276290048E-2</v>
      </c>
      <c r="W152" s="3">
        <f t="shared" si="81"/>
        <v>2.376284528000178E-2</v>
      </c>
      <c r="X152" s="3">
        <f t="shared" si="81"/>
        <v>2.3761795342634659E-2</v>
      </c>
      <c r="Y152" s="3">
        <f t="shared" si="81"/>
        <v>2.37512985200986E-2</v>
      </c>
      <c r="Z152" s="3">
        <f t="shared" si="81"/>
        <v>2.3646584991676038E-2</v>
      </c>
      <c r="AA152" s="3">
        <f t="shared" ref="AA152" si="82">$C38*EXP(-AA$129/$A38/EXP(-$B$126))</f>
        <v>2.262450788697444E-2</v>
      </c>
      <c r="AB152" s="3">
        <f t="shared" si="67"/>
        <v>1.4544080269591102E-2</v>
      </c>
      <c r="AC152" s="3">
        <f t="shared" si="67"/>
        <v>1.7529013503312339E-4</v>
      </c>
      <c r="AD152" s="3">
        <f t="shared" si="67"/>
        <v>1.1336254926279288E-23</v>
      </c>
      <c r="AE152" s="3">
        <f t="shared" si="67"/>
        <v>1.4507443374798813E-215</v>
      </c>
      <c r="AF152" s="3">
        <f t="shared" si="67"/>
        <v>0</v>
      </c>
    </row>
    <row r="153" spans="1:32" x14ac:dyDescent="0.25">
      <c r="B153" s="3">
        <f t="shared" ref="B153:Z153" si="83">$C39*EXP(-B$129/$A39/EXP(-$B$126))</f>
        <v>4.2794407584768095E-2</v>
      </c>
      <c r="C153" s="3">
        <f t="shared" si="83"/>
        <v>4.2794407584768095E-2</v>
      </c>
      <c r="D153" s="3">
        <f t="shared" si="83"/>
        <v>4.2794407584768095E-2</v>
      </c>
      <c r="E153" s="3">
        <f t="shared" si="83"/>
        <v>4.2794407584768095E-2</v>
      </c>
      <c r="F153" s="3">
        <f t="shared" si="83"/>
        <v>4.2794407584768095E-2</v>
      </c>
      <c r="G153" s="3">
        <f t="shared" si="83"/>
        <v>4.2794407584768095E-2</v>
      </c>
      <c r="H153" s="3">
        <f t="shared" si="83"/>
        <v>4.2794407584768095E-2</v>
      </c>
      <c r="I153" s="3">
        <f t="shared" si="83"/>
        <v>4.2794407584768095E-2</v>
      </c>
      <c r="J153" s="3">
        <f t="shared" si="83"/>
        <v>4.2794407584768095E-2</v>
      </c>
      <c r="K153" s="3">
        <f t="shared" si="83"/>
        <v>4.2794407584768095E-2</v>
      </c>
      <c r="L153" s="3">
        <f t="shared" si="83"/>
        <v>4.2794407584768095E-2</v>
      </c>
      <c r="M153" s="3">
        <f t="shared" si="83"/>
        <v>4.2794407584768088E-2</v>
      </c>
      <c r="N153" s="3">
        <f t="shared" si="83"/>
        <v>4.2794407584768039E-2</v>
      </c>
      <c r="O153" s="3">
        <f t="shared" si="83"/>
        <v>4.2794407584767512E-2</v>
      </c>
      <c r="P153" s="3">
        <f t="shared" si="83"/>
        <v>4.2794407584762287E-2</v>
      </c>
      <c r="Q153" s="3">
        <f t="shared" si="83"/>
        <v>4.2794407584709988E-2</v>
      </c>
      <c r="R153" s="3">
        <f t="shared" si="83"/>
        <v>4.2794407584187025E-2</v>
      </c>
      <c r="S153" s="3">
        <f t="shared" si="83"/>
        <v>4.2794407578957347E-2</v>
      </c>
      <c r="T153" s="3">
        <f t="shared" si="83"/>
        <v>4.2794407526660631E-2</v>
      </c>
      <c r="U153" s="3">
        <f t="shared" si="83"/>
        <v>4.2794407003693462E-2</v>
      </c>
      <c r="V153" s="3">
        <f t="shared" si="83"/>
        <v>4.2794401774022148E-2</v>
      </c>
      <c r="W153" s="3">
        <f t="shared" si="83"/>
        <v>4.2794349477344083E-2</v>
      </c>
      <c r="X153" s="3">
        <f t="shared" si="83"/>
        <v>4.2793826514078474E-2</v>
      </c>
      <c r="Y153" s="3">
        <f t="shared" si="83"/>
        <v>4.278859723290409E-2</v>
      </c>
      <c r="Z153" s="3">
        <f t="shared" si="83"/>
        <v>4.2736339553441999E-2</v>
      </c>
      <c r="AA153" s="3">
        <f t="shared" ref="AA153" si="84">$C39*EXP(-AA$129/$A39/EXP(-$B$126))</f>
        <v>4.2217260153488569E-2</v>
      </c>
      <c r="AB153" s="3">
        <f t="shared" si="67"/>
        <v>3.7360895654124357E-2</v>
      </c>
      <c r="AC153" s="3">
        <f t="shared" si="67"/>
        <v>1.1007523522072474E-2</v>
      </c>
      <c r="AD153" s="3">
        <f t="shared" si="67"/>
        <v>5.4251662779423968E-8</v>
      </c>
      <c r="AE153" s="3">
        <f t="shared" si="67"/>
        <v>4.5882531089760665E-61</v>
      </c>
      <c r="AF153" s="3">
        <f t="shared" si="67"/>
        <v>0</v>
      </c>
    </row>
    <row r="154" spans="1:32" x14ac:dyDescent="0.25">
      <c r="B154" s="3">
        <f t="shared" ref="B154:Z154" si="85">$C40*EXP(-B$129/$A40/EXP(-$B$126))</f>
        <v>2.2817294808056693E-2</v>
      </c>
      <c r="C154" s="3">
        <f t="shared" si="85"/>
        <v>2.2817294808056693E-2</v>
      </c>
      <c r="D154" s="3">
        <f t="shared" si="85"/>
        <v>2.2817294808056693E-2</v>
      </c>
      <c r="E154" s="3">
        <f t="shared" si="85"/>
        <v>2.2817294808056693E-2</v>
      </c>
      <c r="F154" s="3">
        <f t="shared" si="85"/>
        <v>2.2817294808056693E-2</v>
      </c>
      <c r="G154" s="3">
        <f t="shared" si="85"/>
        <v>2.2817294808056693E-2</v>
      </c>
      <c r="H154" s="3">
        <f t="shared" si="85"/>
        <v>2.2817294808056693E-2</v>
      </c>
      <c r="I154" s="3">
        <f t="shared" si="85"/>
        <v>2.2817294808056693E-2</v>
      </c>
      <c r="J154" s="3">
        <f t="shared" si="85"/>
        <v>2.2817294808056693E-2</v>
      </c>
      <c r="K154" s="3">
        <f t="shared" si="85"/>
        <v>2.2817294808056693E-2</v>
      </c>
      <c r="L154" s="3">
        <f t="shared" si="85"/>
        <v>2.2817294808056693E-2</v>
      </c>
      <c r="M154" s="3">
        <f t="shared" si="85"/>
        <v>2.2817294808056693E-2</v>
      </c>
      <c r="N154" s="3">
        <f t="shared" si="85"/>
        <v>2.2817294808056689E-2</v>
      </c>
      <c r="O154" s="3">
        <f t="shared" si="85"/>
        <v>2.2817294808056662E-2</v>
      </c>
      <c r="P154" s="3">
        <f t="shared" si="85"/>
        <v>2.2817294808056384E-2</v>
      </c>
      <c r="Q154" s="3">
        <f t="shared" si="85"/>
        <v>2.2817294808053595E-2</v>
      </c>
      <c r="R154" s="3">
        <f t="shared" si="85"/>
        <v>2.2817294808025711E-2</v>
      </c>
      <c r="S154" s="3">
        <f t="shared" si="85"/>
        <v>2.2817294807746875E-2</v>
      </c>
      <c r="T154" s="3">
        <f t="shared" si="85"/>
        <v>2.2817294804958498E-2</v>
      </c>
      <c r="U154" s="3">
        <f t="shared" si="85"/>
        <v>2.2817294777074722E-2</v>
      </c>
      <c r="V154" s="3">
        <f t="shared" si="85"/>
        <v>2.2817294498236978E-2</v>
      </c>
      <c r="W154" s="3">
        <f t="shared" si="85"/>
        <v>2.2817291709859733E-2</v>
      </c>
      <c r="X154" s="3">
        <f t="shared" si="85"/>
        <v>2.2817263826106035E-2</v>
      </c>
      <c r="Y154" s="3">
        <f t="shared" si="85"/>
        <v>2.2816984990443184E-2</v>
      </c>
      <c r="Z154" s="3">
        <f t="shared" si="85"/>
        <v>2.2814196821219115E-2</v>
      </c>
      <c r="AA154" s="3">
        <f t="shared" ref="AA154:AF154" si="86">$C40*EXP(-AA$129/$A40/EXP(-$B$126))</f>
        <v>2.2786333860950074E-2</v>
      </c>
      <c r="AB154" s="3">
        <f t="shared" si="86"/>
        <v>2.2509569013252028E-2</v>
      </c>
      <c r="AC154" s="3">
        <f t="shared" si="86"/>
        <v>1.9920233005787016E-2</v>
      </c>
      <c r="AD154" s="3">
        <f t="shared" si="86"/>
        <v>5.8690357802532768E-3</v>
      </c>
      <c r="AE154" s="3">
        <f t="shared" si="86"/>
        <v>2.8926120335078385E-8</v>
      </c>
      <c r="AF154" s="3">
        <f t="shared" si="86"/>
        <v>2.4463832951563665E-61</v>
      </c>
    </row>
    <row r="155" spans="1:32" x14ac:dyDescent="0.25">
      <c r="B155" s="3">
        <f t="shared" ref="B155:Z155" si="87">$C41*EXP(-B$129/$A41/EXP(-$B$126))</f>
        <v>1.5874068547548043E-2</v>
      </c>
      <c r="C155" s="3">
        <f t="shared" si="87"/>
        <v>1.5874068547548043E-2</v>
      </c>
      <c r="D155" s="3">
        <f t="shared" si="87"/>
        <v>1.5874068547548043E-2</v>
      </c>
      <c r="E155" s="3">
        <f t="shared" si="87"/>
        <v>1.5874068547548043E-2</v>
      </c>
      <c r="F155" s="3">
        <f t="shared" si="87"/>
        <v>1.5874068547548043E-2</v>
      </c>
      <c r="G155" s="3">
        <f t="shared" si="87"/>
        <v>1.5874068547548043E-2</v>
      </c>
      <c r="H155" s="3">
        <f t="shared" si="87"/>
        <v>1.5874068547548043E-2</v>
      </c>
      <c r="I155" s="3">
        <f t="shared" si="87"/>
        <v>1.5874068547548043E-2</v>
      </c>
      <c r="J155" s="3">
        <f t="shared" si="87"/>
        <v>1.5874068547548043E-2</v>
      </c>
      <c r="K155" s="3">
        <f t="shared" si="87"/>
        <v>1.5874068547548043E-2</v>
      </c>
      <c r="L155" s="3">
        <f t="shared" si="87"/>
        <v>1.5874068547548043E-2</v>
      </c>
      <c r="M155" s="3">
        <f t="shared" si="87"/>
        <v>1.5874068547548043E-2</v>
      </c>
      <c r="N155" s="3">
        <f t="shared" si="87"/>
        <v>1.5874068547548043E-2</v>
      </c>
      <c r="O155" s="3">
        <f t="shared" si="87"/>
        <v>1.587406854754804E-2</v>
      </c>
      <c r="P155" s="3">
        <f t="shared" si="87"/>
        <v>1.5874068547548022E-2</v>
      </c>
      <c r="Q155" s="3">
        <f t="shared" si="87"/>
        <v>1.5874068547547828E-2</v>
      </c>
      <c r="R155" s="3">
        <f t="shared" si="87"/>
        <v>1.5874068547545889E-2</v>
      </c>
      <c r="S155" s="3">
        <f t="shared" si="87"/>
        <v>1.5874068547526491E-2</v>
      </c>
      <c r="T155" s="3">
        <f t="shared" si="87"/>
        <v>1.58740685473325E-2</v>
      </c>
      <c r="U155" s="3">
        <f t="shared" si="87"/>
        <v>1.5874068545392618E-2</v>
      </c>
      <c r="V155" s="3">
        <f t="shared" si="87"/>
        <v>1.5874068525993781E-2</v>
      </c>
      <c r="W155" s="3">
        <f t="shared" si="87"/>
        <v>1.5874068332005428E-2</v>
      </c>
      <c r="X155" s="3">
        <f t="shared" si="87"/>
        <v>1.5874066392122025E-2</v>
      </c>
      <c r="Y155" s="3">
        <f t="shared" si="87"/>
        <v>1.5874046993301031E-2</v>
      </c>
      <c r="Z155" s="3">
        <f t="shared" si="87"/>
        <v>1.587385300639492E-2</v>
      </c>
      <c r="AA155" s="3">
        <f t="shared" ref="AA155:AF155" si="88">$C41*EXP(-AA$129/$A41/EXP(-$B$126))</f>
        <v>1.5871913267711726E-2</v>
      </c>
      <c r="AB155" s="3">
        <f t="shared" si="88"/>
        <v>1.5852528912775304E-2</v>
      </c>
      <c r="AC155" s="3">
        <f t="shared" si="88"/>
        <v>1.5659982679715318E-2</v>
      </c>
      <c r="AD155" s="3">
        <f t="shared" si="88"/>
        <v>1.385857293237662E-2</v>
      </c>
      <c r="AE155" s="3">
        <f t="shared" si="88"/>
        <v>4.0831078823093565E-3</v>
      </c>
      <c r="AF155" s="3">
        <f t="shared" si="88"/>
        <v>2.0123998961153132E-8</v>
      </c>
    </row>
    <row r="156" spans="1:32" x14ac:dyDescent="0.25">
      <c r="B156" s="3">
        <f t="shared" ref="B156:Z156" si="89">$C42*EXP(-B$129/$A42/EXP(-$B$126))</f>
        <v>5.5424436077778048E-3</v>
      </c>
      <c r="C156" s="3">
        <f t="shared" si="89"/>
        <v>5.5424436077778048E-3</v>
      </c>
      <c r="D156" s="3">
        <f t="shared" si="89"/>
        <v>5.5424436077778048E-3</v>
      </c>
      <c r="E156" s="3">
        <f t="shared" si="89"/>
        <v>5.5424436077778048E-3</v>
      </c>
      <c r="F156" s="3">
        <f t="shared" si="89"/>
        <v>5.5424436077778048E-3</v>
      </c>
      <c r="G156" s="3">
        <f t="shared" si="89"/>
        <v>5.5424436077778048E-3</v>
      </c>
      <c r="H156" s="3">
        <f t="shared" si="89"/>
        <v>5.5424436077778048E-3</v>
      </c>
      <c r="I156" s="3">
        <f t="shared" si="89"/>
        <v>5.5424436077778048E-3</v>
      </c>
      <c r="J156" s="3">
        <f t="shared" si="89"/>
        <v>5.5424436077778048E-3</v>
      </c>
      <c r="K156" s="3">
        <f t="shared" si="89"/>
        <v>5.5424436077778048E-3</v>
      </c>
      <c r="L156" s="3">
        <f t="shared" si="89"/>
        <v>5.5424436077778048E-3</v>
      </c>
      <c r="M156" s="3">
        <f t="shared" si="89"/>
        <v>5.5424436077778048E-3</v>
      </c>
      <c r="N156" s="3">
        <f t="shared" si="89"/>
        <v>5.5424436077778048E-3</v>
      </c>
      <c r="O156" s="3">
        <f t="shared" si="89"/>
        <v>5.5424436077778048E-3</v>
      </c>
      <c r="P156" s="3">
        <f t="shared" si="89"/>
        <v>5.542443607777804E-3</v>
      </c>
      <c r="Q156" s="3">
        <f t="shared" si="89"/>
        <v>5.542443607777797E-3</v>
      </c>
      <c r="R156" s="3">
        <f t="shared" si="89"/>
        <v>5.5424436077777294E-3</v>
      </c>
      <c r="S156" s="3">
        <f t="shared" si="89"/>
        <v>5.542443607777052E-3</v>
      </c>
      <c r="T156" s="3">
        <f t="shared" si="89"/>
        <v>5.5424436077702796E-3</v>
      </c>
      <c r="U156" s="3">
        <f t="shared" si="89"/>
        <v>5.5424436077025482E-3</v>
      </c>
      <c r="V156" s="3">
        <f t="shared" si="89"/>
        <v>5.5424436070252358E-3</v>
      </c>
      <c r="W156" s="3">
        <f t="shared" si="89"/>
        <v>5.5424436002521173E-3</v>
      </c>
      <c r="X156" s="3">
        <f t="shared" si="89"/>
        <v>5.5424435325209303E-3</v>
      </c>
      <c r="Y156" s="3">
        <f t="shared" si="89"/>
        <v>5.542442855209103E-3</v>
      </c>
      <c r="Z156" s="3">
        <f t="shared" si="89"/>
        <v>5.5424360820953865E-3</v>
      </c>
      <c r="AA156" s="3">
        <f t="shared" ref="AA156:AF156" si="90">$C42*EXP(-AA$129/$A42/EXP(-$B$126))</f>
        <v>5.5423683514134545E-3</v>
      </c>
      <c r="AB156" s="3">
        <f t="shared" si="90"/>
        <v>5.5416910901156828E-3</v>
      </c>
      <c r="AC156" s="3">
        <f t="shared" si="90"/>
        <v>5.5349230272346102E-3</v>
      </c>
      <c r="AD156" s="3">
        <f t="shared" si="90"/>
        <v>5.4676953574391519E-3</v>
      </c>
      <c r="AE156" s="3">
        <f t="shared" si="90"/>
        <v>4.8387317171965762E-3</v>
      </c>
      <c r="AF156" s="3">
        <f t="shared" si="90"/>
        <v>1.4256203514799752E-3</v>
      </c>
    </row>
    <row r="157" spans="1:32" x14ac:dyDescent="0.25">
      <c r="B157" s="3">
        <f t="shared" ref="B157:Z157" si="91">$C43*EXP(-B$129/$A43/EXP(-$B$126))</f>
        <v>3.8861309197679899E-3</v>
      </c>
      <c r="C157" s="3">
        <f t="shared" si="91"/>
        <v>3.8861309197679899E-3</v>
      </c>
      <c r="D157" s="3">
        <f t="shared" si="91"/>
        <v>3.8861309197679899E-3</v>
      </c>
      <c r="E157" s="3">
        <f t="shared" si="91"/>
        <v>3.8861309197679899E-3</v>
      </c>
      <c r="F157" s="3">
        <f t="shared" si="91"/>
        <v>3.8861309197679899E-3</v>
      </c>
      <c r="G157" s="3">
        <f t="shared" si="91"/>
        <v>3.8861309197679899E-3</v>
      </c>
      <c r="H157" s="3">
        <f t="shared" si="91"/>
        <v>3.8861309197679899E-3</v>
      </c>
      <c r="I157" s="3">
        <f t="shared" si="91"/>
        <v>3.8861309197679899E-3</v>
      </c>
      <c r="J157" s="3">
        <f t="shared" si="91"/>
        <v>3.8861309197679899E-3</v>
      </c>
      <c r="K157" s="3">
        <f t="shared" si="91"/>
        <v>3.8861309197679899E-3</v>
      </c>
      <c r="L157" s="3">
        <f t="shared" si="91"/>
        <v>3.8861309197679899E-3</v>
      </c>
      <c r="M157" s="3">
        <f t="shared" si="91"/>
        <v>3.8861309197679899E-3</v>
      </c>
      <c r="N157" s="3">
        <f t="shared" si="91"/>
        <v>3.8861309197679899E-3</v>
      </c>
      <c r="O157" s="3">
        <f t="shared" si="91"/>
        <v>3.8861309197679899E-3</v>
      </c>
      <c r="P157" s="3">
        <f t="shared" si="91"/>
        <v>3.8861309197679899E-3</v>
      </c>
      <c r="Q157" s="3">
        <f t="shared" si="91"/>
        <v>3.8861309197679894E-3</v>
      </c>
      <c r="R157" s="3">
        <f t="shared" si="91"/>
        <v>3.8861309197679847E-3</v>
      </c>
      <c r="S157" s="3">
        <f t="shared" si="91"/>
        <v>3.8861309197679374E-3</v>
      </c>
      <c r="T157" s="3">
        <f t="shared" si="91"/>
        <v>3.8861309197674621E-3</v>
      </c>
      <c r="U157" s="3">
        <f t="shared" si="91"/>
        <v>3.8861309197627133E-3</v>
      </c>
      <c r="V157" s="3">
        <f t="shared" si="91"/>
        <v>3.886130919715223E-3</v>
      </c>
      <c r="W157" s="3">
        <f t="shared" si="91"/>
        <v>3.8861309192403199E-3</v>
      </c>
      <c r="X157" s="3">
        <f t="shared" si="91"/>
        <v>3.8861309144912911E-3</v>
      </c>
      <c r="Y157" s="3">
        <f t="shared" si="91"/>
        <v>3.8861308670009994E-3</v>
      </c>
      <c r="Z157" s="3">
        <f t="shared" si="91"/>
        <v>3.8861303920981194E-3</v>
      </c>
      <c r="AA157" s="3">
        <f t="shared" ref="AA157:AF157" si="92">$C43*EXP(-AA$129/$A43/EXP(-$B$126))</f>
        <v>3.8861256430725087E-3</v>
      </c>
      <c r="AB157" s="3">
        <f t="shared" si="92"/>
        <v>3.8860781531355969E-3</v>
      </c>
      <c r="AC157" s="3">
        <f t="shared" si="92"/>
        <v>3.8856032856842905E-3</v>
      </c>
      <c r="AD157" s="3">
        <f t="shared" si="92"/>
        <v>3.8808578015097359E-3</v>
      </c>
      <c r="AE157" s="3">
        <f t="shared" si="92"/>
        <v>3.8337205557848618E-3</v>
      </c>
      <c r="AF157" s="3">
        <f t="shared" si="92"/>
        <v>3.3927174129966399E-3</v>
      </c>
    </row>
    <row r="158" spans="1:32" x14ac:dyDescent="0.25">
      <c r="B158" s="3">
        <f t="shared" ref="B158:Z158" si="93">$C44*EXP(-B$129/$A44/EXP(-$B$126))</f>
        <v>2.064572113999586E-3</v>
      </c>
      <c r="C158" s="3">
        <f t="shared" si="93"/>
        <v>2.064572113999586E-3</v>
      </c>
      <c r="D158" s="3">
        <f t="shared" si="93"/>
        <v>2.064572113999586E-3</v>
      </c>
      <c r="E158" s="3">
        <f t="shared" si="93"/>
        <v>2.064572113999586E-3</v>
      </c>
      <c r="F158" s="3">
        <f t="shared" si="93"/>
        <v>2.064572113999586E-3</v>
      </c>
      <c r="G158" s="3">
        <f t="shared" si="93"/>
        <v>2.064572113999586E-3</v>
      </c>
      <c r="H158" s="3">
        <f t="shared" si="93"/>
        <v>2.064572113999586E-3</v>
      </c>
      <c r="I158" s="3">
        <f t="shared" si="93"/>
        <v>2.064572113999586E-3</v>
      </c>
      <c r="J158" s="3">
        <f t="shared" si="93"/>
        <v>2.064572113999586E-3</v>
      </c>
      <c r="K158" s="3">
        <f t="shared" si="93"/>
        <v>2.064572113999586E-3</v>
      </c>
      <c r="L158" s="3">
        <f t="shared" si="93"/>
        <v>2.064572113999586E-3</v>
      </c>
      <c r="M158" s="3">
        <f t="shared" si="93"/>
        <v>2.064572113999586E-3</v>
      </c>
      <c r="N158" s="3">
        <f t="shared" si="93"/>
        <v>2.064572113999586E-3</v>
      </c>
      <c r="O158" s="3">
        <f t="shared" si="93"/>
        <v>2.064572113999586E-3</v>
      </c>
      <c r="P158" s="3">
        <f t="shared" si="93"/>
        <v>2.064572113999586E-3</v>
      </c>
      <c r="Q158" s="3">
        <f t="shared" si="93"/>
        <v>2.064572113999586E-3</v>
      </c>
      <c r="R158" s="3">
        <f t="shared" si="93"/>
        <v>2.0645721139995856E-3</v>
      </c>
      <c r="S158" s="3">
        <f t="shared" si="93"/>
        <v>2.0645721139995834E-3</v>
      </c>
      <c r="T158" s="3">
        <f t="shared" si="93"/>
        <v>2.0645721139995583E-3</v>
      </c>
      <c r="U158" s="3">
        <f t="shared" si="93"/>
        <v>2.0645721139993059E-3</v>
      </c>
      <c r="V158" s="3">
        <f t="shared" si="93"/>
        <v>2.0645721139967827E-3</v>
      </c>
      <c r="W158" s="3">
        <f t="shared" si="93"/>
        <v>2.0645721139715529E-3</v>
      </c>
      <c r="X158" s="3">
        <f t="shared" si="93"/>
        <v>2.0645721137192525E-3</v>
      </c>
      <c r="Y158" s="3">
        <f t="shared" si="93"/>
        <v>2.0645721111962512E-3</v>
      </c>
      <c r="Z158" s="3">
        <f t="shared" si="93"/>
        <v>2.0645720859662391E-3</v>
      </c>
      <c r="AA158" s="3">
        <f t="shared" ref="AA158:AF158" si="94">$C44*EXP(-AA$129/$A44/EXP(-$B$126))</f>
        <v>2.0645718336661329E-3</v>
      </c>
      <c r="AB158" s="3">
        <f t="shared" si="94"/>
        <v>2.0645693106667675E-3</v>
      </c>
      <c r="AC158" s="3">
        <f t="shared" si="94"/>
        <v>2.0645440808426912E-3</v>
      </c>
      <c r="AD158" s="3">
        <f t="shared" si="94"/>
        <v>2.0642917995587987E-3</v>
      </c>
      <c r="AE158" s="3">
        <f t="shared" si="94"/>
        <v>2.0617706816406208E-3</v>
      </c>
      <c r="AF158" s="3">
        <f t="shared" si="94"/>
        <v>2.0367282306621212E-3</v>
      </c>
    </row>
    <row r="159" spans="1:32" x14ac:dyDescent="0.25">
      <c r="A159" s="11" t="s">
        <v>75</v>
      </c>
      <c r="B159" s="3">
        <f t="shared" ref="B159:Z159" si="95">$C45*EXP(-B$129/$A45/EXP(-$B$126))</f>
        <v>5.3484126683110472E-4</v>
      </c>
      <c r="C159" s="3">
        <f t="shared" si="95"/>
        <v>5.3484126683110472E-4</v>
      </c>
      <c r="D159" s="3">
        <f t="shared" si="95"/>
        <v>5.3484126683110472E-4</v>
      </c>
      <c r="E159" s="3">
        <f t="shared" si="95"/>
        <v>5.3484126683110472E-4</v>
      </c>
      <c r="F159" s="3">
        <f t="shared" si="95"/>
        <v>5.3484126683110472E-4</v>
      </c>
      <c r="G159" s="3">
        <f t="shared" si="95"/>
        <v>5.3484126683110472E-4</v>
      </c>
      <c r="H159" s="3">
        <f t="shared" si="95"/>
        <v>5.3484126683110472E-4</v>
      </c>
      <c r="I159" s="3">
        <f t="shared" si="95"/>
        <v>5.3484126683110472E-4</v>
      </c>
      <c r="J159" s="3">
        <f t="shared" si="95"/>
        <v>5.3484126683110472E-4</v>
      </c>
      <c r="K159" s="3">
        <f t="shared" si="95"/>
        <v>5.3484126683110472E-4</v>
      </c>
      <c r="L159" s="3">
        <f t="shared" si="95"/>
        <v>5.3484126683110472E-4</v>
      </c>
      <c r="M159" s="3">
        <f t="shared" si="95"/>
        <v>5.3484126683110472E-4</v>
      </c>
      <c r="N159" s="3">
        <f t="shared" si="95"/>
        <v>5.3484126683110472E-4</v>
      </c>
      <c r="O159" s="3">
        <f t="shared" si="95"/>
        <v>5.3484126683110472E-4</v>
      </c>
      <c r="P159" s="3">
        <f t="shared" si="95"/>
        <v>5.3484126683110472E-4</v>
      </c>
      <c r="Q159" s="3">
        <f t="shared" si="95"/>
        <v>5.3484126683110472E-4</v>
      </c>
      <c r="R159" s="3">
        <f t="shared" si="95"/>
        <v>5.3484126683110472E-4</v>
      </c>
      <c r="S159" s="3">
        <f t="shared" si="95"/>
        <v>5.3484126683110461E-4</v>
      </c>
      <c r="T159" s="3">
        <f t="shared" si="95"/>
        <v>5.3484126683110396E-4</v>
      </c>
      <c r="U159" s="3">
        <f t="shared" si="95"/>
        <v>5.3484126683109746E-4</v>
      </c>
      <c r="V159" s="3">
        <f t="shared" si="95"/>
        <v>5.3484126683103208E-4</v>
      </c>
      <c r="W159" s="3">
        <f t="shared" si="95"/>
        <v>5.3484126683037852E-4</v>
      </c>
      <c r="X159" s="3">
        <f t="shared" si="95"/>
        <v>5.3484126682384252E-4</v>
      </c>
      <c r="Y159" s="3">
        <f t="shared" si="95"/>
        <v>5.3484126675848247E-4</v>
      </c>
      <c r="Z159" s="3">
        <f t="shared" si="95"/>
        <v>5.3484126610488204E-4</v>
      </c>
      <c r="AA159" s="3">
        <f t="shared" ref="AA159:AF159" si="96">$C45*EXP(-AA$129/$A45/EXP(-$B$126))</f>
        <v>5.3484125956887799E-4</v>
      </c>
      <c r="AB159" s="3">
        <f t="shared" si="96"/>
        <v>5.348411942088417E-4</v>
      </c>
      <c r="AC159" s="3">
        <f t="shared" si="96"/>
        <v>5.3484054060891763E-4</v>
      </c>
      <c r="AD159" s="3">
        <f t="shared" si="96"/>
        <v>5.3483400465360788E-4</v>
      </c>
      <c r="AE159" s="3">
        <f t="shared" si="96"/>
        <v>5.3476864949330129E-4</v>
      </c>
      <c r="AF159" s="3">
        <f t="shared" si="96"/>
        <v>5.341155369708346E-4</v>
      </c>
    </row>
    <row r="160" spans="1:32" x14ac:dyDescent="0.25">
      <c r="B160" s="3">
        <f t="shared" ref="B160:Z160" si="97">$C46*EXP(-B$129/$A46/EXP(-$B$126))</f>
        <v>1.465148476990797E-3</v>
      </c>
      <c r="C160" s="3">
        <f t="shared" si="97"/>
        <v>1.465148476990797E-3</v>
      </c>
      <c r="D160" s="3">
        <f t="shared" si="97"/>
        <v>1.465148476990797E-3</v>
      </c>
      <c r="E160" s="3">
        <f t="shared" si="97"/>
        <v>1.465148476990797E-3</v>
      </c>
      <c r="F160" s="3">
        <f t="shared" si="97"/>
        <v>1.465148476990797E-3</v>
      </c>
      <c r="G160" s="3">
        <f t="shared" si="97"/>
        <v>1.465148476990797E-3</v>
      </c>
      <c r="H160" s="3">
        <f t="shared" si="97"/>
        <v>1.465148476990797E-3</v>
      </c>
      <c r="I160" s="3">
        <f t="shared" si="97"/>
        <v>1.465148476990797E-3</v>
      </c>
      <c r="J160" s="3">
        <f t="shared" si="97"/>
        <v>1.465148476990797E-3</v>
      </c>
      <c r="K160" s="3">
        <f t="shared" si="97"/>
        <v>1.465148476990797E-3</v>
      </c>
      <c r="L160" s="3">
        <f t="shared" si="97"/>
        <v>1.465148476990797E-3</v>
      </c>
      <c r="M160" s="3">
        <f t="shared" si="97"/>
        <v>1.465148476990797E-3</v>
      </c>
      <c r="N160" s="3">
        <f t="shared" si="97"/>
        <v>1.465148476990797E-3</v>
      </c>
      <c r="O160" s="3">
        <f t="shared" si="97"/>
        <v>1.465148476990797E-3</v>
      </c>
      <c r="P160" s="3">
        <f t="shared" si="97"/>
        <v>1.465148476990797E-3</v>
      </c>
      <c r="Q160" s="3">
        <f t="shared" si="97"/>
        <v>1.465148476990797E-3</v>
      </c>
      <c r="R160" s="3">
        <f t="shared" si="97"/>
        <v>1.465148476990797E-3</v>
      </c>
      <c r="S160" s="3">
        <f t="shared" si="97"/>
        <v>1.465148476990797E-3</v>
      </c>
      <c r="T160" s="3">
        <f t="shared" si="97"/>
        <v>1.4651484769907968E-3</v>
      </c>
      <c r="U160" s="3">
        <f t="shared" si="97"/>
        <v>1.4651484769907951E-3</v>
      </c>
      <c r="V160" s="3">
        <f t="shared" si="97"/>
        <v>1.4651484769907771E-3</v>
      </c>
      <c r="W160" s="3">
        <f t="shared" si="97"/>
        <v>1.4651484769905982E-3</v>
      </c>
      <c r="X160" s="3">
        <f t="shared" si="97"/>
        <v>1.4651484769888077E-3</v>
      </c>
      <c r="Y160" s="3">
        <f t="shared" si="97"/>
        <v>1.4651484769709028E-3</v>
      </c>
      <c r="Z160" s="3">
        <f t="shared" si="97"/>
        <v>1.465148476791855E-3</v>
      </c>
      <c r="AA160" s="3">
        <f t="shared" ref="AA160:AF160" si="98">$C46*EXP(-AA$129/$A46/EXP(-$B$126))</f>
        <v>1.4651484750013769E-3</v>
      </c>
      <c r="AB160" s="3">
        <f t="shared" si="98"/>
        <v>1.4651484570965944E-3</v>
      </c>
      <c r="AC160" s="3">
        <f t="shared" si="98"/>
        <v>1.4651482780487842E-3</v>
      </c>
      <c r="AD160" s="3">
        <f t="shared" si="98"/>
        <v>1.4651464875718846E-3</v>
      </c>
      <c r="AE160" s="3">
        <f t="shared" si="98"/>
        <v>1.4651285829232314E-3</v>
      </c>
      <c r="AF160" s="3">
        <f t="shared" si="98"/>
        <v>1.464949548470348E-3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1.026110794379005E-2</v>
      </c>
      <c r="C162" s="3">
        <f t="shared" si="101"/>
        <v>1.026110794379005E-2</v>
      </c>
      <c r="D162" s="3">
        <f t="shared" si="101"/>
        <v>1.026110794379005E-2</v>
      </c>
      <c r="E162" s="3">
        <f t="shared" si="101"/>
        <v>1.026110794379005E-2</v>
      </c>
      <c r="F162" s="3">
        <f t="shared" si="101"/>
        <v>1.026110794379005E-2</v>
      </c>
      <c r="G162" s="3">
        <f t="shared" si="101"/>
        <v>1.026110794379005E-2</v>
      </c>
      <c r="H162" s="3">
        <f t="shared" si="101"/>
        <v>1.026110794379005E-2</v>
      </c>
      <c r="I162" s="3">
        <f t="shared" si="101"/>
        <v>1.026110794379005E-2</v>
      </c>
      <c r="J162" s="3">
        <f t="shared" si="101"/>
        <v>1.026110794379005E-2</v>
      </c>
      <c r="K162" s="3">
        <f t="shared" si="101"/>
        <v>1.026110794379005E-2</v>
      </c>
      <c r="L162" s="3">
        <f t="shared" si="101"/>
        <v>1.026110794379005E-2</v>
      </c>
      <c r="M162" s="3">
        <f t="shared" si="101"/>
        <v>1.026110794379005E-2</v>
      </c>
      <c r="N162" s="3">
        <f t="shared" si="101"/>
        <v>1.026110794379005E-2</v>
      </c>
      <c r="O162" s="3">
        <f t="shared" si="101"/>
        <v>1.026110794379005E-2</v>
      </c>
      <c r="P162" s="3">
        <f t="shared" si="101"/>
        <v>1.026110794379005E-2</v>
      </c>
      <c r="Q162" s="3">
        <f t="shared" si="101"/>
        <v>1.026110794379005E-2</v>
      </c>
      <c r="R162" s="3">
        <f t="shared" si="101"/>
        <v>1.026110794379005E-2</v>
      </c>
      <c r="S162" s="3">
        <f t="shared" si="101"/>
        <v>1.026110794379005E-2</v>
      </c>
      <c r="T162" s="3">
        <f t="shared" si="101"/>
        <v>1.026110794379005E-2</v>
      </c>
      <c r="U162" s="3">
        <f t="shared" si="101"/>
        <v>1.026110794379005E-2</v>
      </c>
      <c r="V162" s="3">
        <f t="shared" si="101"/>
        <v>1.0261107943790048E-2</v>
      </c>
      <c r="W162" s="3">
        <f t="shared" si="101"/>
        <v>1.0261107943790036E-2</v>
      </c>
      <c r="X162" s="3">
        <f t="shared" si="101"/>
        <v>1.0261107943789911E-2</v>
      </c>
      <c r="Y162" s="3">
        <f t="shared" si="101"/>
        <v>1.0261107943788657E-2</v>
      </c>
      <c r="Z162" s="3">
        <f t="shared" si="101"/>
        <v>1.0261107943776116E-2</v>
      </c>
      <c r="AA162" s="3">
        <f t="shared" ref="AA162:AF162" si="102">$C48*EXP(-AA$129/$A48/EXP(-$B$126))</f>
        <v>1.0261107943650722E-2</v>
      </c>
      <c r="AB162" s="3">
        <f t="shared" si="102"/>
        <v>1.0261107942396767E-2</v>
      </c>
      <c r="AC162" s="3">
        <f t="shared" si="102"/>
        <v>1.0261107929857226E-2</v>
      </c>
      <c r="AD162" s="3">
        <f t="shared" si="102"/>
        <v>1.026110780446181E-2</v>
      </c>
      <c r="AE162" s="3">
        <f t="shared" si="102"/>
        <v>1.026110655050773E-2</v>
      </c>
      <c r="AF162" s="3">
        <f t="shared" si="102"/>
        <v>1.0261094010975372E-2</v>
      </c>
    </row>
    <row r="163" spans="1:34" x14ac:dyDescent="0.25">
      <c r="A163" s="79">
        <f>AVERAGE(B163:AF163)</f>
        <v>8.4496022940930872E-3</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2.8248252403603635E-2</v>
      </c>
      <c r="M163" s="80">
        <f t="shared" si="103"/>
        <v>2.719706593226557E-2</v>
      </c>
      <c r="N163" s="80">
        <f t="shared" si="103"/>
        <v>2.6190409718723617E-2</v>
      </c>
      <c r="O163" s="80">
        <f t="shared" si="103"/>
        <v>2.5390002339733313E-2</v>
      </c>
      <c r="P163" s="80">
        <f t="shared" si="103"/>
        <v>2.5481288153350334E-2</v>
      </c>
      <c r="Q163" s="80">
        <f t="shared" si="103"/>
        <v>2.6603195081776814E-2</v>
      </c>
      <c r="R163" s="80">
        <f t="shared" si="103"/>
        <v>2.4455532478612079E-2</v>
      </c>
      <c r="S163" s="80">
        <f t="shared" si="103"/>
        <v>2.626465766382104E-2</v>
      </c>
      <c r="T163" s="80">
        <f t="shared" si="103"/>
        <v>2.177896536713015E-2</v>
      </c>
      <c r="U163" s="80">
        <f t="shared" si="103"/>
        <v>2.1543714920494172E-2</v>
      </c>
      <c r="V163" s="80">
        <f t="shared" si="103"/>
        <v>8.7845870573750318E-3</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894979.14983496291</v>
      </c>
      <c r="C164" s="21">
        <f t="shared" ref="C164:AF164" si="104">(C131-C130)^2</f>
        <v>1264638.108861496</v>
      </c>
      <c r="D164" s="21">
        <f t="shared" si="104"/>
        <v>743474.42949670169</v>
      </c>
      <c r="E164" s="21">
        <f t="shared" si="104"/>
        <v>451534.619002775</v>
      </c>
      <c r="F164" s="21">
        <f t="shared" si="104"/>
        <v>244619.90734484393</v>
      </c>
      <c r="G164" s="21">
        <f t="shared" si="104"/>
        <v>97427.503539313111</v>
      </c>
      <c r="H164" s="21">
        <f t="shared" si="104"/>
        <v>48301.502042119304</v>
      </c>
      <c r="I164" s="21">
        <f t="shared" si="104"/>
        <v>101948.39546261117</v>
      </c>
      <c r="J164" s="21">
        <f t="shared" si="104"/>
        <v>75778.001414056023</v>
      </c>
      <c r="K164" s="21">
        <f t="shared" si="104"/>
        <v>73079.781931567602</v>
      </c>
      <c r="L164" s="21">
        <f t="shared" si="104"/>
        <v>71369.827986344651</v>
      </c>
      <c r="M164" s="21">
        <f t="shared" si="104"/>
        <v>62564.476124449429</v>
      </c>
      <c r="N164" s="21">
        <f t="shared" si="104"/>
        <v>53764.528085878512</v>
      </c>
      <c r="O164" s="21">
        <f t="shared" si="104"/>
        <v>46356.266487756664</v>
      </c>
      <c r="P164" s="21">
        <f t="shared" si="104"/>
        <v>42905.536207520483</v>
      </c>
      <c r="Q164" s="21">
        <f t="shared" si="104"/>
        <v>43573.143761692285</v>
      </c>
      <c r="R164" s="21">
        <f t="shared" si="104"/>
        <v>34131.023506883706</v>
      </c>
      <c r="S164" s="21">
        <f t="shared" si="104"/>
        <v>36474.32009417894</v>
      </c>
      <c r="T164" s="21">
        <f t="shared" si="104"/>
        <v>23032.03812682394</v>
      </c>
      <c r="U164" s="21">
        <f t="shared" si="104"/>
        <v>20591.705552481439</v>
      </c>
      <c r="V164" s="21">
        <f t="shared" si="104"/>
        <v>2890.4352904951747</v>
      </c>
      <c r="W164" s="21">
        <f t="shared" si="104"/>
        <v>155744.80514560477</v>
      </c>
      <c r="X164" s="21">
        <f t="shared" si="104"/>
        <v>269361.28972271486</v>
      </c>
      <c r="Y164" s="21">
        <f t="shared" si="104"/>
        <v>152324.22632356684</v>
      </c>
      <c r="Z164" s="21">
        <f t="shared" si="104"/>
        <v>73624.033763462634</v>
      </c>
      <c r="AA164" s="21">
        <f t="shared" si="104"/>
        <v>34412.575416285559</v>
      </c>
      <c r="AB164" s="21">
        <f t="shared" si="104"/>
        <v>24890.105360932466</v>
      </c>
      <c r="AC164" s="21">
        <f t="shared" si="104"/>
        <v>5331.1806390520487</v>
      </c>
      <c r="AD164" s="21">
        <f t="shared" si="104"/>
        <v>3239.8489768608351</v>
      </c>
      <c r="AE164" s="21">
        <f t="shared" si="104"/>
        <v>516.97445640806666</v>
      </c>
      <c r="AF164" s="21">
        <f t="shared" si="104"/>
        <v>275.7988596578993</v>
      </c>
    </row>
    <row r="165" spans="1:34" x14ac:dyDescent="0.25">
      <c r="A165" s="71">
        <f>SUM(B165:AF165)</f>
        <v>437653.3012245053</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71369.827986344651</v>
      </c>
      <c r="M165" s="60">
        <f t="shared" si="105"/>
        <v>62564.476124449429</v>
      </c>
      <c r="N165" s="60">
        <f t="shared" si="105"/>
        <v>53764.528085878512</v>
      </c>
      <c r="O165" s="60">
        <f t="shared" si="105"/>
        <v>46356.266487756664</v>
      </c>
      <c r="P165" s="60">
        <f t="shared" si="105"/>
        <v>42905.536207520483</v>
      </c>
      <c r="Q165" s="60">
        <f t="shared" si="105"/>
        <v>43573.143761692285</v>
      </c>
      <c r="R165" s="60">
        <f t="shared" si="105"/>
        <v>34131.023506883706</v>
      </c>
      <c r="S165" s="60">
        <f t="shared" si="105"/>
        <v>36474.32009417894</v>
      </c>
      <c r="T165" s="60">
        <f t="shared" si="105"/>
        <v>23032.03812682394</v>
      </c>
      <c r="U165" s="60">
        <f t="shared" si="105"/>
        <v>20591.705552481439</v>
      </c>
      <c r="V165" s="60">
        <f t="shared" si="105"/>
        <v>2890.4352904951747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10400.746984715315</v>
      </c>
      <c r="C170" s="27">
        <f t="shared" ref="C170:AF170" si="106">($C$17+SUM(C171:C201))*$B$51</f>
        <v>10400.676293748966</v>
      </c>
      <c r="D170" s="27">
        <f t="shared" si="106"/>
        <v>10399.969985121736</v>
      </c>
      <c r="E170" s="27">
        <f t="shared" si="106"/>
        <v>10392.966645694054</v>
      </c>
      <c r="F170" s="27">
        <f t="shared" si="106"/>
        <v>10328.566629595964</v>
      </c>
      <c r="G170" s="27">
        <f t="shared" si="106"/>
        <v>10018.697496024974</v>
      </c>
      <c r="H170" s="27">
        <f t="shared" si="106"/>
        <v>9780.4749931293936</v>
      </c>
      <c r="I170" s="27">
        <f t="shared" si="106"/>
        <v>9530.3266044869924</v>
      </c>
      <c r="J170" s="27">
        <f t="shared" si="106"/>
        <v>9268.2595005261646</v>
      </c>
      <c r="K170" s="27">
        <f t="shared" si="106"/>
        <v>9026.3738508923288</v>
      </c>
      <c r="L170" s="27">
        <f t="shared" si="106"/>
        <v>8729.8975946525334</v>
      </c>
      <c r="M170" s="27">
        <f t="shared" si="106"/>
        <v>8379.8384848441056</v>
      </c>
      <c r="N170" s="27">
        <f t="shared" si="106"/>
        <v>8028.8624388015323</v>
      </c>
      <c r="O170" s="27">
        <f t="shared" si="106"/>
        <v>7723.0523336654842</v>
      </c>
      <c r="P170" s="27">
        <f t="shared" si="106"/>
        <v>7454.624934732401</v>
      </c>
      <c r="Q170" s="27">
        <f t="shared" si="106"/>
        <v>7171.8439515875889</v>
      </c>
      <c r="R170" s="27">
        <f t="shared" si="106"/>
        <v>6891.057384923598</v>
      </c>
      <c r="S170" s="27">
        <f t="shared" si="106"/>
        <v>6614.9291699431615</v>
      </c>
      <c r="T170" s="27">
        <f t="shared" si="106"/>
        <v>6275.3895920602454</v>
      </c>
      <c r="U170" s="27">
        <f t="shared" si="106"/>
        <v>5799.2672117288585</v>
      </c>
      <c r="V170" s="27">
        <f t="shared" si="106"/>
        <v>4907.2357523405126</v>
      </c>
      <c r="W170" s="27">
        <f t="shared" si="106"/>
        <v>3871.2106369967696</v>
      </c>
      <c r="X170" s="27">
        <f t="shared" si="106"/>
        <v>2999.1424658585252</v>
      </c>
      <c r="Y170" s="27">
        <f t="shared" si="106"/>
        <v>2298.3407404729965</v>
      </c>
      <c r="Z170" s="27">
        <f t="shared" si="106"/>
        <v>1670.7049443243859</v>
      </c>
      <c r="AA170" s="27">
        <f t="shared" si="106"/>
        <v>1207.7134592445836</v>
      </c>
      <c r="AB170" s="27">
        <f t="shared" si="106"/>
        <v>819.66351758026121</v>
      </c>
      <c r="AC170" s="27">
        <f t="shared" si="106"/>
        <v>607.26279534545881</v>
      </c>
      <c r="AD170" s="27">
        <f t="shared" si="106"/>
        <v>486.97912124297949</v>
      </c>
      <c r="AE170" s="27">
        <f t="shared" si="106"/>
        <v>434.70326006434152</v>
      </c>
      <c r="AF170" s="27">
        <f t="shared" si="106"/>
        <v>401.94794729075659</v>
      </c>
      <c r="AG170" s="27"/>
      <c r="AH170" s="27"/>
    </row>
    <row r="171" spans="1:34" x14ac:dyDescent="0.25">
      <c r="B171" s="3">
        <f t="shared" ref="B171:AF171" si="107">$C18*EXP(-B$168/$A18/EXP(-$C$126))</f>
        <v>3.0255650905920148E-32</v>
      </c>
      <c r="C171" s="3">
        <f t="shared" si="107"/>
        <v>2.0054460171309986E-306</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3.6513935716225701E-2</v>
      </c>
      <c r="C172" s="3">
        <f t="shared" si="108"/>
        <v>3.6508031331095814E-2</v>
      </c>
      <c r="D172" s="3">
        <f t="shared" si="108"/>
        <v>3.6449039965707593E-2</v>
      </c>
      <c r="E172" s="3">
        <f t="shared" si="108"/>
        <v>3.5864343633501272E-2</v>
      </c>
      <c r="F172" s="3">
        <f t="shared" si="108"/>
        <v>3.0509199924169644E-2</v>
      </c>
      <c r="G172" s="3">
        <f t="shared" si="108"/>
        <v>6.0549440767095654E-3</v>
      </c>
      <c r="H172" s="3">
        <f t="shared" si="108"/>
        <v>5.7398865935562106E-10</v>
      </c>
      <c r="I172" s="3">
        <f t="shared" si="108"/>
        <v>3.3638379573445513E-80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1.768617169780751E-2</v>
      </c>
      <c r="C173" s="3">
        <f t="shared" si="109"/>
        <v>1.7685913692638618E-2</v>
      </c>
      <c r="D173" s="3">
        <f t="shared" si="109"/>
        <v>1.7683333847947905E-2</v>
      </c>
      <c r="E173" s="3">
        <f t="shared" si="109"/>
        <v>1.7657556089696599E-2</v>
      </c>
      <c r="F173" s="3">
        <f t="shared" si="109"/>
        <v>1.7401836249326199E-2</v>
      </c>
      <c r="G173" s="3">
        <f t="shared" si="109"/>
        <v>1.5039725486473175E-2</v>
      </c>
      <c r="H173" s="3">
        <f t="shared" si="109"/>
        <v>3.4969403664305379E-3</v>
      </c>
      <c r="I173" s="3">
        <f t="shared" si="109"/>
        <v>1.6149957957589333E-9</v>
      </c>
      <c r="J173" s="3">
        <f t="shared" si="109"/>
        <v>7.1285810834809384E-73</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2.4470485543322682E-2</v>
      </c>
      <c r="C174" s="3">
        <f t="shared" si="110"/>
        <v>2.4470453341042114E-2</v>
      </c>
      <c r="D174" s="3">
        <f t="shared" si="110"/>
        <v>2.4470131320567183E-2</v>
      </c>
      <c r="E174" s="3">
        <f t="shared" si="110"/>
        <v>2.4466911348879322E-2</v>
      </c>
      <c r="F174" s="3">
        <f t="shared" si="110"/>
        <v>2.4434734926804876E-2</v>
      </c>
      <c r="G174" s="3">
        <f t="shared" si="110"/>
        <v>2.4115288883886195E-2</v>
      </c>
      <c r="H174" s="3">
        <f t="shared" si="110"/>
        <v>2.1141745295574537E-2</v>
      </c>
      <c r="I174" s="3">
        <f t="shared" si="110"/>
        <v>5.6705412216421693E-3</v>
      </c>
      <c r="J174" s="3">
        <f t="shared" si="110"/>
        <v>1.0926001776005114E-8</v>
      </c>
      <c r="K174" s="3">
        <f t="shared" si="110"/>
        <v>7.7059966493510549E-66</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2.4627511705544562E-2</v>
      </c>
      <c r="C175" s="3">
        <f t="shared" si="111"/>
        <v>2.4627508781988491E-2</v>
      </c>
      <c r="D175" s="3">
        <f t="shared" si="111"/>
        <v>2.462747954644685E-2</v>
      </c>
      <c r="E175" s="3">
        <f t="shared" si="111"/>
        <v>2.4627187192939246E-2</v>
      </c>
      <c r="F175" s="3">
        <f t="shared" si="111"/>
        <v>2.4624263848735947E-2</v>
      </c>
      <c r="G175" s="3">
        <f t="shared" si="111"/>
        <v>2.4595049485594402E-2</v>
      </c>
      <c r="H175" s="3">
        <f t="shared" si="111"/>
        <v>2.4304805389832249E-2</v>
      </c>
      <c r="I175" s="3">
        <f t="shared" si="111"/>
        <v>2.1584233022148236E-2</v>
      </c>
      <c r="J175" s="3">
        <f t="shared" si="111"/>
        <v>6.5853877381736739E-3</v>
      </c>
      <c r="K175" s="3">
        <f t="shared" si="111"/>
        <v>4.602869349789208E-8</v>
      </c>
      <c r="L175" s="3">
        <f t="shared" si="111"/>
        <v>1.2808598702523652E-59</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1.9757999391900108E-2</v>
      </c>
      <c r="C176" s="3">
        <f t="shared" si="112"/>
        <v>1.9757999180317252E-2</v>
      </c>
      <c r="D176" s="3">
        <f t="shared" si="112"/>
        <v>1.9757997064488813E-2</v>
      </c>
      <c r="E176" s="3">
        <f t="shared" si="112"/>
        <v>1.9757975906216883E-2</v>
      </c>
      <c r="F176" s="3">
        <f t="shared" si="112"/>
        <v>1.9757764324743753E-2</v>
      </c>
      <c r="G176" s="3">
        <f t="shared" si="112"/>
        <v>1.9755648634624947E-2</v>
      </c>
      <c r="H176" s="3">
        <f t="shared" si="112"/>
        <v>1.9734504189749418E-2</v>
      </c>
      <c r="I176" s="3">
        <f t="shared" si="112"/>
        <v>1.9524300450882791E-2</v>
      </c>
      <c r="J176" s="3">
        <f t="shared" si="112"/>
        <v>1.754155574041252E-2</v>
      </c>
      <c r="K176" s="3">
        <f t="shared" si="112"/>
        <v>6.0116593581378535E-3</v>
      </c>
      <c r="L176" s="3">
        <f t="shared" si="112"/>
        <v>1.3435595656809519E-7</v>
      </c>
      <c r="M176" s="3">
        <f t="shared" si="112"/>
        <v>4.1771737375106995E-54</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3.0456673136549522E-2</v>
      </c>
      <c r="C177" s="3">
        <f t="shared" si="113"/>
        <v>3.0456673107127904E-2</v>
      </c>
      <c r="D177" s="3">
        <f t="shared" si="113"/>
        <v>3.0456672812911718E-2</v>
      </c>
      <c r="E177" s="3">
        <f t="shared" si="113"/>
        <v>3.0456669870750012E-2</v>
      </c>
      <c r="F177" s="3">
        <f t="shared" si="113"/>
        <v>3.0456640449148607E-2</v>
      </c>
      <c r="G177" s="3">
        <f t="shared" si="113"/>
        <v>3.045634623469776E-2</v>
      </c>
      <c r="H177" s="3">
        <f t="shared" si="113"/>
        <v>3.0453404246502634E-2</v>
      </c>
      <c r="I177" s="3">
        <f t="shared" si="113"/>
        <v>3.042399999030208E-2</v>
      </c>
      <c r="J177" s="3">
        <f t="shared" si="113"/>
        <v>3.0131514432725486E-2</v>
      </c>
      <c r="K177" s="3">
        <f t="shared" si="113"/>
        <v>2.7356935057134081E-2</v>
      </c>
      <c r="L177" s="3">
        <f t="shared" si="113"/>
        <v>1.0411953792642597E-2</v>
      </c>
      <c r="M177" s="3">
        <f t="shared" si="113"/>
        <v>6.6401846799455187E-7</v>
      </c>
      <c r="N177" s="3">
        <f t="shared" si="113"/>
        <v>7.3902549487427782E-49</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3.3429649524788996E-2</v>
      </c>
      <c r="C178" s="3">
        <f t="shared" si="114"/>
        <v>3.3429649521875847E-2</v>
      </c>
      <c r="D178" s="3">
        <f t="shared" si="114"/>
        <v>3.3429649492744365E-2</v>
      </c>
      <c r="E178" s="3">
        <f t="shared" si="114"/>
        <v>3.3429649201429594E-2</v>
      </c>
      <c r="F178" s="3">
        <f t="shared" si="114"/>
        <v>3.3429646288281968E-2</v>
      </c>
      <c r="G178" s="3">
        <f t="shared" si="114"/>
        <v>3.3429617156819719E-2</v>
      </c>
      <c r="H178" s="3">
        <f t="shared" si="114"/>
        <v>3.3429325843593455E-2</v>
      </c>
      <c r="I178" s="3">
        <f t="shared" si="114"/>
        <v>3.3426412850948474E-2</v>
      </c>
      <c r="J178" s="3">
        <f t="shared" si="114"/>
        <v>3.3397296881763537E-2</v>
      </c>
      <c r="K178" s="3">
        <f t="shared" si="114"/>
        <v>3.3107528426662827E-2</v>
      </c>
      <c r="L178" s="3">
        <f t="shared" si="114"/>
        <v>3.0344584466495083E-2</v>
      </c>
      <c r="M178" s="3">
        <f t="shared" si="114"/>
        <v>1.2694790427363951E-2</v>
      </c>
      <c r="N178" s="3">
        <f t="shared" si="114"/>
        <v>2.0848218283421652E-6</v>
      </c>
      <c r="O178" s="3">
        <f t="shared" si="114"/>
        <v>2.9751101091764552E-44</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3.2540934882303918E-2</v>
      </c>
      <c r="C179" s="3">
        <f t="shared" si="115"/>
        <v>3.2540934882048116E-2</v>
      </c>
      <c r="D179" s="3">
        <f t="shared" si="115"/>
        <v>3.2540934879490072E-2</v>
      </c>
      <c r="E179" s="3">
        <f t="shared" si="115"/>
        <v>3.2540934853909673E-2</v>
      </c>
      <c r="F179" s="3">
        <f t="shared" si="115"/>
        <v>3.2540934598105691E-2</v>
      </c>
      <c r="G179" s="3">
        <f t="shared" si="115"/>
        <v>3.2540932040065945E-2</v>
      </c>
      <c r="H179" s="3">
        <f t="shared" si="115"/>
        <v>3.2540906459679539E-2</v>
      </c>
      <c r="I179" s="3">
        <f t="shared" si="115"/>
        <v>3.2540650656921487E-2</v>
      </c>
      <c r="J179" s="3">
        <f t="shared" si="115"/>
        <v>3.2538092739935388E-2</v>
      </c>
      <c r="K179" s="3">
        <f t="shared" si="115"/>
        <v>3.2512524626301165E-2</v>
      </c>
      <c r="L179" s="3">
        <f t="shared" si="115"/>
        <v>3.2257945903608469E-2</v>
      </c>
      <c r="M179" s="3">
        <f t="shared" si="115"/>
        <v>2.9819259907540582E-2</v>
      </c>
      <c r="N179" s="3">
        <f t="shared" si="115"/>
        <v>1.3586211511998054E-2</v>
      </c>
      <c r="O179" s="3">
        <f t="shared" si="115"/>
        <v>5.2373727268967025E-6</v>
      </c>
      <c r="P179" s="3">
        <f t="shared" si="115"/>
        <v>3.7954615055592607E-40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2.4641511300846894E-2</v>
      </c>
      <c r="C180" s="3">
        <f t="shared" si="116"/>
        <v>2.4641511300829422E-2</v>
      </c>
      <c r="D180" s="3">
        <f t="shared" si="116"/>
        <v>2.4641511300654683E-2</v>
      </c>
      <c r="E180" s="3">
        <f t="shared" si="116"/>
        <v>2.4641511298907286E-2</v>
      </c>
      <c r="F180" s="3">
        <f t="shared" si="116"/>
        <v>2.4641511281433333E-2</v>
      </c>
      <c r="G180" s="3">
        <f t="shared" si="116"/>
        <v>2.464151110669378E-2</v>
      </c>
      <c r="H180" s="3">
        <f t="shared" si="116"/>
        <v>2.464150935929835E-2</v>
      </c>
      <c r="I180" s="3">
        <f t="shared" si="116"/>
        <v>2.4641491885350867E-2</v>
      </c>
      <c r="J180" s="3">
        <f t="shared" si="116"/>
        <v>2.4641317146557529E-2</v>
      </c>
      <c r="K180" s="3">
        <f t="shared" si="116"/>
        <v>2.4639569826774045E-2</v>
      </c>
      <c r="L180" s="3">
        <f t="shared" si="116"/>
        <v>2.4622103442139793E-2</v>
      </c>
      <c r="M180" s="3">
        <f t="shared" si="116"/>
        <v>2.4448119131615008E-2</v>
      </c>
      <c r="N180" s="3">
        <f t="shared" si="116"/>
        <v>2.2774479978309409E-2</v>
      </c>
      <c r="O180" s="3">
        <f t="shared" si="116"/>
        <v>1.1206722824258331E-2</v>
      </c>
      <c r="P180" s="3">
        <f t="shared" si="116"/>
        <v>9.327821882010661E-6</v>
      </c>
      <c r="Q180" s="3">
        <f t="shared" si="116"/>
        <v>1.4886629602760739E-36</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2.412241796775566E-2</v>
      </c>
      <c r="C181" s="3">
        <f t="shared" si="117"/>
        <v>2.4122417967754117E-2</v>
      </c>
      <c r="D181" s="3">
        <f t="shared" si="117"/>
        <v>2.4122417967738684E-2</v>
      </c>
      <c r="E181" s="3">
        <f t="shared" si="117"/>
        <v>2.4122417967584377E-2</v>
      </c>
      <c r="F181" s="3">
        <f t="shared" si="117"/>
        <v>2.4122417966041285E-2</v>
      </c>
      <c r="G181" s="3">
        <f t="shared" si="117"/>
        <v>2.4122417950610386E-2</v>
      </c>
      <c r="H181" s="3">
        <f t="shared" si="117"/>
        <v>2.4122417796301369E-2</v>
      </c>
      <c r="I181" s="3">
        <f t="shared" si="117"/>
        <v>2.4122416253211265E-2</v>
      </c>
      <c r="J181" s="3">
        <f t="shared" si="117"/>
        <v>2.4122400822315645E-2</v>
      </c>
      <c r="K181" s="3">
        <f t="shared" si="117"/>
        <v>2.4122246513902372E-2</v>
      </c>
      <c r="L181" s="3">
        <f t="shared" si="117"/>
        <v>2.4120703484058779E-2</v>
      </c>
      <c r="M181" s="3">
        <f t="shared" si="117"/>
        <v>2.4105278613253085E-2</v>
      </c>
      <c r="N181" s="3">
        <f t="shared" si="117"/>
        <v>2.3951571385768949E-2</v>
      </c>
      <c r="O181" s="3">
        <f t="shared" si="117"/>
        <v>2.2467387194975322E-2</v>
      </c>
      <c r="P181" s="3">
        <f t="shared" si="117"/>
        <v>1.1850540389170886E-2</v>
      </c>
      <c r="Q181" s="3">
        <f t="shared" si="117"/>
        <v>1.9751223538155049E-5</v>
      </c>
      <c r="R181" s="3">
        <f t="shared" si="117"/>
        <v>3.2670253074814899E-33</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2.8528246553067071E-2</v>
      </c>
      <c r="C182" s="3">
        <f t="shared" si="118"/>
        <v>2.8528246553066905E-2</v>
      </c>
      <c r="D182" s="3">
        <f t="shared" si="118"/>
        <v>2.8528246553065257E-2</v>
      </c>
      <c r="E182" s="3">
        <f t="shared" si="118"/>
        <v>2.8528246553048798E-2</v>
      </c>
      <c r="F182" s="3">
        <f t="shared" si="118"/>
        <v>2.8528246552884173E-2</v>
      </c>
      <c r="G182" s="3">
        <f t="shared" si="118"/>
        <v>2.8528246551237937E-2</v>
      </c>
      <c r="H182" s="3">
        <f t="shared" si="118"/>
        <v>2.8528246534775575E-2</v>
      </c>
      <c r="I182" s="3">
        <f t="shared" si="118"/>
        <v>2.8528246370151961E-2</v>
      </c>
      <c r="J182" s="3">
        <f t="shared" si="118"/>
        <v>2.8528244723915866E-2</v>
      </c>
      <c r="K182" s="3">
        <f t="shared" si="118"/>
        <v>2.8528228261560134E-2</v>
      </c>
      <c r="L182" s="3">
        <f t="shared" si="118"/>
        <v>2.8528063638525288E-2</v>
      </c>
      <c r="M182" s="3">
        <f t="shared" si="118"/>
        <v>2.8526417460423874E-2</v>
      </c>
      <c r="N182" s="3">
        <f t="shared" si="118"/>
        <v>2.8509960902997015E-2</v>
      </c>
      <c r="O182" s="3">
        <f t="shared" si="118"/>
        <v>2.8345916573886652E-2</v>
      </c>
      <c r="P182" s="3">
        <f t="shared" si="118"/>
        <v>2.6756501856248553E-2</v>
      </c>
      <c r="Q182" s="3">
        <f t="shared" si="118"/>
        <v>1.5025108569932832E-2</v>
      </c>
      <c r="R182" s="3">
        <f t="shared" si="118"/>
        <v>4.6849016234147319E-5</v>
      </c>
      <c r="S182" s="3">
        <f t="shared" si="118"/>
        <v>4.0693874784041463E-30</v>
      </c>
      <c r="T182" s="3">
        <f t="shared" si="118"/>
        <v>9.9498087111657119E-281</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2.1048719571397964E-2</v>
      </c>
      <c r="C183" s="3">
        <f t="shared" si="119"/>
        <v>2.1048719571397957E-2</v>
      </c>
      <c r="D183" s="3">
        <f t="shared" si="119"/>
        <v>2.1048719571397846E-2</v>
      </c>
      <c r="E183" s="3">
        <f t="shared" si="119"/>
        <v>2.104871957139675E-2</v>
      </c>
      <c r="F183" s="3">
        <f t="shared" si="119"/>
        <v>2.1048719571385793E-2</v>
      </c>
      <c r="G183" s="3">
        <f t="shared" si="119"/>
        <v>2.1048719571276225E-2</v>
      </c>
      <c r="H183" s="3">
        <f t="shared" si="119"/>
        <v>2.1048719570180528E-2</v>
      </c>
      <c r="I183" s="3">
        <f t="shared" si="119"/>
        <v>2.1048719559223588E-2</v>
      </c>
      <c r="J183" s="3">
        <f t="shared" si="119"/>
        <v>2.1048719449654179E-2</v>
      </c>
      <c r="K183" s="3">
        <f t="shared" si="119"/>
        <v>2.1048718353960095E-2</v>
      </c>
      <c r="L183" s="3">
        <f t="shared" si="119"/>
        <v>2.1048707397022432E-2</v>
      </c>
      <c r="M183" s="3">
        <f t="shared" si="119"/>
        <v>2.1048597827959488E-2</v>
      </c>
      <c r="N183" s="3">
        <f t="shared" si="119"/>
        <v>2.1047502168699442E-2</v>
      </c>
      <c r="O183" s="3">
        <f t="shared" si="119"/>
        <v>2.1036548712436039E-2</v>
      </c>
      <c r="P183" s="3">
        <f t="shared" si="119"/>
        <v>2.0927327180275852E-2</v>
      </c>
      <c r="Q183" s="3">
        <f t="shared" si="119"/>
        <v>1.9865820299646002E-2</v>
      </c>
      <c r="R183" s="3">
        <f t="shared" si="119"/>
        <v>1.1804127381927149E-2</v>
      </c>
      <c r="S183" s="3">
        <f t="shared" si="119"/>
        <v>6.4760133519467004E-5</v>
      </c>
      <c r="T183" s="3">
        <f t="shared" si="119"/>
        <v>1.5997282560393924E-27</v>
      </c>
      <c r="U183" s="3">
        <f t="shared" si="119"/>
        <v>1.3534151050267836E-253</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3.1114198963852646E-2</v>
      </c>
      <c r="C184" s="3">
        <f t="shared" si="120"/>
        <v>3.1114198963852646E-2</v>
      </c>
      <c r="D184" s="3">
        <f t="shared" si="120"/>
        <v>3.1114198963852629E-2</v>
      </c>
      <c r="E184" s="3">
        <f t="shared" si="120"/>
        <v>3.1114198963852483E-2</v>
      </c>
      <c r="F184" s="3">
        <f t="shared" si="120"/>
        <v>3.1114198963851022E-2</v>
      </c>
      <c r="G184" s="3">
        <f t="shared" si="120"/>
        <v>3.1114198963836409E-2</v>
      </c>
      <c r="H184" s="3">
        <f t="shared" si="120"/>
        <v>3.1114198963690304E-2</v>
      </c>
      <c r="I184" s="3">
        <f t="shared" si="120"/>
        <v>3.1114198962229243E-2</v>
      </c>
      <c r="J184" s="3">
        <f t="shared" si="120"/>
        <v>3.1114198947618618E-2</v>
      </c>
      <c r="K184" s="3">
        <f t="shared" si="120"/>
        <v>3.1114198801512345E-2</v>
      </c>
      <c r="L184" s="3">
        <f t="shared" si="120"/>
        <v>3.1114197340449658E-2</v>
      </c>
      <c r="M184" s="3">
        <f t="shared" si="120"/>
        <v>3.1114182729826554E-2</v>
      </c>
      <c r="N184" s="3">
        <f t="shared" si="120"/>
        <v>3.1114036623972878E-2</v>
      </c>
      <c r="O184" s="3">
        <f t="shared" si="120"/>
        <v>3.111257560317018E-2</v>
      </c>
      <c r="P184" s="3">
        <f t="shared" si="120"/>
        <v>3.1097969167892547E-2</v>
      </c>
      <c r="Q184" s="3">
        <f t="shared" si="120"/>
        <v>3.095228143537734E-2</v>
      </c>
      <c r="R184" s="3">
        <f t="shared" si="120"/>
        <v>2.9532419915841553E-2</v>
      </c>
      <c r="S184" s="3">
        <f t="shared" si="120"/>
        <v>1.8465570446399168E-2</v>
      </c>
      <c r="T184" s="3">
        <f t="shared" si="120"/>
        <v>1.6865517253532468E-4</v>
      </c>
      <c r="U184" s="3">
        <f t="shared" si="120"/>
        <v>6.813480722715639E-25</v>
      </c>
      <c r="V184" s="3">
        <f t="shared" si="120"/>
        <v>7.8897400485802926E-229</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2.5140718095571668E-2</v>
      </c>
      <c r="C185" s="3">
        <f t="shared" si="121"/>
        <v>2.5140718095571668E-2</v>
      </c>
      <c r="D185" s="3">
        <f t="shared" si="121"/>
        <v>2.5140718095571668E-2</v>
      </c>
      <c r="E185" s="3">
        <f t="shared" si="121"/>
        <v>2.5140718095571658E-2</v>
      </c>
      <c r="F185" s="3">
        <f t="shared" si="121"/>
        <v>2.514071809557155E-2</v>
      </c>
      <c r="G185" s="3">
        <f t="shared" si="121"/>
        <v>2.5140718095570485E-2</v>
      </c>
      <c r="H185" s="3">
        <f t="shared" si="121"/>
        <v>2.5140718095559837E-2</v>
      </c>
      <c r="I185" s="3">
        <f t="shared" si="121"/>
        <v>2.5140718095453339E-2</v>
      </c>
      <c r="J185" s="3">
        <f t="shared" si="121"/>
        <v>2.5140718094388375E-2</v>
      </c>
      <c r="K185" s="3">
        <f t="shared" si="121"/>
        <v>2.5140718083738745E-2</v>
      </c>
      <c r="L185" s="3">
        <f t="shared" si="121"/>
        <v>2.514071797724245E-2</v>
      </c>
      <c r="M185" s="3">
        <f t="shared" si="121"/>
        <v>2.5140716912279509E-2</v>
      </c>
      <c r="N185" s="3">
        <f t="shared" si="121"/>
        <v>2.5140706262652565E-2</v>
      </c>
      <c r="O185" s="3">
        <f t="shared" si="121"/>
        <v>2.5140599766631251E-2</v>
      </c>
      <c r="P185" s="3">
        <f t="shared" si="121"/>
        <v>2.5139534831229264E-2</v>
      </c>
      <c r="Q185" s="3">
        <f t="shared" si="121"/>
        <v>2.5128887957933076E-2</v>
      </c>
      <c r="R185" s="3">
        <f t="shared" si="121"/>
        <v>2.5022666908972317E-2</v>
      </c>
      <c r="S185" s="3">
        <f t="shared" si="121"/>
        <v>2.3984840977942037E-2</v>
      </c>
      <c r="T185" s="3">
        <f t="shared" si="121"/>
        <v>1.5702519059249489E-2</v>
      </c>
      <c r="U185" s="3">
        <f t="shared" si="121"/>
        <v>2.2714029599028073E-4</v>
      </c>
      <c r="V185" s="3">
        <f t="shared" si="121"/>
        <v>9.1105116777222507E-23</v>
      </c>
      <c r="W185" s="3">
        <f t="shared" si="121"/>
        <v>9.8181256683327237E-207</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7.3741618123119579E-2</v>
      </c>
      <c r="C186" s="3">
        <f t="shared" si="122"/>
        <v>7.3741618123119579E-2</v>
      </c>
      <c r="D186" s="3">
        <f t="shared" si="122"/>
        <v>7.3741618123119579E-2</v>
      </c>
      <c r="E186" s="3">
        <f t="shared" si="122"/>
        <v>7.3741618123119579E-2</v>
      </c>
      <c r="F186" s="3">
        <f t="shared" si="122"/>
        <v>7.3741618123119551E-2</v>
      </c>
      <c r="G186" s="3">
        <f t="shared" si="122"/>
        <v>7.3741618123119274E-2</v>
      </c>
      <c r="H186" s="3">
        <f t="shared" si="122"/>
        <v>7.3741618123116456E-2</v>
      </c>
      <c r="I186" s="3">
        <f t="shared" si="122"/>
        <v>7.3741618123088271E-2</v>
      </c>
      <c r="J186" s="3">
        <f t="shared" si="122"/>
        <v>7.3741618122806482E-2</v>
      </c>
      <c r="K186" s="3">
        <f t="shared" si="122"/>
        <v>7.3741618119988653E-2</v>
      </c>
      <c r="L186" s="3">
        <f t="shared" si="122"/>
        <v>7.3741618091810263E-2</v>
      </c>
      <c r="M186" s="3">
        <f t="shared" si="122"/>
        <v>7.3741617810026416E-2</v>
      </c>
      <c r="N186" s="3">
        <f t="shared" si="122"/>
        <v>7.3741614992188093E-2</v>
      </c>
      <c r="O186" s="3">
        <f t="shared" si="122"/>
        <v>7.3741586813810697E-2</v>
      </c>
      <c r="P186" s="3">
        <f t="shared" si="122"/>
        <v>7.3741305030628895E-2</v>
      </c>
      <c r="Q186" s="3">
        <f t="shared" si="122"/>
        <v>7.3738487258031893E-2</v>
      </c>
      <c r="R186" s="3">
        <f t="shared" si="122"/>
        <v>7.3710315453319644E-2</v>
      </c>
      <c r="S186" s="3">
        <f t="shared" si="122"/>
        <v>7.3429188695649877E-2</v>
      </c>
      <c r="T186" s="3">
        <f t="shared" si="122"/>
        <v>7.067622254229862E-2</v>
      </c>
      <c r="U186" s="3">
        <f t="shared" si="122"/>
        <v>4.823022935114786E-2</v>
      </c>
      <c r="V186" s="3">
        <f t="shared" si="122"/>
        <v>1.0562805988400764E-3</v>
      </c>
      <c r="W186" s="3">
        <f t="shared" si="122"/>
        <v>2.681507780589511E-20</v>
      </c>
      <c r="X186" s="3">
        <f t="shared" si="122"/>
        <v>2.981100695901449E-186</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9.9846945696723061E-2</v>
      </c>
      <c r="C187" s="3">
        <f t="shared" si="123"/>
        <v>9.9846945696723061E-2</v>
      </c>
      <c r="D187" s="3">
        <f t="shared" si="123"/>
        <v>9.9846945696723061E-2</v>
      </c>
      <c r="E187" s="3">
        <f t="shared" si="123"/>
        <v>9.9846945696723061E-2</v>
      </c>
      <c r="F187" s="3">
        <f t="shared" si="123"/>
        <v>9.9846945696723061E-2</v>
      </c>
      <c r="G187" s="3">
        <f t="shared" si="123"/>
        <v>9.9846945696723033E-2</v>
      </c>
      <c r="H187" s="3">
        <f t="shared" si="123"/>
        <v>9.9846945696722686E-2</v>
      </c>
      <c r="I187" s="3">
        <f t="shared" si="123"/>
        <v>9.984694569671923E-2</v>
      </c>
      <c r="J187" s="3">
        <f t="shared" si="123"/>
        <v>9.9846945696684813E-2</v>
      </c>
      <c r="K187" s="3">
        <f t="shared" si="123"/>
        <v>9.9846945696340644E-2</v>
      </c>
      <c r="L187" s="3">
        <f t="shared" si="123"/>
        <v>9.9846945692898842E-2</v>
      </c>
      <c r="M187" s="3">
        <f t="shared" si="123"/>
        <v>9.9846945658480901E-2</v>
      </c>
      <c r="N187" s="3">
        <f t="shared" si="123"/>
        <v>9.9846945314301577E-2</v>
      </c>
      <c r="O187" s="3">
        <f t="shared" si="123"/>
        <v>9.9846941872508269E-2</v>
      </c>
      <c r="P187" s="3">
        <f t="shared" si="123"/>
        <v>9.9846907454581704E-2</v>
      </c>
      <c r="Q187" s="3">
        <f t="shared" si="123"/>
        <v>9.9846563275968636E-2</v>
      </c>
      <c r="R187" s="3">
        <f t="shared" si="123"/>
        <v>9.9843121555089495E-2</v>
      </c>
      <c r="S187" s="3">
        <f t="shared" si="123"/>
        <v>9.9808710870628578E-2</v>
      </c>
      <c r="T187" s="3">
        <f t="shared" si="123"/>
        <v>9.9465255627711219E-2</v>
      </c>
      <c r="U187" s="3">
        <f t="shared" si="123"/>
        <v>9.6095039911826399E-2</v>
      </c>
      <c r="V187" s="3">
        <f t="shared" si="123"/>
        <v>6.8076411575242426E-2</v>
      </c>
      <c r="W187" s="3">
        <f t="shared" si="123"/>
        <v>2.1674719860423244E-3</v>
      </c>
      <c r="X187" s="3">
        <f t="shared" si="123"/>
        <v>2.3201810258577309E-18</v>
      </c>
      <c r="Y187" s="3">
        <f t="shared" si="123"/>
        <v>4.5835887942631479E-168</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8.4959897030223219E-2</v>
      </c>
      <c r="C188" s="3">
        <f t="shared" si="124"/>
        <v>8.4959897030223219E-2</v>
      </c>
      <c r="D188" s="3">
        <f t="shared" si="124"/>
        <v>8.4959897030223219E-2</v>
      </c>
      <c r="E188" s="3">
        <f t="shared" si="124"/>
        <v>8.4959897030223219E-2</v>
      </c>
      <c r="F188" s="3">
        <f t="shared" si="124"/>
        <v>8.4959897030223219E-2</v>
      </c>
      <c r="G188" s="3">
        <f t="shared" si="124"/>
        <v>8.4959897030223219E-2</v>
      </c>
      <c r="H188" s="3">
        <f t="shared" si="124"/>
        <v>8.4959897030223192E-2</v>
      </c>
      <c r="I188" s="3">
        <f t="shared" si="124"/>
        <v>8.4959897030222928E-2</v>
      </c>
      <c r="J188" s="3">
        <f t="shared" si="124"/>
        <v>8.4959897030220291E-2</v>
      </c>
      <c r="K188" s="3">
        <f t="shared" si="124"/>
        <v>8.4959897030193868E-2</v>
      </c>
      <c r="L188" s="3">
        <f t="shared" si="124"/>
        <v>8.4959897029929676E-2</v>
      </c>
      <c r="M188" s="3">
        <f t="shared" si="124"/>
        <v>8.4959897027287817E-2</v>
      </c>
      <c r="N188" s="3">
        <f t="shared" si="124"/>
        <v>8.4959897000869158E-2</v>
      </c>
      <c r="O188" s="3">
        <f t="shared" si="124"/>
        <v>8.4959896736682694E-2</v>
      </c>
      <c r="P188" s="3">
        <f t="shared" si="124"/>
        <v>8.4959894094818009E-2</v>
      </c>
      <c r="Q188" s="3">
        <f t="shared" si="124"/>
        <v>8.4959867676175596E-2</v>
      </c>
      <c r="R188" s="3">
        <f t="shared" si="124"/>
        <v>8.4959603490203373E-2</v>
      </c>
      <c r="S188" s="3">
        <f t="shared" si="124"/>
        <v>8.4956961675662995E-2</v>
      </c>
      <c r="T188" s="3">
        <f t="shared" si="124"/>
        <v>8.4930548047927629E-2</v>
      </c>
      <c r="U188" s="3">
        <f t="shared" si="124"/>
        <v>8.4666863018076619E-2</v>
      </c>
      <c r="V188" s="3">
        <f t="shared" si="124"/>
        <v>8.2074622585580834E-2</v>
      </c>
      <c r="W188" s="3">
        <f t="shared" si="124"/>
        <v>6.0139961660743084E-2</v>
      </c>
      <c r="X188" s="3">
        <f t="shared" si="124"/>
        <v>2.6835251669073286E-3</v>
      </c>
      <c r="Y188" s="3">
        <f t="shared" si="124"/>
        <v>8.3971310185218856E-17</v>
      </c>
      <c r="Z188" s="3">
        <f t="shared" si="124"/>
        <v>7.5575929624101194E-152</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6.3888587804479924E-2</v>
      </c>
      <c r="C189" s="3">
        <f t="shared" si="125"/>
        <v>6.3888587804479924E-2</v>
      </c>
      <c r="D189" s="3">
        <f t="shared" si="125"/>
        <v>6.3888587804479924E-2</v>
      </c>
      <c r="E189" s="3">
        <f t="shared" si="125"/>
        <v>6.3888587804479924E-2</v>
      </c>
      <c r="F189" s="3">
        <f t="shared" si="125"/>
        <v>6.3888587804479924E-2</v>
      </c>
      <c r="G189" s="3">
        <f t="shared" si="125"/>
        <v>6.3888587804479924E-2</v>
      </c>
      <c r="H189" s="3">
        <f t="shared" si="125"/>
        <v>6.3888587804479924E-2</v>
      </c>
      <c r="I189" s="3">
        <f t="shared" si="125"/>
        <v>6.3888587804479896E-2</v>
      </c>
      <c r="J189" s="3">
        <f t="shared" si="125"/>
        <v>6.388858780447973E-2</v>
      </c>
      <c r="K189" s="3">
        <f t="shared" si="125"/>
        <v>6.3888587804477925E-2</v>
      </c>
      <c r="L189" s="3">
        <f t="shared" si="125"/>
        <v>6.3888587804460009E-2</v>
      </c>
      <c r="M189" s="3">
        <f t="shared" si="125"/>
        <v>6.3888587804280805E-2</v>
      </c>
      <c r="N189" s="3">
        <f t="shared" si="125"/>
        <v>6.3888587802488683E-2</v>
      </c>
      <c r="O189" s="3">
        <f t="shared" si="125"/>
        <v>6.3888587784567505E-2</v>
      </c>
      <c r="P189" s="3">
        <f t="shared" si="125"/>
        <v>6.3888587605355762E-2</v>
      </c>
      <c r="Q189" s="3">
        <f t="shared" si="125"/>
        <v>6.388858581323828E-2</v>
      </c>
      <c r="R189" s="3">
        <f t="shared" si="125"/>
        <v>6.3888567892066345E-2</v>
      </c>
      <c r="S189" s="3">
        <f t="shared" si="125"/>
        <v>6.3888388680623409E-2</v>
      </c>
      <c r="T189" s="3">
        <f t="shared" si="125"/>
        <v>6.3886596593842257E-2</v>
      </c>
      <c r="U189" s="3">
        <f t="shared" si="125"/>
        <v>6.3868678490566919E-2</v>
      </c>
      <c r="V189" s="3">
        <f t="shared" si="125"/>
        <v>6.3689773624724749E-2</v>
      </c>
      <c r="W189" s="3">
        <f t="shared" si="125"/>
        <v>6.1928057168679648E-2</v>
      </c>
      <c r="X189" s="3">
        <f t="shared" si="125"/>
        <v>4.6780510462336208E-2</v>
      </c>
      <c r="Y189" s="3">
        <f t="shared" si="125"/>
        <v>2.8303488520271861E-3</v>
      </c>
      <c r="Z189" s="3">
        <f t="shared" si="125"/>
        <v>1.8603303728507484E-15</v>
      </c>
      <c r="AA189" s="3">
        <f t="shared" si="125"/>
        <v>2.7995689590779545E-137</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6.4356714781999613E-2</v>
      </c>
      <c r="C190" s="3">
        <f t="shared" si="126"/>
        <v>6.4356714781999613E-2</v>
      </c>
      <c r="D190" s="3">
        <f t="shared" si="126"/>
        <v>6.4356714781999613E-2</v>
      </c>
      <c r="E190" s="3">
        <f t="shared" si="126"/>
        <v>6.4356714781999613E-2</v>
      </c>
      <c r="F190" s="3">
        <f t="shared" si="126"/>
        <v>6.4356714781999613E-2</v>
      </c>
      <c r="G190" s="3">
        <f t="shared" si="126"/>
        <v>6.4356714781999613E-2</v>
      </c>
      <c r="H190" s="3">
        <f t="shared" si="126"/>
        <v>6.4356714781999613E-2</v>
      </c>
      <c r="I190" s="3">
        <f t="shared" si="126"/>
        <v>6.4356714781999613E-2</v>
      </c>
      <c r="J190" s="3">
        <f t="shared" si="126"/>
        <v>6.4356714781999586E-2</v>
      </c>
      <c r="K190" s="3">
        <f t="shared" si="126"/>
        <v>6.4356714781999433E-2</v>
      </c>
      <c r="L190" s="3">
        <f t="shared" si="126"/>
        <v>6.4356714781997809E-2</v>
      </c>
      <c r="M190" s="3">
        <f t="shared" si="126"/>
        <v>6.4356714781981517E-2</v>
      </c>
      <c r="N190" s="3">
        <f t="shared" si="126"/>
        <v>6.4356714781818675E-2</v>
      </c>
      <c r="O190" s="3">
        <f t="shared" si="126"/>
        <v>6.4356714780190186E-2</v>
      </c>
      <c r="P190" s="3">
        <f t="shared" si="126"/>
        <v>6.4356714763905337E-2</v>
      </c>
      <c r="Q190" s="3">
        <f t="shared" si="126"/>
        <v>6.435671460105688E-2</v>
      </c>
      <c r="R190" s="3">
        <f t="shared" si="126"/>
        <v>6.4356712972572325E-2</v>
      </c>
      <c r="S190" s="3">
        <f t="shared" si="126"/>
        <v>6.4356696687729073E-2</v>
      </c>
      <c r="T190" s="3">
        <f t="shared" si="126"/>
        <v>6.4356533839523125E-2</v>
      </c>
      <c r="U190" s="3">
        <f t="shared" si="126"/>
        <v>6.4354905380127447E-2</v>
      </c>
      <c r="V190" s="3">
        <f t="shared" si="126"/>
        <v>6.4338623052332553E-2</v>
      </c>
      <c r="W190" s="3">
        <f t="shared" si="126"/>
        <v>6.4176026178553891E-2</v>
      </c>
      <c r="X190" s="3">
        <f t="shared" si="126"/>
        <v>6.2572487314121947E-2</v>
      </c>
      <c r="Y190" s="3">
        <f t="shared" si="126"/>
        <v>4.8583566190722113E-2</v>
      </c>
      <c r="Z190" s="3">
        <f t="shared" si="126"/>
        <v>3.8685579205759201E-3</v>
      </c>
      <c r="AA190" s="3">
        <f t="shared" si="126"/>
        <v>3.9641149231345644E-14</v>
      </c>
      <c r="AB190" s="3">
        <f t="shared" si="126"/>
        <v>5.0596161096616617E-124</v>
      </c>
      <c r="AC190" s="3">
        <f t="shared" si="126"/>
        <v>0</v>
      </c>
      <c r="AD190" s="3">
        <f t="shared" si="126"/>
        <v>0</v>
      </c>
      <c r="AE190" s="3">
        <f t="shared" si="126"/>
        <v>0</v>
      </c>
      <c r="AF190" s="3">
        <f t="shared" si="126"/>
        <v>0</v>
      </c>
      <c r="AG190" s="3"/>
      <c r="AH190" s="3"/>
    </row>
    <row r="191" spans="2:34" x14ac:dyDescent="0.25">
      <c r="B191" s="3">
        <f t="shared" ref="B191:AF191" si="127">$C38*EXP(-B$168/$A38/EXP(-$C$126))</f>
        <v>2.3762961942572935E-2</v>
      </c>
      <c r="C191" s="3">
        <f t="shared" si="127"/>
        <v>2.3762961942572935E-2</v>
      </c>
      <c r="D191" s="3">
        <f t="shared" si="127"/>
        <v>2.3762961942572935E-2</v>
      </c>
      <c r="E191" s="3">
        <f t="shared" si="127"/>
        <v>2.3762961942572935E-2</v>
      </c>
      <c r="F191" s="3">
        <f t="shared" si="127"/>
        <v>2.3762961942572935E-2</v>
      </c>
      <c r="G191" s="3">
        <f t="shared" si="127"/>
        <v>2.3762961942572935E-2</v>
      </c>
      <c r="H191" s="3">
        <f t="shared" si="127"/>
        <v>2.3762961942572935E-2</v>
      </c>
      <c r="I191" s="3">
        <f t="shared" si="127"/>
        <v>2.3762961942572935E-2</v>
      </c>
      <c r="J191" s="3">
        <f t="shared" si="127"/>
        <v>2.3762961942572935E-2</v>
      </c>
      <c r="K191" s="3">
        <f t="shared" si="127"/>
        <v>2.3762961942572929E-2</v>
      </c>
      <c r="L191" s="3">
        <f t="shared" si="127"/>
        <v>2.3762961942572877E-2</v>
      </c>
      <c r="M191" s="3">
        <f t="shared" si="127"/>
        <v>2.3762961942572335E-2</v>
      </c>
      <c r="N191" s="3">
        <f t="shared" si="127"/>
        <v>2.3762961942566909E-2</v>
      </c>
      <c r="O191" s="3">
        <f t="shared" si="127"/>
        <v>2.3762961942512664E-2</v>
      </c>
      <c r="P191" s="3">
        <f t="shared" si="127"/>
        <v>2.3762961941970244E-2</v>
      </c>
      <c r="Q191" s="3">
        <f t="shared" si="127"/>
        <v>2.3762961936546031E-2</v>
      </c>
      <c r="R191" s="3">
        <f t="shared" si="127"/>
        <v>2.3762961882303871E-2</v>
      </c>
      <c r="S191" s="3">
        <f t="shared" si="127"/>
        <v>2.3762961339882316E-2</v>
      </c>
      <c r="T191" s="3">
        <f t="shared" si="127"/>
        <v>2.376295591566743E-2</v>
      </c>
      <c r="U191" s="3">
        <f t="shared" si="127"/>
        <v>2.3762901673586669E-2</v>
      </c>
      <c r="V191" s="3">
        <f t="shared" si="127"/>
        <v>2.3762359259588795E-2</v>
      </c>
      <c r="W191" s="3">
        <f t="shared" si="127"/>
        <v>2.3756935800528761E-2</v>
      </c>
      <c r="X191" s="3">
        <f t="shared" si="127"/>
        <v>2.3702769244324084E-2</v>
      </c>
      <c r="Y191" s="3">
        <f t="shared" si="127"/>
        <v>2.3167850010861312E-2</v>
      </c>
      <c r="Z191" s="3">
        <f t="shared" si="127"/>
        <v>1.8439628906836297E-2</v>
      </c>
      <c r="AA191" s="3">
        <f t="shared" si="127"/>
        <v>1.8811204948708778E-3</v>
      </c>
      <c r="AB191" s="3">
        <f t="shared" si="127"/>
        <v>2.2964711763165801E-13</v>
      </c>
      <c r="AC191" s="3">
        <f t="shared" si="127"/>
        <v>1.6885146618588243E-112</v>
      </c>
      <c r="AD191" s="3">
        <f t="shared" si="127"/>
        <v>0</v>
      </c>
      <c r="AE191" s="3">
        <f t="shared" si="127"/>
        <v>0</v>
      </c>
      <c r="AF191" s="3">
        <f t="shared" si="127"/>
        <v>0</v>
      </c>
      <c r="AG191" s="3"/>
      <c r="AH191" s="3"/>
    </row>
    <row r="192" spans="2:34" x14ac:dyDescent="0.25">
      <c r="B192" s="3">
        <f t="shared" ref="B192:AF192" si="128">$C39*EXP(-B$168/$A39/EXP(-$C$126))</f>
        <v>4.2794407584768095E-2</v>
      </c>
      <c r="C192" s="3">
        <f t="shared" si="128"/>
        <v>4.2794407584768095E-2</v>
      </c>
      <c r="D192" s="3">
        <f t="shared" si="128"/>
        <v>4.2794407584768095E-2</v>
      </c>
      <c r="E192" s="3">
        <f t="shared" si="128"/>
        <v>4.2794407584768095E-2</v>
      </c>
      <c r="F192" s="3">
        <f t="shared" si="128"/>
        <v>4.2794407584768095E-2</v>
      </c>
      <c r="G192" s="3">
        <f t="shared" si="128"/>
        <v>4.2794407584768095E-2</v>
      </c>
      <c r="H192" s="3">
        <f t="shared" si="128"/>
        <v>4.2794407584768095E-2</v>
      </c>
      <c r="I192" s="3">
        <f t="shared" si="128"/>
        <v>4.2794407584768095E-2</v>
      </c>
      <c r="J192" s="3">
        <f t="shared" si="128"/>
        <v>4.2794407584768095E-2</v>
      </c>
      <c r="K192" s="3">
        <f t="shared" si="128"/>
        <v>4.2794407584768088E-2</v>
      </c>
      <c r="L192" s="3">
        <f t="shared" si="128"/>
        <v>4.2794407584768067E-2</v>
      </c>
      <c r="M192" s="3">
        <f t="shared" si="128"/>
        <v>4.2794407584767796E-2</v>
      </c>
      <c r="N192" s="3">
        <f t="shared" si="128"/>
        <v>4.279440758476509E-2</v>
      </c>
      <c r="O192" s="3">
        <f t="shared" si="128"/>
        <v>4.2794407584738077E-2</v>
      </c>
      <c r="P192" s="3">
        <f t="shared" si="128"/>
        <v>4.2794407584467911E-2</v>
      </c>
      <c r="Q192" s="3">
        <f t="shared" si="128"/>
        <v>4.2794407581766211E-2</v>
      </c>
      <c r="R192" s="3">
        <f t="shared" si="128"/>
        <v>4.279440755474926E-2</v>
      </c>
      <c r="S192" s="3">
        <f t="shared" si="128"/>
        <v>4.2794407284579804E-2</v>
      </c>
      <c r="T192" s="3">
        <f t="shared" si="128"/>
        <v>4.2794404582885311E-2</v>
      </c>
      <c r="U192" s="3">
        <f t="shared" si="128"/>
        <v>4.2794377565949733E-2</v>
      </c>
      <c r="V192" s="3">
        <f t="shared" si="128"/>
        <v>4.2794107397532005E-2</v>
      </c>
      <c r="W192" s="3">
        <f t="shared" si="128"/>
        <v>4.279140580716214E-2</v>
      </c>
      <c r="X192" s="3">
        <f t="shared" si="128"/>
        <v>4.2764399282008515E-2</v>
      </c>
      <c r="Y192" s="3">
        <f t="shared" si="128"/>
        <v>4.2495269697952032E-2</v>
      </c>
      <c r="Z192" s="3">
        <f t="shared" si="128"/>
        <v>3.9895391414308479E-2</v>
      </c>
      <c r="AA192" s="3">
        <f t="shared" si="128"/>
        <v>2.1219939178588967E-2</v>
      </c>
      <c r="AB192" s="3">
        <f t="shared" si="128"/>
        <v>3.8455474948977415E-5</v>
      </c>
      <c r="AC192" s="3">
        <f t="shared" si="128"/>
        <v>1.4692599046362803E-32</v>
      </c>
      <c r="AD192" s="3">
        <f t="shared" si="128"/>
        <v>9.7387474262079625E-307</v>
      </c>
      <c r="AE192" s="3">
        <f t="shared" si="128"/>
        <v>0</v>
      </c>
      <c r="AF192" s="3">
        <f t="shared" si="128"/>
        <v>0</v>
      </c>
      <c r="AG192" s="3"/>
      <c r="AH192" s="3"/>
    </row>
    <row r="193" spans="1:34" x14ac:dyDescent="0.25">
      <c r="B193" s="3">
        <f t="shared" ref="B193:AF193" si="129">$C40*EXP(-B$168/$A40/EXP(-$C$126))</f>
        <v>2.2817294808056693E-2</v>
      </c>
      <c r="C193" s="3">
        <f t="shared" si="129"/>
        <v>2.2817294808056693E-2</v>
      </c>
      <c r="D193" s="3">
        <f t="shared" si="129"/>
        <v>2.2817294808056693E-2</v>
      </c>
      <c r="E193" s="3">
        <f t="shared" si="129"/>
        <v>2.2817294808056693E-2</v>
      </c>
      <c r="F193" s="3">
        <f t="shared" si="129"/>
        <v>2.2817294808056693E-2</v>
      </c>
      <c r="G193" s="3">
        <f t="shared" si="129"/>
        <v>2.2817294808056693E-2</v>
      </c>
      <c r="H193" s="3">
        <f t="shared" si="129"/>
        <v>2.2817294808056693E-2</v>
      </c>
      <c r="I193" s="3">
        <f t="shared" si="129"/>
        <v>2.2817294808056693E-2</v>
      </c>
      <c r="J193" s="3">
        <f t="shared" si="129"/>
        <v>2.2817294808056693E-2</v>
      </c>
      <c r="K193" s="3">
        <f t="shared" si="129"/>
        <v>2.2817294808056693E-2</v>
      </c>
      <c r="L193" s="3">
        <f t="shared" si="129"/>
        <v>2.2817294808056689E-2</v>
      </c>
      <c r="M193" s="3">
        <f t="shared" si="129"/>
        <v>2.2817294808056679E-2</v>
      </c>
      <c r="N193" s="3">
        <f t="shared" si="129"/>
        <v>2.2817294808056533E-2</v>
      </c>
      <c r="O193" s="3">
        <f t="shared" si="129"/>
        <v>2.2817294808055093E-2</v>
      </c>
      <c r="P193" s="3">
        <f t="shared" si="129"/>
        <v>2.2817294808040688E-2</v>
      </c>
      <c r="Q193" s="3">
        <f t="shared" si="129"/>
        <v>2.2817294807896637E-2</v>
      </c>
      <c r="R193" s="3">
        <f t="shared" si="129"/>
        <v>2.2817294806456136E-2</v>
      </c>
      <c r="S193" s="3">
        <f t="shared" si="129"/>
        <v>2.2817294792051131E-2</v>
      </c>
      <c r="T193" s="3">
        <f t="shared" si="129"/>
        <v>2.2817294648001092E-2</v>
      </c>
      <c r="U193" s="3">
        <f t="shared" si="129"/>
        <v>2.2817293207500724E-2</v>
      </c>
      <c r="V193" s="3">
        <f t="shared" si="129"/>
        <v>2.2817278802502065E-2</v>
      </c>
      <c r="W193" s="3">
        <f t="shared" si="129"/>
        <v>2.2817134753015625E-2</v>
      </c>
      <c r="X193" s="3">
        <f t="shared" si="129"/>
        <v>2.2815694308167832E-2</v>
      </c>
      <c r="Y193" s="3">
        <f t="shared" si="129"/>
        <v>2.2801294860180361E-2</v>
      </c>
      <c r="Z193" s="3">
        <f t="shared" si="129"/>
        <v>2.2657799263265679E-2</v>
      </c>
      <c r="AA193" s="3">
        <f t="shared" si="129"/>
        <v>2.1271585675767063E-2</v>
      </c>
      <c r="AB193" s="3">
        <f t="shared" si="129"/>
        <v>1.1314132742410778E-2</v>
      </c>
      <c r="AC193" s="3">
        <f t="shared" si="129"/>
        <v>2.050384520819887E-5</v>
      </c>
      <c r="AD193" s="3">
        <f t="shared" si="129"/>
        <v>7.8338592086681276E-33</v>
      </c>
      <c r="AE193" s="3">
        <f t="shared" si="129"/>
        <v>5.1925446250150398E-307</v>
      </c>
      <c r="AF193" s="3">
        <f t="shared" si="129"/>
        <v>0</v>
      </c>
      <c r="AG193" s="3"/>
      <c r="AH193" s="3"/>
    </row>
    <row r="194" spans="1:34" x14ac:dyDescent="0.25">
      <c r="B194" s="3">
        <f t="shared" ref="B194:AF194" si="130">$C41*EXP(-B$168/$A41/EXP(-$C$126))</f>
        <v>1.5874068547548043E-2</v>
      </c>
      <c r="C194" s="3">
        <f t="shared" si="130"/>
        <v>1.5874068547548043E-2</v>
      </c>
      <c r="D194" s="3">
        <f t="shared" si="130"/>
        <v>1.5874068547548043E-2</v>
      </c>
      <c r="E194" s="3">
        <f t="shared" si="130"/>
        <v>1.5874068547548043E-2</v>
      </c>
      <c r="F194" s="3">
        <f t="shared" si="130"/>
        <v>1.5874068547548043E-2</v>
      </c>
      <c r="G194" s="3">
        <f t="shared" si="130"/>
        <v>1.5874068547548043E-2</v>
      </c>
      <c r="H194" s="3">
        <f t="shared" si="130"/>
        <v>1.5874068547548043E-2</v>
      </c>
      <c r="I194" s="3">
        <f t="shared" si="130"/>
        <v>1.5874068547548043E-2</v>
      </c>
      <c r="J194" s="3">
        <f t="shared" si="130"/>
        <v>1.5874068547548043E-2</v>
      </c>
      <c r="K194" s="3">
        <f t="shared" si="130"/>
        <v>1.5874068547548043E-2</v>
      </c>
      <c r="L194" s="3">
        <f t="shared" si="130"/>
        <v>1.5874068547548043E-2</v>
      </c>
      <c r="M194" s="3">
        <f t="shared" si="130"/>
        <v>1.587406854754804E-2</v>
      </c>
      <c r="N194" s="3">
        <f t="shared" si="130"/>
        <v>1.5874068547548033E-2</v>
      </c>
      <c r="O194" s="3">
        <f t="shared" si="130"/>
        <v>1.5874068547547932E-2</v>
      </c>
      <c r="P194" s="3">
        <f t="shared" si="130"/>
        <v>1.587406854754693E-2</v>
      </c>
      <c r="Q194" s="3">
        <f t="shared" si="130"/>
        <v>1.587406854753691E-2</v>
      </c>
      <c r="R194" s="3">
        <f t="shared" si="130"/>
        <v>1.5874068547436691E-2</v>
      </c>
      <c r="S194" s="3">
        <f t="shared" si="130"/>
        <v>1.5874068546434531E-2</v>
      </c>
      <c r="T194" s="3">
        <f t="shared" si="130"/>
        <v>1.5874068536412919E-2</v>
      </c>
      <c r="U194" s="3">
        <f t="shared" si="130"/>
        <v>1.5874068436196823E-2</v>
      </c>
      <c r="V194" s="3">
        <f t="shared" si="130"/>
        <v>1.5874067434035886E-2</v>
      </c>
      <c r="W194" s="3">
        <f t="shared" si="130"/>
        <v>1.587405741242999E-2</v>
      </c>
      <c r="X194" s="3">
        <f t="shared" si="130"/>
        <v>1.5873957196719007E-2</v>
      </c>
      <c r="Y194" s="3">
        <f t="shared" si="130"/>
        <v>1.5872955074405858E-2</v>
      </c>
      <c r="Z194" s="3">
        <f t="shared" si="130"/>
        <v>1.5862937330132366E-2</v>
      </c>
      <c r="AA194" s="3">
        <f t="shared" si="130"/>
        <v>1.5763106961946445E-2</v>
      </c>
      <c r="AB194" s="3">
        <f t="shared" si="130"/>
        <v>1.4798713518525375E-2</v>
      </c>
      <c r="AC194" s="3">
        <f t="shared" si="130"/>
        <v>7.8712801066001016E-3</v>
      </c>
      <c r="AD194" s="3">
        <f t="shared" si="130"/>
        <v>1.426459389955105E-5</v>
      </c>
      <c r="AE194" s="3">
        <f t="shared" si="130"/>
        <v>5.4500421332299658E-33</v>
      </c>
      <c r="AF194" s="3">
        <f t="shared" si="130"/>
        <v>3.6124707160546626E-307</v>
      </c>
      <c r="AG194" s="3"/>
      <c r="AH194" s="3"/>
    </row>
    <row r="195" spans="1:34" x14ac:dyDescent="0.25">
      <c r="B195" s="3">
        <f t="shared" ref="B195:AF195" si="131">$C42*EXP(-B$168/$A42/EXP(-$C$126))</f>
        <v>5.5424436077778048E-3</v>
      </c>
      <c r="C195" s="3">
        <f t="shared" si="131"/>
        <v>5.5424436077778048E-3</v>
      </c>
      <c r="D195" s="3">
        <f t="shared" si="131"/>
        <v>5.5424436077778048E-3</v>
      </c>
      <c r="E195" s="3">
        <f t="shared" si="131"/>
        <v>5.5424436077778048E-3</v>
      </c>
      <c r="F195" s="3">
        <f t="shared" si="131"/>
        <v>5.5424436077778048E-3</v>
      </c>
      <c r="G195" s="3">
        <f t="shared" si="131"/>
        <v>5.5424436077778048E-3</v>
      </c>
      <c r="H195" s="3">
        <f t="shared" si="131"/>
        <v>5.5424436077778048E-3</v>
      </c>
      <c r="I195" s="3">
        <f t="shared" si="131"/>
        <v>5.5424436077778048E-3</v>
      </c>
      <c r="J195" s="3">
        <f t="shared" si="131"/>
        <v>5.5424436077778048E-3</v>
      </c>
      <c r="K195" s="3">
        <f t="shared" si="131"/>
        <v>5.5424436077778048E-3</v>
      </c>
      <c r="L195" s="3">
        <f t="shared" si="131"/>
        <v>5.5424436077778048E-3</v>
      </c>
      <c r="M195" s="3">
        <f t="shared" si="131"/>
        <v>5.5424436077778048E-3</v>
      </c>
      <c r="N195" s="3">
        <f t="shared" si="131"/>
        <v>5.542443607777804E-3</v>
      </c>
      <c r="O195" s="3">
        <f t="shared" si="131"/>
        <v>5.5424436077778014E-3</v>
      </c>
      <c r="P195" s="3">
        <f t="shared" si="131"/>
        <v>5.5424436077777658E-3</v>
      </c>
      <c r="Q195" s="3">
        <f t="shared" si="131"/>
        <v>5.5424436077774163E-3</v>
      </c>
      <c r="R195" s="3">
        <f t="shared" si="131"/>
        <v>5.5424436077739173E-3</v>
      </c>
      <c r="S195" s="3">
        <f t="shared" si="131"/>
        <v>5.5424436077389271E-3</v>
      </c>
      <c r="T195" s="3">
        <f t="shared" si="131"/>
        <v>5.5424436073890212E-3</v>
      </c>
      <c r="U195" s="3">
        <f t="shared" si="131"/>
        <v>5.5424436038899677E-3</v>
      </c>
      <c r="V195" s="3">
        <f t="shared" si="131"/>
        <v>5.5424435688994382E-3</v>
      </c>
      <c r="W195" s="3">
        <f t="shared" si="131"/>
        <v>5.5424432189941529E-3</v>
      </c>
      <c r="X195" s="3">
        <f t="shared" si="131"/>
        <v>5.5424397199425168E-3</v>
      </c>
      <c r="Y195" s="3">
        <f t="shared" si="131"/>
        <v>5.542404729547641E-3</v>
      </c>
      <c r="Z195" s="3">
        <f t="shared" si="131"/>
        <v>5.5420548377481896E-3</v>
      </c>
      <c r="AA195" s="3">
        <f t="shared" si="131"/>
        <v>5.5385571343996966E-3</v>
      </c>
      <c r="AB195" s="3">
        <f t="shared" si="131"/>
        <v>5.5037012822684792E-3</v>
      </c>
      <c r="AC195" s="3">
        <f t="shared" si="131"/>
        <v>5.1669825475684468E-3</v>
      </c>
      <c r="AD195" s="3">
        <f t="shared" si="131"/>
        <v>2.748263684333967E-3</v>
      </c>
      <c r="AE195" s="3">
        <f t="shared" si="131"/>
        <v>4.9804942595088479E-6</v>
      </c>
      <c r="AF195" s="3">
        <f t="shared" si="131"/>
        <v>1.9028865279850345E-33</v>
      </c>
      <c r="AG195" s="3"/>
      <c r="AH195" s="3"/>
    </row>
    <row r="196" spans="1:34" x14ac:dyDescent="0.25">
      <c r="B196" s="3">
        <f t="shared" ref="B196:AF196" si="132">$C43*EXP(-B$168/$A43/EXP(-$C$126))</f>
        <v>3.8861309197679899E-3</v>
      </c>
      <c r="C196" s="3">
        <f t="shared" si="132"/>
        <v>3.8861309197679899E-3</v>
      </c>
      <c r="D196" s="3">
        <f t="shared" si="132"/>
        <v>3.8861309197679899E-3</v>
      </c>
      <c r="E196" s="3">
        <f t="shared" si="132"/>
        <v>3.8861309197679899E-3</v>
      </c>
      <c r="F196" s="3">
        <f t="shared" si="132"/>
        <v>3.8861309197679899E-3</v>
      </c>
      <c r="G196" s="3">
        <f t="shared" si="132"/>
        <v>3.8861309197679899E-3</v>
      </c>
      <c r="H196" s="3">
        <f t="shared" si="132"/>
        <v>3.8861309197679899E-3</v>
      </c>
      <c r="I196" s="3">
        <f t="shared" si="132"/>
        <v>3.8861309197679899E-3</v>
      </c>
      <c r="J196" s="3">
        <f t="shared" si="132"/>
        <v>3.8861309197679899E-3</v>
      </c>
      <c r="K196" s="3">
        <f t="shared" si="132"/>
        <v>3.8861309197679899E-3</v>
      </c>
      <c r="L196" s="3">
        <f t="shared" si="132"/>
        <v>3.8861309197679899E-3</v>
      </c>
      <c r="M196" s="3">
        <f t="shared" si="132"/>
        <v>3.8861309197679899E-3</v>
      </c>
      <c r="N196" s="3">
        <f t="shared" si="132"/>
        <v>3.8861309197679899E-3</v>
      </c>
      <c r="O196" s="3">
        <f t="shared" si="132"/>
        <v>3.8861309197679894E-3</v>
      </c>
      <c r="P196" s="3">
        <f t="shared" si="132"/>
        <v>3.8861309197679873E-3</v>
      </c>
      <c r="Q196" s="3">
        <f t="shared" si="132"/>
        <v>3.8861309197679625E-3</v>
      </c>
      <c r="R196" s="3">
        <f t="shared" si="132"/>
        <v>3.8861309197677171E-3</v>
      </c>
      <c r="S196" s="3">
        <f t="shared" si="132"/>
        <v>3.8861309197652642E-3</v>
      </c>
      <c r="T196" s="3">
        <f t="shared" si="132"/>
        <v>3.88613091974073E-3</v>
      </c>
      <c r="U196" s="3">
        <f t="shared" si="132"/>
        <v>3.8861309194953906E-3</v>
      </c>
      <c r="V196" s="3">
        <f t="shared" si="132"/>
        <v>3.8861309170420003E-3</v>
      </c>
      <c r="W196" s="3">
        <f t="shared" si="132"/>
        <v>3.8861308925080963E-3</v>
      </c>
      <c r="X196" s="3">
        <f t="shared" si="132"/>
        <v>3.8861306471690647E-3</v>
      </c>
      <c r="Y196" s="3">
        <f t="shared" si="132"/>
        <v>3.8861281937796E-3</v>
      </c>
      <c r="Z196" s="3">
        <f t="shared" si="132"/>
        <v>3.8861036599701394E-3</v>
      </c>
      <c r="AA196" s="3">
        <f t="shared" si="132"/>
        <v>3.8858583303941177E-3</v>
      </c>
      <c r="AB196" s="3">
        <f t="shared" si="132"/>
        <v>3.8834058862931655E-3</v>
      </c>
      <c r="AC196" s="3">
        <f t="shared" si="132"/>
        <v>3.858966412608327E-3</v>
      </c>
      <c r="AD196" s="3">
        <f t="shared" si="132"/>
        <v>3.6228732416563191E-3</v>
      </c>
      <c r="AE196" s="3">
        <f t="shared" si="132"/>
        <v>1.926968181395322E-3</v>
      </c>
      <c r="AF196" s="3">
        <f t="shared" si="132"/>
        <v>3.4921154110514213E-6</v>
      </c>
      <c r="AG196" s="3"/>
      <c r="AH196" s="3"/>
    </row>
    <row r="197" spans="1:34" x14ac:dyDescent="0.25">
      <c r="B197" s="3">
        <f t="shared" ref="B197:AF197" si="133">$C44*EXP(-B$168/$A44/EXP(-$C$126))</f>
        <v>2.064572113999586E-3</v>
      </c>
      <c r="C197" s="3">
        <f t="shared" si="133"/>
        <v>2.064572113999586E-3</v>
      </c>
      <c r="D197" s="3">
        <f t="shared" si="133"/>
        <v>2.064572113999586E-3</v>
      </c>
      <c r="E197" s="3">
        <f t="shared" si="133"/>
        <v>2.064572113999586E-3</v>
      </c>
      <c r="F197" s="3">
        <f t="shared" si="133"/>
        <v>2.064572113999586E-3</v>
      </c>
      <c r="G197" s="3">
        <f t="shared" si="133"/>
        <v>2.064572113999586E-3</v>
      </c>
      <c r="H197" s="3">
        <f t="shared" si="133"/>
        <v>2.064572113999586E-3</v>
      </c>
      <c r="I197" s="3">
        <f t="shared" si="133"/>
        <v>2.064572113999586E-3</v>
      </c>
      <c r="J197" s="3">
        <f t="shared" si="133"/>
        <v>2.064572113999586E-3</v>
      </c>
      <c r="K197" s="3">
        <f t="shared" si="133"/>
        <v>2.064572113999586E-3</v>
      </c>
      <c r="L197" s="3">
        <f t="shared" si="133"/>
        <v>2.064572113999586E-3</v>
      </c>
      <c r="M197" s="3">
        <f t="shared" si="133"/>
        <v>2.064572113999586E-3</v>
      </c>
      <c r="N197" s="3">
        <f t="shared" si="133"/>
        <v>2.064572113999586E-3</v>
      </c>
      <c r="O197" s="3">
        <f t="shared" si="133"/>
        <v>2.064572113999586E-3</v>
      </c>
      <c r="P197" s="3">
        <f t="shared" si="133"/>
        <v>2.0645721139995856E-3</v>
      </c>
      <c r="Q197" s="3">
        <f t="shared" si="133"/>
        <v>2.0645721139995847E-3</v>
      </c>
      <c r="R197" s="3">
        <f t="shared" si="133"/>
        <v>2.0645721139995717E-3</v>
      </c>
      <c r="S197" s="3">
        <f t="shared" si="133"/>
        <v>2.0645721139994412E-3</v>
      </c>
      <c r="T197" s="3">
        <f t="shared" si="133"/>
        <v>2.0645721139981379E-3</v>
      </c>
      <c r="U197" s="3">
        <f t="shared" si="133"/>
        <v>2.0645721139851037E-3</v>
      </c>
      <c r="V197" s="3">
        <f t="shared" si="133"/>
        <v>2.0645721138547631E-3</v>
      </c>
      <c r="W197" s="3">
        <f t="shared" si="133"/>
        <v>2.0645721125513586E-3</v>
      </c>
      <c r="X197" s="3">
        <f t="shared" si="133"/>
        <v>2.0645720995173113E-3</v>
      </c>
      <c r="Y197" s="3">
        <f t="shared" si="133"/>
        <v>2.0645719691768432E-3</v>
      </c>
      <c r="Z197" s="3">
        <f t="shared" si="133"/>
        <v>2.0645706657726145E-3</v>
      </c>
      <c r="AA197" s="3">
        <f t="shared" si="133"/>
        <v>2.0645576317755857E-3</v>
      </c>
      <c r="AB197" s="3">
        <f t="shared" si="133"/>
        <v>2.0644272963309361E-3</v>
      </c>
      <c r="AC197" s="3">
        <f t="shared" si="133"/>
        <v>2.0631243943426852E-3</v>
      </c>
      <c r="AD197" s="3">
        <f t="shared" si="133"/>
        <v>2.0501405147739659E-3</v>
      </c>
      <c r="AE197" s="3">
        <f t="shared" si="133"/>
        <v>1.9247120649567495E-3</v>
      </c>
      <c r="AF197" s="3">
        <f t="shared" si="133"/>
        <v>1.0237341082967926E-3</v>
      </c>
      <c r="AG197" s="3"/>
      <c r="AH197" s="3"/>
    </row>
    <row r="198" spans="1:34" x14ac:dyDescent="0.25">
      <c r="B198" s="3">
        <f t="shared" ref="B198:AF198" si="134">$C45*EXP(-B$168/$A45/EXP(-$C$126))</f>
        <v>5.3484126683110472E-4</v>
      </c>
      <c r="C198" s="3">
        <f t="shared" si="134"/>
        <v>5.3484126683110472E-4</v>
      </c>
      <c r="D198" s="3">
        <f t="shared" si="134"/>
        <v>5.3484126683110472E-4</v>
      </c>
      <c r="E198" s="3">
        <f t="shared" si="134"/>
        <v>5.3484126683110472E-4</v>
      </c>
      <c r="F198" s="3">
        <f t="shared" si="134"/>
        <v>5.3484126683110472E-4</v>
      </c>
      <c r="G198" s="3">
        <f t="shared" si="134"/>
        <v>5.3484126683110472E-4</v>
      </c>
      <c r="H198" s="3">
        <f t="shared" si="134"/>
        <v>5.3484126683110472E-4</v>
      </c>
      <c r="I198" s="3">
        <f t="shared" si="134"/>
        <v>5.3484126683110472E-4</v>
      </c>
      <c r="J198" s="3">
        <f t="shared" si="134"/>
        <v>5.3484126683110472E-4</v>
      </c>
      <c r="K198" s="3">
        <f t="shared" si="134"/>
        <v>5.3484126683110472E-4</v>
      </c>
      <c r="L198" s="3">
        <f t="shared" si="134"/>
        <v>5.3484126683110472E-4</v>
      </c>
      <c r="M198" s="3">
        <f t="shared" si="134"/>
        <v>5.3484126683110472E-4</v>
      </c>
      <c r="N198" s="3">
        <f t="shared" si="134"/>
        <v>5.3484126683110472E-4</v>
      </c>
      <c r="O198" s="3">
        <f t="shared" si="134"/>
        <v>5.3484126683110472E-4</v>
      </c>
      <c r="P198" s="3">
        <f t="shared" si="134"/>
        <v>5.3484126683110472E-4</v>
      </c>
      <c r="Q198" s="3">
        <f t="shared" si="134"/>
        <v>5.3484126683110461E-4</v>
      </c>
      <c r="R198" s="3">
        <f t="shared" si="134"/>
        <v>5.348412668311044E-4</v>
      </c>
      <c r="S198" s="3">
        <f t="shared" si="134"/>
        <v>5.3484126683110093E-4</v>
      </c>
      <c r="T198" s="3">
        <f t="shared" si="134"/>
        <v>5.3484126683106721E-4</v>
      </c>
      <c r="U198" s="3">
        <f t="shared" si="134"/>
        <v>5.3484126683072959E-4</v>
      </c>
      <c r="V198" s="3">
        <f t="shared" si="134"/>
        <v>5.3484126682735306E-4</v>
      </c>
      <c r="W198" s="3">
        <f t="shared" si="134"/>
        <v>5.3484126679358742E-4</v>
      </c>
      <c r="X198" s="3">
        <f t="shared" si="134"/>
        <v>5.3484126645593163E-4</v>
      </c>
      <c r="Y198" s="3">
        <f t="shared" si="134"/>
        <v>5.3484126307937424E-4</v>
      </c>
      <c r="Z198" s="3">
        <f t="shared" si="134"/>
        <v>5.348412293138009E-4</v>
      </c>
      <c r="AA198" s="3">
        <f t="shared" si="134"/>
        <v>5.3484089165818497E-4</v>
      </c>
      <c r="AB198" s="3">
        <f t="shared" si="134"/>
        <v>5.3483751511374964E-4</v>
      </c>
      <c r="AC198" s="3">
        <f t="shared" si="134"/>
        <v>5.3480375084179383E-4</v>
      </c>
      <c r="AD198" s="3">
        <f t="shared" si="134"/>
        <v>5.344662253345822E-4</v>
      </c>
      <c r="AE198" s="3">
        <f t="shared" si="134"/>
        <v>5.3110266416380597E-4</v>
      </c>
      <c r="AF198" s="3">
        <f t="shared" si="134"/>
        <v>4.986095821629343E-4</v>
      </c>
      <c r="AG198" s="3"/>
      <c r="AH198" s="3"/>
    </row>
    <row r="199" spans="1:34" x14ac:dyDescent="0.25">
      <c r="B199" s="3">
        <f t="shared" ref="B199:AF199" si="135">$C46*EXP(-B$168/$A46/EXP(-$C$126))</f>
        <v>1.465148476990797E-3</v>
      </c>
      <c r="C199" s="3">
        <f t="shared" si="135"/>
        <v>1.465148476990797E-3</v>
      </c>
      <c r="D199" s="3">
        <f t="shared" si="135"/>
        <v>1.465148476990797E-3</v>
      </c>
      <c r="E199" s="3">
        <f t="shared" si="135"/>
        <v>1.465148476990797E-3</v>
      </c>
      <c r="F199" s="3">
        <f t="shared" si="135"/>
        <v>1.465148476990797E-3</v>
      </c>
      <c r="G199" s="3">
        <f t="shared" si="135"/>
        <v>1.465148476990797E-3</v>
      </c>
      <c r="H199" s="3">
        <f t="shared" si="135"/>
        <v>1.465148476990797E-3</v>
      </c>
      <c r="I199" s="3">
        <f t="shared" si="135"/>
        <v>1.465148476990797E-3</v>
      </c>
      <c r="J199" s="3">
        <f t="shared" si="135"/>
        <v>1.465148476990797E-3</v>
      </c>
      <c r="K199" s="3">
        <f t="shared" si="135"/>
        <v>1.465148476990797E-3</v>
      </c>
      <c r="L199" s="3">
        <f t="shared" si="135"/>
        <v>1.465148476990797E-3</v>
      </c>
      <c r="M199" s="3">
        <f t="shared" si="135"/>
        <v>1.465148476990797E-3</v>
      </c>
      <c r="N199" s="3">
        <f t="shared" si="135"/>
        <v>1.465148476990797E-3</v>
      </c>
      <c r="O199" s="3">
        <f t="shared" si="135"/>
        <v>1.465148476990797E-3</v>
      </c>
      <c r="P199" s="3">
        <f t="shared" si="135"/>
        <v>1.465148476990797E-3</v>
      </c>
      <c r="Q199" s="3">
        <f t="shared" si="135"/>
        <v>1.465148476990797E-3</v>
      </c>
      <c r="R199" s="3">
        <f t="shared" si="135"/>
        <v>1.4651484769907968E-3</v>
      </c>
      <c r="S199" s="3">
        <f t="shared" si="135"/>
        <v>1.4651484769907959E-3</v>
      </c>
      <c r="T199" s="3">
        <f t="shared" si="135"/>
        <v>1.4651484769907868E-3</v>
      </c>
      <c r="U199" s="3">
        <f t="shared" si="135"/>
        <v>1.4651484769906942E-3</v>
      </c>
      <c r="V199" s="3">
        <f t="shared" si="135"/>
        <v>1.4651484769897694E-3</v>
      </c>
      <c r="W199" s="3">
        <f t="shared" si="135"/>
        <v>1.4651484769805196E-3</v>
      </c>
      <c r="X199" s="3">
        <f t="shared" si="135"/>
        <v>1.4651484768880218E-3</v>
      </c>
      <c r="Y199" s="3">
        <f t="shared" si="135"/>
        <v>1.4651484759630449E-3</v>
      </c>
      <c r="Z199" s="3">
        <f t="shared" si="135"/>
        <v>1.4651484667132762E-3</v>
      </c>
      <c r="AA199" s="3">
        <f t="shared" si="135"/>
        <v>1.4651483742155926E-3</v>
      </c>
      <c r="AB199" s="3">
        <f t="shared" si="135"/>
        <v>1.4651474492390769E-3</v>
      </c>
      <c r="AC199" s="3">
        <f t="shared" si="135"/>
        <v>1.4651381995060371E-3</v>
      </c>
      <c r="AD199" s="3">
        <f t="shared" si="135"/>
        <v>1.4650457053873131E-3</v>
      </c>
      <c r="AE199" s="3">
        <f t="shared" si="135"/>
        <v>1.4641210852925199E-3</v>
      </c>
      <c r="AF199" s="3">
        <f t="shared" si="135"/>
        <v>1.4549069187121681E-3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1.026110794379005E-2</v>
      </c>
      <c r="C201" s="3">
        <f t="shared" si="137"/>
        <v>1.026110794379005E-2</v>
      </c>
      <c r="D201" s="3">
        <f t="shared" si="137"/>
        <v>1.026110794379005E-2</v>
      </c>
      <c r="E201" s="3">
        <f t="shared" si="137"/>
        <v>1.026110794379005E-2</v>
      </c>
      <c r="F201" s="3">
        <f t="shared" si="137"/>
        <v>1.026110794379005E-2</v>
      </c>
      <c r="G201" s="3">
        <f t="shared" si="137"/>
        <v>1.026110794379005E-2</v>
      </c>
      <c r="H201" s="3">
        <f t="shared" si="137"/>
        <v>1.026110794379005E-2</v>
      </c>
      <c r="I201" s="3">
        <f t="shared" si="137"/>
        <v>1.026110794379005E-2</v>
      </c>
      <c r="J201" s="3">
        <f t="shared" si="137"/>
        <v>1.026110794379005E-2</v>
      </c>
      <c r="K201" s="3">
        <f t="shared" si="137"/>
        <v>1.026110794379005E-2</v>
      </c>
      <c r="L201" s="3">
        <f t="shared" si="137"/>
        <v>1.026110794379005E-2</v>
      </c>
      <c r="M201" s="3">
        <f t="shared" si="137"/>
        <v>1.026110794379005E-2</v>
      </c>
      <c r="N201" s="3">
        <f t="shared" si="137"/>
        <v>1.026110794379005E-2</v>
      </c>
      <c r="O201" s="3">
        <f t="shared" si="137"/>
        <v>1.026110794379005E-2</v>
      </c>
      <c r="P201" s="3">
        <f t="shared" si="137"/>
        <v>1.026110794379005E-2</v>
      </c>
      <c r="Q201" s="3">
        <f t="shared" si="137"/>
        <v>1.026110794379005E-2</v>
      </c>
      <c r="R201" s="3">
        <f t="shared" si="137"/>
        <v>1.026110794379005E-2</v>
      </c>
      <c r="S201" s="3">
        <f t="shared" si="137"/>
        <v>1.026110794379005E-2</v>
      </c>
      <c r="T201" s="3">
        <f t="shared" si="137"/>
        <v>1.0261107943790048E-2</v>
      </c>
      <c r="U201" s="3">
        <f t="shared" si="137"/>
        <v>1.0261107943790043E-2</v>
      </c>
      <c r="V201" s="3">
        <f t="shared" si="137"/>
        <v>1.0261107943789979E-2</v>
      </c>
      <c r="W201" s="3">
        <f t="shared" si="137"/>
        <v>1.026110794378933E-2</v>
      </c>
      <c r="X201" s="3">
        <f t="shared" si="137"/>
        <v>1.0261107943782852E-2</v>
      </c>
      <c r="Y201" s="3">
        <f t="shared" si="137"/>
        <v>1.0261107943718073E-2</v>
      </c>
      <c r="Z201" s="3">
        <f t="shared" si="137"/>
        <v>1.0261107943070268E-2</v>
      </c>
      <c r="AA201" s="3">
        <f t="shared" si="137"/>
        <v>1.0261107936592229E-2</v>
      </c>
      <c r="AB201" s="3">
        <f t="shared" si="137"/>
        <v>1.026110787181185E-2</v>
      </c>
      <c r="AC201" s="3">
        <f t="shared" si="137"/>
        <v>1.0261107224008073E-2</v>
      </c>
      <c r="AD201" s="3">
        <f t="shared" si="137"/>
        <v>1.0261100745972555E-2</v>
      </c>
      <c r="AE201" s="3">
        <f t="shared" si="137"/>
        <v>1.0261035965842307E-2</v>
      </c>
      <c r="AF201" s="3">
        <f t="shared" si="137"/>
        <v>1.0260388187032652E-2</v>
      </c>
      <c r="AG201" s="3"/>
      <c r="AH201" s="3"/>
    </row>
    <row r="202" spans="1:34" x14ac:dyDescent="0.25">
      <c r="A202" s="79">
        <f>AVERAGE(B202:AF202)</f>
        <v>1.1875131793744357E-2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2.6071902057930064E-2</v>
      </c>
      <c r="M202" s="80">
        <f t="shared" si="138"/>
        <v>2.7252307274196617E-2</v>
      </c>
      <c r="N202" s="80">
        <f t="shared" si="138"/>
        <v>2.6616531234100571E-2</v>
      </c>
      <c r="O202" s="80">
        <f t="shared" si="138"/>
        <v>2.6384245809806719E-2</v>
      </c>
      <c r="P202" s="80">
        <f t="shared" si="138"/>
        <v>2.5707195808384209E-2</v>
      </c>
      <c r="Q202" s="80">
        <f t="shared" si="138"/>
        <v>2.6624691855998184E-2</v>
      </c>
      <c r="R202" s="80">
        <f t="shared" si="138"/>
        <v>2.6448691492168087E-2</v>
      </c>
      <c r="S202" s="80">
        <f t="shared" si="138"/>
        <v>2.4454732594589891E-2</v>
      </c>
      <c r="T202" s="80">
        <f t="shared" si="138"/>
        <v>1.3279966181413531E-2</v>
      </c>
      <c r="U202" s="80">
        <f t="shared" si="138"/>
        <v>4.8026981285546846E-2</v>
      </c>
      <c r="V202" s="80">
        <f t="shared" si="138"/>
        <v>9.7261840011940368E-2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934098.90088600828</v>
      </c>
      <c r="C203" s="21">
        <f t="shared" ref="C203:AF203" si="139">(C170-C169)^2</f>
        <v>446442.48344076885</v>
      </c>
      <c r="D203" s="21">
        <f t="shared" si="139"/>
        <v>235853.78546324783</v>
      </c>
      <c r="E203" s="21">
        <f t="shared" si="139"/>
        <v>95188.926518954017</v>
      </c>
      <c r="F203" s="21">
        <f t="shared" si="139"/>
        <v>31031.780382793451</v>
      </c>
      <c r="G203" s="21">
        <f t="shared" si="139"/>
        <v>72035.440387275143</v>
      </c>
      <c r="H203" s="21">
        <f t="shared" si="139"/>
        <v>72237.241401327585</v>
      </c>
      <c r="I203" s="21">
        <f t="shared" si="139"/>
        <v>58740.766991274722</v>
      </c>
      <c r="J203" s="21">
        <f t="shared" si="139"/>
        <v>62112.133564153264</v>
      </c>
      <c r="K203" s="21">
        <f t="shared" si="139"/>
        <v>52232.0556094602</v>
      </c>
      <c r="L203" s="21">
        <f t="shared" si="139"/>
        <v>54614.748691970613</v>
      </c>
      <c r="M203" s="21">
        <f t="shared" si="139"/>
        <v>55115.966989165136</v>
      </c>
      <c r="N203" s="21">
        <f t="shared" si="139"/>
        <v>48199.553325010565</v>
      </c>
      <c r="O203" s="21">
        <f t="shared" si="139"/>
        <v>43801.818279088802</v>
      </c>
      <c r="P203" s="21">
        <f t="shared" si="139"/>
        <v>38688.511081890974</v>
      </c>
      <c r="Q203" s="21">
        <f t="shared" si="139"/>
        <v>38483.112704020663</v>
      </c>
      <c r="R203" s="21">
        <f t="shared" si="139"/>
        <v>35047.934219128452</v>
      </c>
      <c r="S203" s="21">
        <f t="shared" si="139"/>
        <v>27496.75096884395</v>
      </c>
      <c r="T203" s="21">
        <f t="shared" si="139"/>
        <v>7133.2497915567437</v>
      </c>
      <c r="U203" s="21">
        <f t="shared" si="139"/>
        <v>70627.184404367974</v>
      </c>
      <c r="V203" s="21">
        <f t="shared" si="139"/>
        <v>189207.46044411793</v>
      </c>
      <c r="W203" s="21">
        <f t="shared" si="139"/>
        <v>96902.994403608187</v>
      </c>
      <c r="X203" s="21">
        <f t="shared" si="139"/>
        <v>23987.155317145593</v>
      </c>
      <c r="Y203" s="21">
        <f t="shared" si="139"/>
        <v>3727.0050684716407</v>
      </c>
      <c r="Z203" s="21">
        <f t="shared" si="139"/>
        <v>194.02972382093145</v>
      </c>
      <c r="AA203" s="21">
        <f t="shared" si="139"/>
        <v>112.63653767798576</v>
      </c>
      <c r="AB203" s="21">
        <f t="shared" si="139"/>
        <v>418.60359846900803</v>
      </c>
      <c r="AC203" s="21">
        <f t="shared" si="139"/>
        <v>5.3957592025233625</v>
      </c>
      <c r="AD203" s="21">
        <f t="shared" si="139"/>
        <v>56.636638010529467</v>
      </c>
      <c r="AE203" s="21">
        <f t="shared" si="139"/>
        <v>1.0156810570137844</v>
      </c>
      <c r="AF203" s="21">
        <f t="shared" si="139"/>
        <v>4.9733911223028731</v>
      </c>
      <c r="AG203" s="3"/>
      <c r="AH203" s="3"/>
    </row>
    <row r="204" spans="1:34" x14ac:dyDescent="0.25">
      <c r="A204" s="71">
        <f>SUM(B204:AF204)</f>
        <v>608416.29089916183</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54614.748691970613</v>
      </c>
      <c r="M204" s="60">
        <f t="shared" ref="M204" si="150">IF($A$64&lt;=M168,IF($B$64&gt;=M168,ABS(M203),0),0)</f>
        <v>55115.966989165136</v>
      </c>
      <c r="N204" s="60">
        <f t="shared" ref="N204" si="151">IF($A$64&lt;=N168,IF($B$64&gt;=N168,ABS(N203),0),0)</f>
        <v>48199.553325010565</v>
      </c>
      <c r="O204" s="60">
        <f t="shared" ref="O204" si="152">IF($A$64&lt;=O168,IF($B$64&gt;=O168,ABS(O203),0),0)</f>
        <v>43801.818279088802</v>
      </c>
      <c r="P204" s="60">
        <f t="shared" ref="P204" si="153">IF($A$64&lt;=P168,IF($B$64&gt;=P168,ABS(P203),0),0)</f>
        <v>38688.511081890974</v>
      </c>
      <c r="Q204" s="60">
        <f t="shared" ref="Q204" si="154">IF($A$64&lt;=Q168,IF($B$64&gt;=Q168,ABS(Q203),0),0)</f>
        <v>38483.112704020663</v>
      </c>
      <c r="R204" s="60">
        <f t="shared" ref="R204" si="155">IF($A$64&lt;=R168,IF($B$64&gt;=R168,ABS(R203),0),0)</f>
        <v>35047.934219128452</v>
      </c>
      <c r="S204" s="60">
        <f t="shared" ref="S204" si="156">IF($A$64&lt;=S168,IF($B$64&gt;=S168,ABS(S203),0),0)</f>
        <v>27496.75096884395</v>
      </c>
      <c r="T204" s="60">
        <f t="shared" ref="T204" si="157">IF($A$64&lt;=T168,IF($B$64&gt;=T168,ABS(T203),0),0)</f>
        <v>7133.2497915567437</v>
      </c>
      <c r="U204" s="60">
        <f t="shared" ref="U204" si="158">IF($A$64&lt;=U168,IF($B$64&gt;=U168,ABS(U203),0),0)</f>
        <v>70627.184404367974</v>
      </c>
      <c r="V204" s="60">
        <f t="shared" ref="V204" si="159">IF($A$64&lt;=V168,IF($B$64&gt;=V168,ABS(V203),0),0)</f>
        <v>189207.46044411793</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10400.640238745318</v>
      </c>
      <c r="C209" s="27">
        <f t="shared" ref="C209:AF209" si="170">($C$17+SUM(C210:C240))*$B$51</f>
        <v>10399.610120084399</v>
      </c>
      <c r="D209" s="27">
        <f t="shared" si="170"/>
        <v>10389.435745516348</v>
      </c>
      <c r="E209" s="27">
        <f t="shared" si="170"/>
        <v>10299.336360143068</v>
      </c>
      <c r="F209" s="27">
        <f t="shared" si="170"/>
        <v>9965.5779857317048</v>
      </c>
      <c r="G209" s="27">
        <f t="shared" si="170"/>
        <v>9742.0696686865813</v>
      </c>
      <c r="H209" s="27">
        <f t="shared" si="170"/>
        <v>9482.8352170196013</v>
      </c>
      <c r="I209" s="27">
        <f t="shared" si="170"/>
        <v>9221.6312052379126</v>
      </c>
      <c r="J209" s="27">
        <f t="shared" si="170"/>
        <v>8980.6765631477683</v>
      </c>
      <c r="K209" s="27">
        <f t="shared" si="170"/>
        <v>8667.0600071440313</v>
      </c>
      <c r="L209" s="27">
        <f t="shared" si="170"/>
        <v>8313.3941209327677</v>
      </c>
      <c r="M209" s="27">
        <f t="shared" si="170"/>
        <v>7967.427086180377</v>
      </c>
      <c r="N209" s="27">
        <f t="shared" si="170"/>
        <v>7674.9461188186615</v>
      </c>
      <c r="O209" s="27">
        <f t="shared" si="170"/>
        <v>7407.3110660120165</v>
      </c>
      <c r="P209" s="27">
        <f t="shared" si="170"/>
        <v>7121.0664232862482</v>
      </c>
      <c r="Q209" s="27">
        <f t="shared" si="170"/>
        <v>6850.3795433318037</v>
      </c>
      <c r="R209" s="27">
        <f t="shared" si="170"/>
        <v>6561.6850722092522</v>
      </c>
      <c r="S209" s="27">
        <f t="shared" si="170"/>
        <v>6221.1181181442043</v>
      </c>
      <c r="T209" s="27">
        <f t="shared" si="170"/>
        <v>5678.80264062683</v>
      </c>
      <c r="U209" s="27">
        <f t="shared" si="170"/>
        <v>4755.8332950578888</v>
      </c>
      <c r="V209" s="27">
        <f t="shared" si="170"/>
        <v>3739.1090862973087</v>
      </c>
      <c r="W209" s="27">
        <f t="shared" si="170"/>
        <v>2894.0307392835498</v>
      </c>
      <c r="X209" s="27">
        <f t="shared" si="170"/>
        <v>2201.9681253749445</v>
      </c>
      <c r="Y209" s="27">
        <f t="shared" si="170"/>
        <v>1600.2888255553344</v>
      </c>
      <c r="Z209" s="27">
        <f t="shared" si="170"/>
        <v>1118.027896213152</v>
      </c>
      <c r="AA209" s="27">
        <f t="shared" si="170"/>
        <v>778.14619720813994</v>
      </c>
      <c r="AB209" s="27">
        <f t="shared" si="170"/>
        <v>580.30277217954927</v>
      </c>
      <c r="AC209" s="27">
        <f t="shared" si="170"/>
        <v>476.80519774524373</v>
      </c>
      <c r="AD209" s="27">
        <f t="shared" si="170"/>
        <v>427.87645195586072</v>
      </c>
      <c r="AE209" s="27">
        <f t="shared" si="170"/>
        <v>398.45748370467533</v>
      </c>
      <c r="AF209" s="27">
        <f t="shared" si="170"/>
        <v>385.11685679577329</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3.6505019892624703E-2</v>
      </c>
      <c r="C211" s="3">
        <f t="shared" si="172"/>
        <v>3.6418985398900663E-2</v>
      </c>
      <c r="D211" s="3">
        <f t="shared" si="172"/>
        <v>3.5569714048611506E-2</v>
      </c>
      <c r="E211" s="3">
        <f t="shared" si="172"/>
        <v>2.809348950568755E-2</v>
      </c>
      <c r="F211" s="3">
        <f t="shared" si="172"/>
        <v>2.6537427027889639E-3</v>
      </c>
      <c r="G211" s="3">
        <f t="shared" si="172"/>
        <v>1.5010324385605907E-13</v>
      </c>
      <c r="H211" s="3">
        <f t="shared" si="172"/>
        <v>5.0315608156026255E-116</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1.7685782086554074E-2</v>
      </c>
      <c r="C212" s="3">
        <f t="shared" si="173"/>
        <v>1.7682018023138377E-2</v>
      </c>
      <c r="D212" s="3">
        <f t="shared" si="173"/>
        <v>1.7644421421651412E-2</v>
      </c>
      <c r="E212" s="3">
        <f t="shared" si="173"/>
        <v>1.7272824192208602E-2</v>
      </c>
      <c r="F212" s="3">
        <f t="shared" si="173"/>
        <v>1.3961197139548165E-2</v>
      </c>
      <c r="G212" s="3">
        <f t="shared" si="173"/>
        <v>1.6615588538295516E-3</v>
      </c>
      <c r="H212" s="3">
        <f t="shared" si="173"/>
        <v>9.4721032321973238E-13</v>
      </c>
      <c r="I212" s="3">
        <f t="shared" si="173"/>
        <v>3.4336289245907809E-105</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2.4470436914787765E-2</v>
      </c>
      <c r="C213" s="3">
        <f t="shared" si="174"/>
        <v>2.4469967060681466E-2</v>
      </c>
      <c r="D213" s="3">
        <f t="shared" si="174"/>
        <v>2.4465269015778786E-2</v>
      </c>
      <c r="E213" s="3">
        <f t="shared" si="174"/>
        <v>2.4418338147549911E-2</v>
      </c>
      <c r="F213" s="3">
        <f t="shared" si="174"/>
        <v>2.3953952501071678E-2</v>
      </c>
      <c r="G213" s="3">
        <f t="shared" si="174"/>
        <v>1.9769149631822497E-2</v>
      </c>
      <c r="H213" s="3">
        <f t="shared" si="174"/>
        <v>2.8979843371532846E-3</v>
      </c>
      <c r="I213" s="3">
        <f t="shared" si="174"/>
        <v>1.3279339892013862E-11</v>
      </c>
      <c r="J213" s="3">
        <f t="shared" si="174"/>
        <v>5.4197720211099421E-95</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2.4627507290692897E-2</v>
      </c>
      <c r="C214" s="3">
        <f t="shared" si="175"/>
        <v>2.4627464633512692E-2</v>
      </c>
      <c r="D214" s="3">
        <f t="shared" si="175"/>
        <v>2.4627038065774341E-2</v>
      </c>
      <c r="E214" s="3">
        <f t="shared" si="175"/>
        <v>2.4622772794737253E-2</v>
      </c>
      <c r="F214" s="3">
        <f t="shared" si="175"/>
        <v>2.4580160692978081E-2</v>
      </c>
      <c r="G214" s="3">
        <f t="shared" si="175"/>
        <v>2.4158074631622825E-2</v>
      </c>
      <c r="H214" s="3">
        <f t="shared" si="175"/>
        <v>2.03160057453729E-2</v>
      </c>
      <c r="I214" s="3">
        <f t="shared" si="175"/>
        <v>3.5941683104530305E-3</v>
      </c>
      <c r="J214" s="3">
        <f t="shared" si="175"/>
        <v>1.0794418413587225E-10</v>
      </c>
      <c r="K214" s="3">
        <f t="shared" si="175"/>
        <v>6.4447729673389916E-86</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1.9757999072389579E-2</v>
      </c>
      <c r="C215" s="3">
        <f t="shared" si="176"/>
        <v>1.9757995985212218E-2</v>
      </c>
      <c r="D215" s="3">
        <f t="shared" si="176"/>
        <v>1.9757965113465111E-2</v>
      </c>
      <c r="E215" s="3">
        <f t="shared" si="176"/>
        <v>1.9757656398647072E-2</v>
      </c>
      <c r="F215" s="3">
        <f t="shared" si="176"/>
        <v>1.9754569515753148E-2</v>
      </c>
      <c r="G215" s="3">
        <f t="shared" si="176"/>
        <v>1.9723727200128577E-2</v>
      </c>
      <c r="H215" s="3">
        <f t="shared" si="176"/>
        <v>1.9417940111240709E-2</v>
      </c>
      <c r="I215" s="3">
        <f t="shared" si="176"/>
        <v>1.6609052536412244E-2</v>
      </c>
      <c r="J215" s="3">
        <f t="shared" si="176"/>
        <v>3.4814637219044587E-3</v>
      </c>
      <c r="K215" s="3">
        <f t="shared" si="176"/>
        <v>5.7007503961403969E-10</v>
      </c>
      <c r="L215" s="3">
        <f t="shared" si="176"/>
        <v>7.9001174296129945E-78</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3.0456673092120041E-2</v>
      </c>
      <c r="C216" s="3">
        <f t="shared" si="177"/>
        <v>3.045667266283307E-2</v>
      </c>
      <c r="D216" s="3">
        <f t="shared" si="177"/>
        <v>3.0456668369963729E-2</v>
      </c>
      <c r="E216" s="3">
        <f t="shared" si="177"/>
        <v>3.0456625441303599E-2</v>
      </c>
      <c r="F216" s="3">
        <f t="shared" si="177"/>
        <v>3.0456196158030191E-2</v>
      </c>
      <c r="G216" s="3">
        <f t="shared" si="177"/>
        <v>3.0451903658070947E-2</v>
      </c>
      <c r="H216" s="3">
        <f t="shared" si="177"/>
        <v>3.0409011918613869E-2</v>
      </c>
      <c r="I216" s="3">
        <f t="shared" si="177"/>
        <v>2.9983403257116951E-2</v>
      </c>
      <c r="J216" s="3">
        <f t="shared" si="177"/>
        <v>2.6041565907563131E-2</v>
      </c>
      <c r="K216" s="3">
        <f t="shared" si="177"/>
        <v>6.3610497222715487E-3</v>
      </c>
      <c r="L216" s="3">
        <f t="shared" si="177"/>
        <v>4.8100073592089029E-9</v>
      </c>
      <c r="M216" s="3">
        <f t="shared" si="177"/>
        <v>2.9397828086834454E-70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3.3429649520389855E-2</v>
      </c>
      <c r="C217" s="3">
        <f t="shared" si="178"/>
        <v>3.3429649477884502E-2</v>
      </c>
      <c r="D217" s="3">
        <f t="shared" si="178"/>
        <v>3.342964905283094E-2</v>
      </c>
      <c r="E217" s="3">
        <f t="shared" si="178"/>
        <v>3.3429644802295655E-2</v>
      </c>
      <c r="F217" s="3">
        <f t="shared" si="178"/>
        <v>3.3429602296972505E-2</v>
      </c>
      <c r="G217" s="3">
        <f t="shared" si="178"/>
        <v>3.3429177246713473E-2</v>
      </c>
      <c r="H217" s="3">
        <f t="shared" si="178"/>
        <v>3.3424927041355121E-2</v>
      </c>
      <c r="I217" s="3">
        <f t="shared" si="178"/>
        <v>3.3382454696987585E-2</v>
      </c>
      <c r="J217" s="3">
        <f t="shared" si="178"/>
        <v>3.2960688245620415E-2</v>
      </c>
      <c r="K217" s="3">
        <f t="shared" si="178"/>
        <v>2.9025272378591229E-2</v>
      </c>
      <c r="L217" s="3">
        <f t="shared" si="178"/>
        <v>8.139104562448209E-3</v>
      </c>
      <c r="M217" s="3">
        <f t="shared" si="178"/>
        <v>2.4466951844755518E-8</v>
      </c>
      <c r="N217" s="3">
        <f t="shared" si="178"/>
        <v>1.4743896062105104E-63</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3.254093488191763E-2</v>
      </c>
      <c r="C218" s="3">
        <f t="shared" si="179"/>
        <v>3.2540934878185226E-2</v>
      </c>
      <c r="D218" s="3">
        <f t="shared" si="179"/>
        <v>3.2540934840861201E-2</v>
      </c>
      <c r="E218" s="3">
        <f t="shared" si="179"/>
        <v>3.254093446762097E-2</v>
      </c>
      <c r="F218" s="3">
        <f t="shared" si="179"/>
        <v>3.2540930735218888E-2</v>
      </c>
      <c r="G218" s="3">
        <f t="shared" si="179"/>
        <v>3.2540893411221662E-2</v>
      </c>
      <c r="H218" s="3">
        <f t="shared" si="179"/>
        <v>3.2540520173603878E-2</v>
      </c>
      <c r="I218" s="3">
        <f t="shared" si="179"/>
        <v>3.2536788032870842E-2</v>
      </c>
      <c r="J218" s="3">
        <f t="shared" si="179"/>
        <v>3.2499490160030974E-2</v>
      </c>
      <c r="K218" s="3">
        <f t="shared" si="179"/>
        <v>3.2128854923562669E-2</v>
      </c>
      <c r="L218" s="3">
        <f t="shared" si="179"/>
        <v>2.8647204141530196E-2</v>
      </c>
      <c r="M218" s="3">
        <f t="shared" si="179"/>
        <v>9.0981312246500353E-3</v>
      </c>
      <c r="N218" s="3">
        <f t="shared" si="179"/>
        <v>9.498427944313392E-8</v>
      </c>
      <c r="O218" s="3">
        <f t="shared" si="179"/>
        <v>1.4609894928582062E-57</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2.4641511300820509E-2</v>
      </c>
      <c r="C219" s="3">
        <f t="shared" si="180"/>
        <v>2.4641511300565546E-2</v>
      </c>
      <c r="D219" s="3">
        <f t="shared" si="180"/>
        <v>2.4641511298015947E-2</v>
      </c>
      <c r="E219" s="3">
        <f t="shared" si="180"/>
        <v>2.4641511272519928E-2</v>
      </c>
      <c r="F219" s="3">
        <f t="shared" si="180"/>
        <v>2.464151101755975E-2</v>
      </c>
      <c r="G219" s="3">
        <f t="shared" si="180"/>
        <v>2.4641508467958102E-2</v>
      </c>
      <c r="H219" s="3">
        <f t="shared" si="180"/>
        <v>2.464148297195615E-2</v>
      </c>
      <c r="I219" s="3">
        <f t="shared" si="180"/>
        <v>2.4641228013387525E-2</v>
      </c>
      <c r="J219" s="3">
        <f t="shared" si="180"/>
        <v>2.4638678572785979E-2</v>
      </c>
      <c r="K219" s="3">
        <f t="shared" si="180"/>
        <v>2.4613198669686968E-2</v>
      </c>
      <c r="L219" s="3">
        <f t="shared" si="180"/>
        <v>2.4359844393515146E-2</v>
      </c>
      <c r="M219" s="3">
        <f t="shared" si="180"/>
        <v>2.1965395911773249E-2</v>
      </c>
      <c r="N219" s="3">
        <f t="shared" si="180"/>
        <v>7.8052046257708766E-3</v>
      </c>
      <c r="O219" s="3">
        <f t="shared" si="180"/>
        <v>2.5051680859640443E-7</v>
      </c>
      <c r="P219" s="3">
        <f t="shared" si="180"/>
        <v>2.9064485701751045E-52</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2.4122417967753329E-2</v>
      </c>
      <c r="C220" s="3">
        <f t="shared" si="181"/>
        <v>2.4122417967730816E-2</v>
      </c>
      <c r="D220" s="3">
        <f t="shared" si="181"/>
        <v>2.4122417967505663E-2</v>
      </c>
      <c r="E220" s="3">
        <f t="shared" si="181"/>
        <v>2.4122417965254161E-2</v>
      </c>
      <c r="F220" s="3">
        <f t="shared" si="181"/>
        <v>2.4122417942739137E-2</v>
      </c>
      <c r="G220" s="3">
        <f t="shared" si="181"/>
        <v>2.4122417717588881E-2</v>
      </c>
      <c r="H220" s="3">
        <f t="shared" si="181"/>
        <v>2.4122415466086438E-2</v>
      </c>
      <c r="I220" s="3">
        <f t="shared" si="181"/>
        <v>2.412239295107357E-2</v>
      </c>
      <c r="J220" s="3">
        <f t="shared" si="181"/>
        <v>2.4122167802100709E-2</v>
      </c>
      <c r="K220" s="3">
        <f t="shared" si="181"/>
        <v>2.411991642794873E-2</v>
      </c>
      <c r="L220" s="3">
        <f t="shared" si="181"/>
        <v>2.4097414240102998E-2</v>
      </c>
      <c r="M220" s="3">
        <f t="shared" si="181"/>
        <v>2.3873543748988261E-2</v>
      </c>
      <c r="N220" s="3">
        <f t="shared" si="181"/>
        <v>2.1746098643049237E-2</v>
      </c>
      <c r="O220" s="3">
        <f t="shared" si="181"/>
        <v>8.5511789201039301E-3</v>
      </c>
      <c r="P220" s="3">
        <f t="shared" si="181"/>
        <v>7.5591400373423136E-7</v>
      </c>
      <c r="Q220" s="3">
        <f t="shared" si="181"/>
        <v>2.2026037078848714E-47</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2.8528246553066822E-2</v>
      </c>
      <c r="C221" s="3">
        <f t="shared" si="182"/>
        <v>2.8528246553064417E-2</v>
      </c>
      <c r="D221" s="3">
        <f t="shared" si="182"/>
        <v>2.8528246553040402E-2</v>
      </c>
      <c r="E221" s="3">
        <f t="shared" si="182"/>
        <v>2.8528246552800198E-2</v>
      </c>
      <c r="F221" s="3">
        <f t="shared" si="182"/>
        <v>2.8528246550398196E-2</v>
      </c>
      <c r="G221" s="3">
        <f t="shared" si="182"/>
        <v>2.8528246526378181E-2</v>
      </c>
      <c r="H221" s="3">
        <f t="shared" si="182"/>
        <v>2.8528246286178033E-2</v>
      </c>
      <c r="I221" s="3">
        <f t="shared" si="182"/>
        <v>2.8528243884176629E-2</v>
      </c>
      <c r="J221" s="3">
        <f t="shared" si="182"/>
        <v>2.8528219864173716E-2</v>
      </c>
      <c r="K221" s="3">
        <f t="shared" si="182"/>
        <v>2.8527979665256942E-2</v>
      </c>
      <c r="L221" s="3">
        <f t="shared" si="182"/>
        <v>2.8525577787318457E-2</v>
      </c>
      <c r="M221" s="3">
        <f t="shared" si="182"/>
        <v>2.8501570127397523E-2</v>
      </c>
      <c r="N221" s="3">
        <f t="shared" si="182"/>
        <v>2.8262602018319798E-2</v>
      </c>
      <c r="O221" s="3">
        <f t="shared" si="182"/>
        <v>2.5980393060744521E-2</v>
      </c>
      <c r="P221" s="3">
        <f t="shared" si="182"/>
        <v>1.1193900958205372E-2</v>
      </c>
      <c r="Q221" s="3">
        <f t="shared" si="182"/>
        <v>2.4679643807739538E-6</v>
      </c>
      <c r="R221" s="3">
        <f t="shared" si="182"/>
        <v>6.6975067674435514E-43</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2.104871957139795E-2</v>
      </c>
      <c r="C222" s="3">
        <f t="shared" si="183"/>
        <v>2.1048719571397791E-2</v>
      </c>
      <c r="D222" s="3">
        <f t="shared" si="183"/>
        <v>2.1048719571396191E-2</v>
      </c>
      <c r="E222" s="3">
        <f t="shared" si="183"/>
        <v>2.1048719571380204E-2</v>
      </c>
      <c r="F222" s="3">
        <f t="shared" si="183"/>
        <v>2.1048719571220332E-2</v>
      </c>
      <c r="G222" s="3">
        <f t="shared" si="183"/>
        <v>2.1048719569621621E-2</v>
      </c>
      <c r="H222" s="3">
        <f t="shared" si="183"/>
        <v>2.1048719553634493E-2</v>
      </c>
      <c r="I222" s="3">
        <f t="shared" si="183"/>
        <v>2.1048719393763203E-2</v>
      </c>
      <c r="J222" s="3">
        <f t="shared" si="183"/>
        <v>2.1048717795050402E-2</v>
      </c>
      <c r="K222" s="3">
        <f t="shared" si="183"/>
        <v>2.1048701807929057E-2</v>
      </c>
      <c r="L222" s="3">
        <f t="shared" si="183"/>
        <v>2.1048541937383425E-2</v>
      </c>
      <c r="M222" s="3">
        <f t="shared" si="183"/>
        <v>2.1046943298709889E-2</v>
      </c>
      <c r="N222" s="3">
        <f t="shared" si="183"/>
        <v>2.1030963588374574E-2</v>
      </c>
      <c r="O222" s="3">
        <f t="shared" si="183"/>
        <v>2.0871832252590924E-2</v>
      </c>
      <c r="P222" s="3">
        <f t="shared" si="183"/>
        <v>1.9345262076859E-2</v>
      </c>
      <c r="Q222" s="3">
        <f t="shared" si="183"/>
        <v>9.0513849848692859E-3</v>
      </c>
      <c r="R222" s="3">
        <f t="shared" si="183"/>
        <v>4.5511299199422023E-6</v>
      </c>
      <c r="S222" s="3">
        <f t="shared" si="183"/>
        <v>4.7006854898313288E-39</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3.1114198963852643E-2</v>
      </c>
      <c r="C223" s="3">
        <f t="shared" si="184"/>
        <v>3.1114198963852622E-2</v>
      </c>
      <c r="D223" s="3">
        <f t="shared" si="184"/>
        <v>3.1114198963852407E-2</v>
      </c>
      <c r="E223" s="3">
        <f t="shared" si="184"/>
        <v>3.1114198963850277E-2</v>
      </c>
      <c r="F223" s="3">
        <f t="shared" si="184"/>
        <v>3.111419896382896E-2</v>
      </c>
      <c r="G223" s="3">
        <f t="shared" si="184"/>
        <v>3.1114198963615777E-2</v>
      </c>
      <c r="H223" s="3">
        <f t="shared" si="184"/>
        <v>3.1114198961483961E-2</v>
      </c>
      <c r="I223" s="3">
        <f t="shared" si="184"/>
        <v>3.1114198940165785E-2</v>
      </c>
      <c r="J223" s="3">
        <f t="shared" si="184"/>
        <v>3.1114198726984045E-2</v>
      </c>
      <c r="K223" s="3">
        <f t="shared" si="184"/>
        <v>3.1114196595166715E-2</v>
      </c>
      <c r="L223" s="3">
        <f t="shared" si="184"/>
        <v>3.1114175277001457E-2</v>
      </c>
      <c r="M223" s="3">
        <f t="shared" si="184"/>
        <v>3.1113962096152241E-2</v>
      </c>
      <c r="N223" s="3">
        <f t="shared" si="184"/>
        <v>3.111183036799265E-2</v>
      </c>
      <c r="O223" s="3">
        <f t="shared" si="184"/>
        <v>3.1090521117621027E-2</v>
      </c>
      <c r="P223" s="3">
        <f t="shared" si="184"/>
        <v>3.0878229704071079E-2</v>
      </c>
      <c r="Q223" s="3">
        <f t="shared" si="184"/>
        <v>2.8833430433953672E-2</v>
      </c>
      <c r="R223" s="3">
        <f t="shared" si="184"/>
        <v>1.4532339397963542E-2</v>
      </c>
      <c r="S223" s="3">
        <f t="shared" si="184"/>
        <v>1.5371905299871322E-5</v>
      </c>
      <c r="T223" s="3">
        <f t="shared" si="184"/>
        <v>2.6955623515662617E-35</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2.5140718095571668E-2</v>
      </c>
      <c r="C224" s="3">
        <f t="shared" si="185"/>
        <v>2.5140718095571665E-2</v>
      </c>
      <c r="D224" s="3">
        <f t="shared" si="185"/>
        <v>2.5140718095571651E-2</v>
      </c>
      <c r="E224" s="3">
        <f t="shared" si="185"/>
        <v>2.5140718095571495E-2</v>
      </c>
      <c r="F224" s="3">
        <f t="shared" si="185"/>
        <v>2.514071809556994E-2</v>
      </c>
      <c r="G224" s="3">
        <f t="shared" si="185"/>
        <v>2.5140718095554401E-2</v>
      </c>
      <c r="H224" s="3">
        <f t="shared" si="185"/>
        <v>2.5140718095399018E-2</v>
      </c>
      <c r="I224" s="3">
        <f t="shared" si="185"/>
        <v>2.5140718093845143E-2</v>
      </c>
      <c r="J224" s="3">
        <f t="shared" si="185"/>
        <v>2.5140718078306409E-2</v>
      </c>
      <c r="K224" s="3">
        <f t="shared" si="185"/>
        <v>2.5140717922919061E-2</v>
      </c>
      <c r="L224" s="3">
        <f t="shared" si="185"/>
        <v>2.5140716369045652E-2</v>
      </c>
      <c r="M224" s="3">
        <f t="shared" si="185"/>
        <v>2.5140700830316852E-2</v>
      </c>
      <c r="N224" s="3">
        <f t="shared" si="185"/>
        <v>2.5140545443557049E-2</v>
      </c>
      <c r="O224" s="3">
        <f t="shared" si="185"/>
        <v>2.5138991628779892E-2</v>
      </c>
      <c r="P224" s="3">
        <f t="shared" si="185"/>
        <v>2.5123458761884241E-2</v>
      </c>
      <c r="Q224" s="3">
        <f t="shared" si="185"/>
        <v>2.4968656974854293E-2</v>
      </c>
      <c r="R224" s="3">
        <f t="shared" si="185"/>
        <v>2.347214205278448E-2</v>
      </c>
      <c r="S224" s="3">
        <f t="shared" si="185"/>
        <v>1.2651095780053728E-2</v>
      </c>
      <c r="T224" s="3">
        <f t="shared" si="185"/>
        <v>2.6174737365617679E-5</v>
      </c>
      <c r="U224" s="3">
        <f t="shared" si="185"/>
        <v>3.7620470468970098E-32</v>
      </c>
      <c r="V224" s="3">
        <f t="shared" si="185"/>
        <v>1.4152824430837604E-300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7.3741618123119579E-2</v>
      </c>
      <c r="C225" s="3">
        <f t="shared" si="186"/>
        <v>7.3741618123119579E-2</v>
      </c>
      <c r="D225" s="3">
        <f t="shared" si="186"/>
        <v>7.3741618123119565E-2</v>
      </c>
      <c r="E225" s="3">
        <f t="shared" si="186"/>
        <v>7.3741618123119523E-2</v>
      </c>
      <c r="F225" s="3">
        <f t="shared" si="186"/>
        <v>7.3741618123119121E-2</v>
      </c>
      <c r="G225" s="3">
        <f t="shared" si="186"/>
        <v>7.3741618123115013E-2</v>
      </c>
      <c r="H225" s="3">
        <f t="shared" si="186"/>
        <v>7.3741618123073893E-2</v>
      </c>
      <c r="I225" s="3">
        <f t="shared" si="186"/>
        <v>7.374161812266275E-2</v>
      </c>
      <c r="J225" s="3">
        <f t="shared" si="186"/>
        <v>7.3741618118551275E-2</v>
      </c>
      <c r="K225" s="3">
        <f t="shared" si="186"/>
        <v>7.3741618077436566E-2</v>
      </c>
      <c r="L225" s="3">
        <f t="shared" si="186"/>
        <v>7.3741617666289477E-2</v>
      </c>
      <c r="M225" s="3">
        <f t="shared" si="186"/>
        <v>7.3741613554818661E-2</v>
      </c>
      <c r="N225" s="3">
        <f t="shared" si="186"/>
        <v>7.3741572440123096E-2</v>
      </c>
      <c r="O225" s="3">
        <f t="shared" si="186"/>
        <v>7.3741161294428245E-2</v>
      </c>
      <c r="P225" s="3">
        <f t="shared" si="186"/>
        <v>7.37370499635564E-2</v>
      </c>
      <c r="Q225" s="3">
        <f t="shared" si="186"/>
        <v>7.3695949259898544E-2</v>
      </c>
      <c r="R225" s="3">
        <f t="shared" si="186"/>
        <v>7.3286200132904766E-2</v>
      </c>
      <c r="S225" s="3">
        <f t="shared" si="186"/>
        <v>6.9311943077994598E-2</v>
      </c>
      <c r="T225" s="3">
        <f t="shared" si="186"/>
        <v>3.9688690601559308E-2</v>
      </c>
      <c r="U225" s="3">
        <f t="shared" si="186"/>
        <v>1.5040204513075569E-4</v>
      </c>
      <c r="V225" s="3">
        <f t="shared" si="186"/>
        <v>9.1859367091703253E-29</v>
      </c>
      <c r="W225" s="3">
        <f t="shared" si="186"/>
        <v>6.634688228688988E-271</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9.9846945696723061E-2</v>
      </c>
      <c r="C226" s="3">
        <f t="shared" si="187"/>
        <v>9.9846945696723061E-2</v>
      </c>
      <c r="D226" s="3">
        <f t="shared" si="187"/>
        <v>9.9846945696723061E-2</v>
      </c>
      <c r="E226" s="3">
        <f t="shared" si="187"/>
        <v>9.9846945696723047E-2</v>
      </c>
      <c r="F226" s="3">
        <f t="shared" si="187"/>
        <v>9.9846945696723005E-2</v>
      </c>
      <c r="G226" s="3">
        <f t="shared" si="187"/>
        <v>9.9846945696722506E-2</v>
      </c>
      <c r="H226" s="3">
        <f t="shared" si="187"/>
        <v>9.9846945696717482E-2</v>
      </c>
      <c r="I226" s="3">
        <f t="shared" si="187"/>
        <v>9.9846945696667258E-2</v>
      </c>
      <c r="J226" s="3">
        <f t="shared" si="187"/>
        <v>9.9846945696165076E-2</v>
      </c>
      <c r="K226" s="3">
        <f t="shared" si="187"/>
        <v>9.9846945691143191E-2</v>
      </c>
      <c r="L226" s="3">
        <f t="shared" si="187"/>
        <v>9.9846945640924445E-2</v>
      </c>
      <c r="M226" s="3">
        <f t="shared" si="187"/>
        <v>9.9846945138736889E-2</v>
      </c>
      <c r="N226" s="3">
        <f t="shared" si="187"/>
        <v>9.9846940116861585E-2</v>
      </c>
      <c r="O226" s="3">
        <f t="shared" si="187"/>
        <v>9.9846889898122335E-2</v>
      </c>
      <c r="P226" s="3">
        <f t="shared" si="187"/>
        <v>9.984638771211897E-2</v>
      </c>
      <c r="Q226" s="3">
        <f t="shared" si="187"/>
        <v>9.9841365991000949E-2</v>
      </c>
      <c r="R226" s="3">
        <f t="shared" si="187"/>
        <v>9.9791162668788944E-2</v>
      </c>
      <c r="S226" s="3">
        <f t="shared" si="187"/>
        <v>9.9290515762316442E-2</v>
      </c>
      <c r="T226" s="3">
        <f t="shared" si="187"/>
        <v>9.4420132749225741E-2</v>
      </c>
      <c r="U226" s="3">
        <f t="shared" si="187"/>
        <v>5.7099592287377716E-2</v>
      </c>
      <c r="V226" s="3">
        <f t="shared" si="187"/>
        <v>3.7352271069018004E-4</v>
      </c>
      <c r="W226" s="3">
        <f t="shared" si="187"/>
        <v>5.3599046866952932E-26</v>
      </c>
      <c r="X226" s="3">
        <f t="shared" si="187"/>
        <v>1.9840728254209757E-244</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8.4959897030223219E-2</v>
      </c>
      <c r="C227" s="3">
        <f t="shared" si="188"/>
        <v>8.4959897030223219E-2</v>
      </c>
      <c r="D227" s="3">
        <f t="shared" si="188"/>
        <v>8.4959897030223219E-2</v>
      </c>
      <c r="E227" s="3">
        <f t="shared" si="188"/>
        <v>8.4959897030223219E-2</v>
      </c>
      <c r="F227" s="3">
        <f t="shared" si="188"/>
        <v>8.4959897030223219E-2</v>
      </c>
      <c r="G227" s="3">
        <f t="shared" si="188"/>
        <v>8.4959897030223178E-2</v>
      </c>
      <c r="H227" s="3">
        <f t="shared" si="188"/>
        <v>8.4959897030222789E-2</v>
      </c>
      <c r="I227" s="3">
        <f t="shared" si="188"/>
        <v>8.4959897030218931E-2</v>
      </c>
      <c r="J227" s="3">
        <f t="shared" si="188"/>
        <v>8.4959897030180392E-2</v>
      </c>
      <c r="K227" s="3">
        <f t="shared" si="188"/>
        <v>8.4959897029794923E-2</v>
      </c>
      <c r="L227" s="3">
        <f t="shared" si="188"/>
        <v>8.4959897025940215E-2</v>
      </c>
      <c r="M227" s="3">
        <f t="shared" si="188"/>
        <v>8.4959896987393105E-2</v>
      </c>
      <c r="N227" s="3">
        <f t="shared" si="188"/>
        <v>8.4959896601922089E-2</v>
      </c>
      <c r="O227" s="3">
        <f t="shared" si="188"/>
        <v>8.4959892747212093E-2</v>
      </c>
      <c r="P227" s="3">
        <f t="shared" si="188"/>
        <v>8.4959854200121671E-2</v>
      </c>
      <c r="Q227" s="3">
        <f t="shared" si="188"/>
        <v>8.4959468730179455E-2</v>
      </c>
      <c r="R227" s="3">
        <f t="shared" si="188"/>
        <v>8.4955614126945897E-2</v>
      </c>
      <c r="S227" s="3">
        <f t="shared" si="188"/>
        <v>8.4917077711865796E-2</v>
      </c>
      <c r="T227" s="3">
        <f t="shared" si="188"/>
        <v>8.4532673674099723E-2</v>
      </c>
      <c r="U227" s="3">
        <f t="shared" si="188"/>
        <v>8.0783052208052694E-2</v>
      </c>
      <c r="V227" s="3">
        <f t="shared" si="188"/>
        <v>5.1318834376591578E-2</v>
      </c>
      <c r="W227" s="3">
        <f t="shared" si="188"/>
        <v>5.493410317256609E-4</v>
      </c>
      <c r="X227" s="3">
        <f t="shared" si="188"/>
        <v>1.085162036357523E-23</v>
      </c>
      <c r="Y227" s="3">
        <f t="shared" si="188"/>
        <v>9.8179343149135356E-221</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6.3888587804479924E-2</v>
      </c>
      <c r="C228" s="3">
        <f t="shared" si="189"/>
        <v>6.3888587804479924E-2</v>
      </c>
      <c r="D228" s="3">
        <f t="shared" si="189"/>
        <v>6.3888587804479924E-2</v>
      </c>
      <c r="E228" s="3">
        <f t="shared" si="189"/>
        <v>6.3888587804479924E-2</v>
      </c>
      <c r="F228" s="3">
        <f t="shared" si="189"/>
        <v>6.3888587804479924E-2</v>
      </c>
      <c r="G228" s="3">
        <f t="shared" si="189"/>
        <v>6.3888587804479924E-2</v>
      </c>
      <c r="H228" s="3">
        <f t="shared" si="189"/>
        <v>6.3888587804479896E-2</v>
      </c>
      <c r="I228" s="3">
        <f t="shared" si="189"/>
        <v>6.3888587804479632E-2</v>
      </c>
      <c r="J228" s="3">
        <f t="shared" si="189"/>
        <v>6.3888587804477009E-2</v>
      </c>
      <c r="K228" s="3">
        <f t="shared" si="189"/>
        <v>6.3888587804450864E-2</v>
      </c>
      <c r="L228" s="3">
        <f t="shared" si="189"/>
        <v>6.3888587804189378E-2</v>
      </c>
      <c r="M228" s="3">
        <f t="shared" si="189"/>
        <v>6.3888587801574526E-2</v>
      </c>
      <c r="N228" s="3">
        <f t="shared" si="189"/>
        <v>6.3888587775425984E-2</v>
      </c>
      <c r="O228" s="3">
        <f t="shared" si="189"/>
        <v>6.388858751394047E-2</v>
      </c>
      <c r="P228" s="3">
        <f t="shared" si="189"/>
        <v>6.3888584899085457E-2</v>
      </c>
      <c r="Q228" s="3">
        <f t="shared" si="189"/>
        <v>6.3888558750541155E-2</v>
      </c>
      <c r="R228" s="3">
        <f t="shared" si="189"/>
        <v>6.3888297265686858E-2</v>
      </c>
      <c r="S228" s="3">
        <f t="shared" si="189"/>
        <v>6.3885682476004776E-2</v>
      </c>
      <c r="T228" s="3">
        <f t="shared" si="189"/>
        <v>6.3859540464388742E-2</v>
      </c>
      <c r="U228" s="3">
        <f t="shared" si="189"/>
        <v>6.359870797845478E-2</v>
      </c>
      <c r="V228" s="3">
        <f t="shared" si="189"/>
        <v>6.1048265922479979E-2</v>
      </c>
      <c r="W228" s="3">
        <f t="shared" si="189"/>
        <v>4.0543732320964851E-2</v>
      </c>
      <c r="X228" s="3">
        <f t="shared" si="189"/>
        <v>6.7674906092552768E-4</v>
      </c>
      <c r="Y228" s="3">
        <f t="shared" si="189"/>
        <v>1.1362320119833672E-21</v>
      </c>
      <c r="Z228" s="3">
        <f t="shared" si="189"/>
        <v>2.0223699857416593E-199</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6.4356714781999613E-2</v>
      </c>
      <c r="C229" s="3">
        <f t="shared" si="190"/>
        <v>6.4356714781999613E-2</v>
      </c>
      <c r="D229" s="3">
        <f t="shared" si="190"/>
        <v>6.4356714781999613E-2</v>
      </c>
      <c r="E229" s="3">
        <f t="shared" si="190"/>
        <v>6.4356714781999613E-2</v>
      </c>
      <c r="F229" s="3">
        <f t="shared" si="190"/>
        <v>6.4356714781999613E-2</v>
      </c>
      <c r="G229" s="3">
        <f t="shared" si="190"/>
        <v>6.4356714781999613E-2</v>
      </c>
      <c r="H229" s="3">
        <f t="shared" si="190"/>
        <v>6.4356714781999613E-2</v>
      </c>
      <c r="I229" s="3">
        <f t="shared" si="190"/>
        <v>6.4356714781999586E-2</v>
      </c>
      <c r="J229" s="3">
        <f t="shared" si="190"/>
        <v>6.435671478199935E-2</v>
      </c>
      <c r="K229" s="3">
        <f t="shared" si="190"/>
        <v>6.4356714781996976E-2</v>
      </c>
      <c r="L229" s="3">
        <f t="shared" si="190"/>
        <v>6.4356714781973218E-2</v>
      </c>
      <c r="M229" s="3">
        <f t="shared" si="190"/>
        <v>6.4356714781735602E-2</v>
      </c>
      <c r="N229" s="3">
        <f t="shared" si="190"/>
        <v>6.4356714779359503E-2</v>
      </c>
      <c r="O229" s="3">
        <f t="shared" si="190"/>
        <v>6.4356714755598496E-2</v>
      </c>
      <c r="P229" s="3">
        <f t="shared" si="190"/>
        <v>6.4356714517988453E-2</v>
      </c>
      <c r="Q229" s="3">
        <f t="shared" si="190"/>
        <v>6.4356712141888067E-2</v>
      </c>
      <c r="R229" s="3">
        <f t="shared" si="190"/>
        <v>6.4356688380889079E-2</v>
      </c>
      <c r="S229" s="3">
        <f t="shared" si="190"/>
        <v>6.4356450771381621E-2</v>
      </c>
      <c r="T229" s="3">
        <f t="shared" si="190"/>
        <v>6.4354074724556523E-2</v>
      </c>
      <c r="U229" s="3">
        <f t="shared" si="190"/>
        <v>6.4330319080585355E-2</v>
      </c>
      <c r="V229" s="3">
        <f t="shared" si="190"/>
        <v>6.409324441047938E-2</v>
      </c>
      <c r="W229" s="3">
        <f t="shared" si="190"/>
        <v>6.1770022988443404E-2</v>
      </c>
      <c r="X229" s="3">
        <f t="shared" si="190"/>
        <v>4.2700487240871526E-2</v>
      </c>
      <c r="Y229" s="3">
        <f t="shared" si="190"/>
        <v>1.0641026075031306E-3</v>
      </c>
      <c r="Z229" s="3">
        <f t="shared" si="190"/>
        <v>9.8285686393359517E-20</v>
      </c>
      <c r="AA229" s="3">
        <f t="shared" si="190"/>
        <v>4.4417892707729402E-180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2.3762961942572935E-2</v>
      </c>
      <c r="C230" s="3">
        <f t="shared" si="191"/>
        <v>2.3762961942572935E-2</v>
      </c>
      <c r="D230" s="3">
        <f t="shared" si="191"/>
        <v>2.3762961942572935E-2</v>
      </c>
      <c r="E230" s="3">
        <f t="shared" si="191"/>
        <v>2.3762961942572935E-2</v>
      </c>
      <c r="F230" s="3">
        <f t="shared" si="191"/>
        <v>2.3762961942572935E-2</v>
      </c>
      <c r="G230" s="3">
        <f t="shared" si="191"/>
        <v>2.3762961942572935E-2</v>
      </c>
      <c r="H230" s="3">
        <f t="shared" si="191"/>
        <v>2.3762961942572935E-2</v>
      </c>
      <c r="I230" s="3">
        <f t="shared" si="191"/>
        <v>2.3762961942572935E-2</v>
      </c>
      <c r="J230" s="3">
        <f t="shared" si="191"/>
        <v>2.3762961942572929E-2</v>
      </c>
      <c r="K230" s="3">
        <f t="shared" si="191"/>
        <v>2.3762961942572849E-2</v>
      </c>
      <c r="L230" s="3">
        <f t="shared" si="191"/>
        <v>2.3762961942572058E-2</v>
      </c>
      <c r="M230" s="3">
        <f t="shared" si="191"/>
        <v>2.3762961942564144E-2</v>
      </c>
      <c r="N230" s="3">
        <f t="shared" si="191"/>
        <v>2.3762961942484999E-2</v>
      </c>
      <c r="O230" s="3">
        <f t="shared" si="191"/>
        <v>2.3762961941693556E-2</v>
      </c>
      <c r="P230" s="3">
        <f t="shared" si="191"/>
        <v>2.3762961933779157E-2</v>
      </c>
      <c r="Q230" s="3">
        <f t="shared" si="191"/>
        <v>2.376296185463514E-2</v>
      </c>
      <c r="R230" s="3">
        <f t="shared" si="191"/>
        <v>2.3762961063194983E-2</v>
      </c>
      <c r="S230" s="3">
        <f t="shared" si="191"/>
        <v>2.3762953148794865E-2</v>
      </c>
      <c r="T230" s="3">
        <f t="shared" si="191"/>
        <v>2.3762874004938695E-2</v>
      </c>
      <c r="U230" s="3">
        <f t="shared" si="191"/>
        <v>2.3762082580874439E-2</v>
      </c>
      <c r="V230" s="3">
        <f t="shared" si="191"/>
        <v>2.3754169789800706E-2</v>
      </c>
      <c r="W230" s="3">
        <f t="shared" si="191"/>
        <v>2.3675186657471651E-2</v>
      </c>
      <c r="X230" s="3">
        <f t="shared" si="191"/>
        <v>2.2899656341704554E-2</v>
      </c>
      <c r="Y230" s="3">
        <f t="shared" si="191"/>
        <v>1.6412868747944294E-2</v>
      </c>
      <c r="Z230" s="3">
        <f t="shared" si="191"/>
        <v>5.8713749121307255E-4</v>
      </c>
      <c r="AA230" s="3">
        <f t="shared" si="191"/>
        <v>2.0150831700807885E-18</v>
      </c>
      <c r="AB230" s="3">
        <f t="shared" si="191"/>
        <v>4.5690362739031204E-163</v>
      </c>
      <c r="AC230" s="3">
        <f t="shared" si="191"/>
        <v>0</v>
      </c>
      <c r="AD230" s="3">
        <f t="shared" si="191"/>
        <v>0</v>
      </c>
      <c r="AE230" s="3">
        <f t="shared" si="191"/>
        <v>0</v>
      </c>
      <c r="AF230" s="3">
        <f t="shared" si="191"/>
        <v>0</v>
      </c>
      <c r="AG230" s="3"/>
      <c r="AH230" s="3"/>
    </row>
    <row r="231" spans="2:34" x14ac:dyDescent="0.25">
      <c r="B231" s="3">
        <f t="shared" ref="B231:AF231" si="192">$C39*EXP(-B$207/$A39/EXP(-$D$126))</f>
        <v>4.2794407584768095E-2</v>
      </c>
      <c r="C231" s="3">
        <f t="shared" si="192"/>
        <v>4.2794407584768095E-2</v>
      </c>
      <c r="D231" s="3">
        <f t="shared" si="192"/>
        <v>4.2794407584768095E-2</v>
      </c>
      <c r="E231" s="3">
        <f t="shared" si="192"/>
        <v>4.2794407584768095E-2</v>
      </c>
      <c r="F231" s="3">
        <f t="shared" si="192"/>
        <v>4.2794407584768095E-2</v>
      </c>
      <c r="G231" s="3">
        <f t="shared" si="192"/>
        <v>4.2794407584768095E-2</v>
      </c>
      <c r="H231" s="3">
        <f t="shared" si="192"/>
        <v>4.2794407584768095E-2</v>
      </c>
      <c r="I231" s="3">
        <f t="shared" si="192"/>
        <v>4.2794407584768095E-2</v>
      </c>
      <c r="J231" s="3">
        <f t="shared" si="192"/>
        <v>4.2794407584768088E-2</v>
      </c>
      <c r="K231" s="3">
        <f t="shared" si="192"/>
        <v>4.2794407584768053E-2</v>
      </c>
      <c r="L231" s="3">
        <f t="shared" si="192"/>
        <v>4.2794407584767657E-2</v>
      </c>
      <c r="M231" s="3">
        <f t="shared" si="192"/>
        <v>4.2794407584763716E-2</v>
      </c>
      <c r="N231" s="3">
        <f t="shared" si="192"/>
        <v>4.2794407584724296E-2</v>
      </c>
      <c r="O231" s="3">
        <f t="shared" si="192"/>
        <v>4.2794407584330091E-2</v>
      </c>
      <c r="P231" s="3">
        <f t="shared" si="192"/>
        <v>4.2794407580388084E-2</v>
      </c>
      <c r="Q231" s="3">
        <f t="shared" si="192"/>
        <v>4.2794407540968013E-2</v>
      </c>
      <c r="R231" s="3">
        <f t="shared" si="192"/>
        <v>4.2794407146767313E-2</v>
      </c>
      <c r="S231" s="3">
        <f t="shared" si="192"/>
        <v>4.279440320476046E-2</v>
      </c>
      <c r="T231" s="3">
        <f t="shared" si="192"/>
        <v>4.2794363784711964E-2</v>
      </c>
      <c r="U231" s="3">
        <f t="shared" si="192"/>
        <v>4.2793969586224091E-2</v>
      </c>
      <c r="V231" s="3">
        <f t="shared" si="192"/>
        <v>4.2790027801052698E-2</v>
      </c>
      <c r="W231" s="3">
        <f t="shared" si="192"/>
        <v>4.2750629913267647E-2</v>
      </c>
      <c r="X231" s="3">
        <f t="shared" si="192"/>
        <v>4.2358640640824126E-2</v>
      </c>
      <c r="Y231" s="3">
        <f t="shared" si="192"/>
        <v>3.8631091231594826E-2</v>
      </c>
      <c r="Z231" s="3">
        <f t="shared" si="192"/>
        <v>1.5377530329725358E-2</v>
      </c>
      <c r="AA231" s="3">
        <f t="shared" si="192"/>
        <v>1.5359700750116418E-6</v>
      </c>
      <c r="AB231" s="3">
        <f t="shared" si="192"/>
        <v>1.5182538002639438E-46</v>
      </c>
      <c r="AC231" s="3">
        <f t="shared" si="192"/>
        <v>0</v>
      </c>
      <c r="AD231" s="3">
        <f t="shared" si="192"/>
        <v>0</v>
      </c>
      <c r="AE231" s="3">
        <f t="shared" si="192"/>
        <v>0</v>
      </c>
      <c r="AF231" s="3">
        <f t="shared" si="192"/>
        <v>0</v>
      </c>
      <c r="AG231" s="3"/>
      <c r="AH231" s="3"/>
    </row>
    <row r="232" spans="2:34" x14ac:dyDescent="0.25">
      <c r="B232" s="3">
        <f t="shared" ref="B232:AF232" si="193">$C40*EXP(-B$207/$A40/EXP(-$D$126))</f>
        <v>2.2817294808056693E-2</v>
      </c>
      <c r="C232" s="3">
        <f t="shared" si="193"/>
        <v>2.2817294808056693E-2</v>
      </c>
      <c r="D232" s="3">
        <f t="shared" si="193"/>
        <v>2.2817294808056693E-2</v>
      </c>
      <c r="E232" s="3">
        <f t="shared" si="193"/>
        <v>2.2817294808056693E-2</v>
      </c>
      <c r="F232" s="3">
        <f t="shared" si="193"/>
        <v>2.2817294808056693E-2</v>
      </c>
      <c r="G232" s="3">
        <f t="shared" si="193"/>
        <v>2.2817294808056693E-2</v>
      </c>
      <c r="H232" s="3">
        <f t="shared" si="193"/>
        <v>2.2817294808056693E-2</v>
      </c>
      <c r="I232" s="3">
        <f t="shared" si="193"/>
        <v>2.2817294808056693E-2</v>
      </c>
      <c r="J232" s="3">
        <f t="shared" si="193"/>
        <v>2.2817294808056693E-2</v>
      </c>
      <c r="K232" s="3">
        <f t="shared" si="193"/>
        <v>2.2817294808056689E-2</v>
      </c>
      <c r="L232" s="3">
        <f t="shared" si="193"/>
        <v>2.2817294808056669E-2</v>
      </c>
      <c r="M232" s="3">
        <f t="shared" si="193"/>
        <v>2.281729480805646E-2</v>
      </c>
      <c r="N232" s="3">
        <f t="shared" si="193"/>
        <v>2.2817294808054358E-2</v>
      </c>
      <c r="O232" s="3">
        <f t="shared" si="193"/>
        <v>2.281729480803334E-2</v>
      </c>
      <c r="P232" s="3">
        <f t="shared" si="193"/>
        <v>2.2817294807823157E-2</v>
      </c>
      <c r="Q232" s="3">
        <f t="shared" si="193"/>
        <v>2.2817294805721342E-2</v>
      </c>
      <c r="R232" s="3">
        <f t="shared" si="193"/>
        <v>2.281729478470319E-2</v>
      </c>
      <c r="S232" s="3">
        <f t="shared" si="193"/>
        <v>2.2817294574521668E-2</v>
      </c>
      <c r="T232" s="3">
        <f t="shared" si="193"/>
        <v>2.2817292472706561E-2</v>
      </c>
      <c r="U232" s="3">
        <f t="shared" si="193"/>
        <v>2.2817271454566138E-2</v>
      </c>
      <c r="V232" s="3">
        <f t="shared" si="193"/>
        <v>2.2817061274226735E-2</v>
      </c>
      <c r="W232" s="3">
        <f t="shared" si="193"/>
        <v>2.2814959577313474E-2</v>
      </c>
      <c r="X232" s="3">
        <f t="shared" si="193"/>
        <v>2.2793953252628979E-2</v>
      </c>
      <c r="Y232" s="3">
        <f t="shared" si="193"/>
        <v>2.2584950831618184E-2</v>
      </c>
      <c r="Z232" s="3">
        <f t="shared" si="193"/>
        <v>2.0597481005952094E-2</v>
      </c>
      <c r="AA232" s="3">
        <f t="shared" si="193"/>
        <v>8.1990536323737762E-3</v>
      </c>
      <c r="AB232" s="3">
        <f t="shared" si="193"/>
        <v>8.1895471852186184E-7</v>
      </c>
      <c r="AC232" s="3">
        <f t="shared" si="193"/>
        <v>8.0950868370953197E-47</v>
      </c>
      <c r="AD232" s="3">
        <f t="shared" si="193"/>
        <v>0</v>
      </c>
      <c r="AE232" s="3">
        <f t="shared" si="193"/>
        <v>0</v>
      </c>
      <c r="AF232" s="3">
        <f t="shared" si="193"/>
        <v>0</v>
      </c>
      <c r="AG232" s="3"/>
      <c r="AH232" s="3"/>
    </row>
    <row r="233" spans="2:34" x14ac:dyDescent="0.25">
      <c r="B233" s="3">
        <f t="shared" ref="B233:AF233" si="194">$C41*EXP(-B$207/$A41/EXP(-$D$126))</f>
        <v>1.5874068547548043E-2</v>
      </c>
      <c r="C233" s="3">
        <f t="shared" si="194"/>
        <v>1.5874068547548043E-2</v>
      </c>
      <c r="D233" s="3">
        <f t="shared" si="194"/>
        <v>1.5874068547548043E-2</v>
      </c>
      <c r="E233" s="3">
        <f t="shared" si="194"/>
        <v>1.5874068547548043E-2</v>
      </c>
      <c r="F233" s="3">
        <f t="shared" si="194"/>
        <v>1.5874068547548043E-2</v>
      </c>
      <c r="G233" s="3">
        <f t="shared" si="194"/>
        <v>1.5874068547548043E-2</v>
      </c>
      <c r="H233" s="3">
        <f t="shared" si="194"/>
        <v>1.5874068547548043E-2</v>
      </c>
      <c r="I233" s="3">
        <f t="shared" si="194"/>
        <v>1.5874068547548043E-2</v>
      </c>
      <c r="J233" s="3">
        <f t="shared" si="194"/>
        <v>1.5874068547548043E-2</v>
      </c>
      <c r="K233" s="3">
        <f t="shared" si="194"/>
        <v>1.5874068547548043E-2</v>
      </c>
      <c r="L233" s="3">
        <f t="shared" si="194"/>
        <v>1.587406854754804E-2</v>
      </c>
      <c r="M233" s="3">
        <f t="shared" si="194"/>
        <v>1.5874068547548026E-2</v>
      </c>
      <c r="N233" s="3">
        <f t="shared" si="194"/>
        <v>1.587406854754788E-2</v>
      </c>
      <c r="O233" s="3">
        <f t="shared" si="194"/>
        <v>1.587406854754642E-2</v>
      </c>
      <c r="P233" s="3">
        <f t="shared" si="194"/>
        <v>1.5874068547531796E-2</v>
      </c>
      <c r="Q233" s="3">
        <f t="shared" si="194"/>
        <v>1.5874068547385572E-2</v>
      </c>
      <c r="R233" s="3">
        <f t="shared" si="194"/>
        <v>1.5874068545923332E-2</v>
      </c>
      <c r="S233" s="3">
        <f t="shared" si="194"/>
        <v>1.5874068531300932E-2</v>
      </c>
      <c r="T233" s="3">
        <f t="shared" si="194"/>
        <v>1.5874068385076944E-2</v>
      </c>
      <c r="U233" s="3">
        <f t="shared" si="194"/>
        <v>1.5874066922837122E-2</v>
      </c>
      <c r="V233" s="3">
        <f t="shared" si="194"/>
        <v>1.5874052300446317E-2</v>
      </c>
      <c r="W233" s="3">
        <f t="shared" si="194"/>
        <v>1.5873906077279062E-2</v>
      </c>
      <c r="X233" s="3">
        <f t="shared" si="194"/>
        <v>1.5872443919685536E-2</v>
      </c>
      <c r="Y233" s="3">
        <f t="shared" si="194"/>
        <v>1.5857829749128562E-2</v>
      </c>
      <c r="Z233" s="3">
        <f t="shared" si="194"/>
        <v>1.5712426063650586E-2</v>
      </c>
      <c r="AA233" s="3">
        <f t="shared" si="194"/>
        <v>1.432973663818605E-2</v>
      </c>
      <c r="AB233" s="3">
        <f t="shared" si="194"/>
        <v>5.7041091189902072E-3</v>
      </c>
      <c r="AC233" s="3">
        <f t="shared" si="194"/>
        <v>5.6974954518112505E-7</v>
      </c>
      <c r="AD233" s="3">
        <f t="shared" si="194"/>
        <v>5.6317790707175101E-47</v>
      </c>
      <c r="AE233" s="3">
        <f t="shared" si="194"/>
        <v>0</v>
      </c>
      <c r="AF233" s="3">
        <f t="shared" si="194"/>
        <v>0</v>
      </c>
      <c r="AG233" s="3"/>
      <c r="AH233" s="3"/>
    </row>
    <row r="234" spans="2:34" x14ac:dyDescent="0.25">
      <c r="B234" s="3">
        <f t="shared" ref="B234:AF234" si="195">$C42*EXP(-B$207/$A42/EXP(-$D$126))</f>
        <v>5.5424436077778048E-3</v>
      </c>
      <c r="C234" s="3">
        <f t="shared" si="195"/>
        <v>5.5424436077778048E-3</v>
      </c>
      <c r="D234" s="3">
        <f t="shared" si="195"/>
        <v>5.5424436077778048E-3</v>
      </c>
      <c r="E234" s="3">
        <f t="shared" si="195"/>
        <v>5.5424436077778048E-3</v>
      </c>
      <c r="F234" s="3">
        <f t="shared" si="195"/>
        <v>5.5424436077778048E-3</v>
      </c>
      <c r="G234" s="3">
        <f t="shared" si="195"/>
        <v>5.5424436077778048E-3</v>
      </c>
      <c r="H234" s="3">
        <f t="shared" si="195"/>
        <v>5.5424436077778048E-3</v>
      </c>
      <c r="I234" s="3">
        <f t="shared" si="195"/>
        <v>5.5424436077778048E-3</v>
      </c>
      <c r="J234" s="3">
        <f t="shared" si="195"/>
        <v>5.5424436077778048E-3</v>
      </c>
      <c r="K234" s="3">
        <f t="shared" si="195"/>
        <v>5.5424436077778048E-3</v>
      </c>
      <c r="L234" s="3">
        <f t="shared" si="195"/>
        <v>5.5424436077778048E-3</v>
      </c>
      <c r="M234" s="3">
        <f t="shared" si="195"/>
        <v>5.542443607777804E-3</v>
      </c>
      <c r="N234" s="3">
        <f t="shared" si="195"/>
        <v>5.5424436077777996E-3</v>
      </c>
      <c r="O234" s="3">
        <f t="shared" si="195"/>
        <v>5.5424436077777485E-3</v>
      </c>
      <c r="P234" s="3">
        <f t="shared" si="195"/>
        <v>5.5424436077772376E-3</v>
      </c>
      <c r="Q234" s="3">
        <f t="shared" si="195"/>
        <v>5.5424436077721323E-3</v>
      </c>
      <c r="R234" s="3">
        <f t="shared" si="195"/>
        <v>5.5424436077210777E-3</v>
      </c>
      <c r="S234" s="3">
        <f t="shared" si="195"/>
        <v>5.5424436072105355E-3</v>
      </c>
      <c r="T234" s="3">
        <f t="shared" si="195"/>
        <v>5.5424436021051134E-3</v>
      </c>
      <c r="U234" s="3">
        <f t="shared" si="195"/>
        <v>5.5424435510508917E-3</v>
      </c>
      <c r="V234" s="3">
        <f t="shared" si="195"/>
        <v>5.5424430405086999E-3</v>
      </c>
      <c r="W234" s="3">
        <f t="shared" si="195"/>
        <v>5.5424379350893669E-3</v>
      </c>
      <c r="X234" s="3">
        <f t="shared" si="195"/>
        <v>5.5423868811546916E-3</v>
      </c>
      <c r="Y234" s="3">
        <f t="shared" si="195"/>
        <v>5.5418763676726868E-3</v>
      </c>
      <c r="Z234" s="3">
        <f t="shared" si="195"/>
        <v>5.5367738184463264E-3</v>
      </c>
      <c r="AA234" s="3">
        <f t="shared" si="195"/>
        <v>5.4860060064823787E-3</v>
      </c>
      <c r="AB234" s="3">
        <f t="shared" si="195"/>
        <v>5.0032388983050858E-3</v>
      </c>
      <c r="AC234" s="3">
        <f t="shared" si="195"/>
        <v>1.9915942173185123E-3</v>
      </c>
      <c r="AD234" s="3">
        <f t="shared" si="195"/>
        <v>1.9892850501840642E-7</v>
      </c>
      <c r="AE234" s="3">
        <f t="shared" si="195"/>
        <v>1.9663401236689549E-47</v>
      </c>
      <c r="AF234" s="3">
        <f t="shared" si="195"/>
        <v>0</v>
      </c>
      <c r="AG234" s="3"/>
      <c r="AH234" s="3"/>
    </row>
    <row r="235" spans="2:34" x14ac:dyDescent="0.25">
      <c r="B235" s="3">
        <f t="shared" ref="B235:AF235" si="196">$C43*EXP(-B$207/$A43/EXP(-$D$126))</f>
        <v>3.8861309197679899E-3</v>
      </c>
      <c r="C235" s="3">
        <f t="shared" si="196"/>
        <v>3.8861309197679899E-3</v>
      </c>
      <c r="D235" s="3">
        <f t="shared" si="196"/>
        <v>3.8861309197679899E-3</v>
      </c>
      <c r="E235" s="3">
        <f t="shared" si="196"/>
        <v>3.8861309197679899E-3</v>
      </c>
      <c r="F235" s="3">
        <f t="shared" si="196"/>
        <v>3.8861309197679899E-3</v>
      </c>
      <c r="G235" s="3">
        <f t="shared" si="196"/>
        <v>3.8861309197679899E-3</v>
      </c>
      <c r="H235" s="3">
        <f t="shared" si="196"/>
        <v>3.8861309197679899E-3</v>
      </c>
      <c r="I235" s="3">
        <f t="shared" si="196"/>
        <v>3.8861309197679899E-3</v>
      </c>
      <c r="J235" s="3">
        <f t="shared" si="196"/>
        <v>3.8861309197679899E-3</v>
      </c>
      <c r="K235" s="3">
        <f t="shared" si="196"/>
        <v>3.8861309197679899E-3</v>
      </c>
      <c r="L235" s="3">
        <f t="shared" si="196"/>
        <v>3.8861309197679899E-3</v>
      </c>
      <c r="M235" s="3">
        <f t="shared" si="196"/>
        <v>3.8861309197679899E-3</v>
      </c>
      <c r="N235" s="3">
        <f t="shared" si="196"/>
        <v>3.8861309197679894E-3</v>
      </c>
      <c r="O235" s="3">
        <f t="shared" si="196"/>
        <v>3.886130919767986E-3</v>
      </c>
      <c r="P235" s="3">
        <f t="shared" si="196"/>
        <v>3.88613091976795E-3</v>
      </c>
      <c r="Q235" s="3">
        <f t="shared" si="196"/>
        <v>3.8861309197675922E-3</v>
      </c>
      <c r="R235" s="3">
        <f t="shared" si="196"/>
        <v>3.8861309197640121E-3</v>
      </c>
      <c r="S235" s="3">
        <f t="shared" si="196"/>
        <v>3.8861309197282153E-3</v>
      </c>
      <c r="T235" s="3">
        <f t="shared" si="196"/>
        <v>3.8861309193702442E-3</v>
      </c>
      <c r="U235" s="3">
        <f t="shared" si="196"/>
        <v>3.8861309157905348E-3</v>
      </c>
      <c r="V235" s="3">
        <f t="shared" si="196"/>
        <v>3.8861308799934377E-3</v>
      </c>
      <c r="W235" s="3">
        <f t="shared" si="196"/>
        <v>3.8861305220224888E-3</v>
      </c>
      <c r="X235" s="3">
        <f t="shared" si="196"/>
        <v>3.8861269423148127E-3</v>
      </c>
      <c r="Y235" s="3">
        <f t="shared" si="196"/>
        <v>3.8860911454194074E-3</v>
      </c>
      <c r="Z235" s="3">
        <f t="shared" si="196"/>
        <v>3.8857331946006396E-3</v>
      </c>
      <c r="AA235" s="3">
        <f t="shared" si="196"/>
        <v>3.88215549932371E-3</v>
      </c>
      <c r="AB235" s="3">
        <f t="shared" si="196"/>
        <v>3.8465592212623139E-3</v>
      </c>
      <c r="AC235" s="3">
        <f t="shared" si="196"/>
        <v>3.5080630057118304E-3</v>
      </c>
      <c r="AD235" s="3">
        <f t="shared" si="196"/>
        <v>1.3964230247992951E-3</v>
      </c>
      <c r="AE235" s="3">
        <f t="shared" si="196"/>
        <v>1.3948039328544536E-7</v>
      </c>
      <c r="AF235" s="3">
        <f t="shared" si="196"/>
        <v>1.3787159047765421E-47</v>
      </c>
      <c r="AG235" s="3"/>
      <c r="AH235" s="3"/>
    </row>
    <row r="236" spans="2:34" x14ac:dyDescent="0.25">
      <c r="B236" s="3">
        <f t="shared" ref="B236:AF236" si="197">$C44*EXP(-B$207/$A44/EXP(-$D$126))</f>
        <v>2.064572113999586E-3</v>
      </c>
      <c r="C236" s="3">
        <f t="shared" si="197"/>
        <v>2.064572113999586E-3</v>
      </c>
      <c r="D236" s="3">
        <f t="shared" si="197"/>
        <v>2.064572113999586E-3</v>
      </c>
      <c r="E236" s="3">
        <f t="shared" si="197"/>
        <v>2.064572113999586E-3</v>
      </c>
      <c r="F236" s="3">
        <f t="shared" si="197"/>
        <v>2.064572113999586E-3</v>
      </c>
      <c r="G236" s="3">
        <f t="shared" si="197"/>
        <v>2.064572113999586E-3</v>
      </c>
      <c r="H236" s="3">
        <f t="shared" si="197"/>
        <v>2.064572113999586E-3</v>
      </c>
      <c r="I236" s="3">
        <f t="shared" si="197"/>
        <v>2.064572113999586E-3</v>
      </c>
      <c r="J236" s="3">
        <f t="shared" si="197"/>
        <v>2.064572113999586E-3</v>
      </c>
      <c r="K236" s="3">
        <f t="shared" si="197"/>
        <v>2.064572113999586E-3</v>
      </c>
      <c r="L236" s="3">
        <f t="shared" si="197"/>
        <v>2.064572113999586E-3</v>
      </c>
      <c r="M236" s="3">
        <f t="shared" si="197"/>
        <v>2.064572113999586E-3</v>
      </c>
      <c r="N236" s="3">
        <f t="shared" si="197"/>
        <v>2.064572113999586E-3</v>
      </c>
      <c r="O236" s="3">
        <f t="shared" si="197"/>
        <v>2.0645721139995856E-3</v>
      </c>
      <c r="P236" s="3">
        <f t="shared" si="197"/>
        <v>2.0645721139995838E-3</v>
      </c>
      <c r="Q236" s="3">
        <f t="shared" si="197"/>
        <v>2.0645721139995648E-3</v>
      </c>
      <c r="R236" s="3">
        <f t="shared" si="197"/>
        <v>2.0645721139993748E-3</v>
      </c>
      <c r="S236" s="3">
        <f t="shared" si="197"/>
        <v>2.0645721139974727E-3</v>
      </c>
      <c r="T236" s="3">
        <f t="shared" si="197"/>
        <v>2.0645721139784549E-3</v>
      </c>
      <c r="U236" s="3">
        <f t="shared" si="197"/>
        <v>2.0645721137882772E-3</v>
      </c>
      <c r="V236" s="3">
        <f t="shared" si="197"/>
        <v>2.0645721118864964E-3</v>
      </c>
      <c r="W236" s="3">
        <f t="shared" si="197"/>
        <v>2.0645720928686895E-3</v>
      </c>
      <c r="X236" s="3">
        <f t="shared" si="197"/>
        <v>2.0645719026906296E-3</v>
      </c>
      <c r="Y236" s="3">
        <f t="shared" si="197"/>
        <v>2.0645700009109939E-3</v>
      </c>
      <c r="Z236" s="3">
        <f t="shared" si="197"/>
        <v>2.0645509832109862E-3</v>
      </c>
      <c r="AA236" s="3">
        <f t="shared" si="197"/>
        <v>2.0643608158455867E-3</v>
      </c>
      <c r="AB236" s="3">
        <f t="shared" si="197"/>
        <v>2.0624601053307753E-3</v>
      </c>
      <c r="AC236" s="3">
        <f t="shared" si="197"/>
        <v>2.0435489866461477E-3</v>
      </c>
      <c r="AD236" s="3">
        <f t="shared" si="197"/>
        <v>1.8637172049207793E-3</v>
      </c>
      <c r="AE236" s="3">
        <f t="shared" si="197"/>
        <v>7.4187311129489668E-4</v>
      </c>
      <c r="AF236" s="3">
        <f t="shared" si="197"/>
        <v>7.4101294159183356E-8</v>
      </c>
      <c r="AG236" s="3"/>
      <c r="AH236" s="3"/>
    </row>
    <row r="237" spans="2:34" x14ac:dyDescent="0.25">
      <c r="B237" s="3">
        <f t="shared" ref="B237:AF237" si="198">$C45*EXP(-B$207/$A45/EXP(-$D$126))</f>
        <v>5.3484126683110472E-4</v>
      </c>
      <c r="C237" s="3">
        <f t="shared" si="198"/>
        <v>5.3484126683110472E-4</v>
      </c>
      <c r="D237" s="3">
        <f t="shared" si="198"/>
        <v>5.3484126683110472E-4</v>
      </c>
      <c r="E237" s="3">
        <f t="shared" si="198"/>
        <v>5.3484126683110472E-4</v>
      </c>
      <c r="F237" s="3">
        <f t="shared" si="198"/>
        <v>5.3484126683110472E-4</v>
      </c>
      <c r="G237" s="3">
        <f t="shared" si="198"/>
        <v>5.3484126683110472E-4</v>
      </c>
      <c r="H237" s="3">
        <f t="shared" si="198"/>
        <v>5.3484126683110472E-4</v>
      </c>
      <c r="I237" s="3">
        <f t="shared" si="198"/>
        <v>5.3484126683110472E-4</v>
      </c>
      <c r="J237" s="3">
        <f t="shared" si="198"/>
        <v>5.3484126683110472E-4</v>
      </c>
      <c r="K237" s="3">
        <f t="shared" si="198"/>
        <v>5.3484126683110472E-4</v>
      </c>
      <c r="L237" s="3">
        <f t="shared" si="198"/>
        <v>5.3484126683110472E-4</v>
      </c>
      <c r="M237" s="3">
        <f t="shared" si="198"/>
        <v>5.3484126683110472E-4</v>
      </c>
      <c r="N237" s="3">
        <f t="shared" si="198"/>
        <v>5.3484126683110472E-4</v>
      </c>
      <c r="O237" s="3">
        <f t="shared" si="198"/>
        <v>5.3484126683110472E-4</v>
      </c>
      <c r="P237" s="3">
        <f t="shared" si="198"/>
        <v>5.3484126683110461E-4</v>
      </c>
      <c r="Q237" s="3">
        <f t="shared" si="198"/>
        <v>5.3484126683110418E-4</v>
      </c>
      <c r="R237" s="3">
        <f t="shared" si="198"/>
        <v>5.348412668310993E-4</v>
      </c>
      <c r="S237" s="3">
        <f t="shared" si="198"/>
        <v>5.3484126683104997E-4</v>
      </c>
      <c r="T237" s="3">
        <f t="shared" si="198"/>
        <v>5.3484126683055731E-4</v>
      </c>
      <c r="U237" s="3">
        <f t="shared" si="198"/>
        <v>5.3484126682563058E-4</v>
      </c>
      <c r="V237" s="3">
        <f t="shared" si="198"/>
        <v>5.3484126677636368E-4</v>
      </c>
      <c r="W237" s="3">
        <f t="shared" si="198"/>
        <v>5.3484126628369462E-4</v>
      </c>
      <c r="X237" s="3">
        <f t="shared" si="198"/>
        <v>5.3484126135700406E-4</v>
      </c>
      <c r="Y237" s="3">
        <f t="shared" si="198"/>
        <v>5.3484121209010089E-4</v>
      </c>
      <c r="Z237" s="3">
        <f t="shared" si="198"/>
        <v>5.3484071942131849E-4</v>
      </c>
      <c r="AA237" s="3">
        <f t="shared" si="198"/>
        <v>5.3483579275845447E-4</v>
      </c>
      <c r="AB237" s="3">
        <f t="shared" si="198"/>
        <v>5.3478652862574104E-4</v>
      </c>
      <c r="AC237" s="3">
        <f t="shared" si="198"/>
        <v>5.3429413680628E-4</v>
      </c>
      <c r="AD237" s="3">
        <f t="shared" si="198"/>
        <v>5.2939508454944914E-4</v>
      </c>
      <c r="AE237" s="3">
        <f t="shared" si="198"/>
        <v>4.8280845417587344E-4</v>
      </c>
      <c r="AF237" s="3">
        <f t="shared" si="198"/>
        <v>1.9218721011601112E-4</v>
      </c>
      <c r="AG237" s="3"/>
      <c r="AH237" s="3"/>
    </row>
    <row r="238" spans="2:34" x14ac:dyDescent="0.25">
      <c r="B238" s="3">
        <f t="shared" ref="B238:AF238" si="199">$C46*EXP(-B$207/$A46/EXP(-$D$126))</f>
        <v>1.465148476990797E-3</v>
      </c>
      <c r="C238" s="3">
        <f t="shared" si="199"/>
        <v>1.465148476990797E-3</v>
      </c>
      <c r="D238" s="3">
        <f t="shared" si="199"/>
        <v>1.465148476990797E-3</v>
      </c>
      <c r="E238" s="3">
        <f t="shared" si="199"/>
        <v>1.465148476990797E-3</v>
      </c>
      <c r="F238" s="3">
        <f t="shared" si="199"/>
        <v>1.465148476990797E-3</v>
      </c>
      <c r="G238" s="3">
        <f t="shared" si="199"/>
        <v>1.465148476990797E-3</v>
      </c>
      <c r="H238" s="3">
        <f t="shared" si="199"/>
        <v>1.465148476990797E-3</v>
      </c>
      <c r="I238" s="3">
        <f t="shared" si="199"/>
        <v>1.465148476990797E-3</v>
      </c>
      <c r="J238" s="3">
        <f t="shared" si="199"/>
        <v>1.465148476990797E-3</v>
      </c>
      <c r="K238" s="3">
        <f t="shared" si="199"/>
        <v>1.465148476990797E-3</v>
      </c>
      <c r="L238" s="3">
        <f t="shared" si="199"/>
        <v>1.465148476990797E-3</v>
      </c>
      <c r="M238" s="3">
        <f t="shared" si="199"/>
        <v>1.465148476990797E-3</v>
      </c>
      <c r="N238" s="3">
        <f t="shared" si="199"/>
        <v>1.465148476990797E-3</v>
      </c>
      <c r="O238" s="3">
        <f t="shared" si="199"/>
        <v>1.465148476990797E-3</v>
      </c>
      <c r="P238" s="3">
        <f t="shared" si="199"/>
        <v>1.465148476990797E-3</v>
      </c>
      <c r="Q238" s="3">
        <f t="shared" si="199"/>
        <v>1.4651484769907968E-3</v>
      </c>
      <c r="R238" s="3">
        <f t="shared" si="199"/>
        <v>1.4651484769907955E-3</v>
      </c>
      <c r="S238" s="3">
        <f t="shared" si="199"/>
        <v>1.465148476990782E-3</v>
      </c>
      <c r="T238" s="3">
        <f t="shared" si="199"/>
        <v>1.465148476990647E-3</v>
      </c>
      <c r="U238" s="3">
        <f t="shared" si="199"/>
        <v>1.4651484769892973E-3</v>
      </c>
      <c r="V238" s="3">
        <f t="shared" si="199"/>
        <v>1.4651484769758012E-3</v>
      </c>
      <c r="W238" s="3">
        <f t="shared" si="199"/>
        <v>1.4651484768408391E-3</v>
      </c>
      <c r="X238" s="3">
        <f t="shared" si="199"/>
        <v>1.4651484754912175E-3</v>
      </c>
      <c r="Y238" s="3">
        <f t="shared" si="199"/>
        <v>1.4651484619950016E-3</v>
      </c>
      <c r="Z238" s="3">
        <f t="shared" si="199"/>
        <v>1.4651483270328499E-3</v>
      </c>
      <c r="AA238" s="3">
        <f t="shared" si="199"/>
        <v>1.4651469774120166E-3</v>
      </c>
      <c r="AB238" s="3">
        <f t="shared" si="199"/>
        <v>1.4651334812720597E-3</v>
      </c>
      <c r="AC238" s="3">
        <f t="shared" si="199"/>
        <v>1.4649985267098532E-3</v>
      </c>
      <c r="AD238" s="3">
        <f t="shared" si="199"/>
        <v>1.4636496645911152E-3</v>
      </c>
      <c r="AE238" s="3">
        <f t="shared" si="199"/>
        <v>1.4502291613541043E-3</v>
      </c>
      <c r="AF238" s="3">
        <f t="shared" si="199"/>
        <v>1.3226093706367732E-3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1.026110794379005E-2</v>
      </c>
      <c r="C240" s="3">
        <f t="shared" si="201"/>
        <v>1.026110794379005E-2</v>
      </c>
      <c r="D240" s="3">
        <f t="shared" si="201"/>
        <v>1.026110794379005E-2</v>
      </c>
      <c r="E240" s="3">
        <f t="shared" si="201"/>
        <v>1.026110794379005E-2</v>
      </c>
      <c r="F240" s="3">
        <f t="shared" si="201"/>
        <v>1.026110794379005E-2</v>
      </c>
      <c r="G240" s="3">
        <f t="shared" si="201"/>
        <v>1.026110794379005E-2</v>
      </c>
      <c r="H240" s="3">
        <f t="shared" si="201"/>
        <v>1.026110794379005E-2</v>
      </c>
      <c r="I240" s="3">
        <f t="shared" si="201"/>
        <v>1.026110794379005E-2</v>
      </c>
      <c r="J240" s="3">
        <f t="shared" si="201"/>
        <v>1.026110794379005E-2</v>
      </c>
      <c r="K240" s="3">
        <f t="shared" si="201"/>
        <v>1.026110794379005E-2</v>
      </c>
      <c r="L240" s="3">
        <f t="shared" si="201"/>
        <v>1.026110794379005E-2</v>
      </c>
      <c r="M240" s="3">
        <f t="shared" si="201"/>
        <v>1.026110794379005E-2</v>
      </c>
      <c r="N240" s="3">
        <f t="shared" si="201"/>
        <v>1.026110794379005E-2</v>
      </c>
      <c r="O240" s="3">
        <f t="shared" si="201"/>
        <v>1.026110794379005E-2</v>
      </c>
      <c r="P240" s="3">
        <f t="shared" si="201"/>
        <v>1.026110794379005E-2</v>
      </c>
      <c r="Q240" s="3">
        <f t="shared" si="201"/>
        <v>1.026110794379005E-2</v>
      </c>
      <c r="R240" s="3">
        <f t="shared" si="201"/>
        <v>1.026110794379005E-2</v>
      </c>
      <c r="S240" s="3">
        <f t="shared" si="201"/>
        <v>1.0261107943790048E-2</v>
      </c>
      <c r="T240" s="3">
        <f t="shared" si="201"/>
        <v>1.0261107943790039E-2</v>
      </c>
      <c r="U240" s="3">
        <f t="shared" si="201"/>
        <v>1.0261107943789946E-2</v>
      </c>
      <c r="V240" s="3">
        <f t="shared" si="201"/>
        <v>1.0261107943789E-2</v>
      </c>
      <c r="W240" s="3">
        <f t="shared" si="201"/>
        <v>1.0261107943779548E-2</v>
      </c>
      <c r="X240" s="3">
        <f t="shared" si="201"/>
        <v>1.0261107943685026E-2</v>
      </c>
      <c r="Y240" s="3">
        <f t="shared" si="201"/>
        <v>1.0261107942739826E-2</v>
      </c>
      <c r="Z240" s="3">
        <f t="shared" si="201"/>
        <v>1.0261107933287805E-2</v>
      </c>
      <c r="AA240" s="3">
        <f t="shared" si="201"/>
        <v>1.0261107838767604E-2</v>
      </c>
      <c r="AB240" s="3">
        <f t="shared" si="201"/>
        <v>1.0261106893565648E-2</v>
      </c>
      <c r="AC240" s="3">
        <f t="shared" si="201"/>
        <v>1.0261097441550873E-2</v>
      </c>
      <c r="AD240" s="3">
        <f t="shared" si="201"/>
        <v>1.026100292188198E-2</v>
      </c>
      <c r="AE240" s="3">
        <f t="shared" si="201"/>
        <v>1.0260057773078254E-2</v>
      </c>
      <c r="AF240" s="3">
        <f t="shared" si="201"/>
        <v>1.0250611071928836E-2</v>
      </c>
      <c r="AG240" s="3"/>
      <c r="AH240" s="3"/>
    </row>
    <row r="241" spans="1:34" x14ac:dyDescent="0.25">
      <c r="A241" s="79">
        <f>AVERAGE(B241:AF241)</f>
        <v>9.4383678560394195E-3</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2.4368455020625433E-2</v>
      </c>
      <c r="M241" s="80">
        <f t="shared" si="202"/>
        <v>2.3557655366880034E-2</v>
      </c>
      <c r="N241" s="80">
        <f t="shared" si="202"/>
        <v>2.2771653103991561E-2</v>
      </c>
      <c r="O241" s="80">
        <f t="shared" si="202"/>
        <v>2.1911658834997905E-2</v>
      </c>
      <c r="P241" s="80">
        <f t="shared" si="202"/>
        <v>2.3690456629709349E-2</v>
      </c>
      <c r="Q241" s="80">
        <f t="shared" si="202"/>
        <v>2.1986093760321682E-2</v>
      </c>
      <c r="R241" s="80">
        <f t="shared" si="202"/>
        <v>2.2995853927660705E-2</v>
      </c>
      <c r="S241" s="80">
        <f t="shared" si="202"/>
        <v>1.5253603407873479E-2</v>
      </c>
      <c r="T241" s="80">
        <f t="shared" si="202"/>
        <v>1.8603279586326651E-2</v>
      </c>
      <c r="U241" s="80">
        <f t="shared" si="202"/>
        <v>5.2772694772889601E-2</v>
      </c>
      <c r="V241" s="80">
        <f t="shared" si="202"/>
        <v>4.4677999125945604E-2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370483.61633052124</v>
      </c>
      <c r="C242" s="21">
        <f t="shared" ref="C242:AF242" si="203">(C209-C208)^2</f>
        <v>157655.37744451169</v>
      </c>
      <c r="D242" s="21">
        <f t="shared" si="203"/>
        <v>48679.839186795776</v>
      </c>
      <c r="E242" s="21">
        <f t="shared" si="203"/>
        <v>13123.161411694298</v>
      </c>
      <c r="F242" s="21">
        <f t="shared" si="203"/>
        <v>52383.589355733173</v>
      </c>
      <c r="G242" s="21">
        <f t="shared" si="203"/>
        <v>46509.502914709243</v>
      </c>
      <c r="H242" s="21">
        <f t="shared" si="203"/>
        <v>38461.261137823843</v>
      </c>
      <c r="I242" s="21">
        <f t="shared" si="203"/>
        <v>43046.12568668474</v>
      </c>
      <c r="J242" s="21">
        <f t="shared" si="203"/>
        <v>34669.109801464052</v>
      </c>
      <c r="K242" s="21">
        <f t="shared" si="203"/>
        <v>41759.743404168366</v>
      </c>
      <c r="L242" s="21">
        <f t="shared" si="203"/>
        <v>43116.258115296878</v>
      </c>
      <c r="M242" s="21">
        <f t="shared" si="203"/>
        <v>36949.37645580135</v>
      </c>
      <c r="N242" s="21">
        <f t="shared" si="203"/>
        <v>31985.097325345319</v>
      </c>
      <c r="O242" s="21">
        <f t="shared" si="203"/>
        <v>27536.929732528679</v>
      </c>
      <c r="P242" s="21">
        <f t="shared" si="203"/>
        <v>29858.079357099177</v>
      </c>
      <c r="Q242" s="21">
        <f t="shared" si="203"/>
        <v>23715.667873730174</v>
      </c>
      <c r="R242" s="21">
        <f t="shared" si="203"/>
        <v>23852.67189877915</v>
      </c>
      <c r="S242" s="21">
        <f t="shared" si="203"/>
        <v>9286.0922772338981</v>
      </c>
      <c r="T242" s="21">
        <f t="shared" si="203"/>
        <v>10756.783731553382</v>
      </c>
      <c r="U242" s="21">
        <f t="shared" si="203"/>
        <v>56833.259478602806</v>
      </c>
      <c r="V242" s="21">
        <f t="shared" si="203"/>
        <v>25571.653125263983</v>
      </c>
      <c r="W242" s="21">
        <f t="shared" si="203"/>
        <v>3275.0717227777941</v>
      </c>
      <c r="X242" s="21">
        <f t="shared" si="203"/>
        <v>137.31177395689039</v>
      </c>
      <c r="Y242" s="21">
        <f t="shared" si="203"/>
        <v>2534.5781623903235</v>
      </c>
      <c r="Z242" s="21">
        <f t="shared" si="203"/>
        <v>2563.2759799769024</v>
      </c>
      <c r="AA242" s="21">
        <f t="shared" si="203"/>
        <v>1594.4146310813999</v>
      </c>
      <c r="AB242" s="21">
        <f t="shared" si="203"/>
        <v>350.74807613766563</v>
      </c>
      <c r="AC242" s="21">
        <f t="shared" si="203"/>
        <v>126.01168442927248</v>
      </c>
      <c r="AD242" s="21">
        <f t="shared" si="203"/>
        <v>13.22510745263914</v>
      </c>
      <c r="AE242" s="21">
        <f t="shared" si="203"/>
        <v>12.980567278978693</v>
      </c>
      <c r="AF242" s="21">
        <f t="shared" si="203"/>
        <v>1.8953488707190551</v>
      </c>
      <c r="AG242" s="3"/>
      <c r="AH242" s="3"/>
    </row>
    <row r="243" spans="1:34" x14ac:dyDescent="0.25">
      <c r="A243" s="71">
        <f>SUM(B243:AF243)</f>
        <v>319461.86937123479</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43116.258115296878</v>
      </c>
      <c r="M243" s="60">
        <f t="shared" ref="M243" si="214">IF($A$64&lt;=M207,IF($B$64&gt;=M207,ABS(M242),0),0)</f>
        <v>36949.37645580135</v>
      </c>
      <c r="N243" s="60">
        <f t="shared" ref="N243" si="215">IF($A$64&lt;=N207,IF($B$64&gt;=N207,ABS(N242),0),0)</f>
        <v>31985.097325345319</v>
      </c>
      <c r="O243" s="60">
        <f t="shared" ref="O243" si="216">IF($A$64&lt;=O207,IF($B$64&gt;=O207,ABS(O242),0),0)</f>
        <v>27536.929732528679</v>
      </c>
      <c r="P243" s="60">
        <f t="shared" ref="P243" si="217">IF($A$64&lt;=P207,IF($B$64&gt;=P207,ABS(P242),0),0)</f>
        <v>29858.079357099177</v>
      </c>
      <c r="Q243" s="60">
        <f t="shared" ref="Q243" si="218">IF($A$64&lt;=Q207,IF($B$64&gt;=Q207,ABS(Q242),0),0)</f>
        <v>23715.667873730174</v>
      </c>
      <c r="R243" s="60">
        <f t="shared" ref="R243" si="219">IF($A$64&lt;=R207,IF($B$64&gt;=R207,ABS(R242),0),0)</f>
        <v>23852.67189877915</v>
      </c>
      <c r="S243" s="60">
        <f t="shared" ref="S243" si="220">IF($A$64&lt;=S207,IF($B$64&gt;=S207,ABS(S242),0),0)</f>
        <v>9286.0922772338981</v>
      </c>
      <c r="T243" s="60">
        <f t="shared" ref="T243" si="221">IF($A$64&lt;=T207,IF($B$64&gt;=T207,ABS(T242),0),0)</f>
        <v>10756.783731553382</v>
      </c>
      <c r="U243" s="60">
        <f t="shared" ref="U243" si="222">IF($A$64&lt;=U207,IF($B$64&gt;=U207,ABS(U242),0),0)</f>
        <v>56833.259478602806</v>
      </c>
      <c r="V243" s="60">
        <f t="shared" ref="V243" si="223">IF($A$64&lt;=V207,IF($B$64&gt;=V207,ABS(V242),0),0)</f>
        <v>25571.653125263983</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10399.956245160451</v>
      </c>
      <c r="C248" s="27">
        <f t="shared" ref="C248:AF248" si="234">($C$17+SUM(C249:C279))*$B$51</f>
        <v>10392.831372447834</v>
      </c>
      <c r="D248" s="27">
        <f t="shared" si="234"/>
        <v>10327.408564844713</v>
      </c>
      <c r="E248" s="27">
        <f t="shared" si="234"/>
        <v>10015.993058816046</v>
      </c>
      <c r="F248" s="27">
        <f t="shared" si="234"/>
        <v>9778.6716514298969</v>
      </c>
      <c r="G248" s="27">
        <f t="shared" si="234"/>
        <v>9528.0686416065419</v>
      </c>
      <c r="H248" s="27">
        <f t="shared" si="234"/>
        <v>9266.0550436972298</v>
      </c>
      <c r="I248" s="27">
        <f t="shared" si="234"/>
        <v>9024.3025654678859</v>
      </c>
      <c r="J248" s="27">
        <f t="shared" si="234"/>
        <v>8727.0374635967655</v>
      </c>
      <c r="K248" s="27">
        <f t="shared" si="234"/>
        <v>8376.8389620490434</v>
      </c>
      <c r="L248" s="27">
        <f t="shared" si="234"/>
        <v>8026.1088757427306</v>
      </c>
      <c r="M248" s="27">
        <f t="shared" si="234"/>
        <v>7720.9332542600996</v>
      </c>
      <c r="N248" s="27">
        <f t="shared" si="234"/>
        <v>7452.5679162810366</v>
      </c>
      <c r="O248" s="27">
        <f t="shared" si="234"/>
        <v>7169.6381903216743</v>
      </c>
      <c r="P248" s="27">
        <f t="shared" si="234"/>
        <v>6889.3046141963705</v>
      </c>
      <c r="Q248" s="27">
        <f t="shared" si="234"/>
        <v>6612.6452005878409</v>
      </c>
      <c r="R248" s="27">
        <f t="shared" si="234"/>
        <v>6273.0686578551849</v>
      </c>
      <c r="S248" s="27">
        <f t="shared" si="234"/>
        <v>5794.1867220149315</v>
      </c>
      <c r="T248" s="27">
        <f t="shared" si="234"/>
        <v>4900.5685672126192</v>
      </c>
      <c r="U248" s="27">
        <f t="shared" si="234"/>
        <v>3865.0423990372915</v>
      </c>
      <c r="V248" s="27">
        <f t="shared" si="234"/>
        <v>2994.068696839644</v>
      </c>
      <c r="W248" s="27">
        <f t="shared" si="234"/>
        <v>2293.7214831368169</v>
      </c>
      <c r="X248" s="27">
        <f t="shared" si="234"/>
        <v>1667.0583156312493</v>
      </c>
      <c r="Y248" s="27">
        <f t="shared" si="234"/>
        <v>1203.5033154726029</v>
      </c>
      <c r="Z248" s="27">
        <f t="shared" si="234"/>
        <v>817.8207645547152</v>
      </c>
      <c r="AA248" s="27">
        <f t="shared" si="234"/>
        <v>606.06094069290418</v>
      </c>
      <c r="AB248" s="27">
        <f t="shared" si="234"/>
        <v>486.52365955465353</v>
      </c>
      <c r="AC248" s="27">
        <f t="shared" si="234"/>
        <v>434.40027516388926</v>
      </c>
      <c r="AD248" s="27">
        <f t="shared" si="234"/>
        <v>401.79153450111625</v>
      </c>
      <c r="AE248" s="27">
        <f t="shared" si="234"/>
        <v>386.44140461945653</v>
      </c>
      <c r="AF248" s="27">
        <f t="shared" si="234"/>
        <v>375.31581180752835</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3.6447892436257769E-2</v>
      </c>
      <c r="C250" s="3">
        <f t="shared" si="236"/>
        <v>3.58530540191805E-2</v>
      </c>
      <c r="D250" s="3">
        <f t="shared" si="236"/>
        <v>3.0413296983793046E-2</v>
      </c>
      <c r="E250" s="3">
        <f t="shared" si="236"/>
        <v>5.8672821911885231E-3</v>
      </c>
      <c r="F250" s="3">
        <f t="shared" si="236"/>
        <v>4.1895918152887259E-10</v>
      </c>
      <c r="G250" s="3">
        <f t="shared" si="236"/>
        <v>1.4438400117963252E-81</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1.768328362586704E-2</v>
      </c>
      <c r="C251" s="3">
        <f t="shared" si="237"/>
        <v>1.7657054607406034E-2</v>
      </c>
      <c r="D251" s="3">
        <f t="shared" si="237"/>
        <v>1.7396894683544672E-2</v>
      </c>
      <c r="E251" s="3">
        <f t="shared" si="237"/>
        <v>1.4997072002306912E-2</v>
      </c>
      <c r="F251" s="3">
        <f t="shared" si="237"/>
        <v>3.3990213974637341E-3</v>
      </c>
      <c r="G251" s="3">
        <f t="shared" si="237"/>
        <v>1.2157047636757714E-9</v>
      </c>
      <c r="H251" s="3">
        <f t="shared" si="237"/>
        <v>4.1645714500652951E-74</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2.4470125051339987E-2</v>
      </c>
      <c r="C252" s="3">
        <f t="shared" si="238"/>
        <v>2.4466848664929174E-2</v>
      </c>
      <c r="D252" s="3">
        <f t="shared" si="238"/>
        <v>2.4434108918876946E-2</v>
      </c>
      <c r="E252" s="3">
        <f t="shared" si="238"/>
        <v>2.4109111357607318E-2</v>
      </c>
      <c r="F252" s="3">
        <f t="shared" si="238"/>
        <v>2.1087649639769297E-2</v>
      </c>
      <c r="G252" s="3">
        <f t="shared" si="238"/>
        <v>5.5271076347838234E-3</v>
      </c>
      <c r="H252" s="3">
        <f t="shared" si="238"/>
        <v>8.4565918290514349E-9</v>
      </c>
      <c r="I252" s="3">
        <f t="shared" si="238"/>
        <v>5.945246143893947E-67</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2.4627478977273812E-2</v>
      </c>
      <c r="C253" s="3">
        <f t="shared" si="239"/>
        <v>2.4627181501277046E-2</v>
      </c>
      <c r="D253" s="3">
        <f t="shared" si="239"/>
        <v>2.4624206938929374E-2</v>
      </c>
      <c r="E253" s="3">
        <f t="shared" si="239"/>
        <v>2.4594481068621363E-2</v>
      </c>
      <c r="F253" s="3">
        <f t="shared" si="239"/>
        <v>2.4299188882646882E-2</v>
      </c>
      <c r="G253" s="3">
        <f t="shared" si="239"/>
        <v>2.1534406655718492E-2</v>
      </c>
      <c r="H253" s="3">
        <f t="shared" si="239"/>
        <v>6.4349361360878767E-3</v>
      </c>
      <c r="I253" s="3">
        <f t="shared" si="239"/>
        <v>3.6530662782708262E-8</v>
      </c>
      <c r="J253" s="3">
        <f t="shared" si="239"/>
        <v>1.2699618027573494E-60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1.9757997023296722E-2</v>
      </c>
      <c r="C254" s="3">
        <f t="shared" si="240"/>
        <v>1.9757975494296396E-2</v>
      </c>
      <c r="D254" s="3">
        <f t="shared" si="240"/>
        <v>1.9757760205583372E-2</v>
      </c>
      <c r="E254" s="3">
        <f t="shared" si="240"/>
        <v>1.9755607447470621E-2</v>
      </c>
      <c r="F254" s="3">
        <f t="shared" si="240"/>
        <v>1.9734092762891658E-2</v>
      </c>
      <c r="G254" s="3">
        <f t="shared" si="240"/>
        <v>1.9520230387638018E-2</v>
      </c>
      <c r="H254" s="3">
        <f t="shared" si="240"/>
        <v>1.7505022649516845E-2</v>
      </c>
      <c r="I254" s="3">
        <f t="shared" si="240"/>
        <v>5.8876238524422199E-3</v>
      </c>
      <c r="J254" s="3">
        <f t="shared" si="240"/>
        <v>1.0907214313814209E-7</v>
      </c>
      <c r="K254" s="3">
        <f t="shared" si="240"/>
        <v>5.1933997379367006E-55</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3.0456672807183758E-2</v>
      </c>
      <c r="C255" s="3">
        <f t="shared" si="241"/>
        <v>3.0456669813470418E-2</v>
      </c>
      <c r="D255" s="3">
        <f t="shared" si="241"/>
        <v>3.0456639876353199E-2</v>
      </c>
      <c r="E255" s="3">
        <f t="shared" si="241"/>
        <v>3.0456340506799472E-2</v>
      </c>
      <c r="F255" s="3">
        <f t="shared" si="241"/>
        <v>3.0453346973101206E-2</v>
      </c>
      <c r="G255" s="3">
        <f t="shared" si="241"/>
        <v>3.0423427814132976E-2</v>
      </c>
      <c r="H255" s="3">
        <f t="shared" si="241"/>
        <v>3.0125848157579457E-2</v>
      </c>
      <c r="I255" s="3">
        <f t="shared" si="241"/>
        <v>2.7305533455229056E-2</v>
      </c>
      <c r="J255" s="3">
        <f t="shared" si="241"/>
        <v>1.0217966938472049E-2</v>
      </c>
      <c r="K255" s="3">
        <f t="shared" si="241"/>
        <v>5.5017742819675263E-7</v>
      </c>
      <c r="L255" s="3">
        <f t="shared" si="241"/>
        <v>1.1269003825206738E-49</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3.3429649492177221E-2</v>
      </c>
      <c r="C256" s="3">
        <f t="shared" si="242"/>
        <v>3.3429649195758117E-2</v>
      </c>
      <c r="D256" s="3">
        <f t="shared" si="242"/>
        <v>3.3429646231567231E-2</v>
      </c>
      <c r="E256" s="3">
        <f t="shared" si="242"/>
        <v>3.3429616589672868E-2</v>
      </c>
      <c r="F256" s="3">
        <f t="shared" si="242"/>
        <v>3.3429320172174766E-2</v>
      </c>
      <c r="G256" s="3">
        <f t="shared" si="242"/>
        <v>3.3426356141746917E-2</v>
      </c>
      <c r="H256" s="3">
        <f t="shared" si="242"/>
        <v>3.3396730288037239E-2</v>
      </c>
      <c r="I256" s="3">
        <f t="shared" si="242"/>
        <v>3.3101912078149026E-2</v>
      </c>
      <c r="J256" s="3">
        <f t="shared" si="242"/>
        <v>3.0293147307192403E-2</v>
      </c>
      <c r="K256" s="3">
        <f t="shared" si="242"/>
        <v>1.2481234867709499E-2</v>
      </c>
      <c r="L256" s="3">
        <f t="shared" si="242"/>
        <v>1.7594994900873646E-6</v>
      </c>
      <c r="M256" s="3">
        <f t="shared" si="242"/>
        <v>5.4538732638386853E-45</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3.2540934879440271E-2</v>
      </c>
      <c r="C257" s="3">
        <f t="shared" si="243"/>
        <v>3.2540934853411661E-2</v>
      </c>
      <c r="D257" s="3">
        <f t="shared" si="243"/>
        <v>3.2540934593125556E-2</v>
      </c>
      <c r="E257" s="3">
        <f t="shared" si="243"/>
        <v>3.2540931990264636E-2</v>
      </c>
      <c r="F257" s="3">
        <f t="shared" si="243"/>
        <v>3.2540905961666901E-2</v>
      </c>
      <c r="G257" s="3">
        <f t="shared" si="243"/>
        <v>3.2540645676834616E-2</v>
      </c>
      <c r="H257" s="3">
        <f t="shared" si="243"/>
        <v>3.2538042943015676E-2</v>
      </c>
      <c r="I257" s="3">
        <f t="shared" si="243"/>
        <v>3.2512027051830095E-2</v>
      </c>
      <c r="J257" s="3">
        <f t="shared" si="243"/>
        <v>3.2253009459818731E-2</v>
      </c>
      <c r="K257" s="3">
        <f t="shared" si="243"/>
        <v>2.9773658810019324E-2</v>
      </c>
      <c r="L257" s="3">
        <f t="shared" si="243"/>
        <v>1.3379868358523721E-2</v>
      </c>
      <c r="M257" s="3">
        <f t="shared" si="243"/>
        <v>4.4941563055180982E-6</v>
      </c>
      <c r="N257" s="3">
        <f t="shared" si="243"/>
        <v>8.2150743356920242E-41</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2.464151130065128E-2</v>
      </c>
      <c r="C258" s="3">
        <f t="shared" si="244"/>
        <v>2.4641511298873268E-2</v>
      </c>
      <c r="D258" s="3">
        <f t="shared" si="244"/>
        <v>2.464151128109314E-2</v>
      </c>
      <c r="E258" s="3">
        <f t="shared" si="244"/>
        <v>2.4641511103291856E-2</v>
      </c>
      <c r="F258" s="3">
        <f t="shared" si="244"/>
        <v>2.4641509325279112E-2</v>
      </c>
      <c r="G258" s="3">
        <f t="shared" si="244"/>
        <v>2.4641491545158701E-2</v>
      </c>
      <c r="H258" s="3">
        <f t="shared" si="244"/>
        <v>2.4641313744660231E-2</v>
      </c>
      <c r="I258" s="3">
        <f t="shared" si="244"/>
        <v>2.4639535810234481E-2</v>
      </c>
      <c r="J258" s="3">
        <f t="shared" si="244"/>
        <v>2.4621763519990788E-2</v>
      </c>
      <c r="K258" s="3">
        <f t="shared" si="244"/>
        <v>2.4444744139325975E-2</v>
      </c>
      <c r="L258" s="3">
        <f t="shared" si="244"/>
        <v>2.2743059989383876E-2</v>
      </c>
      <c r="M258" s="3">
        <f t="shared" si="244"/>
        <v>1.1053069653132051E-2</v>
      </c>
      <c r="N258" s="3">
        <f t="shared" si="244"/>
        <v>8.1249931980844316E-6</v>
      </c>
      <c r="O258" s="3">
        <f t="shared" si="244"/>
        <v>3.7430359524549922E-37</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2.4122417967738386E-2</v>
      </c>
      <c r="C259" s="3">
        <f t="shared" si="245"/>
        <v>2.4122417967581373E-2</v>
      </c>
      <c r="D259" s="3">
        <f t="shared" si="245"/>
        <v>2.4122417966011247E-2</v>
      </c>
      <c r="E259" s="3">
        <f t="shared" si="245"/>
        <v>2.4122417950309966E-2</v>
      </c>
      <c r="F259" s="3">
        <f t="shared" si="245"/>
        <v>2.4122417793297195E-2</v>
      </c>
      <c r="G259" s="3">
        <f t="shared" si="245"/>
        <v>2.412241622316955E-2</v>
      </c>
      <c r="H259" s="3">
        <f t="shared" si="245"/>
        <v>2.41224005218987E-2</v>
      </c>
      <c r="I259" s="3">
        <f t="shared" si="245"/>
        <v>2.4122243509752291E-2</v>
      </c>
      <c r="J259" s="3">
        <f t="shared" si="245"/>
        <v>2.4120673444496473E-2</v>
      </c>
      <c r="K259" s="3">
        <f t="shared" si="245"/>
        <v>2.4104978411411446E-2</v>
      </c>
      <c r="L259" s="3">
        <f t="shared" si="245"/>
        <v>2.3948588676873692E-2</v>
      </c>
      <c r="M259" s="3">
        <f t="shared" si="245"/>
        <v>2.2439424046619676E-2</v>
      </c>
      <c r="N259" s="3">
        <f t="shared" si="245"/>
        <v>1.1703870642618221E-2</v>
      </c>
      <c r="O259" s="3">
        <f t="shared" si="245"/>
        <v>1.7438438225580059E-5</v>
      </c>
      <c r="P259" s="3">
        <f t="shared" si="245"/>
        <v>9.4034740102839707E-34</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2.8528246553065226E-2</v>
      </c>
      <c r="C260" s="3">
        <f t="shared" si="246"/>
        <v>2.8528246553048479E-2</v>
      </c>
      <c r="D260" s="3">
        <f t="shared" si="246"/>
        <v>2.8528246552880967E-2</v>
      </c>
      <c r="E260" s="3">
        <f t="shared" si="246"/>
        <v>2.852824655120589E-2</v>
      </c>
      <c r="F260" s="3">
        <f t="shared" si="246"/>
        <v>2.8528246534455078E-2</v>
      </c>
      <c r="G260" s="3">
        <f t="shared" si="246"/>
        <v>2.852824636694698E-2</v>
      </c>
      <c r="H260" s="3">
        <f t="shared" si="246"/>
        <v>2.8528244691866048E-2</v>
      </c>
      <c r="I260" s="3">
        <f t="shared" si="246"/>
        <v>2.8528227941062159E-2</v>
      </c>
      <c r="J260" s="3">
        <f t="shared" si="246"/>
        <v>2.8528060433564192E-2</v>
      </c>
      <c r="K260" s="3">
        <f t="shared" si="246"/>
        <v>2.85263854126785E-2</v>
      </c>
      <c r="L260" s="3">
        <f t="shared" si="246"/>
        <v>2.8509640612042204E-2</v>
      </c>
      <c r="M260" s="3">
        <f t="shared" si="246"/>
        <v>2.8342732254642233E-2</v>
      </c>
      <c r="N260" s="3">
        <f t="shared" si="246"/>
        <v>2.6726459368296894E-2</v>
      </c>
      <c r="O260" s="3">
        <f t="shared" si="246"/>
        <v>1.4857254887939118E-2</v>
      </c>
      <c r="P260" s="3">
        <f t="shared" si="246"/>
        <v>4.1870681342430064E-5</v>
      </c>
      <c r="Q260" s="3">
        <f t="shared" si="246"/>
        <v>1.3231971823689168E-30</v>
      </c>
      <c r="R260" s="3">
        <f t="shared" si="246"/>
        <v>1.3145283637017769E-285</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2.1048719571397843E-2</v>
      </c>
      <c r="C261" s="3">
        <f t="shared" si="247"/>
        <v>2.1048719571396729E-2</v>
      </c>
      <c r="D261" s="3">
        <f t="shared" si="247"/>
        <v>2.1048719571385578E-2</v>
      </c>
      <c r="E261" s="3">
        <f t="shared" si="247"/>
        <v>2.1048719571274091E-2</v>
      </c>
      <c r="F261" s="3">
        <f t="shared" si="247"/>
        <v>2.1048719570159198E-2</v>
      </c>
      <c r="G261" s="3">
        <f t="shared" si="247"/>
        <v>2.1048719559010273E-2</v>
      </c>
      <c r="H261" s="3">
        <f t="shared" si="247"/>
        <v>2.1048719447521021E-2</v>
      </c>
      <c r="I261" s="3">
        <f t="shared" si="247"/>
        <v>2.104871833262853E-2</v>
      </c>
      <c r="J261" s="3">
        <f t="shared" si="247"/>
        <v>2.1048707183706883E-2</v>
      </c>
      <c r="K261" s="3">
        <f t="shared" si="247"/>
        <v>2.1048595694815205E-2</v>
      </c>
      <c r="L261" s="3">
        <f t="shared" si="247"/>
        <v>2.1047480838376747E-2</v>
      </c>
      <c r="M261" s="3">
        <f t="shared" si="247"/>
        <v>2.1036335521187749E-2</v>
      </c>
      <c r="N261" s="3">
        <f t="shared" si="247"/>
        <v>2.0925206433376697E-2</v>
      </c>
      <c r="O261" s="3">
        <f t="shared" si="247"/>
        <v>1.9845697725382336E-2</v>
      </c>
      <c r="P261" s="3">
        <f t="shared" si="247"/>
        <v>1.1685104030000578E-2</v>
      </c>
      <c r="Q261" s="3">
        <f t="shared" si="247"/>
        <v>5.8518703103846728E-5</v>
      </c>
      <c r="R261" s="3">
        <f t="shared" si="247"/>
        <v>5.8065181491718224E-28</v>
      </c>
      <c r="S261" s="3">
        <f t="shared" si="247"/>
        <v>5.3718854008717409E-258</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3.1114198963852629E-2</v>
      </c>
      <c r="C262" s="3">
        <f t="shared" si="248"/>
        <v>3.111419896385248E-2</v>
      </c>
      <c r="D262" s="3">
        <f t="shared" si="248"/>
        <v>3.1114198963850995E-2</v>
      </c>
      <c r="E262" s="3">
        <f t="shared" si="248"/>
        <v>3.1114198963836128E-2</v>
      </c>
      <c r="F262" s="3">
        <f t="shared" si="248"/>
        <v>3.1114198963687462E-2</v>
      </c>
      <c r="G262" s="3">
        <f t="shared" si="248"/>
        <v>3.1114198962200797E-2</v>
      </c>
      <c r="H262" s="3">
        <f t="shared" si="248"/>
        <v>3.1114198947334165E-2</v>
      </c>
      <c r="I262" s="3">
        <f t="shared" si="248"/>
        <v>3.1114198798667867E-2</v>
      </c>
      <c r="J262" s="3">
        <f t="shared" si="248"/>
        <v>3.1114197312004897E-2</v>
      </c>
      <c r="K262" s="3">
        <f t="shared" si="248"/>
        <v>3.1114182445379085E-2</v>
      </c>
      <c r="L262" s="3">
        <f t="shared" si="248"/>
        <v>3.1114033779511687E-2</v>
      </c>
      <c r="M262" s="3">
        <f t="shared" si="248"/>
        <v>3.1112547159905662E-2</v>
      </c>
      <c r="N262" s="3">
        <f t="shared" si="248"/>
        <v>3.1097684869949668E-2</v>
      </c>
      <c r="O262" s="3">
        <f t="shared" si="248"/>
        <v>3.0949451891142236E-2</v>
      </c>
      <c r="P262" s="3">
        <f t="shared" si="248"/>
        <v>2.9505433562234583E-2</v>
      </c>
      <c r="Q262" s="3">
        <f t="shared" si="248"/>
        <v>1.8297526549783158E-2</v>
      </c>
      <c r="R262" s="3">
        <f t="shared" si="248"/>
        <v>1.5392041976976118E-4</v>
      </c>
      <c r="S262" s="3">
        <f t="shared" si="248"/>
        <v>2.7310821900817698E-25</v>
      </c>
      <c r="T262" s="3">
        <f t="shared" si="248"/>
        <v>8.4473420602295483E-233</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2.5140718095571668E-2</v>
      </c>
      <c r="C263" s="3">
        <f t="shared" si="249"/>
        <v>2.5140718095571658E-2</v>
      </c>
      <c r="D263" s="3">
        <f t="shared" si="249"/>
        <v>2.5140718095571547E-2</v>
      </c>
      <c r="E263" s="3">
        <f t="shared" si="249"/>
        <v>2.5140718095570464E-2</v>
      </c>
      <c r="F263" s="3">
        <f t="shared" si="249"/>
        <v>2.5140718095559626E-2</v>
      </c>
      <c r="G263" s="3">
        <f t="shared" si="249"/>
        <v>2.5140718095451264E-2</v>
      </c>
      <c r="H263" s="3">
        <f t="shared" si="249"/>
        <v>2.5140718094367642E-2</v>
      </c>
      <c r="I263" s="3">
        <f t="shared" si="249"/>
        <v>2.5140718083531414E-2</v>
      </c>
      <c r="J263" s="3">
        <f t="shared" si="249"/>
        <v>2.5140717975169122E-2</v>
      </c>
      <c r="K263" s="3">
        <f t="shared" si="249"/>
        <v>2.5140716891546233E-2</v>
      </c>
      <c r="L263" s="3">
        <f t="shared" si="249"/>
        <v>2.5140706055319897E-2</v>
      </c>
      <c r="M263" s="3">
        <f t="shared" si="249"/>
        <v>2.5140597693313432E-2</v>
      </c>
      <c r="N263" s="3">
        <f t="shared" si="249"/>
        <v>2.5139514098936971E-2</v>
      </c>
      <c r="O263" s="3">
        <f t="shared" si="249"/>
        <v>2.5128680723582784E-2</v>
      </c>
      <c r="P263" s="3">
        <f t="shared" si="249"/>
        <v>2.5020603401947318E-2</v>
      </c>
      <c r="Q263" s="3">
        <f t="shared" si="249"/>
        <v>2.3965069094506731E-2</v>
      </c>
      <c r="R263" s="3">
        <f t="shared" si="249"/>
        <v>1.5573554601941863E-2</v>
      </c>
      <c r="S263" s="3">
        <f t="shared" si="249"/>
        <v>2.0915988482051245E-4</v>
      </c>
      <c r="T263" s="3">
        <f t="shared" si="249"/>
        <v>3.9937864142783804E-23</v>
      </c>
      <c r="U263" s="3">
        <f t="shared" si="249"/>
        <v>2.5730560592499617E-210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7.3741618123119579E-2</v>
      </c>
      <c r="C264" s="3">
        <f t="shared" si="250"/>
        <v>7.3741618123119579E-2</v>
      </c>
      <c r="D264" s="3">
        <f t="shared" si="250"/>
        <v>7.3741618123119551E-2</v>
      </c>
      <c r="E264" s="3">
        <f t="shared" si="250"/>
        <v>7.374161812311926E-2</v>
      </c>
      <c r="F264" s="3">
        <f t="shared" si="250"/>
        <v>7.3741618123116401E-2</v>
      </c>
      <c r="G264" s="3">
        <f t="shared" si="250"/>
        <v>7.3741618123087729E-2</v>
      </c>
      <c r="H264" s="3">
        <f t="shared" si="250"/>
        <v>7.3741618122801E-2</v>
      </c>
      <c r="I264" s="3">
        <f t="shared" si="250"/>
        <v>7.374161811993378E-2</v>
      </c>
      <c r="J264" s="3">
        <f t="shared" si="250"/>
        <v>7.3741618091261674E-2</v>
      </c>
      <c r="K264" s="3">
        <f t="shared" si="250"/>
        <v>7.3741617804540499E-2</v>
      </c>
      <c r="L264" s="3">
        <f t="shared" si="250"/>
        <v>7.3741614937328892E-2</v>
      </c>
      <c r="M264" s="3">
        <f t="shared" si="250"/>
        <v>7.3741586265218859E-2</v>
      </c>
      <c r="N264" s="3">
        <f t="shared" si="250"/>
        <v>7.3741299544731784E-2</v>
      </c>
      <c r="O264" s="3">
        <f t="shared" si="250"/>
        <v>7.3738432401175322E-2</v>
      </c>
      <c r="P264" s="3">
        <f t="shared" si="250"/>
        <v>7.3709767096170373E-2</v>
      </c>
      <c r="Q264" s="3">
        <f t="shared" si="250"/>
        <v>7.3423726221042915E-2</v>
      </c>
      <c r="R264" s="3">
        <f t="shared" si="250"/>
        <v>7.0623663353816007E-2</v>
      </c>
      <c r="S264" s="3">
        <f t="shared" si="250"/>
        <v>4.7872757587495526E-2</v>
      </c>
      <c r="T264" s="3">
        <f t="shared" si="250"/>
        <v>9.8055165666092775E-4</v>
      </c>
      <c r="U264" s="3">
        <f t="shared" si="250"/>
        <v>1.2743561208710259E-20</v>
      </c>
      <c r="V264" s="3">
        <f t="shared" si="250"/>
        <v>1.7518387319708673E-189</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9.9846945696723061E-2</v>
      </c>
      <c r="C265" s="3">
        <f t="shared" si="251"/>
        <v>9.9846945696723061E-2</v>
      </c>
      <c r="D265" s="3">
        <f t="shared" si="251"/>
        <v>9.9846945696723061E-2</v>
      </c>
      <c r="E265" s="3">
        <f t="shared" si="251"/>
        <v>9.9846945696723019E-2</v>
      </c>
      <c r="F265" s="3">
        <f t="shared" si="251"/>
        <v>9.9846945696722672E-2</v>
      </c>
      <c r="G265" s="3">
        <f t="shared" si="251"/>
        <v>9.9846945696719175E-2</v>
      </c>
      <c r="H265" s="3">
        <f t="shared" si="251"/>
        <v>9.9846945696684147E-2</v>
      </c>
      <c r="I265" s="3">
        <f t="shared" si="251"/>
        <v>9.9846945696333941E-2</v>
      </c>
      <c r="J265" s="3">
        <f t="shared" si="251"/>
        <v>9.984694569283184E-2</v>
      </c>
      <c r="K265" s="3">
        <f t="shared" si="251"/>
        <v>9.9846945657810854E-2</v>
      </c>
      <c r="L265" s="3">
        <f t="shared" si="251"/>
        <v>9.9846945307600909E-2</v>
      </c>
      <c r="M265" s="3">
        <f t="shared" si="251"/>
        <v>9.9846941805501563E-2</v>
      </c>
      <c r="N265" s="3">
        <f t="shared" si="251"/>
        <v>9.9846906784514966E-2</v>
      </c>
      <c r="O265" s="3">
        <f t="shared" si="251"/>
        <v>9.9846556575324499E-2</v>
      </c>
      <c r="P265" s="3">
        <f t="shared" si="251"/>
        <v>9.984305455097818E-2</v>
      </c>
      <c r="Q265" s="3">
        <f t="shared" si="251"/>
        <v>9.9808041062466282E-2</v>
      </c>
      <c r="R265" s="3">
        <f t="shared" si="251"/>
        <v>9.9458580796667542E-2</v>
      </c>
      <c r="S265" s="3">
        <f t="shared" si="251"/>
        <v>9.6030572727856089E-2</v>
      </c>
      <c r="T265" s="3">
        <f t="shared" si="251"/>
        <v>6.7621084312621094E-2</v>
      </c>
      <c r="U265" s="3">
        <f t="shared" si="251"/>
        <v>2.0267876293119502E-3</v>
      </c>
      <c r="V265" s="3">
        <f t="shared" si="251"/>
        <v>1.1859582185263075E-18</v>
      </c>
      <c r="W265" s="3">
        <f t="shared" si="251"/>
        <v>5.5805991777670225E-171</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8.4959897030223219E-2</v>
      </c>
      <c r="C266" s="3">
        <f t="shared" si="252"/>
        <v>8.4959897030223219E-2</v>
      </c>
      <c r="D266" s="3">
        <f t="shared" si="252"/>
        <v>8.4959897030223219E-2</v>
      </c>
      <c r="E266" s="3">
        <f t="shared" si="252"/>
        <v>8.4959897030223219E-2</v>
      </c>
      <c r="F266" s="3">
        <f t="shared" si="252"/>
        <v>8.4959897030223192E-2</v>
      </c>
      <c r="G266" s="3">
        <f t="shared" si="252"/>
        <v>8.4959897030222914E-2</v>
      </c>
      <c r="H266" s="3">
        <f t="shared" si="252"/>
        <v>8.4959897030220236E-2</v>
      </c>
      <c r="I266" s="3">
        <f t="shared" si="252"/>
        <v>8.495989703019334E-2</v>
      </c>
      <c r="J266" s="3">
        <f t="shared" si="252"/>
        <v>8.4959897029924528E-2</v>
      </c>
      <c r="K266" s="3">
        <f t="shared" si="252"/>
        <v>8.4959897027236386E-2</v>
      </c>
      <c r="L266" s="3">
        <f t="shared" si="252"/>
        <v>8.4959897000354834E-2</v>
      </c>
      <c r="M266" s="3">
        <f t="shared" si="252"/>
        <v>8.4959896731539364E-2</v>
      </c>
      <c r="N266" s="3">
        <f t="shared" si="252"/>
        <v>8.4959894043384748E-2</v>
      </c>
      <c r="O266" s="3">
        <f t="shared" si="252"/>
        <v>8.4959867161843214E-2</v>
      </c>
      <c r="P266" s="3">
        <f t="shared" si="252"/>
        <v>8.4959598346895746E-2</v>
      </c>
      <c r="Q266" s="3">
        <f t="shared" si="252"/>
        <v>8.4956910244199976E-2</v>
      </c>
      <c r="R266" s="3">
        <f t="shared" si="252"/>
        <v>8.4930033894601742E-2</v>
      </c>
      <c r="S266" s="3">
        <f t="shared" si="252"/>
        <v>8.4661737587435407E-2</v>
      </c>
      <c r="T266" s="3">
        <f t="shared" si="252"/>
        <v>8.2024951062013837E-2</v>
      </c>
      <c r="U266" s="3">
        <f t="shared" si="252"/>
        <v>5.9776984519703966E-2</v>
      </c>
      <c r="V266" s="3">
        <f t="shared" si="252"/>
        <v>2.5258888399086149E-3</v>
      </c>
      <c r="W266" s="3">
        <f t="shared" si="252"/>
        <v>4.5837037859001668E-17</v>
      </c>
      <c r="X266" s="3">
        <f t="shared" si="252"/>
        <v>1.7751687613802807E-154</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6.3888587804479924E-2</v>
      </c>
      <c r="C267" s="3">
        <f t="shared" si="253"/>
        <v>6.3888587804479924E-2</v>
      </c>
      <c r="D267" s="3">
        <f t="shared" si="253"/>
        <v>6.3888587804479924E-2</v>
      </c>
      <c r="E267" s="3">
        <f t="shared" si="253"/>
        <v>6.3888587804479924E-2</v>
      </c>
      <c r="F267" s="3">
        <f t="shared" si="253"/>
        <v>6.3888587804479924E-2</v>
      </c>
      <c r="G267" s="3">
        <f t="shared" si="253"/>
        <v>6.3888587804479896E-2</v>
      </c>
      <c r="H267" s="3">
        <f t="shared" si="253"/>
        <v>6.3888587804479716E-2</v>
      </c>
      <c r="I267" s="3">
        <f t="shared" si="253"/>
        <v>6.3888587804477898E-2</v>
      </c>
      <c r="J267" s="3">
        <f t="shared" si="253"/>
        <v>6.3888587804459662E-2</v>
      </c>
      <c r="K267" s="3">
        <f t="shared" si="253"/>
        <v>6.3888587804277308E-2</v>
      </c>
      <c r="L267" s="3">
        <f t="shared" si="253"/>
        <v>6.3888587802453795E-2</v>
      </c>
      <c r="M267" s="3">
        <f t="shared" si="253"/>
        <v>6.3888587784218617E-2</v>
      </c>
      <c r="N267" s="3">
        <f t="shared" si="253"/>
        <v>6.3888587601866761E-2</v>
      </c>
      <c r="O267" s="3">
        <f t="shared" si="253"/>
        <v>6.388858577834837E-2</v>
      </c>
      <c r="P267" s="3">
        <f t="shared" si="253"/>
        <v>6.3888567543167296E-2</v>
      </c>
      <c r="Q267" s="3">
        <f t="shared" si="253"/>
        <v>6.3888385191642832E-2</v>
      </c>
      <c r="R267" s="3">
        <f t="shared" si="253"/>
        <v>6.3886561705023742E-2</v>
      </c>
      <c r="S267" s="3">
        <f t="shared" si="253"/>
        <v>6.3868329701090701E-2</v>
      </c>
      <c r="T267" s="3">
        <f t="shared" si="253"/>
        <v>6.3686295585503316E-2</v>
      </c>
      <c r="U267" s="3">
        <f t="shared" si="253"/>
        <v>6.1894247142749492E-2</v>
      </c>
      <c r="V267" s="3">
        <f t="shared" si="253"/>
        <v>4.6525735778518346E-2</v>
      </c>
      <c r="W267" s="3">
        <f t="shared" si="253"/>
        <v>2.6799266199343209E-3</v>
      </c>
      <c r="X267" s="3">
        <f t="shared" si="253"/>
        <v>1.0775053344745617E-15</v>
      </c>
      <c r="Y267" s="3">
        <f t="shared" si="253"/>
        <v>1.1895554527409718E-139</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6.4356714781999613E-2</v>
      </c>
      <c r="C268" s="3">
        <f t="shared" si="254"/>
        <v>6.4356714781999613E-2</v>
      </c>
      <c r="D268" s="3">
        <f t="shared" si="254"/>
        <v>6.4356714781999613E-2</v>
      </c>
      <c r="E268" s="3">
        <f t="shared" si="254"/>
        <v>6.4356714781999613E-2</v>
      </c>
      <c r="F268" s="3">
        <f t="shared" si="254"/>
        <v>6.4356714781999613E-2</v>
      </c>
      <c r="G268" s="3">
        <f t="shared" si="254"/>
        <v>6.4356714781999613E-2</v>
      </c>
      <c r="H268" s="3">
        <f t="shared" si="254"/>
        <v>6.4356714781999586E-2</v>
      </c>
      <c r="I268" s="3">
        <f t="shared" si="254"/>
        <v>6.4356714781999433E-2</v>
      </c>
      <c r="J268" s="3">
        <f t="shared" si="254"/>
        <v>6.4356714781997768E-2</v>
      </c>
      <c r="K268" s="3">
        <f t="shared" si="254"/>
        <v>6.4356714781981197E-2</v>
      </c>
      <c r="L268" s="3">
        <f t="shared" si="254"/>
        <v>6.4356714781815497E-2</v>
      </c>
      <c r="M268" s="3">
        <f t="shared" si="254"/>
        <v>6.4356714780158475E-2</v>
      </c>
      <c r="N268" s="3">
        <f t="shared" si="254"/>
        <v>6.4356714763588299E-2</v>
      </c>
      <c r="O268" s="3">
        <f t="shared" si="254"/>
        <v>6.4356714597886458E-2</v>
      </c>
      <c r="P268" s="3">
        <f t="shared" si="254"/>
        <v>6.4356712940868102E-2</v>
      </c>
      <c r="Q268" s="3">
        <f t="shared" si="254"/>
        <v>6.4356696370686958E-2</v>
      </c>
      <c r="R268" s="3">
        <f t="shared" si="254"/>
        <v>6.4356530669110026E-2</v>
      </c>
      <c r="S268" s="3">
        <f t="shared" si="254"/>
        <v>6.4354873676805674E-2</v>
      </c>
      <c r="T268" s="3">
        <f t="shared" si="254"/>
        <v>6.4338306100029607E-2</v>
      </c>
      <c r="U268" s="3">
        <f t="shared" si="254"/>
        <v>6.4172864735642807E-2</v>
      </c>
      <c r="V268" s="3">
        <f t="shared" si="254"/>
        <v>6.2541669653456269E-2</v>
      </c>
      <c r="W268" s="3">
        <f t="shared" si="254"/>
        <v>4.8344816229085999E-2</v>
      </c>
      <c r="X268" s="3">
        <f t="shared" si="254"/>
        <v>3.6825982128521322E-3</v>
      </c>
      <c r="Y268" s="3">
        <f t="shared" si="254"/>
        <v>2.4221363179360815E-14</v>
      </c>
      <c r="Z268" s="3">
        <f t="shared" si="254"/>
        <v>3.6697883450875371E-126</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2.3762961942572935E-2</v>
      </c>
      <c r="C269" s="3">
        <f t="shared" si="255"/>
        <v>2.3762961942572935E-2</v>
      </c>
      <c r="D269" s="3">
        <f t="shared" si="255"/>
        <v>2.3762961942572935E-2</v>
      </c>
      <c r="E269" s="3">
        <f t="shared" si="255"/>
        <v>2.3762961942572935E-2</v>
      </c>
      <c r="F269" s="3">
        <f t="shared" si="255"/>
        <v>2.3762961942572935E-2</v>
      </c>
      <c r="G269" s="3">
        <f t="shared" si="255"/>
        <v>2.3762961942572935E-2</v>
      </c>
      <c r="H269" s="3">
        <f t="shared" si="255"/>
        <v>2.3762961942572935E-2</v>
      </c>
      <c r="I269" s="3">
        <f t="shared" si="255"/>
        <v>2.3762961942572929E-2</v>
      </c>
      <c r="J269" s="3">
        <f t="shared" si="255"/>
        <v>2.3762961942572877E-2</v>
      </c>
      <c r="K269" s="3">
        <f t="shared" si="255"/>
        <v>2.3762961942572325E-2</v>
      </c>
      <c r="L269" s="3">
        <f t="shared" si="255"/>
        <v>2.3762961942566805E-2</v>
      </c>
      <c r="M269" s="3">
        <f t="shared" si="255"/>
        <v>2.376296194251161E-2</v>
      </c>
      <c r="N269" s="3">
        <f t="shared" si="255"/>
        <v>2.3762961941959683E-2</v>
      </c>
      <c r="O269" s="3">
        <f t="shared" si="255"/>
        <v>2.3762961936440428E-2</v>
      </c>
      <c r="P269" s="3">
        <f t="shared" si="255"/>
        <v>2.3762961881247859E-2</v>
      </c>
      <c r="Q269" s="3">
        <f t="shared" si="255"/>
        <v>2.3762961329322159E-2</v>
      </c>
      <c r="R269" s="3">
        <f t="shared" si="255"/>
        <v>2.3762955810065885E-2</v>
      </c>
      <c r="S269" s="3">
        <f t="shared" si="255"/>
        <v>2.3762900617573648E-2</v>
      </c>
      <c r="T269" s="3">
        <f t="shared" si="255"/>
        <v>2.3762348699701782E-2</v>
      </c>
      <c r="U269" s="3">
        <f t="shared" si="255"/>
        <v>2.3756830225971377E-2</v>
      </c>
      <c r="V269" s="3">
        <f t="shared" si="255"/>
        <v>2.3701715926947319E-2</v>
      </c>
      <c r="W269" s="3">
        <f t="shared" si="255"/>
        <v>2.3157556606175224E-2</v>
      </c>
      <c r="X269" s="3">
        <f t="shared" si="255"/>
        <v>1.8357865806400229E-2</v>
      </c>
      <c r="Y269" s="3">
        <f t="shared" si="255"/>
        <v>1.7993545928464232E-3</v>
      </c>
      <c r="Z269" s="3">
        <f t="shared" si="255"/>
        <v>1.4725241133765408E-13</v>
      </c>
      <c r="AA269" s="3">
        <f t="shared" si="255"/>
        <v>1.9838964533247705E-114</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4.2794407584768095E-2</v>
      </c>
      <c r="C270" s="3">
        <f t="shared" si="256"/>
        <v>4.2794407584768095E-2</v>
      </c>
      <c r="D270" s="3">
        <f t="shared" si="256"/>
        <v>4.2794407584768095E-2</v>
      </c>
      <c r="E270" s="3">
        <f t="shared" si="256"/>
        <v>4.2794407584768095E-2</v>
      </c>
      <c r="F270" s="3">
        <f t="shared" si="256"/>
        <v>4.2794407584768095E-2</v>
      </c>
      <c r="G270" s="3">
        <f t="shared" si="256"/>
        <v>4.2794407584768095E-2</v>
      </c>
      <c r="H270" s="3">
        <f t="shared" si="256"/>
        <v>4.2794407584768095E-2</v>
      </c>
      <c r="I270" s="3">
        <f t="shared" si="256"/>
        <v>4.2794407584768088E-2</v>
      </c>
      <c r="J270" s="3">
        <f t="shared" si="256"/>
        <v>4.2794407584768067E-2</v>
      </c>
      <c r="K270" s="3">
        <f t="shared" si="256"/>
        <v>4.2794407584767789E-2</v>
      </c>
      <c r="L270" s="3">
        <f t="shared" si="256"/>
        <v>4.2794407584765042E-2</v>
      </c>
      <c r="M270" s="3">
        <f t="shared" si="256"/>
        <v>4.279440758473755E-2</v>
      </c>
      <c r="N270" s="3">
        <f t="shared" si="256"/>
        <v>4.2794407584462645E-2</v>
      </c>
      <c r="O270" s="3">
        <f t="shared" si="256"/>
        <v>4.2794407581713614E-2</v>
      </c>
      <c r="P270" s="3">
        <f t="shared" si="256"/>
        <v>4.2794407554223285E-2</v>
      </c>
      <c r="Q270" s="3">
        <f t="shared" si="256"/>
        <v>4.2794407279320004E-2</v>
      </c>
      <c r="R270" s="3">
        <f t="shared" si="256"/>
        <v>4.279440453028726E-2</v>
      </c>
      <c r="S270" s="3">
        <f t="shared" si="256"/>
        <v>4.2794377039969543E-2</v>
      </c>
      <c r="T270" s="3">
        <f t="shared" si="256"/>
        <v>4.2794102137763655E-2</v>
      </c>
      <c r="U270" s="3">
        <f t="shared" si="256"/>
        <v>4.2791353212828204E-2</v>
      </c>
      <c r="V270" s="3">
        <f t="shared" si="256"/>
        <v>4.2763873673509714E-2</v>
      </c>
      <c r="W270" s="3">
        <f t="shared" si="256"/>
        <v>4.2490046979999238E-2</v>
      </c>
      <c r="X270" s="3">
        <f t="shared" si="256"/>
        <v>3.984638662381966E-2</v>
      </c>
      <c r="Y270" s="3">
        <f t="shared" si="256"/>
        <v>2.0960723890677373E-2</v>
      </c>
      <c r="Z270" s="3">
        <f t="shared" si="256"/>
        <v>3.4007883451080928E-5</v>
      </c>
      <c r="AA270" s="3">
        <f t="shared" si="256"/>
        <v>4.2984597815093266E-33</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2.2817294808056693E-2</v>
      </c>
      <c r="C271" s="3">
        <f t="shared" si="257"/>
        <v>2.2817294808056693E-2</v>
      </c>
      <c r="D271" s="3">
        <f t="shared" si="257"/>
        <v>2.2817294808056693E-2</v>
      </c>
      <c r="E271" s="3">
        <f t="shared" si="257"/>
        <v>2.2817294808056693E-2</v>
      </c>
      <c r="F271" s="3">
        <f t="shared" si="257"/>
        <v>2.2817294808056693E-2</v>
      </c>
      <c r="G271" s="3">
        <f t="shared" si="257"/>
        <v>2.2817294808056693E-2</v>
      </c>
      <c r="H271" s="3">
        <f t="shared" si="257"/>
        <v>2.2817294808056693E-2</v>
      </c>
      <c r="I271" s="3">
        <f t="shared" si="257"/>
        <v>2.2817294808056693E-2</v>
      </c>
      <c r="J271" s="3">
        <f t="shared" si="257"/>
        <v>2.2817294808056689E-2</v>
      </c>
      <c r="K271" s="3">
        <f t="shared" si="257"/>
        <v>2.2817294808056679E-2</v>
      </c>
      <c r="L271" s="3">
        <f t="shared" si="257"/>
        <v>2.281729480805653E-2</v>
      </c>
      <c r="M271" s="3">
        <f t="shared" si="257"/>
        <v>2.2817294808055066E-2</v>
      </c>
      <c r="N271" s="3">
        <f t="shared" si="257"/>
        <v>2.2817294808040407E-2</v>
      </c>
      <c r="O271" s="3">
        <f t="shared" si="257"/>
        <v>2.281729480789383E-2</v>
      </c>
      <c r="P271" s="3">
        <f t="shared" si="257"/>
        <v>2.2817294806428093E-2</v>
      </c>
      <c r="Q271" s="3">
        <f t="shared" si="257"/>
        <v>2.2817294791770689E-2</v>
      </c>
      <c r="R271" s="3">
        <f t="shared" si="257"/>
        <v>2.2817294645196648E-2</v>
      </c>
      <c r="S271" s="3">
        <f t="shared" si="257"/>
        <v>2.2817293179456282E-2</v>
      </c>
      <c r="T271" s="3">
        <f t="shared" si="257"/>
        <v>2.2817278522057827E-2</v>
      </c>
      <c r="U271" s="3">
        <f t="shared" si="257"/>
        <v>2.2817131948591123E-2</v>
      </c>
      <c r="V271" s="3">
        <f t="shared" si="257"/>
        <v>2.2815666265708773E-2</v>
      </c>
      <c r="W271" s="3">
        <f t="shared" si="257"/>
        <v>2.2801014614121411E-2</v>
      </c>
      <c r="X271" s="3">
        <f t="shared" si="257"/>
        <v>2.2655014593446567E-2</v>
      </c>
      <c r="Y271" s="3">
        <f t="shared" si="257"/>
        <v>2.1245457103958341E-2</v>
      </c>
      <c r="Z271" s="3">
        <f t="shared" si="257"/>
        <v>1.1175923289894854E-2</v>
      </c>
      <c r="AA271" s="3">
        <f t="shared" si="257"/>
        <v>1.8132460438067565E-5</v>
      </c>
      <c r="AB271" s="3">
        <f t="shared" si="257"/>
        <v>2.2918701202019399E-33</v>
      </c>
      <c r="AC271" s="3">
        <f t="shared" si="257"/>
        <v>0</v>
      </c>
      <c r="AD271" s="3">
        <f t="shared" si="257"/>
        <v>0</v>
      </c>
      <c r="AE271" s="3">
        <f t="shared" si="257"/>
        <v>0</v>
      </c>
      <c r="AF271" s="3">
        <f t="shared" si="257"/>
        <v>0</v>
      </c>
      <c r="AG271" s="3"/>
      <c r="AH271" s="3"/>
    </row>
    <row r="272" spans="2:34" x14ac:dyDescent="0.25">
      <c r="B272" s="3">
        <f t="shared" ref="B272:AF272" si="258">$C41*EXP(-B$246/$A41/EXP(-$E$126))</f>
        <v>1.5874068547548043E-2</v>
      </c>
      <c r="C272" s="3">
        <f t="shared" si="258"/>
        <v>1.5874068547548043E-2</v>
      </c>
      <c r="D272" s="3">
        <f t="shared" si="258"/>
        <v>1.5874068547548043E-2</v>
      </c>
      <c r="E272" s="3">
        <f t="shared" si="258"/>
        <v>1.5874068547548043E-2</v>
      </c>
      <c r="F272" s="3">
        <f t="shared" si="258"/>
        <v>1.5874068547548043E-2</v>
      </c>
      <c r="G272" s="3">
        <f t="shared" si="258"/>
        <v>1.5874068547548043E-2</v>
      </c>
      <c r="H272" s="3">
        <f t="shared" si="258"/>
        <v>1.5874068547548043E-2</v>
      </c>
      <c r="I272" s="3">
        <f t="shared" si="258"/>
        <v>1.5874068547548043E-2</v>
      </c>
      <c r="J272" s="3">
        <f t="shared" si="258"/>
        <v>1.5874068547548043E-2</v>
      </c>
      <c r="K272" s="3">
        <f t="shared" si="258"/>
        <v>1.587406854754804E-2</v>
      </c>
      <c r="L272" s="3">
        <f t="shared" si="258"/>
        <v>1.5874068547548033E-2</v>
      </c>
      <c r="M272" s="3">
        <f t="shared" si="258"/>
        <v>1.5874068547547929E-2</v>
      </c>
      <c r="N272" s="3">
        <f t="shared" si="258"/>
        <v>1.5874068547546909E-2</v>
      </c>
      <c r="O272" s="3">
        <f t="shared" si="258"/>
        <v>1.5874068547536712E-2</v>
      </c>
      <c r="P272" s="3">
        <f t="shared" si="258"/>
        <v>1.5874068547434741E-2</v>
      </c>
      <c r="Q272" s="3">
        <f t="shared" si="258"/>
        <v>1.5874068546415022E-2</v>
      </c>
      <c r="R272" s="3">
        <f t="shared" si="258"/>
        <v>1.5874068536217815E-2</v>
      </c>
      <c r="S272" s="3">
        <f t="shared" si="258"/>
        <v>1.5874068434245762E-2</v>
      </c>
      <c r="T272" s="3">
        <f t="shared" si="258"/>
        <v>1.5874067414525274E-2</v>
      </c>
      <c r="U272" s="3">
        <f t="shared" si="258"/>
        <v>1.5874057217323996E-2</v>
      </c>
      <c r="V272" s="3">
        <f t="shared" si="258"/>
        <v>1.5873955245671471E-2</v>
      </c>
      <c r="W272" s="3">
        <f t="shared" si="258"/>
        <v>1.587293556517301E-2</v>
      </c>
      <c r="X272" s="3">
        <f t="shared" si="258"/>
        <v>1.586274236200896E-2</v>
      </c>
      <c r="Y272" s="3">
        <f t="shared" si="258"/>
        <v>1.5761169657811019E-2</v>
      </c>
      <c r="Z272" s="3">
        <f t="shared" si="258"/>
        <v>1.4780535783459482E-2</v>
      </c>
      <c r="AA272" s="3">
        <f t="shared" si="258"/>
        <v>7.7751273268068452E-3</v>
      </c>
      <c r="AB272" s="3">
        <f t="shared" si="258"/>
        <v>1.2614813559228496E-5</v>
      </c>
      <c r="AC272" s="3">
        <f t="shared" si="258"/>
        <v>1.5944617316035503E-33</v>
      </c>
      <c r="AD272" s="3">
        <f t="shared" si="258"/>
        <v>0</v>
      </c>
      <c r="AE272" s="3">
        <f t="shared" si="258"/>
        <v>0</v>
      </c>
      <c r="AF272" s="3">
        <f t="shared" si="258"/>
        <v>0</v>
      </c>
      <c r="AG272" s="3"/>
      <c r="AH272" s="3"/>
    </row>
    <row r="273" spans="1:34" x14ac:dyDescent="0.25">
      <c r="B273" s="3">
        <f t="shared" ref="B273:AF273" si="259">$C42*EXP(-B$246/$A42/EXP(-$E$126))</f>
        <v>5.5424436077778048E-3</v>
      </c>
      <c r="C273" s="3">
        <f t="shared" si="259"/>
        <v>5.5424436077778048E-3</v>
      </c>
      <c r="D273" s="3">
        <f t="shared" si="259"/>
        <v>5.5424436077778048E-3</v>
      </c>
      <c r="E273" s="3">
        <f t="shared" si="259"/>
        <v>5.5424436077778048E-3</v>
      </c>
      <c r="F273" s="3">
        <f t="shared" si="259"/>
        <v>5.5424436077778048E-3</v>
      </c>
      <c r="G273" s="3">
        <f t="shared" si="259"/>
        <v>5.5424436077778048E-3</v>
      </c>
      <c r="H273" s="3">
        <f t="shared" si="259"/>
        <v>5.5424436077778048E-3</v>
      </c>
      <c r="I273" s="3">
        <f t="shared" si="259"/>
        <v>5.5424436077778048E-3</v>
      </c>
      <c r="J273" s="3">
        <f t="shared" si="259"/>
        <v>5.5424436077778048E-3</v>
      </c>
      <c r="K273" s="3">
        <f t="shared" si="259"/>
        <v>5.5424436077778048E-3</v>
      </c>
      <c r="L273" s="3">
        <f t="shared" si="259"/>
        <v>5.542443607777804E-3</v>
      </c>
      <c r="M273" s="3">
        <f t="shared" si="259"/>
        <v>5.5424436077778014E-3</v>
      </c>
      <c r="N273" s="3">
        <f t="shared" si="259"/>
        <v>5.5424436077777658E-3</v>
      </c>
      <c r="O273" s="3">
        <f t="shared" si="259"/>
        <v>5.5424436077774093E-3</v>
      </c>
      <c r="P273" s="3">
        <f t="shared" si="259"/>
        <v>5.5424436077738488E-3</v>
      </c>
      <c r="Q273" s="3">
        <f t="shared" si="259"/>
        <v>5.5424436077382453E-3</v>
      </c>
      <c r="R273" s="3">
        <f t="shared" si="259"/>
        <v>5.542443607382209E-3</v>
      </c>
      <c r="S273" s="3">
        <f t="shared" si="259"/>
        <v>5.5424436038218469E-3</v>
      </c>
      <c r="T273" s="3">
        <f t="shared" si="259"/>
        <v>5.5424435682182235E-3</v>
      </c>
      <c r="U273" s="3">
        <f t="shared" si="259"/>
        <v>5.5424432121820074E-3</v>
      </c>
      <c r="V273" s="3">
        <f t="shared" si="259"/>
        <v>5.5424396518211029E-3</v>
      </c>
      <c r="W273" s="3">
        <f t="shared" si="259"/>
        <v>5.5424040483378493E-3</v>
      </c>
      <c r="X273" s="3">
        <f t="shared" si="259"/>
        <v>5.5420480260840871E-3</v>
      </c>
      <c r="Y273" s="3">
        <f t="shared" si="259"/>
        <v>5.5384890611249685E-3</v>
      </c>
      <c r="Z273" s="3">
        <f t="shared" si="259"/>
        <v>5.5030248709949884E-3</v>
      </c>
      <c r="AA273" s="3">
        <f t="shared" si="259"/>
        <v>5.1606357769709756E-3</v>
      </c>
      <c r="AB273" s="3">
        <f t="shared" si="259"/>
        <v>2.7146918651031931E-3</v>
      </c>
      <c r="AC273" s="3">
        <f t="shared" si="259"/>
        <v>4.4044721468368824E-6</v>
      </c>
      <c r="AD273" s="3">
        <f t="shared" si="259"/>
        <v>5.5670757661793323E-34</v>
      </c>
      <c r="AE273" s="3">
        <f t="shared" si="259"/>
        <v>0</v>
      </c>
      <c r="AF273" s="3">
        <f t="shared" si="259"/>
        <v>0</v>
      </c>
      <c r="AG273" s="3"/>
      <c r="AH273" s="3"/>
    </row>
    <row r="274" spans="1:34" x14ac:dyDescent="0.25">
      <c r="B274" s="3">
        <f t="shared" ref="B274:AF274" si="260">$C43*EXP(-B$246/$A43/EXP(-$E$126))</f>
        <v>3.8861309197679899E-3</v>
      </c>
      <c r="C274" s="3">
        <f t="shared" si="260"/>
        <v>3.8861309197679899E-3</v>
      </c>
      <c r="D274" s="3">
        <f t="shared" si="260"/>
        <v>3.8861309197679899E-3</v>
      </c>
      <c r="E274" s="3">
        <f t="shared" si="260"/>
        <v>3.8861309197679899E-3</v>
      </c>
      <c r="F274" s="3">
        <f t="shared" si="260"/>
        <v>3.8861309197679899E-3</v>
      </c>
      <c r="G274" s="3">
        <f t="shared" si="260"/>
        <v>3.8861309197679899E-3</v>
      </c>
      <c r="H274" s="3">
        <f t="shared" si="260"/>
        <v>3.8861309197679899E-3</v>
      </c>
      <c r="I274" s="3">
        <f t="shared" si="260"/>
        <v>3.8861309197679899E-3</v>
      </c>
      <c r="J274" s="3">
        <f t="shared" si="260"/>
        <v>3.8861309197679899E-3</v>
      </c>
      <c r="K274" s="3">
        <f t="shared" si="260"/>
        <v>3.8861309197679899E-3</v>
      </c>
      <c r="L274" s="3">
        <f t="shared" si="260"/>
        <v>3.8861309197679899E-3</v>
      </c>
      <c r="M274" s="3">
        <f t="shared" si="260"/>
        <v>3.8861309197679894E-3</v>
      </c>
      <c r="N274" s="3">
        <f t="shared" si="260"/>
        <v>3.8861309197679873E-3</v>
      </c>
      <c r="O274" s="3">
        <f t="shared" si="260"/>
        <v>3.8861309197679621E-3</v>
      </c>
      <c r="P274" s="3">
        <f t="shared" si="260"/>
        <v>3.8861309197677123E-3</v>
      </c>
      <c r="Q274" s="3">
        <f t="shared" si="260"/>
        <v>3.886130919765216E-3</v>
      </c>
      <c r="R274" s="3">
        <f t="shared" si="260"/>
        <v>3.8861309197402521E-3</v>
      </c>
      <c r="S274" s="3">
        <f t="shared" si="260"/>
        <v>3.8861309194906145E-3</v>
      </c>
      <c r="T274" s="3">
        <f t="shared" si="260"/>
        <v>3.8861309169942364E-3</v>
      </c>
      <c r="U274" s="3">
        <f t="shared" si="260"/>
        <v>3.8861308920304571E-3</v>
      </c>
      <c r="V274" s="3">
        <f t="shared" si="260"/>
        <v>3.8861306423926718E-3</v>
      </c>
      <c r="W274" s="3">
        <f t="shared" si="260"/>
        <v>3.8861281460156986E-3</v>
      </c>
      <c r="X274" s="3">
        <f t="shared" si="260"/>
        <v>3.8861031823341683E-3</v>
      </c>
      <c r="Y274" s="3">
        <f t="shared" si="260"/>
        <v>3.8858535543385801E-3</v>
      </c>
      <c r="Z274" s="3">
        <f t="shared" si="260"/>
        <v>3.8833581561444346E-3</v>
      </c>
      <c r="AA274" s="3">
        <f t="shared" si="260"/>
        <v>3.8584921411586905E-3</v>
      </c>
      <c r="AB274" s="3">
        <f t="shared" si="260"/>
        <v>3.6184231501073683E-3</v>
      </c>
      <c r="AC274" s="3">
        <f t="shared" si="260"/>
        <v>1.9034290181709115E-3</v>
      </c>
      <c r="AD274" s="3">
        <f t="shared" si="260"/>
        <v>3.0882326652922612E-6</v>
      </c>
      <c r="AE274" s="3">
        <f t="shared" si="260"/>
        <v>3.903401964664228E-34</v>
      </c>
      <c r="AF274" s="3">
        <f t="shared" si="260"/>
        <v>0</v>
      </c>
      <c r="AG274" s="3"/>
      <c r="AH274" s="3"/>
    </row>
    <row r="275" spans="1:34" x14ac:dyDescent="0.25">
      <c r="B275" s="3">
        <f t="shared" ref="B275:AF275" si="261">$C44*EXP(-B$246/$A44/EXP(-$E$126))</f>
        <v>2.064572113999586E-3</v>
      </c>
      <c r="C275" s="3">
        <f t="shared" si="261"/>
        <v>2.064572113999586E-3</v>
      </c>
      <c r="D275" s="3">
        <f t="shared" si="261"/>
        <v>2.064572113999586E-3</v>
      </c>
      <c r="E275" s="3">
        <f t="shared" si="261"/>
        <v>2.064572113999586E-3</v>
      </c>
      <c r="F275" s="3">
        <f t="shared" si="261"/>
        <v>2.064572113999586E-3</v>
      </c>
      <c r="G275" s="3">
        <f t="shared" si="261"/>
        <v>2.064572113999586E-3</v>
      </c>
      <c r="H275" s="3">
        <f t="shared" si="261"/>
        <v>2.064572113999586E-3</v>
      </c>
      <c r="I275" s="3">
        <f t="shared" si="261"/>
        <v>2.064572113999586E-3</v>
      </c>
      <c r="J275" s="3">
        <f t="shared" si="261"/>
        <v>2.064572113999586E-3</v>
      </c>
      <c r="K275" s="3">
        <f t="shared" si="261"/>
        <v>2.064572113999586E-3</v>
      </c>
      <c r="L275" s="3">
        <f t="shared" si="261"/>
        <v>2.064572113999586E-3</v>
      </c>
      <c r="M275" s="3">
        <f t="shared" si="261"/>
        <v>2.064572113999586E-3</v>
      </c>
      <c r="N275" s="3">
        <f t="shared" si="261"/>
        <v>2.0645721139995856E-3</v>
      </c>
      <c r="O275" s="3">
        <f t="shared" si="261"/>
        <v>2.0645721139995847E-3</v>
      </c>
      <c r="P275" s="3">
        <f t="shared" si="261"/>
        <v>2.0645721139995713E-3</v>
      </c>
      <c r="Q275" s="3">
        <f t="shared" si="261"/>
        <v>2.0645721139994386E-3</v>
      </c>
      <c r="R275" s="3">
        <f t="shared" si="261"/>
        <v>2.0645721139981124E-3</v>
      </c>
      <c r="S275" s="3">
        <f t="shared" si="261"/>
        <v>2.06457211398485E-3</v>
      </c>
      <c r="T275" s="3">
        <f t="shared" si="261"/>
        <v>2.0645721138522256E-3</v>
      </c>
      <c r="U275" s="3">
        <f t="shared" si="261"/>
        <v>2.0645721125259831E-3</v>
      </c>
      <c r="V275" s="3">
        <f t="shared" si="261"/>
        <v>2.0645720992635572E-3</v>
      </c>
      <c r="W275" s="3">
        <f t="shared" si="261"/>
        <v>2.0645719666393045E-3</v>
      </c>
      <c r="X275" s="3">
        <f t="shared" si="261"/>
        <v>2.0645706403972421E-3</v>
      </c>
      <c r="Y275" s="3">
        <f t="shared" si="261"/>
        <v>2.0645573780234791E-3</v>
      </c>
      <c r="Z275" s="3">
        <f t="shared" si="261"/>
        <v>2.0644247589714695E-3</v>
      </c>
      <c r="AA275" s="3">
        <f t="shared" si="261"/>
        <v>2.0630990369020583E-3</v>
      </c>
      <c r="AB275" s="3">
        <f t="shared" si="261"/>
        <v>2.0498885501259389E-3</v>
      </c>
      <c r="AC275" s="3">
        <f t="shared" si="261"/>
        <v>1.9223478793164834E-3</v>
      </c>
      <c r="AD275" s="3">
        <f t="shared" si="261"/>
        <v>1.0112285337334674E-3</v>
      </c>
      <c r="AE275" s="3">
        <f t="shared" si="261"/>
        <v>1.6406753076362318E-6</v>
      </c>
      <c r="AF275" s="3">
        <f t="shared" si="261"/>
        <v>2.0737476457581858E-34</v>
      </c>
      <c r="AG275" s="3"/>
      <c r="AH275" s="3"/>
    </row>
    <row r="276" spans="1:34" x14ac:dyDescent="0.25">
      <c r="B276" s="3">
        <f t="shared" ref="B276:AF276" si="262">$C45*EXP(-B$246/$A45/EXP(-$E$126))</f>
        <v>5.3484126683110472E-4</v>
      </c>
      <c r="C276" s="3">
        <f t="shared" si="262"/>
        <v>5.3484126683110472E-4</v>
      </c>
      <c r="D276" s="3">
        <f t="shared" si="262"/>
        <v>5.3484126683110472E-4</v>
      </c>
      <c r="E276" s="3">
        <f t="shared" si="262"/>
        <v>5.3484126683110472E-4</v>
      </c>
      <c r="F276" s="3">
        <f t="shared" si="262"/>
        <v>5.3484126683110472E-4</v>
      </c>
      <c r="G276" s="3">
        <f t="shared" si="262"/>
        <v>5.3484126683110472E-4</v>
      </c>
      <c r="H276" s="3">
        <f t="shared" si="262"/>
        <v>5.3484126683110472E-4</v>
      </c>
      <c r="I276" s="3">
        <f t="shared" si="262"/>
        <v>5.3484126683110472E-4</v>
      </c>
      <c r="J276" s="3">
        <f t="shared" si="262"/>
        <v>5.3484126683110472E-4</v>
      </c>
      <c r="K276" s="3">
        <f t="shared" si="262"/>
        <v>5.3484126683110472E-4</v>
      </c>
      <c r="L276" s="3">
        <f t="shared" si="262"/>
        <v>5.3484126683110472E-4</v>
      </c>
      <c r="M276" s="3">
        <f t="shared" si="262"/>
        <v>5.3484126683110472E-4</v>
      </c>
      <c r="N276" s="3">
        <f t="shared" si="262"/>
        <v>5.3484126683110472E-4</v>
      </c>
      <c r="O276" s="3">
        <f t="shared" si="262"/>
        <v>5.3484126683110461E-4</v>
      </c>
      <c r="P276" s="3">
        <f t="shared" si="262"/>
        <v>5.348412668311044E-4</v>
      </c>
      <c r="Q276" s="3">
        <f t="shared" si="262"/>
        <v>5.3484126683110093E-4</v>
      </c>
      <c r="R276" s="3">
        <f t="shared" si="262"/>
        <v>5.3484126683106656E-4</v>
      </c>
      <c r="S276" s="3">
        <f t="shared" si="262"/>
        <v>5.3484126683072297E-4</v>
      </c>
      <c r="T276" s="3">
        <f t="shared" si="262"/>
        <v>5.3484126682728725E-4</v>
      </c>
      <c r="U276" s="3">
        <f t="shared" si="262"/>
        <v>5.3484126679293007E-4</v>
      </c>
      <c r="V276" s="3">
        <f t="shared" si="262"/>
        <v>5.34841266449358E-4</v>
      </c>
      <c r="W276" s="3">
        <f t="shared" si="262"/>
        <v>5.3484126301363755E-4</v>
      </c>
      <c r="X276" s="3">
        <f t="shared" si="262"/>
        <v>5.3484122865643448E-4</v>
      </c>
      <c r="Y276" s="3">
        <f t="shared" si="262"/>
        <v>5.3484088508452441E-4</v>
      </c>
      <c r="Z276" s="3">
        <f t="shared" si="262"/>
        <v>5.3483744937756286E-4</v>
      </c>
      <c r="AA276" s="3">
        <f t="shared" si="262"/>
        <v>5.348030935217892E-4</v>
      </c>
      <c r="AB276" s="3">
        <f t="shared" si="262"/>
        <v>5.3445965631934819E-4</v>
      </c>
      <c r="AC276" s="3">
        <f t="shared" si="262"/>
        <v>5.3103739103014624E-4</v>
      </c>
      <c r="AD276" s="3">
        <f t="shared" si="262"/>
        <v>4.9799712400064018E-4</v>
      </c>
      <c r="AE276" s="3">
        <f t="shared" si="262"/>
        <v>2.619655406417432E-4</v>
      </c>
      <c r="AF276" s="3">
        <f t="shared" si="262"/>
        <v>4.2502795327150807E-7</v>
      </c>
      <c r="AG276" s="3"/>
      <c r="AH276" s="3"/>
    </row>
    <row r="277" spans="1:34" x14ac:dyDescent="0.25">
      <c r="B277" s="3">
        <f t="shared" ref="B277:AF277" si="263">$C46*EXP(-B$246/$A46/EXP(-$E$126))</f>
        <v>1.465148476990797E-3</v>
      </c>
      <c r="C277" s="3">
        <f t="shared" si="263"/>
        <v>1.465148476990797E-3</v>
      </c>
      <c r="D277" s="3">
        <f t="shared" si="263"/>
        <v>1.465148476990797E-3</v>
      </c>
      <c r="E277" s="3">
        <f t="shared" si="263"/>
        <v>1.465148476990797E-3</v>
      </c>
      <c r="F277" s="3">
        <f t="shared" si="263"/>
        <v>1.465148476990797E-3</v>
      </c>
      <c r="G277" s="3">
        <f t="shared" si="263"/>
        <v>1.465148476990797E-3</v>
      </c>
      <c r="H277" s="3">
        <f t="shared" si="263"/>
        <v>1.465148476990797E-3</v>
      </c>
      <c r="I277" s="3">
        <f t="shared" si="263"/>
        <v>1.465148476990797E-3</v>
      </c>
      <c r="J277" s="3">
        <f t="shared" si="263"/>
        <v>1.465148476990797E-3</v>
      </c>
      <c r="K277" s="3">
        <f t="shared" si="263"/>
        <v>1.465148476990797E-3</v>
      </c>
      <c r="L277" s="3">
        <f t="shared" si="263"/>
        <v>1.465148476990797E-3</v>
      </c>
      <c r="M277" s="3">
        <f t="shared" si="263"/>
        <v>1.465148476990797E-3</v>
      </c>
      <c r="N277" s="3">
        <f t="shared" si="263"/>
        <v>1.465148476990797E-3</v>
      </c>
      <c r="O277" s="3">
        <f t="shared" si="263"/>
        <v>1.465148476990797E-3</v>
      </c>
      <c r="P277" s="3">
        <f t="shared" si="263"/>
        <v>1.4651484769907968E-3</v>
      </c>
      <c r="Q277" s="3">
        <f t="shared" si="263"/>
        <v>1.4651484769907959E-3</v>
      </c>
      <c r="R277" s="3">
        <f t="shared" si="263"/>
        <v>1.4651484769907866E-3</v>
      </c>
      <c r="S277" s="3">
        <f t="shared" si="263"/>
        <v>1.4651484769906925E-3</v>
      </c>
      <c r="T277" s="3">
        <f t="shared" si="263"/>
        <v>1.4651484769897512E-3</v>
      </c>
      <c r="U277" s="3">
        <f t="shared" si="263"/>
        <v>1.4651484769803392E-3</v>
      </c>
      <c r="V277" s="3">
        <f t="shared" si="263"/>
        <v>1.4651484768862209E-3</v>
      </c>
      <c r="W277" s="3">
        <f t="shared" si="263"/>
        <v>1.465148475945037E-3</v>
      </c>
      <c r="X277" s="3">
        <f t="shared" si="263"/>
        <v>1.4651484665331967E-3</v>
      </c>
      <c r="Y277" s="3">
        <f t="shared" si="263"/>
        <v>1.4651483724147975E-3</v>
      </c>
      <c r="Z277" s="3">
        <f t="shared" si="263"/>
        <v>1.4651474312311382E-3</v>
      </c>
      <c r="AA277" s="3">
        <f t="shared" si="263"/>
        <v>1.4651380194277972E-3</v>
      </c>
      <c r="AB277" s="3">
        <f t="shared" si="263"/>
        <v>1.4650439047195947E-3</v>
      </c>
      <c r="AC277" s="3">
        <f t="shared" si="263"/>
        <v>1.4641030900792438E-3</v>
      </c>
      <c r="AD277" s="3">
        <f t="shared" si="263"/>
        <v>1.4547281089637419E-3</v>
      </c>
      <c r="AE277" s="3">
        <f t="shared" si="263"/>
        <v>1.3642173351701091E-3</v>
      </c>
      <c r="AF277" s="3">
        <f t="shared" si="263"/>
        <v>7.1763051338468462E-4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1.026110794379005E-2</v>
      </c>
      <c r="C279" s="3">
        <f t="shared" si="265"/>
        <v>1.026110794379005E-2</v>
      </c>
      <c r="D279" s="3">
        <f t="shared" si="265"/>
        <v>1.026110794379005E-2</v>
      </c>
      <c r="E279" s="3">
        <f t="shared" si="265"/>
        <v>1.026110794379005E-2</v>
      </c>
      <c r="F279" s="3">
        <f t="shared" si="265"/>
        <v>1.026110794379005E-2</v>
      </c>
      <c r="G279" s="3">
        <f t="shared" si="265"/>
        <v>1.026110794379005E-2</v>
      </c>
      <c r="H279" s="3">
        <f t="shared" si="265"/>
        <v>1.026110794379005E-2</v>
      </c>
      <c r="I279" s="3">
        <f t="shared" si="265"/>
        <v>1.026110794379005E-2</v>
      </c>
      <c r="J279" s="3">
        <f t="shared" si="265"/>
        <v>1.026110794379005E-2</v>
      </c>
      <c r="K279" s="3">
        <f t="shared" si="265"/>
        <v>1.026110794379005E-2</v>
      </c>
      <c r="L279" s="3">
        <f t="shared" si="265"/>
        <v>1.026110794379005E-2</v>
      </c>
      <c r="M279" s="3">
        <f t="shared" si="265"/>
        <v>1.026110794379005E-2</v>
      </c>
      <c r="N279" s="3">
        <f t="shared" si="265"/>
        <v>1.026110794379005E-2</v>
      </c>
      <c r="O279" s="3">
        <f t="shared" si="265"/>
        <v>1.026110794379005E-2</v>
      </c>
      <c r="P279" s="3">
        <f t="shared" si="265"/>
        <v>1.026110794379005E-2</v>
      </c>
      <c r="Q279" s="3">
        <f t="shared" si="265"/>
        <v>1.026110794379005E-2</v>
      </c>
      <c r="R279" s="3">
        <f t="shared" si="265"/>
        <v>1.0261107943790048E-2</v>
      </c>
      <c r="S279" s="3">
        <f t="shared" si="265"/>
        <v>1.0261107943790043E-2</v>
      </c>
      <c r="T279" s="3">
        <f t="shared" si="265"/>
        <v>1.0261107943789977E-2</v>
      </c>
      <c r="U279" s="3">
        <f t="shared" si="265"/>
        <v>1.0261107943789318E-2</v>
      </c>
      <c r="V279" s="3">
        <f t="shared" si="265"/>
        <v>1.0261107943782726E-2</v>
      </c>
      <c r="W279" s="3">
        <f t="shared" si="265"/>
        <v>1.026110794371681E-2</v>
      </c>
      <c r="X279" s="3">
        <f t="shared" si="265"/>
        <v>1.0261107943057656E-2</v>
      </c>
      <c r="Y279" s="3">
        <f t="shared" si="265"/>
        <v>1.0261107936466111E-2</v>
      </c>
      <c r="Z279" s="3">
        <f t="shared" si="265"/>
        <v>1.026110787055067E-2</v>
      </c>
      <c r="AA279" s="3">
        <f t="shared" si="265"/>
        <v>1.0261107211396277E-2</v>
      </c>
      <c r="AB279" s="3">
        <f t="shared" si="265"/>
        <v>1.0261100619854687E-2</v>
      </c>
      <c r="AC279" s="3">
        <f t="shared" si="265"/>
        <v>1.0261034704671657E-2</v>
      </c>
      <c r="AD279" s="3">
        <f t="shared" si="265"/>
        <v>1.0260375576129306E-2</v>
      </c>
      <c r="AE279" s="3">
        <f t="shared" si="265"/>
        <v>1.0253786618947599E-2</v>
      </c>
      <c r="AF279" s="3">
        <f t="shared" si="265"/>
        <v>1.0188129318880143E-2</v>
      </c>
      <c r="AG279" s="3"/>
      <c r="AH279" s="3"/>
    </row>
    <row r="280" spans="1:34" x14ac:dyDescent="0.25">
      <c r="A280" s="79">
        <f>AVERAGE(B280:AF280)</f>
        <v>1.1569632192241875E-2</v>
      </c>
      <c r="B280" s="80">
        <f>IF($D$61&lt;=B246,IF($E$61&gt;=B246,ABS((B248-B247)/B247),0),0)</f>
        <v>3.3623098439961141E-2</v>
      </c>
      <c r="C280" s="80">
        <f t="shared" ref="C280:AF280" si="266">IF($D$61&lt;=C246,IF($E$61&gt;=C246,ABS((C248-C247)/C247),0),0)</f>
        <v>1.4628149238268127E-2</v>
      </c>
      <c r="D280" s="80">
        <f t="shared" si="266"/>
        <v>2.1725828502276372E-3</v>
      </c>
      <c r="E280" s="80">
        <f t="shared" si="266"/>
        <v>1.1573064272095946E-2</v>
      </c>
      <c r="F280" s="80">
        <f t="shared" si="266"/>
        <v>1.2105650838137087E-2</v>
      </c>
      <c r="G280" s="80">
        <f t="shared" si="266"/>
        <v>9.8837780058211935E-3</v>
      </c>
      <c r="H280" s="80">
        <f t="shared" si="266"/>
        <v>1.1508367204432051E-2</v>
      </c>
      <c r="I280" s="80">
        <f t="shared" si="266"/>
        <v>9.8565031150820766E-3</v>
      </c>
      <c r="J280" s="80">
        <f t="shared" si="266"/>
        <v>1.0961303566807593E-2</v>
      </c>
      <c r="K280" s="80">
        <f t="shared" si="266"/>
        <v>1.1924502423943181E-2</v>
      </c>
      <c r="L280" s="80">
        <f t="shared" si="266"/>
        <v>1.1390405081314533E-2</v>
      </c>
      <c r="M280" s="80">
        <f t="shared" si="266"/>
        <v>1.1644075331757056E-2</v>
      </c>
      <c r="N280" s="80">
        <f t="shared" si="266"/>
        <v>1.0875136614180814E-2</v>
      </c>
      <c r="O280" s="80">
        <f t="shared" si="266"/>
        <v>1.2019604753992321E-2</v>
      </c>
      <c r="P280" s="80">
        <f t="shared" si="266"/>
        <v>1.1771706956936055E-2</v>
      </c>
      <c r="Q280" s="80">
        <f t="shared" si="266"/>
        <v>1.1344912407254383E-2</v>
      </c>
      <c r="R280" s="80">
        <f t="shared" si="266"/>
        <v>9.4414366402545691E-3</v>
      </c>
      <c r="S280" s="80">
        <f t="shared" si="266"/>
        <v>1.5132574094645098E-2</v>
      </c>
      <c r="T280" s="80">
        <f t="shared" si="266"/>
        <v>4.1919897036901375E-2</v>
      </c>
      <c r="U280" s="80">
        <f t="shared" si="266"/>
        <v>3.9920909089524219E-2</v>
      </c>
      <c r="V280" s="80">
        <f t="shared" si="266"/>
        <v>2.3388424248446744E-2</v>
      </c>
      <c r="W280" s="80">
        <f t="shared" si="266"/>
        <v>9.8897869700036861E-3</v>
      </c>
      <c r="X280" s="80">
        <f t="shared" si="266"/>
        <v>1.410683714924355E-2</v>
      </c>
      <c r="Y280" s="80">
        <f t="shared" si="266"/>
        <v>7.5758916302676466E-3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130931.88090193196</v>
      </c>
      <c r="C281" s="21">
        <f t="shared" ref="C281:AF281" si="267">(C248-C247)^2</f>
        <v>23803.796192872756</v>
      </c>
      <c r="D281" s="21">
        <f t="shared" si="267"/>
        <v>505.6203507361214</v>
      </c>
      <c r="E281" s="21">
        <f t="shared" si="267"/>
        <v>13752.942145519743</v>
      </c>
      <c r="F281" s="21">
        <f t="shared" si="267"/>
        <v>14358.696359597407</v>
      </c>
      <c r="G281" s="21">
        <f t="shared" si="267"/>
        <v>9046.557900630587</v>
      </c>
      <c r="H281" s="21">
        <f t="shared" si="267"/>
        <v>11637.807730663104</v>
      </c>
      <c r="I281" s="21">
        <f t="shared" si="267"/>
        <v>8070.0596312648759</v>
      </c>
      <c r="J281" s="21">
        <f t="shared" si="267"/>
        <v>9354.735743260946</v>
      </c>
      <c r="K281" s="21">
        <f t="shared" si="267"/>
        <v>10220.228508226886</v>
      </c>
      <c r="L281" s="21">
        <f t="shared" si="267"/>
        <v>8551.4308807259386</v>
      </c>
      <c r="M281" s="21">
        <f t="shared" si="267"/>
        <v>8274.1400797541337</v>
      </c>
      <c r="N281" s="21">
        <f t="shared" si="267"/>
        <v>6713.9652654543052</v>
      </c>
      <c r="O281" s="21">
        <f t="shared" si="267"/>
        <v>7608.1348168932564</v>
      </c>
      <c r="P281" s="21">
        <f t="shared" si="267"/>
        <v>6734.6509692241398</v>
      </c>
      <c r="Q281" s="21">
        <f t="shared" si="267"/>
        <v>5757.8868456466816</v>
      </c>
      <c r="R281" s="21">
        <f t="shared" si="267"/>
        <v>3574.9990780754033</v>
      </c>
      <c r="S281" s="21">
        <f t="shared" si="267"/>
        <v>7460.4506773633311</v>
      </c>
      <c r="T281" s="21">
        <f t="shared" si="267"/>
        <v>38874.488833419869</v>
      </c>
      <c r="U281" s="21">
        <f t="shared" si="267"/>
        <v>22014.496106175742</v>
      </c>
      <c r="V281" s="21">
        <f t="shared" si="267"/>
        <v>4682.1405559307213</v>
      </c>
      <c r="W281" s="21">
        <f t="shared" si="267"/>
        <v>504.55356339178707</v>
      </c>
      <c r="X281" s="21">
        <f t="shared" si="267"/>
        <v>568.98547576688634</v>
      </c>
      <c r="Y281" s="21">
        <f t="shared" si="267"/>
        <v>81.8854149774766</v>
      </c>
      <c r="Z281" s="21">
        <f t="shared" si="267"/>
        <v>288.44149923075634</v>
      </c>
      <c r="AA281" s="21">
        <f t="shared" si="267"/>
        <v>1.8041839570662594</v>
      </c>
      <c r="AB281" s="21">
        <f t="shared" si="267"/>
        <v>42.085802295521368</v>
      </c>
      <c r="AC281" s="21">
        <f t="shared" si="267"/>
        <v>0.4512663407257842</v>
      </c>
      <c r="AD281" s="21">
        <f t="shared" si="267"/>
        <v>3.8935005933110949</v>
      </c>
      <c r="AE281" s="21">
        <f t="shared" si="267"/>
        <v>1.4450140652632002</v>
      </c>
      <c r="AF281" s="21">
        <f t="shared" si="267"/>
        <v>0.70727722432557316</v>
      </c>
      <c r="AG281" s="3"/>
      <c r="AH281" s="3"/>
    </row>
    <row r="282" spans="1:34" s="3" customFormat="1" x14ac:dyDescent="0.25">
      <c r="A282" s="71">
        <f>SUM(B282:AF282)</f>
        <v>353084.53402750409</v>
      </c>
      <c r="B282" s="21">
        <f>IF($D$61&lt;=B246,IF($E$61&gt;=B246,ABS(B281),0),0)</f>
        <v>130931.88090193196</v>
      </c>
      <c r="C282" s="21">
        <f t="shared" ref="C282:AF282" si="268">IF($D$61&lt;=C246,IF($E$61&gt;=C246,ABS(C281),0),0)</f>
        <v>23803.796192872756</v>
      </c>
      <c r="D282" s="21">
        <f t="shared" si="268"/>
        <v>505.6203507361214</v>
      </c>
      <c r="E282" s="21">
        <f t="shared" si="268"/>
        <v>13752.942145519743</v>
      </c>
      <c r="F282" s="21">
        <f t="shared" si="268"/>
        <v>14358.696359597407</v>
      </c>
      <c r="G282" s="21">
        <f t="shared" si="268"/>
        <v>9046.557900630587</v>
      </c>
      <c r="H282" s="21">
        <f t="shared" si="268"/>
        <v>11637.807730663104</v>
      </c>
      <c r="I282" s="21">
        <f t="shared" si="268"/>
        <v>8070.0596312648759</v>
      </c>
      <c r="J282" s="21">
        <f t="shared" si="268"/>
        <v>9354.735743260946</v>
      </c>
      <c r="K282" s="21">
        <f t="shared" si="268"/>
        <v>10220.228508226886</v>
      </c>
      <c r="L282" s="21">
        <f t="shared" si="268"/>
        <v>8551.4308807259386</v>
      </c>
      <c r="M282" s="21">
        <f t="shared" si="268"/>
        <v>8274.1400797541337</v>
      </c>
      <c r="N282" s="21">
        <f t="shared" si="268"/>
        <v>6713.9652654543052</v>
      </c>
      <c r="O282" s="21">
        <f t="shared" si="268"/>
        <v>7608.1348168932564</v>
      </c>
      <c r="P282" s="21">
        <f t="shared" si="268"/>
        <v>6734.6509692241398</v>
      </c>
      <c r="Q282" s="21">
        <f t="shared" si="268"/>
        <v>5757.8868456466816</v>
      </c>
      <c r="R282" s="21">
        <f t="shared" si="268"/>
        <v>3574.9990780754033</v>
      </c>
      <c r="S282" s="21">
        <f t="shared" si="268"/>
        <v>7460.4506773633311</v>
      </c>
      <c r="T282" s="21">
        <f t="shared" si="268"/>
        <v>38874.488833419869</v>
      </c>
      <c r="U282" s="21">
        <f t="shared" si="268"/>
        <v>22014.496106175742</v>
      </c>
      <c r="V282" s="21">
        <f t="shared" si="268"/>
        <v>4682.1405559307213</v>
      </c>
      <c r="W282" s="21">
        <f t="shared" si="268"/>
        <v>504.55356339178707</v>
      </c>
      <c r="X282" s="21">
        <f t="shared" si="268"/>
        <v>568.98547576688634</v>
      </c>
      <c r="Y282" s="21">
        <f t="shared" si="268"/>
        <v>81.8854149774766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10389.70588920897</v>
      </c>
      <c r="C287" s="27">
        <f t="shared" ref="C287:AF287" si="269">($C$17+SUM(C288:C318))*$B$51</f>
        <v>10301.500865209544</v>
      </c>
      <c r="D287" s="27">
        <f t="shared" si="269"/>
        <v>9968.624771042445</v>
      </c>
      <c r="E287" s="27">
        <f t="shared" si="269"/>
        <v>9744.4884075302125</v>
      </c>
      <c r="F287" s="27">
        <f t="shared" si="269"/>
        <v>9485.7711050791168</v>
      </c>
      <c r="G287" s="27">
        <f t="shared" si="269"/>
        <v>9224.522316738472</v>
      </c>
      <c r="H287" s="27">
        <f t="shared" si="269"/>
        <v>8983.6442254247613</v>
      </c>
      <c r="I287" s="27">
        <f t="shared" si="269"/>
        <v>8671.1112314748952</v>
      </c>
      <c r="J287" s="27">
        <f t="shared" si="269"/>
        <v>8317.710025293436</v>
      </c>
      <c r="K287" s="27">
        <f t="shared" si="269"/>
        <v>7971.4451206635531</v>
      </c>
      <c r="L287" s="27">
        <f t="shared" si="269"/>
        <v>7678.1546526812572</v>
      </c>
      <c r="M287" s="27">
        <f t="shared" si="269"/>
        <v>7410.5128987235357</v>
      </c>
      <c r="N287" s="27">
        <f t="shared" si="269"/>
        <v>7124.5088873896284</v>
      </c>
      <c r="O287" s="27">
        <f t="shared" si="269"/>
        <v>6853.1802349014906</v>
      </c>
      <c r="P287" s="27">
        <f t="shared" si="269"/>
        <v>6565.3600751433187</v>
      </c>
      <c r="Q287" s="27">
        <f t="shared" si="269"/>
        <v>6224.9174254648769</v>
      </c>
      <c r="R287" s="27">
        <f t="shared" si="269"/>
        <v>5687.2642641880702</v>
      </c>
      <c r="S287" s="27">
        <f t="shared" si="269"/>
        <v>4766.1735466630398</v>
      </c>
      <c r="T287" s="27">
        <f t="shared" si="269"/>
        <v>3747.7394536604579</v>
      </c>
      <c r="U287" s="27">
        <f t="shared" si="269"/>
        <v>2900.6867440930819</v>
      </c>
      <c r="V287" s="27">
        <f t="shared" si="269"/>
        <v>2208.0757700789054</v>
      </c>
      <c r="W287" s="27">
        <f t="shared" si="269"/>
        <v>1604.3939428455858</v>
      </c>
      <c r="X287" s="27">
        <f t="shared" si="269"/>
        <v>1123.673153039789</v>
      </c>
      <c r="Y287" s="27">
        <f t="shared" si="269"/>
        <v>780.91375594506383</v>
      </c>
      <c r="Z287" s="27">
        <f t="shared" si="269"/>
        <v>582.08701728105871</v>
      </c>
      <c r="AA287" s="27">
        <f t="shared" si="269"/>
        <v>477.48077247757493</v>
      </c>
      <c r="AB287" s="27">
        <f t="shared" si="269"/>
        <v>428.33042119136013</v>
      </c>
      <c r="AC287" s="27">
        <f t="shared" si="269"/>
        <v>398.68779618416363</v>
      </c>
      <c r="AD287" s="27">
        <f t="shared" si="269"/>
        <v>385.21221664377492</v>
      </c>
      <c r="AE287" s="27">
        <f t="shared" si="269"/>
        <v>372.95060766615063</v>
      </c>
      <c r="AF287" s="27">
        <f t="shared" si="269"/>
        <v>356.83436220341889</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3.5592251882016909E-2</v>
      </c>
      <c r="C289" s="3">
        <f t="shared" si="271"/>
        <v>2.8272005080007441E-2</v>
      </c>
      <c r="D289" s="3">
        <f t="shared" si="271"/>
        <v>2.8272749817826646E-3</v>
      </c>
      <c r="E289" s="3">
        <f t="shared" si="271"/>
        <v>2.8280198275082759E-13</v>
      </c>
      <c r="F289" s="3">
        <f t="shared" si="271"/>
        <v>2.8354790859291344E-113</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1.7645429654070646E-2</v>
      </c>
      <c r="C290" s="3">
        <f t="shared" si="272"/>
        <v>1.7282696717720709E-2</v>
      </c>
      <c r="D290" s="3">
        <f t="shared" si="272"/>
        <v>1.4041199879205612E-2</v>
      </c>
      <c r="E290" s="3">
        <f t="shared" si="272"/>
        <v>1.7592653518309093E-3</v>
      </c>
      <c r="F290" s="3">
        <f t="shared" si="272"/>
        <v>1.6772686429808884E-12</v>
      </c>
      <c r="G290" s="3">
        <f t="shared" si="272"/>
        <v>1.04067569290615E-102</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2.4465395122587004E-2</v>
      </c>
      <c r="C291" s="3">
        <f t="shared" si="273"/>
        <v>2.4419596825764611E-2</v>
      </c>
      <c r="D291" s="3">
        <f t="shared" si="273"/>
        <v>2.3966302773471143E-2</v>
      </c>
      <c r="E291" s="3">
        <f t="shared" si="273"/>
        <v>1.9871312993756867E-2</v>
      </c>
      <c r="F291" s="3">
        <f t="shared" si="273"/>
        <v>3.0512780725400167E-3</v>
      </c>
      <c r="G291" s="3">
        <f t="shared" si="273"/>
        <v>2.2234841029443219E-11</v>
      </c>
      <c r="H291" s="3">
        <f t="shared" si="273"/>
        <v>9.3876401923876312E-93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2.462704951685022E-2</v>
      </c>
      <c r="C292" s="3">
        <f t="shared" si="274"/>
        <v>2.4622887285902964E-2</v>
      </c>
      <c r="D292" s="3">
        <f t="shared" si="274"/>
        <v>2.4581303647169418E-2</v>
      </c>
      <c r="E292" s="3">
        <f t="shared" si="274"/>
        <v>2.4169310258321967E-2</v>
      </c>
      <c r="F292" s="3">
        <f t="shared" si="274"/>
        <v>2.0410691014672168E-2</v>
      </c>
      <c r="G292" s="3">
        <f t="shared" si="274"/>
        <v>3.7652361812615287E-3</v>
      </c>
      <c r="H292" s="3">
        <f t="shared" si="274"/>
        <v>1.7184518737174859E-10</v>
      </c>
      <c r="I292" s="3">
        <f t="shared" si="274"/>
        <v>6.7388979639344714E-84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1.9757965942213743E-2</v>
      </c>
      <c r="C293" s="3">
        <f t="shared" si="275"/>
        <v>1.9757664686005458E-2</v>
      </c>
      <c r="D293" s="3">
        <f t="shared" si="275"/>
        <v>1.9754652376545473E-2</v>
      </c>
      <c r="E293" s="3">
        <f t="shared" si="275"/>
        <v>1.9724554529982972E-2</v>
      </c>
      <c r="F293" s="3">
        <f t="shared" si="275"/>
        <v>1.9426086682182514E-2</v>
      </c>
      <c r="G293" s="3">
        <f t="shared" si="275"/>
        <v>1.6678865584967749E-2</v>
      </c>
      <c r="H293" s="3">
        <f t="shared" si="275"/>
        <v>3.6305997460598025E-3</v>
      </c>
      <c r="I293" s="3">
        <f t="shared" si="275"/>
        <v>8.6715556428953946E-10</v>
      </c>
      <c r="J293" s="3">
        <f t="shared" si="275"/>
        <v>5.2394227031220108E-76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3.045666848520541E-2</v>
      </c>
      <c r="C294" s="3">
        <f t="shared" si="276"/>
        <v>3.0456626593718811E-2</v>
      </c>
      <c r="D294" s="3">
        <f t="shared" si="276"/>
        <v>3.0456207682021837E-2</v>
      </c>
      <c r="E294" s="3">
        <f t="shared" si="276"/>
        <v>3.0452018881941687E-2</v>
      </c>
      <c r="F294" s="3">
        <f t="shared" si="276"/>
        <v>3.0410162553976099E-2</v>
      </c>
      <c r="G294" s="3">
        <f t="shared" si="276"/>
        <v>2.9994750498255209E-2</v>
      </c>
      <c r="H294" s="3">
        <f t="shared" si="276"/>
        <v>2.6140288416943738E-2</v>
      </c>
      <c r="I294" s="3">
        <f t="shared" si="276"/>
        <v>6.6063501401833948E-3</v>
      </c>
      <c r="J294" s="3">
        <f t="shared" si="276"/>
        <v>7.0222084267880897E-9</v>
      </c>
      <c r="K294" s="3">
        <f t="shared" si="276"/>
        <v>1.2929894879796032E-68</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3.3429649064241465E-2</v>
      </c>
      <c r="C295" s="3">
        <f t="shared" si="277"/>
        <v>3.342964491640088E-2</v>
      </c>
      <c r="D295" s="3">
        <f t="shared" si="277"/>
        <v>3.3429603438023356E-2</v>
      </c>
      <c r="E295" s="3">
        <f t="shared" si="277"/>
        <v>3.3429188657078675E-2</v>
      </c>
      <c r="F295" s="3">
        <f t="shared" si="277"/>
        <v>3.3425041130675168E-2</v>
      </c>
      <c r="G295" s="3">
        <f t="shared" si="277"/>
        <v>3.3383594157981145E-2</v>
      </c>
      <c r="H295" s="3">
        <f t="shared" si="277"/>
        <v>3.2971940620047546E-2</v>
      </c>
      <c r="I295" s="3">
        <f t="shared" si="277"/>
        <v>2.9124513459289143E-2</v>
      </c>
      <c r="J295" s="3">
        <f t="shared" si="277"/>
        <v>8.4217118572891721E-3</v>
      </c>
      <c r="K295" s="3">
        <f t="shared" si="277"/>
        <v>3.4420515579108897E-8</v>
      </c>
      <c r="L295" s="3">
        <f t="shared" si="277"/>
        <v>4.4770021320258233E-62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3.2540934841863163E-2</v>
      </c>
      <c r="C296" s="3">
        <f t="shared" si="278"/>
        <v>3.2540934477640573E-2</v>
      </c>
      <c r="D296" s="3">
        <f t="shared" si="278"/>
        <v>3.2540930835414886E-2</v>
      </c>
      <c r="E296" s="3">
        <f t="shared" si="278"/>
        <v>3.2540894413180435E-2</v>
      </c>
      <c r="F296" s="3">
        <f t="shared" si="278"/>
        <v>3.2540530193078079E-2</v>
      </c>
      <c r="G296" s="3">
        <f t="shared" si="278"/>
        <v>3.2536888216260149E-2</v>
      </c>
      <c r="H296" s="3">
        <f t="shared" si="278"/>
        <v>3.2500490859357974E-2</v>
      </c>
      <c r="I296" s="3">
        <f t="shared" si="278"/>
        <v>3.2138749164552775E-2</v>
      </c>
      <c r="J296" s="3">
        <f t="shared" si="278"/>
        <v>2.8735546990521488E-2</v>
      </c>
      <c r="K296" s="3">
        <f t="shared" si="278"/>
        <v>9.3826270210944761E-3</v>
      </c>
      <c r="L296" s="3">
        <f t="shared" si="278"/>
        <v>1.2923325805743377E-7</v>
      </c>
      <c r="M296" s="3">
        <f t="shared" si="278"/>
        <v>3.1759430112714275E-56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2.4641511298084388E-2</v>
      </c>
      <c r="C297" s="3">
        <f t="shared" si="279"/>
        <v>2.4641511273204367E-2</v>
      </c>
      <c r="D297" s="3">
        <f t="shared" si="279"/>
        <v>2.4641511024404133E-2</v>
      </c>
      <c r="E297" s="3">
        <f t="shared" si="279"/>
        <v>2.4641508536401926E-2</v>
      </c>
      <c r="F297" s="3">
        <f t="shared" si="279"/>
        <v>2.4641483656393674E-2</v>
      </c>
      <c r="G297" s="3">
        <f t="shared" si="279"/>
        <v>2.4641234857692804E-2</v>
      </c>
      <c r="H297" s="3">
        <f t="shared" si="279"/>
        <v>2.4638747008843016E-2</v>
      </c>
      <c r="I297" s="3">
        <f t="shared" si="279"/>
        <v>2.4613882331076167E-2</v>
      </c>
      <c r="J297" s="3">
        <f t="shared" si="279"/>
        <v>2.436661148098504E-2</v>
      </c>
      <c r="K297" s="3">
        <f t="shared" si="279"/>
        <v>2.2026491420305452E-2</v>
      </c>
      <c r="L297" s="3">
        <f t="shared" si="279"/>
        <v>8.0250395368585466E-3</v>
      </c>
      <c r="M297" s="3">
        <f t="shared" si="279"/>
        <v>3.3072402514112016E-7</v>
      </c>
      <c r="N297" s="3">
        <f t="shared" si="279"/>
        <v>4.6735983643653169E-51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2.412241796751171E-2</v>
      </c>
      <c r="C298" s="3">
        <f t="shared" si="280"/>
        <v>2.4122417965314603E-2</v>
      </c>
      <c r="D298" s="3">
        <f t="shared" si="280"/>
        <v>2.4122417943343549E-2</v>
      </c>
      <c r="E298" s="3">
        <f t="shared" si="280"/>
        <v>2.4122417723633018E-2</v>
      </c>
      <c r="F298" s="3">
        <f t="shared" si="280"/>
        <v>2.4122415526527812E-2</v>
      </c>
      <c r="G298" s="3">
        <f t="shared" si="280"/>
        <v>2.4122393555486784E-2</v>
      </c>
      <c r="H298" s="3">
        <f t="shared" si="280"/>
        <v>2.412217384617709E-2</v>
      </c>
      <c r="I298" s="3">
        <f t="shared" si="280"/>
        <v>2.4119976863139624E-2</v>
      </c>
      <c r="J298" s="3">
        <f t="shared" si="280"/>
        <v>2.4098018035001965E-2</v>
      </c>
      <c r="K298" s="3">
        <f t="shared" si="280"/>
        <v>2.3879526278572941E-2</v>
      </c>
      <c r="L298" s="3">
        <f t="shared" si="280"/>
        <v>2.1800654214492617E-2</v>
      </c>
      <c r="M298" s="3">
        <f t="shared" si="280"/>
        <v>8.7681449655894837E-3</v>
      </c>
      <c r="N298" s="3">
        <f t="shared" si="280"/>
        <v>9.7115750598179443E-7</v>
      </c>
      <c r="O298" s="3">
        <f t="shared" si="280"/>
        <v>2.6984176426198178E-46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2.8528246553041044E-2</v>
      </c>
      <c r="C299" s="3">
        <f t="shared" si="281"/>
        <v>2.8528246552806648E-2</v>
      </c>
      <c r="D299" s="3">
        <f t="shared" si="281"/>
        <v>2.8528246550462679E-2</v>
      </c>
      <c r="E299" s="3">
        <f t="shared" si="281"/>
        <v>2.8528246527022998E-2</v>
      </c>
      <c r="F299" s="3">
        <f t="shared" si="281"/>
        <v>2.8528246292626184E-2</v>
      </c>
      <c r="G299" s="3">
        <f t="shared" si="281"/>
        <v>2.8528243948658136E-2</v>
      </c>
      <c r="H299" s="3">
        <f t="shared" si="281"/>
        <v>2.8528220508988261E-2</v>
      </c>
      <c r="I299" s="3">
        <f t="shared" si="281"/>
        <v>2.8527986113348738E-2</v>
      </c>
      <c r="J299" s="3">
        <f t="shared" si="281"/>
        <v>2.8525642262873133E-2</v>
      </c>
      <c r="K299" s="3">
        <f t="shared" si="281"/>
        <v>2.8502214346858436E-2</v>
      </c>
      <c r="L299" s="3">
        <f t="shared" si="281"/>
        <v>2.8268990848897228E-2</v>
      </c>
      <c r="M299" s="3">
        <f t="shared" si="281"/>
        <v>2.6039182154741356E-2</v>
      </c>
      <c r="N299" s="3">
        <f t="shared" si="281"/>
        <v>1.1449794286509402E-2</v>
      </c>
      <c r="O299" s="3">
        <f t="shared" si="281"/>
        <v>3.0938633428517623E-6</v>
      </c>
      <c r="P299" s="3">
        <f t="shared" si="281"/>
        <v>6.4200077965740376E-42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2.1048719571396233E-2</v>
      </c>
      <c r="C300" s="3">
        <f t="shared" si="282"/>
        <v>2.1048719571380634E-2</v>
      </c>
      <c r="D300" s="3">
        <f t="shared" si="282"/>
        <v>2.1048719571224624E-2</v>
      </c>
      <c r="E300" s="3">
        <f t="shared" si="282"/>
        <v>2.1048719569664538E-2</v>
      </c>
      <c r="F300" s="3">
        <f t="shared" si="282"/>
        <v>2.1048719554063663E-2</v>
      </c>
      <c r="G300" s="3">
        <f t="shared" si="282"/>
        <v>2.1048719398054937E-2</v>
      </c>
      <c r="H300" s="3">
        <f t="shared" si="282"/>
        <v>2.10487178379677E-2</v>
      </c>
      <c r="I300" s="3">
        <f t="shared" si="282"/>
        <v>2.1048702237101723E-2</v>
      </c>
      <c r="J300" s="3">
        <f t="shared" si="282"/>
        <v>2.1048546229077914E-2</v>
      </c>
      <c r="K300" s="3">
        <f t="shared" si="282"/>
        <v>2.1046986212434619E-2</v>
      </c>
      <c r="L300" s="3">
        <f t="shared" si="282"/>
        <v>2.1031392403737616E-2</v>
      </c>
      <c r="M300" s="3">
        <f t="shared" si="282"/>
        <v>2.0876088350292983E-2</v>
      </c>
      <c r="N300" s="3">
        <f t="shared" si="282"/>
        <v>1.9384746353192598E-2</v>
      </c>
      <c r="O300" s="3">
        <f t="shared" si="282"/>
        <v>9.2378325957584492E-3</v>
      </c>
      <c r="P300" s="3">
        <f t="shared" si="282"/>
        <v>5.5804566609995955E-6</v>
      </c>
      <c r="Q300" s="3">
        <f t="shared" si="282"/>
        <v>3.611322365336936E-38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3.1114198963852414E-2</v>
      </c>
      <c r="C301" s="3">
        <f t="shared" si="283"/>
        <v>3.1114198963850336E-2</v>
      </c>
      <c r="D301" s="3">
        <f t="shared" si="283"/>
        <v>3.1114198963829533E-2</v>
      </c>
      <c r="E301" s="3">
        <f t="shared" si="283"/>
        <v>3.1114198963621501E-2</v>
      </c>
      <c r="F301" s="3">
        <f t="shared" si="283"/>
        <v>3.111419896154119E-2</v>
      </c>
      <c r="G301" s="3">
        <f t="shared" si="283"/>
        <v>3.111419894073807E-2</v>
      </c>
      <c r="H301" s="3">
        <f t="shared" si="283"/>
        <v>3.1114198732706891E-2</v>
      </c>
      <c r="I301" s="3">
        <f t="shared" si="283"/>
        <v>3.1114196652395155E-2</v>
      </c>
      <c r="J301" s="3">
        <f t="shared" si="283"/>
        <v>3.1114175849285487E-2</v>
      </c>
      <c r="K301" s="3">
        <f t="shared" si="283"/>
        <v>3.1113967818953796E-2</v>
      </c>
      <c r="L301" s="3">
        <f t="shared" si="283"/>
        <v>3.1111887592134665E-2</v>
      </c>
      <c r="M301" s="3">
        <f t="shared" si="283"/>
        <v>3.1091092971832258E-2</v>
      </c>
      <c r="N301" s="3">
        <f t="shared" si="283"/>
        <v>3.0883909669107937E-2</v>
      </c>
      <c r="O301" s="3">
        <f t="shared" si="283"/>
        <v>2.8886512657223851E-2</v>
      </c>
      <c r="P301" s="3">
        <f t="shared" si="283"/>
        <v>1.4802106494860268E-2</v>
      </c>
      <c r="Q301" s="3">
        <f t="shared" si="283"/>
        <v>1.847598596407351E-5</v>
      </c>
      <c r="R301" s="3">
        <f t="shared" si="283"/>
        <v>1.6960889144622935E-34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2.5140718095571651E-2</v>
      </c>
      <c r="C302" s="3">
        <f t="shared" si="284"/>
        <v>2.5140718095571502E-2</v>
      </c>
      <c r="D302" s="3">
        <f t="shared" si="284"/>
        <v>2.5140718095569982E-2</v>
      </c>
      <c r="E302" s="3">
        <f t="shared" si="284"/>
        <v>2.514071809555482E-2</v>
      </c>
      <c r="F302" s="3">
        <f t="shared" si="284"/>
        <v>2.5140718095403188E-2</v>
      </c>
      <c r="G302" s="3">
        <f t="shared" si="284"/>
        <v>2.5140718093886856E-2</v>
      </c>
      <c r="H302" s="3">
        <f t="shared" si="284"/>
        <v>2.5140718078723541E-2</v>
      </c>
      <c r="I302" s="3">
        <f t="shared" si="284"/>
        <v>2.5140717927090418E-2</v>
      </c>
      <c r="J302" s="3">
        <f t="shared" si="284"/>
        <v>2.5140716410759243E-2</v>
      </c>
      <c r="K302" s="3">
        <f t="shared" si="284"/>
        <v>2.5140701247452497E-2</v>
      </c>
      <c r="L302" s="3">
        <f t="shared" si="284"/>
        <v>2.5140549614888031E-2</v>
      </c>
      <c r="M302" s="3">
        <f t="shared" si="284"/>
        <v>2.5139033339542746E-2</v>
      </c>
      <c r="N302" s="3">
        <f t="shared" si="284"/>
        <v>2.5123875614902931E-2</v>
      </c>
      <c r="O302" s="3">
        <f t="shared" si="284"/>
        <v>2.4972800129384316E-2</v>
      </c>
      <c r="P302" s="3">
        <f t="shared" si="284"/>
        <v>2.3511119463509509E-2</v>
      </c>
      <c r="Q302" s="3">
        <f t="shared" si="284"/>
        <v>1.2862754400595982E-2</v>
      </c>
      <c r="R302" s="3">
        <f t="shared" si="284"/>
        <v>3.0898732812956429E-5</v>
      </c>
      <c r="S302" s="3">
        <f t="shared" si="284"/>
        <v>1.9770041674859383E-31</v>
      </c>
      <c r="T302" s="3">
        <f t="shared" si="284"/>
        <v>2.2734046463936322E-293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7.3741618123119565E-2</v>
      </c>
      <c r="C303" s="3">
        <f t="shared" si="285"/>
        <v>7.3741618123119537E-2</v>
      </c>
      <c r="D303" s="3">
        <f t="shared" si="285"/>
        <v>7.3741618123119135E-2</v>
      </c>
      <c r="E303" s="3">
        <f t="shared" si="285"/>
        <v>7.374161812311511E-2</v>
      </c>
      <c r="F303" s="3">
        <f t="shared" si="285"/>
        <v>7.3741618123075003E-2</v>
      </c>
      <c r="G303" s="3">
        <f t="shared" si="285"/>
        <v>7.3741618122673783E-2</v>
      </c>
      <c r="H303" s="3">
        <f t="shared" si="285"/>
        <v>7.3741618118661645E-2</v>
      </c>
      <c r="I303" s="3">
        <f t="shared" si="285"/>
        <v>7.3741618078540294E-2</v>
      </c>
      <c r="J303" s="3">
        <f t="shared" si="285"/>
        <v>7.3741617677326676E-2</v>
      </c>
      <c r="K303" s="3">
        <f t="shared" si="285"/>
        <v>7.3741613665190719E-2</v>
      </c>
      <c r="L303" s="3">
        <f t="shared" si="285"/>
        <v>7.3741573543843086E-2</v>
      </c>
      <c r="M303" s="3">
        <f t="shared" si="285"/>
        <v>7.3741172331567337E-2</v>
      </c>
      <c r="N303" s="3">
        <f t="shared" si="285"/>
        <v>7.3737160328867971E-2</v>
      </c>
      <c r="O303" s="3">
        <f t="shared" si="285"/>
        <v>7.3697052305272237E-2</v>
      </c>
      <c r="P303" s="3">
        <f t="shared" si="285"/>
        <v>7.3297169996213551E-2</v>
      </c>
      <c r="Q303" s="3">
        <f t="shared" si="285"/>
        <v>6.9415762746448922E-2</v>
      </c>
      <c r="R303" s="3">
        <f t="shared" si="285"/>
        <v>4.028719516429384E-2</v>
      </c>
      <c r="S303" s="3">
        <f t="shared" si="285"/>
        <v>1.7468529824218287E-4</v>
      </c>
      <c r="T303" s="3">
        <f t="shared" si="285"/>
        <v>4.1034541809871287E-28</v>
      </c>
      <c r="U303" s="3">
        <f t="shared" si="285"/>
        <v>2.0993358211851057E-264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9.9846945696723061E-2</v>
      </c>
      <c r="C304" s="3">
        <f t="shared" si="286"/>
        <v>9.9846945696723061E-2</v>
      </c>
      <c r="D304" s="3">
        <f t="shared" si="286"/>
        <v>9.9846945696723005E-2</v>
      </c>
      <c r="E304" s="3">
        <f t="shared" si="286"/>
        <v>9.9846945696722519E-2</v>
      </c>
      <c r="F304" s="3">
        <f t="shared" si="286"/>
        <v>9.9846945696717621E-2</v>
      </c>
      <c r="G304" s="3">
        <f t="shared" si="286"/>
        <v>9.9846945696668604E-2</v>
      </c>
      <c r="H304" s="3">
        <f t="shared" si="286"/>
        <v>9.9846945696178552E-2</v>
      </c>
      <c r="I304" s="3">
        <f t="shared" si="286"/>
        <v>9.9846945691278013E-2</v>
      </c>
      <c r="J304" s="3">
        <f t="shared" si="286"/>
        <v>9.9846945642272561E-2</v>
      </c>
      <c r="K304" s="3">
        <f t="shared" si="286"/>
        <v>9.9846945152218078E-2</v>
      </c>
      <c r="L304" s="3">
        <f t="shared" si="286"/>
        <v>9.9846940251673372E-2</v>
      </c>
      <c r="M304" s="3">
        <f t="shared" si="286"/>
        <v>9.9846891246239522E-2</v>
      </c>
      <c r="N304" s="3">
        <f t="shared" si="286"/>
        <v>9.9846401193223855E-2</v>
      </c>
      <c r="O304" s="3">
        <f t="shared" si="286"/>
        <v>9.9841500795351493E-2</v>
      </c>
      <c r="P304" s="3">
        <f t="shared" si="286"/>
        <v>9.9792510042642904E-2</v>
      </c>
      <c r="Q304" s="3">
        <f t="shared" si="286"/>
        <v>9.9303922718402091E-2</v>
      </c>
      <c r="R304" s="3">
        <f t="shared" si="286"/>
        <v>9.4547703446563977E-2</v>
      </c>
      <c r="S304" s="3">
        <f t="shared" si="286"/>
        <v>5.7875770227333929E-2</v>
      </c>
      <c r="T304" s="3">
        <f t="shared" si="286"/>
        <v>4.2751836755578252E-4</v>
      </c>
      <c r="U304" s="3">
        <f t="shared" si="286"/>
        <v>2.0679247056294612E-25</v>
      </c>
      <c r="V304" s="3">
        <f t="shared" si="286"/>
        <v>1.4498870078026998E-238</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8.4959897030223219E-2</v>
      </c>
      <c r="C305" s="3">
        <f t="shared" si="287"/>
        <v>8.4959897030223219E-2</v>
      </c>
      <c r="D305" s="3">
        <f t="shared" si="287"/>
        <v>8.4959897030223219E-2</v>
      </c>
      <c r="E305" s="3">
        <f t="shared" si="287"/>
        <v>8.4959897030223178E-2</v>
      </c>
      <c r="F305" s="3">
        <f t="shared" si="287"/>
        <v>8.4959897030222803E-2</v>
      </c>
      <c r="G305" s="3">
        <f t="shared" si="287"/>
        <v>8.4959897030219042E-2</v>
      </c>
      <c r="H305" s="3">
        <f t="shared" si="287"/>
        <v>8.4959897030181419E-2</v>
      </c>
      <c r="I305" s="3">
        <f t="shared" si="287"/>
        <v>8.4959897029805262E-2</v>
      </c>
      <c r="J305" s="3">
        <f t="shared" si="287"/>
        <v>8.4959897026043688E-2</v>
      </c>
      <c r="K305" s="3">
        <f t="shared" si="287"/>
        <v>8.4959896988427902E-2</v>
      </c>
      <c r="L305" s="3">
        <f t="shared" si="287"/>
        <v>8.4959896612270033E-2</v>
      </c>
      <c r="M305" s="3">
        <f t="shared" si="287"/>
        <v>8.4959892850691429E-2</v>
      </c>
      <c r="N305" s="3">
        <f t="shared" si="287"/>
        <v>8.4959855234914616E-2</v>
      </c>
      <c r="O305" s="3">
        <f t="shared" si="287"/>
        <v>8.495947907806238E-2</v>
      </c>
      <c r="P305" s="3">
        <f t="shared" si="287"/>
        <v>8.4955717601137015E-2</v>
      </c>
      <c r="Q305" s="3">
        <f t="shared" si="287"/>
        <v>8.4918111990080078E-2</v>
      </c>
      <c r="R305" s="3">
        <f t="shared" si="287"/>
        <v>8.4542970200698106E-2</v>
      </c>
      <c r="S305" s="3">
        <f t="shared" si="287"/>
        <v>8.0881504188662329E-2</v>
      </c>
      <c r="T305" s="3">
        <f t="shared" si="287"/>
        <v>5.1947708850506293E-2</v>
      </c>
      <c r="U305" s="3">
        <f t="shared" si="287"/>
        <v>6.2049485030854739E-4</v>
      </c>
      <c r="V305" s="3">
        <f t="shared" si="287"/>
        <v>3.6682254405087018E-23</v>
      </c>
      <c r="W305" s="3">
        <f t="shared" si="287"/>
        <v>1.9126450856484157E-215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6.3888587804479924E-2</v>
      </c>
      <c r="C306" s="3">
        <f t="shared" si="288"/>
        <v>6.3888587804479924E-2</v>
      </c>
      <c r="D306" s="3">
        <f t="shared" si="288"/>
        <v>6.3888587804479924E-2</v>
      </c>
      <c r="E306" s="3">
        <f t="shared" si="288"/>
        <v>6.3888587804479924E-2</v>
      </c>
      <c r="F306" s="3">
        <f t="shared" si="288"/>
        <v>6.3888587804479896E-2</v>
      </c>
      <c r="G306" s="3">
        <f t="shared" si="288"/>
        <v>6.3888587804479646E-2</v>
      </c>
      <c r="H306" s="3">
        <f t="shared" si="288"/>
        <v>6.3888587804477093E-2</v>
      </c>
      <c r="I306" s="3">
        <f t="shared" si="288"/>
        <v>6.3888587804451571E-2</v>
      </c>
      <c r="J306" s="3">
        <f t="shared" si="288"/>
        <v>6.3888587804196401E-2</v>
      </c>
      <c r="K306" s="3">
        <f t="shared" si="288"/>
        <v>6.388858780164472E-2</v>
      </c>
      <c r="L306" s="3">
        <f t="shared" si="288"/>
        <v>6.3888587776127936E-2</v>
      </c>
      <c r="M306" s="3">
        <f t="shared" si="288"/>
        <v>6.3888587520960022E-2</v>
      </c>
      <c r="N306" s="3">
        <f t="shared" si="288"/>
        <v>6.3888584969281001E-2</v>
      </c>
      <c r="O306" s="3">
        <f t="shared" si="288"/>
        <v>6.388855945249633E-2</v>
      </c>
      <c r="P306" s="3">
        <f t="shared" si="288"/>
        <v>6.3888304285210168E-2</v>
      </c>
      <c r="Q306" s="3">
        <f t="shared" si="288"/>
        <v>6.3885752668399631E-2</v>
      </c>
      <c r="R306" s="3">
        <f t="shared" si="288"/>
        <v>6.3860242104579107E-2</v>
      </c>
      <c r="S306" s="3">
        <f t="shared" si="288"/>
        <v>6.3605696067565706E-2</v>
      </c>
      <c r="T306" s="3">
        <f t="shared" si="288"/>
        <v>6.1115377619481895E-2</v>
      </c>
      <c r="U306" s="3">
        <f t="shared" si="288"/>
        <v>4.0991649819689217E-2</v>
      </c>
      <c r="V306" s="3">
        <f t="shared" si="288"/>
        <v>7.5534330298314661E-4</v>
      </c>
      <c r="W306" s="3">
        <f t="shared" si="288"/>
        <v>3.4090567667681256E-21</v>
      </c>
      <c r="X306" s="3">
        <f t="shared" si="288"/>
        <v>1.195453625138497E-194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6.4356714781999613E-2</v>
      </c>
      <c r="C307" s="3">
        <f t="shared" si="289"/>
        <v>6.4356714781999613E-2</v>
      </c>
      <c r="D307" s="3">
        <f t="shared" si="289"/>
        <v>6.4356714781999613E-2</v>
      </c>
      <c r="E307" s="3">
        <f t="shared" si="289"/>
        <v>6.4356714781999613E-2</v>
      </c>
      <c r="F307" s="3">
        <f t="shared" si="289"/>
        <v>6.4356714781999613E-2</v>
      </c>
      <c r="G307" s="3">
        <f t="shared" si="289"/>
        <v>6.4356714781999586E-2</v>
      </c>
      <c r="H307" s="3">
        <f t="shared" si="289"/>
        <v>6.435671478199935E-2</v>
      </c>
      <c r="I307" s="3">
        <f t="shared" si="289"/>
        <v>6.4356714781997032E-2</v>
      </c>
      <c r="J307" s="3">
        <f t="shared" si="289"/>
        <v>6.4356714781973842E-2</v>
      </c>
      <c r="K307" s="3">
        <f t="shared" si="289"/>
        <v>6.4356714781741972E-2</v>
      </c>
      <c r="L307" s="3">
        <f t="shared" si="289"/>
        <v>6.4356714779423285E-2</v>
      </c>
      <c r="M307" s="3">
        <f t="shared" si="289"/>
        <v>6.4356714756236361E-2</v>
      </c>
      <c r="N307" s="3">
        <f t="shared" si="289"/>
        <v>6.4356714524367073E-2</v>
      </c>
      <c r="O307" s="3">
        <f t="shared" si="289"/>
        <v>6.4356712205674266E-2</v>
      </c>
      <c r="P307" s="3">
        <f t="shared" si="289"/>
        <v>6.4356689018750829E-2</v>
      </c>
      <c r="Q307" s="3">
        <f t="shared" si="289"/>
        <v>6.4356457149975926E-2</v>
      </c>
      <c r="R307" s="3">
        <f t="shared" si="289"/>
        <v>6.4354138508172967E-2</v>
      </c>
      <c r="S307" s="3">
        <f t="shared" si="289"/>
        <v>6.4330956684142848E-2</v>
      </c>
      <c r="T307" s="3">
        <f t="shared" si="289"/>
        <v>6.4099597231973324E-2</v>
      </c>
      <c r="U307" s="3">
        <f t="shared" si="289"/>
        <v>6.1831275778676517E-2</v>
      </c>
      <c r="V307" s="3">
        <f t="shared" si="289"/>
        <v>4.3125811059765158E-2</v>
      </c>
      <c r="W307" s="3">
        <f t="shared" si="289"/>
        <v>1.1749731964948451E-3</v>
      </c>
      <c r="X307" s="3">
        <f t="shared" si="289"/>
        <v>2.6481025339159786E-19</v>
      </c>
      <c r="Y307" s="3">
        <f t="shared" si="289"/>
        <v>8.9537130046742309E-176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2.3762961942572935E-2</v>
      </c>
      <c r="C308" s="3">
        <f t="shared" si="290"/>
        <v>2.3762961942572935E-2</v>
      </c>
      <c r="D308" s="3">
        <f t="shared" si="290"/>
        <v>2.3762961942572935E-2</v>
      </c>
      <c r="E308" s="3">
        <f t="shared" si="290"/>
        <v>2.3762961942572935E-2</v>
      </c>
      <c r="F308" s="3">
        <f t="shared" si="290"/>
        <v>2.3762961942572935E-2</v>
      </c>
      <c r="G308" s="3">
        <f t="shared" si="290"/>
        <v>2.3762961942572935E-2</v>
      </c>
      <c r="H308" s="3">
        <f t="shared" si="290"/>
        <v>2.3762961942572929E-2</v>
      </c>
      <c r="I308" s="3">
        <f t="shared" si="290"/>
        <v>2.3762961942572849E-2</v>
      </c>
      <c r="J308" s="3">
        <f t="shared" si="290"/>
        <v>2.3762961942572079E-2</v>
      </c>
      <c r="K308" s="3">
        <f t="shared" si="290"/>
        <v>2.3762961942564352E-2</v>
      </c>
      <c r="L308" s="3">
        <f t="shared" si="290"/>
        <v>2.3762961942487122E-2</v>
      </c>
      <c r="M308" s="3">
        <f t="shared" si="290"/>
        <v>2.3762961941714806E-2</v>
      </c>
      <c r="N308" s="3">
        <f t="shared" si="290"/>
        <v>2.3762961933991616E-2</v>
      </c>
      <c r="O308" s="3">
        <f t="shared" si="290"/>
        <v>2.3762961856759753E-2</v>
      </c>
      <c r="P308" s="3">
        <f t="shared" si="290"/>
        <v>2.3762961084441123E-2</v>
      </c>
      <c r="Q308" s="3">
        <f t="shared" si="290"/>
        <v>2.3762953361256188E-2</v>
      </c>
      <c r="R308" s="3">
        <f t="shared" si="290"/>
        <v>2.3762876129544919E-2</v>
      </c>
      <c r="S308" s="3">
        <f t="shared" si="290"/>
        <v>2.376210382623763E-2</v>
      </c>
      <c r="T308" s="3">
        <f t="shared" si="290"/>
        <v>2.3754382173539874E-2</v>
      </c>
      <c r="U308" s="3">
        <f t="shared" si="290"/>
        <v>2.3677303518226233E-2</v>
      </c>
      <c r="V308" s="3">
        <f t="shared" si="290"/>
        <v>2.2920139767477903E-2</v>
      </c>
      <c r="W308" s="3">
        <f t="shared" si="290"/>
        <v>1.6560271941092976E-2</v>
      </c>
      <c r="X308" s="3">
        <f t="shared" si="290"/>
        <v>6.4205094515924484E-4</v>
      </c>
      <c r="Y308" s="3">
        <f t="shared" si="290"/>
        <v>4.9270814773937351E-18</v>
      </c>
      <c r="Z308" s="3">
        <f t="shared" si="290"/>
        <v>3.4897337116763435E-159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4.2794407584768095E-2</v>
      </c>
      <c r="C309" s="3">
        <f t="shared" si="291"/>
        <v>4.2794407584768095E-2</v>
      </c>
      <c r="D309" s="3">
        <f t="shared" si="291"/>
        <v>4.2794407584768095E-2</v>
      </c>
      <c r="E309" s="3">
        <f t="shared" si="291"/>
        <v>4.2794407584768095E-2</v>
      </c>
      <c r="F309" s="3">
        <f t="shared" si="291"/>
        <v>4.2794407584768095E-2</v>
      </c>
      <c r="G309" s="3">
        <f t="shared" si="291"/>
        <v>4.2794407584768095E-2</v>
      </c>
      <c r="H309" s="3">
        <f t="shared" si="291"/>
        <v>4.2794407584768088E-2</v>
      </c>
      <c r="I309" s="3">
        <f t="shared" si="291"/>
        <v>4.2794407584768053E-2</v>
      </c>
      <c r="J309" s="3">
        <f t="shared" si="291"/>
        <v>4.2794407584767664E-2</v>
      </c>
      <c r="K309" s="3">
        <f t="shared" si="291"/>
        <v>4.279440758476382E-2</v>
      </c>
      <c r="L309" s="3">
        <f t="shared" si="291"/>
        <v>4.2794407584725351E-2</v>
      </c>
      <c r="M309" s="3">
        <f t="shared" si="291"/>
        <v>4.279440758434068E-2</v>
      </c>
      <c r="N309" s="3">
        <f t="shared" si="291"/>
        <v>4.2794407580493909E-2</v>
      </c>
      <c r="O309" s="3">
        <f t="shared" si="291"/>
        <v>4.2794407542026243E-2</v>
      </c>
      <c r="P309" s="3">
        <f t="shared" si="291"/>
        <v>4.2794407157349591E-2</v>
      </c>
      <c r="Q309" s="3">
        <f t="shared" si="291"/>
        <v>4.2794403310583276E-2</v>
      </c>
      <c r="R309" s="3">
        <f t="shared" si="291"/>
        <v>4.279436484293913E-2</v>
      </c>
      <c r="S309" s="3">
        <f t="shared" si="291"/>
        <v>4.2793980168399443E-2</v>
      </c>
      <c r="T309" s="3">
        <f t="shared" si="291"/>
        <v>4.279013361317667E-2</v>
      </c>
      <c r="U309" s="3">
        <f t="shared" si="291"/>
        <v>4.2751687072031447E-2</v>
      </c>
      <c r="V309" s="3">
        <f t="shared" si="291"/>
        <v>4.2369116461090033E-2</v>
      </c>
      <c r="W309" s="3">
        <f t="shared" si="291"/>
        <v>3.8726737136200555E-2</v>
      </c>
      <c r="X309" s="3">
        <f t="shared" si="291"/>
        <v>1.5762529365718283E-2</v>
      </c>
      <c r="Y309" s="3">
        <f t="shared" si="291"/>
        <v>1.9668711879336187E-6</v>
      </c>
      <c r="Z309" s="3">
        <f t="shared" si="291"/>
        <v>1.8000145562070458E-45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2.2817294808056693E-2</v>
      </c>
      <c r="C310" s="3">
        <f t="shared" si="292"/>
        <v>2.2817294808056693E-2</v>
      </c>
      <c r="D310" s="3">
        <f t="shared" si="292"/>
        <v>2.2817294808056693E-2</v>
      </c>
      <c r="E310" s="3">
        <f t="shared" si="292"/>
        <v>2.2817294808056693E-2</v>
      </c>
      <c r="F310" s="3">
        <f t="shared" si="292"/>
        <v>2.2817294808056693E-2</v>
      </c>
      <c r="G310" s="3">
        <f t="shared" si="292"/>
        <v>2.2817294808056693E-2</v>
      </c>
      <c r="H310" s="3">
        <f t="shared" si="292"/>
        <v>2.2817294808056693E-2</v>
      </c>
      <c r="I310" s="3">
        <f t="shared" si="292"/>
        <v>2.2817294808056689E-2</v>
      </c>
      <c r="J310" s="3">
        <f t="shared" si="292"/>
        <v>2.2817294808056669E-2</v>
      </c>
      <c r="K310" s="3">
        <f t="shared" si="292"/>
        <v>2.2817294808056464E-2</v>
      </c>
      <c r="L310" s="3">
        <f t="shared" si="292"/>
        <v>2.2817294808054413E-2</v>
      </c>
      <c r="M310" s="3">
        <f t="shared" si="292"/>
        <v>2.2817294808033906E-2</v>
      </c>
      <c r="N310" s="3">
        <f t="shared" si="292"/>
        <v>2.2817294807828802E-2</v>
      </c>
      <c r="O310" s="3">
        <f t="shared" si="292"/>
        <v>2.2817294805777766E-2</v>
      </c>
      <c r="P310" s="3">
        <f t="shared" si="292"/>
        <v>2.2817294785267422E-2</v>
      </c>
      <c r="Q310" s="3">
        <f t="shared" si="292"/>
        <v>2.2817294580163971E-2</v>
      </c>
      <c r="R310" s="3">
        <f t="shared" si="292"/>
        <v>2.2817292529129594E-2</v>
      </c>
      <c r="S310" s="3">
        <f t="shared" si="292"/>
        <v>2.2817272018795964E-2</v>
      </c>
      <c r="T310" s="3">
        <f t="shared" si="292"/>
        <v>2.2817066916473665E-2</v>
      </c>
      <c r="U310" s="3">
        <f t="shared" si="292"/>
        <v>2.2815015994648431E-2</v>
      </c>
      <c r="V310" s="3">
        <f t="shared" si="292"/>
        <v>2.2794516912801745E-2</v>
      </c>
      <c r="W310" s="3">
        <f t="shared" si="292"/>
        <v>2.2590536371712173E-2</v>
      </c>
      <c r="X310" s="3">
        <f t="shared" si="292"/>
        <v>2.0648477875069848E-2</v>
      </c>
      <c r="Y310" s="3">
        <f t="shared" si="292"/>
        <v>8.4043289709251363E-3</v>
      </c>
      <c r="Z310" s="3">
        <f t="shared" si="292"/>
        <v>1.0487043115542E-6</v>
      </c>
      <c r="AA310" s="3">
        <f t="shared" si="292"/>
        <v>9.5973901978697206E-46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1.5874068547548043E-2</v>
      </c>
      <c r="C311" s="3">
        <f t="shared" si="293"/>
        <v>1.5874068547548043E-2</v>
      </c>
      <c r="D311" s="3">
        <f t="shared" si="293"/>
        <v>1.5874068547548043E-2</v>
      </c>
      <c r="E311" s="3">
        <f t="shared" si="293"/>
        <v>1.5874068547548043E-2</v>
      </c>
      <c r="F311" s="3">
        <f t="shared" si="293"/>
        <v>1.5874068547548043E-2</v>
      </c>
      <c r="G311" s="3">
        <f t="shared" si="293"/>
        <v>1.5874068547548043E-2</v>
      </c>
      <c r="H311" s="3">
        <f t="shared" si="293"/>
        <v>1.5874068547548043E-2</v>
      </c>
      <c r="I311" s="3">
        <f t="shared" si="293"/>
        <v>1.5874068547548043E-2</v>
      </c>
      <c r="J311" s="3">
        <f t="shared" si="293"/>
        <v>1.587406854754804E-2</v>
      </c>
      <c r="K311" s="3">
        <f t="shared" si="293"/>
        <v>1.5874068547548026E-2</v>
      </c>
      <c r="L311" s="3">
        <f t="shared" si="293"/>
        <v>1.5874068547547884E-2</v>
      </c>
      <c r="M311" s="3">
        <f t="shared" si="293"/>
        <v>1.5874068547546458E-2</v>
      </c>
      <c r="N311" s="3">
        <f t="shared" si="293"/>
        <v>1.5874068547532188E-2</v>
      </c>
      <c r="O311" s="3">
        <f t="shared" si="293"/>
        <v>1.5874068547389496E-2</v>
      </c>
      <c r="P311" s="3">
        <f t="shared" si="293"/>
        <v>1.5874068545962586E-2</v>
      </c>
      <c r="Q311" s="3">
        <f t="shared" si="293"/>
        <v>1.5874068531693472E-2</v>
      </c>
      <c r="R311" s="3">
        <f t="shared" si="293"/>
        <v>1.5874068389002311E-2</v>
      </c>
      <c r="S311" s="3">
        <f t="shared" si="293"/>
        <v>1.5874066962090816E-2</v>
      </c>
      <c r="T311" s="3">
        <f t="shared" si="293"/>
        <v>1.58740526929829E-2</v>
      </c>
      <c r="U311" s="3">
        <f t="shared" si="293"/>
        <v>1.5873910002609178E-2</v>
      </c>
      <c r="V311" s="3">
        <f t="shared" si="293"/>
        <v>1.5872483169414742E-2</v>
      </c>
      <c r="W311" s="3">
        <f t="shared" si="293"/>
        <v>1.5858221889401773E-2</v>
      </c>
      <c r="X311" s="3">
        <f t="shared" si="293"/>
        <v>1.5716311942632864E-2</v>
      </c>
      <c r="Y311" s="3">
        <f t="shared" si="293"/>
        <v>1.4365215331120314E-2</v>
      </c>
      <c r="Z311" s="3">
        <f t="shared" si="293"/>
        <v>5.8469198606971888E-3</v>
      </c>
      <c r="AA311" s="3">
        <f t="shared" si="293"/>
        <v>7.2958710783902795E-7</v>
      </c>
      <c r="AB311" s="3">
        <f t="shared" si="293"/>
        <v>6.6769365588753143E-46</v>
      </c>
      <c r="AC311" s="3">
        <f t="shared" si="293"/>
        <v>0</v>
      </c>
      <c r="AD311" s="3">
        <f t="shared" si="293"/>
        <v>0</v>
      </c>
      <c r="AE311" s="3">
        <f t="shared" si="293"/>
        <v>0</v>
      </c>
      <c r="AF311" s="3">
        <f t="shared" si="293"/>
        <v>0</v>
      </c>
      <c r="AG311" s="3"/>
      <c r="AH311" s="3"/>
    </row>
    <row r="312" spans="1:34" x14ac:dyDescent="0.25">
      <c r="B312" s="3">
        <f t="shared" ref="B312:AF312" si="294">$C42*EXP(-B$285/$A42/EXP(-$F$126))</f>
        <v>5.5424436077778048E-3</v>
      </c>
      <c r="C312" s="3">
        <f t="shared" si="294"/>
        <v>5.5424436077778048E-3</v>
      </c>
      <c r="D312" s="3">
        <f t="shared" si="294"/>
        <v>5.5424436077778048E-3</v>
      </c>
      <c r="E312" s="3">
        <f t="shared" si="294"/>
        <v>5.5424436077778048E-3</v>
      </c>
      <c r="F312" s="3">
        <f t="shared" si="294"/>
        <v>5.5424436077778048E-3</v>
      </c>
      <c r="G312" s="3">
        <f t="shared" si="294"/>
        <v>5.5424436077778048E-3</v>
      </c>
      <c r="H312" s="3">
        <f t="shared" si="294"/>
        <v>5.5424436077778048E-3</v>
      </c>
      <c r="I312" s="3">
        <f t="shared" si="294"/>
        <v>5.5424436077778048E-3</v>
      </c>
      <c r="J312" s="3">
        <f t="shared" si="294"/>
        <v>5.5424436077778048E-3</v>
      </c>
      <c r="K312" s="3">
        <f t="shared" si="294"/>
        <v>5.542443607777804E-3</v>
      </c>
      <c r="L312" s="3">
        <f t="shared" si="294"/>
        <v>5.5424436077777996E-3</v>
      </c>
      <c r="M312" s="3">
        <f t="shared" si="294"/>
        <v>5.5424436077777493E-3</v>
      </c>
      <c r="N312" s="3">
        <f t="shared" si="294"/>
        <v>5.5424436077772515E-3</v>
      </c>
      <c r="O312" s="3">
        <f t="shared" si="294"/>
        <v>5.5424436077722693E-3</v>
      </c>
      <c r="P312" s="3">
        <f t="shared" si="294"/>
        <v>5.5424436077224489E-3</v>
      </c>
      <c r="Q312" s="3">
        <f t="shared" si="294"/>
        <v>5.5424436072242407E-3</v>
      </c>
      <c r="R312" s="3">
        <f t="shared" si="294"/>
        <v>5.5424436022421687E-3</v>
      </c>
      <c r="S312" s="3">
        <f t="shared" si="294"/>
        <v>5.5424435524214378E-3</v>
      </c>
      <c r="T312" s="3">
        <f t="shared" si="294"/>
        <v>5.5424430542141577E-3</v>
      </c>
      <c r="U312" s="3">
        <f t="shared" si="294"/>
        <v>5.5424380721438259E-3</v>
      </c>
      <c r="V312" s="3">
        <f t="shared" si="294"/>
        <v>5.5423882516868108E-3</v>
      </c>
      <c r="W312" s="3">
        <f t="shared" si="294"/>
        <v>5.5418900717467291E-3</v>
      </c>
      <c r="X312" s="3">
        <f t="shared" si="294"/>
        <v>5.5369107345333464E-3</v>
      </c>
      <c r="Y312" s="3">
        <f t="shared" si="294"/>
        <v>5.487362764207181E-3</v>
      </c>
      <c r="Z312" s="3">
        <f t="shared" si="294"/>
        <v>5.0156263120469894E-3</v>
      </c>
      <c r="AA312" s="3">
        <f t="shared" si="294"/>
        <v>2.0414567009108572E-3</v>
      </c>
      <c r="AB312" s="3">
        <f t="shared" si="294"/>
        <v>2.5473591663330178E-7</v>
      </c>
      <c r="AC312" s="3">
        <f t="shared" si="294"/>
        <v>2.3312576885648236E-46</v>
      </c>
      <c r="AD312" s="3">
        <f t="shared" si="294"/>
        <v>0</v>
      </c>
      <c r="AE312" s="3">
        <f t="shared" si="294"/>
        <v>0</v>
      </c>
      <c r="AF312" s="3">
        <f t="shared" si="294"/>
        <v>0</v>
      </c>
      <c r="AG312" s="3"/>
      <c r="AH312" s="3"/>
    </row>
    <row r="313" spans="1:34" x14ac:dyDescent="0.25">
      <c r="B313" s="3">
        <f t="shared" ref="B313:AF313" si="295">$C43*EXP(-B$285/$A43/EXP(-$F$126))</f>
        <v>3.8861309197679899E-3</v>
      </c>
      <c r="C313" s="3">
        <f t="shared" si="295"/>
        <v>3.8861309197679899E-3</v>
      </c>
      <c r="D313" s="3">
        <f t="shared" si="295"/>
        <v>3.8861309197679899E-3</v>
      </c>
      <c r="E313" s="3">
        <f t="shared" si="295"/>
        <v>3.8861309197679899E-3</v>
      </c>
      <c r="F313" s="3">
        <f t="shared" si="295"/>
        <v>3.8861309197679899E-3</v>
      </c>
      <c r="G313" s="3">
        <f t="shared" si="295"/>
        <v>3.8861309197679899E-3</v>
      </c>
      <c r="H313" s="3">
        <f t="shared" si="295"/>
        <v>3.8861309197679899E-3</v>
      </c>
      <c r="I313" s="3">
        <f t="shared" si="295"/>
        <v>3.8861309197679899E-3</v>
      </c>
      <c r="J313" s="3">
        <f t="shared" si="295"/>
        <v>3.8861309197679899E-3</v>
      </c>
      <c r="K313" s="3">
        <f t="shared" si="295"/>
        <v>3.8861309197679899E-3</v>
      </c>
      <c r="L313" s="3">
        <f t="shared" si="295"/>
        <v>3.8861309197679894E-3</v>
      </c>
      <c r="M313" s="3">
        <f t="shared" si="295"/>
        <v>3.886130919767986E-3</v>
      </c>
      <c r="N313" s="3">
        <f t="shared" si="295"/>
        <v>3.8861309197679508E-3</v>
      </c>
      <c r="O313" s="3">
        <f t="shared" si="295"/>
        <v>3.8861309197676017E-3</v>
      </c>
      <c r="P313" s="3">
        <f t="shared" si="295"/>
        <v>3.8861309197641084E-3</v>
      </c>
      <c r="Q313" s="3">
        <f t="shared" si="295"/>
        <v>3.8861309197291763E-3</v>
      </c>
      <c r="R313" s="3">
        <f t="shared" si="295"/>
        <v>3.8861309193798537E-3</v>
      </c>
      <c r="S313" s="3">
        <f t="shared" si="295"/>
        <v>3.8861309158866315E-3</v>
      </c>
      <c r="T313" s="3">
        <f t="shared" si="295"/>
        <v>3.8861308809544077E-3</v>
      </c>
      <c r="U313" s="3">
        <f t="shared" si="295"/>
        <v>3.886130531632186E-3</v>
      </c>
      <c r="V313" s="3">
        <f t="shared" si="295"/>
        <v>3.8861270384116984E-3</v>
      </c>
      <c r="W313" s="3">
        <f t="shared" si="295"/>
        <v>3.8860921063795222E-3</v>
      </c>
      <c r="X313" s="3">
        <f t="shared" si="295"/>
        <v>3.8857428033273371E-3</v>
      </c>
      <c r="Y313" s="3">
        <f t="shared" si="295"/>
        <v>3.8822514991889018E-3</v>
      </c>
      <c r="Z313" s="3">
        <f t="shared" si="295"/>
        <v>3.8475105233445922E-3</v>
      </c>
      <c r="AA313" s="3">
        <f t="shared" si="295"/>
        <v>3.5167485449730355E-3</v>
      </c>
      <c r="AB313" s="3">
        <f t="shared" si="295"/>
        <v>1.4313845242636669E-3</v>
      </c>
      <c r="AC313" s="3">
        <f t="shared" si="295"/>
        <v>1.7861022899988003E-7</v>
      </c>
      <c r="AD313" s="3">
        <f t="shared" si="295"/>
        <v>1.6345809225312036E-46</v>
      </c>
      <c r="AE313" s="3">
        <f t="shared" si="295"/>
        <v>0</v>
      </c>
      <c r="AF313" s="3">
        <f t="shared" si="295"/>
        <v>0</v>
      </c>
      <c r="AG313" s="3"/>
      <c r="AH313" s="3"/>
    </row>
    <row r="314" spans="1:34" x14ac:dyDescent="0.25">
      <c r="B314" s="3">
        <f t="shared" ref="B314:AF314" si="296">$C44*EXP(-B$285/$A44/EXP(-$F$126))</f>
        <v>2.064572113999586E-3</v>
      </c>
      <c r="C314" s="3">
        <f t="shared" si="296"/>
        <v>2.064572113999586E-3</v>
      </c>
      <c r="D314" s="3">
        <f t="shared" si="296"/>
        <v>2.064572113999586E-3</v>
      </c>
      <c r="E314" s="3">
        <f t="shared" si="296"/>
        <v>2.064572113999586E-3</v>
      </c>
      <c r="F314" s="3">
        <f t="shared" si="296"/>
        <v>2.064572113999586E-3</v>
      </c>
      <c r="G314" s="3">
        <f t="shared" si="296"/>
        <v>2.064572113999586E-3</v>
      </c>
      <c r="H314" s="3">
        <f t="shared" si="296"/>
        <v>2.064572113999586E-3</v>
      </c>
      <c r="I314" s="3">
        <f t="shared" si="296"/>
        <v>2.064572113999586E-3</v>
      </c>
      <c r="J314" s="3">
        <f t="shared" si="296"/>
        <v>2.064572113999586E-3</v>
      </c>
      <c r="K314" s="3">
        <f t="shared" si="296"/>
        <v>2.064572113999586E-3</v>
      </c>
      <c r="L314" s="3">
        <f t="shared" si="296"/>
        <v>2.064572113999586E-3</v>
      </c>
      <c r="M314" s="3">
        <f t="shared" si="296"/>
        <v>2.0645721139995856E-3</v>
      </c>
      <c r="N314" s="3">
        <f t="shared" si="296"/>
        <v>2.0645721139995838E-3</v>
      </c>
      <c r="O314" s="3">
        <f t="shared" si="296"/>
        <v>2.0645721139995652E-3</v>
      </c>
      <c r="P314" s="3">
        <f t="shared" si="296"/>
        <v>2.0645721139993796E-3</v>
      </c>
      <c r="Q314" s="3">
        <f t="shared" si="296"/>
        <v>2.0645721139975239E-3</v>
      </c>
      <c r="R314" s="3">
        <f t="shared" si="296"/>
        <v>2.0645721139789658E-3</v>
      </c>
      <c r="S314" s="3">
        <f t="shared" si="296"/>
        <v>2.0645721137933825E-3</v>
      </c>
      <c r="T314" s="3">
        <f t="shared" si="296"/>
        <v>2.0645721119375497E-3</v>
      </c>
      <c r="U314" s="3">
        <f t="shared" si="296"/>
        <v>2.0645720933792208E-3</v>
      </c>
      <c r="V314" s="3">
        <f t="shared" si="296"/>
        <v>2.064571907795942E-3</v>
      </c>
      <c r="W314" s="3">
        <f t="shared" si="296"/>
        <v>2.0645700519640732E-3</v>
      </c>
      <c r="X314" s="3">
        <f t="shared" si="296"/>
        <v>2.0645514937371362E-3</v>
      </c>
      <c r="Y314" s="3">
        <f t="shared" si="296"/>
        <v>2.0643659206425169E-3</v>
      </c>
      <c r="Z314" s="3">
        <f t="shared" si="296"/>
        <v>2.0625111068664193E-3</v>
      </c>
      <c r="AA314" s="3">
        <f t="shared" si="296"/>
        <v>2.0440543818043681E-3</v>
      </c>
      <c r="AB314" s="3">
        <f t="shared" si="296"/>
        <v>1.8683315430694293E-3</v>
      </c>
      <c r="AC314" s="3">
        <f t="shared" si="296"/>
        <v>7.6044699322218464E-4</v>
      </c>
      <c r="AD314" s="3">
        <f t="shared" si="296"/>
        <v>9.4889674506963824E-8</v>
      </c>
      <c r="AE314" s="3">
        <f t="shared" si="296"/>
        <v>8.6839848178226523E-47</v>
      </c>
      <c r="AF314" s="3">
        <f t="shared" si="296"/>
        <v>0</v>
      </c>
      <c r="AG314" s="3"/>
      <c r="AH314" s="3"/>
    </row>
    <row r="315" spans="1:34" x14ac:dyDescent="0.25">
      <c r="B315" s="3">
        <f t="shared" ref="B315:AF315" si="297">$C45*EXP(-B$285/$A45/EXP(-$F$126))</f>
        <v>5.3484126683110472E-4</v>
      </c>
      <c r="C315" s="3">
        <f t="shared" si="297"/>
        <v>5.3484126683110472E-4</v>
      </c>
      <c r="D315" s="3">
        <f t="shared" si="297"/>
        <v>5.3484126683110472E-4</v>
      </c>
      <c r="E315" s="3">
        <f t="shared" si="297"/>
        <v>5.3484126683110472E-4</v>
      </c>
      <c r="F315" s="3">
        <f t="shared" si="297"/>
        <v>5.3484126683110472E-4</v>
      </c>
      <c r="G315" s="3">
        <f t="shared" si="297"/>
        <v>5.3484126683110472E-4</v>
      </c>
      <c r="H315" s="3">
        <f t="shared" si="297"/>
        <v>5.3484126683110472E-4</v>
      </c>
      <c r="I315" s="3">
        <f t="shared" si="297"/>
        <v>5.3484126683110472E-4</v>
      </c>
      <c r="J315" s="3">
        <f t="shared" si="297"/>
        <v>5.3484126683110472E-4</v>
      </c>
      <c r="K315" s="3">
        <f t="shared" si="297"/>
        <v>5.3484126683110472E-4</v>
      </c>
      <c r="L315" s="3">
        <f t="shared" si="297"/>
        <v>5.3484126683110472E-4</v>
      </c>
      <c r="M315" s="3">
        <f t="shared" si="297"/>
        <v>5.3484126683110472E-4</v>
      </c>
      <c r="N315" s="3">
        <f t="shared" si="297"/>
        <v>5.3484126683110461E-4</v>
      </c>
      <c r="O315" s="3">
        <f t="shared" si="297"/>
        <v>5.3484126683110418E-4</v>
      </c>
      <c r="P315" s="3">
        <f t="shared" si="297"/>
        <v>5.3484126683109941E-4</v>
      </c>
      <c r="Q315" s="3">
        <f t="shared" si="297"/>
        <v>5.3484126683105127E-4</v>
      </c>
      <c r="R315" s="3">
        <f t="shared" si="297"/>
        <v>5.3484126683057054E-4</v>
      </c>
      <c r="S315" s="3">
        <f t="shared" si="297"/>
        <v>5.3484126682576286E-4</v>
      </c>
      <c r="T315" s="3">
        <f t="shared" si="297"/>
        <v>5.348412667776863E-4</v>
      </c>
      <c r="U315" s="3">
        <f t="shared" si="297"/>
        <v>5.3484126629692037E-4</v>
      </c>
      <c r="V315" s="3">
        <f t="shared" si="297"/>
        <v>5.3484126148926068E-4</v>
      </c>
      <c r="W315" s="3">
        <f t="shared" si="297"/>
        <v>5.3484121341266632E-4</v>
      </c>
      <c r="X315" s="3">
        <f t="shared" si="297"/>
        <v>5.3484073264696151E-4</v>
      </c>
      <c r="Y315" s="3">
        <f t="shared" si="297"/>
        <v>5.3483592501368099E-4</v>
      </c>
      <c r="Z315" s="3">
        <f t="shared" si="297"/>
        <v>5.3478785105765751E-4</v>
      </c>
      <c r="AA315" s="3">
        <f t="shared" si="297"/>
        <v>5.343073490964922E-4</v>
      </c>
      <c r="AB315" s="3">
        <f t="shared" si="297"/>
        <v>5.2952601055820416E-4</v>
      </c>
      <c r="AC315" s="3">
        <f t="shared" si="297"/>
        <v>4.8400382945207532E-4</v>
      </c>
      <c r="AD315" s="3">
        <f t="shared" si="297"/>
        <v>1.9699889892678231E-4</v>
      </c>
      <c r="AE315" s="3">
        <f t="shared" si="297"/>
        <v>2.4581807231803913E-8</v>
      </c>
      <c r="AF315" s="3">
        <f t="shared" si="297"/>
        <v>2.2496445678076608E-47</v>
      </c>
      <c r="AG315" s="3"/>
      <c r="AH315" s="3"/>
    </row>
    <row r="316" spans="1:34" x14ac:dyDescent="0.25">
      <c r="B316" s="3">
        <f t="shared" ref="B316:AF316" si="298">$C46*EXP(-B$285/$A46/EXP(-$F$126))</f>
        <v>1.465148476990797E-3</v>
      </c>
      <c r="C316" s="3">
        <f t="shared" si="298"/>
        <v>1.465148476990797E-3</v>
      </c>
      <c r="D316" s="3">
        <f t="shared" si="298"/>
        <v>1.465148476990797E-3</v>
      </c>
      <c r="E316" s="3">
        <f t="shared" si="298"/>
        <v>1.465148476990797E-3</v>
      </c>
      <c r="F316" s="3">
        <f t="shared" si="298"/>
        <v>1.465148476990797E-3</v>
      </c>
      <c r="G316" s="3">
        <f t="shared" si="298"/>
        <v>1.465148476990797E-3</v>
      </c>
      <c r="H316" s="3">
        <f t="shared" si="298"/>
        <v>1.465148476990797E-3</v>
      </c>
      <c r="I316" s="3">
        <f t="shared" si="298"/>
        <v>1.465148476990797E-3</v>
      </c>
      <c r="J316" s="3">
        <f t="shared" si="298"/>
        <v>1.465148476990797E-3</v>
      </c>
      <c r="K316" s="3">
        <f t="shared" si="298"/>
        <v>1.465148476990797E-3</v>
      </c>
      <c r="L316" s="3">
        <f t="shared" si="298"/>
        <v>1.465148476990797E-3</v>
      </c>
      <c r="M316" s="3">
        <f t="shared" si="298"/>
        <v>1.465148476990797E-3</v>
      </c>
      <c r="N316" s="3">
        <f t="shared" si="298"/>
        <v>1.465148476990797E-3</v>
      </c>
      <c r="O316" s="3">
        <f t="shared" si="298"/>
        <v>1.4651484769907968E-3</v>
      </c>
      <c r="P316" s="3">
        <f t="shared" si="298"/>
        <v>1.4651484769907955E-3</v>
      </c>
      <c r="Q316" s="3">
        <f t="shared" si="298"/>
        <v>1.4651484769907823E-3</v>
      </c>
      <c r="R316" s="3">
        <f t="shared" si="298"/>
        <v>1.4651484769906506E-3</v>
      </c>
      <c r="S316" s="3">
        <f t="shared" si="298"/>
        <v>1.4651484769893338E-3</v>
      </c>
      <c r="T316" s="3">
        <f t="shared" si="298"/>
        <v>1.4651484769761635E-3</v>
      </c>
      <c r="U316" s="3">
        <f t="shared" si="298"/>
        <v>1.465148476844462E-3</v>
      </c>
      <c r="V316" s="3">
        <f t="shared" si="298"/>
        <v>1.465148475527448E-3</v>
      </c>
      <c r="W316" s="3">
        <f t="shared" si="298"/>
        <v>1.4651484623573062E-3</v>
      </c>
      <c r="X316" s="3">
        <f t="shared" si="298"/>
        <v>1.4651483306558964E-3</v>
      </c>
      <c r="Y316" s="3">
        <f t="shared" si="298"/>
        <v>1.4651470136424498E-3</v>
      </c>
      <c r="Z316" s="3">
        <f t="shared" si="298"/>
        <v>1.4651338435730933E-3</v>
      </c>
      <c r="AA316" s="3">
        <f t="shared" si="298"/>
        <v>1.4650021493905032E-3</v>
      </c>
      <c r="AB316" s="3">
        <f t="shared" si="298"/>
        <v>1.4636858584454093E-3</v>
      </c>
      <c r="AC316" s="3">
        <f t="shared" si="298"/>
        <v>1.4505878211177057E-3</v>
      </c>
      <c r="AD316" s="3">
        <f t="shared" si="298"/>
        <v>1.3258839913027076E-3</v>
      </c>
      <c r="AE316" s="3">
        <f t="shared" si="298"/>
        <v>5.3966037146229622E-4</v>
      </c>
      <c r="AF316" s="3">
        <f t="shared" si="298"/>
        <v>6.7339600851577899E-8</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1.026110794379005E-2</v>
      </c>
      <c r="C318" s="3">
        <f t="shared" si="300"/>
        <v>1.026110794379005E-2</v>
      </c>
      <c r="D318" s="3">
        <f t="shared" si="300"/>
        <v>1.026110794379005E-2</v>
      </c>
      <c r="E318" s="3">
        <f t="shared" si="300"/>
        <v>1.026110794379005E-2</v>
      </c>
      <c r="F318" s="3">
        <f t="shared" si="300"/>
        <v>1.026110794379005E-2</v>
      </c>
      <c r="G318" s="3">
        <f t="shared" si="300"/>
        <v>1.026110794379005E-2</v>
      </c>
      <c r="H318" s="3">
        <f t="shared" si="300"/>
        <v>1.026110794379005E-2</v>
      </c>
      <c r="I318" s="3">
        <f t="shared" si="300"/>
        <v>1.026110794379005E-2</v>
      </c>
      <c r="J318" s="3">
        <f t="shared" si="300"/>
        <v>1.026110794379005E-2</v>
      </c>
      <c r="K318" s="3">
        <f t="shared" si="300"/>
        <v>1.026110794379005E-2</v>
      </c>
      <c r="L318" s="3">
        <f t="shared" si="300"/>
        <v>1.026110794379005E-2</v>
      </c>
      <c r="M318" s="3">
        <f t="shared" si="300"/>
        <v>1.026110794379005E-2</v>
      </c>
      <c r="N318" s="3">
        <f t="shared" si="300"/>
        <v>1.026110794379005E-2</v>
      </c>
      <c r="O318" s="3">
        <f t="shared" si="300"/>
        <v>1.026110794379005E-2</v>
      </c>
      <c r="P318" s="3">
        <f t="shared" si="300"/>
        <v>1.026110794379005E-2</v>
      </c>
      <c r="Q318" s="3">
        <f t="shared" si="300"/>
        <v>1.0261107943790048E-2</v>
      </c>
      <c r="R318" s="3">
        <f t="shared" si="300"/>
        <v>1.0261107943790039E-2</v>
      </c>
      <c r="S318" s="3">
        <f t="shared" si="300"/>
        <v>1.0261107943789947E-2</v>
      </c>
      <c r="T318" s="3">
        <f t="shared" si="300"/>
        <v>1.0261107943789025E-2</v>
      </c>
      <c r="U318" s="3">
        <f t="shared" si="300"/>
        <v>1.0261107943779801E-2</v>
      </c>
      <c r="V318" s="3">
        <f t="shared" si="300"/>
        <v>1.0261107943687566E-2</v>
      </c>
      <c r="W318" s="3">
        <f t="shared" si="300"/>
        <v>1.0261107942765199E-2</v>
      </c>
      <c r="X318" s="3">
        <f t="shared" si="300"/>
        <v>1.0261107933541545E-2</v>
      </c>
      <c r="Y318" s="3">
        <f t="shared" si="300"/>
        <v>1.0261107841304991E-2</v>
      </c>
      <c r="Z318" s="3">
        <f t="shared" si="300"/>
        <v>1.0261106918939509E-2</v>
      </c>
      <c r="AA318" s="3">
        <f t="shared" si="300"/>
        <v>1.0261097695289241E-2</v>
      </c>
      <c r="AB318" s="3">
        <f t="shared" si="300"/>
        <v>1.0261005459242578E-2</v>
      </c>
      <c r="AC318" s="3">
        <f t="shared" si="300"/>
        <v>1.0260083144375281E-2</v>
      </c>
      <c r="AD318" s="3">
        <f t="shared" si="300"/>
        <v>1.0250864554119648E-2</v>
      </c>
      <c r="AE318" s="3">
        <f t="shared" si="300"/>
        <v>1.0159132980847703E-2</v>
      </c>
      <c r="AF318" s="3">
        <f t="shared" si="300"/>
        <v>9.2857747657377719E-3</v>
      </c>
      <c r="AG318" s="3"/>
      <c r="AH318" s="3"/>
    </row>
    <row r="319" spans="1:34" x14ac:dyDescent="0.25">
      <c r="A319" s="79">
        <f>AVERAGE(B319:AF319)</f>
        <v>2.4190186965289227E-4</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5.5706417220224608E-4</v>
      </c>
      <c r="M319" s="80">
        <f t="shared" si="301"/>
        <v>8.9173563010004457E-4</v>
      </c>
      <c r="N319" s="80">
        <f t="shared" si="301"/>
        <v>1.0850421848956015E-3</v>
      </c>
      <c r="O319" s="80">
        <f t="shared" si="301"/>
        <v>1.2333178340458461E-3</v>
      </c>
      <c r="P319" s="80">
        <f t="shared" si="301"/>
        <v>1.1060056934535734E-3</v>
      </c>
      <c r="Q319" s="80">
        <f t="shared" si="301"/>
        <v>9.5106367960553367E-4</v>
      </c>
      <c r="R319" s="80">
        <f t="shared" si="301"/>
        <v>5.9144775748194115E-4</v>
      </c>
      <c r="S319" s="80">
        <f t="shared" si="301"/>
        <v>5.6732281291108631E-4</v>
      </c>
      <c r="T319" s="80">
        <f t="shared" si="301"/>
        <v>1.7844975110446946E-4</v>
      </c>
      <c r="U319" s="80">
        <f t="shared" si="301"/>
        <v>2.8121722186951034E-4</v>
      </c>
      <c r="V319" s="80">
        <f t="shared" si="301"/>
        <v>5.6291221569809633E-5</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4279.7545446342983</v>
      </c>
      <c r="C320" s="21">
        <f t="shared" ref="C320:AF320" si="302">(C287-C286)^2</f>
        <v>7181.3467709966735</v>
      </c>
      <c r="D320" s="21">
        <f t="shared" si="302"/>
        <v>495.56357518063078</v>
      </c>
      <c r="E320" s="21">
        <f t="shared" si="302"/>
        <v>14.405443761635588</v>
      </c>
      <c r="F320" s="21">
        <f t="shared" si="302"/>
        <v>0.1310639564099737</v>
      </c>
      <c r="G320" s="21">
        <f t="shared" si="302"/>
        <v>4.9449916333669373E-2</v>
      </c>
      <c r="H320" s="21">
        <f t="shared" si="302"/>
        <v>1.0794689805696854E-4</v>
      </c>
      <c r="I320" s="21">
        <f t="shared" si="302"/>
        <v>0.51517301906178792</v>
      </c>
      <c r="J320" s="21">
        <f t="shared" si="302"/>
        <v>1.0740144071415376</v>
      </c>
      <c r="K320" s="21">
        <f t="shared" si="302"/>
        <v>7.6763723126294519</v>
      </c>
      <c r="L320" s="21">
        <f t="shared" si="302"/>
        <v>18.315052186455137</v>
      </c>
      <c r="M320" s="21">
        <f t="shared" si="302"/>
        <v>43.590772724724566</v>
      </c>
      <c r="N320" s="21">
        <f t="shared" si="302"/>
        <v>59.888864514243011</v>
      </c>
      <c r="O320" s="21">
        <f t="shared" si="302"/>
        <v>71.262941432082144</v>
      </c>
      <c r="P320" s="21">
        <f t="shared" si="302"/>
        <v>52.843675970628574</v>
      </c>
      <c r="Q320" s="21">
        <f t="shared" si="302"/>
        <v>34.983293366517678</v>
      </c>
      <c r="R320" s="21">
        <f t="shared" si="302"/>
        <v>11.328006073210794</v>
      </c>
      <c r="S320" s="21">
        <f t="shared" si="302"/>
        <v>7.3031053963163197</v>
      </c>
      <c r="T320" s="21">
        <f t="shared" si="302"/>
        <v>0.4474306056124952</v>
      </c>
      <c r="U320" s="21">
        <f t="shared" si="302"/>
        <v>0.66503003476729483</v>
      </c>
      <c r="V320" s="21">
        <f t="shared" si="302"/>
        <v>1.5447578055955608E-2</v>
      </c>
      <c r="W320" s="21">
        <f t="shared" si="302"/>
        <v>7.1583240911144541E-2</v>
      </c>
      <c r="X320" s="21">
        <f t="shared" si="302"/>
        <v>7.0965860772755698E-2</v>
      </c>
      <c r="Y320" s="21">
        <f t="shared" si="302"/>
        <v>2.2066626812394144E-2</v>
      </c>
      <c r="Z320" s="21">
        <f t="shared" si="302"/>
        <v>6.5909929844723616E-3</v>
      </c>
      <c r="AA320" s="21">
        <f t="shared" si="302"/>
        <v>1.7345660017399525E-3</v>
      </c>
      <c r="AB320" s="21">
        <f t="shared" si="302"/>
        <v>1.6280409946246472E-4</v>
      </c>
      <c r="AC320" s="21">
        <f t="shared" si="302"/>
        <v>1.3263260173360222E-3</v>
      </c>
      <c r="AD320" s="21">
        <f t="shared" si="302"/>
        <v>1.5216715075495044E-3</v>
      </c>
      <c r="AE320" s="21">
        <f t="shared" si="302"/>
        <v>2.5004501119182637E-3</v>
      </c>
      <c r="AF320" s="21">
        <f t="shared" si="302"/>
        <v>1.4254857380201425E-5</v>
      </c>
      <c r="AG320" s="3"/>
      <c r="AH320" s="3"/>
    </row>
    <row r="321" spans="1:34" x14ac:dyDescent="0.25">
      <c r="A321" s="71">
        <f>SUM(B321:AF321)</f>
        <v>300.64361988261402</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18.315052186455137</v>
      </c>
      <c r="M321" s="60">
        <f t="shared" ref="M321" si="313">IF($A$64&lt;=M285,IF($B$64&gt;=M285,ABS(M320),0),0)</f>
        <v>43.590772724724566</v>
      </c>
      <c r="N321" s="60">
        <f t="shared" ref="N321" si="314">IF($A$64&lt;=N285,IF($B$64&gt;=N285,ABS(N320),0),0)</f>
        <v>59.888864514243011</v>
      </c>
      <c r="O321" s="60">
        <f t="shared" ref="O321" si="315">IF($A$64&lt;=O285,IF($B$64&gt;=O285,ABS(O320),0),0)</f>
        <v>71.262941432082144</v>
      </c>
      <c r="P321" s="60">
        <f t="shared" ref="P321" si="316">IF($A$64&lt;=P285,IF($B$64&gt;=P285,ABS(P320),0),0)</f>
        <v>52.843675970628574</v>
      </c>
      <c r="Q321" s="60">
        <f t="shared" ref="Q321" si="317">IF($A$64&lt;=Q285,IF($B$64&gt;=Q285,ABS(Q320),0),0)</f>
        <v>34.983293366517678</v>
      </c>
      <c r="R321" s="60">
        <f t="shared" ref="R321" si="318">IF($A$64&lt;=R285,IF($B$64&gt;=R285,ABS(R320),0),0)</f>
        <v>11.328006073210794</v>
      </c>
      <c r="S321" s="60">
        <f t="shared" ref="S321" si="319">IF($A$64&lt;=S285,IF($B$64&gt;=S285,ABS(S320),0),0)</f>
        <v>7.3031053963163197</v>
      </c>
      <c r="T321" s="60">
        <f t="shared" ref="T321" si="320">IF($A$64&lt;=T285,IF($B$64&gt;=T285,ABS(T320),0),0)</f>
        <v>0.4474306056124952</v>
      </c>
      <c r="U321" s="60">
        <f t="shared" ref="U321" si="321">IF($A$64&lt;=U285,IF($B$64&gt;=U285,ABS(U320),0),0)</f>
        <v>0.66503003476729483</v>
      </c>
      <c r="V321" s="60">
        <f t="shared" ref="V321" si="322">IF($A$64&lt;=V285,IF($B$64&gt;=V285,ABS(V320),0),0)</f>
        <v>1.5447578055955608E-2</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9957.6369510463937</v>
      </c>
      <c r="C326" s="27">
        <f t="shared" ref="C326:AF326" si="333">($C$17+SUM(C327:C357))*$B$51</f>
        <v>9735.5971937454487</v>
      </c>
      <c r="D326" s="27">
        <f t="shared" si="333"/>
        <v>9475.0343340934724</v>
      </c>
      <c r="E326" s="27">
        <f t="shared" si="333"/>
        <v>9213.9533558903768</v>
      </c>
      <c r="F326" s="27">
        <f t="shared" si="333"/>
        <v>8972.6899909078329</v>
      </c>
      <c r="G326" s="27">
        <f t="shared" si="333"/>
        <v>8656.1927935230142</v>
      </c>
      <c r="H326" s="27">
        <f t="shared" si="333"/>
        <v>8301.7994397334332</v>
      </c>
      <c r="I326" s="27">
        <f t="shared" si="333"/>
        <v>7956.6164266715186</v>
      </c>
      <c r="J326" s="27">
        <f t="shared" si="333"/>
        <v>7666.2622030234124</v>
      </c>
      <c r="K326" s="27">
        <f t="shared" si="333"/>
        <v>7398.6073408341945</v>
      </c>
      <c r="L326" s="27">
        <f t="shared" si="333"/>
        <v>7111.7034854919857</v>
      </c>
      <c r="M326" s="27">
        <f t="shared" si="333"/>
        <v>6842.7151644594669</v>
      </c>
      <c r="N326" s="27">
        <f t="shared" si="333"/>
        <v>6551.6246639196997</v>
      </c>
      <c r="O326" s="27">
        <f t="shared" si="333"/>
        <v>6210.6438762082953</v>
      </c>
      <c r="P326" s="27">
        <f t="shared" si="333"/>
        <v>5655.5097568540623</v>
      </c>
      <c r="Q326" s="27">
        <f t="shared" si="333"/>
        <v>4727.4773971800896</v>
      </c>
      <c r="R326" s="27">
        <f t="shared" si="333"/>
        <v>3715.6044728671104</v>
      </c>
      <c r="S326" s="27">
        <f t="shared" si="333"/>
        <v>2876.0125044958936</v>
      </c>
      <c r="T326" s="27">
        <f t="shared" si="333"/>
        <v>2185.456941167593</v>
      </c>
      <c r="U326" s="27">
        <f t="shared" si="333"/>
        <v>1589.4030831072339</v>
      </c>
      <c r="V326" s="27">
        <f t="shared" si="333"/>
        <v>1102.9442062867611</v>
      </c>
      <c r="W326" s="27">
        <f t="shared" si="333"/>
        <v>770.64815968514051</v>
      </c>
      <c r="X326" s="27">
        <f t="shared" si="333"/>
        <v>575.48213741160657</v>
      </c>
      <c r="Y326" s="27">
        <f t="shared" si="333"/>
        <v>474.97517481350098</v>
      </c>
      <c r="Z326" s="27">
        <f t="shared" si="333"/>
        <v>426.64808174388747</v>
      </c>
      <c r="AA326" s="27">
        <f t="shared" si="333"/>
        <v>397.83549116314578</v>
      </c>
      <c r="AB326" s="27">
        <f t="shared" si="333"/>
        <v>384.85553410296518</v>
      </c>
      <c r="AC326" s="27">
        <f t="shared" si="333"/>
        <v>372.28572415258105</v>
      </c>
      <c r="AD326" s="27">
        <f t="shared" si="333"/>
        <v>355.83738422158962</v>
      </c>
      <c r="AE326" s="27">
        <f t="shared" si="333"/>
        <v>290.14102448534823</v>
      </c>
      <c r="AF326" s="27">
        <f t="shared" si="333"/>
        <v>250.92316794154536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2.2192340088826139E-3</v>
      </c>
      <c r="C328" s="3">
        <f t="shared" si="335"/>
        <v>2.5109203698031891E-14</v>
      </c>
      <c r="D328" s="3">
        <f t="shared" si="335"/>
        <v>8.6323958507076296E-124</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1.3737808816687619E-2</v>
      </c>
      <c r="C329" s="3">
        <f t="shared" si="336"/>
        <v>1.4140469024651711E-3</v>
      </c>
      <c r="D329" s="3">
        <f t="shared" si="336"/>
        <v>1.8876752465444598E-13</v>
      </c>
      <c r="E329" s="3">
        <f t="shared" si="336"/>
        <v>3.3928287659437181E-112</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2.3919123297346415E-2</v>
      </c>
      <c r="C330" s="3">
        <f t="shared" si="337"/>
        <v>1.9483578387693587E-2</v>
      </c>
      <c r="D330" s="3">
        <f t="shared" si="337"/>
        <v>2.5055517638790711E-3</v>
      </c>
      <c r="E330" s="3">
        <f t="shared" si="337"/>
        <v>3.0992024282341103E-12</v>
      </c>
      <c r="F330" s="3">
        <f t="shared" si="337"/>
        <v>2.5984573002790808E-101</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2.4576934538989365E-2</v>
      </c>
      <c r="C331" s="3">
        <f t="shared" si="338"/>
        <v>2.4126385801812207E-2</v>
      </c>
      <c r="D331" s="3">
        <f t="shared" si="338"/>
        <v>2.0051082497611779E-2</v>
      </c>
      <c r="E331" s="3">
        <f t="shared" si="338"/>
        <v>3.1520520425999568E-3</v>
      </c>
      <c r="F331" s="3">
        <f t="shared" si="338"/>
        <v>2.9050187165095683E-11</v>
      </c>
      <c r="G331" s="3">
        <f t="shared" si="338"/>
        <v>1.2844123983488251E-91</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1.9754335610235089E-2</v>
      </c>
      <c r="C332" s="3">
        <f t="shared" si="339"/>
        <v>1.9721391921288817E-2</v>
      </c>
      <c r="D332" s="3">
        <f t="shared" si="339"/>
        <v>1.9394961618678236E-2</v>
      </c>
      <c r="E332" s="3">
        <f t="shared" si="339"/>
        <v>1.6413550313324442E-2</v>
      </c>
      <c r="F332" s="3">
        <f t="shared" si="339"/>
        <v>3.0927056902693576E-3</v>
      </c>
      <c r="G332" s="3">
        <f t="shared" si="339"/>
        <v>1.7446134640534742E-10</v>
      </c>
      <c r="H332" s="3">
        <f t="shared" si="339"/>
        <v>5.6925320439372069E-83</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3.0456163627024597E-2</v>
      </c>
      <c r="C333" s="3">
        <f t="shared" si="340"/>
        <v>3.0451578395427649E-2</v>
      </c>
      <c r="D333" s="3">
        <f t="shared" si="340"/>
        <v>3.0405764029644178E-2</v>
      </c>
      <c r="E333" s="3">
        <f t="shared" si="340"/>
        <v>2.9951394333851356E-2</v>
      </c>
      <c r="F333" s="3">
        <f t="shared" si="340"/>
        <v>2.5764889699282541E-2</v>
      </c>
      <c r="G333" s="3">
        <f t="shared" si="340"/>
        <v>5.7166382809986649E-3</v>
      </c>
      <c r="H333" s="3">
        <f t="shared" si="340"/>
        <v>1.6529699922081043E-9</v>
      </c>
      <c r="I333" s="3">
        <f t="shared" si="340"/>
        <v>6.7531676711443241E-75</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3.3429599075904912E-2</v>
      </c>
      <c r="C334" s="3">
        <f t="shared" si="341"/>
        <v>3.3429145036461001E-2</v>
      </c>
      <c r="D334" s="3">
        <f t="shared" si="341"/>
        <v>3.3424604981179128E-2</v>
      </c>
      <c r="E334" s="3">
        <f t="shared" si="341"/>
        <v>3.3379238327038839E-2</v>
      </c>
      <c r="F334" s="3">
        <f t="shared" si="341"/>
        <v>3.2928944679895281E-2</v>
      </c>
      <c r="G334" s="3">
        <f t="shared" si="341"/>
        <v>2.8746946019182172E-2</v>
      </c>
      <c r="H334" s="3">
        <f t="shared" si="341"/>
        <v>7.3914683766560987E-3</v>
      </c>
      <c r="I334" s="3">
        <f t="shared" si="341"/>
        <v>9.3351396738852335E-9</v>
      </c>
      <c r="J334" s="3">
        <f t="shared" si="341"/>
        <v>9.6387738722568209E-68</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3.2540930452376042E-2</v>
      </c>
      <c r="C335" s="3">
        <f t="shared" si="342"/>
        <v>3.2540890582796481E-2</v>
      </c>
      <c r="D335" s="3">
        <f t="shared" si="342"/>
        <v>3.2540491889687571E-2</v>
      </c>
      <c r="E335" s="3">
        <f t="shared" si="342"/>
        <v>3.2536505227253362E-2</v>
      </c>
      <c r="F335" s="3">
        <f t="shared" si="342"/>
        <v>3.2496665456225392E-2</v>
      </c>
      <c r="G335" s="3">
        <f t="shared" si="342"/>
        <v>3.2100940943760363E-2</v>
      </c>
      <c r="H335" s="3">
        <f t="shared" si="342"/>
        <v>2.8399284219418109E-2</v>
      </c>
      <c r="I335" s="3">
        <f t="shared" si="342"/>
        <v>8.3407232098996354E-3</v>
      </c>
      <c r="J335" s="3">
        <f t="shared" si="342"/>
        <v>3.9826015621291887E-8</v>
      </c>
      <c r="K335" s="3">
        <f t="shared" si="342"/>
        <v>2.4535695051078063E-61</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2.4641510998238768E-2</v>
      </c>
      <c r="C336" s="3">
        <f t="shared" si="343"/>
        <v>2.4641508274748317E-2</v>
      </c>
      <c r="D336" s="3">
        <f t="shared" si="343"/>
        <v>2.4641481039860351E-2</v>
      </c>
      <c r="E336" s="3">
        <f t="shared" si="343"/>
        <v>2.4641208692636269E-2</v>
      </c>
      <c r="F336" s="3">
        <f t="shared" si="343"/>
        <v>2.4638485385944764E-2</v>
      </c>
      <c r="G336" s="3">
        <f t="shared" si="343"/>
        <v>2.4611268867193267E-2</v>
      </c>
      <c r="H336" s="3">
        <f t="shared" si="343"/>
        <v>2.4340751748776476E-2</v>
      </c>
      <c r="I336" s="3">
        <f t="shared" si="343"/>
        <v>2.1793842497308293E-2</v>
      </c>
      <c r="J336" s="3">
        <f t="shared" si="343"/>
        <v>7.2165897537105825E-3</v>
      </c>
      <c r="K336" s="3">
        <f t="shared" si="343"/>
        <v>1.1437052417579743E-7</v>
      </c>
      <c r="L336" s="3">
        <f t="shared" si="343"/>
        <v>1.1432337928132959E-55</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2.4122417941032939E-2</v>
      </c>
      <c r="C337" s="3">
        <f t="shared" si="344"/>
        <v>2.4122417700526907E-2</v>
      </c>
      <c r="D337" s="3">
        <f t="shared" si="344"/>
        <v>2.4122415295466722E-2</v>
      </c>
      <c r="E337" s="3">
        <f t="shared" si="344"/>
        <v>2.4122391244878055E-2</v>
      </c>
      <c r="F337" s="3">
        <f t="shared" si="344"/>
        <v>2.4122150740310259E-2</v>
      </c>
      <c r="G337" s="3">
        <f t="shared" si="344"/>
        <v>2.4119745826511392E-2</v>
      </c>
      <c r="H337" s="3">
        <f t="shared" si="344"/>
        <v>2.4095709871569809E-2</v>
      </c>
      <c r="I337" s="3">
        <f t="shared" si="344"/>
        <v>2.3856663776599858E-2</v>
      </c>
      <c r="J337" s="3">
        <f t="shared" si="344"/>
        <v>2.159282948110364E-2</v>
      </c>
      <c r="K337" s="3">
        <f t="shared" si="344"/>
        <v>7.9672419806328387E-3</v>
      </c>
      <c r="L337" s="3">
        <f t="shared" si="344"/>
        <v>3.7264262771167389E-7</v>
      </c>
      <c r="M337" s="3">
        <f t="shared" si="344"/>
        <v>1.8669719493508161E-50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2.8528246550216175E-2</v>
      </c>
      <c r="C338" s="3">
        <f t="shared" si="345"/>
        <v>2.8528246524557935E-2</v>
      </c>
      <c r="D338" s="3">
        <f t="shared" si="345"/>
        <v>2.8528246267975569E-2</v>
      </c>
      <c r="E338" s="3">
        <f t="shared" si="345"/>
        <v>2.8528243702152043E-2</v>
      </c>
      <c r="F338" s="3">
        <f t="shared" si="345"/>
        <v>2.8528218043929444E-2</v>
      </c>
      <c r="G338" s="3">
        <f t="shared" si="345"/>
        <v>2.852796146297271E-2</v>
      </c>
      <c r="H338" s="3">
        <f t="shared" si="345"/>
        <v>2.8525395780323912E-2</v>
      </c>
      <c r="I338" s="3">
        <f t="shared" si="345"/>
        <v>2.849975164147028E-2</v>
      </c>
      <c r="J338" s="3">
        <f t="shared" si="345"/>
        <v>2.8244574804353457E-2</v>
      </c>
      <c r="K338" s="3">
        <f t="shared" si="345"/>
        <v>2.5815152766752489E-2</v>
      </c>
      <c r="L338" s="3">
        <f t="shared" si="345"/>
        <v>1.0501982285692921E-2</v>
      </c>
      <c r="M338" s="3">
        <f t="shared" si="345"/>
        <v>1.3038784309669637E-6</v>
      </c>
      <c r="N338" s="3">
        <f t="shared" si="345"/>
        <v>1.1347372172287976E-45</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2.1048719571208217E-2</v>
      </c>
      <c r="C339" s="3">
        <f t="shared" si="346"/>
        <v>2.1048719569500472E-2</v>
      </c>
      <c r="D339" s="3">
        <f t="shared" si="346"/>
        <v>2.1048719552422979E-2</v>
      </c>
      <c r="E339" s="3">
        <f t="shared" si="346"/>
        <v>2.1048719381648096E-2</v>
      </c>
      <c r="F339" s="3">
        <f t="shared" si="346"/>
        <v>2.1048717673899334E-2</v>
      </c>
      <c r="G339" s="3">
        <f t="shared" si="346"/>
        <v>2.104870059641932E-2</v>
      </c>
      <c r="H339" s="3">
        <f t="shared" si="346"/>
        <v>2.1048529822381236E-2</v>
      </c>
      <c r="I339" s="3">
        <f t="shared" si="346"/>
        <v>2.1046822158203127E-2</v>
      </c>
      <c r="J339" s="3">
        <f t="shared" si="346"/>
        <v>2.1029753134407862E-2</v>
      </c>
      <c r="K339" s="3">
        <f t="shared" si="346"/>
        <v>2.0859822413129558E-2</v>
      </c>
      <c r="L339" s="3">
        <f t="shared" si="346"/>
        <v>1.923423549291764E-2</v>
      </c>
      <c r="M339" s="3">
        <f t="shared" si="346"/>
        <v>8.5451197033680967E-3</v>
      </c>
      <c r="N339" s="3">
        <f t="shared" si="346"/>
        <v>2.5594719218657049E-6</v>
      </c>
      <c r="O339" s="3">
        <f t="shared" si="346"/>
        <v>1.4875533718386448E-41</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3.1114198963827343E-2</v>
      </c>
      <c r="C340" s="3">
        <f t="shared" si="347"/>
        <v>3.1114198963599623E-2</v>
      </c>
      <c r="D340" s="3">
        <f t="shared" si="347"/>
        <v>3.111419896132241E-2</v>
      </c>
      <c r="E340" s="3">
        <f t="shared" si="347"/>
        <v>3.1114198938550289E-2</v>
      </c>
      <c r="F340" s="3">
        <f t="shared" si="347"/>
        <v>3.1114198710829051E-2</v>
      </c>
      <c r="G340" s="3">
        <f t="shared" si="347"/>
        <v>3.1114196433616782E-2</v>
      </c>
      <c r="H340" s="3">
        <f t="shared" si="347"/>
        <v>3.111417366150326E-2</v>
      </c>
      <c r="I340" s="3">
        <f t="shared" si="347"/>
        <v>3.11139459412847E-2</v>
      </c>
      <c r="J340" s="3">
        <f t="shared" si="347"/>
        <v>3.1111668830762971E-2</v>
      </c>
      <c r="K340" s="3">
        <f t="shared" si="347"/>
        <v>3.1088906889448327E-2</v>
      </c>
      <c r="L340" s="3">
        <f t="shared" si="347"/>
        <v>3.0862201389844909E-2</v>
      </c>
      <c r="M340" s="3">
        <f t="shared" si="347"/>
        <v>2.8684110587254157E-2</v>
      </c>
      <c r="N340" s="3">
        <f t="shared" si="347"/>
        <v>1.3797050727305528E-2</v>
      </c>
      <c r="O340" s="3">
        <f t="shared" si="347"/>
        <v>9.1460798722848201E-6</v>
      </c>
      <c r="P340" s="3">
        <f t="shared" si="347"/>
        <v>1.498726120650175E-37</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2.5140718095569822E-2</v>
      </c>
      <c r="C341" s="3">
        <f t="shared" si="348"/>
        <v>2.5140718095553224E-2</v>
      </c>
      <c r="D341" s="3">
        <f t="shared" si="348"/>
        <v>2.5140718095387239E-2</v>
      </c>
      <c r="E341" s="3">
        <f t="shared" si="348"/>
        <v>2.514071809372739E-2</v>
      </c>
      <c r="F341" s="3">
        <f t="shared" si="348"/>
        <v>2.5140718077128876E-2</v>
      </c>
      <c r="G341" s="3">
        <f t="shared" si="348"/>
        <v>2.5140717911143747E-2</v>
      </c>
      <c r="H341" s="3">
        <f t="shared" si="348"/>
        <v>2.5140716251292532E-2</v>
      </c>
      <c r="I341" s="3">
        <f t="shared" si="348"/>
        <v>2.5140699652786373E-2</v>
      </c>
      <c r="J341" s="3">
        <f t="shared" si="348"/>
        <v>2.5140533668327535E-2</v>
      </c>
      <c r="K341" s="3">
        <f t="shared" si="348"/>
        <v>2.5138873884010614E-2</v>
      </c>
      <c r="L341" s="3">
        <f t="shared" si="348"/>
        <v>2.5122282066513516E-2</v>
      </c>
      <c r="M341" s="3">
        <f t="shared" si="348"/>
        <v>2.4956964989381682E-2</v>
      </c>
      <c r="N341" s="3">
        <f t="shared" si="348"/>
        <v>2.3362461193903415E-2</v>
      </c>
      <c r="O341" s="3">
        <f t="shared" si="348"/>
        <v>1.2072211217685909E-2</v>
      </c>
      <c r="P341" s="3">
        <f t="shared" si="348"/>
        <v>1.6385856553675607E-5</v>
      </c>
      <c r="Q341" s="3">
        <f t="shared" si="348"/>
        <v>3.4777021300506659E-34</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7.3741618123119093E-2</v>
      </c>
      <c r="C342" s="3">
        <f t="shared" si="349"/>
        <v>7.3741618123114694E-2</v>
      </c>
      <c r="D342" s="3">
        <f t="shared" si="349"/>
        <v>7.3741618123070771E-2</v>
      </c>
      <c r="E342" s="3">
        <f t="shared" si="349"/>
        <v>7.3741618122631594E-2</v>
      </c>
      <c r="F342" s="3">
        <f t="shared" si="349"/>
        <v>7.3741618118239705E-2</v>
      </c>
      <c r="G342" s="3">
        <f t="shared" si="349"/>
        <v>7.3741618074320878E-2</v>
      </c>
      <c r="H342" s="3">
        <f t="shared" si="349"/>
        <v>7.3741617635132581E-2</v>
      </c>
      <c r="I342" s="3">
        <f t="shared" si="349"/>
        <v>7.3741613243249821E-2</v>
      </c>
      <c r="J342" s="3">
        <f t="shared" si="349"/>
        <v>7.3741569324436526E-2</v>
      </c>
      <c r="K342" s="3">
        <f t="shared" si="349"/>
        <v>7.3741130137742167E-2</v>
      </c>
      <c r="L342" s="3">
        <f t="shared" si="349"/>
        <v>7.3736738414658873E-2</v>
      </c>
      <c r="M342" s="3">
        <f t="shared" si="349"/>
        <v>7.3692835566684392E-2</v>
      </c>
      <c r="N342" s="3">
        <f t="shared" si="349"/>
        <v>7.3255242208363616E-2</v>
      </c>
      <c r="O342" s="3">
        <f t="shared" si="349"/>
        <v>6.9019708032316676E-2</v>
      </c>
      <c r="P342" s="3">
        <f t="shared" si="349"/>
        <v>3.8046718887084691E-2</v>
      </c>
      <c r="Q342" s="3">
        <f t="shared" si="349"/>
        <v>9.8573034752987021E-5</v>
      </c>
      <c r="R342" s="3">
        <f t="shared" si="349"/>
        <v>1.3432823386502326E-30</v>
      </c>
      <c r="S342" s="3">
        <f t="shared" si="349"/>
        <v>2.9666005901550954E-289</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9.9846945696723005E-2</v>
      </c>
      <c r="C343" s="3">
        <f t="shared" si="350"/>
        <v>9.9846945696722464E-2</v>
      </c>
      <c r="D343" s="3">
        <f t="shared" si="350"/>
        <v>9.9846945696717093E-2</v>
      </c>
      <c r="E343" s="3">
        <f t="shared" si="350"/>
        <v>9.9846945696663456E-2</v>
      </c>
      <c r="F343" s="3">
        <f t="shared" si="350"/>
        <v>9.9846945696127024E-2</v>
      </c>
      <c r="G343" s="3">
        <f t="shared" si="350"/>
        <v>9.9846945690762634E-2</v>
      </c>
      <c r="H343" s="3">
        <f t="shared" si="350"/>
        <v>9.984694563711885E-2</v>
      </c>
      <c r="I343" s="3">
        <f t="shared" si="350"/>
        <v>9.9846945100680928E-2</v>
      </c>
      <c r="J343" s="3">
        <f t="shared" si="350"/>
        <v>9.9846939736301946E-2</v>
      </c>
      <c r="K343" s="3">
        <f t="shared" si="350"/>
        <v>9.9846886092527898E-2</v>
      </c>
      <c r="L343" s="3">
        <f t="shared" si="350"/>
        <v>9.9846349656372665E-2</v>
      </c>
      <c r="M343" s="3">
        <f t="shared" si="350"/>
        <v>9.9840985453330519E-2</v>
      </c>
      <c r="N343" s="3">
        <f t="shared" si="350"/>
        <v>9.9787359270779766E-2</v>
      </c>
      <c r="O343" s="3">
        <f t="shared" si="350"/>
        <v>9.9252679086523993E-2</v>
      </c>
      <c r="P343" s="3">
        <f t="shared" si="350"/>
        <v>9.4060941955749836E-2</v>
      </c>
      <c r="Q343" s="3">
        <f t="shared" si="350"/>
        <v>5.4964233544416624E-2</v>
      </c>
      <c r="R343" s="3">
        <f t="shared" si="350"/>
        <v>2.5514596412275442E-4</v>
      </c>
      <c r="S343" s="3">
        <f t="shared" si="350"/>
        <v>1.1854246975466443E-27</v>
      </c>
      <c r="T343" s="3">
        <f t="shared" si="350"/>
        <v>5.5555447824145513E-261</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8.4959897030223219E-2</v>
      </c>
      <c r="C344" s="3">
        <f t="shared" si="351"/>
        <v>8.4959897030223178E-2</v>
      </c>
      <c r="D344" s="3">
        <f t="shared" si="351"/>
        <v>8.4959897030222761E-2</v>
      </c>
      <c r="E344" s="3">
        <f t="shared" si="351"/>
        <v>8.495989703021864E-2</v>
      </c>
      <c r="F344" s="3">
        <f t="shared" si="351"/>
        <v>8.4959897030177478E-2</v>
      </c>
      <c r="G344" s="3">
        <f t="shared" si="351"/>
        <v>8.495989702976571E-2</v>
      </c>
      <c r="H344" s="3">
        <f t="shared" si="351"/>
        <v>8.4959897025648101E-2</v>
      </c>
      <c r="I344" s="3">
        <f t="shared" si="351"/>
        <v>8.4959896984471997E-2</v>
      </c>
      <c r="J344" s="3">
        <f t="shared" si="351"/>
        <v>8.4959896572710955E-2</v>
      </c>
      <c r="K344" s="3">
        <f t="shared" si="351"/>
        <v>8.4959892455100688E-2</v>
      </c>
      <c r="L344" s="3">
        <f t="shared" si="351"/>
        <v>8.4959851279008999E-2</v>
      </c>
      <c r="M344" s="3">
        <f t="shared" si="351"/>
        <v>8.4959439519189675E-2</v>
      </c>
      <c r="N344" s="3">
        <f t="shared" si="351"/>
        <v>8.4955322030752969E-2</v>
      </c>
      <c r="O344" s="3">
        <f t="shared" si="351"/>
        <v>8.4914158120075883E-2</v>
      </c>
      <c r="P344" s="3">
        <f t="shared" si="351"/>
        <v>8.450361441702739E-2</v>
      </c>
      <c r="Q344" s="3">
        <f t="shared" si="351"/>
        <v>8.050577866630601E-2</v>
      </c>
      <c r="R344" s="3">
        <f t="shared" si="351"/>
        <v>4.9584364669903368E-2</v>
      </c>
      <c r="S344" s="3">
        <f t="shared" si="351"/>
        <v>3.8951279922567258E-4</v>
      </c>
      <c r="T344" s="3">
        <f t="shared" si="351"/>
        <v>3.485712255133787E-25</v>
      </c>
      <c r="U344" s="3">
        <f t="shared" si="351"/>
        <v>1.1481259602018773E-235</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6.3888587804479924E-2</v>
      </c>
      <c r="C345" s="3">
        <f t="shared" si="352"/>
        <v>6.3888587804479924E-2</v>
      </c>
      <c r="D345" s="3">
        <f t="shared" si="352"/>
        <v>6.3888587804479896E-2</v>
      </c>
      <c r="E345" s="3">
        <f t="shared" si="352"/>
        <v>6.3888587804479618E-2</v>
      </c>
      <c r="F345" s="3">
        <f t="shared" si="352"/>
        <v>6.3888587804476815E-2</v>
      </c>
      <c r="G345" s="3">
        <f t="shared" si="352"/>
        <v>6.3888587804448893E-2</v>
      </c>
      <c r="H345" s="3">
        <f t="shared" si="352"/>
        <v>6.3888587804169561E-2</v>
      </c>
      <c r="I345" s="3">
        <f t="shared" si="352"/>
        <v>6.3888587801376379E-2</v>
      </c>
      <c r="J345" s="3">
        <f t="shared" si="352"/>
        <v>6.388858777344443E-2</v>
      </c>
      <c r="K345" s="3">
        <f t="shared" si="352"/>
        <v>6.3888587494125001E-2</v>
      </c>
      <c r="L345" s="3">
        <f t="shared" si="352"/>
        <v>6.3888584700930742E-2</v>
      </c>
      <c r="M345" s="3">
        <f t="shared" si="352"/>
        <v>6.3888556768994811E-2</v>
      </c>
      <c r="N345" s="3">
        <f t="shared" si="352"/>
        <v>6.3888277450307243E-2</v>
      </c>
      <c r="O345" s="3">
        <f t="shared" si="352"/>
        <v>6.3885484330595169E-2</v>
      </c>
      <c r="P345" s="3">
        <f t="shared" si="352"/>
        <v>6.3857559848747053E-2</v>
      </c>
      <c r="Q345" s="3">
        <f t="shared" si="352"/>
        <v>6.3578985472517474E-2</v>
      </c>
      <c r="R345" s="3">
        <f t="shared" si="352"/>
        <v>6.0859213972985715E-2</v>
      </c>
      <c r="S345" s="3">
        <f t="shared" si="352"/>
        <v>3.9305542250922955E-2</v>
      </c>
      <c r="T345" s="3">
        <f t="shared" si="352"/>
        <v>4.9628177136272142E-4</v>
      </c>
      <c r="U345" s="3">
        <f t="shared" si="352"/>
        <v>5.1106205803176446E-23</v>
      </c>
      <c r="V345" s="3">
        <f t="shared" si="352"/>
        <v>6.8537269446681683E-213</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6.4356714781999613E-2</v>
      </c>
      <c r="C346" s="3">
        <f t="shared" si="353"/>
        <v>6.4356714781999613E-2</v>
      </c>
      <c r="D346" s="3">
        <f t="shared" si="353"/>
        <v>6.4356714781999613E-2</v>
      </c>
      <c r="E346" s="3">
        <f t="shared" si="353"/>
        <v>6.4356714781999586E-2</v>
      </c>
      <c r="F346" s="3">
        <f t="shared" si="353"/>
        <v>6.4356714781999336E-2</v>
      </c>
      <c r="G346" s="3">
        <f t="shared" si="353"/>
        <v>6.4356714781996796E-2</v>
      </c>
      <c r="H346" s="3">
        <f t="shared" si="353"/>
        <v>6.4356714781971414E-2</v>
      </c>
      <c r="I346" s="3">
        <f t="shared" si="353"/>
        <v>6.4356714781717603E-2</v>
      </c>
      <c r="J346" s="3">
        <f t="shared" si="353"/>
        <v>6.4356714779179439E-2</v>
      </c>
      <c r="K346" s="3">
        <f t="shared" si="353"/>
        <v>6.4356714753797881E-2</v>
      </c>
      <c r="L346" s="3">
        <f t="shared" si="353"/>
        <v>6.4356714499982273E-2</v>
      </c>
      <c r="M346" s="3">
        <f t="shared" si="353"/>
        <v>6.4356711961826268E-2</v>
      </c>
      <c r="N346" s="3">
        <f t="shared" si="353"/>
        <v>6.4356686580271757E-2</v>
      </c>
      <c r="O346" s="3">
        <f t="shared" si="353"/>
        <v>6.4356432765277152E-2</v>
      </c>
      <c r="P346" s="3">
        <f t="shared" si="353"/>
        <v>6.435389467038638E-2</v>
      </c>
      <c r="Q346" s="3">
        <f t="shared" si="353"/>
        <v>6.4328519226196423E-2</v>
      </c>
      <c r="R346" s="3">
        <f t="shared" si="353"/>
        <v>6.4075314453646184E-2</v>
      </c>
      <c r="S346" s="3">
        <f t="shared" si="353"/>
        <v>6.1597439955889614E-2</v>
      </c>
      <c r="T346" s="3">
        <f t="shared" si="353"/>
        <v>4.1522340905068067E-2</v>
      </c>
      <c r="U346" s="3">
        <f t="shared" si="353"/>
        <v>8.044026608240492E-4</v>
      </c>
      <c r="V346" s="3">
        <f t="shared" si="353"/>
        <v>5.9894947139567283E-21</v>
      </c>
      <c r="W346" s="3">
        <f t="shared" si="353"/>
        <v>3.1373073042009194E-192</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2.3762961942572935E-2</v>
      </c>
      <c r="C347" s="3">
        <f t="shared" si="354"/>
        <v>2.3762961942572935E-2</v>
      </c>
      <c r="D347" s="3">
        <f t="shared" si="354"/>
        <v>2.3762961942572935E-2</v>
      </c>
      <c r="E347" s="3">
        <f t="shared" si="354"/>
        <v>2.3762961942572935E-2</v>
      </c>
      <c r="F347" s="3">
        <f t="shared" si="354"/>
        <v>2.3762961942572925E-2</v>
      </c>
      <c r="G347" s="3">
        <f t="shared" si="354"/>
        <v>2.3762961942572842E-2</v>
      </c>
      <c r="H347" s="3">
        <f t="shared" si="354"/>
        <v>2.3762961942571995E-2</v>
      </c>
      <c r="I347" s="3">
        <f t="shared" si="354"/>
        <v>2.376296194256354E-2</v>
      </c>
      <c r="J347" s="3">
        <f t="shared" si="354"/>
        <v>2.3762961942479E-2</v>
      </c>
      <c r="K347" s="3">
        <f t="shared" si="354"/>
        <v>2.3762961941633583E-2</v>
      </c>
      <c r="L347" s="3">
        <f t="shared" si="354"/>
        <v>2.3762961933179401E-2</v>
      </c>
      <c r="M347" s="3">
        <f t="shared" si="354"/>
        <v>2.3762961848637573E-2</v>
      </c>
      <c r="N347" s="3">
        <f t="shared" si="354"/>
        <v>2.3762961003219341E-2</v>
      </c>
      <c r="O347" s="3">
        <f t="shared" si="354"/>
        <v>2.3762952549038679E-2</v>
      </c>
      <c r="P347" s="3">
        <f t="shared" si="354"/>
        <v>2.3762868007397457E-2</v>
      </c>
      <c r="Q347" s="3">
        <f t="shared" si="354"/>
        <v>2.3762022607527654E-2</v>
      </c>
      <c r="R347" s="3">
        <f t="shared" si="354"/>
        <v>2.3753570262853775E-2</v>
      </c>
      <c r="S347" s="3">
        <f t="shared" si="354"/>
        <v>2.3669212001004844E-2</v>
      </c>
      <c r="T347" s="3">
        <f t="shared" si="354"/>
        <v>2.2841932483424362E-2</v>
      </c>
      <c r="U347" s="3">
        <f t="shared" si="354"/>
        <v>1.600380617181359E-2</v>
      </c>
      <c r="V347" s="3">
        <f t="shared" si="354"/>
        <v>4.5617100372789067E-4</v>
      </c>
      <c r="W347" s="3">
        <f t="shared" si="354"/>
        <v>1.6149965872761734E-19</v>
      </c>
      <c r="X347" s="3">
        <f t="shared" si="354"/>
        <v>4.9958677951473264E-174</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4.2794407584768095E-2</v>
      </c>
      <c r="C348" s="3">
        <f t="shared" si="355"/>
        <v>4.2794407584768095E-2</v>
      </c>
      <c r="D348" s="3">
        <f t="shared" si="355"/>
        <v>4.2794407584768095E-2</v>
      </c>
      <c r="E348" s="3">
        <f t="shared" si="355"/>
        <v>4.2794407584768095E-2</v>
      </c>
      <c r="F348" s="3">
        <f t="shared" si="355"/>
        <v>4.2794407584768088E-2</v>
      </c>
      <c r="G348" s="3">
        <f t="shared" si="355"/>
        <v>4.2794407584768046E-2</v>
      </c>
      <c r="H348" s="3">
        <f t="shared" si="355"/>
        <v>4.279440758476763E-2</v>
      </c>
      <c r="I348" s="3">
        <f t="shared" si="355"/>
        <v>4.2794407584763418E-2</v>
      </c>
      <c r="J348" s="3">
        <f t="shared" si="355"/>
        <v>4.2794407584721306E-2</v>
      </c>
      <c r="K348" s="3">
        <f t="shared" si="355"/>
        <v>4.2794407584300219E-2</v>
      </c>
      <c r="L348" s="3">
        <f t="shared" si="355"/>
        <v>4.2794407580089358E-2</v>
      </c>
      <c r="M348" s="3">
        <f t="shared" si="355"/>
        <v>4.279440753798075E-2</v>
      </c>
      <c r="N348" s="3">
        <f t="shared" si="355"/>
        <v>4.2794407116894632E-2</v>
      </c>
      <c r="O348" s="3">
        <f t="shared" si="355"/>
        <v>4.2794402906033681E-2</v>
      </c>
      <c r="P348" s="3">
        <f t="shared" si="355"/>
        <v>4.2794360797446945E-2</v>
      </c>
      <c r="Q348" s="3">
        <f t="shared" si="355"/>
        <v>4.2793939713858468E-2</v>
      </c>
      <c r="R348" s="3">
        <f t="shared" si="355"/>
        <v>4.2789729105850403E-2</v>
      </c>
      <c r="S348" s="3">
        <f t="shared" si="355"/>
        <v>4.2747645805147429E-2</v>
      </c>
      <c r="T348" s="3">
        <f t="shared" si="355"/>
        <v>4.2329082464367604E-2</v>
      </c>
      <c r="U348" s="3">
        <f t="shared" si="355"/>
        <v>3.8362365500405692E-2</v>
      </c>
      <c r="V348" s="3">
        <f t="shared" si="355"/>
        <v>1.4340708883333933E-2</v>
      </c>
      <c r="W348" s="3">
        <f t="shared" si="355"/>
        <v>7.642281467697961E-7</v>
      </c>
      <c r="X348" s="3">
        <f t="shared" si="355"/>
        <v>1.4117152958963264E-49</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2.2817294808056693E-2</v>
      </c>
      <c r="C349" s="3">
        <f t="shared" si="356"/>
        <v>2.2817294808056693E-2</v>
      </c>
      <c r="D349" s="3">
        <f t="shared" si="356"/>
        <v>2.2817294808056693E-2</v>
      </c>
      <c r="E349" s="3">
        <f t="shared" si="356"/>
        <v>2.2817294808056693E-2</v>
      </c>
      <c r="F349" s="3">
        <f t="shared" si="356"/>
        <v>2.2817294808056693E-2</v>
      </c>
      <c r="G349" s="3">
        <f t="shared" si="356"/>
        <v>2.2817294808056689E-2</v>
      </c>
      <c r="H349" s="3">
        <f t="shared" si="356"/>
        <v>2.2817294808056669E-2</v>
      </c>
      <c r="I349" s="3">
        <f t="shared" si="356"/>
        <v>2.2817294808056443E-2</v>
      </c>
      <c r="J349" s="3">
        <f t="shared" si="356"/>
        <v>2.2817294808054198E-2</v>
      </c>
      <c r="K349" s="3">
        <f t="shared" si="356"/>
        <v>2.2817294808031744E-2</v>
      </c>
      <c r="L349" s="3">
        <f t="shared" si="356"/>
        <v>2.2817294807807229E-2</v>
      </c>
      <c r="M349" s="3">
        <f t="shared" si="356"/>
        <v>2.2817294805562067E-2</v>
      </c>
      <c r="N349" s="3">
        <f t="shared" si="356"/>
        <v>2.2817294783110429E-2</v>
      </c>
      <c r="O349" s="3">
        <f t="shared" si="356"/>
        <v>2.2817294558594031E-2</v>
      </c>
      <c r="P349" s="3">
        <f t="shared" si="356"/>
        <v>2.2817292313430212E-2</v>
      </c>
      <c r="Q349" s="3">
        <f t="shared" si="356"/>
        <v>2.2817269861804129E-2</v>
      </c>
      <c r="R349" s="3">
        <f t="shared" si="356"/>
        <v>2.281704534675837E-2</v>
      </c>
      <c r="S349" s="3">
        <f t="shared" si="356"/>
        <v>2.2814800317801004E-2</v>
      </c>
      <c r="T349" s="3">
        <f t="shared" si="356"/>
        <v>2.2792362173827779E-2</v>
      </c>
      <c r="U349" s="3">
        <f t="shared" si="356"/>
        <v>2.2569190883899286E-2</v>
      </c>
      <c r="V349" s="3">
        <f t="shared" si="356"/>
        <v>2.0454200736937794E-2</v>
      </c>
      <c r="W349" s="3">
        <f t="shared" si="356"/>
        <v>7.6462369925180268E-3</v>
      </c>
      <c r="X349" s="3">
        <f t="shared" si="356"/>
        <v>4.0747424510832262E-7</v>
      </c>
      <c r="Y349" s="3">
        <f t="shared" si="356"/>
        <v>7.5270405432542043E-50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1.5874068547548043E-2</v>
      </c>
      <c r="C350" s="3">
        <f t="shared" si="357"/>
        <v>1.5874068547548043E-2</v>
      </c>
      <c r="D350" s="3">
        <f t="shared" si="357"/>
        <v>1.5874068547548043E-2</v>
      </c>
      <c r="E350" s="3">
        <f t="shared" si="357"/>
        <v>1.5874068547548043E-2</v>
      </c>
      <c r="F350" s="3">
        <f t="shared" si="357"/>
        <v>1.5874068547548043E-2</v>
      </c>
      <c r="G350" s="3">
        <f t="shared" si="357"/>
        <v>1.5874068547548043E-2</v>
      </c>
      <c r="H350" s="3">
        <f t="shared" si="357"/>
        <v>1.587406854754804E-2</v>
      </c>
      <c r="I350" s="3">
        <f t="shared" si="357"/>
        <v>1.5874068547548026E-2</v>
      </c>
      <c r="J350" s="3">
        <f t="shared" si="357"/>
        <v>1.587406854754787E-2</v>
      </c>
      <c r="K350" s="3">
        <f t="shared" si="357"/>
        <v>1.5874068547546308E-2</v>
      </c>
      <c r="L350" s="3">
        <f t="shared" si="357"/>
        <v>1.5874068547530689E-2</v>
      </c>
      <c r="M350" s="3">
        <f t="shared" si="357"/>
        <v>1.5874068547374491E-2</v>
      </c>
      <c r="N350" s="3">
        <f t="shared" si="357"/>
        <v>1.5874068545812522E-2</v>
      </c>
      <c r="O350" s="3">
        <f t="shared" si="357"/>
        <v>1.5874068530192843E-2</v>
      </c>
      <c r="P350" s="3">
        <f t="shared" si="357"/>
        <v>1.5874068373996034E-2</v>
      </c>
      <c r="Q350" s="3">
        <f t="shared" si="357"/>
        <v>1.5874066812028031E-2</v>
      </c>
      <c r="R350" s="3">
        <f t="shared" si="357"/>
        <v>1.5874051192356443E-2</v>
      </c>
      <c r="S350" s="3">
        <f t="shared" si="357"/>
        <v>1.5873894996485883E-2</v>
      </c>
      <c r="T350" s="3">
        <f t="shared" si="357"/>
        <v>1.5872333122308412E-2</v>
      </c>
      <c r="U350" s="3">
        <f t="shared" si="357"/>
        <v>1.5856722830268666E-2</v>
      </c>
      <c r="V350" s="3">
        <f t="shared" si="357"/>
        <v>1.5701461815149614E-2</v>
      </c>
      <c r="W350" s="3">
        <f t="shared" si="357"/>
        <v>1.423005607434283E-2</v>
      </c>
      <c r="X350" s="3">
        <f t="shared" si="357"/>
        <v>5.3195127280018786E-3</v>
      </c>
      <c r="Y350" s="3">
        <f t="shared" si="357"/>
        <v>2.8348119935435931E-7</v>
      </c>
      <c r="Z350" s="3">
        <f t="shared" si="357"/>
        <v>5.2365873583577019E-50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5.5424436077778048E-3</v>
      </c>
      <c r="C351" s="3">
        <f t="shared" si="358"/>
        <v>5.5424436077778048E-3</v>
      </c>
      <c r="D351" s="3">
        <f t="shared" si="358"/>
        <v>5.5424436077778048E-3</v>
      </c>
      <c r="E351" s="3">
        <f t="shared" si="358"/>
        <v>5.5424436077778048E-3</v>
      </c>
      <c r="F351" s="3">
        <f t="shared" si="358"/>
        <v>5.5424436077778048E-3</v>
      </c>
      <c r="G351" s="3">
        <f t="shared" si="358"/>
        <v>5.5424436077778048E-3</v>
      </c>
      <c r="H351" s="3">
        <f t="shared" si="358"/>
        <v>5.5424436077778048E-3</v>
      </c>
      <c r="I351" s="3">
        <f t="shared" si="358"/>
        <v>5.542443607777804E-3</v>
      </c>
      <c r="J351" s="3">
        <f t="shared" si="358"/>
        <v>5.5424436077777988E-3</v>
      </c>
      <c r="K351" s="3">
        <f t="shared" si="358"/>
        <v>5.5424436077777441E-3</v>
      </c>
      <c r="L351" s="3">
        <f t="shared" si="358"/>
        <v>5.5424436077771986E-3</v>
      </c>
      <c r="M351" s="3">
        <f t="shared" si="358"/>
        <v>5.5424436077717455E-3</v>
      </c>
      <c r="N351" s="3">
        <f t="shared" si="358"/>
        <v>5.5424436077172092E-3</v>
      </c>
      <c r="O351" s="3">
        <f t="shared" si="358"/>
        <v>5.5424436071718469E-3</v>
      </c>
      <c r="P351" s="3">
        <f t="shared" si="358"/>
        <v>5.5424436017182232E-3</v>
      </c>
      <c r="Q351" s="3">
        <f t="shared" si="358"/>
        <v>5.5424435471819831E-3</v>
      </c>
      <c r="R351" s="3">
        <f t="shared" si="358"/>
        <v>5.5424430018196176E-3</v>
      </c>
      <c r="S351" s="3">
        <f t="shared" si="358"/>
        <v>5.5424375481989098E-3</v>
      </c>
      <c r="T351" s="3">
        <f t="shared" si="358"/>
        <v>5.5423830122869758E-3</v>
      </c>
      <c r="U351" s="3">
        <f t="shared" si="358"/>
        <v>5.5418376826806967E-3</v>
      </c>
      <c r="V351" s="3">
        <f t="shared" si="358"/>
        <v>5.536387336849565E-3</v>
      </c>
      <c r="W351" s="3">
        <f t="shared" si="358"/>
        <v>5.4821778304331012E-3</v>
      </c>
      <c r="X351" s="3">
        <f t="shared" si="358"/>
        <v>4.9684353504787868E-3</v>
      </c>
      <c r="Y351" s="3">
        <f t="shared" si="358"/>
        <v>1.8573120827527691E-3</v>
      </c>
      <c r="Z351" s="3">
        <f t="shared" si="358"/>
        <v>9.8977685309885042E-8</v>
      </c>
      <c r="AA351" s="3">
        <f t="shared" si="358"/>
        <v>1.8283586242534376E-50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3.8861309197679899E-3</v>
      </c>
      <c r="C352" s="3">
        <f t="shared" si="359"/>
        <v>3.8861309197679899E-3</v>
      </c>
      <c r="D352" s="3">
        <f t="shared" si="359"/>
        <v>3.8861309197679899E-3</v>
      </c>
      <c r="E352" s="3">
        <f t="shared" si="359"/>
        <v>3.8861309197679899E-3</v>
      </c>
      <c r="F352" s="3">
        <f t="shared" si="359"/>
        <v>3.8861309197679899E-3</v>
      </c>
      <c r="G352" s="3">
        <f t="shared" si="359"/>
        <v>3.8861309197679899E-3</v>
      </c>
      <c r="H352" s="3">
        <f t="shared" si="359"/>
        <v>3.8861309197679899E-3</v>
      </c>
      <c r="I352" s="3">
        <f t="shared" si="359"/>
        <v>3.8861309197679899E-3</v>
      </c>
      <c r="J352" s="3">
        <f t="shared" si="359"/>
        <v>3.8861309197679894E-3</v>
      </c>
      <c r="K352" s="3">
        <f t="shared" si="359"/>
        <v>3.8861309197679855E-3</v>
      </c>
      <c r="L352" s="3">
        <f t="shared" si="359"/>
        <v>3.8861309197679478E-3</v>
      </c>
      <c r="M352" s="3">
        <f t="shared" si="359"/>
        <v>3.8861309197675649E-3</v>
      </c>
      <c r="N352" s="3">
        <f t="shared" si="359"/>
        <v>3.8861309197637411E-3</v>
      </c>
      <c r="O352" s="3">
        <f t="shared" si="359"/>
        <v>3.8861309197255026E-3</v>
      </c>
      <c r="P352" s="3">
        <f t="shared" si="359"/>
        <v>3.8861309193431171E-3</v>
      </c>
      <c r="Q352" s="3">
        <f t="shared" si="359"/>
        <v>3.8861309155192631E-3</v>
      </c>
      <c r="R352" s="3">
        <f t="shared" si="359"/>
        <v>3.8861308772807201E-3</v>
      </c>
      <c r="S352" s="3">
        <f t="shared" si="359"/>
        <v>3.8861304948953138E-3</v>
      </c>
      <c r="T352" s="3">
        <f t="shared" si="359"/>
        <v>3.886126671043317E-3</v>
      </c>
      <c r="U352" s="3">
        <f t="shared" si="359"/>
        <v>3.8860884327302906E-3</v>
      </c>
      <c r="V352" s="3">
        <f t="shared" si="359"/>
        <v>3.8857060702933593E-3</v>
      </c>
      <c r="W352" s="3">
        <f t="shared" si="359"/>
        <v>3.8818845145037672E-3</v>
      </c>
      <c r="X352" s="3">
        <f t="shared" si="359"/>
        <v>3.8438750634495877E-3</v>
      </c>
      <c r="Y352" s="3">
        <f t="shared" si="359"/>
        <v>3.4836602056300026E-3</v>
      </c>
      <c r="Z352" s="3">
        <f t="shared" si="359"/>
        <v>1.3022699775087324E-3</v>
      </c>
      <c r="AA352" s="3">
        <f t="shared" si="359"/>
        <v>6.9399035961329051E-8</v>
      </c>
      <c r="AB352" s="3">
        <f t="shared" si="359"/>
        <v>1.2819690167284413E-50</v>
      </c>
      <c r="AC352" s="3">
        <f t="shared" si="359"/>
        <v>0</v>
      </c>
      <c r="AD352" s="3">
        <f t="shared" si="359"/>
        <v>0</v>
      </c>
      <c r="AE352" s="3">
        <f t="shared" si="359"/>
        <v>0</v>
      </c>
      <c r="AF352" s="3">
        <f t="shared" si="359"/>
        <v>0</v>
      </c>
      <c r="AG352" s="3"/>
      <c r="AH352" s="3"/>
    </row>
    <row r="353" spans="1:34" x14ac:dyDescent="0.25">
      <c r="B353" s="3">
        <f t="shared" ref="B353:AF353" si="360">$C44*EXP(-B$363/$A44/EXP(-$G$126))</f>
        <v>2.064572113999586E-3</v>
      </c>
      <c r="C353" s="3">
        <f t="shared" si="360"/>
        <v>2.064572113999586E-3</v>
      </c>
      <c r="D353" s="3">
        <f t="shared" si="360"/>
        <v>2.064572113999586E-3</v>
      </c>
      <c r="E353" s="3">
        <f t="shared" si="360"/>
        <v>2.064572113999586E-3</v>
      </c>
      <c r="F353" s="3">
        <f t="shared" si="360"/>
        <v>2.064572113999586E-3</v>
      </c>
      <c r="G353" s="3">
        <f t="shared" si="360"/>
        <v>2.064572113999586E-3</v>
      </c>
      <c r="H353" s="3">
        <f t="shared" si="360"/>
        <v>2.064572113999586E-3</v>
      </c>
      <c r="I353" s="3">
        <f t="shared" si="360"/>
        <v>2.064572113999586E-3</v>
      </c>
      <c r="J353" s="3">
        <f t="shared" si="360"/>
        <v>2.064572113999586E-3</v>
      </c>
      <c r="K353" s="3">
        <f t="shared" si="360"/>
        <v>2.0645721139995856E-3</v>
      </c>
      <c r="L353" s="3">
        <f t="shared" si="360"/>
        <v>2.0645721139995838E-3</v>
      </c>
      <c r="M353" s="3">
        <f t="shared" si="360"/>
        <v>2.0645721139995635E-3</v>
      </c>
      <c r="N353" s="3">
        <f t="shared" si="360"/>
        <v>2.0645721139993601E-3</v>
      </c>
      <c r="O353" s="3">
        <f t="shared" si="360"/>
        <v>2.0645721139973287E-3</v>
      </c>
      <c r="P353" s="3">
        <f t="shared" si="360"/>
        <v>2.0645721139770138E-3</v>
      </c>
      <c r="Q353" s="3">
        <f t="shared" si="360"/>
        <v>2.0645721137738651E-3</v>
      </c>
      <c r="R353" s="3">
        <f t="shared" si="360"/>
        <v>2.0645721117423786E-3</v>
      </c>
      <c r="S353" s="3">
        <f t="shared" si="360"/>
        <v>2.0645720914275125E-3</v>
      </c>
      <c r="T353" s="3">
        <f t="shared" si="360"/>
        <v>2.0645718882788635E-3</v>
      </c>
      <c r="U353" s="3">
        <f t="shared" si="360"/>
        <v>2.06456985679347E-3</v>
      </c>
      <c r="V353" s="3">
        <f t="shared" si="360"/>
        <v>2.0645495420494766E-3</v>
      </c>
      <c r="W353" s="3">
        <f t="shared" si="360"/>
        <v>2.0643464056032197E-3</v>
      </c>
      <c r="X353" s="3">
        <f t="shared" si="360"/>
        <v>2.0623161401082642E-3</v>
      </c>
      <c r="Y353" s="3">
        <f t="shared" si="360"/>
        <v>2.0421229828690899E-3</v>
      </c>
      <c r="Z353" s="3">
        <f t="shared" si="360"/>
        <v>1.8507528088176608E-3</v>
      </c>
      <c r="AA353" s="3">
        <f t="shared" si="360"/>
        <v>6.9185272858072262E-4</v>
      </c>
      <c r="AB353" s="3">
        <f t="shared" si="360"/>
        <v>3.6869399755777782E-8</v>
      </c>
      <c r="AC353" s="3">
        <f t="shared" si="360"/>
        <v>6.8106750328087857E-51</v>
      </c>
      <c r="AD353" s="3">
        <f t="shared" si="360"/>
        <v>0</v>
      </c>
      <c r="AE353" s="3">
        <f t="shared" si="360"/>
        <v>0</v>
      </c>
      <c r="AF353" s="3">
        <f t="shared" si="360"/>
        <v>0</v>
      </c>
      <c r="AG353" s="3"/>
      <c r="AH353" s="3"/>
    </row>
    <row r="354" spans="1:34" x14ac:dyDescent="0.25">
      <c r="B354" s="3">
        <f t="shared" ref="B354:AF354" si="361">$C45*EXP(-B$363/$A45/EXP(-$G$126))</f>
        <v>5.3484126683110472E-4</v>
      </c>
      <c r="C354" s="3">
        <f t="shared" si="361"/>
        <v>5.3484126683110472E-4</v>
      </c>
      <c r="D354" s="3">
        <f t="shared" si="361"/>
        <v>5.3484126683110472E-4</v>
      </c>
      <c r="E354" s="3">
        <f t="shared" si="361"/>
        <v>5.3484126683110472E-4</v>
      </c>
      <c r="F354" s="3">
        <f t="shared" si="361"/>
        <v>5.3484126683110472E-4</v>
      </c>
      <c r="G354" s="3">
        <f t="shared" si="361"/>
        <v>5.3484126683110472E-4</v>
      </c>
      <c r="H354" s="3">
        <f t="shared" si="361"/>
        <v>5.3484126683110472E-4</v>
      </c>
      <c r="I354" s="3">
        <f t="shared" si="361"/>
        <v>5.3484126683110472E-4</v>
      </c>
      <c r="J354" s="3">
        <f t="shared" si="361"/>
        <v>5.3484126683110472E-4</v>
      </c>
      <c r="K354" s="3">
        <f t="shared" si="361"/>
        <v>5.3484126683110472E-4</v>
      </c>
      <c r="L354" s="3">
        <f t="shared" si="361"/>
        <v>5.3484126683110461E-4</v>
      </c>
      <c r="M354" s="3">
        <f t="shared" si="361"/>
        <v>5.3484126683110418E-4</v>
      </c>
      <c r="N354" s="3">
        <f t="shared" si="361"/>
        <v>5.3484126683109887E-4</v>
      </c>
      <c r="O354" s="3">
        <f t="shared" si="361"/>
        <v>5.3484126683104628E-4</v>
      </c>
      <c r="P354" s="3">
        <f t="shared" si="361"/>
        <v>5.348412668305199E-4</v>
      </c>
      <c r="Q354" s="3">
        <f t="shared" si="361"/>
        <v>5.3484126682525729E-4</v>
      </c>
      <c r="R354" s="3">
        <f t="shared" si="361"/>
        <v>5.3484126677263023E-4</v>
      </c>
      <c r="S354" s="3">
        <f t="shared" si="361"/>
        <v>5.3484126624636001E-4</v>
      </c>
      <c r="T354" s="3">
        <f t="shared" si="361"/>
        <v>5.3484126098365752E-4</v>
      </c>
      <c r="U354" s="3">
        <f t="shared" si="361"/>
        <v>5.3484120835663618E-4</v>
      </c>
      <c r="V354" s="3">
        <f t="shared" si="361"/>
        <v>5.3484068208670642E-4</v>
      </c>
      <c r="W354" s="3">
        <f t="shared" si="361"/>
        <v>5.3483541941588993E-4</v>
      </c>
      <c r="X354" s="3">
        <f t="shared" si="361"/>
        <v>5.347827955557114E-4</v>
      </c>
      <c r="Y354" s="3">
        <f t="shared" si="361"/>
        <v>5.3425684164886442E-4</v>
      </c>
      <c r="Z354" s="3">
        <f t="shared" si="361"/>
        <v>5.2902566869739165E-4</v>
      </c>
      <c r="AA354" s="3">
        <f t="shared" si="361"/>
        <v>4.7944994032766519E-4</v>
      </c>
      <c r="AB354" s="3">
        <f t="shared" si="361"/>
        <v>1.7922909415734963E-4</v>
      </c>
      <c r="AC354" s="3">
        <f t="shared" si="361"/>
        <v>9.5512655329251278E-9</v>
      </c>
      <c r="AD354" s="3">
        <f t="shared" si="361"/>
        <v>1.7643510913579824E-51</v>
      </c>
      <c r="AE354" s="3">
        <f t="shared" si="361"/>
        <v>0</v>
      </c>
      <c r="AF354" s="3">
        <f t="shared" si="361"/>
        <v>0</v>
      </c>
      <c r="AG354" s="3"/>
      <c r="AH354" s="3"/>
    </row>
    <row r="355" spans="1:34" x14ac:dyDescent="0.25">
      <c r="B355" s="3">
        <f t="shared" ref="B355:AF355" si="362">$C46*EXP(-B$363/$A46/EXP(-$G$126))</f>
        <v>1.465148476990797E-3</v>
      </c>
      <c r="C355" s="3">
        <f t="shared" si="362"/>
        <v>1.465148476990797E-3</v>
      </c>
      <c r="D355" s="3">
        <f t="shared" si="362"/>
        <v>1.465148476990797E-3</v>
      </c>
      <c r="E355" s="3">
        <f t="shared" si="362"/>
        <v>1.465148476990797E-3</v>
      </c>
      <c r="F355" s="3">
        <f t="shared" si="362"/>
        <v>1.465148476990797E-3</v>
      </c>
      <c r="G355" s="3">
        <f t="shared" si="362"/>
        <v>1.465148476990797E-3</v>
      </c>
      <c r="H355" s="3">
        <f t="shared" si="362"/>
        <v>1.465148476990797E-3</v>
      </c>
      <c r="I355" s="3">
        <f t="shared" si="362"/>
        <v>1.465148476990797E-3</v>
      </c>
      <c r="J355" s="3">
        <f t="shared" si="362"/>
        <v>1.465148476990797E-3</v>
      </c>
      <c r="K355" s="3">
        <f t="shared" si="362"/>
        <v>1.465148476990797E-3</v>
      </c>
      <c r="L355" s="3">
        <f t="shared" si="362"/>
        <v>1.465148476990797E-3</v>
      </c>
      <c r="M355" s="3">
        <f t="shared" si="362"/>
        <v>1.4651484769907968E-3</v>
      </c>
      <c r="N355" s="3">
        <f t="shared" si="362"/>
        <v>1.4651484769907953E-3</v>
      </c>
      <c r="O355" s="3">
        <f t="shared" si="362"/>
        <v>1.465148476990781E-3</v>
      </c>
      <c r="P355" s="3">
        <f t="shared" si="362"/>
        <v>1.4651484769906368E-3</v>
      </c>
      <c r="Q355" s="3">
        <f t="shared" si="362"/>
        <v>1.465148476989195E-3</v>
      </c>
      <c r="R355" s="3">
        <f t="shared" si="362"/>
        <v>1.4651484769747786E-3</v>
      </c>
      <c r="S355" s="3">
        <f t="shared" si="362"/>
        <v>1.4651484768306116E-3</v>
      </c>
      <c r="T355" s="3">
        <f t="shared" si="362"/>
        <v>1.4651484753889427E-3</v>
      </c>
      <c r="U355" s="3">
        <f t="shared" si="362"/>
        <v>1.4651484609722531E-3</v>
      </c>
      <c r="V355" s="3">
        <f t="shared" si="362"/>
        <v>1.4651483168053665E-3</v>
      </c>
      <c r="W355" s="3">
        <f t="shared" si="362"/>
        <v>1.4651468751372793E-3</v>
      </c>
      <c r="X355" s="3">
        <f t="shared" si="362"/>
        <v>1.4651324585344295E-3</v>
      </c>
      <c r="Y355" s="3">
        <f t="shared" si="362"/>
        <v>1.4649883003077266E-3</v>
      </c>
      <c r="Z355" s="3">
        <f t="shared" si="362"/>
        <v>1.4635474979363052E-3</v>
      </c>
      <c r="AA355" s="3">
        <f t="shared" si="362"/>
        <v>1.4492171805916151E-3</v>
      </c>
      <c r="AB355" s="3">
        <f t="shared" si="362"/>
        <v>1.3134090307325439E-3</v>
      </c>
      <c r="AC355" s="3">
        <f t="shared" si="362"/>
        <v>4.9098162505849686E-4</v>
      </c>
      <c r="AD355" s="3">
        <f t="shared" si="362"/>
        <v>2.6164813780756857E-8</v>
      </c>
      <c r="AE355" s="3">
        <f t="shared" si="362"/>
        <v>4.8332775997191631E-51</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1.026110794379005E-2</v>
      </c>
      <c r="C357" s="3">
        <f t="shared" si="364"/>
        <v>1.026110794379005E-2</v>
      </c>
      <c r="D357" s="3">
        <f t="shared" si="364"/>
        <v>1.026110794379005E-2</v>
      </c>
      <c r="E357" s="3">
        <f t="shared" si="364"/>
        <v>1.026110794379005E-2</v>
      </c>
      <c r="F357" s="3">
        <f t="shared" si="364"/>
        <v>1.026110794379005E-2</v>
      </c>
      <c r="G357" s="3">
        <f t="shared" si="364"/>
        <v>1.026110794379005E-2</v>
      </c>
      <c r="H357" s="3">
        <f t="shared" si="364"/>
        <v>1.026110794379005E-2</v>
      </c>
      <c r="I357" s="3">
        <f t="shared" si="364"/>
        <v>1.026110794379005E-2</v>
      </c>
      <c r="J357" s="3">
        <f t="shared" si="364"/>
        <v>1.026110794379005E-2</v>
      </c>
      <c r="K357" s="3">
        <f t="shared" si="364"/>
        <v>1.026110794379005E-2</v>
      </c>
      <c r="L357" s="3">
        <f t="shared" si="364"/>
        <v>1.026110794379005E-2</v>
      </c>
      <c r="M357" s="3">
        <f t="shared" si="364"/>
        <v>1.026110794379005E-2</v>
      </c>
      <c r="N357" s="3">
        <f t="shared" si="364"/>
        <v>1.026110794379005E-2</v>
      </c>
      <c r="O357" s="3">
        <f t="shared" si="364"/>
        <v>1.0261107943790048E-2</v>
      </c>
      <c r="P357" s="3">
        <f t="shared" si="364"/>
        <v>1.0261107943790038E-2</v>
      </c>
      <c r="Q357" s="3">
        <f t="shared" si="364"/>
        <v>1.0261107943789939E-2</v>
      </c>
      <c r="R357" s="3">
        <f t="shared" si="364"/>
        <v>1.0261107943788927E-2</v>
      </c>
      <c r="S357" s="3">
        <f t="shared" si="364"/>
        <v>1.0261107943778831E-2</v>
      </c>
      <c r="T357" s="3">
        <f t="shared" si="364"/>
        <v>1.0261107943677865E-2</v>
      </c>
      <c r="U357" s="3">
        <f t="shared" si="364"/>
        <v>1.0261107942668197E-2</v>
      </c>
      <c r="V357" s="3">
        <f t="shared" si="364"/>
        <v>1.0261107932571527E-2</v>
      </c>
      <c r="W357" s="3">
        <f t="shared" si="364"/>
        <v>1.0261107831604827E-2</v>
      </c>
      <c r="X357" s="3">
        <f t="shared" si="364"/>
        <v>1.0261106821937883E-2</v>
      </c>
      <c r="Y357" s="3">
        <f t="shared" si="364"/>
        <v>1.0261096725273897E-2</v>
      </c>
      <c r="Z357" s="3">
        <f t="shared" si="364"/>
        <v>1.0260995759180462E-2</v>
      </c>
      <c r="AA357" s="3">
        <f t="shared" si="364"/>
        <v>1.0259986152885665E-2</v>
      </c>
      <c r="AB357" s="3">
        <f t="shared" si="364"/>
        <v>1.0249895551904944E-2</v>
      </c>
      <c r="AC357" s="3">
        <f t="shared" si="364"/>
        <v>1.0149533755505551E-2</v>
      </c>
      <c r="AD357" s="3">
        <f t="shared" si="364"/>
        <v>9.1984068852702019E-3</v>
      </c>
      <c r="AE357" s="3">
        <f t="shared" si="364"/>
        <v>3.4385699007721355E-3</v>
      </c>
      <c r="AF357" s="3">
        <f t="shared" si="364"/>
        <v>1.8324421227596712E-7</v>
      </c>
      <c r="AG357" s="3"/>
      <c r="AH357" s="3"/>
    </row>
    <row r="358" spans="1:34" x14ac:dyDescent="0.25">
      <c r="A358" s="79">
        <f>AVERAGE(B358:AF358)</f>
        <v>2.031405885349331E-2</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3.5731671368521296E-2</v>
      </c>
      <c r="M358" s="80">
        <f t="shared" si="365"/>
        <v>3.8225238096630074E-2</v>
      </c>
      <c r="N358" s="80">
        <f t="shared" si="365"/>
        <v>4.0114037986157487E-2</v>
      </c>
      <c r="O358" s="80">
        <f t="shared" si="365"/>
        <v>4.4563728973760999E-2</v>
      </c>
      <c r="P358" s="80">
        <f t="shared" si="365"/>
        <v>1.9296815201783134E-2</v>
      </c>
      <c r="Q358" s="80">
        <f t="shared" si="365"/>
        <v>4.9542295549167517E-2</v>
      </c>
      <c r="R358" s="80">
        <f t="shared" si="365"/>
        <v>8.0679671953435367E-2</v>
      </c>
      <c r="S358" s="80">
        <f t="shared" si="365"/>
        <v>4.0603343974933981E-2</v>
      </c>
      <c r="T358" s="80">
        <f t="shared" si="365"/>
        <v>3.1391785746097425E-2</v>
      </c>
      <c r="U358" s="80">
        <f t="shared" si="365"/>
        <v>0.10999190342937222</v>
      </c>
      <c r="V358" s="80">
        <f t="shared" si="365"/>
        <v>0.13959533217843303</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38553.431069844963</v>
      </c>
      <c r="C359" s="21">
        <f t="shared" ref="C359:AF359" si="366">(C326-C325)^2</f>
        <v>77596.73475275714</v>
      </c>
      <c r="D359" s="21">
        <f t="shared" si="366"/>
        <v>73472.835082839854</v>
      </c>
      <c r="E359" s="21">
        <f t="shared" si="366"/>
        <v>69587.253438120417</v>
      </c>
      <c r="F359" s="21">
        <f t="shared" si="366"/>
        <v>88469.287534634495</v>
      </c>
      <c r="G359" s="21">
        <f t="shared" si="366"/>
        <v>97773.146484666708</v>
      </c>
      <c r="H359" s="21">
        <f t="shared" si="366"/>
        <v>96895.609891639848</v>
      </c>
      <c r="I359" s="21">
        <f t="shared" si="366"/>
        <v>76196.627890440228</v>
      </c>
      <c r="J359" s="21">
        <f t="shared" si="366"/>
        <v>64237.913459879703</v>
      </c>
      <c r="K359" s="21">
        <f t="shared" si="366"/>
        <v>66775.017528876095</v>
      </c>
      <c r="L359" s="21">
        <f t="shared" si="366"/>
        <v>60194.86304149311</v>
      </c>
      <c r="M359" s="21">
        <f t="shared" si="366"/>
        <v>63470.827351101863</v>
      </c>
      <c r="N359" s="21">
        <f t="shared" si="366"/>
        <v>63845.290204372257</v>
      </c>
      <c r="O359" s="21">
        <f t="shared" si="366"/>
        <v>70204.737504472883</v>
      </c>
      <c r="P359" s="21">
        <f t="shared" si="366"/>
        <v>11463.400163773011</v>
      </c>
      <c r="Q359" s="21">
        <f t="shared" si="366"/>
        <v>60721.932250048812</v>
      </c>
      <c r="R359" s="21">
        <f t="shared" si="366"/>
        <v>106329.42728724984</v>
      </c>
      <c r="S359" s="21">
        <f t="shared" si="366"/>
        <v>14815.24179046447</v>
      </c>
      <c r="T359" s="21">
        <f t="shared" si="366"/>
        <v>4424.5510992547233</v>
      </c>
      <c r="U359" s="21">
        <f t="shared" si="366"/>
        <v>24805.610247895838</v>
      </c>
      <c r="V359" s="21">
        <f t="shared" si="366"/>
        <v>18253.55913061398</v>
      </c>
      <c r="W359" s="21">
        <f t="shared" si="366"/>
        <v>9027.1234344578315</v>
      </c>
      <c r="X359" s="21">
        <f t="shared" si="366"/>
        <v>1919.4162876820214</v>
      </c>
      <c r="Y359" s="21">
        <f t="shared" si="366"/>
        <v>443.33000733087863</v>
      </c>
      <c r="Z359" s="21">
        <f t="shared" si="366"/>
        <v>77.31740004570068</v>
      </c>
      <c r="AA359" s="21">
        <f t="shared" si="366"/>
        <v>35.037931706277071</v>
      </c>
      <c r="AB359" s="21">
        <f t="shared" si="366"/>
        <v>33.972416142600743</v>
      </c>
      <c r="AC359" s="21">
        <f t="shared" si="366"/>
        <v>22.016302427740182</v>
      </c>
      <c r="AD359" s="21">
        <f t="shared" si="366"/>
        <v>58.938024983626249</v>
      </c>
      <c r="AE359" s="21">
        <f t="shared" si="366"/>
        <v>3211.8595108929649</v>
      </c>
      <c r="AF359" s="21">
        <f t="shared" si="366"/>
        <v>8615.9155903252613</v>
      </c>
      <c r="AG359" s="3"/>
      <c r="AH359" s="3"/>
    </row>
    <row r="360" spans="1:34" x14ac:dyDescent="0.25">
      <c r="A360" s="71">
        <f>SUM(B360:AF360)</f>
        <v>498529.44007074076</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60194.86304149311</v>
      </c>
      <c r="M360" s="60">
        <f t="shared" si="367"/>
        <v>63470.827351101863</v>
      </c>
      <c r="N360" s="60">
        <f t="shared" si="367"/>
        <v>63845.290204372257</v>
      </c>
      <c r="O360" s="60">
        <f t="shared" si="367"/>
        <v>70204.737504472883</v>
      </c>
      <c r="P360" s="60">
        <f t="shared" si="367"/>
        <v>11463.400163773011</v>
      </c>
      <c r="Q360" s="60">
        <f t="shared" si="367"/>
        <v>60721.932250048812</v>
      </c>
      <c r="R360" s="60">
        <f t="shared" si="367"/>
        <v>106329.42728724984</v>
      </c>
      <c r="S360" s="60">
        <f t="shared" si="367"/>
        <v>14815.24179046447</v>
      </c>
      <c r="T360" s="60">
        <f t="shared" si="367"/>
        <v>4424.5510992547233</v>
      </c>
      <c r="U360" s="60">
        <f t="shared" si="367"/>
        <v>24805.610247895838</v>
      </c>
      <c r="V360" s="60">
        <f t="shared" si="367"/>
        <v>18253.55913061398</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9468.8169261773837</v>
      </c>
      <c r="C365" s="27">
        <f t="shared" ref="C365:AF365" si="368">($C$17+SUM(C366:C396))*$B$51</f>
        <v>9207.842908474162</v>
      </c>
      <c r="D365" s="27">
        <f t="shared" si="368"/>
        <v>8966.2170030739471</v>
      </c>
      <c r="E365" s="27">
        <f t="shared" si="368"/>
        <v>8647.4297842991364</v>
      </c>
      <c r="F365" s="27">
        <f t="shared" si="368"/>
        <v>8292.4339834362927</v>
      </c>
      <c r="G365" s="27">
        <f t="shared" si="368"/>
        <v>7947.8689673701056</v>
      </c>
      <c r="H365" s="27">
        <f t="shared" si="368"/>
        <v>7659.1780112700026</v>
      </c>
      <c r="I365" s="27">
        <f t="shared" si="368"/>
        <v>7391.4643844636012</v>
      </c>
      <c r="J365" s="27">
        <f t="shared" si="368"/>
        <v>7104.0147962865985</v>
      </c>
      <c r="K365" s="27">
        <f t="shared" si="368"/>
        <v>6836.3655397249331</v>
      </c>
      <c r="L365" s="27">
        <f t="shared" si="368"/>
        <v>6543.2870973447389</v>
      </c>
      <c r="M365" s="27">
        <f t="shared" si="368"/>
        <v>6201.8720901226852</v>
      </c>
      <c r="N365" s="27">
        <f t="shared" si="368"/>
        <v>5636.0546450446154</v>
      </c>
      <c r="O365" s="27">
        <f t="shared" si="368"/>
        <v>4703.8857980722933</v>
      </c>
      <c r="P365" s="27">
        <f t="shared" si="368"/>
        <v>3696.1891383995139</v>
      </c>
      <c r="Q365" s="27">
        <f t="shared" si="368"/>
        <v>2861.2286844116784</v>
      </c>
      <c r="R365" s="27">
        <f t="shared" si="368"/>
        <v>2171.9381185732354</v>
      </c>
      <c r="S365" s="27">
        <f t="shared" si="368"/>
        <v>1580.6969823315364</v>
      </c>
      <c r="T365" s="27">
        <f t="shared" si="368"/>
        <v>1090.8351449738009</v>
      </c>
      <c r="U365" s="27">
        <f t="shared" si="368"/>
        <v>764.52267066508614</v>
      </c>
      <c r="V365" s="27">
        <f t="shared" si="368"/>
        <v>571.55979825084376</v>
      </c>
      <c r="W365" s="27">
        <f t="shared" si="368"/>
        <v>473.48021859083303</v>
      </c>
      <c r="X365" s="27">
        <f t="shared" si="368"/>
        <v>425.64645670203669</v>
      </c>
      <c r="Y365" s="27">
        <f t="shared" si="368"/>
        <v>397.32966219473695</v>
      </c>
      <c r="Z365" s="27">
        <f t="shared" si="368"/>
        <v>384.63854271766593</v>
      </c>
      <c r="AA365" s="27">
        <f t="shared" si="368"/>
        <v>371.8880680471658</v>
      </c>
      <c r="AB365" s="27">
        <f t="shared" si="368"/>
        <v>355.20632013971192</v>
      </c>
      <c r="AC365" s="27">
        <f t="shared" si="368"/>
        <v>287.84528436276065</v>
      </c>
      <c r="AD365" s="27">
        <f t="shared" si="368"/>
        <v>250.92222128616086</v>
      </c>
      <c r="AE365" s="27">
        <f t="shared" si="368"/>
        <v>250.92107787840024</v>
      </c>
      <c r="AF365" s="27">
        <f t="shared" si="368"/>
        <v>250.92107787840024</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1.6824941390286176E-130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4.6839626264145988E-14</v>
      </c>
      <c r="C368" s="3">
        <f t="shared" si="371"/>
        <v>3.0020874879617946E-118</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2.2095255793003767E-3</v>
      </c>
      <c r="C369" s="3">
        <f t="shared" si="372"/>
        <v>8.8146786650014008E-13</v>
      </c>
      <c r="D369" s="3">
        <f t="shared" si="372"/>
        <v>9.0007976300934766E-107</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1.9824948033061458E-2</v>
      </c>
      <c r="C370" s="3">
        <f t="shared" si="373"/>
        <v>2.814075316247546E-3</v>
      </c>
      <c r="D370" s="3">
        <f t="shared" si="373"/>
        <v>9.3448494398266896E-12</v>
      </c>
      <c r="E370" s="3">
        <f t="shared" si="373"/>
        <v>1.5238359917416776E-96</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1.9375127959304073E-2</v>
      </c>
      <c r="C371" s="3">
        <f t="shared" si="374"/>
        <v>1.6246472501414928E-2</v>
      </c>
      <c r="D371" s="3">
        <f t="shared" si="374"/>
        <v>2.7919271619664017E-3</v>
      </c>
      <c r="E371" s="3">
        <f t="shared" si="374"/>
        <v>6.2712501518425534E-11</v>
      </c>
      <c r="F371" s="3">
        <f t="shared" si="374"/>
        <v>2.0504752487723558E-87</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3.0402957830101888E-2</v>
      </c>
      <c r="C372" s="3">
        <f t="shared" si="375"/>
        <v>2.992376316144536E-2</v>
      </c>
      <c r="D372" s="3">
        <f t="shared" si="375"/>
        <v>2.5528184216148775E-2</v>
      </c>
      <c r="E372" s="3">
        <f t="shared" si="375"/>
        <v>5.212632278531526E-3</v>
      </c>
      <c r="F372" s="3">
        <f t="shared" si="375"/>
        <v>6.5679332083174848E-10</v>
      </c>
      <c r="G372" s="3">
        <f t="shared" si="375"/>
        <v>6.6243781178658209E-79</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3.3424326693655144E-2</v>
      </c>
      <c r="C373" s="3">
        <f t="shared" si="376"/>
        <v>3.3376459333068792E-2</v>
      </c>
      <c r="D373" s="3">
        <f t="shared" si="376"/>
        <v>3.2901539901629522E-2</v>
      </c>
      <c r="E373" s="3">
        <f t="shared" si="376"/>
        <v>2.8508596494077873E-2</v>
      </c>
      <c r="F373" s="3">
        <f t="shared" si="376"/>
        <v>6.8009872321268703E-3</v>
      </c>
      <c r="G373" s="3">
        <f t="shared" si="376"/>
        <v>4.0600668441573051E-9</v>
      </c>
      <c r="H373" s="3">
        <f t="shared" si="376"/>
        <v>2.3342395666982469E-71</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3.2540467449766297E-2</v>
      </c>
      <c r="C374" s="3">
        <f t="shared" si="377"/>
        <v>3.2536260858808799E-2</v>
      </c>
      <c r="D374" s="3">
        <f t="shared" si="377"/>
        <v>3.249422484647084E-2</v>
      </c>
      <c r="E374" s="3">
        <f t="shared" si="377"/>
        <v>3.2076840195077894E-2</v>
      </c>
      <c r="F374" s="3">
        <f t="shared" si="377"/>
        <v>2.8186786948661901E-2</v>
      </c>
      <c r="G374" s="3">
        <f t="shared" si="377"/>
        <v>7.7372298077384993E-3</v>
      </c>
      <c r="H374" s="3">
        <f t="shared" si="377"/>
        <v>1.8792507420267507E-8</v>
      </c>
      <c r="I374" s="3">
        <f t="shared" si="377"/>
        <v>1.342694072616503E-64</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2.464147937034954E-2</v>
      </c>
      <c r="C375" s="3">
        <f t="shared" si="378"/>
        <v>2.4641191997717787E-2</v>
      </c>
      <c r="D375" s="3">
        <f t="shared" si="378"/>
        <v>2.4638318455719805E-2</v>
      </c>
      <c r="E375" s="3">
        <f t="shared" si="378"/>
        <v>2.4609601459749476E-2</v>
      </c>
      <c r="F375" s="3">
        <f t="shared" si="378"/>
        <v>2.4324265975730563E-2</v>
      </c>
      <c r="G375" s="3">
        <f t="shared" si="378"/>
        <v>2.164668382371952E-2</v>
      </c>
      <c r="H375" s="3">
        <f t="shared" si="378"/>
        <v>6.7438464874294991E-3</v>
      </c>
      <c r="I375" s="3">
        <f t="shared" si="378"/>
        <v>5.8085896294588849E-8</v>
      </c>
      <c r="J375" s="3">
        <f t="shared" si="378"/>
        <v>1.3052716009955819E-58</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2.4122415148035377E-2</v>
      </c>
      <c r="C376" s="3">
        <f t="shared" si="379"/>
        <v>2.4122389770566136E-2</v>
      </c>
      <c r="D376" s="3">
        <f t="shared" si="379"/>
        <v>2.4122135997342073E-2</v>
      </c>
      <c r="E376" s="3">
        <f t="shared" si="379"/>
        <v>2.4119598411933296E-2</v>
      </c>
      <c r="F376" s="3">
        <f t="shared" si="379"/>
        <v>2.4094237235315875E-2</v>
      </c>
      <c r="G376" s="3">
        <f t="shared" si="379"/>
        <v>2.3842087519003085E-2</v>
      </c>
      <c r="H376" s="3">
        <f t="shared" si="379"/>
        <v>2.1461260926089333E-2</v>
      </c>
      <c r="I376" s="3">
        <f t="shared" si="379"/>
        <v>7.4948820695708209E-3</v>
      </c>
      <c r="J376" s="3">
        <f t="shared" si="379"/>
        <v>2.0223694368298314E-7</v>
      </c>
      <c r="K376" s="3">
        <f t="shared" si="379"/>
        <v>4.1382563472060156E-53</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2.8528246252246946E-2</v>
      </c>
      <c r="C377" s="3">
        <f t="shared" si="380"/>
        <v>2.8528243544865828E-2</v>
      </c>
      <c r="D377" s="3">
        <f t="shared" si="380"/>
        <v>2.8528216471068759E-2</v>
      </c>
      <c r="E377" s="3">
        <f t="shared" si="380"/>
        <v>2.8527945734511177E-2</v>
      </c>
      <c r="F377" s="3">
        <f t="shared" si="380"/>
        <v>2.85252385102443E-2</v>
      </c>
      <c r="G377" s="3">
        <f t="shared" si="380"/>
        <v>2.8498180393504699E-2</v>
      </c>
      <c r="H377" s="3">
        <f t="shared" si="380"/>
        <v>2.8229006871461161E-2</v>
      </c>
      <c r="I377" s="3">
        <f t="shared" si="380"/>
        <v>2.5673216406050584E-2</v>
      </c>
      <c r="J377" s="3">
        <f t="shared" si="380"/>
        <v>9.9386432822345799E-3</v>
      </c>
      <c r="K377" s="3">
        <f t="shared" si="380"/>
        <v>7.5126874109472053E-7</v>
      </c>
      <c r="L377" s="3">
        <f t="shared" si="380"/>
        <v>4.5759100352835432E-48</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2.1048719551376122E-2</v>
      </c>
      <c r="C378" s="3">
        <f t="shared" si="381"/>
        <v>2.1048719371179515E-2</v>
      </c>
      <c r="D378" s="3">
        <f t="shared" si="381"/>
        <v>2.1048717569213515E-2</v>
      </c>
      <c r="E378" s="3">
        <f t="shared" si="381"/>
        <v>2.1048699549561997E-2</v>
      </c>
      <c r="F378" s="3">
        <f t="shared" si="381"/>
        <v>2.1048519353895276E-2</v>
      </c>
      <c r="G378" s="3">
        <f t="shared" si="381"/>
        <v>2.1046717482070851E-2</v>
      </c>
      <c r="H378" s="3">
        <f t="shared" si="381"/>
        <v>2.1028707245419026E-2</v>
      </c>
      <c r="I378" s="3">
        <f t="shared" si="381"/>
        <v>2.0849450357700257E-2</v>
      </c>
      <c r="J378" s="3">
        <f t="shared" si="381"/>
        <v>1.9138811494441143E-2</v>
      </c>
      <c r="K378" s="3">
        <f t="shared" si="381"/>
        <v>8.1305235138150554E-3</v>
      </c>
      <c r="L378" s="3">
        <f t="shared" si="381"/>
        <v>1.5565173372254651E-6</v>
      </c>
      <c r="M378" s="3">
        <f t="shared" si="381"/>
        <v>1.0292206356763326E-43</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3.1114198961182817E-2</v>
      </c>
      <c r="C379" s="3">
        <f t="shared" si="382"/>
        <v>3.1114198937154346E-2</v>
      </c>
      <c r="D379" s="3">
        <f t="shared" si="382"/>
        <v>3.1114198696869627E-2</v>
      </c>
      <c r="E379" s="3">
        <f t="shared" si="382"/>
        <v>3.1114196294022574E-2</v>
      </c>
      <c r="F379" s="3">
        <f t="shared" si="382"/>
        <v>3.1114172265562241E-2</v>
      </c>
      <c r="G379" s="3">
        <f t="shared" si="382"/>
        <v>3.1113931981979513E-2</v>
      </c>
      <c r="H379" s="3">
        <f t="shared" si="382"/>
        <v>3.1111529248209164E-2</v>
      </c>
      <c r="I379" s="3">
        <f t="shared" si="382"/>
        <v>3.1087512113284841E-2</v>
      </c>
      <c r="J379" s="3">
        <f t="shared" si="382"/>
        <v>3.0848358132640915E-2</v>
      </c>
      <c r="K379" s="3">
        <f t="shared" si="382"/>
        <v>2.8555707245775594E-2</v>
      </c>
      <c r="L379" s="3">
        <f t="shared" si="382"/>
        <v>1.3191724968450823E-2</v>
      </c>
      <c r="M379" s="3">
        <f t="shared" si="382"/>
        <v>5.8396694016860582E-6</v>
      </c>
      <c r="N379" s="3">
        <f t="shared" si="382"/>
        <v>1.6875435612106952E-39</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2.5140718095377063E-2</v>
      </c>
      <c r="C380" s="3">
        <f t="shared" si="383"/>
        <v>2.5140718093625641E-2</v>
      </c>
      <c r="D380" s="3">
        <f t="shared" si="383"/>
        <v>2.514071807611138E-2</v>
      </c>
      <c r="E380" s="3">
        <f t="shared" si="383"/>
        <v>2.5140717900968782E-2</v>
      </c>
      <c r="F380" s="3">
        <f t="shared" si="383"/>
        <v>2.5140716149542851E-2</v>
      </c>
      <c r="G380" s="3">
        <f t="shared" si="383"/>
        <v>2.5140698635290282E-2</v>
      </c>
      <c r="H380" s="3">
        <f t="shared" si="383"/>
        <v>2.5140523493435672E-2</v>
      </c>
      <c r="I380" s="3">
        <f t="shared" si="383"/>
        <v>2.5138772141994774E-2</v>
      </c>
      <c r="J380" s="3">
        <f t="shared" si="383"/>
        <v>2.5121265336376142E-2</v>
      </c>
      <c r="K380" s="3">
        <f t="shared" si="383"/>
        <v>2.494686643318595E-2</v>
      </c>
      <c r="L380" s="3">
        <f t="shared" si="383"/>
        <v>2.326809956104841E-2</v>
      </c>
      <c r="M380" s="3">
        <f t="shared" si="383"/>
        <v>1.1593378888157828E-2</v>
      </c>
      <c r="N380" s="3">
        <f t="shared" si="383"/>
        <v>1.0932039440848089E-5</v>
      </c>
      <c r="O380" s="3">
        <f t="shared" si="383"/>
        <v>6.0759304521537497E-36</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7.3741618123068092E-2</v>
      </c>
      <c r="C381" s="3">
        <f t="shared" si="384"/>
        <v>7.3741618122604671E-2</v>
      </c>
      <c r="D381" s="3">
        <f t="shared" si="384"/>
        <v>7.3741618117970489E-2</v>
      </c>
      <c r="E381" s="3">
        <f t="shared" si="384"/>
        <v>7.3741618071628628E-2</v>
      </c>
      <c r="F381" s="3">
        <f t="shared" si="384"/>
        <v>7.374161760821013E-2</v>
      </c>
      <c r="G381" s="3">
        <f t="shared" si="384"/>
        <v>7.3741612974025289E-2</v>
      </c>
      <c r="H381" s="3">
        <f t="shared" si="384"/>
        <v>7.3741566632192904E-2</v>
      </c>
      <c r="I381" s="3">
        <f t="shared" si="384"/>
        <v>7.3741103215470727E-2</v>
      </c>
      <c r="J381" s="3">
        <f t="shared" si="384"/>
        <v>7.3736469208420571E-2</v>
      </c>
      <c r="K381" s="3">
        <f t="shared" si="384"/>
        <v>7.3690145151356495E-2</v>
      </c>
      <c r="L381" s="3">
        <f t="shared" si="384"/>
        <v>7.3228502207244681E-2</v>
      </c>
      <c r="M381" s="3">
        <f t="shared" si="384"/>
        <v>6.8768182219498403E-2</v>
      </c>
      <c r="N381" s="3">
        <f t="shared" si="384"/>
        <v>3.6682715489964886E-2</v>
      </c>
      <c r="O381" s="3">
        <f t="shared" si="384"/>
        <v>6.8422794271040706E-5</v>
      </c>
      <c r="P381" s="3">
        <f t="shared" si="384"/>
        <v>3.4881414835416742E-32</v>
      </c>
      <c r="Q381" s="3">
        <f t="shared" si="384"/>
        <v>4.1354897923635219E-305</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9.9846945696716774E-2</v>
      </c>
      <c r="C382" s="3">
        <f t="shared" si="385"/>
        <v>9.9846945696660167E-2</v>
      </c>
      <c r="D382" s="3">
        <f t="shared" si="385"/>
        <v>9.9846945696094133E-2</v>
      </c>
      <c r="E382" s="3">
        <f t="shared" si="385"/>
        <v>9.98469456904338E-2</v>
      </c>
      <c r="F382" s="3">
        <f t="shared" si="385"/>
        <v>9.9846945633830453E-2</v>
      </c>
      <c r="G382" s="3">
        <f t="shared" si="385"/>
        <v>9.9846945067797024E-2</v>
      </c>
      <c r="H382" s="3">
        <f t="shared" si="385"/>
        <v>9.9846939407462934E-2</v>
      </c>
      <c r="I382" s="3">
        <f t="shared" si="385"/>
        <v>9.9846882804139586E-2</v>
      </c>
      <c r="J382" s="3">
        <f t="shared" si="385"/>
        <v>9.9846316772670973E-2</v>
      </c>
      <c r="K382" s="3">
        <f t="shared" si="385"/>
        <v>9.9840656634467409E-2</v>
      </c>
      <c r="L382" s="3">
        <f t="shared" si="385"/>
        <v>9.9784072896992829E-2</v>
      </c>
      <c r="M382" s="3">
        <f t="shared" si="385"/>
        <v>9.9219996282936582E-2</v>
      </c>
      <c r="N382" s="3">
        <f t="shared" si="385"/>
        <v>9.3751668291367149E-2</v>
      </c>
      <c r="O382" s="3">
        <f t="shared" si="385"/>
        <v>5.3183508819712975E-2</v>
      </c>
      <c r="P382" s="3">
        <f t="shared" si="385"/>
        <v>1.8355102269657916E-4</v>
      </c>
      <c r="Q382" s="3">
        <f t="shared" si="385"/>
        <v>4.4010370687638302E-29</v>
      </c>
      <c r="R382" s="3">
        <f t="shared" si="385"/>
        <v>2.7639946978385577E-275</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8.4959897030222734E-2</v>
      </c>
      <c r="C383" s="3">
        <f t="shared" si="386"/>
        <v>8.495989703021839E-2</v>
      </c>
      <c r="D383" s="3">
        <f t="shared" si="386"/>
        <v>8.4959897030174938E-2</v>
      </c>
      <c r="E383" s="3">
        <f t="shared" si="386"/>
        <v>8.4959897029740467E-2</v>
      </c>
      <c r="F383" s="3">
        <f t="shared" si="386"/>
        <v>8.4959897025395692E-2</v>
      </c>
      <c r="G383" s="3">
        <f t="shared" si="386"/>
        <v>8.4959896981947877E-2</v>
      </c>
      <c r="H383" s="3">
        <f t="shared" si="386"/>
        <v>8.4959896547469799E-2</v>
      </c>
      <c r="I383" s="3">
        <f t="shared" si="386"/>
        <v>8.4959892202689194E-2</v>
      </c>
      <c r="J383" s="3">
        <f t="shared" si="386"/>
        <v>8.4959848754895331E-2</v>
      </c>
      <c r="K383" s="3">
        <f t="shared" si="386"/>
        <v>8.4959414278178741E-2</v>
      </c>
      <c r="L383" s="3">
        <f t="shared" si="386"/>
        <v>8.4955069633214031E-2</v>
      </c>
      <c r="M383" s="3">
        <f t="shared" si="386"/>
        <v>8.4911635401370436E-2</v>
      </c>
      <c r="N383" s="3">
        <f t="shared" si="386"/>
        <v>8.4478512554662766E-2</v>
      </c>
      <c r="O383" s="3">
        <f t="shared" si="386"/>
        <v>8.0266955060072656E-2</v>
      </c>
      <c r="P383" s="3">
        <f t="shared" si="386"/>
        <v>4.8132906373342291E-2</v>
      </c>
      <c r="Q383" s="3">
        <f t="shared" si="386"/>
        <v>2.8939769322423306E-4</v>
      </c>
      <c r="R383" s="3">
        <f t="shared" si="386"/>
        <v>1.7865898162028224E-26</v>
      </c>
      <c r="S383" s="3">
        <f t="shared" si="386"/>
        <v>1.4365566100676406E-248</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6.3888587804479882E-2</v>
      </c>
      <c r="C384" s="3">
        <f t="shared" si="387"/>
        <v>6.3888587804479591E-2</v>
      </c>
      <c r="D384" s="3">
        <f t="shared" si="387"/>
        <v>6.3888587804476649E-2</v>
      </c>
      <c r="E384" s="3">
        <f t="shared" si="387"/>
        <v>6.3888587804447172E-2</v>
      </c>
      <c r="F384" s="3">
        <f t="shared" si="387"/>
        <v>6.388858780415245E-2</v>
      </c>
      <c r="G384" s="3">
        <f t="shared" si="387"/>
        <v>6.3888587801205154E-2</v>
      </c>
      <c r="H384" s="3">
        <f t="shared" si="387"/>
        <v>6.3888587771732189E-2</v>
      </c>
      <c r="I384" s="3">
        <f t="shared" si="387"/>
        <v>6.3888587477002587E-2</v>
      </c>
      <c r="J384" s="3">
        <f t="shared" si="387"/>
        <v>6.3888584529706582E-2</v>
      </c>
      <c r="K384" s="3">
        <f t="shared" si="387"/>
        <v>6.3888555056754046E-2</v>
      </c>
      <c r="L384" s="3">
        <f t="shared" si="387"/>
        <v>6.3888260327976495E-2</v>
      </c>
      <c r="M384" s="3">
        <f t="shared" si="387"/>
        <v>6.3885313114979761E-2</v>
      </c>
      <c r="N384" s="3">
        <f t="shared" si="387"/>
        <v>6.3855848461619888E-2</v>
      </c>
      <c r="O384" s="3">
        <f t="shared" si="387"/>
        <v>6.3561948314163522E-2</v>
      </c>
      <c r="P384" s="3">
        <f t="shared" si="387"/>
        <v>6.0696327032324991E-2</v>
      </c>
      <c r="Q384" s="3">
        <f t="shared" si="387"/>
        <v>3.826612741468316E-2</v>
      </c>
      <c r="R384" s="3">
        <f t="shared" si="387"/>
        <v>3.796081563625178E-4</v>
      </c>
      <c r="S384" s="3">
        <f t="shared" si="387"/>
        <v>3.5038520113464943E-24</v>
      </c>
      <c r="T384" s="3">
        <f t="shared" si="387"/>
        <v>1.5727074825696226E-224</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6.4356714781999613E-2</v>
      </c>
      <c r="C385" s="3">
        <f t="shared" si="388"/>
        <v>6.4356714781999586E-2</v>
      </c>
      <c r="D385" s="3">
        <f t="shared" si="388"/>
        <v>6.4356714781999308E-2</v>
      </c>
      <c r="E385" s="3">
        <f t="shared" si="388"/>
        <v>6.4356714781996643E-2</v>
      </c>
      <c r="F385" s="3">
        <f t="shared" si="388"/>
        <v>6.4356714781969859E-2</v>
      </c>
      <c r="G385" s="3">
        <f t="shared" si="388"/>
        <v>6.4356714781702032E-2</v>
      </c>
      <c r="H385" s="3">
        <f t="shared" si="388"/>
        <v>6.4356714779023855E-2</v>
      </c>
      <c r="I385" s="3">
        <f t="shared" si="388"/>
        <v>6.4356714752241972E-2</v>
      </c>
      <c r="J385" s="3">
        <f t="shared" si="388"/>
        <v>6.4356714484423261E-2</v>
      </c>
      <c r="K385" s="3">
        <f t="shared" si="388"/>
        <v>6.4356711806236089E-2</v>
      </c>
      <c r="L385" s="3">
        <f t="shared" si="388"/>
        <v>6.435668502437053E-2</v>
      </c>
      <c r="M385" s="3">
        <f t="shared" si="388"/>
        <v>6.435641720632794E-2</v>
      </c>
      <c r="N385" s="3">
        <f t="shared" si="388"/>
        <v>6.4353739087199616E-2</v>
      </c>
      <c r="O385" s="3">
        <f t="shared" si="388"/>
        <v>6.4326964024729705E-2</v>
      </c>
      <c r="P385" s="3">
        <f t="shared" si="388"/>
        <v>6.4059825338736637E-2</v>
      </c>
      <c r="Q385" s="3">
        <f t="shared" si="388"/>
        <v>6.1448700516184181E-2</v>
      </c>
      <c r="R385" s="3">
        <f t="shared" si="388"/>
        <v>4.0530525247955675E-2</v>
      </c>
      <c r="S385" s="3">
        <f t="shared" si="388"/>
        <v>6.3165148336321154E-4</v>
      </c>
      <c r="T385" s="3">
        <f t="shared" si="388"/>
        <v>5.3386371551421359E-22</v>
      </c>
      <c r="U385" s="3">
        <f t="shared" si="388"/>
        <v>9.9302286330798233E-203</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2.3762961942572935E-2</v>
      </c>
      <c r="C386" s="3">
        <f t="shared" si="389"/>
        <v>2.3762961942572935E-2</v>
      </c>
      <c r="D386" s="3">
        <f t="shared" si="389"/>
        <v>2.3762961942572925E-2</v>
      </c>
      <c r="E386" s="3">
        <f t="shared" si="389"/>
        <v>2.3762961942572835E-2</v>
      </c>
      <c r="F386" s="3">
        <f t="shared" si="389"/>
        <v>2.3762961942571943E-2</v>
      </c>
      <c r="G386" s="3">
        <f t="shared" si="389"/>
        <v>2.3762961942563023E-2</v>
      </c>
      <c r="H386" s="3">
        <f t="shared" si="389"/>
        <v>2.3762961942473817E-2</v>
      </c>
      <c r="I386" s="3">
        <f t="shared" si="389"/>
        <v>2.3762961941581756E-2</v>
      </c>
      <c r="J386" s="3">
        <f t="shared" si="389"/>
        <v>2.3762961932661152E-2</v>
      </c>
      <c r="K386" s="3">
        <f t="shared" si="389"/>
        <v>2.3762961843455121E-2</v>
      </c>
      <c r="L386" s="3">
        <f t="shared" si="389"/>
        <v>2.3762960951394799E-2</v>
      </c>
      <c r="M386" s="3">
        <f t="shared" si="389"/>
        <v>2.3762952030793417E-2</v>
      </c>
      <c r="N386" s="3">
        <f t="shared" si="389"/>
        <v>2.3762862824963794E-2</v>
      </c>
      <c r="O386" s="3">
        <f t="shared" si="389"/>
        <v>2.3761970785085611E-2</v>
      </c>
      <c r="P386" s="3">
        <f t="shared" si="389"/>
        <v>2.3753052227853989E-2</v>
      </c>
      <c r="Q386" s="3">
        <f t="shared" si="389"/>
        <v>2.3664050555026111E-2</v>
      </c>
      <c r="R386" s="3">
        <f t="shared" si="389"/>
        <v>2.2792170887836919E-2</v>
      </c>
      <c r="S386" s="3">
        <f t="shared" si="389"/>
        <v>1.5658558246369619E-2</v>
      </c>
      <c r="T386" s="3">
        <f t="shared" si="389"/>
        <v>3.6678584668233265E-4</v>
      </c>
      <c r="U386" s="3">
        <f t="shared" si="389"/>
        <v>1.8239819572178975E-20</v>
      </c>
      <c r="V386" s="3">
        <f t="shared" si="389"/>
        <v>1.6869422974532941E-183</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4.2794407584768095E-2</v>
      </c>
      <c r="C387" s="3">
        <f t="shared" si="390"/>
        <v>4.2794407584768095E-2</v>
      </c>
      <c r="D387" s="3">
        <f t="shared" si="390"/>
        <v>4.2794407584768088E-2</v>
      </c>
      <c r="E387" s="3">
        <f t="shared" si="390"/>
        <v>4.2794407584768046E-2</v>
      </c>
      <c r="F387" s="3">
        <f t="shared" si="390"/>
        <v>4.2794407584767602E-2</v>
      </c>
      <c r="G387" s="3">
        <f t="shared" si="390"/>
        <v>4.2794407584763161E-2</v>
      </c>
      <c r="H387" s="3">
        <f t="shared" si="390"/>
        <v>4.2794407584718724E-2</v>
      </c>
      <c r="I387" s="3">
        <f t="shared" si="390"/>
        <v>4.2794407584274406E-2</v>
      </c>
      <c r="J387" s="3">
        <f t="shared" si="390"/>
        <v>4.2794407579831231E-2</v>
      </c>
      <c r="K387" s="3">
        <f t="shared" si="390"/>
        <v>4.2794407535399467E-2</v>
      </c>
      <c r="L387" s="3">
        <f t="shared" si="390"/>
        <v>4.279440709108185E-2</v>
      </c>
      <c r="M387" s="3">
        <f t="shared" si="390"/>
        <v>4.2794402647905877E-2</v>
      </c>
      <c r="N387" s="3">
        <f t="shared" si="390"/>
        <v>4.2794358216171585E-2</v>
      </c>
      <c r="O387" s="3">
        <f t="shared" si="390"/>
        <v>4.279391390136586E-2</v>
      </c>
      <c r="P387" s="3">
        <f t="shared" si="390"/>
        <v>4.2789471007022441E-2</v>
      </c>
      <c r="Q387" s="3">
        <f t="shared" si="390"/>
        <v>4.2745067425231736E-2</v>
      </c>
      <c r="R387" s="3">
        <f t="shared" si="390"/>
        <v>4.2303558055826279E-2</v>
      </c>
      <c r="S387" s="3">
        <f t="shared" si="390"/>
        <v>3.8131667382772919E-2</v>
      </c>
      <c r="T387" s="3">
        <f t="shared" si="390"/>
        <v>1.3501275288491019E-2</v>
      </c>
      <c r="U387" s="3">
        <f t="shared" si="390"/>
        <v>4.1808516452080815E-7</v>
      </c>
      <c r="V387" s="3">
        <f t="shared" si="390"/>
        <v>3.3897245087145955E-52</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2.2817294808056693E-2</v>
      </c>
      <c r="C388" s="3">
        <f t="shared" si="391"/>
        <v>2.2817294808056693E-2</v>
      </c>
      <c r="D388" s="3">
        <f t="shared" si="391"/>
        <v>2.2817294808056693E-2</v>
      </c>
      <c r="E388" s="3">
        <f t="shared" si="391"/>
        <v>2.2817294808056689E-2</v>
      </c>
      <c r="F388" s="3">
        <f t="shared" si="391"/>
        <v>2.2817294808056669E-2</v>
      </c>
      <c r="G388" s="3">
        <f t="shared" si="391"/>
        <v>2.2817294808056429E-2</v>
      </c>
      <c r="H388" s="3">
        <f t="shared" si="391"/>
        <v>2.281729480805406E-2</v>
      </c>
      <c r="I388" s="3">
        <f t="shared" si="391"/>
        <v>2.281729480803037E-2</v>
      </c>
      <c r="J388" s="3">
        <f t="shared" si="391"/>
        <v>2.2817294807793466E-2</v>
      </c>
      <c r="K388" s="3">
        <f t="shared" si="391"/>
        <v>2.2817294805424437E-2</v>
      </c>
      <c r="L388" s="3">
        <f t="shared" si="391"/>
        <v>2.2817294781734131E-2</v>
      </c>
      <c r="M388" s="3">
        <f t="shared" si="391"/>
        <v>2.2817294544831071E-2</v>
      </c>
      <c r="N388" s="3">
        <f t="shared" si="391"/>
        <v>2.2817292175800589E-2</v>
      </c>
      <c r="O388" s="3">
        <f t="shared" si="391"/>
        <v>2.2817268485509322E-2</v>
      </c>
      <c r="P388" s="3">
        <f t="shared" si="391"/>
        <v>2.2817031583949467E-2</v>
      </c>
      <c r="Q388" s="3">
        <f t="shared" si="391"/>
        <v>2.2814662703627107E-2</v>
      </c>
      <c r="R388" s="3">
        <f t="shared" si="391"/>
        <v>2.2790987422826797E-2</v>
      </c>
      <c r="S388" s="3">
        <f t="shared" si="391"/>
        <v>2.2555581676823921E-2</v>
      </c>
      <c r="T388" s="3">
        <f t="shared" si="391"/>
        <v>2.0331196184268995E-2</v>
      </c>
      <c r="U388" s="3">
        <f t="shared" si="391"/>
        <v>7.198664403333852E-3</v>
      </c>
      <c r="V388" s="3">
        <f t="shared" si="391"/>
        <v>2.2291633398242449E-7</v>
      </c>
      <c r="W388" s="3">
        <f t="shared" si="391"/>
        <v>1.8073469829026306E-52</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1.5874068547548043E-2</v>
      </c>
      <c r="C389" s="3">
        <f t="shared" si="392"/>
        <v>1.5874068547548043E-2</v>
      </c>
      <c r="D389" s="3">
        <f t="shared" si="392"/>
        <v>1.5874068547548043E-2</v>
      </c>
      <c r="E389" s="3">
        <f t="shared" si="392"/>
        <v>1.5874068547548043E-2</v>
      </c>
      <c r="F389" s="3">
        <f t="shared" si="392"/>
        <v>1.587406854754804E-2</v>
      </c>
      <c r="G389" s="3">
        <f t="shared" si="392"/>
        <v>1.5874068547548026E-2</v>
      </c>
      <c r="H389" s="3">
        <f t="shared" si="392"/>
        <v>1.5874068547547859E-2</v>
      </c>
      <c r="I389" s="3">
        <f t="shared" si="392"/>
        <v>1.5874068547546211E-2</v>
      </c>
      <c r="J389" s="3">
        <f t="shared" si="392"/>
        <v>1.5874068547529731E-2</v>
      </c>
      <c r="K389" s="3">
        <f t="shared" si="392"/>
        <v>1.5874068547364915E-2</v>
      </c>
      <c r="L389" s="3">
        <f t="shared" si="392"/>
        <v>1.5874068545716775E-2</v>
      </c>
      <c r="M389" s="3">
        <f t="shared" si="392"/>
        <v>1.5874068529235348E-2</v>
      </c>
      <c r="N389" s="3">
        <f t="shared" si="392"/>
        <v>1.5874068364421092E-2</v>
      </c>
      <c r="O389" s="3">
        <f t="shared" si="392"/>
        <v>1.587406671627864E-2</v>
      </c>
      <c r="P389" s="3">
        <f t="shared" si="392"/>
        <v>1.5874050234863529E-2</v>
      </c>
      <c r="Q389" s="3">
        <f t="shared" si="392"/>
        <v>1.587388542165356E-2</v>
      </c>
      <c r="R389" s="3">
        <f t="shared" si="392"/>
        <v>1.5872237383665951E-2</v>
      </c>
      <c r="S389" s="3">
        <f t="shared" si="392"/>
        <v>1.5855766411385142E-2</v>
      </c>
      <c r="T389" s="3">
        <f t="shared" si="392"/>
        <v>1.5691993844129847E-2</v>
      </c>
      <c r="U389" s="3">
        <f t="shared" si="392"/>
        <v>1.4144481394384033E-2</v>
      </c>
      <c r="V389" s="3">
        <f t="shared" si="392"/>
        <v>5.0081349761482942E-3</v>
      </c>
      <c r="W389" s="3">
        <f t="shared" si="392"/>
        <v>1.5508364141202481E-7</v>
      </c>
      <c r="X389" s="3">
        <f t="shared" si="392"/>
        <v>1.257377359461131E-52</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5.5424436077778048E-3</v>
      </c>
      <c r="C390" s="3">
        <f t="shared" si="393"/>
        <v>5.5424436077778048E-3</v>
      </c>
      <c r="D390" s="3">
        <f t="shared" si="393"/>
        <v>5.5424436077778048E-3</v>
      </c>
      <c r="E390" s="3">
        <f t="shared" si="393"/>
        <v>5.5424436077778048E-3</v>
      </c>
      <c r="F390" s="3">
        <f t="shared" si="393"/>
        <v>5.5424436077778048E-3</v>
      </c>
      <c r="G390" s="3">
        <f t="shared" si="393"/>
        <v>5.542443607777804E-3</v>
      </c>
      <c r="H390" s="3">
        <f t="shared" si="393"/>
        <v>5.5424436077777988E-3</v>
      </c>
      <c r="I390" s="3">
        <f t="shared" si="393"/>
        <v>5.5424436077777407E-3</v>
      </c>
      <c r="J390" s="3">
        <f t="shared" si="393"/>
        <v>5.5424436077771656E-3</v>
      </c>
      <c r="K390" s="3">
        <f t="shared" si="393"/>
        <v>5.5424436077714107E-3</v>
      </c>
      <c r="L390" s="3">
        <f t="shared" si="393"/>
        <v>5.5424436077138664E-3</v>
      </c>
      <c r="M390" s="3">
        <f t="shared" si="393"/>
        <v>5.5424436071384161E-3</v>
      </c>
      <c r="N390" s="3">
        <f t="shared" si="393"/>
        <v>5.5424436013839125E-3</v>
      </c>
      <c r="O390" s="3">
        <f t="shared" si="393"/>
        <v>5.5424435438388856E-3</v>
      </c>
      <c r="P390" s="3">
        <f t="shared" si="393"/>
        <v>5.5424429683886426E-3</v>
      </c>
      <c r="Q390" s="3">
        <f t="shared" si="393"/>
        <v>5.5424372138895006E-3</v>
      </c>
      <c r="R390" s="3">
        <f t="shared" si="393"/>
        <v>5.5423796692266854E-3</v>
      </c>
      <c r="S390" s="3">
        <f t="shared" si="393"/>
        <v>5.5418042554578441E-3</v>
      </c>
      <c r="T390" s="3">
        <f t="shared" si="393"/>
        <v>5.5360534024387698E-3</v>
      </c>
      <c r="U390" s="3">
        <f t="shared" si="393"/>
        <v>5.4788720808516414E-3</v>
      </c>
      <c r="V390" s="3">
        <f t="shared" si="393"/>
        <v>4.9385568831844936E-3</v>
      </c>
      <c r="W390" s="3">
        <f t="shared" si="393"/>
        <v>1.748594294039951E-3</v>
      </c>
      <c r="X390" s="3">
        <f t="shared" si="393"/>
        <v>5.4147576246150812E-8</v>
      </c>
      <c r="Y390" s="3">
        <f t="shared" si="393"/>
        <v>4.3901430106816092E-53</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3.8861309197679899E-3</v>
      </c>
      <c r="C391" s="3">
        <f t="shared" si="394"/>
        <v>3.8861309197679899E-3</v>
      </c>
      <c r="D391" s="3">
        <f t="shared" si="394"/>
        <v>3.8861309197679899E-3</v>
      </c>
      <c r="E391" s="3">
        <f t="shared" si="394"/>
        <v>3.8861309197679899E-3</v>
      </c>
      <c r="F391" s="3">
        <f t="shared" si="394"/>
        <v>3.8861309197679899E-3</v>
      </c>
      <c r="G391" s="3">
        <f t="shared" si="394"/>
        <v>3.8861309197679899E-3</v>
      </c>
      <c r="H391" s="3">
        <f t="shared" si="394"/>
        <v>3.8861309197679894E-3</v>
      </c>
      <c r="I391" s="3">
        <f t="shared" si="394"/>
        <v>3.8861309197679855E-3</v>
      </c>
      <c r="J391" s="3">
        <f t="shared" si="394"/>
        <v>3.8861309197679452E-3</v>
      </c>
      <c r="K391" s="3">
        <f t="shared" si="394"/>
        <v>3.8861309197675414E-3</v>
      </c>
      <c r="L391" s="3">
        <f t="shared" si="394"/>
        <v>3.8861309197635069E-3</v>
      </c>
      <c r="M391" s="3">
        <f t="shared" si="394"/>
        <v>3.8861309197231585E-3</v>
      </c>
      <c r="N391" s="3">
        <f t="shared" si="394"/>
        <v>3.886130919319677E-3</v>
      </c>
      <c r="O391" s="3">
        <f t="shared" si="394"/>
        <v>3.8861309152848585E-3</v>
      </c>
      <c r="P391" s="3">
        <f t="shared" si="394"/>
        <v>3.8861308749366789E-3</v>
      </c>
      <c r="Q391" s="3">
        <f t="shared" si="394"/>
        <v>3.8861304714549044E-3</v>
      </c>
      <c r="R391" s="3">
        <f t="shared" si="394"/>
        <v>3.8861264366394648E-3</v>
      </c>
      <c r="S391" s="3">
        <f t="shared" si="394"/>
        <v>3.8860860887154694E-3</v>
      </c>
      <c r="T391" s="3">
        <f t="shared" si="394"/>
        <v>3.8856826325151003E-3</v>
      </c>
      <c r="U391" s="3">
        <f t="shared" si="394"/>
        <v>3.8816503735849229E-3</v>
      </c>
      <c r="V391" s="3">
        <f t="shared" si="394"/>
        <v>3.8415572093457601E-3</v>
      </c>
      <c r="W391" s="3">
        <f t="shared" si="394"/>
        <v>3.4627106671584365E-3</v>
      </c>
      <c r="X391" s="3">
        <f t="shared" si="394"/>
        <v>1.22604158618098E-3</v>
      </c>
      <c r="Y391" s="3">
        <f t="shared" si="394"/>
        <v>3.7966028194742311E-8</v>
      </c>
      <c r="Z391" s="3">
        <f t="shared" si="394"/>
        <v>3.0781856710407672E-53</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2.064572113999586E-3</v>
      </c>
      <c r="C392" s="3">
        <f t="shared" si="395"/>
        <v>2.064572113999586E-3</v>
      </c>
      <c r="D392" s="3">
        <f t="shared" si="395"/>
        <v>2.064572113999586E-3</v>
      </c>
      <c r="E392" s="3">
        <f t="shared" si="395"/>
        <v>2.064572113999586E-3</v>
      </c>
      <c r="F392" s="3">
        <f t="shared" si="395"/>
        <v>2.064572113999586E-3</v>
      </c>
      <c r="G392" s="3">
        <f t="shared" si="395"/>
        <v>2.064572113999586E-3</v>
      </c>
      <c r="H392" s="3">
        <f t="shared" si="395"/>
        <v>2.064572113999586E-3</v>
      </c>
      <c r="I392" s="3">
        <f t="shared" si="395"/>
        <v>2.0645721139995856E-3</v>
      </c>
      <c r="J392" s="3">
        <f t="shared" si="395"/>
        <v>2.0645721139995838E-3</v>
      </c>
      <c r="K392" s="3">
        <f t="shared" si="395"/>
        <v>2.0645721139995622E-3</v>
      </c>
      <c r="L392" s="3">
        <f t="shared" si="395"/>
        <v>2.0645721139993479E-3</v>
      </c>
      <c r="M392" s="3">
        <f t="shared" si="395"/>
        <v>2.0645721139972042E-3</v>
      </c>
      <c r="N392" s="3">
        <f t="shared" si="395"/>
        <v>2.0645721139757687E-3</v>
      </c>
      <c r="O392" s="3">
        <f t="shared" si="395"/>
        <v>2.0645721137614124E-3</v>
      </c>
      <c r="P392" s="3">
        <f t="shared" si="395"/>
        <v>2.0645721116178475E-3</v>
      </c>
      <c r="Q392" s="3">
        <f t="shared" si="395"/>
        <v>2.0645720901822017E-3</v>
      </c>
      <c r="R392" s="3">
        <f t="shared" si="395"/>
        <v>2.0645718758257538E-3</v>
      </c>
      <c r="S392" s="3">
        <f t="shared" si="395"/>
        <v>2.0645697322624989E-3</v>
      </c>
      <c r="T392" s="3">
        <f t="shared" si="395"/>
        <v>2.0645482967523586E-3</v>
      </c>
      <c r="U392" s="3">
        <f t="shared" si="395"/>
        <v>2.0643339538911169E-3</v>
      </c>
      <c r="V392" s="3">
        <f t="shared" si="395"/>
        <v>2.0621917488250646E-3</v>
      </c>
      <c r="W392" s="3">
        <f t="shared" si="395"/>
        <v>2.0408915840701611E-3</v>
      </c>
      <c r="X392" s="3">
        <f t="shared" si="395"/>
        <v>1.8396230157606273E-3</v>
      </c>
      <c r="Y392" s="3">
        <f t="shared" si="395"/>
        <v>6.5135511944723482E-4</v>
      </c>
      <c r="Z392" s="3">
        <f t="shared" si="395"/>
        <v>2.0170088118098369E-8</v>
      </c>
      <c r="AA392" s="3">
        <f t="shared" si="395"/>
        <v>1.6353376737300672E-53</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5.3484126683110472E-4</v>
      </c>
      <c r="C393" s="3">
        <f t="shared" si="396"/>
        <v>5.3484126683110472E-4</v>
      </c>
      <c r="D393" s="3">
        <f t="shared" si="396"/>
        <v>5.3484126683110472E-4</v>
      </c>
      <c r="E393" s="3">
        <f t="shared" si="396"/>
        <v>5.3484126683110472E-4</v>
      </c>
      <c r="F393" s="3">
        <f t="shared" si="396"/>
        <v>5.3484126683110472E-4</v>
      </c>
      <c r="G393" s="3">
        <f t="shared" si="396"/>
        <v>5.3484126683110472E-4</v>
      </c>
      <c r="H393" s="3">
        <f t="shared" si="396"/>
        <v>5.3484126683110472E-4</v>
      </c>
      <c r="I393" s="3">
        <f t="shared" si="396"/>
        <v>5.3484126683110472E-4</v>
      </c>
      <c r="J393" s="3">
        <f t="shared" si="396"/>
        <v>5.3484126683110461E-4</v>
      </c>
      <c r="K393" s="3">
        <f t="shared" si="396"/>
        <v>5.3484126683110418E-4</v>
      </c>
      <c r="L393" s="3">
        <f t="shared" si="396"/>
        <v>5.3484126683109854E-4</v>
      </c>
      <c r="M393" s="3">
        <f t="shared" si="396"/>
        <v>5.3484126683104303E-4</v>
      </c>
      <c r="N393" s="3">
        <f t="shared" si="396"/>
        <v>5.348412668304877E-4</v>
      </c>
      <c r="O393" s="3">
        <f t="shared" si="396"/>
        <v>5.3484126682493464E-4</v>
      </c>
      <c r="P393" s="3">
        <f t="shared" si="396"/>
        <v>5.3484126676940419E-4</v>
      </c>
      <c r="Q393" s="3">
        <f t="shared" si="396"/>
        <v>5.3484126621409936E-4</v>
      </c>
      <c r="R393" s="3">
        <f t="shared" si="396"/>
        <v>5.3484126066105143E-4</v>
      </c>
      <c r="S393" s="3">
        <f t="shared" si="396"/>
        <v>5.348412051305744E-4</v>
      </c>
      <c r="T393" s="3">
        <f t="shared" si="396"/>
        <v>5.3484064982612235E-4</v>
      </c>
      <c r="U393" s="3">
        <f t="shared" si="396"/>
        <v>5.3483509681331106E-4</v>
      </c>
      <c r="V393" s="3">
        <f t="shared" si="396"/>
        <v>5.3477956985609545E-4</v>
      </c>
      <c r="W393" s="3">
        <f t="shared" si="396"/>
        <v>5.3422461725183897E-4</v>
      </c>
      <c r="X393" s="3">
        <f t="shared" si="396"/>
        <v>5.2870666657141719E-4</v>
      </c>
      <c r="Y393" s="3">
        <f t="shared" si="396"/>
        <v>4.7656669271532579E-4</v>
      </c>
      <c r="Z393" s="3">
        <f t="shared" si="396"/>
        <v>1.6873791662680302E-4</v>
      </c>
      <c r="AA393" s="3">
        <f t="shared" si="396"/>
        <v>5.2251967407813718E-9</v>
      </c>
      <c r="AB393" s="3">
        <f t="shared" si="396"/>
        <v>4.2364520337340775E-54</v>
      </c>
      <c r="AC393" s="3">
        <f t="shared" si="396"/>
        <v>0</v>
      </c>
      <c r="AD393" s="3">
        <f t="shared" si="396"/>
        <v>0</v>
      </c>
      <c r="AE393" s="3">
        <f t="shared" si="396"/>
        <v>0</v>
      </c>
      <c r="AF393" s="3">
        <f t="shared" si="396"/>
        <v>0</v>
      </c>
      <c r="AG393" s="3"/>
      <c r="AH393" s="3"/>
    </row>
    <row r="394" spans="1:34" x14ac:dyDescent="0.25">
      <c r="B394" s="3">
        <f t="shared" ref="B394:AF394" si="397">$C46*EXP(-B$363/$A46/EXP(-$H$126))</f>
        <v>1.465148476990797E-3</v>
      </c>
      <c r="C394" s="3">
        <f t="shared" si="397"/>
        <v>1.465148476990797E-3</v>
      </c>
      <c r="D394" s="3">
        <f t="shared" si="397"/>
        <v>1.465148476990797E-3</v>
      </c>
      <c r="E394" s="3">
        <f t="shared" si="397"/>
        <v>1.465148476990797E-3</v>
      </c>
      <c r="F394" s="3">
        <f t="shared" si="397"/>
        <v>1.465148476990797E-3</v>
      </c>
      <c r="G394" s="3">
        <f t="shared" si="397"/>
        <v>1.465148476990797E-3</v>
      </c>
      <c r="H394" s="3">
        <f t="shared" si="397"/>
        <v>1.465148476990797E-3</v>
      </c>
      <c r="I394" s="3">
        <f t="shared" si="397"/>
        <v>1.465148476990797E-3</v>
      </c>
      <c r="J394" s="3">
        <f t="shared" si="397"/>
        <v>1.465148476990797E-3</v>
      </c>
      <c r="K394" s="3">
        <f t="shared" si="397"/>
        <v>1.4651484769907968E-3</v>
      </c>
      <c r="L394" s="3">
        <f t="shared" si="397"/>
        <v>1.4651484769907953E-3</v>
      </c>
      <c r="M394" s="3">
        <f t="shared" si="397"/>
        <v>1.4651484769907801E-3</v>
      </c>
      <c r="N394" s="3">
        <f t="shared" si="397"/>
        <v>1.4651484769906281E-3</v>
      </c>
      <c r="O394" s="3">
        <f t="shared" si="397"/>
        <v>1.4651484769891067E-3</v>
      </c>
      <c r="P394" s="3">
        <f t="shared" si="397"/>
        <v>1.4651484769738947E-3</v>
      </c>
      <c r="Q394" s="3">
        <f t="shared" si="397"/>
        <v>1.4651484768217742E-3</v>
      </c>
      <c r="R394" s="3">
        <f t="shared" si="397"/>
        <v>1.4651484753005677E-3</v>
      </c>
      <c r="S394" s="3">
        <f t="shared" si="397"/>
        <v>1.4651484600885032E-3</v>
      </c>
      <c r="T394" s="3">
        <f t="shared" si="397"/>
        <v>1.465148307967867E-3</v>
      </c>
      <c r="U394" s="3">
        <f t="shared" si="397"/>
        <v>1.4651467867623754E-3</v>
      </c>
      <c r="V394" s="3">
        <f t="shared" si="397"/>
        <v>1.4651315747943249E-3</v>
      </c>
      <c r="W394" s="3">
        <f t="shared" si="397"/>
        <v>1.4649794638002004E-3</v>
      </c>
      <c r="X394" s="3">
        <f t="shared" si="397"/>
        <v>1.4634592221633763E-3</v>
      </c>
      <c r="Y394" s="3">
        <f t="shared" si="397"/>
        <v>1.4483433035966753E-3</v>
      </c>
      <c r="Z394" s="3">
        <f t="shared" si="397"/>
        <v>1.3055106389853334E-3</v>
      </c>
      <c r="AA394" s="3">
        <f t="shared" si="397"/>
        <v>4.6224200877609365E-4</v>
      </c>
      <c r="AB394" s="3">
        <f t="shared" si="397"/>
        <v>1.4313946064955869E-8</v>
      </c>
      <c r="AC394" s="3">
        <f t="shared" si="397"/>
        <v>1.1605370845533766E-53</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1.026110794379005E-2</v>
      </c>
      <c r="C396" s="3">
        <f t="shared" si="399"/>
        <v>1.026110794379005E-2</v>
      </c>
      <c r="D396" s="3">
        <f t="shared" si="399"/>
        <v>1.026110794379005E-2</v>
      </c>
      <c r="E396" s="3">
        <f t="shared" si="399"/>
        <v>1.026110794379005E-2</v>
      </c>
      <c r="F396" s="3">
        <f t="shared" si="399"/>
        <v>1.026110794379005E-2</v>
      </c>
      <c r="G396" s="3">
        <f t="shared" si="399"/>
        <v>1.026110794379005E-2</v>
      </c>
      <c r="H396" s="3">
        <f t="shared" si="399"/>
        <v>1.026110794379005E-2</v>
      </c>
      <c r="I396" s="3">
        <f t="shared" si="399"/>
        <v>1.026110794379005E-2</v>
      </c>
      <c r="J396" s="3">
        <f t="shared" si="399"/>
        <v>1.026110794379005E-2</v>
      </c>
      <c r="K396" s="3">
        <f t="shared" si="399"/>
        <v>1.026110794379005E-2</v>
      </c>
      <c r="L396" s="3">
        <f t="shared" si="399"/>
        <v>1.026110794379005E-2</v>
      </c>
      <c r="M396" s="3">
        <f t="shared" si="399"/>
        <v>1.0261107943790048E-2</v>
      </c>
      <c r="N396" s="3">
        <f t="shared" si="399"/>
        <v>1.0261107943790038E-2</v>
      </c>
      <c r="O396" s="3">
        <f t="shared" si="399"/>
        <v>1.0261107943789932E-2</v>
      </c>
      <c r="P396" s="3">
        <f t="shared" si="399"/>
        <v>1.0261107943788867E-2</v>
      </c>
      <c r="Q396" s="3">
        <f t="shared" si="399"/>
        <v>1.0261107943778212E-2</v>
      </c>
      <c r="R396" s="3">
        <f t="shared" si="399"/>
        <v>1.0261107943671676E-2</v>
      </c>
      <c r="S396" s="3">
        <f t="shared" si="399"/>
        <v>1.0261107942606306E-2</v>
      </c>
      <c r="T396" s="3">
        <f t="shared" si="399"/>
        <v>1.0261107931952597E-2</v>
      </c>
      <c r="U396" s="3">
        <f t="shared" si="399"/>
        <v>1.0261107825415521E-2</v>
      </c>
      <c r="V396" s="3">
        <f t="shared" si="399"/>
        <v>1.0261106760044814E-2</v>
      </c>
      <c r="W396" s="3">
        <f t="shared" si="399"/>
        <v>1.0261096106343841E-2</v>
      </c>
      <c r="X396" s="3">
        <f t="shared" si="399"/>
        <v>1.0260989569942477E-2</v>
      </c>
      <c r="Y396" s="3">
        <f t="shared" si="399"/>
        <v>1.0259924266763544E-2</v>
      </c>
      <c r="Z396" s="3">
        <f t="shared" si="399"/>
        <v>1.0249277316109001E-2</v>
      </c>
      <c r="AA396" s="3">
        <f t="shared" si="399"/>
        <v>1.0143413593409017E-2</v>
      </c>
      <c r="AB396" s="3">
        <f t="shared" si="399"/>
        <v>9.1430908189648087E-3</v>
      </c>
      <c r="AC396" s="3">
        <f t="shared" si="399"/>
        <v>3.2372931635894792E-3</v>
      </c>
      <c r="AD396" s="3">
        <f t="shared" si="399"/>
        <v>1.0024714080566428E-7</v>
      </c>
      <c r="AE396" s="3">
        <f t="shared" si="399"/>
        <v>8.1277744094794544E-53</v>
      </c>
      <c r="AF396" s="3">
        <f t="shared" si="399"/>
        <v>0</v>
      </c>
      <c r="AG396" s="3"/>
      <c r="AH396" s="3"/>
    </row>
    <row r="397" spans="1:34" x14ac:dyDescent="0.25">
      <c r="A397" s="79">
        <f>AVERAGE(B397:AF397)</f>
        <v>3.2833485676672748E-2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8.1803906694767198E-2</v>
      </c>
      <c r="M397" s="80">
        <f t="shared" si="400"/>
        <v>8.8706353159045681E-2</v>
      </c>
      <c r="N397" s="80">
        <f t="shared" si="400"/>
        <v>6.6619579910793356E-2</v>
      </c>
      <c r="O397" s="80">
        <f t="shared" si="400"/>
        <v>2.1736972363321058E-2</v>
      </c>
      <c r="P397" s="80">
        <f t="shared" si="400"/>
        <v>0.11586521754638295</v>
      </c>
      <c r="Q397" s="80">
        <f t="shared" si="400"/>
        <v>0.12900102875022695</v>
      </c>
      <c r="R397" s="80">
        <f t="shared" si="400"/>
        <v>3.267163316682431E-2</v>
      </c>
      <c r="S397" s="80">
        <f t="shared" si="400"/>
        <v>8.6361152965227908E-2</v>
      </c>
      <c r="T397" s="80">
        <f t="shared" si="400"/>
        <v>0.16076669118159101</v>
      </c>
      <c r="U397" s="80">
        <f t="shared" si="400"/>
        <v>0.14507358092920949</v>
      </c>
      <c r="V397" s="80">
        <f t="shared" si="400"/>
        <v>8.9231939309465103E-2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183998.00220762118</v>
      </c>
      <c r="C398" s="21">
        <f t="shared" ref="C398:AF398" si="401">(C365-C364)^2</f>
        <v>234941.74473224269</v>
      </c>
      <c r="D398" s="21">
        <f t="shared" si="401"/>
        <v>306667.72254870227</v>
      </c>
      <c r="E398" s="21">
        <f t="shared" si="401"/>
        <v>340135.79668161459</v>
      </c>
      <c r="F398" s="21">
        <f t="shared" si="401"/>
        <v>318057.60546249361</v>
      </c>
      <c r="G398" s="21">
        <f t="shared" si="401"/>
        <v>239116.59005633465</v>
      </c>
      <c r="H398" s="21">
        <f t="shared" si="401"/>
        <v>223487.08914866365</v>
      </c>
      <c r="I398" s="21">
        <f t="shared" si="401"/>
        <v>219115.13999032852</v>
      </c>
      <c r="J398" s="21">
        <f t="shared" si="401"/>
        <v>212885.17883565542</v>
      </c>
      <c r="K398" s="21">
        <f t="shared" si="401"/>
        <v>207133.15666920229</v>
      </c>
      <c r="L398" s="21">
        <f t="shared" si="401"/>
        <v>244817.77728548629</v>
      </c>
      <c r="M398" s="21">
        <f t="shared" si="401"/>
        <v>255348.63797419035</v>
      </c>
      <c r="N398" s="21">
        <f t="shared" si="401"/>
        <v>123918.19148062642</v>
      </c>
      <c r="O398" s="21">
        <f t="shared" si="401"/>
        <v>10924.469706154156</v>
      </c>
      <c r="P398" s="21">
        <f t="shared" si="401"/>
        <v>234626.7814279978</v>
      </c>
      <c r="Q398" s="21">
        <f t="shared" si="401"/>
        <v>179579.27085448639</v>
      </c>
      <c r="R398" s="21">
        <f t="shared" si="401"/>
        <v>5381.318984325927</v>
      </c>
      <c r="S398" s="21">
        <f t="shared" si="401"/>
        <v>15790.128241967823</v>
      </c>
      <c r="T398" s="21">
        <f t="shared" si="401"/>
        <v>22825.51135940948</v>
      </c>
      <c r="U398" s="21">
        <f t="shared" si="401"/>
        <v>9381.8958861361843</v>
      </c>
      <c r="V398" s="21">
        <f t="shared" si="401"/>
        <v>2192.4175854350233</v>
      </c>
      <c r="W398" s="21">
        <f t="shared" si="401"/>
        <v>236.33232002435554</v>
      </c>
      <c r="X398" s="21">
        <f t="shared" si="401"/>
        <v>90.308951299623985</v>
      </c>
      <c r="Y398" s="21">
        <f t="shared" si="401"/>
        <v>17.229218068922773</v>
      </c>
      <c r="Z398" s="21">
        <f t="shared" si="401"/>
        <v>27.820196985768213</v>
      </c>
      <c r="AA398" s="21">
        <f t="shared" si="401"/>
        <v>213.00590627515859</v>
      </c>
      <c r="AB398" s="21">
        <f t="shared" si="401"/>
        <v>21.554735735877141</v>
      </c>
      <c r="AC398" s="21">
        <f t="shared" si="401"/>
        <v>3346.2741258649594</v>
      </c>
      <c r="AD398" s="21">
        <f t="shared" si="401"/>
        <v>8927.6244007416954</v>
      </c>
      <c r="AE398" s="21">
        <f t="shared" si="401"/>
        <v>8574.887731886336</v>
      </c>
      <c r="AF398" s="21">
        <f t="shared" si="401"/>
        <v>8362.8680610467345</v>
      </c>
      <c r="AG398" s="3"/>
      <c r="AH398" s="3"/>
    </row>
    <row r="399" spans="1:34" x14ac:dyDescent="0.25">
      <c r="A399" s="71">
        <f>SUM(B399:AF399)</f>
        <v>1104786.4007862161</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244817.77728548629</v>
      </c>
      <c r="M399" s="60">
        <f t="shared" ref="M399" si="412">IF($A$64&lt;=M363,IF($B$64&gt;=M363,ABS(M398),0),0)</f>
        <v>255348.63797419035</v>
      </c>
      <c r="N399" s="60">
        <f t="shared" ref="N399" si="413">IF($A$64&lt;=N363,IF($B$64&gt;=N363,ABS(N398),0),0)</f>
        <v>123918.19148062642</v>
      </c>
      <c r="O399" s="60">
        <f t="shared" ref="O399" si="414">IF($A$64&lt;=O363,IF($B$64&gt;=O363,ABS(O398),0),0)</f>
        <v>10924.469706154156</v>
      </c>
      <c r="P399" s="60">
        <f t="shared" ref="P399" si="415">IF($A$64&lt;=P363,IF($B$64&gt;=P363,ABS(P398),0),0)</f>
        <v>234626.7814279978</v>
      </c>
      <c r="Q399" s="60">
        <f t="shared" ref="Q399" si="416">IF($A$64&lt;=Q363,IF($B$64&gt;=Q363,ABS(Q398),0),0)</f>
        <v>179579.27085448639</v>
      </c>
      <c r="R399" s="60">
        <f t="shared" ref="R399" si="417">IF($A$64&lt;=R363,IF($B$64&gt;=R363,ABS(R398),0),0)</f>
        <v>5381.318984325927</v>
      </c>
      <c r="S399" s="60">
        <f t="shared" ref="S399" si="418">IF($A$64&lt;=S363,IF($B$64&gt;=S363,ABS(S398),0),0)</f>
        <v>15790.128241967823</v>
      </c>
      <c r="T399" s="60">
        <f t="shared" ref="T399" si="419">IF($A$64&lt;=T363,IF($B$64&gt;=T363,ABS(T398),0),0)</f>
        <v>22825.51135940948</v>
      </c>
      <c r="U399" s="60">
        <f t="shared" ref="U399" si="420">IF($A$64&lt;=U363,IF($B$64&gt;=U363,ABS(U398),0),0)</f>
        <v>9381.8958861361843</v>
      </c>
      <c r="V399" s="60">
        <f t="shared" ref="V399" si="421">IF($A$64&lt;=V363,IF($B$64&gt;=V363,ABS(V398),0),0)</f>
        <v>2192.4175854350233</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-11.207038780645185</v>
      </c>
      <c r="C403" s="107">
        <f t="shared" ref="C403:H403" si="432">IF(C125=$B$2,0,C126)</f>
        <v>-7.262337894521731</v>
      </c>
      <c r="D403" s="107">
        <f t="shared" si="432"/>
        <v>-4.5819420054473978</v>
      </c>
      <c r="E403" s="107">
        <f t="shared" si="432"/>
        <v>-2.6397977553378618</v>
      </c>
      <c r="F403" s="107">
        <f t="shared" si="432"/>
        <v>0</v>
      </c>
      <c r="G403" s="107">
        <f t="shared" si="432"/>
        <v>4.6943755531120974</v>
      </c>
      <c r="H403" s="107">
        <f t="shared" si="432"/>
        <v>9.3532480425269053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1.3578284345844646E-20</v>
      </c>
      <c r="C404" s="3">
        <f t="shared" ref="C404:H419" si="433">$A404/EXP(-C$403)</f>
        <v>7.0146616319195381E-19</v>
      </c>
      <c r="D404" s="3">
        <f t="shared" si="433"/>
        <v>1.0235000557003929E-17</v>
      </c>
      <c r="E404" s="3">
        <f t="shared" si="433"/>
        <v>7.1375703451777197E-17</v>
      </c>
      <c r="F404" s="3">
        <f t="shared" si="433"/>
        <v>1.0000000000000001E-15</v>
      </c>
      <c r="G404" s="3">
        <f t="shared" si="433"/>
        <v>1.0933051622093015E-13</v>
      </c>
      <c r="H404" s="3">
        <f t="shared" si="433"/>
        <v>1.1536232833462724E-11</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1.3578284345844645E-19</v>
      </c>
      <c r="C405" s="3">
        <f t="shared" si="433"/>
        <v>7.0146616319195371E-18</v>
      </c>
      <c r="D405" s="3">
        <f t="shared" si="433"/>
        <v>1.0235000557003928E-16</v>
      </c>
      <c r="E405" s="3">
        <f t="shared" si="433"/>
        <v>7.1375703451777192E-16</v>
      </c>
      <c r="F405" s="3">
        <f t="shared" si="433"/>
        <v>1E-14</v>
      </c>
      <c r="G405" s="3">
        <f t="shared" si="433"/>
        <v>1.0933051622093013E-12</v>
      </c>
      <c r="H405" s="3">
        <f t="shared" si="433"/>
        <v>1.1536232833462722E-10</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1.3578284345844646E-18</v>
      </c>
      <c r="C406" s="3">
        <f t="shared" si="433"/>
        <v>7.0146616319195374E-17</v>
      </c>
      <c r="D406" s="3">
        <f t="shared" si="433"/>
        <v>1.0235000557003929E-15</v>
      </c>
      <c r="E406" s="3">
        <f t="shared" si="433"/>
        <v>7.137570345177719E-15</v>
      </c>
      <c r="F406" s="3">
        <f t="shared" si="433"/>
        <v>1E-13</v>
      </c>
      <c r="G406" s="3">
        <f t="shared" si="433"/>
        <v>1.0933051622093014E-11</v>
      </c>
      <c r="H406" s="3">
        <f t="shared" si="433"/>
        <v>1.1536232833462722E-9</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1.3578284345844645E-17</v>
      </c>
      <c r="C407" s="3">
        <f t="shared" si="433"/>
        <v>7.0146616319195372E-16</v>
      </c>
      <c r="D407" s="3">
        <f t="shared" si="433"/>
        <v>1.0235000557003928E-14</v>
      </c>
      <c r="E407" s="3">
        <f t="shared" si="433"/>
        <v>7.1375703451777199E-14</v>
      </c>
      <c r="F407" s="3">
        <f t="shared" si="433"/>
        <v>9.9999999999999998E-13</v>
      </c>
      <c r="G407" s="3">
        <f t="shared" si="433"/>
        <v>1.0933051622093013E-10</v>
      </c>
      <c r="H407" s="3">
        <f t="shared" si="433"/>
        <v>1.1536232833462723E-8</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1.3578284345844644E-16</v>
      </c>
      <c r="C408" s="3">
        <f t="shared" si="433"/>
        <v>7.0146616319195368E-15</v>
      </c>
      <c r="D408" s="3">
        <f t="shared" si="433"/>
        <v>1.0235000557003928E-13</v>
      </c>
      <c r="E408" s="3">
        <f t="shared" si="433"/>
        <v>7.1375703451777194E-13</v>
      </c>
      <c r="F408" s="3">
        <f t="shared" si="433"/>
        <v>9.9999999999999994E-12</v>
      </c>
      <c r="G408" s="3">
        <f t="shared" si="433"/>
        <v>1.0933051622093014E-9</v>
      </c>
      <c r="H408" s="3">
        <f t="shared" si="433"/>
        <v>1.1536232833462722E-7</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1.3578284345844645E-15</v>
      </c>
      <c r="C409" s="3">
        <f t="shared" si="433"/>
        <v>7.0146616319195374E-14</v>
      </c>
      <c r="D409" s="3">
        <f t="shared" si="433"/>
        <v>1.0235000557003929E-12</v>
      </c>
      <c r="E409" s="3">
        <f t="shared" si="433"/>
        <v>7.13757034517772E-12</v>
      </c>
      <c r="F409" s="3">
        <f t="shared" si="433"/>
        <v>1E-10</v>
      </c>
      <c r="G409" s="3">
        <f t="shared" si="433"/>
        <v>1.0933051622093014E-8</v>
      </c>
      <c r="H409" s="3">
        <f t="shared" si="433"/>
        <v>1.1536232833462723E-6</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1.3578284345844645E-14</v>
      </c>
      <c r="C410" s="3">
        <f t="shared" si="433"/>
        <v>7.0146616319195379E-13</v>
      </c>
      <c r="D410" s="3">
        <f t="shared" si="433"/>
        <v>1.0235000557003928E-11</v>
      </c>
      <c r="E410" s="3">
        <f t="shared" si="433"/>
        <v>7.13757034517772E-11</v>
      </c>
      <c r="F410" s="3">
        <f t="shared" si="433"/>
        <v>1.0000000000000001E-9</v>
      </c>
      <c r="G410" s="3">
        <f t="shared" si="433"/>
        <v>1.0933051622093014E-7</v>
      </c>
      <c r="H410" s="3">
        <f t="shared" si="433"/>
        <v>1.1536232833462723E-5</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1.3578284345844645E-13</v>
      </c>
      <c r="C411" s="3">
        <f t="shared" si="433"/>
        <v>7.0146616319195375E-12</v>
      </c>
      <c r="D411" s="3">
        <f t="shared" si="433"/>
        <v>1.0235000557003928E-10</v>
      </c>
      <c r="E411" s="3">
        <f t="shared" si="433"/>
        <v>7.1375703451777195E-10</v>
      </c>
      <c r="F411" s="3">
        <f t="shared" si="433"/>
        <v>1E-8</v>
      </c>
      <c r="G411" s="3">
        <f t="shared" si="433"/>
        <v>1.0933051622093015E-6</v>
      </c>
      <c r="H411" s="3">
        <f t="shared" si="433"/>
        <v>1.1536232833462723E-4</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1.3578284345844644E-12</v>
      </c>
      <c r="C412" s="3">
        <f t="shared" si="433"/>
        <v>7.0146616319195372E-11</v>
      </c>
      <c r="D412" s="3">
        <f t="shared" si="433"/>
        <v>1.0235000557003928E-9</v>
      </c>
      <c r="E412" s="3">
        <f t="shared" si="433"/>
        <v>7.1375703451777193E-9</v>
      </c>
      <c r="F412" s="3">
        <f t="shared" si="433"/>
        <v>9.9999999999999995E-8</v>
      </c>
      <c r="G412" s="3">
        <f t="shared" si="433"/>
        <v>1.0933051622093014E-5</v>
      </c>
      <c r="H412" s="3">
        <f t="shared" si="433"/>
        <v>1.1536232833462721E-3</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1.3578284345844644E-11</v>
      </c>
      <c r="C413" s="3">
        <f t="shared" si="433"/>
        <v>7.0146616319195372E-10</v>
      </c>
      <c r="D413" s="3">
        <f t="shared" si="433"/>
        <v>1.0235000557003928E-8</v>
      </c>
      <c r="E413" s="3">
        <f t="shared" si="433"/>
        <v>7.1375703451777197E-8</v>
      </c>
      <c r="F413" s="3">
        <f t="shared" si="433"/>
        <v>9.9999999999999995E-7</v>
      </c>
      <c r="G413" s="3">
        <f t="shared" si="433"/>
        <v>1.0933051622093014E-4</v>
      </c>
      <c r="H413" s="3">
        <f t="shared" si="433"/>
        <v>1.1536232833462721E-2</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1.3578284345844646E-10</v>
      </c>
      <c r="C414" s="3">
        <f t="shared" si="433"/>
        <v>7.0146616319195382E-9</v>
      </c>
      <c r="D414" s="3">
        <f t="shared" si="433"/>
        <v>1.0235000557003929E-7</v>
      </c>
      <c r="E414" s="3">
        <f t="shared" si="433"/>
        <v>7.1375703451777202E-7</v>
      </c>
      <c r="F414" s="3">
        <f t="shared" si="433"/>
        <v>1.0000000000000001E-5</v>
      </c>
      <c r="G414" s="3">
        <f t="shared" si="433"/>
        <v>1.0933051622093015E-3</v>
      </c>
      <c r="H414" s="3">
        <f t="shared" si="433"/>
        <v>0.11536232833462723</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1.3578284345844646E-9</v>
      </c>
      <c r="C415" s="3">
        <f t="shared" si="433"/>
        <v>7.0146616319195376E-8</v>
      </c>
      <c r="D415" s="3">
        <f t="shared" si="433"/>
        <v>1.0235000557003928E-6</v>
      </c>
      <c r="E415" s="3">
        <f t="shared" si="433"/>
        <v>7.1375703451777198E-6</v>
      </c>
      <c r="F415" s="3">
        <f t="shared" si="433"/>
        <v>1E-4</v>
      </c>
      <c r="G415" s="3">
        <f t="shared" si="433"/>
        <v>1.0933051622093013E-2</v>
      </c>
      <c r="H415" s="3">
        <f t="shared" si="433"/>
        <v>1.1536232833462723</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1.3578284345844645E-8</v>
      </c>
      <c r="C416" s="3">
        <f t="shared" si="433"/>
        <v>7.0146616319195371E-7</v>
      </c>
      <c r="D416" s="3">
        <f t="shared" si="433"/>
        <v>1.0235000557003929E-5</v>
      </c>
      <c r="E416" s="3">
        <f t="shared" si="433"/>
        <v>7.1375703451777203E-5</v>
      </c>
      <c r="F416" s="3">
        <f t="shared" si="433"/>
        <v>1E-3</v>
      </c>
      <c r="G416" s="3">
        <f t="shared" si="433"/>
        <v>0.10933051622093014</v>
      </c>
      <c r="H416" s="3">
        <f t="shared" si="433"/>
        <v>11.536232833462723</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1.3578284345844645E-7</v>
      </c>
      <c r="C417" s="3">
        <f t="shared" si="433"/>
        <v>7.0146616319195375E-6</v>
      </c>
      <c r="D417" s="3">
        <f t="shared" si="433"/>
        <v>1.0235000557003928E-4</v>
      </c>
      <c r="E417" s="3">
        <f t="shared" si="433"/>
        <v>7.1375703451777197E-4</v>
      </c>
      <c r="F417" s="3">
        <f t="shared" si="433"/>
        <v>0.01</v>
      </c>
      <c r="G417" s="3">
        <f t="shared" si="433"/>
        <v>1.0933051622093013</v>
      </c>
      <c r="H417" s="3">
        <f t="shared" si="433"/>
        <v>115.36232833462722</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1.3578284345844646E-6</v>
      </c>
      <c r="C418" s="3">
        <f t="shared" si="433"/>
        <v>7.0146616319195375E-5</v>
      </c>
      <c r="D418" s="3">
        <f t="shared" si="433"/>
        <v>1.023500055700393E-3</v>
      </c>
      <c r="E418" s="3">
        <f t="shared" si="433"/>
        <v>7.1375703451777199E-3</v>
      </c>
      <c r="F418" s="3">
        <f t="shared" si="433"/>
        <v>0.1</v>
      </c>
      <c r="G418" s="3">
        <f t="shared" si="433"/>
        <v>10.933051622093014</v>
      </c>
      <c r="H418" s="3">
        <f t="shared" si="433"/>
        <v>1153.6232833462723</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1.3578284345844645E-5</v>
      </c>
      <c r="C419" s="3">
        <f t="shared" si="433"/>
        <v>7.0146616319195375E-4</v>
      </c>
      <c r="D419" s="3">
        <f t="shared" si="433"/>
        <v>1.0235000557003928E-2</v>
      </c>
      <c r="E419" s="3">
        <f t="shared" si="433"/>
        <v>7.1375703451777198E-2</v>
      </c>
      <c r="F419" s="3">
        <f t="shared" si="433"/>
        <v>1</v>
      </c>
      <c r="G419" s="3">
        <f t="shared" si="433"/>
        <v>109.33051622093014</v>
      </c>
      <c r="H419" s="3">
        <f t="shared" si="433"/>
        <v>11536.232833462722</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1.3578284345844646E-4</v>
      </c>
      <c r="C420" s="3">
        <f t="shared" si="434"/>
        <v>7.0146616319195377E-3</v>
      </c>
      <c r="D420" s="3">
        <f t="shared" si="434"/>
        <v>0.10235000557003927</v>
      </c>
      <c r="E420" s="3">
        <f t="shared" si="434"/>
        <v>0.71375703451777195</v>
      </c>
      <c r="F420" s="3">
        <f t="shared" si="434"/>
        <v>10</v>
      </c>
      <c r="G420" s="3">
        <f t="shared" si="434"/>
        <v>1093.3051622093014</v>
      </c>
      <c r="H420" s="3">
        <f t="shared" si="434"/>
        <v>115362.32833462722</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1.3578284345844645E-3</v>
      </c>
      <c r="C421" s="3">
        <f t="shared" si="434"/>
        <v>7.0146616319195373E-2</v>
      </c>
      <c r="D421" s="3">
        <f t="shared" si="434"/>
        <v>1.0235000557003928</v>
      </c>
      <c r="E421" s="3">
        <f t="shared" si="434"/>
        <v>7.1375703451777195</v>
      </c>
      <c r="F421" s="3">
        <f t="shared" si="434"/>
        <v>100</v>
      </c>
      <c r="G421" s="3">
        <f t="shared" si="434"/>
        <v>10933.051622093013</v>
      </c>
      <c r="H421" s="3">
        <f t="shared" si="434"/>
        <v>1153623.2833462723</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1.3578284345844644E-2</v>
      </c>
      <c r="C422" s="3">
        <f t="shared" si="434"/>
        <v>0.70146616319195376</v>
      </c>
      <c r="D422" s="3">
        <f t="shared" si="434"/>
        <v>10.235000557003929</v>
      </c>
      <c r="E422" s="3">
        <f t="shared" si="434"/>
        <v>71.375703451777198</v>
      </c>
      <c r="F422" s="3">
        <f t="shared" si="434"/>
        <v>1000</v>
      </c>
      <c r="G422" s="3">
        <f t="shared" si="434"/>
        <v>109330.51622093013</v>
      </c>
      <c r="H422" s="3">
        <f t="shared" si="434"/>
        <v>11536232.833462723</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0.13578284345844643</v>
      </c>
      <c r="C423" s="3">
        <f t="shared" si="434"/>
        <v>7.0146616319195374</v>
      </c>
      <c r="D423" s="3">
        <f t="shared" si="434"/>
        <v>102.35000557003929</v>
      </c>
      <c r="E423" s="3">
        <f t="shared" si="434"/>
        <v>713.7570345177719</v>
      </c>
      <c r="F423" s="3">
        <f t="shared" si="434"/>
        <v>10000</v>
      </c>
      <c r="G423" s="3">
        <f t="shared" si="434"/>
        <v>1093305.1622093015</v>
      </c>
      <c r="H423" s="3">
        <f t="shared" si="434"/>
        <v>115362328.33462723</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1.3578284345844644</v>
      </c>
      <c r="C424" s="3">
        <f t="shared" si="434"/>
        <v>70.146616319195374</v>
      </c>
      <c r="D424" s="3">
        <f t="shared" si="434"/>
        <v>1023.5000557003927</v>
      </c>
      <c r="E424" s="3">
        <f t="shared" si="434"/>
        <v>7137.5703451777199</v>
      </c>
      <c r="F424" s="3">
        <f t="shared" si="434"/>
        <v>100000</v>
      </c>
      <c r="G424" s="3">
        <f t="shared" si="434"/>
        <v>10933051.622093014</v>
      </c>
      <c r="H424" s="3">
        <f t="shared" si="434"/>
        <v>1153623283.3462722</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13.578284345844645</v>
      </c>
      <c r="C425" s="3">
        <f t="shared" si="434"/>
        <v>701.4661631919538</v>
      </c>
      <c r="D425" s="3">
        <f t="shared" si="434"/>
        <v>10235.000557003928</v>
      </c>
      <c r="E425" s="3">
        <f t="shared" si="434"/>
        <v>71375.703451777197</v>
      </c>
      <c r="F425" s="3">
        <f t="shared" si="434"/>
        <v>1000000</v>
      </c>
      <c r="G425" s="3">
        <f t="shared" si="434"/>
        <v>109330516.22093014</v>
      </c>
      <c r="H425" s="3">
        <f t="shared" si="434"/>
        <v>11536232833.462723</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135.78284345844645</v>
      </c>
      <c r="C426" s="3">
        <f t="shared" si="434"/>
        <v>7014.6616319195373</v>
      </c>
      <c r="D426" s="3">
        <f t="shared" si="434"/>
        <v>102350.00557003928</v>
      </c>
      <c r="E426" s="3">
        <f t="shared" si="434"/>
        <v>713757.03451777191</v>
      </c>
      <c r="F426" s="3">
        <f t="shared" si="434"/>
        <v>10000000</v>
      </c>
      <c r="G426" s="3">
        <f t="shared" si="434"/>
        <v>1093305162.2093015</v>
      </c>
      <c r="H426" s="3">
        <f t="shared" si="434"/>
        <v>115362328334.62723</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1357.8284345844645</v>
      </c>
      <c r="C427" s="3">
        <f t="shared" si="434"/>
        <v>70146.616319195367</v>
      </c>
      <c r="D427" s="3">
        <f t="shared" si="434"/>
        <v>1023500.0557003928</v>
      </c>
      <c r="E427" s="3">
        <f t="shared" si="434"/>
        <v>7137570.3451777194</v>
      </c>
      <c r="F427" s="3">
        <f t="shared" si="434"/>
        <v>100000000</v>
      </c>
      <c r="G427" s="3">
        <f t="shared" si="434"/>
        <v>10933051622.093014</v>
      </c>
      <c r="H427" s="3">
        <f t="shared" si="434"/>
        <v>1153623283346.2722</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13578.284345844644</v>
      </c>
      <c r="C428" s="3">
        <f t="shared" si="434"/>
        <v>701466.16319195379</v>
      </c>
      <c r="D428" s="3">
        <f t="shared" si="434"/>
        <v>10235000.557003928</v>
      </c>
      <c r="E428" s="3">
        <f t="shared" si="434"/>
        <v>71375703.45177719</v>
      </c>
      <c r="F428" s="3">
        <f t="shared" si="434"/>
        <v>1000000000</v>
      </c>
      <c r="G428" s="3">
        <f t="shared" si="434"/>
        <v>109330516220.93013</v>
      </c>
      <c r="H428" s="3">
        <f t="shared" si="434"/>
        <v>11536232833462.723</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135782.84345844644</v>
      </c>
      <c r="C429" s="3">
        <f t="shared" si="434"/>
        <v>7014661.6319195377</v>
      </c>
      <c r="D429" s="3">
        <f t="shared" si="434"/>
        <v>102350005.57003929</v>
      </c>
      <c r="E429" s="3">
        <f t="shared" si="434"/>
        <v>713757034.51777196</v>
      </c>
      <c r="F429" s="3">
        <f t="shared" si="434"/>
        <v>10000000000</v>
      </c>
      <c r="G429" s="3">
        <f t="shared" si="434"/>
        <v>1093305162209.3014</v>
      </c>
      <c r="H429" s="3">
        <f t="shared" si="434"/>
        <v>115362328334627.22</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1357828.4345844644</v>
      </c>
      <c r="C430" s="3">
        <f t="shared" si="434"/>
        <v>70146616.319195375</v>
      </c>
      <c r="D430" s="3">
        <f t="shared" si="434"/>
        <v>1023500055.7003928</v>
      </c>
      <c r="E430" s="3">
        <f t="shared" si="434"/>
        <v>7137570345.1777191</v>
      </c>
      <c r="F430" s="3">
        <f t="shared" si="434"/>
        <v>100000000000</v>
      </c>
      <c r="G430" s="3">
        <f t="shared" si="434"/>
        <v>10933051622093.014</v>
      </c>
      <c r="H430" s="3">
        <f t="shared" si="434"/>
        <v>1153623283346272.2</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13578284.345844645</v>
      </c>
      <c r="C431" s="3">
        <f t="shared" si="434"/>
        <v>701466163.19195378</v>
      </c>
      <c r="D431" s="3">
        <f t="shared" si="434"/>
        <v>10235000557.003927</v>
      </c>
      <c r="E431" s="3">
        <f t="shared" si="434"/>
        <v>71375703451.777191</v>
      </c>
      <c r="F431" s="3">
        <f t="shared" si="434"/>
        <v>1000000000000</v>
      </c>
      <c r="G431" s="3">
        <f t="shared" si="434"/>
        <v>109330516220930.14</v>
      </c>
      <c r="H431" s="3">
        <f t="shared" si="434"/>
        <v>1.1536232833462722E+16</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135782843.45844644</v>
      </c>
      <c r="C432" s="3">
        <f t="shared" si="434"/>
        <v>7014661631.9195375</v>
      </c>
      <c r="D432" s="3">
        <f t="shared" si="434"/>
        <v>102350005570.03928</v>
      </c>
      <c r="E432" s="3">
        <f t="shared" si="434"/>
        <v>713757034517.77197</v>
      </c>
      <c r="F432" s="3">
        <f t="shared" si="434"/>
        <v>10000000000000</v>
      </c>
      <c r="G432" s="3">
        <f t="shared" si="434"/>
        <v>1093305162209301.4</v>
      </c>
      <c r="H432" s="3">
        <f t="shared" si="434"/>
        <v>1.1536232833462722E+17</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1357828434.5844646</v>
      </c>
      <c r="C433" s="3">
        <f t="shared" si="434"/>
        <v>70146616319.195374</v>
      </c>
      <c r="D433" s="3">
        <f t="shared" si="434"/>
        <v>1023500055700.3928</v>
      </c>
      <c r="E433" s="3">
        <f t="shared" si="434"/>
        <v>7137570345177.7197</v>
      </c>
      <c r="F433" s="3">
        <f t="shared" si="434"/>
        <v>100000000000000</v>
      </c>
      <c r="G433" s="3">
        <f t="shared" si="434"/>
        <v>1.0933051622093014E+16</v>
      </c>
      <c r="H433" s="3">
        <f t="shared" si="434"/>
        <v>1.1536232833462723E+18</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13578284345.844645</v>
      </c>
      <c r="C434" s="3">
        <f t="shared" si="434"/>
        <v>701466163191.95374</v>
      </c>
      <c r="D434" s="3">
        <f t="shared" si="434"/>
        <v>10235000557003.928</v>
      </c>
      <c r="E434" s="3">
        <f t="shared" si="434"/>
        <v>71375703451777.203</v>
      </c>
      <c r="F434" s="3">
        <f t="shared" si="434"/>
        <v>1000000000000000</v>
      </c>
      <c r="G434" s="3">
        <f t="shared" si="434"/>
        <v>1.0933051622093014E+17</v>
      </c>
      <c r="H434" s="3">
        <f t="shared" si="434"/>
        <v>1.1536232833462723E+19</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-11.207038780645185</v>
      </c>
      <c r="M1" s="54">
        <v>1</v>
      </c>
      <c r="N1" s="56">
        <f>INDEX($H$217:$P$217,1,Q1)</f>
        <v>9.5829899074419245E-2</v>
      </c>
      <c r="O1" s="11"/>
      <c r="P1" s="55">
        <v>1</v>
      </c>
      <c r="Q1" s="11">
        <v>2</v>
      </c>
    </row>
    <row r="2" spans="1:17" x14ac:dyDescent="0.25">
      <c r="A2" s="11">
        <f>'Mastercurve bestimmen'!M119</f>
        <v>0</v>
      </c>
      <c r="B2" s="11">
        <f>'Mastercurve bestimmen'!N119</f>
        <v>-7.262337894521731</v>
      </c>
      <c r="M2" s="54">
        <v>2</v>
      </c>
      <c r="N2" s="56">
        <f t="shared" ref="N2:N9" si="0">INDEX($H$217:$P$217,1,Q2)</f>
        <v>2.8401806674750138E-4</v>
      </c>
      <c r="O2" s="11"/>
      <c r="P2" s="55">
        <v>2</v>
      </c>
      <c r="Q2" s="11">
        <f>Q1+1</f>
        <v>3</v>
      </c>
    </row>
    <row r="3" spans="1:17" x14ac:dyDescent="0.25">
      <c r="A3" s="11">
        <f>'Mastercurve bestimmen'!M120</f>
        <v>25</v>
      </c>
      <c r="B3" s="11">
        <f>'Mastercurve bestimmen'!N120</f>
        <v>-4.5819420054473978</v>
      </c>
      <c r="M3" s="54">
        <v>3</v>
      </c>
      <c r="N3" s="56">
        <f t="shared" si="0"/>
        <v>-4.1688911533949549E-6</v>
      </c>
      <c r="O3" s="11"/>
      <c r="P3" s="55">
        <v>3</v>
      </c>
      <c r="Q3" s="11">
        <f t="shared" ref="Q3:Q8" si="1">Q2+1</f>
        <v>4</v>
      </c>
    </row>
    <row r="4" spans="1:17" x14ac:dyDescent="0.25">
      <c r="A4" s="11">
        <f>'Mastercurve bestimmen'!M121</f>
        <v>50</v>
      </c>
      <c r="B4" s="11">
        <f>'Mastercurve bestimmen'!N121</f>
        <v>-2.6397977553378618</v>
      </c>
      <c r="M4" s="54">
        <v>4</v>
      </c>
      <c r="N4" s="56">
        <f t="shared" si="0"/>
        <v>-4.5341147633066766E-8</v>
      </c>
      <c r="O4" s="11"/>
      <c r="P4" s="55">
        <v>4</v>
      </c>
      <c r="Q4" s="11">
        <f t="shared" si="1"/>
        <v>5</v>
      </c>
    </row>
    <row r="5" spans="1:17" x14ac:dyDescent="0.25">
      <c r="A5" s="11">
        <f>'Mastercurve bestimmen'!M122</f>
        <v>80</v>
      </c>
      <c r="B5" s="11">
        <f>'Mastercurve bestimmen'!N122</f>
        <v>0</v>
      </c>
      <c r="M5" s="54">
        <v>5</v>
      </c>
      <c r="N5" s="56">
        <f t="shared" si="0"/>
        <v>1.8573683556545501E-9</v>
      </c>
      <c r="O5" s="11"/>
      <c r="P5" s="55">
        <v>5</v>
      </c>
      <c r="Q5" s="11">
        <f t="shared" si="1"/>
        <v>6</v>
      </c>
    </row>
    <row r="6" spans="1:17" x14ac:dyDescent="0.25">
      <c r="A6" s="11">
        <f>'Mastercurve bestimmen'!M123</f>
        <v>125</v>
      </c>
      <c r="B6" s="11">
        <f>'Mastercurve bestimmen'!N123</f>
        <v>4.6943755531120974</v>
      </c>
      <c r="M6" s="54">
        <v>6</v>
      </c>
      <c r="N6" s="56">
        <f t="shared" si="0"/>
        <v>9.754353062963304E-12</v>
      </c>
      <c r="O6" s="11"/>
      <c r="P6" s="55">
        <v>6</v>
      </c>
      <c r="Q6" s="11">
        <f t="shared" si="1"/>
        <v>7</v>
      </c>
    </row>
    <row r="7" spans="1:17" x14ac:dyDescent="0.25">
      <c r="A7" s="11">
        <f>'Mastercurve bestimmen'!M124</f>
        <v>160</v>
      </c>
      <c r="B7" s="11">
        <f>'Mastercurve bestimmen'!N124</f>
        <v>9.3532480425269053</v>
      </c>
      <c r="M7" s="54">
        <v>7</v>
      </c>
      <c r="N7" s="56">
        <f t="shared" si="0"/>
        <v>-1.5690959989914988E-13</v>
      </c>
      <c r="O7" s="11"/>
      <c r="P7" s="55">
        <v>7</v>
      </c>
      <c r="Q7" s="11">
        <f t="shared" si="1"/>
        <v>8</v>
      </c>
    </row>
    <row r="8" spans="1:17" x14ac:dyDescent="0.25">
      <c r="A8" s="11"/>
      <c r="B8" s="11"/>
      <c r="M8" s="54">
        <v>8</v>
      </c>
      <c r="N8" s="56">
        <f t="shared" si="0"/>
        <v>-9.4668948305178878E-16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-11.207038780645185</v>
      </c>
      <c r="E15" s="11">
        <f>A15-'Mastercurve bestimmen'!$B$2</f>
        <v>-120</v>
      </c>
      <c r="F15" s="11">
        <f>B15</f>
        <v>-11.207038780645185</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-11.139939241331334</v>
      </c>
      <c r="E16" s="11">
        <f>A16-'Mastercurve bestimmen'!$B$2</f>
        <v>-119</v>
      </c>
      <c r="F16" s="11">
        <f t="shared" ref="F16:F79" si="4">B16</f>
        <v>-11.139939241331334</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-11.072721435665363</v>
      </c>
      <c r="E17" s="11">
        <f>A17-'Mastercurve bestimmen'!$B$2</f>
        <v>-118</v>
      </c>
      <c r="F17" s="11">
        <f t="shared" si="4"/>
        <v>-11.072721435665363</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-11.005267097295157</v>
      </c>
      <c r="E18" s="11">
        <f>A18-'Mastercurve bestimmen'!$B$2</f>
        <v>-117</v>
      </c>
      <c r="F18" s="11">
        <f t="shared" si="4"/>
        <v>-11.005267097295157</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-10.937457959868603</v>
      </c>
      <c r="E19" s="11">
        <f>A19-'Mastercurve bestimmen'!$B$2</f>
        <v>-116</v>
      </c>
      <c r="F19" s="11">
        <f t="shared" si="4"/>
        <v>-10.937457959868603</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-10.869175757033577</v>
      </c>
      <c r="E20" s="11">
        <f>A20-'Mastercurve bestimmen'!$B$2</f>
        <v>-115</v>
      </c>
      <c r="F20" s="11">
        <f t="shared" si="4"/>
        <v>-10.869175757033577</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-10.800302222437967</v>
      </c>
      <c r="E21" s="11">
        <f>A21-'Mastercurve bestimmen'!$B$2</f>
        <v>-114</v>
      </c>
      <c r="F21" s="11">
        <f t="shared" si="4"/>
        <v>-10.800302222437967</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-10.730719089729655</v>
      </c>
      <c r="E22" s="11">
        <f>A22-'Mastercurve bestimmen'!$B$2</f>
        <v>-113</v>
      </c>
      <c r="F22" s="11">
        <f t="shared" si="4"/>
        <v>-10.730719089729655</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-10.660308092556519</v>
      </c>
      <c r="E23" s="11">
        <f>A23-'Mastercurve bestimmen'!$B$2</f>
        <v>-112</v>
      </c>
      <c r="F23" s="11">
        <f t="shared" si="4"/>
        <v>-10.660308092556519</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-10.588950964566449</v>
      </c>
      <c r="E24" s="11">
        <f>A24-'Mastercurve bestimmen'!$B$2</f>
        <v>-111</v>
      </c>
      <c r="F24" s="11">
        <f t="shared" si="4"/>
        <v>-10.588950964566449</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-10.516529439407321</v>
      </c>
      <c r="E25" s="11">
        <f>A25-'Mastercurve bestimmen'!$B$2</f>
        <v>-110</v>
      </c>
      <c r="F25" s="11">
        <f t="shared" si="4"/>
        <v>-10.516529439407321</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-10.442925250727024</v>
      </c>
      <c r="E26" s="11">
        <f>A26-'Mastercurve bestimmen'!$B$2</f>
        <v>-109</v>
      </c>
      <c r="F26" s="11">
        <f t="shared" si="4"/>
        <v>-10.442925250727024</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-10.368020132173436</v>
      </c>
      <c r="E27" s="11">
        <f>A27-'Mastercurve bestimmen'!$B$2</f>
        <v>-108</v>
      </c>
      <c r="F27" s="11">
        <f t="shared" si="4"/>
        <v>-10.368020132173436</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-10.291695817394441</v>
      </c>
      <c r="E28" s="11">
        <f>A28-'Mastercurve bestimmen'!$B$2</f>
        <v>-107</v>
      </c>
      <c r="F28" s="11">
        <f t="shared" si="4"/>
        <v>-10.291695817394441</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-10.213834040037924</v>
      </c>
      <c r="E29" s="11">
        <f>A29-'Mastercurve bestimmen'!$B$2</f>
        <v>-106</v>
      </c>
      <c r="F29" s="11">
        <f t="shared" si="4"/>
        <v>-10.213834040037924</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-10.134316533751766</v>
      </c>
      <c r="E30" s="11">
        <f>A30-'Mastercurve bestimmen'!$B$2</f>
        <v>-105</v>
      </c>
      <c r="F30" s="11">
        <f t="shared" si="4"/>
        <v>-10.134316533751766</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-10.053025032183848</v>
      </c>
      <c r="E31" s="11">
        <f>A31-'Mastercurve bestimmen'!$B$2</f>
        <v>-104</v>
      </c>
      <c r="F31" s="11">
        <f t="shared" si="4"/>
        <v>-10.053025032183848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-9.9698412689820568</v>
      </c>
      <c r="E32" s="11">
        <f>A32-'Mastercurve bestimmen'!$B$2</f>
        <v>-103</v>
      </c>
      <c r="F32" s="11">
        <f t="shared" si="4"/>
        <v>-9.9698412689820568</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-9.884646977794274</v>
      </c>
      <c r="E33" s="11">
        <f>A33-'Mastercurve bestimmen'!$B$2</f>
        <v>-102</v>
      </c>
      <c r="F33" s="11">
        <f t="shared" si="4"/>
        <v>-9.884646977794274</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-9.7973238922683805</v>
      </c>
      <c r="E34" s="11">
        <f>A34-'Mastercurve bestimmen'!$B$2</f>
        <v>-101</v>
      </c>
      <c r="F34" s="11">
        <f t="shared" si="4"/>
        <v>-9.7973238922683805</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-9.7077537460522585</v>
      </c>
      <c r="E35" s="11">
        <f>A35-'Mastercurve bestimmen'!$B$2</f>
        <v>-100</v>
      </c>
      <c r="F35" s="11">
        <f t="shared" si="4"/>
        <v>-9.7077537460522585</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-9.6158182727937955</v>
      </c>
      <c r="E36" s="11">
        <f>A36-'Mastercurve bestimmen'!$B$2</f>
        <v>-99</v>
      </c>
      <c r="F36" s="11">
        <f t="shared" si="4"/>
        <v>-9.6158182727937955</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-9.5213992061408685</v>
      </c>
      <c r="E37" s="11">
        <f>A37-'Mastercurve bestimmen'!$B$2</f>
        <v>-98</v>
      </c>
      <c r="F37" s="11">
        <f t="shared" si="4"/>
        <v>-9.5213992061408685</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-9.4243782797413651</v>
      </c>
      <c r="E38" s="11">
        <f>A38-'Mastercurve bestimmen'!$B$2</f>
        <v>-97</v>
      </c>
      <c r="F38" s="11">
        <f t="shared" si="4"/>
        <v>-9.4243782797413651</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-9.3246372272431657</v>
      </c>
      <c r="E39" s="11">
        <f>A39-'Mastercurve bestimmen'!$B$2</f>
        <v>-96</v>
      </c>
      <c r="F39" s="11">
        <f t="shared" si="4"/>
        <v>-9.3246372272431657</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-9.2220577822941525</v>
      </c>
      <c r="E40" s="11">
        <f>A40-'Mastercurve bestimmen'!$B$2</f>
        <v>-95</v>
      </c>
      <c r="F40" s="11">
        <f t="shared" si="4"/>
        <v>-9.2220577822941525</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-9.1165216785422096</v>
      </c>
      <c r="E41" s="11">
        <f>A41-'Mastercurve bestimmen'!$B$2</f>
        <v>-94</v>
      </c>
      <c r="F41" s="11">
        <f t="shared" si="4"/>
        <v>-9.1165216785422096</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-9.007910649635221</v>
      </c>
      <c r="E42" s="11">
        <f>A42-'Mastercurve bestimmen'!$B$2</f>
        <v>-93</v>
      </c>
      <c r="F42" s="11">
        <f t="shared" si="4"/>
        <v>-9.007910649635221</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-8.8961064292210672</v>
      </c>
      <c r="E43" s="11">
        <f>A43-'Mastercurve bestimmen'!$B$2</f>
        <v>-92</v>
      </c>
      <c r="F43" s="11">
        <f t="shared" si="4"/>
        <v>-8.8961064292210672</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-8.7809907509476304</v>
      </c>
      <c r="E44" s="11">
        <f>A44-'Mastercurve bestimmen'!$B$2</f>
        <v>-91</v>
      </c>
      <c r="F44" s="11">
        <f t="shared" si="4"/>
        <v>-8.7809907509476304</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-8.6624453484627963</v>
      </c>
      <c r="E45" s="11">
        <f>A45-'Mastercurve bestimmen'!$B$2</f>
        <v>-90</v>
      </c>
      <c r="F45" s="11">
        <f t="shared" si="4"/>
        <v>-8.6624453484627963</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-8.5403519554144456</v>
      </c>
      <c r="E46" s="11">
        <f>A46-'Mastercurve bestimmen'!$B$2</f>
        <v>-89</v>
      </c>
      <c r="F46" s="11">
        <f t="shared" si="4"/>
        <v>-8.5403519554144456</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-8.4145923054504621</v>
      </c>
      <c r="E47" s="11">
        <f>A47-'Mastercurve bestimmen'!$B$2</f>
        <v>-88</v>
      </c>
      <c r="F47" s="11">
        <f t="shared" si="4"/>
        <v>-8.4145923054504621</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-8.2850481322187264</v>
      </c>
      <c r="E48" s="11">
        <f>A48-'Mastercurve bestimmen'!$B$2</f>
        <v>-87</v>
      </c>
      <c r="F48" s="11">
        <f t="shared" si="4"/>
        <v>-8.2850481322187264</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-8.151601169367126</v>
      </c>
      <c r="E49" s="11">
        <f>A49-'Mastercurve bestimmen'!$B$2</f>
        <v>-86</v>
      </c>
      <c r="F49" s="11">
        <f t="shared" si="4"/>
        <v>-8.151601169367126</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-8.0141331505435396</v>
      </c>
      <c r="E50" s="11">
        <f>A50-'Mastercurve bestimmen'!$B$2</f>
        <v>-85</v>
      </c>
      <c r="F50" s="11">
        <f t="shared" si="4"/>
        <v>-8.0141331505435396</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-7.8725258093958494</v>
      </c>
      <c r="E51" s="11">
        <f>A51-'Mastercurve bestimmen'!$B$2</f>
        <v>-84</v>
      </c>
      <c r="F51" s="11">
        <f t="shared" si="4"/>
        <v>-7.8725258093958494</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-7.7266608795719423</v>
      </c>
      <c r="E52" s="11">
        <f>A52-'Mastercurve bestimmen'!$B$2</f>
        <v>-83</v>
      </c>
      <c r="F52" s="11">
        <f t="shared" si="4"/>
        <v>-7.7266608795719423</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-7.5764200947196976</v>
      </c>
      <c r="E53" s="11">
        <f>A53-'Mastercurve bestimmen'!$B$2</f>
        <v>-82</v>
      </c>
      <c r="F53" s="11">
        <f t="shared" si="4"/>
        <v>-7.5764200947196976</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-7.4216851884870003</v>
      </c>
      <c r="E54" s="11">
        <f>A54-'Mastercurve bestimmen'!$B$2</f>
        <v>-81</v>
      </c>
      <c r="F54" s="11">
        <f t="shared" si="4"/>
        <v>-7.4216851884870003</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-7.262337894521731</v>
      </c>
      <c r="E55" s="11">
        <f>A55-'Mastercurve bestimmen'!$B$2</f>
        <v>-80</v>
      </c>
      <c r="F55" s="11">
        <f t="shared" si="4"/>
        <v>-7.262337894521731</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-7.1785831455332207</v>
      </c>
      <c r="E56" s="11">
        <f>A56-'Mastercurve bestimmen'!$B$2</f>
        <v>-79</v>
      </c>
      <c r="F56" s="11">
        <f t="shared" si="4"/>
        <v>-7.1785831455332207</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-7.0904179997911934</v>
      </c>
      <c r="E57" s="11">
        <f>A57-'Mastercurve bestimmen'!$B$2</f>
        <v>-78</v>
      </c>
      <c r="F57" s="11">
        <f t="shared" si="4"/>
        <v>-7.0904179997911934</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-6.9981627146268215</v>
      </c>
      <c r="E58" s="11">
        <f>A58-'Mastercurve bestimmen'!$B$2</f>
        <v>-77</v>
      </c>
      <c r="F58" s="11">
        <f t="shared" si="4"/>
        <v>-6.9981627146268215</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-6.9021375473712734</v>
      </c>
      <c r="E59" s="11">
        <f>A59-'Mastercurve bestimmen'!$B$2</f>
        <v>-76</v>
      </c>
      <c r="F59" s="11">
        <f t="shared" si="4"/>
        <v>-6.9021375473712734</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-6.8026627553557217</v>
      </c>
      <c r="E60" s="11">
        <f>A60-'Mastercurve bestimmen'!$B$2</f>
        <v>-75</v>
      </c>
      <c r="F60" s="11">
        <f t="shared" si="4"/>
        <v>-6.8026627553557217</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-6.7000585959113383</v>
      </c>
      <c r="E61" s="11">
        <f>A61-'Mastercurve bestimmen'!$B$2</f>
        <v>-74</v>
      </c>
      <c r="F61" s="11">
        <f t="shared" si="4"/>
        <v>-6.7000585959113383</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-6.5946453263692932</v>
      </c>
      <c r="E62" s="11">
        <f>A62-'Mastercurve bestimmen'!$B$2</f>
        <v>-73</v>
      </c>
      <c r="F62" s="11">
        <f t="shared" si="4"/>
        <v>-6.5946453263692932</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-6.4867432040607582</v>
      </c>
      <c r="E63" s="11">
        <f>A63-'Mastercurve bestimmen'!$B$2</f>
        <v>-72</v>
      </c>
      <c r="F63" s="11">
        <f t="shared" si="4"/>
        <v>-6.4867432040607582</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-6.3766724863169024</v>
      </c>
      <c r="E64" s="11">
        <f>A64-'Mastercurve bestimmen'!$B$2</f>
        <v>-71</v>
      </c>
      <c r="F64" s="11">
        <f t="shared" si="4"/>
        <v>-6.3766724863169024</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-6.2647534304688985</v>
      </c>
      <c r="E65" s="11">
        <f>A65-'Mastercurve bestimmen'!$B$2</f>
        <v>-70</v>
      </c>
      <c r="F65" s="11">
        <f t="shared" si="4"/>
        <v>-6.2647534304688985</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-6.1513062938479193</v>
      </c>
      <c r="E66" s="11">
        <f>A66-'Mastercurve bestimmen'!$B$2</f>
        <v>-69</v>
      </c>
      <c r="F66" s="11">
        <f t="shared" si="4"/>
        <v>-6.1513062938479193</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-6.0366513337851329</v>
      </c>
      <c r="E67" s="11">
        <f>A67-'Mastercurve bestimmen'!$B$2</f>
        <v>-68</v>
      </c>
      <c r="F67" s="11">
        <f t="shared" si="4"/>
        <v>-6.0366513337851329</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-5.9211088076117111</v>
      </c>
      <c r="E68" s="11">
        <f>A68-'Mastercurve bestimmen'!$B$2</f>
        <v>-67</v>
      </c>
      <c r="F68" s="11">
        <f t="shared" si="4"/>
        <v>-5.9211088076117111</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-5.8049989726588258</v>
      </c>
      <c r="E69" s="11">
        <f>A69-'Mastercurve bestimmen'!$B$2</f>
        <v>-66</v>
      </c>
      <c r="F69" s="11">
        <f t="shared" si="4"/>
        <v>-5.8049989726588258</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-5.688642086257647</v>
      </c>
      <c r="E70" s="11">
        <f>A70-'Mastercurve bestimmen'!$B$2</f>
        <v>-65</v>
      </c>
      <c r="F70" s="11">
        <f t="shared" si="4"/>
        <v>-5.688642086257647</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-5.5723584057393474</v>
      </c>
      <c r="E71" s="11">
        <f>A71-'Mastercurve bestimmen'!$B$2</f>
        <v>-64</v>
      </c>
      <c r="F71" s="11">
        <f t="shared" si="4"/>
        <v>-5.5723584057393474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-5.4564681884350961</v>
      </c>
      <c r="E72" s="11">
        <f>A72-'Mastercurve bestimmen'!$B$2</f>
        <v>-63</v>
      </c>
      <c r="F72" s="11">
        <f t="shared" si="4"/>
        <v>-5.4564681884350961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-5.3412916916760658</v>
      </c>
      <c r="E73" s="11">
        <f>A73-'Mastercurve bestimmen'!$B$2</f>
        <v>-62</v>
      </c>
      <c r="F73" s="11">
        <f t="shared" si="4"/>
        <v>-5.3412916916760658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-5.2271491727934274</v>
      </c>
      <c r="E74" s="11">
        <f>A74-'Mastercurve bestimmen'!$B$2</f>
        <v>-61</v>
      </c>
      <c r="F74" s="11">
        <f t="shared" si="4"/>
        <v>-5.2271491727934274</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-5.114360889118351</v>
      </c>
      <c r="E75" s="11">
        <f>A75-'Mastercurve bestimmen'!$B$2</f>
        <v>-60</v>
      </c>
      <c r="F75" s="11">
        <f t="shared" si="4"/>
        <v>-5.114360889118351</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-5.0032470979820092</v>
      </c>
      <c r="E76" s="11">
        <f>A76-'Mastercurve bestimmen'!$B$2</f>
        <v>-59</v>
      </c>
      <c r="F76" s="11">
        <f t="shared" si="4"/>
        <v>-5.0032470979820092</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-4.8941280567155712</v>
      </c>
      <c r="E77" s="11">
        <f>A77-'Mastercurve bestimmen'!$B$2</f>
        <v>-58</v>
      </c>
      <c r="F77" s="11">
        <f t="shared" si="4"/>
        <v>-4.8941280567155712</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-4.7873240226502096</v>
      </c>
      <c r="E78" s="11">
        <f>A78-'Mastercurve bestimmen'!$B$2</f>
        <v>-57</v>
      </c>
      <c r="F78" s="11">
        <f t="shared" si="4"/>
        <v>-4.7873240226502096</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-4.6831552531170955</v>
      </c>
      <c r="E79" s="11">
        <f>A79-'Mastercurve bestimmen'!$B$2</f>
        <v>-56</v>
      </c>
      <c r="F79" s="11">
        <f t="shared" si="4"/>
        <v>-4.6831552531170955</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-4.5819420054473978</v>
      </c>
      <c r="E80" s="11">
        <f>A80-'Mastercurve bestimmen'!$B$2</f>
        <v>-55</v>
      </c>
      <c r="F80" s="11">
        <f t="shared" ref="F80:F143" si="10">B80</f>
        <v>-4.5819420054473978</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-4.483920753909401</v>
      </c>
      <c r="E81" s="11">
        <f>A81-'Mastercurve bestimmen'!$B$2</f>
        <v>-54</v>
      </c>
      <c r="F81" s="11">
        <f t="shared" si="10"/>
        <v>-4.483920753909401</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-4.3889928405198244</v>
      </c>
      <c r="E82" s="11">
        <f>A82-'Mastercurve bestimmen'!$B$2</f>
        <v>-53</v>
      </c>
      <c r="F82" s="11">
        <f t="shared" si="10"/>
        <v>-4.3889928405198244</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-4.2969758242325016</v>
      </c>
      <c r="E83" s="11">
        <f>A83-'Mastercurve bestimmen'!$B$2</f>
        <v>-52</v>
      </c>
      <c r="F83" s="11">
        <f t="shared" si="10"/>
        <v>-4.2969758242325016</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-4.2076872640012644</v>
      </c>
      <c r="E84" s="11">
        <f>A84-'Mastercurve bestimmen'!$B$2</f>
        <v>-51</v>
      </c>
      <c r="F84" s="11">
        <f t="shared" si="10"/>
        <v>-4.2076872640012644</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-4.1209447187799446</v>
      </c>
      <c r="E85" s="11">
        <f>A85-'Mastercurve bestimmen'!$B$2</f>
        <v>-50</v>
      </c>
      <c r="F85" s="11">
        <f t="shared" si="10"/>
        <v>-4.1209447187799446</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-4.0365657475223751</v>
      </c>
      <c r="E86" s="11">
        <f>A86-'Mastercurve bestimmen'!$B$2</f>
        <v>-49</v>
      </c>
      <c r="F86" s="11">
        <f t="shared" si="10"/>
        <v>-4.0365657475223751</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-3.9543679091823885</v>
      </c>
      <c r="E87" s="11">
        <f>A87-'Mastercurve bestimmen'!$B$2</f>
        <v>-48</v>
      </c>
      <c r="F87" s="11">
        <f t="shared" si="10"/>
        <v>-3.9543679091823885</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-3.8741687627138157</v>
      </c>
      <c r="E88" s="11">
        <f>A88-'Mastercurve bestimmen'!$B$2</f>
        <v>-47</v>
      </c>
      <c r="F88" s="11">
        <f t="shared" si="10"/>
        <v>-3.8741687627138157</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-3.7957858670704896</v>
      </c>
      <c r="E89" s="11">
        <f>A89-'Mastercurve bestimmen'!$B$2</f>
        <v>-46</v>
      </c>
      <c r="F89" s="11">
        <f t="shared" si="10"/>
        <v>-3.7957858670704896</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-3.7190367812062419</v>
      </c>
      <c r="E90" s="11">
        <f>A90-'Mastercurve bestimmen'!$B$2</f>
        <v>-45</v>
      </c>
      <c r="F90" s="11">
        <f t="shared" si="10"/>
        <v>-3.7190367812062419</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-3.6437390640749054</v>
      </c>
      <c r="E91" s="11">
        <f>A91-'Mastercurve bestimmen'!$B$2</f>
        <v>-44</v>
      </c>
      <c r="F91" s="11">
        <f t="shared" si="10"/>
        <v>-3.6437390640749054</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-3.569710274630312</v>
      </c>
      <c r="E92" s="11">
        <f>A92-'Mastercurve bestimmen'!$B$2</f>
        <v>-43</v>
      </c>
      <c r="F92" s="11">
        <f t="shared" si="10"/>
        <v>-3.569710274630312</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-3.4967679718262938</v>
      </c>
      <c r="E93" s="11">
        <f>A93-'Mastercurve bestimmen'!$B$2</f>
        <v>-42</v>
      </c>
      <c r="F93" s="11">
        <f t="shared" si="10"/>
        <v>-3.4967679718262938</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-3.4247297146166833</v>
      </c>
      <c r="E94" s="11">
        <f>A94-'Mastercurve bestimmen'!$B$2</f>
        <v>-41</v>
      </c>
      <c r="F94" s="11">
        <f t="shared" si="10"/>
        <v>-3.4247297146166833</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-3.3534130619553117</v>
      </c>
      <c r="E95" s="11">
        <f>A95-'Mastercurve bestimmen'!$B$2</f>
        <v>-40</v>
      </c>
      <c r="F95" s="11">
        <f t="shared" si="10"/>
        <v>-3.3534130619553117</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-3.2826355727960128</v>
      </c>
      <c r="E96" s="11">
        <f>A96-'Mastercurve bestimmen'!$B$2</f>
        <v>-39</v>
      </c>
      <c r="F96" s="11">
        <f t="shared" si="10"/>
        <v>-3.2826355727960128</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-3.2122148060926174</v>
      </c>
      <c r="E97" s="11">
        <f>A97-'Mastercurve bestimmen'!$B$2</f>
        <v>-38</v>
      </c>
      <c r="F97" s="11">
        <f t="shared" si="10"/>
        <v>-3.2122148060926174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-3.1419683207989584</v>
      </c>
      <c r="E98" s="11">
        <f>A98-'Mastercurve bestimmen'!$B$2</f>
        <v>-37</v>
      </c>
      <c r="F98" s="11">
        <f t="shared" si="10"/>
        <v>-3.1419683207989584</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-3.0717136758688683</v>
      </c>
      <c r="E99" s="11">
        <f>A99-'Mastercurve bestimmen'!$B$2</f>
        <v>-36</v>
      </c>
      <c r="F99" s="11">
        <f t="shared" si="10"/>
        <v>-3.0717136758688683</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-3.0012684302561778</v>
      </c>
      <c r="E100" s="11">
        <f>A100-'Mastercurve bestimmen'!$B$2</f>
        <v>-35</v>
      </c>
      <c r="F100" s="11">
        <f t="shared" si="10"/>
        <v>-3.0012684302561778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-2.9304501429147205</v>
      </c>
      <c r="E101" s="11">
        <f>A101-'Mastercurve bestimmen'!$B$2</f>
        <v>-34</v>
      </c>
      <c r="F101" s="11">
        <f t="shared" si="10"/>
        <v>-2.9304501429147205</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-2.8590763727983277</v>
      </c>
      <c r="E102" s="11">
        <f>A102-'Mastercurve bestimmen'!$B$2</f>
        <v>-33</v>
      </c>
      <c r="F102" s="11">
        <f t="shared" si="10"/>
        <v>-2.8590763727983277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-2.7869646788608322</v>
      </c>
      <c r="E103" s="11">
        <f>A103-'Mastercurve bestimmen'!$B$2</f>
        <v>-32</v>
      </c>
      <c r="F103" s="11">
        <f t="shared" si="10"/>
        <v>-2.7869646788608322</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-2.7139326200560663</v>
      </c>
      <c r="E104" s="11">
        <f>A104-'Mastercurve bestimmen'!$B$2</f>
        <v>-31</v>
      </c>
      <c r="F104" s="11">
        <f t="shared" si="10"/>
        <v>-2.7139326200560663</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-2.6397977553378613</v>
      </c>
      <c r="E105" s="11">
        <f>A105-'Mastercurve bestimmen'!$B$2</f>
        <v>-30</v>
      </c>
      <c r="F105" s="11">
        <f t="shared" si="10"/>
        <v>-2.6397977553378613</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-2.5644147533091233</v>
      </c>
      <c r="E106" s="11">
        <f>A106-'Mastercurve bestimmen'!$B$2</f>
        <v>-29</v>
      </c>
      <c r="F106" s="11">
        <f t="shared" si="10"/>
        <v>-2.5644147533091233</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-2.4877867211690434</v>
      </c>
      <c r="E107" s="11">
        <f>A107-'Mastercurve bestimmen'!$B$2</f>
        <v>-28</v>
      </c>
      <c r="F107" s="11">
        <f t="shared" si="10"/>
        <v>-2.4877867211690434</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-2.409953875765888</v>
      </c>
      <c r="E108" s="11">
        <f>A108-'Mastercurve bestimmen'!$B$2</f>
        <v>-27</v>
      </c>
      <c r="F108" s="11">
        <f t="shared" si="10"/>
        <v>-2.409953875765888</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-2.330956433947923</v>
      </c>
      <c r="E109" s="11">
        <f>A109-'Mastercurve bestimmen'!$B$2</f>
        <v>-26</v>
      </c>
      <c r="F109" s="11">
        <f t="shared" si="10"/>
        <v>-2.330956433947923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-2.2508346125634127</v>
      </c>
      <c r="E110" s="11">
        <f>A110-'Mastercurve bestimmen'!$B$2</f>
        <v>-25</v>
      </c>
      <c r="F110" s="11">
        <f t="shared" si="10"/>
        <v>-2.2508346125634127</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-2.1696286284606239</v>
      </c>
      <c r="E111" s="11">
        <f>A111-'Mastercurve bestimmen'!$B$2</f>
        <v>-24</v>
      </c>
      <c r="F111" s="11">
        <f t="shared" si="10"/>
        <v>-2.1696286284606239</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-2.0873786984878202</v>
      </c>
      <c r="E112" s="11">
        <f>A112-'Mastercurve bestimmen'!$B$2</f>
        <v>-23</v>
      </c>
      <c r="F112" s="11">
        <f t="shared" si="10"/>
        <v>-2.0873786984878202</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-2.0041250394932688</v>
      </c>
      <c r="E113" s="11">
        <f>A113-'Mastercurve bestimmen'!$B$2</f>
        <v>-22</v>
      </c>
      <c r="F113" s="11">
        <f t="shared" si="10"/>
        <v>-2.0041250394932688</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-1.9199078683252342</v>
      </c>
      <c r="E114" s="11">
        <f>A114-'Mastercurve bestimmen'!$B$2</f>
        <v>-21</v>
      </c>
      <c r="F114" s="11">
        <f t="shared" si="10"/>
        <v>-1.9199078683252342</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-1.8347674018319819</v>
      </c>
      <c r="E115" s="11">
        <f>A115-'Mastercurve bestimmen'!$B$2</f>
        <v>-20</v>
      </c>
      <c r="F115" s="11">
        <f t="shared" si="10"/>
        <v>-1.8347674018319819</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-1.7487438568617777</v>
      </c>
      <c r="E116" s="11">
        <f>A116-'Mastercurve bestimmen'!$B$2</f>
        <v>-19</v>
      </c>
      <c r="F116" s="11">
        <f t="shared" si="10"/>
        <v>-1.7487438568617777</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-1.6618774502628868</v>
      </c>
      <c r="E117" s="11">
        <f>A117-'Mastercurve bestimmen'!$B$2</f>
        <v>-18</v>
      </c>
      <c r="F117" s="11">
        <f t="shared" si="10"/>
        <v>-1.6618774502628868</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-1.5742083988835744</v>
      </c>
      <c r="E118" s="11">
        <f>A118-'Mastercurve bestimmen'!$B$2</f>
        <v>-17</v>
      </c>
      <c r="F118" s="11">
        <f t="shared" si="10"/>
        <v>-1.5742083988835744</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-1.4857769195721062</v>
      </c>
      <c r="E119" s="11">
        <f>A119-'Mastercurve bestimmen'!$B$2</f>
        <v>-16</v>
      </c>
      <c r="F119" s="11">
        <f t="shared" si="10"/>
        <v>-1.4857769195721062</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-1.3966232291767477</v>
      </c>
      <c r="E120" s="11">
        <f>A120-'Mastercurve bestimmen'!$B$2</f>
        <v>-15</v>
      </c>
      <c r="F120" s="11">
        <f t="shared" si="10"/>
        <v>-1.3966232291767477</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-1.306787544545764</v>
      </c>
      <c r="E121" s="11">
        <f>A121-'Mastercurve bestimmen'!$B$2</f>
        <v>-14</v>
      </c>
      <c r="F121" s="11">
        <f t="shared" si="10"/>
        <v>-1.306787544545764</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-1.2163100825274207</v>
      </c>
      <c r="E122" s="11">
        <f>A122-'Mastercurve bestimmen'!$B$2</f>
        <v>-13</v>
      </c>
      <c r="F122" s="11">
        <f t="shared" si="10"/>
        <v>-1.2163100825274207</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-1.1252310599699833</v>
      </c>
      <c r="E123" s="11">
        <f>A123-'Mastercurve bestimmen'!$B$2</f>
        <v>-12</v>
      </c>
      <c r="F123" s="11">
        <f t="shared" si="10"/>
        <v>-1.1252310599699833</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-1.033590693721717</v>
      </c>
      <c r="E124" s="11">
        <f>A124-'Mastercurve bestimmen'!$B$2</f>
        <v>-11</v>
      </c>
      <c r="F124" s="11">
        <f t="shared" si="10"/>
        <v>-1.033590693721717</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-0.94142920063088742</v>
      </c>
      <c r="E125" s="11">
        <f>A125-'Mastercurve bestimmen'!$B$2</f>
        <v>-10</v>
      </c>
      <c r="F125" s="11">
        <f t="shared" si="10"/>
        <v>-0.94142920063088742</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-0.84878679754575992</v>
      </c>
      <c r="E126" s="11">
        <f>A126-'Mastercurve bestimmen'!$B$2</f>
        <v>-9</v>
      </c>
      <c r="F126" s="11">
        <f t="shared" si="10"/>
        <v>-0.84878679754575992</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-0.75570370131459985</v>
      </c>
      <c r="E127" s="11">
        <f>A127-'Mastercurve bestimmen'!$B$2</f>
        <v>-8</v>
      </c>
      <c r="F127" s="11">
        <f t="shared" si="10"/>
        <v>-0.75570370131459985</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-0.66222012878567282</v>
      </c>
      <c r="E128" s="11">
        <f>A128-'Mastercurve bestimmen'!$B$2</f>
        <v>-7</v>
      </c>
      <c r="F128" s="11">
        <f t="shared" si="10"/>
        <v>-0.66222012878567282</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-0.56837629680724389</v>
      </c>
      <c r="E129" s="11">
        <f>A129-'Mastercurve bestimmen'!$B$2</f>
        <v>-6</v>
      </c>
      <c r="F129" s="11">
        <f t="shared" si="10"/>
        <v>-0.56837629680724389</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-0.47421242222757892</v>
      </c>
      <c r="E130" s="11">
        <f>A130-'Mastercurve bestimmen'!$B$2</f>
        <v>-5</v>
      </c>
      <c r="F130" s="11">
        <f t="shared" si="10"/>
        <v>-0.47421242222757892</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-0.37976872189494304</v>
      </c>
      <c r="E131" s="11">
        <f>A131-'Mastercurve bestimmen'!$B$2</f>
        <v>-4</v>
      </c>
      <c r="F131" s="11">
        <f t="shared" si="10"/>
        <v>-0.37976872189494304</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-0.28508541265760184</v>
      </c>
      <c r="E132" s="11">
        <f>A132-'Mastercurve bestimmen'!$B$2</f>
        <v>-3</v>
      </c>
      <c r="F132" s="11">
        <f t="shared" si="10"/>
        <v>-0.28508541265760184</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-0.19020271136382064</v>
      </c>
      <c r="E133" s="11">
        <f>A133-'Mastercurve bestimmen'!$B$2</f>
        <v>-2</v>
      </c>
      <c r="F133" s="11">
        <f t="shared" si="10"/>
        <v>-0.19020271136382064</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-9.5160834861864885E-2</v>
      </c>
      <c r="E134" s="11">
        <f>A134-'Mastercurve bestimmen'!$B$2</f>
        <v>-1</v>
      </c>
      <c r="F134" s="11">
        <f t="shared" si="10"/>
        <v>-9.5160834861864885E-2</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-1.7347234759768071E-18</v>
      </c>
      <c r="E135" s="11">
        <f>A135-'Mastercurve bestimmen'!$B$2</f>
        <v>0</v>
      </c>
      <c r="F135" s="11">
        <f t="shared" si="10"/>
        <v>-1.7347234759768071E-18</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9.5249904299724755E-2</v>
      </c>
      <c r="E136" s="11">
        <f>A136-'Mastercurve bestimmen'!$B$2</f>
        <v>1</v>
      </c>
      <c r="F136" s="11">
        <f t="shared" si="10"/>
        <v>9.5249904299724755E-2</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0.19060030082012464</v>
      </c>
      <c r="E137" s="11">
        <f>A137-'Mastercurve bestimmen'!$B$2</f>
        <v>2</v>
      </c>
      <c r="F137" s="11">
        <f t="shared" si="10"/>
        <v>0.19060030082012464</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0.28607294027023111</v>
      </c>
      <c r="E138" s="11">
        <f>A138-'Mastercurve bestimmen'!$B$2</f>
        <v>3</v>
      </c>
      <c r="F138" s="11">
        <f t="shared" si="10"/>
        <v>0.28607294027023111</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0.38168957335907561</v>
      </c>
      <c r="E139" s="11">
        <f>A139-'Mastercurve bestimmen'!$B$2</f>
        <v>4</v>
      </c>
      <c r="F139" s="11">
        <f t="shared" si="10"/>
        <v>0.38168957335907561</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0.4774719507956896</v>
      </c>
      <c r="E140" s="11">
        <f>A140-'Mastercurve bestimmen'!$B$2</f>
        <v>5</v>
      </c>
      <c r="F140" s="11">
        <f t="shared" si="10"/>
        <v>0.4774719507956896</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0.57344182328910431</v>
      </c>
      <c r="E141" s="11">
        <f>A141-'Mastercurve bestimmen'!$B$2</f>
        <v>6</v>
      </c>
      <c r="F141" s="11">
        <f t="shared" si="10"/>
        <v>0.57344182328910431</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0.66962094154835161</v>
      </c>
      <c r="E142" s="11">
        <f>A142-'Mastercurve bestimmen'!$B$2</f>
        <v>7</v>
      </c>
      <c r="F142" s="11">
        <f t="shared" si="10"/>
        <v>0.66962094154835161</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0.76603105628246249</v>
      </c>
      <c r="E143" s="11">
        <f>A143-'Mastercurve bestimmen'!$B$2</f>
        <v>8</v>
      </c>
      <c r="F143" s="11">
        <f t="shared" si="10"/>
        <v>0.76603105628246249</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0.8626939182004687</v>
      </c>
      <c r="E144" s="11">
        <f>A144-'Mastercurve bestimmen'!$B$2</f>
        <v>9</v>
      </c>
      <c r="F144" s="11">
        <f t="shared" ref="F144:F207" si="15">B144</f>
        <v>0.8626939182004687</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0.95963127801140147</v>
      </c>
      <c r="E145" s="11">
        <f>A145-'Mastercurve bestimmen'!$B$2</f>
        <v>10</v>
      </c>
      <c r="F145" s="11">
        <f t="shared" si="15"/>
        <v>0.95963127801140147</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1.0568648864242924</v>
      </c>
      <c r="E146" s="11">
        <f>A146-'Mastercurve bestimmen'!$B$2</f>
        <v>11</v>
      </c>
      <c r="F146" s="11">
        <f t="shared" si="15"/>
        <v>1.0568648864242924</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1.1544164941481725</v>
      </c>
      <c r="E147" s="11">
        <f>A147-'Mastercurve bestimmen'!$B$2</f>
        <v>12</v>
      </c>
      <c r="F147" s="11">
        <f t="shared" si="15"/>
        <v>1.1544164941481725</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1.2523078518920738</v>
      </c>
      <c r="E148" s="11">
        <f>A148-'Mastercurve bestimmen'!$B$2</f>
        <v>13</v>
      </c>
      <c r="F148" s="11">
        <f t="shared" si="15"/>
        <v>1.2523078518920738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1.3505607103650277</v>
      </c>
      <c r="E149" s="11">
        <f>A149-'Mastercurve bestimmen'!$B$2</f>
        <v>14</v>
      </c>
      <c r="F149" s="11">
        <f t="shared" si="15"/>
        <v>1.3505607103650277</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1.4491968202760652</v>
      </c>
      <c r="E150" s="11">
        <f>A150-'Mastercurve bestimmen'!$B$2</f>
        <v>15</v>
      </c>
      <c r="F150" s="11">
        <f t="shared" si="15"/>
        <v>1.4491968202760652</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1.5482379323342181</v>
      </c>
      <c r="E151" s="11">
        <f>A151-'Mastercurve bestimmen'!$B$2</f>
        <v>16</v>
      </c>
      <c r="F151" s="11">
        <f t="shared" si="15"/>
        <v>1.5482379323342181</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1.6477057972485176</v>
      </c>
      <c r="E152" s="11">
        <f>A152-'Mastercurve bestimmen'!$B$2</f>
        <v>17</v>
      </c>
      <c r="F152" s="11">
        <f t="shared" si="15"/>
        <v>1.6477057972485176</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1.7476221657279953</v>
      </c>
      <c r="E153" s="11">
        <f>A153-'Mastercurve bestimmen'!$B$2</f>
        <v>18</v>
      </c>
      <c r="F153" s="11">
        <f t="shared" si="15"/>
        <v>1.7476221657279953</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1.8480087884816825</v>
      </c>
      <c r="E154" s="11">
        <f>A154-'Mastercurve bestimmen'!$B$2</f>
        <v>19</v>
      </c>
      <c r="F154" s="11">
        <f t="shared" si="15"/>
        <v>1.8480087884816825</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1.9488874162186107</v>
      </c>
      <c r="E155" s="11">
        <f>A155-'Mastercurve bestimmen'!$B$2</f>
        <v>20</v>
      </c>
      <c r="F155" s="11">
        <f t="shared" si="15"/>
        <v>1.9488874162186107</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2.0502797996478113</v>
      </c>
      <c r="E156" s="11">
        <f>A156-'Mastercurve bestimmen'!$B$2</f>
        <v>21</v>
      </c>
      <c r="F156" s="11">
        <f t="shared" si="15"/>
        <v>2.0502797996478113</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2.152207689478316</v>
      </c>
      <c r="E157" s="11">
        <f>A157-'Mastercurve bestimmen'!$B$2</f>
        <v>22</v>
      </c>
      <c r="F157" s="11">
        <f t="shared" si="15"/>
        <v>2.152207689478316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2.2546928364191556</v>
      </c>
      <c r="E158" s="11">
        <f>A158-'Mastercurve bestimmen'!$B$2</f>
        <v>23</v>
      </c>
      <c r="F158" s="11">
        <f t="shared" si="15"/>
        <v>2.2546928364191556</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2.3577569911793623</v>
      </c>
      <c r="E159" s="11">
        <f>A159-'Mastercurve bestimmen'!$B$2</f>
        <v>24</v>
      </c>
      <c r="F159" s="11">
        <f t="shared" si="15"/>
        <v>2.3577569911793623</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2.4614219044679673</v>
      </c>
      <c r="E160" s="11">
        <f>A160-'Mastercurve bestimmen'!$B$2</f>
        <v>25</v>
      </c>
      <c r="F160" s="11">
        <f t="shared" si="15"/>
        <v>2.4614219044679673</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2.5657093269940017</v>
      </c>
      <c r="E161" s="11">
        <f>A161-'Mastercurve bestimmen'!$B$2</f>
        <v>26</v>
      </c>
      <c r="F161" s="11">
        <f t="shared" si="15"/>
        <v>2.5657093269940017</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2.6706410094664972</v>
      </c>
      <c r="E162" s="11">
        <f>A162-'Mastercurve bestimmen'!$B$2</f>
        <v>27</v>
      </c>
      <c r="F162" s="11">
        <f t="shared" si="15"/>
        <v>2.6706410094664972</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2.776238702594485</v>
      </c>
      <c r="E163" s="11">
        <f>A163-'Mastercurve bestimmen'!$B$2</f>
        <v>28</v>
      </c>
      <c r="F163" s="11">
        <f t="shared" si="15"/>
        <v>2.776238702594485</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2.8825241570869973</v>
      </c>
      <c r="E164" s="11">
        <f>A164-'Mastercurve bestimmen'!$B$2</f>
        <v>29</v>
      </c>
      <c r="F164" s="11">
        <f t="shared" si="15"/>
        <v>2.8825241570869973</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2.9895191236530647</v>
      </c>
      <c r="E165" s="11">
        <f>A165-'Mastercurve bestimmen'!$B$2</f>
        <v>30</v>
      </c>
      <c r="F165" s="11">
        <f t="shared" si="15"/>
        <v>2.9895191236530647</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3.097245353001719</v>
      </c>
      <c r="E166" s="11">
        <f>A166-'Mastercurve bestimmen'!$B$2</f>
        <v>31</v>
      </c>
      <c r="F166" s="11">
        <f t="shared" si="15"/>
        <v>3.097245353001719</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3.2057245958419913</v>
      </c>
      <c r="E167" s="11">
        <f>A167-'Mastercurve bestimmen'!$B$2</f>
        <v>32</v>
      </c>
      <c r="F167" s="11">
        <f t="shared" si="15"/>
        <v>3.2057245958419913</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3.3149786028829133</v>
      </c>
      <c r="E168" s="11">
        <f>A168-'Mastercurve bestimmen'!$B$2</f>
        <v>33</v>
      </c>
      <c r="F168" s="11">
        <f t="shared" si="15"/>
        <v>3.3149786028829133</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3.4250291248335167</v>
      </c>
      <c r="E169" s="11">
        <f>A169-'Mastercurve bestimmen'!$B$2</f>
        <v>34</v>
      </c>
      <c r="F169" s="11">
        <f t="shared" si="15"/>
        <v>3.4250291248335167</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3.5358979124028322</v>
      </c>
      <c r="E170" s="11">
        <f>A170-'Mastercurve bestimmen'!$B$2</f>
        <v>35</v>
      </c>
      <c r="F170" s="11">
        <f t="shared" si="15"/>
        <v>3.5358979124028322</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3.6476067162998924</v>
      </c>
      <c r="E171" s="11">
        <f>A171-'Mastercurve bestimmen'!$B$2</f>
        <v>36</v>
      </c>
      <c r="F171" s="11">
        <f t="shared" si="15"/>
        <v>3.6476067162998924</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3.7601772872337276</v>
      </c>
      <c r="E172" s="11">
        <f>A172-'Mastercurve bestimmen'!$B$2</f>
        <v>37</v>
      </c>
      <c r="F172" s="11">
        <f t="shared" si="15"/>
        <v>3.7601772872337276</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3.8736313759133698</v>
      </c>
      <c r="E173" s="11">
        <f>A173-'Mastercurve bestimmen'!$B$2</f>
        <v>38</v>
      </c>
      <c r="F173" s="11">
        <f t="shared" si="15"/>
        <v>3.8736313759133698</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3.9879907330478499</v>
      </c>
      <c r="E174" s="11">
        <f>A174-'Mastercurve bestimmen'!$B$2</f>
        <v>39</v>
      </c>
      <c r="F174" s="11">
        <f t="shared" si="15"/>
        <v>3.9879907330478499</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4.1032771093462008</v>
      </c>
      <c r="E175" s="11">
        <f>A175-'Mastercurve bestimmen'!$B$2</f>
        <v>40</v>
      </c>
      <c r="F175" s="11">
        <f t="shared" si="15"/>
        <v>4.1032771093462008</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4.2195122555174516</v>
      </c>
      <c r="E176" s="11">
        <f>A176-'Mastercurve bestimmen'!$B$2</f>
        <v>41</v>
      </c>
      <c r="F176" s="11">
        <f t="shared" si="15"/>
        <v>4.2195122555174516</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4.336717922270636</v>
      </c>
      <c r="E177" s="11">
        <f>A177-'Mastercurve bestimmen'!$B$2</f>
        <v>42</v>
      </c>
      <c r="F177" s="11">
        <f t="shared" si="15"/>
        <v>4.336717922270636</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4.4549158603147836</v>
      </c>
      <c r="E178" s="11">
        <f>A178-'Mastercurve bestimmen'!$B$2</f>
        <v>43</v>
      </c>
      <c r="F178" s="11">
        <f t="shared" si="15"/>
        <v>4.4549158603147836</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4.5741278203589282</v>
      </c>
      <c r="E179" s="11">
        <f>A179-'Mastercurve bestimmen'!$B$2</f>
        <v>44</v>
      </c>
      <c r="F179" s="11">
        <f t="shared" si="15"/>
        <v>4.5741278203589282</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4.6943755531120983</v>
      </c>
      <c r="E180" s="11">
        <f>A180-'Mastercurve bestimmen'!$B$2</f>
        <v>45</v>
      </c>
      <c r="F180" s="11">
        <f t="shared" si="15"/>
        <v>4.6943755531120983</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4.8156721483393543</v>
      </c>
      <c r="E181" s="11">
        <f>A181-'Mastercurve bestimmen'!$B$2</f>
        <v>46</v>
      </c>
      <c r="F181" s="11">
        <f t="shared" si="15"/>
        <v>4.8156721483393543</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4.9379960520298676</v>
      </c>
      <c r="E182" s="11">
        <f>A182-'Mastercurve bestimmen'!$B$2</f>
        <v>47</v>
      </c>
      <c r="F182" s="11">
        <f t="shared" si="15"/>
        <v>4.9379960520298676</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5.061317049228836</v>
      </c>
      <c r="E183" s="11">
        <f>A183-'Mastercurve bestimmen'!$B$2</f>
        <v>48</v>
      </c>
      <c r="F183" s="11">
        <f t="shared" si="15"/>
        <v>5.061317049228836</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5.1856049249814582</v>
      </c>
      <c r="E184" s="11">
        <f>A184-'Mastercurve bestimmen'!$B$2</f>
        <v>49</v>
      </c>
      <c r="F184" s="11">
        <f t="shared" si="15"/>
        <v>5.1856049249814582</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5.3108294643329312</v>
      </c>
      <c r="E185" s="11">
        <f>A185-'Mastercurve bestimmen'!$B$2</f>
        <v>50</v>
      </c>
      <c r="F185" s="11">
        <f t="shared" si="15"/>
        <v>5.3108294643329312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5.4369604523284547</v>
      </c>
      <c r="E186" s="11">
        <f>A186-'Mastercurve bestimmen'!$B$2</f>
        <v>51</v>
      </c>
      <c r="F186" s="11">
        <f t="shared" si="15"/>
        <v>5.4369604523284547</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5.5639676740132273</v>
      </c>
      <c r="E187" s="11">
        <f>A187-'Mastercurve bestimmen'!$B$2</f>
        <v>52</v>
      </c>
      <c r="F187" s="11">
        <f t="shared" si="15"/>
        <v>5.5639676740132273</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5.6918209144324461</v>
      </c>
      <c r="E188" s="11">
        <f>A188-'Mastercurve bestimmen'!$B$2</f>
        <v>53</v>
      </c>
      <c r="F188" s="11">
        <f t="shared" si="15"/>
        <v>5.6918209144324461</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5.8204899586313097</v>
      </c>
      <c r="E189" s="11">
        <f>A189-'Mastercurve bestimmen'!$B$2</f>
        <v>54</v>
      </c>
      <c r="F189" s="11">
        <f t="shared" si="15"/>
        <v>5.8204899586313097</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5.949944591655016</v>
      </c>
      <c r="E190" s="11">
        <f>A190-'Mastercurve bestimmen'!$B$2</f>
        <v>55</v>
      </c>
      <c r="F190" s="11">
        <f t="shared" si="15"/>
        <v>5.949944591655016</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6.0801545985487646</v>
      </c>
      <c r="E191" s="11">
        <f>A191-'Mastercurve bestimmen'!$B$2</f>
        <v>56</v>
      </c>
      <c r="F191" s="11">
        <f t="shared" si="15"/>
        <v>6.0801545985487646</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6.2110897643577534</v>
      </c>
      <c r="E192" s="11">
        <f>A192-'Mastercurve bestimmen'!$B$2</f>
        <v>57</v>
      </c>
      <c r="F192" s="11">
        <f t="shared" si="15"/>
        <v>6.2110897643577534</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6.3427198741271802</v>
      </c>
      <c r="E193" s="11">
        <f>A193-'Mastercurve bestimmen'!$B$2</f>
        <v>58</v>
      </c>
      <c r="F193" s="11">
        <f t="shared" si="15"/>
        <v>6.3427198741271802</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6.4750147129022437</v>
      </c>
      <c r="E194" s="11">
        <f>A194-'Mastercurve bestimmen'!$B$2</f>
        <v>59</v>
      </c>
      <c r="F194" s="11">
        <f t="shared" si="15"/>
        <v>6.4750147129022437</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6.6079440657281427</v>
      </c>
      <c r="E195" s="11">
        <f>A195-'Mastercurve bestimmen'!$B$2</f>
        <v>60</v>
      </c>
      <c r="F195" s="11">
        <f t="shared" si="15"/>
        <v>6.6079440657281427</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6.7414777176500751</v>
      </c>
      <c r="E196" s="11">
        <f>A196-'Mastercurve bestimmen'!$B$2</f>
        <v>61</v>
      </c>
      <c r="F196" s="11">
        <f t="shared" si="15"/>
        <v>6.7414777176500751</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6.8755854537132386</v>
      </c>
      <c r="E197" s="11">
        <f>A197-'Mastercurve bestimmen'!$B$2</f>
        <v>62</v>
      </c>
      <c r="F197" s="11">
        <f t="shared" si="15"/>
        <v>6.8755854537132386</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7.0102370589628329</v>
      </c>
      <c r="E198" s="11">
        <f>A198-'Mastercurve bestimmen'!$B$2</f>
        <v>63</v>
      </c>
      <c r="F198" s="11">
        <f t="shared" si="15"/>
        <v>7.0102370589628329</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7.1454023184440558</v>
      </c>
      <c r="E199" s="11">
        <f>A199-'Mastercurve bestimmen'!$B$2</f>
        <v>64</v>
      </c>
      <c r="F199" s="11">
        <f t="shared" si="15"/>
        <v>7.1454023184440558</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7.2810510172021043</v>
      </c>
      <c r="E200" s="11">
        <f>A200-'Mastercurve bestimmen'!$B$2</f>
        <v>65</v>
      </c>
      <c r="F200" s="11">
        <f t="shared" si="15"/>
        <v>7.2810510172021043</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7.4171529402821781</v>
      </c>
      <c r="E201" s="11">
        <f>A201-'Mastercurve bestimmen'!$B$2</f>
        <v>66</v>
      </c>
      <c r="F201" s="11">
        <f t="shared" si="15"/>
        <v>7.4171529402821781</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7.5536778727294749</v>
      </c>
      <c r="E202" s="11">
        <f>A202-'Mastercurve bestimmen'!$B$2</f>
        <v>67</v>
      </c>
      <c r="F202" s="11">
        <f t="shared" si="15"/>
        <v>7.5536778727294749</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7.6905955995891944</v>
      </c>
      <c r="E203" s="11">
        <f>A203-'Mastercurve bestimmen'!$B$2</f>
        <v>68</v>
      </c>
      <c r="F203" s="11">
        <f t="shared" si="15"/>
        <v>7.6905955995891944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7.8278759059065326</v>
      </c>
      <c r="E204" s="11">
        <f>A204-'Mastercurve bestimmen'!$B$2</f>
        <v>69</v>
      </c>
      <c r="F204" s="11">
        <f t="shared" si="15"/>
        <v>7.8278759059065326</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7.9654885767266901</v>
      </c>
      <c r="E205" s="11">
        <f>A205-'Mastercurve bestimmen'!$B$2</f>
        <v>70</v>
      </c>
      <c r="F205" s="11">
        <f t="shared" si="15"/>
        <v>7.9654885767266901</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8.1034033970948638</v>
      </c>
      <c r="E206" s="11">
        <f>A206-'Mastercurve bestimmen'!$B$2</f>
        <v>71</v>
      </c>
      <c r="F206" s="11">
        <f t="shared" si="15"/>
        <v>8.1034033970948638</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8.2415901520562524</v>
      </c>
      <c r="E207" s="11">
        <f>A207-'Mastercurve bestimmen'!$B$2</f>
        <v>72</v>
      </c>
      <c r="F207" s="11">
        <f t="shared" si="15"/>
        <v>8.2415901520562524</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8.3800186266560548</v>
      </c>
      <c r="E208" s="11">
        <f>A208-'Mastercurve bestimmen'!$B$2</f>
        <v>73</v>
      </c>
      <c r="F208" s="11">
        <f t="shared" ref="F208:F215" si="21">B208</f>
        <v>8.3800186266560548</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8.5186586059394696</v>
      </c>
      <c r="E209" s="11">
        <f>A209-'Mastercurve bestimmen'!$B$2</f>
        <v>74</v>
      </c>
      <c r="F209" s="11">
        <f t="shared" si="21"/>
        <v>8.5186586059394696</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8.6574798749516937</v>
      </c>
      <c r="E210" s="11">
        <f>A210-'Mastercurve bestimmen'!$B$2</f>
        <v>75</v>
      </c>
      <c r="F210" s="11">
        <f t="shared" si="21"/>
        <v>8.6574798749516937</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8.7964522187379259</v>
      </c>
      <c r="E211" s="11">
        <f>A211-'Mastercurve bestimmen'!$B$2</f>
        <v>76</v>
      </c>
      <c r="F211" s="11">
        <f t="shared" si="21"/>
        <v>8.7964522187379259</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8.935545422343365</v>
      </c>
      <c r="E212" s="11">
        <f>A212-'Mastercurve bestimmen'!$B$2</f>
        <v>77</v>
      </c>
      <c r="F212" s="11">
        <f t="shared" si="21"/>
        <v>8.935545422343365</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9.0747292708132097</v>
      </c>
      <c r="E213" s="11">
        <f>A213-'Mastercurve bestimmen'!$B$2</f>
        <v>78</v>
      </c>
      <c r="F213" s="11">
        <f t="shared" si="21"/>
        <v>9.0747292708132097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9.2139735491926569</v>
      </c>
      <c r="E214" s="11">
        <f>A214-'Mastercurve bestimmen'!$B$2</f>
        <v>79</v>
      </c>
      <c r="F214" s="11">
        <f t="shared" si="21"/>
        <v>9.2139735491926569</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9.3532480425269053</v>
      </c>
      <c r="E215" s="11">
        <f>A215-'Mastercurve bestimmen'!$B$2</f>
        <v>80</v>
      </c>
      <c r="F215" s="11">
        <f t="shared" si="21"/>
        <v>9.3532480425269053</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9.5829899074419245E-2</v>
      </c>
      <c r="J217" s="98">
        <v>2.8401806674750138E-4</v>
      </c>
      <c r="K217" s="98">
        <v>-4.1688911533949549E-6</v>
      </c>
      <c r="L217" s="98">
        <v>-4.5341147633066766E-8</v>
      </c>
      <c r="M217" s="98">
        <v>1.8573683556545501E-9</v>
      </c>
      <c r="N217" s="98">
        <v>9.754353062963304E-12</v>
      </c>
      <c r="O217" s="98">
        <v>-1.5690959989914988E-13</v>
      </c>
      <c r="P217" s="98">
        <v>-9.4668948305178878E-16</v>
      </c>
    </row>
    <row r="218" spans="1:16" x14ac:dyDescent="0.25">
      <c r="G218" s="11"/>
      <c r="H218" s="11">
        <v>0</v>
      </c>
      <c r="I218" s="11">
        <v>3.9243627539822324E-4</v>
      </c>
      <c r="J218" s="11">
        <v>7.3097319265095738E-6</v>
      </c>
      <c r="K218" s="3">
        <v>3.714045099520329E-7</v>
      </c>
      <c r="L218" s="3">
        <v>3.3817485371326561E-9</v>
      </c>
      <c r="M218" s="3">
        <v>1.0618753728911253E-10</v>
      </c>
      <c r="N218" s="3">
        <v>5.8351167576785379E-13</v>
      </c>
      <c r="O218" s="11">
        <v>9.3832075696456785E-15</v>
      </c>
      <c r="P218" s="11">
        <v>5.7059159253674512E-17</v>
      </c>
    </row>
    <row r="219" spans="1:16" x14ac:dyDescent="0.25">
      <c r="G219" s="11"/>
      <c r="H219" s="11">
        <v>0.99995592492120322</v>
      </c>
      <c r="I219" s="11">
        <v>4.0599391084913831E-2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-11.181118660321975</v>
      </c>
      <c r="G222">
        <f>F15</f>
        <v>-11.207038780645185</v>
      </c>
    </row>
    <row r="223" spans="1:16" x14ac:dyDescent="0.25">
      <c r="E223" s="11">
        <f t="shared" ref="E223:E286" si="25">E16</f>
        <v>-119</v>
      </c>
      <c r="F223" s="11">
        <f t="shared" ref="F223:F286" si="26">$H$217*0+E223*$I$217+E223^2*$J$217+E223^3*$K$217+E223^4*$L$217+E223^5*$M$217+E223^6*$N$217+E223^7*$O$217+E223^8*$P$217</f>
        <v>-11.11764869399676</v>
      </c>
      <c r="G223" s="11">
        <f t="shared" ref="G223:G286" si="27">F16</f>
        <v>-11.139939241331334</v>
      </c>
    </row>
    <row r="224" spans="1:16" x14ac:dyDescent="0.25">
      <c r="E224" s="11">
        <f t="shared" si="25"/>
        <v>-118</v>
      </c>
      <c r="F224" s="11">
        <f t="shared" si="26"/>
        <v>-11.055545363552827</v>
      </c>
      <c r="G224" s="11">
        <f t="shared" si="27"/>
        <v>-11.072721435665363</v>
      </c>
    </row>
    <row r="225" spans="5:7" x14ac:dyDescent="0.25">
      <c r="E225" s="11">
        <f t="shared" si="25"/>
        <v>-117</v>
      </c>
      <c r="F225" s="11">
        <f t="shared" si="26"/>
        <v>-10.994151914496211</v>
      </c>
      <c r="G225" s="11">
        <f t="shared" si="27"/>
        <v>-11.005267097295157</v>
      </c>
    </row>
    <row r="226" spans="5:7" x14ac:dyDescent="0.25">
      <c r="E226" s="11">
        <f t="shared" si="25"/>
        <v>-116</v>
      </c>
      <c r="F226" s="11">
        <f t="shared" si="26"/>
        <v>-10.932881905715519</v>
      </c>
      <c r="G226" s="11">
        <f t="shared" si="27"/>
        <v>-10.937457959868603</v>
      </c>
    </row>
    <row r="227" spans="5:7" x14ac:dyDescent="0.25">
      <c r="E227" s="11">
        <f t="shared" si="25"/>
        <v>-115</v>
      </c>
      <c r="F227" s="11">
        <f t="shared" si="26"/>
        <v>-10.871214949950975</v>
      </c>
      <c r="G227" s="11">
        <f t="shared" si="27"/>
        <v>-10.869175757033577</v>
      </c>
    </row>
    <row r="228" spans="5:7" x14ac:dyDescent="0.25">
      <c r="E228" s="11">
        <f t="shared" si="25"/>
        <v>-114</v>
      </c>
      <c r="F228" s="11">
        <f t="shared" si="26"/>
        <v>-10.808692615981627</v>
      </c>
      <c r="G228" s="11">
        <f t="shared" si="27"/>
        <v>-10.800302222437967</v>
      </c>
    </row>
    <row r="229" spans="5:7" x14ac:dyDescent="0.25">
      <c r="E229" s="11">
        <f t="shared" si="25"/>
        <v>-113</v>
      </c>
      <c r="F229" s="11">
        <f t="shared" si="26"/>
        <v>-10.744914488874532</v>
      </c>
      <c r="G229" s="11">
        <f t="shared" si="27"/>
        <v>-10.730719089729655</v>
      </c>
    </row>
    <row r="230" spans="5:7" x14ac:dyDescent="0.25">
      <c r="E230" s="11">
        <f t="shared" si="25"/>
        <v>-112</v>
      </c>
      <c r="F230" s="11">
        <f t="shared" si="26"/>
        <v>-10.679534384678089</v>
      </c>
      <c r="G230" s="11">
        <f t="shared" si="27"/>
        <v>-10.660308092556519</v>
      </c>
    </row>
    <row r="231" spans="5:7" x14ac:dyDescent="0.25">
      <c r="E231" s="11">
        <f t="shared" si="25"/>
        <v>-111</v>
      </c>
      <c r="F231" s="11">
        <f t="shared" si="26"/>
        <v>-10.6122567159799</v>
      </c>
      <c r="G231" s="11">
        <f t="shared" si="27"/>
        <v>-10.588950964566449</v>
      </c>
    </row>
    <row r="232" spans="5:7" x14ac:dyDescent="0.25">
      <c r="E232" s="11">
        <f t="shared" si="25"/>
        <v>-110</v>
      </c>
      <c r="F232" s="11">
        <f t="shared" si="26"/>
        <v>-10.542833004787557</v>
      </c>
      <c r="G232" s="11">
        <f t="shared" si="27"/>
        <v>-10.516529439407321</v>
      </c>
    </row>
    <row r="233" spans="5:7" x14ac:dyDescent="0.25">
      <c r="E233" s="11">
        <f t="shared" si="25"/>
        <v>-109</v>
      </c>
      <c r="F233" s="11">
        <f t="shared" si="26"/>
        <v>-10.471058539228952</v>
      </c>
      <c r="G233" s="11">
        <f t="shared" si="27"/>
        <v>-10.442925250727024</v>
      </c>
    </row>
    <row r="234" spans="5:7" x14ac:dyDescent="0.25">
      <c r="E234" s="11">
        <f t="shared" si="25"/>
        <v>-108</v>
      </c>
      <c r="F234" s="11">
        <f t="shared" si="26"/>
        <v>-10.396769170607033</v>
      </c>
      <c r="G234" s="11">
        <f t="shared" si="27"/>
        <v>-10.368020132173436</v>
      </c>
    </row>
    <row r="235" spans="5:7" x14ac:dyDescent="0.25">
      <c r="E235" s="11">
        <f t="shared" si="25"/>
        <v>-107</v>
      </c>
      <c r="F235" s="11">
        <f t="shared" si="26"/>
        <v>-10.319838247381938</v>
      </c>
      <c r="G235" s="11">
        <f t="shared" si="27"/>
        <v>-10.291695817394441</v>
      </c>
    </row>
    <row r="236" spans="5:7" x14ac:dyDescent="0.25">
      <c r="E236" s="11">
        <f t="shared" si="25"/>
        <v>-106</v>
      </c>
      <c r="F236" s="11">
        <f t="shared" si="26"/>
        <v>-10.240173682691593</v>
      </c>
      <c r="G236" s="11">
        <f t="shared" si="27"/>
        <v>-10.213834040037924</v>
      </c>
    </row>
    <row r="237" spans="5:7" x14ac:dyDescent="0.25">
      <c r="E237" s="11">
        <f t="shared" si="25"/>
        <v>-105</v>
      </c>
      <c r="F237" s="11">
        <f t="shared" si="26"/>
        <v>-10.157715152060227</v>
      </c>
      <c r="G237" s="11">
        <f t="shared" si="27"/>
        <v>-10.134316533751766</v>
      </c>
    </row>
    <row r="238" spans="5:7" x14ac:dyDescent="0.25">
      <c r="E238" s="11">
        <f t="shared" si="25"/>
        <v>-104</v>
      </c>
      <c r="F238" s="11">
        <f t="shared" si="26"/>
        <v>-10.072431417982161</v>
      </c>
      <c r="G238" s="11">
        <f t="shared" si="27"/>
        <v>-10.053025032183848</v>
      </c>
    </row>
    <row r="239" spans="5:7" x14ac:dyDescent="0.25">
      <c r="E239" s="11">
        <f t="shared" si="25"/>
        <v>-103</v>
      </c>
      <c r="F239" s="11">
        <f t="shared" si="26"/>
        <v>-9.984317778106675</v>
      </c>
      <c r="G239" s="11">
        <f t="shared" si="27"/>
        <v>-9.9698412689820568</v>
      </c>
    </row>
    <row r="240" spans="5:7" x14ac:dyDescent="0.25">
      <c r="E240" s="11">
        <f t="shared" si="25"/>
        <v>-102</v>
      </c>
      <c r="F240" s="11">
        <f t="shared" si="26"/>
        <v>-9.8933936337876638</v>
      </c>
      <c r="G240" s="11">
        <f t="shared" si="27"/>
        <v>-9.884646977794274</v>
      </c>
    </row>
    <row r="241" spans="5:7" x14ac:dyDescent="0.25">
      <c r="E241" s="11">
        <f t="shared" si="25"/>
        <v>-101</v>
      </c>
      <c r="F241" s="11">
        <f t="shared" si="26"/>
        <v>-9.7997001758001296</v>
      </c>
      <c r="G241" s="11">
        <f t="shared" si="27"/>
        <v>-9.7973238922683805</v>
      </c>
    </row>
    <row r="242" spans="5:7" x14ac:dyDescent="0.25">
      <c r="E242" s="11">
        <f t="shared" si="25"/>
        <v>-100</v>
      </c>
      <c r="F242" s="11">
        <f t="shared" si="26"/>
        <v>-9.7032981840637245</v>
      </c>
      <c r="G242" s="11">
        <f t="shared" si="27"/>
        <v>-9.7077537460522585</v>
      </c>
    </row>
    <row r="243" spans="5:7" x14ac:dyDescent="0.25">
      <c r="E243" s="11">
        <f t="shared" si="25"/>
        <v>-99</v>
      </c>
      <c r="F243" s="11">
        <f t="shared" si="26"/>
        <v>-9.6042659382516895</v>
      </c>
      <c r="G243" s="11">
        <f t="shared" si="27"/>
        <v>-9.6158182727937955</v>
      </c>
    </row>
    <row r="244" spans="5:7" x14ac:dyDescent="0.25">
      <c r="E244" s="11">
        <f t="shared" si="25"/>
        <v>-98</v>
      </c>
      <c r="F244" s="11">
        <f t="shared" si="26"/>
        <v>-9.5026972362015805</v>
      </c>
      <c r="G244" s="11">
        <f t="shared" si="27"/>
        <v>-9.5213992061408685</v>
      </c>
    </row>
    <row r="245" spans="5:7" x14ac:dyDescent="0.25">
      <c r="E245" s="11">
        <f t="shared" si="25"/>
        <v>-97</v>
      </c>
      <c r="F245" s="11">
        <f t="shared" si="26"/>
        <v>-9.3986995170826244</v>
      </c>
      <c r="G245" s="11">
        <f t="shared" si="27"/>
        <v>-9.4243782797413651</v>
      </c>
    </row>
    <row r="246" spans="5:7" x14ac:dyDescent="0.25">
      <c r="E246" s="11">
        <f t="shared" si="25"/>
        <v>-96</v>
      </c>
      <c r="F246" s="11">
        <f t="shared" si="26"/>
        <v>-9.2923920863125495</v>
      </c>
      <c r="G246" s="11">
        <f t="shared" si="27"/>
        <v>-9.3246372272431657</v>
      </c>
    </row>
    <row r="247" spans="5:7" x14ac:dyDescent="0.25">
      <c r="E247" s="11">
        <f t="shared" si="25"/>
        <v>-95</v>
      </c>
      <c r="F247" s="11">
        <f t="shared" si="26"/>
        <v>-9.1839044392547677</v>
      </c>
      <c r="G247" s="11">
        <f t="shared" si="27"/>
        <v>-9.2220577822941525</v>
      </c>
    </row>
    <row r="248" spans="5:7" x14ac:dyDescent="0.25">
      <c r="E248" s="11">
        <f t="shared" si="25"/>
        <v>-94</v>
      </c>
      <c r="F248" s="11">
        <f t="shared" si="26"/>
        <v>-9.0733746807652871</v>
      </c>
      <c r="G248" s="11">
        <f t="shared" si="27"/>
        <v>-9.1165216785422096</v>
      </c>
    </row>
    <row r="249" spans="5:7" x14ac:dyDescent="0.25">
      <c r="E249" s="11">
        <f t="shared" si="25"/>
        <v>-93</v>
      </c>
      <c r="F249" s="11">
        <f t="shared" si="26"/>
        <v>-8.960948037696614</v>
      </c>
      <c r="G249" s="11">
        <f t="shared" si="27"/>
        <v>-9.007910649635221</v>
      </c>
    </row>
    <row r="250" spans="5:7" x14ac:dyDescent="0.25">
      <c r="E250" s="11">
        <f t="shared" si="25"/>
        <v>-92</v>
      </c>
      <c r="F250" s="11">
        <f t="shared" si="26"/>
        <v>-8.8467754615042438</v>
      </c>
      <c r="G250" s="11">
        <f t="shared" si="27"/>
        <v>-8.8961064292210672</v>
      </c>
    </row>
    <row r="251" spans="5:7" x14ac:dyDescent="0.25">
      <c r="E251" s="11">
        <f t="shared" si="25"/>
        <v>-91</v>
      </c>
      <c r="F251" s="11">
        <f t="shared" si="26"/>
        <v>-8.7310123181393919</v>
      </c>
      <c r="G251" s="11">
        <f t="shared" si="27"/>
        <v>-8.7809907509476304</v>
      </c>
    </row>
    <row r="252" spans="5:7" x14ac:dyDescent="0.25">
      <c r="E252" s="11">
        <f t="shared" si="25"/>
        <v>-90</v>
      </c>
      <c r="F252" s="11">
        <f t="shared" si="26"/>
        <v>-8.6138171624499194</v>
      </c>
      <c r="G252" s="11">
        <f t="shared" si="27"/>
        <v>-8.6624453484627963</v>
      </c>
    </row>
    <row r="253" spans="5:7" x14ac:dyDescent="0.25">
      <c r="E253" s="11">
        <f t="shared" si="25"/>
        <v>-89</v>
      </c>
      <c r="F253" s="11">
        <f t="shared" si="26"/>
        <v>-8.4953505943494143</v>
      </c>
      <c r="G253" s="11">
        <f t="shared" si="27"/>
        <v>-8.5403519554144456</v>
      </c>
    </row>
    <row r="254" spans="5:7" x14ac:dyDescent="0.25">
      <c r="E254" s="11">
        <f t="shared" si="25"/>
        <v>-88</v>
      </c>
      <c r="F254" s="11">
        <f t="shared" si="26"/>
        <v>-8.3757741940527648</v>
      </c>
      <c r="G254" s="11">
        <f t="shared" si="27"/>
        <v>-8.4145923054504621</v>
      </c>
    </row>
    <row r="255" spans="5:7" x14ac:dyDescent="0.25">
      <c r="E255" s="11">
        <f t="shared" si="25"/>
        <v>-87</v>
      </c>
      <c r="F255" s="11">
        <f t="shared" si="26"/>
        <v>-8.2552495337144762</v>
      </c>
      <c r="G255" s="11">
        <f t="shared" si="27"/>
        <v>-8.2850481322187264</v>
      </c>
    </row>
    <row r="256" spans="5:7" x14ac:dyDescent="0.25">
      <c r="E256" s="11">
        <f t="shared" si="25"/>
        <v>-86</v>
      </c>
      <c r="F256" s="11">
        <f t="shared" si="26"/>
        <v>-8.1339372628444391</v>
      </c>
      <c r="G256" s="11">
        <f t="shared" si="27"/>
        <v>-8.151601169367126</v>
      </c>
    </row>
    <row r="257" spans="5:7" x14ac:dyDescent="0.25">
      <c r="E257" s="11">
        <f t="shared" si="25"/>
        <v>-85</v>
      </c>
      <c r="F257" s="11">
        <f t="shared" si="26"/>
        <v>-8.0119962649137708</v>
      </c>
      <c r="G257" s="11">
        <f t="shared" si="27"/>
        <v>-8.0141331505435396</v>
      </c>
    </row>
    <row r="258" spans="5:7" x14ac:dyDescent="0.25">
      <c r="E258" s="11">
        <f t="shared" si="25"/>
        <v>-84</v>
      </c>
      <c r="F258" s="11">
        <f t="shared" si="26"/>
        <v>-7.8895828826017063</v>
      </c>
      <c r="G258" s="11">
        <f t="shared" si="27"/>
        <v>-7.8725258093958494</v>
      </c>
    </row>
    <row r="259" spans="5:7" x14ac:dyDescent="0.25">
      <c r="E259" s="11">
        <f t="shared" si="25"/>
        <v>-83</v>
      </c>
      <c r="F259" s="11">
        <f t="shared" si="26"/>
        <v>-7.7668502091725404</v>
      </c>
      <c r="G259" s="11">
        <f t="shared" si="27"/>
        <v>-7.7266608795719423</v>
      </c>
    </row>
    <row r="260" spans="5:7" x14ac:dyDescent="0.25">
      <c r="E260" s="11">
        <f t="shared" si="25"/>
        <v>-82</v>
      </c>
      <c r="F260" s="11">
        <f t="shared" si="26"/>
        <v>-7.6439474435099513</v>
      </c>
      <c r="G260" s="11">
        <f t="shared" si="27"/>
        <v>-7.5764200947196976</v>
      </c>
    </row>
    <row r="261" spans="5:7" x14ac:dyDescent="0.25">
      <c r="E261" s="11">
        <f t="shared" si="25"/>
        <v>-81</v>
      </c>
      <c r="F261" s="11">
        <f t="shared" si="26"/>
        <v>-7.5210193063740842</v>
      </c>
      <c r="G261" s="11">
        <f t="shared" si="27"/>
        <v>-7.4216851884870003</v>
      </c>
    </row>
    <row r="262" spans="5:7" x14ac:dyDescent="0.25">
      <c r="E262" s="11">
        <f t="shared" si="25"/>
        <v>-80</v>
      </c>
      <c r="F262" s="11">
        <f t="shared" si="26"/>
        <v>-7.3982055154849045</v>
      </c>
      <c r="G262" s="11">
        <f t="shared" si="27"/>
        <v>-7.262337894521731</v>
      </c>
    </row>
    <row r="263" spans="5:7" x14ac:dyDescent="0.25">
      <c r="E263" s="11">
        <f t="shared" si="25"/>
        <v>-79</v>
      </c>
      <c r="F263" s="11">
        <f t="shared" si="26"/>
        <v>-7.2756403170737549</v>
      </c>
      <c r="G263" s="11">
        <f t="shared" si="27"/>
        <v>-7.1785831455332207</v>
      </c>
    </row>
    <row r="264" spans="5:7" x14ac:dyDescent="0.25">
      <c r="E264" s="11">
        <f t="shared" si="25"/>
        <v>-78</v>
      </c>
      <c r="F264" s="11">
        <f t="shared" si="26"/>
        <v>-7.1534520715828389</v>
      </c>
      <c r="G264" s="11">
        <f t="shared" si="27"/>
        <v>-7.0904179997911934</v>
      </c>
    </row>
    <row r="265" spans="5:7" x14ac:dyDescent="0.25">
      <c r="E265" s="11">
        <f t="shared" si="25"/>
        <v>-77</v>
      </c>
      <c r="F265" s="11">
        <f t="shared" si="26"/>
        <v>-7.0317628912308807</v>
      </c>
      <c r="G265" s="11">
        <f t="shared" si="27"/>
        <v>-6.9981627146268215</v>
      </c>
    </row>
    <row r="266" spans="5:7" x14ac:dyDescent="0.25">
      <c r="E266" s="11">
        <f t="shared" si="25"/>
        <v>-76</v>
      </c>
      <c r="F266" s="11">
        <f t="shared" si="26"/>
        <v>-6.9106883272011732</v>
      </c>
      <c r="G266" s="11">
        <f t="shared" si="27"/>
        <v>-6.9021375473712734</v>
      </c>
    </row>
    <row r="267" spans="5:7" x14ac:dyDescent="0.25">
      <c r="E267" s="11">
        <f t="shared" si="25"/>
        <v>-75</v>
      </c>
      <c r="F267" s="11">
        <f t="shared" si="26"/>
        <v>-6.7903371042464187</v>
      </c>
      <c r="G267" s="11">
        <f t="shared" si="27"/>
        <v>-6.8026627553557217</v>
      </c>
    </row>
    <row r="268" spans="5:7" x14ac:dyDescent="0.25">
      <c r="E268" s="11">
        <f t="shared" si="25"/>
        <v>-74</v>
      </c>
      <c r="F268" s="11">
        <f t="shared" si="26"/>
        <v>-6.6708109005430529</v>
      </c>
      <c r="G268" s="11">
        <f t="shared" si="27"/>
        <v>-6.7000585959113383</v>
      </c>
    </row>
    <row r="269" spans="5:7" x14ac:dyDescent="0.25">
      <c r="E269" s="11">
        <f t="shared" si="25"/>
        <v>-73</v>
      </c>
      <c r="F269" s="11">
        <f t="shared" si="26"/>
        <v>-6.5522041706657479</v>
      </c>
      <c r="G269" s="11">
        <f t="shared" si="27"/>
        <v>-6.5946453263692932</v>
      </c>
    </row>
    <row r="270" spans="5:7" x14ac:dyDescent="0.25">
      <c r="E270" s="11">
        <f t="shared" si="25"/>
        <v>-72</v>
      </c>
      <c r="F270" s="11">
        <f t="shared" si="26"/>
        <v>-6.4346040095911086</v>
      </c>
      <c r="G270" s="11">
        <f t="shared" si="27"/>
        <v>-6.4867432040607582</v>
      </c>
    </row>
    <row r="271" spans="5:7" x14ac:dyDescent="0.25">
      <c r="E271" s="11">
        <f t="shared" si="25"/>
        <v>-71</v>
      </c>
      <c r="F271" s="11">
        <f t="shared" si="26"/>
        <v>-6.3180900556776303</v>
      </c>
      <c r="G271" s="11">
        <f t="shared" si="27"/>
        <v>-6.3766724863169024</v>
      </c>
    </row>
    <row r="272" spans="5:7" x14ac:dyDescent="0.25">
      <c r="E272" s="11">
        <f t="shared" si="25"/>
        <v>-70</v>
      </c>
      <c r="F272" s="11">
        <f t="shared" si="26"/>
        <v>-6.2027344306072738</v>
      </c>
      <c r="G272" s="11">
        <f t="shared" si="27"/>
        <v>-6.2647534304688985</v>
      </c>
    </row>
    <row r="273" spans="5:7" x14ac:dyDescent="0.25">
      <c r="E273" s="11">
        <f t="shared" si="25"/>
        <v>-69</v>
      </c>
      <c r="F273" s="11">
        <f t="shared" si="26"/>
        <v>-6.0886017143120377</v>
      </c>
      <c r="G273" s="11">
        <f t="shared" si="27"/>
        <v>-6.1513062938479193</v>
      </c>
    </row>
    <row r="274" spans="5:7" x14ac:dyDescent="0.25">
      <c r="E274" s="11">
        <f t="shared" si="25"/>
        <v>-68</v>
      </c>
      <c r="F274" s="11">
        <f t="shared" si="26"/>
        <v>-5.9757489529472299</v>
      </c>
      <c r="G274" s="11">
        <f t="shared" si="27"/>
        <v>-6.0366513337851329</v>
      </c>
    </row>
    <row r="275" spans="5:7" x14ac:dyDescent="0.25">
      <c r="E275" s="11">
        <f t="shared" si="25"/>
        <v>-67</v>
      </c>
      <c r="F275" s="11">
        <f t="shared" si="26"/>
        <v>-5.8642256980112144</v>
      </c>
      <c r="G275" s="11">
        <f t="shared" si="27"/>
        <v>-5.9211088076117111</v>
      </c>
    </row>
    <row r="276" spans="5:7" x14ac:dyDescent="0.25">
      <c r="E276" s="11">
        <f t="shared" si="25"/>
        <v>-66</v>
      </c>
      <c r="F276" s="11">
        <f t="shared" si="26"/>
        <v>-5.7540740747495942</v>
      </c>
      <c r="G276" s="11">
        <f t="shared" si="27"/>
        <v>-5.8049989726588258</v>
      </c>
    </row>
    <row r="277" spans="5:7" x14ac:dyDescent="0.25">
      <c r="E277" s="11">
        <f t="shared" si="25"/>
        <v>-65</v>
      </c>
      <c r="F277" s="11">
        <f t="shared" si="26"/>
        <v>-5.6453288780199955</v>
      </c>
      <c r="G277" s="11">
        <f t="shared" si="27"/>
        <v>-5.688642086257647</v>
      </c>
    </row>
    <row r="278" spans="5:7" x14ac:dyDescent="0.25">
      <c r="E278" s="11">
        <f t="shared" si="25"/>
        <v>-64</v>
      </c>
      <c r="F278" s="11">
        <f t="shared" si="26"/>
        <v>-5.5380176938317529</v>
      </c>
      <c r="G278" s="11">
        <f t="shared" si="27"/>
        <v>-5.5723584057393474</v>
      </c>
    </row>
    <row r="279" spans="5:7" x14ac:dyDescent="0.25">
      <c r="E279" s="11">
        <f t="shared" si="25"/>
        <v>-63</v>
      </c>
      <c r="F279" s="11">
        <f t="shared" si="26"/>
        <v>-5.4321610448129984</v>
      </c>
      <c r="G279" s="11">
        <f t="shared" si="27"/>
        <v>-5.4564681884350961</v>
      </c>
    </row>
    <row r="280" spans="5:7" x14ac:dyDescent="0.25">
      <c r="E280" s="11">
        <f t="shared" si="25"/>
        <v>-62</v>
      </c>
      <c r="F280" s="11">
        <f t="shared" si="26"/>
        <v>-5.3277725578957815</v>
      </c>
      <c r="G280" s="11">
        <f t="shared" si="27"/>
        <v>-5.3412916916760658</v>
      </c>
    </row>
    <row r="281" spans="5:7" x14ac:dyDescent="0.25">
      <c r="E281" s="11">
        <f t="shared" si="25"/>
        <v>-61</v>
      </c>
      <c r="F281" s="11">
        <f t="shared" si="26"/>
        <v>-5.2248591525480679</v>
      </c>
      <c r="G281" s="11">
        <f t="shared" si="27"/>
        <v>-5.2271491727934274</v>
      </c>
    </row>
    <row r="282" spans="5:7" x14ac:dyDescent="0.25">
      <c r="E282" s="11">
        <f t="shared" si="25"/>
        <v>-60</v>
      </c>
      <c r="F282" s="11">
        <f t="shared" si="26"/>
        <v>-5.1234212479196142</v>
      </c>
      <c r="G282" s="11">
        <f t="shared" si="27"/>
        <v>-5.114360889118351</v>
      </c>
    </row>
    <row r="283" spans="5:7" x14ac:dyDescent="0.25">
      <c r="E283" s="11">
        <f t="shared" si="25"/>
        <v>-59</v>
      </c>
      <c r="F283" s="11">
        <f t="shared" si="26"/>
        <v>-5.0234529873068707</v>
      </c>
      <c r="G283" s="11">
        <f t="shared" si="27"/>
        <v>-5.0032470979820092</v>
      </c>
    </row>
    <row r="284" spans="5:7" x14ac:dyDescent="0.25">
      <c r="E284" s="11">
        <f t="shared" si="25"/>
        <v>-58</v>
      </c>
      <c r="F284" s="11">
        <f t="shared" si="26"/>
        <v>-4.9249424783802604</v>
      </c>
      <c r="G284" s="11">
        <f t="shared" si="27"/>
        <v>-4.8941280567155712</v>
      </c>
    </row>
    <row r="285" spans="5:7" x14ac:dyDescent="0.25">
      <c r="E285" s="11">
        <f t="shared" si="25"/>
        <v>-57</v>
      </c>
      <c r="F285" s="11">
        <f t="shared" si="26"/>
        <v>-4.8278720476553367</v>
      </c>
      <c r="G285" s="11">
        <f t="shared" si="27"/>
        <v>-4.7873240226502096</v>
      </c>
    </row>
    <row r="286" spans="5:7" x14ac:dyDescent="0.25">
      <c r="E286" s="11">
        <f t="shared" si="25"/>
        <v>-56</v>
      </c>
      <c r="F286" s="11">
        <f t="shared" si="26"/>
        <v>-4.7322185077275041</v>
      </c>
      <c r="G286" s="11">
        <f t="shared" si="27"/>
        <v>-4.6831552531170955</v>
      </c>
    </row>
    <row r="287" spans="5:7" x14ac:dyDescent="0.25">
      <c r="E287" s="11">
        <f t="shared" ref="E287:E350" si="28">E80</f>
        <v>-55</v>
      </c>
      <c r="F287" s="11">
        <f t="shared" ref="F287:F350" si="29">$H$217*0+E287*$I$217+E287^2*$J$217+E287^3*$K$217+E287^4*$L$217+E287^5*$M$217+E287^6*$N$217+E287^7*$O$217+E287^8*$P$217</f>
        <v>-4.6379534358281518</v>
      </c>
      <c r="G287" s="11">
        <f t="shared" ref="G287:G350" si="30">F80</f>
        <v>-4.5819420054473978</v>
      </c>
    </row>
    <row r="288" spans="5:7" x14ac:dyDescent="0.25">
      <c r="E288" s="11">
        <f t="shared" si="28"/>
        <v>-54</v>
      </c>
      <c r="F288" s="11">
        <f t="shared" si="29"/>
        <v>-4.5450434622981994</v>
      </c>
      <c r="G288" s="11">
        <f t="shared" si="30"/>
        <v>-4.483920753909401</v>
      </c>
    </row>
    <row r="289" spans="5:7" x14ac:dyDescent="0.25">
      <c r="E289" s="11">
        <f t="shared" si="28"/>
        <v>-53</v>
      </c>
      <c r="F289" s="11">
        <f t="shared" si="29"/>
        <v>-4.453450567613281</v>
      </c>
      <c r="G289" s="11">
        <f t="shared" si="30"/>
        <v>-4.3889928405198244</v>
      </c>
    </row>
    <row r="290" spans="5:7" x14ac:dyDescent="0.25">
      <c r="E290" s="11">
        <f t="shared" si="28"/>
        <v>-52</v>
      </c>
      <c r="F290" s="11">
        <f t="shared" si="29"/>
        <v>-4.3631323866329002</v>
      </c>
      <c r="G290" s="11">
        <f t="shared" si="30"/>
        <v>-4.2969758242325016</v>
      </c>
    </row>
    <row r="291" spans="5:7" x14ac:dyDescent="0.25">
      <c r="E291" s="11">
        <f t="shared" si="28"/>
        <v>-51</v>
      </c>
      <c r="F291" s="11">
        <f t="shared" si="29"/>
        <v>-4.2740425187840767</v>
      </c>
      <c r="G291" s="11">
        <f t="shared" si="30"/>
        <v>-4.2076872640012644</v>
      </c>
    </row>
    <row r="292" spans="5:7" x14ac:dyDescent="0.25">
      <c r="E292" s="11">
        <f t="shared" si="28"/>
        <v>-50</v>
      </c>
      <c r="F292" s="11">
        <f t="shared" si="29"/>
        <v>-4.186130842928252</v>
      </c>
      <c r="G292" s="11">
        <f t="shared" si="30"/>
        <v>-4.1209447187799446</v>
      </c>
    </row>
    <row r="293" spans="5:7" x14ac:dyDescent="0.25">
      <c r="E293" s="11">
        <f t="shared" si="28"/>
        <v>-49</v>
      </c>
      <c r="F293" s="11">
        <f t="shared" si="29"/>
        <v>-4.0993438356982148</v>
      </c>
      <c r="G293" s="11">
        <f t="shared" si="30"/>
        <v>-4.0365657475223751</v>
      </c>
    </row>
    <row r="294" spans="5:7" x14ac:dyDescent="0.25">
      <c r="E294" s="11">
        <f t="shared" si="28"/>
        <v>-48</v>
      </c>
      <c r="F294" s="11">
        <f t="shared" si="29"/>
        <v>-4.0136248921302036</v>
      </c>
      <c r="G294" s="11">
        <f t="shared" si="30"/>
        <v>-3.9543679091823885</v>
      </c>
    </row>
    <row r="295" spans="5:7" x14ac:dyDescent="0.25">
      <c r="E295" s="11">
        <f t="shared" si="28"/>
        <v>-47</v>
      </c>
      <c r="F295" s="11">
        <f t="shared" si="29"/>
        <v>-3.9289146474543313</v>
      </c>
      <c r="G295" s="11">
        <f t="shared" si="30"/>
        <v>-3.8741687627138157</v>
      </c>
    </row>
    <row r="296" spans="5:7" x14ac:dyDescent="0.25">
      <c r="E296" s="11">
        <f t="shared" si="28"/>
        <v>-46</v>
      </c>
      <c r="F296" s="11">
        <f t="shared" si="29"/>
        <v>-3.8451512989447254</v>
      </c>
      <c r="G296" s="11">
        <f t="shared" si="30"/>
        <v>-3.7957858670704896</v>
      </c>
    </row>
    <row r="297" spans="5:7" x14ac:dyDescent="0.25">
      <c r="E297" s="11">
        <f t="shared" si="28"/>
        <v>-45</v>
      </c>
      <c r="F297" s="11">
        <f t="shared" si="29"/>
        <v>-3.7622709267689478</v>
      </c>
      <c r="G297" s="11">
        <f t="shared" si="30"/>
        <v>-3.7190367812062419</v>
      </c>
    </row>
    <row r="298" spans="5:7" x14ac:dyDescent="0.25">
      <c r="E298" s="11">
        <f t="shared" si="28"/>
        <v>-44</v>
      </c>
      <c r="F298" s="11">
        <f t="shared" si="29"/>
        <v>-3.680207812814432</v>
      </c>
      <c r="G298" s="11">
        <f t="shared" si="30"/>
        <v>-3.6437390640749054</v>
      </c>
    </row>
    <row r="299" spans="5:7" x14ac:dyDescent="0.25">
      <c r="E299" s="11">
        <f t="shared" si="28"/>
        <v>-43</v>
      </c>
      <c r="F299" s="11">
        <f t="shared" si="29"/>
        <v>-3.5988947565077973</v>
      </c>
      <c r="G299" s="11">
        <f t="shared" si="30"/>
        <v>-3.569710274630312</v>
      </c>
    </row>
    <row r="300" spans="5:7" x14ac:dyDescent="0.25">
      <c r="E300" s="11">
        <f t="shared" si="28"/>
        <v>-42</v>
      </c>
      <c r="F300" s="11">
        <f t="shared" si="29"/>
        <v>-3.5182633866811286</v>
      </c>
      <c r="G300" s="11">
        <f t="shared" si="30"/>
        <v>-3.4967679718262938</v>
      </c>
    </row>
    <row r="301" spans="5:7" x14ac:dyDescent="0.25">
      <c r="E301" s="11">
        <f t="shared" si="28"/>
        <v>-41</v>
      </c>
      <c r="F301" s="11">
        <f t="shared" si="29"/>
        <v>-3.4382444685774742</v>
      </c>
      <c r="G301" s="11">
        <f t="shared" si="30"/>
        <v>-3.4247297146166833</v>
      </c>
    </row>
    <row r="302" spans="5:7" x14ac:dyDescent="0.25">
      <c r="E302" s="11">
        <f t="shared" si="28"/>
        <v>-40</v>
      </c>
      <c r="F302" s="11">
        <f t="shared" si="29"/>
        <v>-3.3587682051259211</v>
      </c>
      <c r="G302" s="11">
        <f t="shared" si="30"/>
        <v>-3.3534130619553117</v>
      </c>
    </row>
    <row r="303" spans="5:7" x14ac:dyDescent="0.25">
      <c r="E303" s="11">
        <f t="shared" si="28"/>
        <v>-39</v>
      </c>
      <c r="F303" s="11">
        <f t="shared" si="29"/>
        <v>-3.2797645316548754</v>
      </c>
      <c r="G303" s="11">
        <f t="shared" si="30"/>
        <v>-3.2826355727960128</v>
      </c>
    </row>
    <row r="304" spans="5:7" x14ac:dyDescent="0.25">
      <c r="E304" s="11">
        <f t="shared" si="28"/>
        <v>-38</v>
      </c>
      <c r="F304" s="11">
        <f t="shared" si="29"/>
        <v>-3.2011634032502583</v>
      </c>
      <c r="G304" s="11">
        <f t="shared" si="30"/>
        <v>-3.2122148060926174</v>
      </c>
    </row>
    <row r="305" spans="5:7" x14ac:dyDescent="0.25">
      <c r="E305" s="11">
        <f t="shared" si="28"/>
        <v>-37</v>
      </c>
      <c r="F305" s="11">
        <f t="shared" si="29"/>
        <v>-3.1228950740035666</v>
      </c>
      <c r="G305" s="11">
        <f t="shared" si="30"/>
        <v>-3.1419683207989584</v>
      </c>
    </row>
    <row r="306" spans="5:7" x14ac:dyDescent="0.25">
      <c r="E306" s="11">
        <f t="shared" si="28"/>
        <v>-36</v>
      </c>
      <c r="F306" s="11">
        <f t="shared" si="29"/>
        <v>-3.0448903674328571</v>
      </c>
      <c r="G306" s="11">
        <f t="shared" si="30"/>
        <v>-3.0717136758688683</v>
      </c>
    </row>
    <row r="307" spans="5:7" x14ac:dyDescent="0.25">
      <c r="E307" s="11">
        <f t="shared" si="28"/>
        <v>-35</v>
      </c>
      <c r="F307" s="11">
        <f t="shared" si="29"/>
        <v>-2.9670809373979306</v>
      </c>
      <c r="G307" s="11">
        <f t="shared" si="30"/>
        <v>-3.0012684302561778</v>
      </c>
    </row>
    <row r="308" spans="5:7" x14ac:dyDescent="0.25">
      <c r="E308" s="11">
        <f t="shared" si="28"/>
        <v>-34</v>
      </c>
      <c r="F308" s="11">
        <f t="shared" si="29"/>
        <v>-2.889399518869153</v>
      </c>
      <c r="G308" s="11">
        <f t="shared" si="30"/>
        <v>-2.9304501429147205</v>
      </c>
    </row>
    <row r="309" spans="5:7" x14ac:dyDescent="0.25">
      <c r="E309" s="11">
        <f t="shared" si="28"/>
        <v>-33</v>
      </c>
      <c r="F309" s="11">
        <f t="shared" si="29"/>
        <v>-2.8117801679474925</v>
      </c>
      <c r="G309" s="11">
        <f t="shared" si="30"/>
        <v>-2.8590763727983277</v>
      </c>
    </row>
    <row r="310" spans="5:7" x14ac:dyDescent="0.25">
      <c r="E310" s="11">
        <f t="shared" si="28"/>
        <v>-32</v>
      </c>
      <c r="F310" s="11">
        <f t="shared" si="29"/>
        <v>-2.7341584905715615</v>
      </c>
      <c r="G310" s="11">
        <f t="shared" si="30"/>
        <v>-2.7869646788608322</v>
      </c>
    </row>
    <row r="311" spans="5:7" x14ac:dyDescent="0.25">
      <c r="E311" s="11">
        <f t="shared" si="28"/>
        <v>-31</v>
      </c>
      <c r="F311" s="11">
        <f t="shared" si="29"/>
        <v>-2.6564718593855958</v>
      </c>
      <c r="G311" s="11">
        <f t="shared" si="30"/>
        <v>-2.7139326200560663</v>
      </c>
    </row>
    <row r="312" spans="5:7" x14ac:dyDescent="0.25">
      <c r="E312" s="11">
        <f t="shared" si="28"/>
        <v>-30</v>
      </c>
      <c r="F312" s="11">
        <f t="shared" si="29"/>
        <v>-2.5786596182804868</v>
      </c>
      <c r="G312" s="11">
        <f t="shared" si="30"/>
        <v>-2.6397977553378613</v>
      </c>
    </row>
    <row r="313" spans="5:7" x14ac:dyDescent="0.25">
      <c r="E313" s="11">
        <f t="shared" si="28"/>
        <v>-29</v>
      </c>
      <c r="F313" s="11">
        <f t="shared" si="29"/>
        <v>-2.5006632741581498</v>
      </c>
      <c r="G313" s="11">
        <f t="shared" si="30"/>
        <v>-2.5644147533091233</v>
      </c>
    </row>
    <row r="314" spans="5:7" x14ac:dyDescent="0.25">
      <c r="E314" s="11">
        <f t="shared" si="28"/>
        <v>-28</v>
      </c>
      <c r="F314" s="11">
        <f t="shared" si="29"/>
        <v>-2.4224266755076718</v>
      </c>
      <c r="G314" s="11">
        <f t="shared" si="30"/>
        <v>-2.4877867211690434</v>
      </c>
    </row>
    <row r="315" spans="5:7" x14ac:dyDescent="0.25">
      <c r="E315" s="11">
        <f t="shared" si="28"/>
        <v>-27</v>
      </c>
      <c r="F315" s="11">
        <f t="shared" si="29"/>
        <v>-2.3438961774198845</v>
      </c>
      <c r="G315" s="11">
        <f t="shared" si="30"/>
        <v>-2.409953875765888</v>
      </c>
    </row>
    <row r="316" spans="5:7" x14ac:dyDescent="0.25">
      <c r="E316" s="11">
        <f t="shared" si="28"/>
        <v>-26</v>
      </c>
      <c r="F316" s="11">
        <f t="shared" si="29"/>
        <v>-2.2650207927051267</v>
      </c>
      <c r="G316" s="11">
        <f t="shared" si="30"/>
        <v>-2.330956433947923</v>
      </c>
    </row>
    <row r="317" spans="5:7" x14ac:dyDescent="0.25">
      <c r="E317" s="11">
        <f t="shared" si="28"/>
        <v>-25</v>
      </c>
      <c r="F317" s="11">
        <f t="shared" si="29"/>
        <v>-2.1857523288171885</v>
      </c>
      <c r="G317" s="11">
        <f t="shared" si="30"/>
        <v>-2.2508346125634127</v>
      </c>
    </row>
    <row r="318" spans="5:7" x14ac:dyDescent="0.25">
      <c r="E318" s="11">
        <f t="shared" si="28"/>
        <v>-24</v>
      </c>
      <c r="F318" s="11">
        <f t="shared" si="29"/>
        <v>-2.106045510324551</v>
      </c>
      <c r="G318" s="11">
        <f t="shared" si="30"/>
        <v>-2.1696286284606239</v>
      </c>
    </row>
    <row r="319" spans="5:7" x14ac:dyDescent="0.25">
      <c r="E319" s="11">
        <f t="shared" si="28"/>
        <v>-23</v>
      </c>
      <c r="F319" s="11">
        <f t="shared" si="29"/>
        <v>-2.0258580867082436</v>
      </c>
      <c r="G319" s="11">
        <f t="shared" si="30"/>
        <v>-2.0873786984878202</v>
      </c>
    </row>
    <row r="320" spans="5:7" x14ac:dyDescent="0.25">
      <c r="E320" s="11">
        <f t="shared" si="28"/>
        <v>-22</v>
      </c>
      <c r="F320" s="11">
        <f t="shared" si="29"/>
        <v>-1.9451509253037811</v>
      </c>
      <c r="G320" s="11">
        <f t="shared" si="30"/>
        <v>-2.0041250394932688</v>
      </c>
    </row>
    <row r="321" spans="5:7" x14ac:dyDescent="0.25">
      <c r="E321" s="11">
        <f t="shared" si="28"/>
        <v>-21</v>
      </c>
      <c r="F321" s="11">
        <f t="shared" si="29"/>
        <v>-1.8638880892428389</v>
      </c>
      <c r="G321" s="11">
        <f t="shared" si="30"/>
        <v>-1.9199078683252342</v>
      </c>
    </row>
    <row r="322" spans="5:7" x14ac:dyDescent="0.25">
      <c r="E322" s="11">
        <f t="shared" si="28"/>
        <v>-20</v>
      </c>
      <c r="F322" s="11">
        <f t="shared" si="29"/>
        <v>-1.7820369002884757</v>
      </c>
      <c r="G322" s="11">
        <f t="shared" si="30"/>
        <v>-1.8347674018319819</v>
      </c>
    </row>
    <row r="323" spans="5:7" x14ac:dyDescent="0.25">
      <c r="E323" s="11">
        <f t="shared" si="28"/>
        <v>-19</v>
      </c>
      <c r="F323" s="11">
        <f t="shared" si="29"/>
        <v>-1.6995679864958944</v>
      </c>
      <c r="G323" s="11">
        <f t="shared" si="30"/>
        <v>-1.7487438568617777</v>
      </c>
    </row>
    <row r="324" spans="5:7" x14ac:dyDescent="0.25">
      <c r="E324" s="11">
        <f t="shared" si="28"/>
        <v>-18</v>
      </c>
      <c r="F324" s="11">
        <f t="shared" si="29"/>
        <v>-1.6164553146689</v>
      </c>
      <c r="G324" s="11">
        <f t="shared" si="30"/>
        <v>-1.6618774502628868</v>
      </c>
    </row>
    <row r="325" spans="5:7" x14ac:dyDescent="0.25">
      <c r="E325" s="11">
        <f t="shared" si="28"/>
        <v>-17</v>
      </c>
      <c r="F325" s="11">
        <f t="shared" si="29"/>
        <v>-1.5326762076203806</v>
      </c>
      <c r="G325" s="11">
        <f t="shared" si="30"/>
        <v>-1.5742083988835744</v>
      </c>
    </row>
    <row r="326" spans="5:7" x14ac:dyDescent="0.25">
      <c r="E326" s="11">
        <f t="shared" si="28"/>
        <v>-16</v>
      </c>
      <c r="F326" s="11">
        <f t="shared" si="29"/>
        <v>-1.4482113462833133</v>
      </c>
      <c r="G326" s="11">
        <f t="shared" si="30"/>
        <v>-1.4857769195721062</v>
      </c>
    </row>
    <row r="327" spans="5:7" x14ac:dyDescent="0.25">
      <c r="E327" s="11">
        <f t="shared" si="28"/>
        <v>-15</v>
      </c>
      <c r="F327" s="11">
        <f t="shared" si="29"/>
        <v>-1.3630447567569648</v>
      </c>
      <c r="G327" s="11">
        <f t="shared" si="30"/>
        <v>-1.3966232291767477</v>
      </c>
    </row>
    <row r="328" spans="5:7" x14ac:dyDescent="0.25">
      <c r="E328" s="11">
        <f t="shared" si="28"/>
        <v>-14</v>
      </c>
      <c r="F328" s="11">
        <f t="shared" si="29"/>
        <v>-1.2771637824111244</v>
      </c>
      <c r="G328" s="11">
        <f t="shared" si="30"/>
        <v>-1.306787544545764</v>
      </c>
    </row>
    <row r="329" spans="5:7" x14ac:dyDescent="0.25">
      <c r="E329" s="11">
        <f t="shared" si="28"/>
        <v>-13</v>
      </c>
      <c r="F329" s="11">
        <f t="shared" si="29"/>
        <v>-1.1905590412093821</v>
      </c>
      <c r="G329" s="11">
        <f t="shared" si="30"/>
        <v>-1.2163100825274207</v>
      </c>
    </row>
    <row r="330" spans="5:7" x14ac:dyDescent="0.25">
      <c r="E330" s="11">
        <f t="shared" si="28"/>
        <v>-12</v>
      </c>
      <c r="F330" s="11">
        <f t="shared" si="29"/>
        <v>-1.103224368450634</v>
      </c>
      <c r="G330" s="11">
        <f t="shared" si="30"/>
        <v>-1.1252310599699833</v>
      </c>
    </row>
    <row r="331" spans="5:7" x14ac:dyDescent="0.25">
      <c r="E331" s="11">
        <f t="shared" si="28"/>
        <v>-11</v>
      </c>
      <c r="F331" s="11">
        <f t="shared" si="29"/>
        <v>-1.0151567451661643</v>
      </c>
      <c r="G331" s="11">
        <f t="shared" si="30"/>
        <v>-1.033590693721717</v>
      </c>
    </row>
    <row r="332" spans="5:7" x14ac:dyDescent="0.25">
      <c r="E332" s="11">
        <f t="shared" si="28"/>
        <v>-10</v>
      </c>
      <c r="F332" s="11">
        <f t="shared" si="29"/>
        <v>-0.92635621244782995</v>
      </c>
      <c r="G332" s="11">
        <f t="shared" si="30"/>
        <v>-0.94142920063088742</v>
      </c>
    </row>
    <row r="333" spans="5:7" x14ac:dyDescent="0.25">
      <c r="E333" s="11">
        <f t="shared" si="28"/>
        <v>-9</v>
      </c>
      <c r="F333" s="11">
        <f t="shared" si="29"/>
        <v>-0.83682577202103414</v>
      </c>
      <c r="G333" s="11">
        <f t="shared" si="30"/>
        <v>-0.84878679754575992</v>
      </c>
    </row>
    <row r="334" spans="5:7" x14ac:dyDescent="0.25">
      <c r="E334" s="11">
        <f t="shared" si="28"/>
        <v>-8</v>
      </c>
      <c r="F334" s="11">
        <f t="shared" si="29"/>
        <v>-0.74657127341436214</v>
      </c>
      <c r="G334" s="11">
        <f t="shared" si="30"/>
        <v>-0.75570370131459985</v>
      </c>
    </row>
    <row r="335" spans="5:7" x14ac:dyDescent="0.25">
      <c r="E335" s="11">
        <f t="shared" si="28"/>
        <v>-7</v>
      </c>
      <c r="F335" s="11">
        <f t="shared" si="29"/>
        <v>-0.65560128811590335</v>
      </c>
      <c r="G335" s="11">
        <f t="shared" si="30"/>
        <v>-0.66222012878567282</v>
      </c>
    </row>
    <row r="336" spans="5:7" x14ac:dyDescent="0.25">
      <c r="E336" s="11">
        <f t="shared" si="28"/>
        <v>-6</v>
      </c>
      <c r="F336" s="11">
        <f t="shared" si="29"/>
        <v>-0.56392697114447066</v>
      </c>
      <c r="G336" s="11">
        <f t="shared" si="30"/>
        <v>-0.56837629680724389</v>
      </c>
    </row>
    <row r="337" spans="5:7" x14ac:dyDescent="0.25">
      <c r="E337" s="11">
        <f t="shared" si="28"/>
        <v>-5</v>
      </c>
      <c r="F337" s="11">
        <f t="shared" si="29"/>
        <v>-0.47156191050208784</v>
      </c>
      <c r="G337" s="11">
        <f t="shared" si="30"/>
        <v>-0.47421242222757892</v>
      </c>
    </row>
    <row r="338" spans="5:7" x14ac:dyDescent="0.25">
      <c r="E338" s="11">
        <f t="shared" si="28"/>
        <v>-4</v>
      </c>
      <c r="F338" s="11">
        <f t="shared" si="29"/>
        <v>-0.37852196501229518</v>
      </c>
      <c r="G338" s="11">
        <f t="shared" si="30"/>
        <v>-0.37976872189494304</v>
      </c>
    </row>
    <row r="339" spans="5:7" x14ac:dyDescent="0.25">
      <c r="E339" s="11">
        <f t="shared" si="28"/>
        <v>-3</v>
      </c>
      <c r="F339" s="11">
        <f t="shared" si="29"/>
        <v>-0.28482509108698378</v>
      </c>
      <c r="G339" s="11">
        <f t="shared" si="30"/>
        <v>-0.28508541265760184</v>
      </c>
    </row>
    <row r="340" spans="5:7" x14ac:dyDescent="0.25">
      <c r="E340" s="11">
        <f t="shared" si="28"/>
        <v>-2</v>
      </c>
      <c r="F340" s="11">
        <f t="shared" si="29"/>
        <v>-0.19049115900265015</v>
      </c>
      <c r="G340" s="11">
        <f t="shared" si="30"/>
        <v>-0.19020271136382064</v>
      </c>
    </row>
    <row r="341" spans="5:7" x14ac:dyDescent="0.25">
      <c r="E341" s="11">
        <f t="shared" si="28"/>
        <v>-1</v>
      </c>
      <c r="F341" s="11">
        <f t="shared" si="29"/>
        <v>-9.5541759305123999E-2</v>
      </c>
      <c r="G341" s="11">
        <f t="shared" si="30"/>
        <v>-9.5160834861864885E-2</v>
      </c>
    </row>
    <row r="342" spans="5:7" x14ac:dyDescent="0.25">
      <c r="E342" s="11">
        <f t="shared" si="28"/>
        <v>0</v>
      </c>
      <c r="F342" s="11">
        <f t="shared" si="29"/>
        <v>0</v>
      </c>
      <c r="G342" s="11">
        <f t="shared" si="30"/>
        <v>-1.7347234759768071E-18</v>
      </c>
    </row>
    <row r="343" spans="5:7" x14ac:dyDescent="0.25">
      <c r="E343" s="11">
        <f t="shared" si="28"/>
        <v>1</v>
      </c>
      <c r="F343" s="11">
        <f t="shared" si="29"/>
        <v>9.6109704775830571E-2</v>
      </c>
      <c r="G343" s="11">
        <f t="shared" si="30"/>
        <v>9.5249904299724755E-2</v>
      </c>
    </row>
    <row r="344" spans="5:7" x14ac:dyDescent="0.25">
      <c r="E344" s="11">
        <f t="shared" si="28"/>
        <v>2</v>
      </c>
      <c r="F344" s="11">
        <f t="shared" si="29"/>
        <v>0.19276185386797837</v>
      </c>
      <c r="G344" s="11">
        <f t="shared" si="30"/>
        <v>0.19060030082012464</v>
      </c>
    </row>
    <row r="345" spans="5:7" x14ac:dyDescent="0.25">
      <c r="E345" s="11">
        <f t="shared" si="28"/>
        <v>3</v>
      </c>
      <c r="F345" s="11">
        <f t="shared" si="29"/>
        <v>0.28993008523194658</v>
      </c>
      <c r="G345" s="11">
        <f t="shared" si="30"/>
        <v>0.28607294027023111</v>
      </c>
    </row>
    <row r="346" spans="5:7" x14ac:dyDescent="0.25">
      <c r="E346" s="11">
        <f t="shared" si="28"/>
        <v>4</v>
      </c>
      <c r="F346" s="11">
        <f t="shared" si="29"/>
        <v>0.38758740826420279</v>
      </c>
      <c r="G346" s="11">
        <f t="shared" si="30"/>
        <v>0.38168957335907561</v>
      </c>
    </row>
    <row r="347" spans="5:7" x14ac:dyDescent="0.25">
      <c r="E347" s="11">
        <f t="shared" si="28"/>
        <v>5</v>
      </c>
      <c r="F347" s="11">
        <f t="shared" si="29"/>
        <v>0.48570644148885367</v>
      </c>
      <c r="G347" s="11">
        <f t="shared" si="30"/>
        <v>0.4774719507956896</v>
      </c>
    </row>
    <row r="348" spans="5:7" x14ac:dyDescent="0.25">
      <c r="E348" s="11">
        <f t="shared" si="28"/>
        <v>6</v>
      </c>
      <c r="F348" s="11">
        <f t="shared" si="29"/>
        <v>0.58425965471366925</v>
      </c>
      <c r="G348" s="11">
        <f t="shared" si="30"/>
        <v>0.57344182328910431</v>
      </c>
    </row>
    <row r="349" spans="5:7" x14ac:dyDescent="0.25">
      <c r="E349" s="11">
        <f t="shared" si="28"/>
        <v>7</v>
      </c>
      <c r="F349" s="11">
        <f t="shared" si="29"/>
        <v>0.68321961473103865</v>
      </c>
      <c r="G349" s="11">
        <f t="shared" si="30"/>
        <v>0.66962094154835161</v>
      </c>
    </row>
    <row r="350" spans="5:7" x14ac:dyDescent="0.25">
      <c r="E350" s="11">
        <f t="shared" si="28"/>
        <v>8</v>
      </c>
      <c r="F350" s="11">
        <f t="shared" si="29"/>
        <v>0.782559233601263</v>
      </c>
      <c r="G350" s="11">
        <f t="shared" si="30"/>
        <v>0.76603105628246249</v>
      </c>
    </row>
    <row r="351" spans="5:7" x14ac:dyDescent="0.25">
      <c r="E351" s="11">
        <f t="shared" ref="E351:E414" si="31">E144</f>
        <v>9</v>
      </c>
      <c r="F351" s="11">
        <f t="shared" ref="F351:F414" si="32">$H$217*0+E351*$I$217+E351^2*$J$217+E351^3*$K$217+E351^4*$L$217+E351^5*$M$217+E351^6*$N$217+E351^7*$O$217+E351^8*$P$217</f>
        <v>0.88225201851742452</v>
      </c>
      <c r="G351" s="11">
        <f t="shared" ref="G351:G414" si="33">F144</f>
        <v>0.8626939182004687</v>
      </c>
    </row>
    <row r="352" spans="5:7" x14ac:dyDescent="0.25">
      <c r="E352" s="11">
        <f t="shared" si="31"/>
        <v>10</v>
      </c>
      <c r="F352" s="11">
        <f t="shared" si="32"/>
        <v>0.98227232221289795</v>
      </c>
      <c r="G352" s="11">
        <f t="shared" si="33"/>
        <v>0.95963127801140147</v>
      </c>
    </row>
    <row r="353" spans="5:7" x14ac:dyDescent="0.25">
      <c r="E353" s="11">
        <f t="shared" si="31"/>
        <v>11</v>
      </c>
      <c r="F353" s="11">
        <f t="shared" si="32"/>
        <v>1.0825955928344053</v>
      </c>
      <c r="G353" s="11">
        <f t="shared" si="33"/>
        <v>1.0568648864242924</v>
      </c>
    </row>
    <row r="354" spans="5:7" x14ac:dyDescent="0.25">
      <c r="E354" s="11">
        <f t="shared" si="31"/>
        <v>12</v>
      </c>
      <c r="F354" s="11">
        <f t="shared" si="32"/>
        <v>1.1831986221653294</v>
      </c>
      <c r="G354" s="11">
        <f t="shared" si="33"/>
        <v>1.1544164941481725</v>
      </c>
    </row>
    <row r="355" spans="5:7" x14ac:dyDescent="0.25">
      <c r="E355" s="11">
        <f t="shared" si="31"/>
        <v>13</v>
      </c>
      <c r="F355" s="11">
        <f t="shared" si="32"/>
        <v>1.2840597910458595</v>
      </c>
      <c r="G355" s="11">
        <f t="shared" si="33"/>
        <v>1.2523078518920738</v>
      </c>
    </row>
    <row r="356" spans="5:7" x14ac:dyDescent="0.25">
      <c r="E356" s="11">
        <f t="shared" si="31"/>
        <v>14</v>
      </c>
      <c r="F356" s="11">
        <f t="shared" si="32"/>
        <v>1.3851593107983324</v>
      </c>
      <c r="G356" s="11">
        <f t="shared" si="33"/>
        <v>1.3505607103650277</v>
      </c>
    </row>
    <row r="357" spans="5:7" x14ac:dyDescent="0.25">
      <c r="E357" s="11">
        <f t="shared" si="31"/>
        <v>15</v>
      </c>
      <c r="F357" s="11">
        <f t="shared" si="32"/>
        <v>1.4864794594280062</v>
      </c>
      <c r="G357" s="11">
        <f t="shared" si="33"/>
        <v>1.4491968202760652</v>
      </c>
    </row>
    <row r="358" spans="5:7" x14ac:dyDescent="0.25">
      <c r="E358" s="11">
        <f t="shared" si="31"/>
        <v>16</v>
      </c>
      <c r="F358" s="11">
        <f t="shared" si="32"/>
        <v>1.5880048113312895</v>
      </c>
      <c r="G358" s="11">
        <f t="shared" si="33"/>
        <v>1.5482379323342181</v>
      </c>
    </row>
    <row r="359" spans="5:7" x14ac:dyDescent="0.25">
      <c r="E359" s="11">
        <f t="shared" si="31"/>
        <v>17</v>
      </c>
      <c r="F359" s="11">
        <f t="shared" si="32"/>
        <v>1.6897224592053173</v>
      </c>
      <c r="G359" s="11">
        <f t="shared" si="33"/>
        <v>1.6477057972485176</v>
      </c>
    </row>
    <row r="360" spans="5:7" x14ac:dyDescent="0.25">
      <c r="E360" s="11">
        <f t="shared" si="31"/>
        <v>18</v>
      </c>
      <c r="F360" s="11">
        <f t="shared" si="32"/>
        <v>1.7916222268145665</v>
      </c>
      <c r="G360" s="11">
        <f t="shared" si="33"/>
        <v>1.7476221657279953</v>
      </c>
    </row>
    <row r="361" spans="5:7" x14ac:dyDescent="0.25">
      <c r="E361" s="11">
        <f t="shared" si="31"/>
        <v>19</v>
      </c>
      <c r="F361" s="11">
        <f t="shared" si="32"/>
        <v>1.8936968712320454</v>
      </c>
      <c r="G361" s="11">
        <f t="shared" si="33"/>
        <v>1.8480087884816825</v>
      </c>
    </row>
    <row r="362" spans="5:7" x14ac:dyDescent="0.25">
      <c r="E362" s="11">
        <f t="shared" si="31"/>
        <v>20</v>
      </c>
      <c r="F362" s="11">
        <f t="shared" si="32"/>
        <v>1.9959422731344225</v>
      </c>
      <c r="G362" s="11">
        <f t="shared" si="33"/>
        <v>1.9488874162186107</v>
      </c>
    </row>
    <row r="363" spans="5:7" x14ac:dyDescent="0.25">
      <c r="E363" s="11">
        <f t="shared" si="31"/>
        <v>21</v>
      </c>
      <c r="F363" s="11">
        <f t="shared" si="32"/>
        <v>2.0983576136922801</v>
      </c>
      <c r="G363" s="11">
        <f t="shared" si="33"/>
        <v>2.0502797996478113</v>
      </c>
    </row>
    <row r="364" spans="5:7" x14ac:dyDescent="0.25">
      <c r="E364" s="11">
        <f t="shared" si="31"/>
        <v>22</v>
      </c>
      <c r="F364" s="11">
        <f t="shared" si="32"/>
        <v>2.2009455365585215</v>
      </c>
      <c r="G364" s="11">
        <f t="shared" si="33"/>
        <v>2.152207689478316</v>
      </c>
    </row>
    <row r="365" spans="5:7" x14ac:dyDescent="0.25">
      <c r="E365" s="11">
        <f t="shared" si="31"/>
        <v>23</v>
      </c>
      <c r="F365" s="11">
        <f t="shared" si="32"/>
        <v>2.3037122934197756</v>
      </c>
      <c r="G365" s="11">
        <f t="shared" si="33"/>
        <v>2.2546928364191556</v>
      </c>
    </row>
    <row r="366" spans="5:7" x14ac:dyDescent="0.25">
      <c r="E366" s="11">
        <f t="shared" si="31"/>
        <v>24</v>
      </c>
      <c r="F366" s="11">
        <f t="shared" si="32"/>
        <v>2.4066678715374823</v>
      </c>
      <c r="G366" s="11">
        <f t="shared" si="33"/>
        <v>2.3577569911793623</v>
      </c>
    </row>
    <row r="367" spans="5:7" x14ac:dyDescent="0.25">
      <c r="E367" s="11">
        <f t="shared" si="31"/>
        <v>25</v>
      </c>
      <c r="F367" s="11">
        <f t="shared" si="32"/>
        <v>2.5098261016671648</v>
      </c>
      <c r="G367" s="11">
        <f t="shared" si="33"/>
        <v>2.4614219044679673</v>
      </c>
    </row>
    <row r="368" spans="5:7" x14ac:dyDescent="0.25">
      <c r="E368" s="11">
        <f t="shared" si="31"/>
        <v>26</v>
      </c>
      <c r="F368" s="11">
        <f t="shared" si="32"/>
        <v>2.6132047447062372</v>
      </c>
      <c r="G368" s="11">
        <f t="shared" si="33"/>
        <v>2.5657093269940017</v>
      </c>
    </row>
    <row r="369" spans="5:7" x14ac:dyDescent="0.25">
      <c r="E369" s="11">
        <f t="shared" si="31"/>
        <v>27</v>
      </c>
      <c r="F369" s="11">
        <f t="shared" si="32"/>
        <v>2.716825555382496</v>
      </c>
      <c r="G369" s="11">
        <f t="shared" si="33"/>
        <v>2.6706410094664972</v>
      </c>
    </row>
    <row r="370" spans="5:7" x14ac:dyDescent="0.25">
      <c r="E370" s="11">
        <f t="shared" si="31"/>
        <v>28</v>
      </c>
      <c r="F370" s="11">
        <f t="shared" si="32"/>
        <v>2.8207143212573209</v>
      </c>
      <c r="G370" s="11">
        <f t="shared" si="33"/>
        <v>2.776238702594485</v>
      </c>
    </row>
    <row r="371" spans="5:7" x14ac:dyDescent="0.25">
      <c r="E371" s="11">
        <f t="shared" si="31"/>
        <v>29</v>
      </c>
      <c r="F371" s="11">
        <f t="shared" si="32"/>
        <v>2.9249008752793886</v>
      </c>
      <c r="G371" s="11">
        <f t="shared" si="33"/>
        <v>2.8825241570869973</v>
      </c>
    </row>
    <row r="372" spans="5:7" x14ac:dyDescent="0.25">
      <c r="E372" s="11">
        <f t="shared" si="31"/>
        <v>30</v>
      </c>
      <c r="F372" s="11">
        <f t="shared" si="32"/>
        <v>3.0294190800865617</v>
      </c>
      <c r="G372" s="11">
        <f t="shared" si="33"/>
        <v>2.9895191236530647</v>
      </c>
    </row>
    <row r="373" spans="5:7" x14ac:dyDescent="0.25">
      <c r="E373" s="11">
        <f t="shared" si="31"/>
        <v>31</v>
      </c>
      <c r="F373" s="11">
        <f t="shared" si="32"/>
        <v>3.1343067822154578</v>
      </c>
      <c r="G373" s="11">
        <f t="shared" si="33"/>
        <v>3.097245353001719</v>
      </c>
    </row>
    <row r="374" spans="5:7" x14ac:dyDescent="0.25">
      <c r="E374" s="11">
        <f t="shared" si="31"/>
        <v>32</v>
      </c>
      <c r="F374" s="11">
        <f t="shared" si="32"/>
        <v>3.2396057343399787</v>
      </c>
      <c r="G374" s="11">
        <f t="shared" si="33"/>
        <v>3.2057245958419913</v>
      </c>
    </row>
    <row r="375" spans="5:7" x14ac:dyDescent="0.25">
      <c r="E375" s="11">
        <f t="shared" si="31"/>
        <v>33</v>
      </c>
      <c r="F375" s="11">
        <f t="shared" si="32"/>
        <v>3.345361483621986</v>
      </c>
      <c r="G375" s="11">
        <f t="shared" si="33"/>
        <v>3.3149786028829133</v>
      </c>
    </row>
    <row r="376" spans="5:7" x14ac:dyDescent="0.25">
      <c r="E376" s="11">
        <f t="shared" si="31"/>
        <v>34</v>
      </c>
      <c r="F376" s="11">
        <f t="shared" si="32"/>
        <v>3.4516232242190643</v>
      </c>
      <c r="G376" s="11">
        <f t="shared" si="33"/>
        <v>3.4250291248335167</v>
      </c>
    </row>
    <row r="377" spans="5:7" x14ac:dyDescent="0.25">
      <c r="E377" s="11">
        <f t="shared" si="31"/>
        <v>35</v>
      </c>
      <c r="F377" s="11">
        <f t="shared" si="32"/>
        <v>3.5584436119561889</v>
      </c>
      <c r="G377" s="11">
        <f t="shared" si="33"/>
        <v>3.5358979124028322</v>
      </c>
    </row>
    <row r="378" spans="5:7" x14ac:dyDescent="0.25">
      <c r="E378" s="11">
        <f t="shared" si="31"/>
        <v>36</v>
      </c>
      <c r="F378" s="11">
        <f t="shared" si="32"/>
        <v>3.6658785391299471</v>
      </c>
      <c r="G378" s="11">
        <f t="shared" si="33"/>
        <v>3.6476067162998924</v>
      </c>
    </row>
    <row r="379" spans="5:7" x14ac:dyDescent="0.25">
      <c r="E379" s="11">
        <f t="shared" si="31"/>
        <v>37</v>
      </c>
      <c r="F379" s="11">
        <f t="shared" si="32"/>
        <v>3.7739868673757391</v>
      </c>
      <c r="G379" s="11">
        <f t="shared" si="33"/>
        <v>3.7601772872337276</v>
      </c>
    </row>
    <row r="380" spans="5:7" x14ac:dyDescent="0.25">
      <c r="E380" s="11">
        <f t="shared" si="31"/>
        <v>38</v>
      </c>
      <c r="F380" s="11">
        <f t="shared" si="32"/>
        <v>3.8828301164902941</v>
      </c>
      <c r="G380" s="11">
        <f t="shared" si="33"/>
        <v>3.8736313759133698</v>
      </c>
    </row>
    <row r="381" spans="5:7" x14ac:dyDescent="0.25">
      <c r="E381" s="11">
        <f t="shared" si="31"/>
        <v>39</v>
      </c>
      <c r="F381" s="11">
        <f t="shared" si="32"/>
        <v>3.9924721070635956</v>
      </c>
      <c r="G381" s="11">
        <f t="shared" si="33"/>
        <v>3.9879907330478499</v>
      </c>
    </row>
    <row r="382" spans="5:7" x14ac:dyDescent="0.25">
      <c r="E382" s="11">
        <f t="shared" si="31"/>
        <v>40</v>
      </c>
      <c r="F382" s="11">
        <f t="shared" si="32"/>
        <v>4.1029785547361621</v>
      </c>
      <c r="G382" s="11">
        <f t="shared" si="33"/>
        <v>4.1032771093462008</v>
      </c>
    </row>
    <row r="383" spans="5:7" x14ac:dyDescent="0.25">
      <c r="E383" s="11">
        <f t="shared" si="31"/>
        <v>41</v>
      </c>
      <c r="F383" s="11">
        <f t="shared" si="32"/>
        <v>4.2144166138595081</v>
      </c>
      <c r="G383" s="11">
        <f t="shared" si="33"/>
        <v>4.2195122555174516</v>
      </c>
    </row>
    <row r="384" spans="5:7" x14ac:dyDescent="0.25">
      <c r="E384" s="11">
        <f t="shared" si="31"/>
        <v>42</v>
      </c>
      <c r="F384" s="11">
        <f t="shared" si="32"/>
        <v>4.3268543682993297</v>
      </c>
      <c r="G384" s="11">
        <f t="shared" si="33"/>
        <v>4.336717922270636</v>
      </c>
    </row>
    <row r="385" spans="5:7" x14ac:dyDescent="0.25">
      <c r="E385" s="11">
        <f t="shared" si="31"/>
        <v>43</v>
      </c>
      <c r="F385" s="11">
        <f t="shared" si="32"/>
        <v>4.4403602670829212</v>
      </c>
      <c r="G385" s="11">
        <f t="shared" si="33"/>
        <v>4.4549158603147836</v>
      </c>
    </row>
    <row r="386" spans="5:7" x14ac:dyDescent="0.25">
      <c r="E386" s="11">
        <f t="shared" si="31"/>
        <v>44</v>
      </c>
      <c r="F386" s="11">
        <f t="shared" si="32"/>
        <v>4.5550025025540322</v>
      </c>
      <c r="G386" s="11">
        <f t="shared" si="33"/>
        <v>4.5741278203589282</v>
      </c>
    </row>
    <row r="387" spans="5:7" x14ac:dyDescent="0.25">
      <c r="E387" s="11">
        <f t="shared" si="31"/>
        <v>45</v>
      </c>
      <c r="F387" s="11">
        <f t="shared" si="32"/>
        <v>4.6708483286603322</v>
      </c>
      <c r="G387" s="11">
        <f t="shared" si="33"/>
        <v>4.6943755531120983</v>
      </c>
    </row>
    <row r="388" spans="5:7" x14ac:dyDescent="0.25">
      <c r="E388" s="11">
        <f t="shared" si="31"/>
        <v>46</v>
      </c>
      <c r="F388" s="11">
        <f t="shared" si="32"/>
        <v>4.7879633169603233</v>
      </c>
      <c r="G388" s="11">
        <f t="shared" si="33"/>
        <v>4.8156721483393543</v>
      </c>
    </row>
    <row r="389" spans="5:7" x14ac:dyDescent="0.25">
      <c r="E389" s="11">
        <f t="shared" si="31"/>
        <v>47</v>
      </c>
      <c r="F389" s="11">
        <f t="shared" si="32"/>
        <v>4.9064105478985534</v>
      </c>
      <c r="G389" s="11">
        <f t="shared" si="33"/>
        <v>4.9379960520298676</v>
      </c>
    </row>
    <row r="390" spans="5:7" x14ac:dyDescent="0.25">
      <c r="E390" s="11">
        <f t="shared" si="31"/>
        <v>48</v>
      </c>
      <c r="F390" s="11">
        <f t="shared" si="32"/>
        <v>5.0262497348596504</v>
      </c>
      <c r="G390" s="11">
        <f t="shared" si="33"/>
        <v>5.061317049228836</v>
      </c>
    </row>
    <row r="391" spans="5:7" x14ac:dyDescent="0.25">
      <c r="E391" s="11">
        <f t="shared" si="31"/>
        <v>49</v>
      </c>
      <c r="F391" s="11">
        <f t="shared" si="32"/>
        <v>5.1475362784736074</v>
      </c>
      <c r="G391" s="11">
        <f t="shared" si="33"/>
        <v>5.1856049249814582</v>
      </c>
    </row>
    <row r="392" spans="5:7" x14ac:dyDescent="0.25">
      <c r="E392" s="11">
        <f t="shared" si="31"/>
        <v>50</v>
      </c>
      <c r="F392" s="11">
        <f t="shared" si="32"/>
        <v>5.2703202486066054</v>
      </c>
      <c r="G392" s="11">
        <f t="shared" si="33"/>
        <v>5.3108294643329312</v>
      </c>
    </row>
    <row r="393" spans="5:7" x14ac:dyDescent="0.25">
      <c r="E393" s="11">
        <f t="shared" si="31"/>
        <v>51</v>
      </c>
      <c r="F393" s="11">
        <f t="shared" si="32"/>
        <v>5.3946452914333829</v>
      </c>
      <c r="G393" s="11">
        <f t="shared" si="33"/>
        <v>5.4369604523284547</v>
      </c>
    </row>
    <row r="394" spans="5:7" x14ac:dyDescent="0.25">
      <c r="E394" s="11">
        <f t="shared" si="31"/>
        <v>52</v>
      </c>
      <c r="F394" s="11">
        <f t="shared" si="32"/>
        <v>5.5205474589491148</v>
      </c>
      <c r="G394" s="11">
        <f t="shared" si="33"/>
        <v>5.5639676740132273</v>
      </c>
    </row>
    <row r="395" spans="5:7" x14ac:dyDescent="0.25">
      <c r="E395" s="11">
        <f t="shared" si="31"/>
        <v>53</v>
      </c>
      <c r="F395" s="11">
        <f t="shared" si="32"/>
        <v>5.6480539582405074</v>
      </c>
      <c r="G395" s="11">
        <f t="shared" si="33"/>
        <v>5.6918209144324461</v>
      </c>
    </row>
    <row r="396" spans="5:7" x14ac:dyDescent="0.25">
      <c r="E396" s="11">
        <f t="shared" si="31"/>
        <v>54</v>
      </c>
      <c r="F396" s="11">
        <f t="shared" si="32"/>
        <v>5.7771818177976861</v>
      </c>
      <c r="G396" s="11">
        <f t="shared" si="33"/>
        <v>5.8204899586313097</v>
      </c>
    </row>
    <row r="397" spans="5:7" x14ac:dyDescent="0.25">
      <c r="E397" s="11">
        <f t="shared" si="31"/>
        <v>55</v>
      </c>
      <c r="F397" s="11">
        <f t="shared" si="32"/>
        <v>5.9079364681102504</v>
      </c>
      <c r="G397" s="11">
        <f t="shared" si="33"/>
        <v>5.949944591655016</v>
      </c>
    </row>
    <row r="398" spans="5:7" x14ac:dyDescent="0.25">
      <c r="E398" s="11">
        <f t="shared" si="31"/>
        <v>56</v>
      </c>
      <c r="F398" s="11">
        <f t="shared" si="32"/>
        <v>6.0403102337527397</v>
      </c>
      <c r="G398" s="11">
        <f t="shared" si="33"/>
        <v>6.0801545985487646</v>
      </c>
    </row>
    <row r="399" spans="5:7" x14ac:dyDescent="0.25">
      <c r="E399" s="11">
        <f t="shared" si="31"/>
        <v>57</v>
      </c>
      <c r="F399" s="11">
        <f t="shared" si="32"/>
        <v>6.1742807341265706</v>
      </c>
      <c r="G399" s="11">
        <f t="shared" si="33"/>
        <v>6.2110897643577534</v>
      </c>
    </row>
    <row r="400" spans="5:7" x14ac:dyDescent="0.25">
      <c r="E400" s="11">
        <f t="shared" si="31"/>
        <v>58</v>
      </c>
      <c r="F400" s="11">
        <f t="shared" si="32"/>
        <v>6.309809189987285</v>
      </c>
      <c r="G400" s="11">
        <f t="shared" si="33"/>
        <v>6.3427198741271802</v>
      </c>
    </row>
    <row r="401" spans="5:7" x14ac:dyDescent="0.25">
      <c r="E401" s="11">
        <f t="shared" si="31"/>
        <v>59</v>
      </c>
      <c r="F401" s="11">
        <f t="shared" si="32"/>
        <v>6.4468386328478697</v>
      </c>
      <c r="G401" s="11">
        <f t="shared" si="33"/>
        <v>6.4750147129022437</v>
      </c>
    </row>
    <row r="402" spans="5:7" x14ac:dyDescent="0.25">
      <c r="E402" s="11">
        <f t="shared" si="31"/>
        <v>60</v>
      </c>
      <c r="F402" s="11">
        <f t="shared" si="32"/>
        <v>6.5852920143106601</v>
      </c>
      <c r="G402" s="11">
        <f t="shared" si="33"/>
        <v>6.6079440657281427</v>
      </c>
    </row>
    <row r="403" spans="5:7" x14ac:dyDescent="0.25">
      <c r="E403" s="11">
        <f t="shared" si="31"/>
        <v>61</v>
      </c>
      <c r="F403" s="11">
        <f t="shared" si="32"/>
        <v>6.7250702123422217</v>
      </c>
      <c r="G403" s="11">
        <f t="shared" si="33"/>
        <v>6.7414777176500751</v>
      </c>
    </row>
    <row r="404" spans="5:7" x14ac:dyDescent="0.25">
      <c r="E404" s="11">
        <f t="shared" si="31"/>
        <v>62</v>
      </c>
      <c r="F404" s="11">
        <f t="shared" si="32"/>
        <v>6.8660499314673524</v>
      </c>
      <c r="G404" s="11">
        <f t="shared" si="33"/>
        <v>6.8755854537132386</v>
      </c>
    </row>
    <row r="405" spans="5:7" x14ac:dyDescent="0.25">
      <c r="E405" s="11">
        <f t="shared" si="31"/>
        <v>63</v>
      </c>
      <c r="F405" s="11">
        <f t="shared" si="32"/>
        <v>7.0080814938203382</v>
      </c>
      <c r="G405" s="11">
        <f t="shared" si="33"/>
        <v>7.0102370589628329</v>
      </c>
    </row>
    <row r="406" spans="5:7" x14ac:dyDescent="0.25">
      <c r="E406" s="11">
        <f t="shared" si="31"/>
        <v>64</v>
      </c>
      <c r="F406" s="11">
        <f t="shared" si="32"/>
        <v>7.1509865179532088</v>
      </c>
      <c r="G406" s="11">
        <f t="shared" si="33"/>
        <v>7.1454023184440558</v>
      </c>
    </row>
    <row r="407" spans="5:7" x14ac:dyDescent="0.25">
      <c r="E407" s="11">
        <f t="shared" si="31"/>
        <v>65</v>
      </c>
      <c r="F407" s="11">
        <f t="shared" si="32"/>
        <v>7.2945554822627638</v>
      </c>
      <c r="G407" s="11">
        <f t="shared" si="33"/>
        <v>7.2810510172021043</v>
      </c>
    </row>
    <row r="408" spans="5:7" x14ac:dyDescent="0.25">
      <c r="E408" s="11">
        <f t="shared" si="31"/>
        <v>66</v>
      </c>
      <c r="F408" s="11">
        <f t="shared" si="32"/>
        <v>7.4385451698598413</v>
      </c>
      <c r="G408" s="11">
        <f t="shared" si="33"/>
        <v>7.4171529402821781</v>
      </c>
    </row>
    <row r="409" spans="5:7" x14ac:dyDescent="0.25">
      <c r="E409" s="11">
        <f t="shared" si="31"/>
        <v>67</v>
      </c>
      <c r="F409" s="11">
        <f t="shared" si="32"/>
        <v>7.5826759916662043</v>
      </c>
      <c r="G409" s="11">
        <f t="shared" si="33"/>
        <v>7.5536778727294749</v>
      </c>
    </row>
    <row r="410" spans="5:7" x14ac:dyDescent="0.25">
      <c r="E410" s="11">
        <f t="shared" si="31"/>
        <v>68</v>
      </c>
      <c r="F410" s="11">
        <f t="shared" si="32"/>
        <v>7.7266291844861996</v>
      </c>
      <c r="G410" s="11">
        <f t="shared" si="33"/>
        <v>7.6905955995891944</v>
      </c>
    </row>
    <row r="411" spans="5:7" x14ac:dyDescent="0.25">
      <c r="E411" s="11">
        <f t="shared" si="31"/>
        <v>69</v>
      </c>
      <c r="F411" s="11">
        <f t="shared" si="32"/>
        <v>7.8700438807622195</v>
      </c>
      <c r="G411" s="11">
        <f t="shared" si="33"/>
        <v>7.8278759059065326</v>
      </c>
    </row>
    <row r="412" spans="5:7" x14ac:dyDescent="0.25">
      <c r="E412" s="11">
        <f t="shared" si="31"/>
        <v>70</v>
      </c>
      <c r="F412" s="11">
        <f t="shared" si="32"/>
        <v>8.0125140466847711</v>
      </c>
      <c r="G412" s="11">
        <f t="shared" si="33"/>
        <v>7.9654885767266901</v>
      </c>
    </row>
    <row r="413" spans="5:7" x14ac:dyDescent="0.25">
      <c r="E413" s="11">
        <f t="shared" si="31"/>
        <v>71</v>
      </c>
      <c r="F413" s="11">
        <f t="shared" si="32"/>
        <v>8.1535852852898607</v>
      </c>
      <c r="G413" s="11">
        <f t="shared" si="33"/>
        <v>8.1034033970948638</v>
      </c>
    </row>
    <row r="414" spans="5:7" x14ac:dyDescent="0.25">
      <c r="E414" s="11">
        <f t="shared" si="31"/>
        <v>72</v>
      </c>
      <c r="F414" s="11">
        <f t="shared" si="32"/>
        <v>8.2927515011381345</v>
      </c>
      <c r="G414" s="11">
        <f t="shared" si="33"/>
        <v>8.2415901520562524</v>
      </c>
    </row>
    <row r="415" spans="5:7" x14ac:dyDescent="0.25">
      <c r="E415" s="11">
        <f t="shared" ref="E415:E422" si="34">E208</f>
        <v>73</v>
      </c>
      <c r="F415" s="11">
        <f t="shared" ref="F415:F422" si="35">$H$217*0+E415*$I$217+E415^2*$J$217+E415^3*$K$217+E415^4*$L$217+E415^5*$M$217+E415^6*$N$217+E415^7*$O$217+E415^8*$P$217</f>
        <v>8.429451423132166</v>
      </c>
      <c r="G415" s="11">
        <f t="shared" ref="G415:G422" si="36">F208</f>
        <v>8.3800186266560548</v>
      </c>
    </row>
    <row r="416" spans="5:7" x14ac:dyDescent="0.25">
      <c r="E416" s="11">
        <f t="shared" si="34"/>
        <v>74</v>
      </c>
      <c r="F416" s="11">
        <f t="shared" si="35"/>
        <v>8.5630649819899727</v>
      </c>
      <c r="G416" s="11">
        <f t="shared" si="36"/>
        <v>8.5186586059394696</v>
      </c>
    </row>
    <row r="417" spans="5:7" x14ac:dyDescent="0.25">
      <c r="E417" s="11">
        <f t="shared" si="34"/>
        <v>75</v>
      </c>
      <c r="F417" s="11">
        <f t="shared" si="35"/>
        <v>8.6929095388548099</v>
      </c>
      <c r="G417" s="11">
        <f t="shared" si="36"/>
        <v>8.6574798749516937</v>
      </c>
    </row>
    <row r="418" spans="5:7" x14ac:dyDescent="0.25">
      <c r="E418" s="11">
        <f t="shared" si="34"/>
        <v>76</v>
      </c>
      <c r="F418" s="11">
        <f t="shared" si="35"/>
        <v>8.8182359614830066</v>
      </c>
      <c r="G418" s="11">
        <f t="shared" si="36"/>
        <v>8.7964522187379259</v>
      </c>
    </row>
    <row r="419" spans="5:7" x14ac:dyDescent="0.25">
      <c r="E419" s="11">
        <f t="shared" si="34"/>
        <v>77</v>
      </c>
      <c r="F419" s="11">
        <f t="shared" si="35"/>
        <v>8.9382245444135187</v>
      </c>
      <c r="G419" s="11">
        <f t="shared" si="36"/>
        <v>8.935545422343365</v>
      </c>
    </row>
    <row r="420" spans="5:7" x14ac:dyDescent="0.25">
      <c r="E420" s="11">
        <f t="shared" si="34"/>
        <v>78</v>
      </c>
      <c r="F420" s="11">
        <f t="shared" si="35"/>
        <v>9.0519807694846293</v>
      </c>
      <c r="G420" s="11">
        <f t="shared" si="36"/>
        <v>9.0747292708132097</v>
      </c>
    </row>
    <row r="421" spans="5:7" x14ac:dyDescent="0.25">
      <c r="E421" s="11">
        <f t="shared" si="34"/>
        <v>79</v>
      </c>
      <c r="F421" s="11">
        <f t="shared" si="35"/>
        <v>9.1585309030251807</v>
      </c>
      <c r="G421" s="11">
        <f t="shared" si="36"/>
        <v>9.2139735491926569</v>
      </c>
    </row>
    <row r="422" spans="5:7" x14ac:dyDescent="0.25">
      <c r="E422" s="11">
        <f t="shared" si="34"/>
        <v>80</v>
      </c>
      <c r="F422" s="11">
        <f t="shared" si="35"/>
        <v>9.256817426009361</v>
      </c>
      <c r="G422" s="11">
        <f t="shared" si="36"/>
        <v>9.3532480425269053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2022-01-12T17:40:24Z</dcterms:modified>
</cp:coreProperties>
</file>