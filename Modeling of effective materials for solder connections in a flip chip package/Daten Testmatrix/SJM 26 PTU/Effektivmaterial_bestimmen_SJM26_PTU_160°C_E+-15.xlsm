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M3" i="8" l="1"/>
  <c r="L1" i="37" l="1"/>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N122" i="43" l="1"/>
  <c r="O33" i="11"/>
  <c r="N33" i="11"/>
  <c r="P33" i="11" s="1"/>
  <c r="O32" i="11"/>
  <c r="N32" i="11"/>
  <c r="O31" i="11"/>
  <c r="N31" i="11"/>
  <c r="O30" i="11"/>
  <c r="N30" i="11"/>
  <c r="P30" i="11" s="1"/>
  <c r="O29" i="11"/>
  <c r="N29" i="11"/>
  <c r="P29" i="11" s="1"/>
  <c r="O28" i="11"/>
  <c r="N28" i="11"/>
  <c r="O27" i="11"/>
  <c r="N27" i="11"/>
  <c r="P27" i="11" s="1"/>
  <c r="O26" i="11"/>
  <c r="N26" i="11"/>
  <c r="O25" i="11"/>
  <c r="N25" i="11"/>
  <c r="O24" i="11"/>
  <c r="N24" i="11"/>
  <c r="O23" i="11"/>
  <c r="N23" i="11"/>
  <c r="O22" i="11"/>
  <c r="N22" i="11"/>
  <c r="P22" i="11" s="1"/>
  <c r="O21" i="11"/>
  <c r="N21" i="11"/>
  <c r="O20" i="11"/>
  <c r="N20" i="11"/>
  <c r="O19" i="11"/>
  <c r="N19" i="11"/>
  <c r="P19" i="11" s="1"/>
  <c r="O18" i="11"/>
  <c r="N18" i="11"/>
  <c r="O17" i="11"/>
  <c r="N17" i="11"/>
  <c r="O16" i="11"/>
  <c r="N16" i="11"/>
  <c r="O15" i="11"/>
  <c r="N15" i="11"/>
  <c r="P15" i="11" s="1"/>
  <c r="O14" i="11"/>
  <c r="N14" i="11"/>
  <c r="O13" i="11"/>
  <c r="N13" i="11"/>
  <c r="O12" i="11"/>
  <c r="N12" i="11"/>
  <c r="O11" i="11"/>
  <c r="N11" i="11"/>
  <c r="O10" i="11"/>
  <c r="N10" i="11"/>
  <c r="P10" i="11" s="1"/>
  <c r="O9" i="11"/>
  <c r="N9" i="11"/>
  <c r="P9" i="11" s="1"/>
  <c r="O8" i="11"/>
  <c r="N8" i="11"/>
  <c r="O7" i="11"/>
  <c r="N7" i="11"/>
  <c r="P7" i="11" s="1"/>
  <c r="O6" i="11"/>
  <c r="N6" i="11"/>
  <c r="P6" i="11" s="1"/>
  <c r="O5" i="11"/>
  <c r="N5" i="11"/>
  <c r="O4" i="11"/>
  <c r="N4" i="11"/>
  <c r="O3" i="11"/>
  <c r="N3" i="11"/>
  <c r="P3" i="11" s="1"/>
  <c r="P18" i="11" l="1"/>
  <c r="P21" i="11"/>
  <c r="P13" i="11"/>
  <c r="P5" i="11"/>
  <c r="P11" i="11"/>
  <c r="P14" i="11"/>
  <c r="P25" i="11"/>
  <c r="P31" i="11"/>
  <c r="P17" i="11"/>
  <c r="P23" i="11"/>
  <c r="P26" i="11"/>
  <c r="P4" i="11"/>
  <c r="P16" i="11"/>
  <c r="P28" i="11"/>
  <c r="P12" i="11"/>
  <c r="P24"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R4" i="37" l="1"/>
  <c r="R5" i="37"/>
  <c r="R6" i="37"/>
  <c r="R7" i="37"/>
  <c r="R8" i="37"/>
  <c r="R9" i="37"/>
  <c r="R10" i="37"/>
  <c r="R11" i="37"/>
  <c r="P8" i="37" s="1"/>
  <c r="B32" i="39" s="1"/>
  <c r="R12" i="37"/>
  <c r="R13" i="37"/>
  <c r="R14" i="37"/>
  <c r="R3" i="37"/>
  <c r="L4" i="37"/>
  <c r="L5" i="37"/>
  <c r="L6" i="37"/>
  <c r="L7" i="37"/>
  <c r="L8" i="37"/>
  <c r="L9" i="37"/>
  <c r="L10" i="37"/>
  <c r="L11" i="37"/>
  <c r="L12" i="37"/>
  <c r="L13" i="37"/>
  <c r="L14" i="37"/>
  <c r="L3" i="37"/>
  <c r="P5" i="37" l="1"/>
  <c r="B30" i="39" s="1"/>
  <c r="P7" i="37"/>
  <c r="P9" i="37"/>
  <c r="B33" i="39" s="1"/>
  <c r="P6" i="37"/>
  <c r="B31"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B403" i="43"/>
  <c r="G403" i="43"/>
  <c r="C403" i="43"/>
  <c r="D403" i="43"/>
  <c r="E403" i="43"/>
  <c r="H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D406" i="43" l="1"/>
  <c r="D417" i="43"/>
  <c r="D419" i="43"/>
  <c r="D426" i="43"/>
  <c r="D430" i="43"/>
  <c r="D409" i="43"/>
  <c r="D421" i="43"/>
  <c r="D414" i="43"/>
  <c r="D418" i="43"/>
  <c r="D427" i="43"/>
  <c r="D412" i="43"/>
  <c r="D420" i="43"/>
  <c r="D405" i="43"/>
  <c r="D413" i="43"/>
  <c r="D433" i="43"/>
  <c r="D411" i="43"/>
  <c r="D416" i="43"/>
  <c r="D423" i="43"/>
  <c r="D428" i="43"/>
  <c r="D404" i="43"/>
  <c r="D434" i="43"/>
  <c r="D407" i="43"/>
  <c r="D425" i="43"/>
  <c r="D429" i="43"/>
  <c r="D432" i="43"/>
  <c r="D410" i="43"/>
  <c r="D431" i="43"/>
  <c r="D424" i="43"/>
  <c r="D422" i="43"/>
  <c r="D408" i="43"/>
  <c r="D415" i="43"/>
  <c r="E405" i="43"/>
  <c r="E408" i="43"/>
  <c r="E413" i="43"/>
  <c r="E415" i="43"/>
  <c r="E424" i="43"/>
  <c r="E433" i="43"/>
  <c r="E404" i="43"/>
  <c r="E434" i="43"/>
  <c r="E425" i="43"/>
  <c r="E429" i="43"/>
  <c r="E422" i="43"/>
  <c r="E406" i="43"/>
  <c r="E417" i="43"/>
  <c r="E419" i="43"/>
  <c r="E426" i="43"/>
  <c r="E430" i="43"/>
  <c r="E411" i="43"/>
  <c r="E416" i="43"/>
  <c r="E423" i="43"/>
  <c r="E418" i="43"/>
  <c r="E427" i="43"/>
  <c r="E410" i="43"/>
  <c r="E420" i="43"/>
  <c r="E431" i="43"/>
  <c r="E414" i="43"/>
  <c r="E421" i="43"/>
  <c r="E409" i="43"/>
  <c r="E432" i="43"/>
  <c r="E412" i="43"/>
  <c r="E407" i="43"/>
  <c r="E428" i="43"/>
  <c r="C406" i="43"/>
  <c r="C423" i="43"/>
  <c r="C428" i="43"/>
  <c r="C404" i="43"/>
  <c r="C414" i="43"/>
  <c r="C418" i="43"/>
  <c r="C425" i="43"/>
  <c r="C429" i="43"/>
  <c r="C432" i="43"/>
  <c r="C410" i="43"/>
  <c r="C431" i="43"/>
  <c r="C405" i="43"/>
  <c r="C419" i="43"/>
  <c r="C409" i="43"/>
  <c r="C421" i="43"/>
  <c r="C434" i="43"/>
  <c r="C407" i="43"/>
  <c r="C427" i="43"/>
  <c r="C412" i="43"/>
  <c r="C420" i="43"/>
  <c r="C422" i="43"/>
  <c r="C415" i="43"/>
  <c r="C424" i="43"/>
  <c r="C417" i="43"/>
  <c r="C430" i="43"/>
  <c r="C408" i="43"/>
  <c r="C433" i="43"/>
  <c r="C426" i="43"/>
  <c r="C413" i="43"/>
  <c r="C411" i="43"/>
  <c r="C416" i="43"/>
  <c r="G410" i="43"/>
  <c r="G416" i="43"/>
  <c r="G413" i="43"/>
  <c r="G431" i="43"/>
  <c r="G434" i="43"/>
  <c r="G428" i="43"/>
  <c r="G429" i="43"/>
  <c r="G411" i="43"/>
  <c r="G427" i="43"/>
  <c r="G409" i="43"/>
  <c r="G408" i="43"/>
  <c r="G405" i="43"/>
  <c r="G407" i="43"/>
  <c r="G404" i="43"/>
  <c r="G417" i="43"/>
  <c r="G425" i="43"/>
  <c r="G414" i="43"/>
  <c r="G412" i="43"/>
  <c r="G422" i="43"/>
  <c r="G426" i="43"/>
  <c r="G424" i="43"/>
  <c r="G406" i="43"/>
  <c r="G419" i="43"/>
  <c r="G423" i="43"/>
  <c r="G421" i="43"/>
  <c r="G420" i="43"/>
  <c r="G418" i="43"/>
  <c r="G433" i="43"/>
  <c r="G415" i="43"/>
  <c r="G432" i="43"/>
  <c r="G430" i="43"/>
  <c r="B405" i="43"/>
  <c r="B424" i="43"/>
  <c r="B425" i="43"/>
  <c r="B413" i="43"/>
  <c r="B414" i="43"/>
  <c r="B408" i="43"/>
  <c r="B410" i="43"/>
  <c r="B431" i="43"/>
  <c r="B420" i="43"/>
  <c r="B434" i="43"/>
  <c r="B423" i="43"/>
  <c r="B419" i="43"/>
  <c r="B433" i="43"/>
  <c r="B421" i="43"/>
  <c r="B412" i="43"/>
  <c r="B415" i="43"/>
  <c r="B417" i="43"/>
  <c r="B409" i="43"/>
  <c r="B406" i="43"/>
  <c r="B429" i="43"/>
  <c r="B411" i="43"/>
  <c r="B416" i="43"/>
  <c r="B432" i="43"/>
  <c r="B404" i="43"/>
  <c r="B428" i="43"/>
  <c r="B407" i="43"/>
  <c r="B427" i="43"/>
  <c r="B430" i="43"/>
  <c r="B418" i="43"/>
  <c r="B426" i="43"/>
  <c r="B422" i="43"/>
  <c r="H434" i="43"/>
  <c r="H418" i="43"/>
  <c r="H415" i="43"/>
  <c r="H410" i="43"/>
  <c r="H424" i="43"/>
  <c r="H405" i="43"/>
  <c r="H422" i="43"/>
  <c r="H428" i="43"/>
  <c r="H408" i="43"/>
  <c r="H420" i="43"/>
  <c r="H432" i="43"/>
  <c r="H425" i="43"/>
  <c r="H431" i="43"/>
  <c r="H406" i="43"/>
  <c r="H417" i="43"/>
  <c r="H414" i="43"/>
  <c r="H430" i="43"/>
  <c r="H423" i="43"/>
  <c r="H416" i="43"/>
  <c r="H404" i="43"/>
  <c r="H413" i="43"/>
  <c r="H427" i="43"/>
  <c r="H409" i="43"/>
  <c r="H421" i="43"/>
  <c r="H433" i="43"/>
  <c r="H426" i="43"/>
  <c r="H412" i="43"/>
  <c r="H407" i="43"/>
  <c r="H419" i="43"/>
  <c r="H411" i="43"/>
  <c r="H429" i="43"/>
  <c r="F415" i="43"/>
  <c r="F410" i="43"/>
  <c r="F420" i="43"/>
  <c r="F431" i="43"/>
  <c r="F423" i="43"/>
  <c r="F427" i="43"/>
  <c r="F424" i="43"/>
  <c r="F419" i="43"/>
  <c r="F430" i="43"/>
  <c r="F416" i="43"/>
  <c r="F404" i="43"/>
  <c r="F434" i="43"/>
  <c r="F421" i="43"/>
  <c r="F425" i="43"/>
  <c r="F426" i="43"/>
  <c r="F412" i="43"/>
  <c r="F411" i="43"/>
  <c r="F405" i="43"/>
  <c r="F432" i="43"/>
  <c r="F418" i="43"/>
  <c r="F429" i="43"/>
  <c r="F406" i="43"/>
  <c r="F408" i="43"/>
  <c r="F413" i="43"/>
  <c r="F417" i="43"/>
  <c r="F414" i="43"/>
  <c r="F422" i="43"/>
  <c r="F409" i="43"/>
  <c r="F428" i="43"/>
  <c r="F407" i="43"/>
  <c r="F43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N32" i="8"/>
  <c r="A100" i="39" l="1"/>
  <c r="D99" i="39"/>
  <c r="A101" i="39" l="1"/>
  <c r="D100" i="39"/>
  <c r="P17" i="2"/>
  <c r="AA17" i="8" s="1"/>
  <c r="P30" i="2"/>
  <c r="AA30" i="8" s="1"/>
  <c r="P24" i="2"/>
  <c r="AA24" i="8" s="1"/>
  <c r="P18" i="2"/>
  <c r="AA18" i="8" s="1"/>
  <c r="P12" i="2"/>
  <c r="AA12" i="8" s="1"/>
  <c r="P6" i="2"/>
  <c r="AA6" i="8" s="1"/>
  <c r="P23" i="2"/>
  <c r="AA23" i="8" s="1"/>
  <c r="P5" i="2"/>
  <c r="AA5" i="8" s="1"/>
  <c r="P28" i="2"/>
  <c r="AA28" i="8" s="1"/>
  <c r="P22" i="2"/>
  <c r="AA22" i="8" s="1"/>
  <c r="P16" i="2"/>
  <c r="AA16" i="8" s="1"/>
  <c r="P10" i="2"/>
  <c r="AA10" i="8" s="1"/>
  <c r="P4" i="2"/>
  <c r="AA4" i="8" s="1"/>
  <c r="P29" i="2"/>
  <c r="AA29" i="8" s="1"/>
  <c r="P3" i="2"/>
  <c r="AA3" i="8" s="1"/>
  <c r="P27" i="2"/>
  <c r="AA27" i="8" s="1"/>
  <c r="P21" i="2"/>
  <c r="AA21" i="8" s="1"/>
  <c r="P15" i="2"/>
  <c r="AA15" i="8" s="1"/>
  <c r="P9" i="2"/>
  <c r="AA9" i="8" s="1"/>
  <c r="P33" i="2"/>
  <c r="AA33" i="8" s="1"/>
  <c r="P11" i="2"/>
  <c r="AA11" i="8" s="1"/>
  <c r="P32" i="2"/>
  <c r="AA32" i="8" s="1"/>
  <c r="P20" i="2"/>
  <c r="AA20" i="8" s="1"/>
  <c r="P14" i="2"/>
  <c r="AA14" i="8" s="1"/>
  <c r="P8" i="2"/>
  <c r="AA8" i="8" s="1"/>
  <c r="P26" i="2"/>
  <c r="AA26" i="8" s="1"/>
  <c r="P31" i="2"/>
  <c r="AA31" i="8" s="1"/>
  <c r="P25" i="2"/>
  <c r="AA25" i="8" s="1"/>
  <c r="P19" i="2"/>
  <c r="AA19" i="8" s="1"/>
  <c r="P13" i="2"/>
  <c r="AA13" i="8" s="1"/>
  <c r="P7" i="2"/>
  <c r="AA7" i="8" s="1"/>
  <c r="A102" i="39" l="1"/>
  <c r="D101" i="39"/>
  <c r="A103" i="39" l="1"/>
  <c r="D102" i="39"/>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E287" i="43"/>
  <c r="X209" i="43"/>
  <c r="AB365" i="43"/>
  <c r="U248" i="43"/>
  <c r="C287" i="43"/>
  <c r="D287" i="43"/>
  <c r="AA287" i="43"/>
  <c r="L131" i="43"/>
  <c r="X170" i="43"/>
  <c r="S131" i="43"/>
  <c r="L248" i="43"/>
  <c r="Q287" i="43"/>
  <c r="F326" i="43"/>
  <c r="AF365" i="43"/>
  <c r="B131" i="43"/>
  <c r="R131" i="43"/>
  <c r="AA131" i="43"/>
  <c r="O365" i="43"/>
  <c r="F287" i="43"/>
  <c r="L287" i="43"/>
  <c r="Y131" i="43"/>
  <c r="AF131" i="43"/>
  <c r="T326" i="43"/>
  <c r="AC287" i="43"/>
  <c r="K17" i="43"/>
  <c r="T248" i="43"/>
  <c r="W209" i="43"/>
  <c r="I131" i="43"/>
  <c r="R17" i="43"/>
  <c r="C248" i="43"/>
  <c r="AC17" i="43"/>
  <c r="K365" i="43"/>
  <c r="B287" i="43"/>
  <c r="Z131" i="43"/>
  <c r="X17" i="43"/>
  <c r="M365" i="43"/>
  <c r="D248" i="43"/>
  <c r="H131" i="43"/>
  <c r="V365" i="43"/>
  <c r="N131" i="43"/>
  <c r="AD170" i="43"/>
  <c r="T131" i="43"/>
  <c r="P209" i="43"/>
  <c r="AD209" i="43"/>
  <c r="I326" i="43"/>
  <c r="F209" i="43"/>
  <c r="E209" i="43"/>
  <c r="V170" i="43"/>
  <c r="AF17" i="43"/>
  <c r="L170" i="43"/>
  <c r="AB209" i="43"/>
  <c r="Z209" i="43"/>
  <c r="G209" i="43"/>
  <c r="E131" i="43"/>
  <c r="AF209" i="43"/>
  <c r="P326" i="43"/>
  <c r="G131" i="43"/>
  <c r="I287" i="43"/>
  <c r="S209" i="43"/>
  <c r="S326" i="43"/>
  <c r="M17" i="43"/>
  <c r="R365" i="43"/>
  <c r="G365" i="43"/>
  <c r="B365" i="43"/>
  <c r="I365" i="43"/>
  <c r="Q209" i="43"/>
  <c r="X287" i="43"/>
  <c r="C326" i="43"/>
  <c r="N170" i="43"/>
  <c r="T170" i="43"/>
  <c r="Y365" i="43"/>
  <c r="H209" i="43"/>
  <c r="AF326" i="43"/>
  <c r="AE17" i="43"/>
  <c r="Z365" i="43"/>
  <c r="L17" i="43"/>
  <c r="AD248" i="43"/>
  <c r="AD365" i="43"/>
  <c r="R326" i="43"/>
  <c r="B248" i="43"/>
  <c r="AA248" i="43"/>
  <c r="I170" i="43"/>
  <c r="Q17" i="43"/>
  <c r="H17" i="43"/>
  <c r="M209" i="43"/>
  <c r="H287" i="43"/>
  <c r="K326" i="43"/>
  <c r="AF170" i="43"/>
  <c r="AH17" i="43"/>
  <c r="C131" i="43"/>
  <c r="C209" i="43"/>
  <c r="AB170" i="43"/>
  <c r="U287" i="43"/>
  <c r="O209" i="43"/>
  <c r="F17" i="43"/>
  <c r="AD17" i="43"/>
  <c r="L326" i="43"/>
  <c r="O326" i="43"/>
  <c r="P248" i="43"/>
  <c r="H326" i="43"/>
  <c r="J17" i="43"/>
  <c r="M248" i="43"/>
  <c r="W17" i="43"/>
  <c r="T287" i="43"/>
  <c r="V326" i="43"/>
  <c r="Q248" i="43"/>
  <c r="AG17" i="43"/>
  <c r="L209" i="43"/>
  <c r="AA326" i="43"/>
  <c r="K131" i="43"/>
  <c r="Y248" i="43"/>
  <c r="V17" i="43"/>
  <c r="P287" i="43"/>
  <c r="X131" i="43"/>
  <c r="W365" i="43"/>
  <c r="AB326" i="43"/>
  <c r="C170" i="43"/>
  <c r="E248" i="43"/>
  <c r="F248" i="43"/>
  <c r="T17" i="43"/>
  <c r="U170" i="43"/>
  <c r="AA17" i="43"/>
  <c r="I209" i="43"/>
  <c r="P170" i="43"/>
  <c r="M131" i="43"/>
  <c r="W326" i="43"/>
  <c r="R170" i="43"/>
  <c r="AC209" i="43"/>
  <c r="AC131" i="43"/>
  <c r="R209" i="43"/>
  <c r="X365" i="43"/>
  <c r="F365" i="43"/>
  <c r="AI17" i="43"/>
  <c r="O17" i="43"/>
  <c r="Z248" i="43"/>
  <c r="Y326" i="43"/>
  <c r="Q365" i="43"/>
  <c r="J365" i="43"/>
  <c r="D209" i="43"/>
  <c r="W248" i="43"/>
  <c r="U365" i="43"/>
  <c r="P365" i="43"/>
  <c r="P17" i="43"/>
  <c r="T365" i="43"/>
  <c r="R248" i="43"/>
  <c r="Y17" i="43"/>
  <c r="L365" i="43"/>
  <c r="H248" i="43"/>
  <c r="S365" i="43"/>
  <c r="E287" i="43"/>
  <c r="D326" i="43"/>
  <c r="J170" i="43"/>
  <c r="D365" i="43"/>
  <c r="U131" i="43"/>
  <c r="AD326" i="43"/>
  <c r="AA209" i="43"/>
  <c r="I248" i="43"/>
  <c r="Y170" i="43"/>
  <c r="AE365" i="43"/>
  <c r="E365" i="43"/>
  <c r="AA365" i="43"/>
  <c r="G287" i="43"/>
  <c r="Z287" i="43"/>
  <c r="Q170" i="43"/>
  <c r="M170" i="43"/>
  <c r="U17" i="43"/>
  <c r="V248" i="43"/>
  <c r="V209" i="43"/>
  <c r="X326" i="43"/>
  <c r="AB131" i="43"/>
  <c r="AC170" i="43"/>
  <c r="H365" i="43"/>
  <c r="AE326" i="43"/>
  <c r="Y209" i="43"/>
  <c r="AC365" i="43"/>
  <c r="O287" i="43"/>
  <c r="N326" i="43"/>
  <c r="H170" i="43"/>
  <c r="AE131" i="43"/>
  <c r="Y287" i="43"/>
  <c r="AB287" i="43"/>
  <c r="AJ17" i="43"/>
  <c r="E326" i="43"/>
  <c r="O248" i="43"/>
  <c r="K287" i="43"/>
  <c r="J131" i="43"/>
  <c r="K209" i="43"/>
  <c r="N287" i="43"/>
  <c r="J326" i="43"/>
  <c r="P131" i="43"/>
  <c r="C365" i="43"/>
  <c r="D170" i="43"/>
  <c r="G17" i="43"/>
  <c r="AC326" i="43"/>
  <c r="J248" i="43"/>
  <c r="K170" i="43"/>
  <c r="Z17" i="43"/>
  <c r="G326" i="43"/>
  <c r="U326" i="43"/>
  <c r="AF287" i="43"/>
  <c r="AE248" i="43"/>
  <c r="AE209" i="43"/>
  <c r="G170" i="43"/>
  <c r="B209" i="43"/>
  <c r="K248" i="43"/>
  <c r="Q131" i="43"/>
  <c r="V131" i="43"/>
  <c r="B326" i="43"/>
  <c r="AC248" i="43"/>
  <c r="V287" i="43"/>
  <c r="F170" i="43"/>
  <c r="Z170" i="43"/>
  <c r="T209" i="43"/>
  <c r="AF248" i="43"/>
  <c r="N209" i="43"/>
  <c r="B170" i="43"/>
  <c r="J209" i="43"/>
  <c r="M326" i="43"/>
  <c r="Z326" i="43"/>
  <c r="X248" i="43"/>
  <c r="O131" i="43"/>
  <c r="N17" i="43"/>
  <c r="S170" i="43"/>
  <c r="R287" i="43"/>
  <c r="AE170" i="43"/>
  <c r="O170" i="43"/>
  <c r="AA170" i="43"/>
  <c r="W287" i="43"/>
  <c r="N365" i="43"/>
  <c r="AD287" i="43"/>
  <c r="D131" i="43"/>
  <c r="S17" i="43"/>
  <c r="AB17" i="43"/>
  <c r="F131" i="43"/>
  <c r="AB248" i="43"/>
  <c r="N248" i="43"/>
  <c r="W131" i="43"/>
  <c r="S248" i="43"/>
  <c r="J287" i="43"/>
  <c r="M287" i="43"/>
  <c r="E170" i="43"/>
  <c r="S287" i="43"/>
  <c r="Q326" i="43"/>
  <c r="I17" i="43"/>
  <c r="G248" i="43"/>
  <c r="W170" i="43"/>
  <c r="U209" i="43"/>
  <c r="S11" i="8" l="1"/>
  <c r="AQ11" i="8" s="1"/>
  <c r="P10" i="8"/>
  <c r="AZ10" i="8" s="1"/>
  <c r="O20" i="8"/>
  <c r="AY20" i="8" s="1"/>
  <c r="U23" i="8"/>
  <c r="AS23" i="8" s="1"/>
  <c r="P424" i="43" s="1"/>
  <c r="Q20" i="8"/>
  <c r="BA20" i="8" s="1"/>
  <c r="O18" i="8"/>
  <c r="T28" i="8"/>
  <c r="AR28" i="8" s="1"/>
  <c r="O429" i="43" s="1"/>
  <c r="U27" i="8"/>
  <c r="BE27" i="8" s="1"/>
  <c r="AS27" i="8"/>
  <c r="Q7" i="8"/>
  <c r="BA7" i="8" s="1"/>
  <c r="T27" i="8"/>
  <c r="AR27" i="8" s="1"/>
  <c r="O428" i="43" s="1"/>
  <c r="T33" i="8"/>
  <c r="AR33" i="8" s="1"/>
  <c r="O434" i="43" s="1"/>
  <c r="T6" i="8"/>
  <c r="AR6" i="8" s="1"/>
  <c r="U13" i="8"/>
  <c r="Q8" i="8"/>
  <c r="BA8" i="8" s="1"/>
  <c r="T26" i="8"/>
  <c r="BD26" i="8" s="1"/>
  <c r="P6" i="8"/>
  <c r="O11" i="8"/>
  <c r="AY11" i="8" s="1"/>
  <c r="S6" i="8"/>
  <c r="AQ6" i="8" s="1"/>
  <c r="O25" i="8"/>
  <c r="O6" i="8"/>
  <c r="AY6" i="8" s="1"/>
  <c r="Q13" i="8"/>
  <c r="BA13" i="8" s="1"/>
  <c r="R26" i="8"/>
  <c r="BB26" i="8" s="1"/>
  <c r="P12" i="8"/>
  <c r="AN12" i="8" s="1"/>
  <c r="U29" i="8"/>
  <c r="BE29" i="8" s="1"/>
  <c r="T16" i="8"/>
  <c r="Q15" i="8"/>
  <c r="U25" i="8"/>
  <c r="AS25" i="8" s="1"/>
  <c r="Q11" i="8"/>
  <c r="BA11" i="8" s="1"/>
  <c r="AO11" i="8"/>
  <c r="T25" i="8"/>
  <c r="U31" i="8"/>
  <c r="BE31" i="8" s="1"/>
  <c r="O21" i="8"/>
  <c r="AY21" i="8" s="1"/>
  <c r="S5" i="8"/>
  <c r="BC5" i="8" s="1"/>
  <c r="P25" i="8"/>
  <c r="AN25" i="8" s="1"/>
  <c r="P4" i="8"/>
  <c r="AZ4" i="8" s="1"/>
  <c r="S13" i="8"/>
  <c r="Q25" i="8"/>
  <c r="BA25" i="8" s="1"/>
  <c r="T19" i="8"/>
  <c r="S28" i="8"/>
  <c r="BC28" i="8" s="1"/>
  <c r="P7" i="8"/>
  <c r="U11" i="8"/>
  <c r="BE11" i="8" s="1"/>
  <c r="AS11" i="8"/>
  <c r="Q18" i="8"/>
  <c r="BA18" i="8" s="1"/>
  <c r="O7" i="8"/>
  <c r="AY7" i="8" s="1"/>
  <c r="T8" i="8"/>
  <c r="U24" i="8"/>
  <c r="BE24" i="8" s="1"/>
  <c r="R11" i="8"/>
  <c r="BB11" i="8" s="1"/>
  <c r="O23" i="8"/>
  <c r="O33" i="8"/>
  <c r="AY33" i="8" s="1"/>
  <c r="T14" i="8"/>
  <c r="AR14" i="8" s="1"/>
  <c r="R25" i="8"/>
  <c r="BB25" i="8" s="1"/>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O28" i="8"/>
  <c r="AY28" i="8" s="1"/>
  <c r="O10" i="8"/>
  <c r="R21" i="8"/>
  <c r="R7" i="8"/>
  <c r="BB7" i="8" s="1"/>
  <c r="T13" i="8"/>
  <c r="BD13" i="8" s="1"/>
  <c r="U19" i="8"/>
  <c r="BE19" i="8" s="1"/>
  <c r="U30" i="8"/>
  <c r="BE30" i="8" s="1"/>
  <c r="Q6" i="8"/>
  <c r="P15" i="8"/>
  <c r="AZ15" i="8" s="1"/>
  <c r="U4" i="8"/>
  <c r="BE4" i="8" s="1"/>
  <c r="S20" i="8"/>
  <c r="BC20" i="8" s="1"/>
  <c r="R20" i="8"/>
  <c r="BB20" i="8" s="1"/>
  <c r="S15" i="8"/>
  <c r="BC15" i="8" s="1"/>
  <c r="S17" i="8"/>
  <c r="BC17" i="8" s="1"/>
  <c r="Q21" i="8"/>
  <c r="BA21" i="8" s="1"/>
  <c r="T15" i="8"/>
  <c r="BD15" i="8" s="1"/>
  <c r="U22" i="8"/>
  <c r="BE22" i="8" s="1"/>
  <c r="T23" i="8"/>
  <c r="P29" i="8"/>
  <c r="AZ29" i="8" s="1"/>
  <c r="T17" i="8"/>
  <c r="P20" i="8"/>
  <c r="AZ20" i="8" s="1"/>
  <c r="Q5" i="8"/>
  <c r="BA5" i="8" s="1"/>
  <c r="S25" i="8"/>
  <c r="BC25" i="8" s="1"/>
  <c r="P13" i="8"/>
  <c r="AZ13" i="8" s="1"/>
  <c r="Q30" i="8"/>
  <c r="BA30" i="8" s="1"/>
  <c r="P28" i="8"/>
  <c r="R30" i="8"/>
  <c r="BB30" i="8" s="1"/>
  <c r="O22" i="8"/>
  <c r="AY22" i="8" s="1"/>
  <c r="AM22" i="8"/>
  <c r="S26" i="8"/>
  <c r="BC26" i="8" s="1"/>
  <c r="U21" i="8"/>
  <c r="P8" i="8"/>
  <c r="AZ8" i="8" s="1"/>
  <c r="O27" i="8"/>
  <c r="AY27" i="8" s="1"/>
  <c r="T32" i="8"/>
  <c r="BD32" i="8" s="1"/>
  <c r="AR32" i="8"/>
  <c r="P26" i="8"/>
  <c r="AZ26" i="8" s="1"/>
  <c r="U33" i="8"/>
  <c r="O15" i="8"/>
  <c r="R18" i="8"/>
  <c r="BB18" i="8" s="1"/>
  <c r="T18" i="8"/>
  <c r="BD18" i="8" s="1"/>
  <c r="U8" i="8"/>
  <c r="BE8" i="8" s="1"/>
  <c r="Q29" i="8"/>
  <c r="BA29" i="8" s="1"/>
  <c r="S16" i="8"/>
  <c r="O16" i="8"/>
  <c r="U28" i="8"/>
  <c r="Q16" i="8"/>
  <c r="BA16" i="8" s="1"/>
  <c r="AO16" i="8"/>
  <c r="U32" i="8"/>
  <c r="BE32" i="8" s="1"/>
  <c r="T30" i="8"/>
  <c r="Q14" i="8"/>
  <c r="BA14" i="8" s="1"/>
  <c r="T7" i="8"/>
  <c r="O32" i="8"/>
  <c r="AY32" i="8" s="1"/>
  <c r="AM32" i="8"/>
  <c r="S19" i="8"/>
  <c r="BC19" i="8" s="1"/>
  <c r="R33" i="8"/>
  <c r="R10" i="8"/>
  <c r="P21" i="8"/>
  <c r="AZ21" i="8" s="1"/>
  <c r="P30" i="8"/>
  <c r="AZ30" i="8" s="1"/>
  <c r="AN30" i="8"/>
  <c r="K431" i="43" s="1"/>
  <c r="Q24" i="8"/>
  <c r="Q19" i="8"/>
  <c r="BA19" i="8" s="1"/>
  <c r="T12" i="8"/>
  <c r="U17" i="8"/>
  <c r="BE17" i="8" s="1"/>
  <c r="R22" i="8"/>
  <c r="BB22" i="8" s="1"/>
  <c r="O9" i="8"/>
  <c r="AY9" i="8" s="1"/>
  <c r="O17" i="8"/>
  <c r="S27" i="8"/>
  <c r="BC27" i="8" s="1"/>
  <c r="P22" i="8"/>
  <c r="S4" i="8"/>
  <c r="BC4" i="8" s="1"/>
  <c r="AQ4" i="8"/>
  <c r="N405" i="43" s="1"/>
  <c r="R31" i="8"/>
  <c r="R9" i="8"/>
  <c r="BB9" i="8" s="1"/>
  <c r="O5" i="8"/>
  <c r="AY5" i="8" s="1"/>
  <c r="O12" i="8"/>
  <c r="AY12" i="8" s="1"/>
  <c r="R29" i="8"/>
  <c r="BB29" i="8" s="1"/>
  <c r="Q28" i="8"/>
  <c r="BA28" i="8" s="1"/>
  <c r="R17" i="8"/>
  <c r="BB17" i="8" s="1"/>
  <c r="U26" i="8"/>
  <c r="BE26" i="8" s="1"/>
  <c r="U10" i="8"/>
  <c r="BE10" i="8" s="1"/>
  <c r="Q26" i="8"/>
  <c r="P27" i="8"/>
  <c r="AZ27" i="8" s="1"/>
  <c r="U20" i="8"/>
  <c r="BE20" i="8" s="1"/>
  <c r="O13" i="8"/>
  <c r="AY13" i="8" s="1"/>
  <c r="AM13" i="8"/>
  <c r="J414" i="43" s="1"/>
  <c r="S32" i="8"/>
  <c r="BC32" i="8" s="1"/>
  <c r="R6" i="8"/>
  <c r="BB6" i="8" s="1"/>
  <c r="R12" i="8"/>
  <c r="P31" i="8"/>
  <c r="AZ31" i="8" s="1"/>
  <c r="O14" i="8"/>
  <c r="AY14" i="8" s="1"/>
  <c r="R4" i="8"/>
  <c r="BB4" i="8" s="1"/>
  <c r="S12" i="8"/>
  <c r="BC12" i="8" s="1"/>
  <c r="T9" i="8"/>
  <c r="BD9" i="8" s="1"/>
  <c r="O30" i="8"/>
  <c r="P11" i="8"/>
  <c r="AZ11" i="8" s="1"/>
  <c r="Q31" i="8"/>
  <c r="AO31" i="8" s="1"/>
  <c r="L432" i="43" s="1"/>
  <c r="R5" i="8"/>
  <c r="BB5" i="8" s="1"/>
  <c r="Q12" i="8"/>
  <c r="BA12" i="8" s="1"/>
  <c r="S33" i="8"/>
  <c r="BC33" i="8" s="1"/>
  <c r="O19" i="8"/>
  <c r="AY19" i="8" s="1"/>
  <c r="P17" i="8"/>
  <c r="AZ17" i="8" s="1"/>
  <c r="S9" i="8"/>
  <c r="BC9" i="8" s="1"/>
  <c r="AQ9" i="8"/>
  <c r="N410" i="43" s="1"/>
  <c r="O4" i="8"/>
  <c r="O24" i="8"/>
  <c r="AY24" i="8" s="1"/>
  <c r="P19" i="8"/>
  <c r="AZ19" i="8" s="1"/>
  <c r="R27" i="8"/>
  <c r="BB27" i="8" s="1"/>
  <c r="AP27" i="8"/>
  <c r="S22" i="8"/>
  <c r="BC22" i="8" s="1"/>
  <c r="O8" i="8"/>
  <c r="AY8" i="8" s="1"/>
  <c r="U6" i="8"/>
  <c r="BE6" i="8" s="1"/>
  <c r="R16" i="8"/>
  <c r="BB16" i="8" s="1"/>
  <c r="T5" i="8"/>
  <c r="BD5" i="8" s="1"/>
  <c r="S23" i="8"/>
  <c r="T4" i="8"/>
  <c r="BD4" i="8" s="1"/>
  <c r="U16" i="8"/>
  <c r="BE16" i="8" s="1"/>
  <c r="S24" i="8"/>
  <c r="T21" i="8"/>
  <c r="BD21" i="8" s="1"/>
  <c r="AR21" i="8"/>
  <c r="T10" i="8"/>
  <c r="BD10" i="8" s="1"/>
  <c r="Q27" i="8"/>
  <c r="BA27" i="8" s="1"/>
  <c r="P33" i="8"/>
  <c r="AN33" i="8" s="1"/>
  <c r="P32" i="8"/>
  <c r="AZ32" i="8" s="1"/>
  <c r="R24" i="8"/>
  <c r="BB24" i="8" s="1"/>
  <c r="U12" i="8"/>
  <c r="T22" i="8"/>
  <c r="BD22" i="8" s="1"/>
  <c r="Q22" i="8"/>
  <c r="BA22" i="8" s="1"/>
  <c r="P18" i="8"/>
  <c r="AZ18" i="8" s="1"/>
  <c r="P14" i="8"/>
  <c r="AZ14" i="8" s="1"/>
  <c r="AN14" i="8"/>
  <c r="K415" i="43" s="1"/>
  <c r="Q17" i="8"/>
  <c r="BA17" i="8" s="1"/>
  <c r="S18" i="8"/>
  <c r="BC18" i="8" s="1"/>
  <c r="R8" i="8"/>
  <c r="BB8" i="8" s="1"/>
  <c r="R23" i="8"/>
  <c r="S3" i="8"/>
  <c r="BC3" i="8" s="1"/>
  <c r="U3" i="8"/>
  <c r="BE3" i="8" s="1"/>
  <c r="T31" i="8"/>
  <c r="BD31" i="8" s="1"/>
  <c r="S14" i="8"/>
  <c r="Q32" i="8"/>
  <c r="S10" i="8"/>
  <c r="BC10" i="8" s="1"/>
  <c r="O26" i="8"/>
  <c r="S7" i="8"/>
  <c r="BC7" i="8" s="1"/>
  <c r="U14" i="8"/>
  <c r="BE14" i="8" s="1"/>
  <c r="P24" i="8"/>
  <c r="AZ24" i="8" s="1"/>
  <c r="U5" i="8"/>
  <c r="BE5" i="8" s="1"/>
  <c r="R19" i="8"/>
  <c r="S29" i="8"/>
  <c r="BC29" i="8" s="1"/>
  <c r="P9" i="8"/>
  <c r="AZ9" i="8" s="1"/>
  <c r="O29" i="8"/>
  <c r="AY29" i="8" s="1"/>
  <c r="Q23" i="8"/>
  <c r="R32" i="8"/>
  <c r="BB32" i="8" s="1"/>
  <c r="Q4" i="8"/>
  <c r="BA4" i="8" s="1"/>
  <c r="U7" i="8"/>
  <c r="S21" i="8"/>
  <c r="BC21" i="8" s="1"/>
  <c r="P5" i="8"/>
  <c r="S31" i="8"/>
  <c r="BC31" i="8" s="1"/>
  <c r="U18" i="8"/>
  <c r="BE18" i="8" s="1"/>
  <c r="U9" i="8"/>
  <c r="BE9" i="8" s="1"/>
  <c r="Q3" i="8"/>
  <c r="BA3" i="8" s="1"/>
  <c r="T24" i="8"/>
  <c r="T29" i="8"/>
  <c r="BD29" i="8" s="1"/>
  <c r="Q10" i="8"/>
  <c r="R28" i="8"/>
  <c r="BB28" i="8" s="1"/>
  <c r="S8" i="8"/>
  <c r="BC8" i="8" s="1"/>
  <c r="P16" i="8"/>
  <c r="AZ16" i="8" s="1"/>
  <c r="P23" i="8"/>
  <c r="AZ23" i="8" s="1"/>
  <c r="R13" i="8"/>
  <c r="BB13" i="8" s="1"/>
  <c r="T20" i="8"/>
  <c r="Q9" i="8"/>
  <c r="BA9" i="8" s="1"/>
  <c r="S30" i="8"/>
  <c r="BC30" i="8" s="1"/>
  <c r="T11" i="8"/>
  <c r="BD11" i="8" s="1"/>
  <c r="AR11" i="8"/>
  <c r="O412" i="43" s="1"/>
  <c r="R14" i="8"/>
  <c r="O31" i="8"/>
  <c r="AY31" i="8" s="1"/>
  <c r="P3" i="8"/>
  <c r="T3" i="8"/>
  <c r="R3" i="8"/>
  <c r="BB3" i="8" s="1"/>
  <c r="U15" i="8"/>
  <c r="R15" i="8"/>
  <c r="BB15" i="8" s="1"/>
  <c r="AP15" i="8"/>
  <c r="O3" i="8"/>
  <c r="AY3" i="8" s="1"/>
  <c r="Q33" i="8"/>
  <c r="BA33" i="8" s="1"/>
  <c r="AQ7" i="8" l="1"/>
  <c r="AP5" i="8"/>
  <c r="AP3" i="8"/>
  <c r="F16" i="43" s="1"/>
  <c r="F55" i="43" s="1"/>
  <c r="AO4" i="8"/>
  <c r="AN16" i="8"/>
  <c r="K417" i="43" s="1"/>
  <c r="AN13" i="8"/>
  <c r="K414" i="43" s="1"/>
  <c r="AM29" i="8"/>
  <c r="J430" i="43" s="1"/>
  <c r="AQ3" i="8"/>
  <c r="AR10" i="8"/>
  <c r="AR9" i="8"/>
  <c r="O410" i="43" s="1"/>
  <c r="AN20" i="8"/>
  <c r="AS22" i="8"/>
  <c r="P423" i="43" s="1"/>
  <c r="AP13" i="8"/>
  <c r="M414" i="43" s="1"/>
  <c r="AS10" i="8"/>
  <c r="P411" i="43" s="1"/>
  <c r="AM12" i="8"/>
  <c r="J413" i="43" s="1"/>
  <c r="AP30" i="8"/>
  <c r="AQ25" i="8"/>
  <c r="N426" i="43" s="1"/>
  <c r="AN29" i="8"/>
  <c r="K430" i="43" s="1"/>
  <c r="AO21" i="8"/>
  <c r="L422" i="43" s="1"/>
  <c r="AS4" i="8"/>
  <c r="P405" i="43" s="1"/>
  <c r="AP26" i="8"/>
  <c r="AO20" i="8"/>
  <c r="AM3" i="8"/>
  <c r="AN23" i="8"/>
  <c r="K424" i="43" s="1"/>
  <c r="AQ31" i="8"/>
  <c r="N432" i="43" s="1"/>
  <c r="AO17" i="8"/>
  <c r="L418" i="43" s="1"/>
  <c r="AR22" i="8"/>
  <c r="AS16" i="8"/>
  <c r="P417" i="43" s="1"/>
  <c r="AN31" i="8"/>
  <c r="AS31" i="8"/>
  <c r="AD364" i="43" s="1"/>
  <c r="AM31" i="8"/>
  <c r="AD130" i="43" s="1"/>
  <c r="AO9" i="8"/>
  <c r="AR29" i="8"/>
  <c r="AN24" i="8"/>
  <c r="K425" i="43" s="1"/>
  <c r="AQ10" i="8"/>
  <c r="N411" i="43" s="1"/>
  <c r="AS3" i="8"/>
  <c r="P404" i="43" s="1"/>
  <c r="AO22" i="8"/>
  <c r="L423" i="43" s="1"/>
  <c r="AR5" i="8"/>
  <c r="O406" i="43" s="1"/>
  <c r="AR13" i="8"/>
  <c r="O414" i="43" s="1"/>
  <c r="AP11" i="8"/>
  <c r="J247" i="43" s="1"/>
  <c r="J281" i="43" s="1"/>
  <c r="J282" i="43" s="1"/>
  <c r="AM21" i="8"/>
  <c r="AO8" i="8"/>
  <c r="AO7" i="8"/>
  <c r="L408" i="43" s="1"/>
  <c r="AN10" i="8"/>
  <c r="K411" i="43" s="1"/>
  <c r="AS9" i="8"/>
  <c r="P410" i="43" s="1"/>
  <c r="AQ21" i="8"/>
  <c r="N422" i="43" s="1"/>
  <c r="AS5" i="8"/>
  <c r="P406" i="43" s="1"/>
  <c r="AR31" i="8"/>
  <c r="O432" i="43" s="1"/>
  <c r="AM8" i="8"/>
  <c r="J409" i="43" s="1"/>
  <c r="AM24" i="8"/>
  <c r="AN11" i="8"/>
  <c r="K412" i="43" s="1"/>
  <c r="AP4" i="8"/>
  <c r="C247" i="43" s="1"/>
  <c r="C281" i="43" s="1"/>
  <c r="C282" i="43" s="1"/>
  <c r="AP6" i="8"/>
  <c r="I16" i="43" s="1"/>
  <c r="I55" i="43" s="1"/>
  <c r="AN27" i="8"/>
  <c r="K428" i="43" s="1"/>
  <c r="AP9" i="8"/>
  <c r="L16" i="43" s="1"/>
  <c r="AQ27" i="8"/>
  <c r="AO14" i="8"/>
  <c r="AM27" i="8"/>
  <c r="J428" i="43" s="1"/>
  <c r="AS19" i="8"/>
  <c r="P420" i="43" s="1"/>
  <c r="AM7" i="8"/>
  <c r="J408" i="43" s="1"/>
  <c r="AS29" i="8"/>
  <c r="AB364" i="43" s="1"/>
  <c r="AB398" i="43" s="1"/>
  <c r="AB399" i="43" s="1"/>
  <c r="AM6" i="8"/>
  <c r="AA325" i="43"/>
  <c r="AA359" i="43" s="1"/>
  <c r="AA360" i="43" s="1"/>
  <c r="AM20" i="8"/>
  <c r="J421" i="43" s="1"/>
  <c r="O415" i="43"/>
  <c r="M325" i="43"/>
  <c r="M358" i="43" s="1"/>
  <c r="AS17" i="8"/>
  <c r="P418" i="43" s="1"/>
  <c r="AC169" i="43"/>
  <c r="AC202" i="43" s="1"/>
  <c r="AP18" i="8"/>
  <c r="M419" i="43" s="1"/>
  <c r="AQ26" i="8"/>
  <c r="N427" i="43" s="1"/>
  <c r="AQ17" i="8"/>
  <c r="N418" i="43" s="1"/>
  <c r="AM28" i="8"/>
  <c r="J429" i="43" s="1"/>
  <c r="AP25" i="8"/>
  <c r="X247" i="43" s="1"/>
  <c r="X281" i="43" s="1"/>
  <c r="X282" i="43" s="1"/>
  <c r="AO25" i="8"/>
  <c r="X208" i="43" s="1"/>
  <c r="AM11" i="8"/>
  <c r="Z325" i="43"/>
  <c r="Z358" i="43" s="1"/>
  <c r="V364" i="43"/>
  <c r="V397" i="43" s="1"/>
  <c r="I169" i="43"/>
  <c r="I203" i="43" s="1"/>
  <c r="I204" i="43" s="1"/>
  <c r="BD27" i="8"/>
  <c r="BD14" i="8"/>
  <c r="BA31" i="8"/>
  <c r="BC6" i="8"/>
  <c r="AP28" i="8"/>
  <c r="AA247" i="43" s="1"/>
  <c r="AA281" i="43" s="1"/>
  <c r="AP32" i="8"/>
  <c r="AI16" i="43" s="1"/>
  <c r="AQ29" i="8"/>
  <c r="N430" i="43" s="1"/>
  <c r="AQ18" i="8"/>
  <c r="AP24" i="8"/>
  <c r="W247" i="43" s="1"/>
  <c r="W280" i="43" s="1"/>
  <c r="AR4" i="8"/>
  <c r="C325" i="43" s="1"/>
  <c r="AS6" i="8"/>
  <c r="P407" i="43" s="1"/>
  <c r="AM9" i="8"/>
  <c r="AO19" i="8"/>
  <c r="L420" i="43" s="1"/>
  <c r="AS8" i="8"/>
  <c r="P409" i="43" s="1"/>
  <c r="AN8" i="8"/>
  <c r="K409" i="43" s="1"/>
  <c r="AS30" i="8"/>
  <c r="P431" i="43" s="1"/>
  <c r="AS24" i="8"/>
  <c r="P425" i="43" s="1"/>
  <c r="AO18" i="8"/>
  <c r="L419" i="43" s="1"/>
  <c r="AQ28" i="8"/>
  <c r="AN4" i="8"/>
  <c r="C169" i="43" s="1"/>
  <c r="AF325" i="43"/>
  <c r="AF358" i="43" s="1"/>
  <c r="S130" i="43"/>
  <c r="S163" i="43" s="1"/>
  <c r="F49" i="43"/>
  <c r="F50" i="43" s="1"/>
  <c r="F51" i="43"/>
  <c r="J404" i="43"/>
  <c r="B130" i="43"/>
  <c r="N404" i="43"/>
  <c r="B286" i="43"/>
  <c r="AY30" i="8"/>
  <c r="AM30" i="8"/>
  <c r="BB12" i="8"/>
  <c r="AP12" i="8"/>
  <c r="BE15" i="8"/>
  <c r="AS15" i="8"/>
  <c r="J432" i="43"/>
  <c r="O422" i="43"/>
  <c r="T325" i="43"/>
  <c r="M428" i="43"/>
  <c r="Z247" i="43"/>
  <c r="Z281" i="43" s="1"/>
  <c r="AD16" i="43"/>
  <c r="AY4" i="8"/>
  <c r="AM4" i="8"/>
  <c r="BA26" i="8"/>
  <c r="AO26" i="8"/>
  <c r="AR16" i="8"/>
  <c r="BD16" i="8"/>
  <c r="AZ3" i="8"/>
  <c r="AN3" i="8"/>
  <c r="BD24" i="8"/>
  <c r="AR24" i="8"/>
  <c r="Q247" i="43"/>
  <c r="BD17" i="8"/>
  <c r="AR17" i="8"/>
  <c r="M427" i="43"/>
  <c r="Y247" i="43"/>
  <c r="AC16" i="43"/>
  <c r="BA10" i="8"/>
  <c r="AO10" i="8"/>
  <c r="BC14" i="8"/>
  <c r="AQ14" i="8"/>
  <c r="BE12" i="8"/>
  <c r="AS12" i="8"/>
  <c r="K434" i="43"/>
  <c r="AF169" i="43"/>
  <c r="AD208" i="43"/>
  <c r="M410" i="43"/>
  <c r="AZ22" i="8"/>
  <c r="AN22" i="8"/>
  <c r="M32" i="8"/>
  <c r="M33" i="8"/>
  <c r="L410" i="43"/>
  <c r="H208" i="43"/>
  <c r="M406" i="43"/>
  <c r="D247" i="43"/>
  <c r="H16" i="43"/>
  <c r="BD20" i="8"/>
  <c r="AR20" i="8"/>
  <c r="BC24" i="8"/>
  <c r="AQ24" i="8"/>
  <c r="BC23" i="8"/>
  <c r="AQ23" i="8"/>
  <c r="BE28" i="8"/>
  <c r="AS28" i="8"/>
  <c r="O430" i="43"/>
  <c r="AB325" i="43"/>
  <c r="AO33" i="8"/>
  <c r="M404" i="43"/>
  <c r="B247" i="43"/>
  <c r="BD3" i="8"/>
  <c r="AR3" i="8"/>
  <c r="BB14" i="8"/>
  <c r="AP14" i="8"/>
  <c r="AZ5" i="8"/>
  <c r="AN5" i="8"/>
  <c r="L405" i="43"/>
  <c r="C208" i="43"/>
  <c r="BA23" i="8"/>
  <c r="AO23" i="8"/>
  <c r="BA32" i="8"/>
  <c r="AO32" i="8"/>
  <c r="BB23" i="8"/>
  <c r="AP23" i="8"/>
  <c r="N419" i="43"/>
  <c r="Q286" i="43"/>
  <c r="K432" i="43"/>
  <c r="AD169" i="43"/>
  <c r="BB31" i="8"/>
  <c r="AP31" i="8"/>
  <c r="BE33" i="8"/>
  <c r="AS33" i="8"/>
  <c r="AY26" i="8"/>
  <c r="AM26" i="8"/>
  <c r="O423" i="43"/>
  <c r="U325" i="43"/>
  <c r="M416" i="43"/>
  <c r="R16" i="43"/>
  <c r="N247" i="43"/>
  <c r="BE7" i="8"/>
  <c r="AS7" i="8"/>
  <c r="BB19" i="8"/>
  <c r="AP19" i="8"/>
  <c r="N408" i="43"/>
  <c r="F286" i="43"/>
  <c r="T286" i="43"/>
  <c r="O411" i="43"/>
  <c r="I325" i="43"/>
  <c r="J425" i="43"/>
  <c r="W130" i="43"/>
  <c r="BA24" i="8"/>
  <c r="AO24" i="8"/>
  <c r="U208" i="43"/>
  <c r="AO27" i="8"/>
  <c r="AQ22" i="8"/>
  <c r="AN19" i="8"/>
  <c r="AO12" i="8"/>
  <c r="AM14" i="8"/>
  <c r="L130" i="43"/>
  <c r="AS20" i="8"/>
  <c r="AP17" i="8"/>
  <c r="AO28" i="8"/>
  <c r="K130" i="43"/>
  <c r="AM5" i="8"/>
  <c r="AC203" i="43"/>
  <c r="AC204" i="43" s="1"/>
  <c r="AN21" i="8"/>
  <c r="L415" i="43"/>
  <c r="M208" i="43"/>
  <c r="AY16" i="8"/>
  <c r="AM16" i="8"/>
  <c r="BB21" i="8"/>
  <c r="AP21" i="8"/>
  <c r="AZ33" i="8"/>
  <c r="AY17" i="8"/>
  <c r="AM17" i="8"/>
  <c r="J433" i="43"/>
  <c r="AE130" i="43"/>
  <c r="J423" i="43"/>
  <c r="U130" i="43"/>
  <c r="AZ28" i="8"/>
  <c r="AN28" i="8"/>
  <c r="BA6" i="8"/>
  <c r="AO6" i="8"/>
  <c r="BC13" i="8"/>
  <c r="AQ13" i="8"/>
  <c r="J325" i="43"/>
  <c r="AQ30" i="8"/>
  <c r="O169" i="43"/>
  <c r="AQ8" i="8"/>
  <c r="AO3" i="8"/>
  <c r="H364" i="43"/>
  <c r="AS18" i="8"/>
  <c r="AB130" i="43"/>
  <c r="AN9" i="8"/>
  <c r="W169" i="43"/>
  <c r="AS14" i="8"/>
  <c r="AP8" i="8"/>
  <c r="P208" i="43"/>
  <c r="M169" i="43"/>
  <c r="AN18" i="8"/>
  <c r="AN32" i="8"/>
  <c r="O364" i="43"/>
  <c r="D325" i="43"/>
  <c r="AP16" i="8"/>
  <c r="H286" i="43"/>
  <c r="AN17" i="8"/>
  <c r="AM19" i="8"/>
  <c r="AQ33" i="8"/>
  <c r="H325" i="43"/>
  <c r="AQ12" i="8"/>
  <c r="AQ32" i="8"/>
  <c r="I364" i="43"/>
  <c r="AS26" i="8"/>
  <c r="AP29" i="8"/>
  <c r="C286" i="43"/>
  <c r="N428" i="43"/>
  <c r="Z286" i="43"/>
  <c r="AP22" i="8"/>
  <c r="L417" i="43"/>
  <c r="O208" i="43"/>
  <c r="BC16" i="8"/>
  <c r="AQ16" i="8"/>
  <c r="AY15" i="8"/>
  <c r="AM15" i="8"/>
  <c r="BE21" i="8"/>
  <c r="AS21" i="8"/>
  <c r="E130" i="43"/>
  <c r="J407" i="43"/>
  <c r="M425" i="43"/>
  <c r="BD12" i="8"/>
  <c r="AR12" i="8"/>
  <c r="BB10" i="8"/>
  <c r="AP10" i="8"/>
  <c r="BB33" i="8"/>
  <c r="AP33" i="8"/>
  <c r="BD30" i="8"/>
  <c r="AR30" i="8"/>
  <c r="O433" i="43"/>
  <c r="AE325" i="43"/>
  <c r="K421" i="43"/>
  <c r="S169" i="43"/>
  <c r="BD23" i="8"/>
  <c r="AR23" i="8"/>
  <c r="BD7" i="8"/>
  <c r="AR7" i="8"/>
  <c r="M431" i="43"/>
  <c r="AC247" i="43"/>
  <c r="AC281" i="43" s="1"/>
  <c r="AG16" i="43"/>
  <c r="BD19" i="8"/>
  <c r="AR19" i="8"/>
  <c r="K413" i="43"/>
  <c r="K169" i="43"/>
  <c r="L169" i="43"/>
  <c r="AO5" i="8"/>
  <c r="AQ15" i="8"/>
  <c r="AP20" i="8"/>
  <c r="C364" i="43"/>
  <c r="AN15" i="8"/>
  <c r="AC364" i="43"/>
  <c r="L325" i="43"/>
  <c r="AP7" i="8"/>
  <c r="AM33" i="8"/>
  <c r="K405" i="43"/>
  <c r="P426" i="43"/>
  <c r="X364" i="43"/>
  <c r="M412" i="43"/>
  <c r="N16" i="43"/>
  <c r="AZ7" i="8"/>
  <c r="AN7" i="8"/>
  <c r="AM25" i="8"/>
  <c r="AY25" i="8"/>
  <c r="AQ19" i="8"/>
  <c r="AS32" i="8"/>
  <c r="AO29" i="8"/>
  <c r="AR18" i="8"/>
  <c r="AN26" i="8"/>
  <c r="Z130" i="43"/>
  <c r="AO30" i="8"/>
  <c r="AR15" i="8"/>
  <c r="AQ20" i="8"/>
  <c r="AM10" i="8"/>
  <c r="AY10" i="8"/>
  <c r="BD25" i="8"/>
  <c r="AR25" i="8"/>
  <c r="E286" i="43"/>
  <c r="N407" i="43"/>
  <c r="AZ6" i="8"/>
  <c r="AN6" i="8"/>
  <c r="AR8" i="8"/>
  <c r="BD8" i="8"/>
  <c r="P412" i="43"/>
  <c r="J364" i="43"/>
  <c r="K426" i="43"/>
  <c r="X169" i="43"/>
  <c r="L412" i="43"/>
  <c r="J208" i="43"/>
  <c r="BE13" i="8"/>
  <c r="AS13" i="8"/>
  <c r="J286" i="43"/>
  <c r="N412" i="43"/>
  <c r="AZ25" i="8"/>
  <c r="AY23" i="8"/>
  <c r="AM23" i="8"/>
  <c r="BA15" i="8"/>
  <c r="AO15" i="8"/>
  <c r="E325" i="43"/>
  <c r="O407" i="43"/>
  <c r="AO13" i="8"/>
  <c r="AY18" i="8"/>
  <c r="AM18" i="8"/>
  <c r="BC11" i="8"/>
  <c r="BE25" i="8"/>
  <c r="BD28" i="8"/>
  <c r="BD6" i="8"/>
  <c r="AZ12" i="8"/>
  <c r="BD33" i="8"/>
  <c r="AQ5" i="8"/>
  <c r="AR26" i="8"/>
  <c r="S208" i="43"/>
  <c r="L421" i="43"/>
  <c r="Z364" i="43"/>
  <c r="P428" i="43"/>
  <c r="BE23" i="8"/>
  <c r="O405" i="43" l="1"/>
  <c r="P286" i="43"/>
  <c r="C280" i="43"/>
  <c r="X286" i="43"/>
  <c r="X319" i="43" s="1"/>
  <c r="M405" i="43"/>
  <c r="J280" i="43"/>
  <c r="S164" i="43"/>
  <c r="S165" i="43" s="1"/>
  <c r="G16" i="43"/>
  <c r="G51" i="43" s="1"/>
  <c r="AF359" i="43"/>
  <c r="AF360" i="43" s="1"/>
  <c r="J169" i="43"/>
  <c r="J203" i="43" s="1"/>
  <c r="J204" i="43" s="1"/>
  <c r="AA358" i="43"/>
  <c r="T208" i="43"/>
  <c r="Q208" i="43"/>
  <c r="Q241" i="43" s="1"/>
  <c r="I202" i="43"/>
  <c r="F208" i="43"/>
  <c r="AB16" i="43"/>
  <c r="AB49" i="43" s="1"/>
  <c r="AB50" i="43" s="1"/>
  <c r="P432" i="43"/>
  <c r="V169" i="43"/>
  <c r="P364" i="43"/>
  <c r="P397" i="43" s="1"/>
  <c r="P16" i="43"/>
  <c r="P49" i="43" s="1"/>
  <c r="P50" i="43" s="1"/>
  <c r="AD286" i="43"/>
  <c r="V398" i="43"/>
  <c r="V399" i="43" s="1"/>
  <c r="M426" i="43"/>
  <c r="U364" i="43"/>
  <c r="U397" i="43" s="1"/>
  <c r="X280" i="43"/>
  <c r="G130" i="43"/>
  <c r="G163" i="43" s="1"/>
  <c r="L247" i="43"/>
  <c r="H247" i="43"/>
  <c r="H280" i="43" s="1"/>
  <c r="P430" i="43"/>
  <c r="AB397" i="43"/>
  <c r="AB169" i="43"/>
  <c r="AB203" i="43" s="1"/>
  <c r="AB204" i="43" s="1"/>
  <c r="B364" i="43"/>
  <c r="B397" i="43" s="1"/>
  <c r="Z359" i="43"/>
  <c r="Z360" i="43" s="1"/>
  <c r="J422" i="43"/>
  <c r="T130" i="43"/>
  <c r="M359" i="43"/>
  <c r="M360" i="43" s="1"/>
  <c r="G364" i="43"/>
  <c r="G397" i="43" s="1"/>
  <c r="L409" i="43"/>
  <c r="G208" i="43"/>
  <c r="M407" i="43"/>
  <c r="G169" i="43"/>
  <c r="G202" i="43" s="1"/>
  <c r="Z169" i="43"/>
  <c r="Z202" i="43" s="1"/>
  <c r="W281" i="43"/>
  <c r="W282" i="43" s="1"/>
  <c r="I49" i="43"/>
  <c r="I50" i="43" s="1"/>
  <c r="I286" i="43"/>
  <c r="I319" i="43" s="1"/>
  <c r="AA130" i="43"/>
  <c r="AA163" i="43" s="1"/>
  <c r="D364" i="43"/>
  <c r="D398" i="43" s="1"/>
  <c r="D399" i="43" s="1"/>
  <c r="I51" i="43"/>
  <c r="F130" i="43"/>
  <c r="F163" i="43" s="1"/>
  <c r="AD325" i="43"/>
  <c r="AD359" i="43" s="1"/>
  <c r="AD360" i="43" s="1"/>
  <c r="E247" i="43"/>
  <c r="E280" i="43" s="1"/>
  <c r="R364" i="43"/>
  <c r="R397" i="43" s="1"/>
  <c r="AA16" i="43"/>
  <c r="AA55" i="43" s="1"/>
  <c r="AE247" i="43"/>
  <c r="AE281" i="43" s="1"/>
  <c r="J410" i="43"/>
  <c r="H130" i="43"/>
  <c r="R208" i="43"/>
  <c r="R241" i="43" s="1"/>
  <c r="W364" i="43"/>
  <c r="W398" i="43" s="1"/>
  <c r="W399" i="43" s="1"/>
  <c r="M433" i="43"/>
  <c r="Y286" i="43"/>
  <c r="Y320" i="43" s="1"/>
  <c r="Y321" i="43" s="1"/>
  <c r="L426" i="43"/>
  <c r="E364" i="43"/>
  <c r="E397" i="43" s="1"/>
  <c r="AE16" i="43"/>
  <c r="AE55" i="43" s="1"/>
  <c r="AB286" i="43"/>
  <c r="AB320" i="43" s="1"/>
  <c r="AB321" i="43" s="1"/>
  <c r="N429" i="43"/>
  <c r="AA286" i="43"/>
  <c r="U16" i="43"/>
  <c r="U49" i="43" s="1"/>
  <c r="U50" i="43" s="1"/>
  <c r="M429" i="43"/>
  <c r="J412" i="43"/>
  <c r="J130" i="43"/>
  <c r="J419" i="43"/>
  <c r="Q130" i="43"/>
  <c r="O409" i="43"/>
  <c r="G325" i="43"/>
  <c r="N55" i="43"/>
  <c r="N51" i="43"/>
  <c r="N49" i="43"/>
  <c r="N50" i="43" s="1"/>
  <c r="S203" i="43"/>
  <c r="S204" i="43" s="1"/>
  <c r="S202" i="43"/>
  <c r="Z319" i="43"/>
  <c r="Z320" i="43"/>
  <c r="Z321" i="43" s="1"/>
  <c r="K419" i="43"/>
  <c r="Q169" i="43"/>
  <c r="N414" i="43"/>
  <c r="L286" i="43"/>
  <c r="K406" i="43"/>
  <c r="D169" i="43"/>
  <c r="N425" i="43"/>
  <c r="W286" i="43"/>
  <c r="L55" i="43"/>
  <c r="L49" i="43"/>
  <c r="L50" i="43" s="1"/>
  <c r="L51" i="43"/>
  <c r="O425" i="43"/>
  <c r="W325" i="43"/>
  <c r="L427" i="43"/>
  <c r="Y208" i="43"/>
  <c r="O427" i="43"/>
  <c r="Y325" i="43"/>
  <c r="L416" i="43"/>
  <c r="N208" i="43"/>
  <c r="X203" i="43"/>
  <c r="X204" i="43" s="1"/>
  <c r="X202" i="43"/>
  <c r="O419" i="43"/>
  <c r="Q325" i="43"/>
  <c r="X130" i="43"/>
  <c r="J426" i="43"/>
  <c r="C397" i="43"/>
  <c r="C398" i="43"/>
  <c r="C399" i="43" s="1"/>
  <c r="X320" i="43"/>
  <c r="X321" i="43" s="1"/>
  <c r="N417" i="43"/>
  <c r="O286" i="43"/>
  <c r="N413" i="43"/>
  <c r="K286" i="43"/>
  <c r="M202" i="43"/>
  <c r="M203" i="43"/>
  <c r="M204" i="43" s="1"/>
  <c r="W202" i="43"/>
  <c r="W203" i="43"/>
  <c r="W204" i="43" s="1"/>
  <c r="N409" i="43"/>
  <c r="G286" i="43"/>
  <c r="M241" i="43"/>
  <c r="M242" i="43"/>
  <c r="M243" i="43" s="1"/>
  <c r="J406" i="43"/>
  <c r="D130" i="43"/>
  <c r="J415" i="43"/>
  <c r="M130" i="43"/>
  <c r="U241" i="43"/>
  <c r="U242" i="43"/>
  <c r="U243" i="43" s="1"/>
  <c r="P408" i="43"/>
  <c r="F364" i="43"/>
  <c r="U358" i="43"/>
  <c r="U359" i="43"/>
  <c r="U360" i="43" s="1"/>
  <c r="O404" i="43"/>
  <c r="B325" i="43"/>
  <c r="N415" i="43"/>
  <c r="M286" i="43"/>
  <c r="AD55" i="43"/>
  <c r="AD49" i="43"/>
  <c r="AD50" i="43" s="1"/>
  <c r="AD51" i="43"/>
  <c r="AD319" i="43"/>
  <c r="AD320" i="43"/>
  <c r="AD321" i="43" s="1"/>
  <c r="O16" i="43"/>
  <c r="M413" i="43"/>
  <c r="K247" i="43"/>
  <c r="B164" i="43"/>
  <c r="B165" i="43" s="1"/>
  <c r="B163" i="43"/>
  <c r="X241" i="43"/>
  <c r="X242" i="43"/>
  <c r="X243" i="43" s="1"/>
  <c r="L406" i="43"/>
  <c r="D208" i="43"/>
  <c r="M434" i="43"/>
  <c r="AJ16" i="43"/>
  <c r="AF247" i="43"/>
  <c r="AF281" i="43" s="1"/>
  <c r="P415" i="43"/>
  <c r="M364" i="43"/>
  <c r="G55" i="43"/>
  <c r="G49" i="43"/>
  <c r="G50" i="43" s="1"/>
  <c r="L428" i="43"/>
  <c r="Z208" i="43"/>
  <c r="Z398" i="43"/>
  <c r="Z399" i="43" s="1"/>
  <c r="Z397" i="43"/>
  <c r="N406" i="43"/>
  <c r="D286" i="43"/>
  <c r="J319" i="43"/>
  <c r="J320" i="43"/>
  <c r="J321" i="43" s="1"/>
  <c r="AB202" i="43"/>
  <c r="J434" i="43"/>
  <c r="AF130" i="43"/>
  <c r="M421" i="43"/>
  <c r="S247" i="43"/>
  <c r="W16" i="43"/>
  <c r="L202" i="43"/>
  <c r="L203" i="43"/>
  <c r="L204" i="43" s="1"/>
  <c r="AE359" i="43"/>
  <c r="AE360" i="43" s="1"/>
  <c r="AE358" i="43"/>
  <c r="M411" i="43"/>
  <c r="M16" i="43"/>
  <c r="I247" i="43"/>
  <c r="AA49" i="43"/>
  <c r="AA50" i="43" s="1"/>
  <c r="C319" i="43"/>
  <c r="C320" i="43"/>
  <c r="C321" i="43" s="1"/>
  <c r="H358" i="43"/>
  <c r="H359" i="43"/>
  <c r="H360" i="43" s="1"/>
  <c r="M417" i="43"/>
  <c r="O247" i="43"/>
  <c r="S16" i="43"/>
  <c r="P241" i="43"/>
  <c r="P242" i="43"/>
  <c r="P243" i="43" s="1"/>
  <c r="K410" i="43"/>
  <c r="H169" i="43"/>
  <c r="O202" i="43"/>
  <c r="O203" i="43"/>
  <c r="O204" i="43" s="1"/>
  <c r="L407" i="43"/>
  <c r="E208" i="43"/>
  <c r="AE164" i="43"/>
  <c r="AE165" i="43" s="1"/>
  <c r="AE163" i="43"/>
  <c r="K163" i="43"/>
  <c r="K164" i="43"/>
  <c r="K165" i="43" s="1"/>
  <c r="L413" i="43"/>
  <c r="K208" i="43"/>
  <c r="G203" i="43"/>
  <c r="G204" i="43" s="1"/>
  <c r="M432" i="43"/>
  <c r="AD247" i="43"/>
  <c r="AD281" i="43" s="1"/>
  <c r="AH16" i="43"/>
  <c r="Q320" i="43"/>
  <c r="Q321" i="43" s="1"/>
  <c r="Q319" i="43"/>
  <c r="L424" i="43"/>
  <c r="V208" i="43"/>
  <c r="P429" i="43"/>
  <c r="AA364" i="43"/>
  <c r="O421" i="43"/>
  <c r="S325" i="43"/>
  <c r="AD242" i="43"/>
  <c r="AD243" i="43" s="1"/>
  <c r="AD241" i="43"/>
  <c r="O418" i="43"/>
  <c r="P325" i="43"/>
  <c r="K404" i="43"/>
  <c r="B169" i="43"/>
  <c r="E358" i="43"/>
  <c r="E359" i="43"/>
  <c r="E360" i="43" s="1"/>
  <c r="K427" i="43"/>
  <c r="Y169" i="43"/>
  <c r="O408" i="43"/>
  <c r="F325" i="43"/>
  <c r="L404" i="43"/>
  <c r="B208" i="43"/>
  <c r="Y280" i="43"/>
  <c r="Y281" i="43"/>
  <c r="Y282" i="43" s="1"/>
  <c r="P414" i="43"/>
  <c r="L364" i="43"/>
  <c r="K202" i="43"/>
  <c r="K203" i="43"/>
  <c r="K204" i="43" s="1"/>
  <c r="AD397" i="43"/>
  <c r="AD398" i="43"/>
  <c r="AD399" i="43" s="1"/>
  <c r="P422" i="43"/>
  <c r="T364" i="43"/>
  <c r="O241" i="43"/>
  <c r="O242" i="43"/>
  <c r="O243" i="43" s="1"/>
  <c r="M430" i="43"/>
  <c r="AF16" i="43"/>
  <c r="AB247" i="43"/>
  <c r="AB281" i="43" s="1"/>
  <c r="N434" i="43"/>
  <c r="AF286" i="43"/>
  <c r="D359" i="43"/>
  <c r="D360" i="43" s="1"/>
  <c r="D358" i="43"/>
  <c r="M409" i="43"/>
  <c r="K16" i="43"/>
  <c r="G247" i="43"/>
  <c r="AB163" i="43"/>
  <c r="AB164" i="43"/>
  <c r="AB165" i="43" s="1"/>
  <c r="V203" i="43"/>
  <c r="V204" i="43" s="1"/>
  <c r="V202" i="43"/>
  <c r="M422" i="43"/>
  <c r="X16" i="43"/>
  <c r="T247" i="43"/>
  <c r="K422" i="43"/>
  <c r="T169" i="43"/>
  <c r="L429" i="43"/>
  <c r="AA208" i="43"/>
  <c r="K420" i="43"/>
  <c r="R169" i="43"/>
  <c r="D397" i="43"/>
  <c r="F319" i="43"/>
  <c r="F320" i="43"/>
  <c r="F321" i="43" s="1"/>
  <c r="N280" i="43"/>
  <c r="N281" i="43"/>
  <c r="N282" i="43" s="1"/>
  <c r="J427" i="43"/>
  <c r="Y130" i="43"/>
  <c r="L281" i="43"/>
  <c r="L282" i="43" s="1"/>
  <c r="L280" i="43"/>
  <c r="B280" i="43"/>
  <c r="B281" i="43"/>
  <c r="B282" i="43" s="1"/>
  <c r="H241" i="43"/>
  <c r="H242" i="43"/>
  <c r="H243" i="43" s="1"/>
  <c r="K423" i="43"/>
  <c r="U169" i="43"/>
  <c r="AF203" i="43"/>
  <c r="AF204" i="43" s="1"/>
  <c r="AF202" i="43"/>
  <c r="L411" i="43"/>
  <c r="I208" i="43"/>
  <c r="AD164" i="43"/>
  <c r="AD165" i="43" s="1"/>
  <c r="AD163" i="43"/>
  <c r="J431" i="43"/>
  <c r="AC130" i="43"/>
  <c r="E169" i="43"/>
  <c r="K407" i="43"/>
  <c r="C203" i="43"/>
  <c r="C204" i="43" s="1"/>
  <c r="C202" i="43"/>
  <c r="N433" i="43"/>
  <c r="AE286" i="43"/>
  <c r="L164" i="43"/>
  <c r="L165" i="43" s="1"/>
  <c r="L163" i="43"/>
  <c r="I359" i="43"/>
  <c r="I360" i="43" s="1"/>
  <c r="I358" i="43"/>
  <c r="P434" i="43"/>
  <c r="AF364" i="43"/>
  <c r="L433" i="43"/>
  <c r="AE208" i="43"/>
  <c r="AB359" i="43"/>
  <c r="AB360" i="43" s="1"/>
  <c r="AB358" i="43"/>
  <c r="T358" i="43"/>
  <c r="T359" i="43"/>
  <c r="T360" i="43" s="1"/>
  <c r="J397" i="43"/>
  <c r="J398" i="43"/>
  <c r="J399" i="43" s="1"/>
  <c r="E320" i="43"/>
  <c r="E321" i="43" s="1"/>
  <c r="E319" i="43"/>
  <c r="L431" i="43"/>
  <c r="AC208" i="43"/>
  <c r="AG51" i="43"/>
  <c r="AG55" i="43"/>
  <c r="AG49" i="43"/>
  <c r="AG50" i="43" s="1"/>
  <c r="S241" i="43"/>
  <c r="S242" i="43"/>
  <c r="S243" i="43" s="1"/>
  <c r="O426" i="43"/>
  <c r="X325" i="43"/>
  <c r="P433" i="43"/>
  <c r="AE364" i="43"/>
  <c r="K408" i="43"/>
  <c r="F169" i="43"/>
  <c r="X398" i="43"/>
  <c r="X399" i="43" s="1"/>
  <c r="X397" i="43"/>
  <c r="L358" i="43"/>
  <c r="L359" i="43"/>
  <c r="L360" i="43" s="1"/>
  <c r="P319" i="43"/>
  <c r="P320" i="43"/>
  <c r="P321" i="43" s="1"/>
  <c r="O424" i="43"/>
  <c r="V325" i="43"/>
  <c r="O431" i="43"/>
  <c r="AC325" i="43"/>
  <c r="O413" i="43"/>
  <c r="K325" i="43"/>
  <c r="P427" i="43"/>
  <c r="Y364" i="43"/>
  <c r="J420" i="43"/>
  <c r="R130" i="43"/>
  <c r="O397" i="43"/>
  <c r="O398" i="43"/>
  <c r="O399" i="43" s="1"/>
  <c r="P419" i="43"/>
  <c r="Q364" i="43"/>
  <c r="N431" i="43"/>
  <c r="AC286" i="43"/>
  <c r="Q242" i="43"/>
  <c r="Q243" i="43" s="1"/>
  <c r="K429" i="43"/>
  <c r="AA169" i="43"/>
  <c r="J418" i="43"/>
  <c r="P130" i="43"/>
  <c r="M418" i="43"/>
  <c r="P247" i="43"/>
  <c r="T16" i="43"/>
  <c r="N423" i="43"/>
  <c r="U286" i="43"/>
  <c r="L425" i="43"/>
  <c r="W208" i="43"/>
  <c r="W164" i="43"/>
  <c r="W165" i="43" s="1"/>
  <c r="W163" i="43"/>
  <c r="R51" i="43"/>
  <c r="R49" i="43"/>
  <c r="R50" i="43" s="1"/>
  <c r="R55" i="43"/>
  <c r="AD202" i="43"/>
  <c r="AD203" i="43"/>
  <c r="AD204" i="43" s="1"/>
  <c r="M424" i="43"/>
  <c r="V247" i="43"/>
  <c r="Z16" i="43"/>
  <c r="C241" i="43"/>
  <c r="C242" i="43"/>
  <c r="C243" i="43" s="1"/>
  <c r="N424" i="43"/>
  <c r="V286" i="43"/>
  <c r="H51" i="43"/>
  <c r="H55" i="43"/>
  <c r="H49" i="43"/>
  <c r="H50" i="43" s="1"/>
  <c r="Q280" i="43"/>
  <c r="Q281" i="43"/>
  <c r="Q282" i="43" s="1"/>
  <c r="C359" i="43"/>
  <c r="C360" i="43" s="1"/>
  <c r="C358" i="43"/>
  <c r="O416" i="43"/>
  <c r="N325" i="43"/>
  <c r="K416" i="43"/>
  <c r="N169" i="43"/>
  <c r="H319" i="43"/>
  <c r="H320" i="43"/>
  <c r="H321" i="43" s="1"/>
  <c r="U164" i="43"/>
  <c r="U165" i="43" s="1"/>
  <c r="U163" i="43"/>
  <c r="T320" i="43"/>
  <c r="T321" i="43" s="1"/>
  <c r="T319" i="43"/>
  <c r="J424" i="43"/>
  <c r="V130" i="43"/>
  <c r="J411" i="43"/>
  <c r="I130" i="43"/>
  <c r="L430" i="43"/>
  <c r="AB208" i="43"/>
  <c r="F247" i="43"/>
  <c r="M408" i="43"/>
  <c r="J16" i="43"/>
  <c r="N416" i="43"/>
  <c r="N286" i="43"/>
  <c r="L414" i="43"/>
  <c r="L208" i="43"/>
  <c r="F242" i="43"/>
  <c r="F243" i="43" s="1"/>
  <c r="F241" i="43"/>
  <c r="J242" i="43"/>
  <c r="J243" i="43" s="1"/>
  <c r="J241" i="43"/>
  <c r="N421" i="43"/>
  <c r="S286" i="43"/>
  <c r="Z164" i="43"/>
  <c r="Z165" i="43" s="1"/>
  <c r="Z163" i="43"/>
  <c r="N420" i="43"/>
  <c r="R286" i="43"/>
  <c r="AC397" i="43"/>
  <c r="AC398" i="43"/>
  <c r="AC399" i="43" s="1"/>
  <c r="T241" i="43"/>
  <c r="T242" i="43"/>
  <c r="T243" i="43" s="1"/>
  <c r="O420" i="43"/>
  <c r="R325" i="43"/>
  <c r="E164" i="43"/>
  <c r="E165" i="43" s="1"/>
  <c r="E163" i="43"/>
  <c r="J416" i="43"/>
  <c r="N130" i="43"/>
  <c r="M423" i="43"/>
  <c r="U247" i="43"/>
  <c r="Y16" i="43"/>
  <c r="I397" i="43"/>
  <c r="I398" i="43"/>
  <c r="I399" i="43" s="1"/>
  <c r="K418" i="43"/>
  <c r="P169" i="43"/>
  <c r="K433" i="43"/>
  <c r="AE169" i="43"/>
  <c r="H397" i="43"/>
  <c r="H398" i="43"/>
  <c r="H399" i="43" s="1"/>
  <c r="J358" i="43"/>
  <c r="J359" i="43"/>
  <c r="J360" i="43" s="1"/>
  <c r="O130" i="43"/>
  <c r="J417" i="43"/>
  <c r="R242" i="43"/>
  <c r="R243" i="43" s="1"/>
  <c r="P421" i="43"/>
  <c r="S364" i="43"/>
  <c r="M420" i="43"/>
  <c r="R247" i="43"/>
  <c r="V16" i="43"/>
  <c r="Q16" i="43"/>
  <c r="M415" i="43"/>
  <c r="M247" i="43"/>
  <c r="L434" i="43"/>
  <c r="AF208" i="43"/>
  <c r="D281" i="43"/>
  <c r="D282" i="43" s="1"/>
  <c r="D280" i="43"/>
  <c r="H281" i="43"/>
  <c r="H282" i="43" s="1"/>
  <c r="P413" i="43"/>
  <c r="K364" i="43"/>
  <c r="AC51" i="43"/>
  <c r="AC49" i="43"/>
  <c r="AC50" i="43" s="1"/>
  <c r="AC55" i="43"/>
  <c r="O417" i="43"/>
  <c r="O325" i="43"/>
  <c r="J405" i="43"/>
  <c r="C130" i="43"/>
  <c r="AI51" i="43"/>
  <c r="AI55" i="43"/>
  <c r="AI49" i="43"/>
  <c r="AI50" i="43" s="1"/>
  <c r="P416" i="43"/>
  <c r="N364" i="43"/>
  <c r="B320" i="43"/>
  <c r="B321" i="43" s="1"/>
  <c r="B319" i="43"/>
  <c r="P398" i="43" l="1"/>
  <c r="P399" i="43" s="1"/>
  <c r="J202" i="43"/>
  <c r="R398" i="43"/>
  <c r="R399" i="43" s="1"/>
  <c r="AA164" i="43"/>
  <c r="AA165" i="43" s="1"/>
  <c r="AB319" i="43"/>
  <c r="W397" i="43"/>
  <c r="E281" i="43"/>
  <c r="E282" i="43" s="1"/>
  <c r="I320" i="43"/>
  <c r="I321" i="43" s="1"/>
  <c r="P55" i="43"/>
  <c r="U55" i="43"/>
  <c r="G398" i="43"/>
  <c r="G399" i="43" s="1"/>
  <c r="U398" i="43"/>
  <c r="U399" i="43" s="1"/>
  <c r="G164" i="43"/>
  <c r="G165" i="43" s="1"/>
  <c r="B398" i="43"/>
  <c r="B399" i="43" s="1"/>
  <c r="P51" i="43"/>
  <c r="E398" i="43"/>
  <c r="E399" i="43" s="1"/>
  <c r="AD358" i="43"/>
  <c r="AE49" i="43"/>
  <c r="AE50" i="43" s="1"/>
  <c r="AE51" i="43"/>
  <c r="AB55" i="43"/>
  <c r="F164" i="43"/>
  <c r="F165" i="43" s="1"/>
  <c r="AA51" i="43"/>
  <c r="AB51" i="43"/>
  <c r="Z203" i="43"/>
  <c r="Z204" i="43" s="1"/>
  <c r="U51" i="43"/>
  <c r="Y319" i="43"/>
  <c r="T163" i="43"/>
  <c r="T164" i="43"/>
  <c r="T165" i="43" s="1"/>
  <c r="G242" i="43"/>
  <c r="G243" i="43" s="1"/>
  <c r="G241" i="43"/>
  <c r="J163" i="43"/>
  <c r="J164" i="43"/>
  <c r="J165" i="43" s="1"/>
  <c r="H164" i="43"/>
  <c r="H165" i="43" s="1"/>
  <c r="H163" i="43"/>
  <c r="AA320" i="43"/>
  <c r="AA321" i="43" s="1"/>
  <c r="AA319" i="43"/>
  <c r="O358" i="43"/>
  <c r="O359" i="43"/>
  <c r="O360" i="43" s="1"/>
  <c r="AE203" i="43"/>
  <c r="AE204" i="43" s="1"/>
  <c r="AE202" i="43"/>
  <c r="AC241" i="43"/>
  <c r="AC242" i="43"/>
  <c r="AC243" i="43" s="1"/>
  <c r="S359" i="43"/>
  <c r="S360" i="43" s="1"/>
  <c r="S358" i="43"/>
  <c r="E242" i="43"/>
  <c r="E243" i="43" s="1"/>
  <c r="E241" i="43"/>
  <c r="F397" i="43"/>
  <c r="F398" i="43"/>
  <c r="F399" i="43" s="1"/>
  <c r="Y241" i="43"/>
  <c r="Y242" i="43"/>
  <c r="Y243" i="43" s="1"/>
  <c r="M280" i="43"/>
  <c r="M281" i="43"/>
  <c r="M282" i="43" s="1"/>
  <c r="U281" i="43"/>
  <c r="U282" i="43" s="1"/>
  <c r="U280" i="43"/>
  <c r="R359" i="43"/>
  <c r="R360" i="43" s="1"/>
  <c r="R358" i="43"/>
  <c r="R320" i="43"/>
  <c r="R321" i="43" s="1"/>
  <c r="R319" i="43"/>
  <c r="L241" i="43"/>
  <c r="L242" i="43"/>
  <c r="L243" i="43" s="1"/>
  <c r="F280" i="43"/>
  <c r="F281" i="43"/>
  <c r="F282" i="43" s="1"/>
  <c r="V281" i="43"/>
  <c r="V282" i="43" s="1"/>
  <c r="V280" i="43"/>
  <c r="AA202" i="43"/>
  <c r="AA203" i="43"/>
  <c r="AA204" i="43" s="1"/>
  <c r="Q397" i="43"/>
  <c r="Q398" i="43"/>
  <c r="Q399" i="43" s="1"/>
  <c r="R163" i="43"/>
  <c r="R164" i="43"/>
  <c r="R165" i="43" s="1"/>
  <c r="AC359" i="43"/>
  <c r="AC360" i="43" s="1"/>
  <c r="AC358" i="43"/>
  <c r="AE398" i="43"/>
  <c r="AE399" i="43" s="1"/>
  <c r="AE397" i="43"/>
  <c r="E202" i="43"/>
  <c r="E203" i="43"/>
  <c r="E204" i="43" s="1"/>
  <c r="I241" i="43"/>
  <c r="I242" i="43"/>
  <c r="I243" i="43" s="1"/>
  <c r="Y164" i="43"/>
  <c r="Y165" i="43" s="1"/>
  <c r="Y163" i="43"/>
  <c r="T202" i="43"/>
  <c r="T203" i="43"/>
  <c r="T204" i="43" s="1"/>
  <c r="V241" i="43"/>
  <c r="V242" i="43"/>
  <c r="V243" i="43" s="1"/>
  <c r="M55" i="43"/>
  <c r="M51" i="43"/>
  <c r="M49" i="43"/>
  <c r="M50" i="43" s="1"/>
  <c r="W55" i="43"/>
  <c r="W51" i="43"/>
  <c r="W49" i="43"/>
  <c r="W50" i="43" s="1"/>
  <c r="M163" i="43"/>
  <c r="M164" i="43"/>
  <c r="M165" i="43" s="1"/>
  <c r="G319" i="43"/>
  <c r="G320" i="43"/>
  <c r="G321" i="43" s="1"/>
  <c r="W320" i="43"/>
  <c r="W321" i="43" s="1"/>
  <c r="W319" i="43"/>
  <c r="U319" i="43"/>
  <c r="U320" i="43"/>
  <c r="U321" i="43" s="1"/>
  <c r="AF49" i="43"/>
  <c r="AF50" i="43" s="1"/>
  <c r="AF51" i="43"/>
  <c r="AF55" i="43"/>
  <c r="B203" i="43"/>
  <c r="B204" i="43" s="1"/>
  <c r="B202" i="43"/>
  <c r="V55" i="43"/>
  <c r="V51" i="43"/>
  <c r="V49" i="43"/>
  <c r="V50" i="43" s="1"/>
  <c r="R280" i="43"/>
  <c r="R281" i="43"/>
  <c r="R282" i="43" s="1"/>
  <c r="P202" i="43"/>
  <c r="P203" i="43"/>
  <c r="P204" i="43" s="1"/>
  <c r="AB241" i="43"/>
  <c r="AB242" i="43"/>
  <c r="AB243" i="43" s="1"/>
  <c r="N203" i="43"/>
  <c r="N204" i="43" s="1"/>
  <c r="N202" i="43"/>
  <c r="V320" i="43"/>
  <c r="V321" i="43" s="1"/>
  <c r="V319" i="43"/>
  <c r="T49" i="43"/>
  <c r="T50" i="43" s="1"/>
  <c r="T51" i="43"/>
  <c r="T55" i="43"/>
  <c r="AE319" i="43"/>
  <c r="AE320" i="43"/>
  <c r="AE321" i="43" s="1"/>
  <c r="B242" i="43"/>
  <c r="B243" i="43" s="1"/>
  <c r="B241" i="43"/>
  <c r="P358" i="43"/>
  <c r="P359" i="43"/>
  <c r="P360" i="43" s="1"/>
  <c r="AA398" i="43"/>
  <c r="AA399" i="43" s="1"/>
  <c r="AA397" i="43"/>
  <c r="S51" i="43"/>
  <c r="S49" i="43"/>
  <c r="S50" i="43" s="1"/>
  <c r="S55" i="43"/>
  <c r="S280" i="43"/>
  <c r="S281" i="43"/>
  <c r="S282" i="43" s="1"/>
  <c r="D242" i="43"/>
  <c r="D243" i="43" s="1"/>
  <c r="D241" i="43"/>
  <c r="K280" i="43"/>
  <c r="K281" i="43"/>
  <c r="K282" i="43" s="1"/>
  <c r="B359" i="43"/>
  <c r="B360" i="43" s="1"/>
  <c r="B358" i="43"/>
  <c r="N242" i="43"/>
  <c r="N243" i="43" s="1"/>
  <c r="N241" i="43"/>
  <c r="W358" i="43"/>
  <c r="W359" i="43"/>
  <c r="W360" i="43" s="1"/>
  <c r="G359" i="43"/>
  <c r="G360" i="43" s="1"/>
  <c r="G358" i="43"/>
  <c r="AF397" i="43"/>
  <c r="AF398" i="43"/>
  <c r="AF399" i="43" s="1"/>
  <c r="P281" i="43"/>
  <c r="P282" i="43" s="1"/>
  <c r="P280" i="43"/>
  <c r="Y397" i="43"/>
  <c r="Y398" i="43"/>
  <c r="Y399" i="43" s="1"/>
  <c r="V359" i="43"/>
  <c r="V360" i="43" s="1"/>
  <c r="V358" i="43"/>
  <c r="AC164" i="43"/>
  <c r="AC165" i="43" s="1"/>
  <c r="AC163" i="43"/>
  <c r="R203" i="43"/>
  <c r="R204" i="43" s="1"/>
  <c r="R202" i="43"/>
  <c r="T280" i="43"/>
  <c r="T281" i="43"/>
  <c r="T282" i="43" s="1"/>
  <c r="AF319" i="43"/>
  <c r="AF320" i="43"/>
  <c r="AF321" i="43" s="1"/>
  <c r="O280" i="43"/>
  <c r="O281" i="43"/>
  <c r="O282" i="43" s="1"/>
  <c r="M397" i="43"/>
  <c r="M398" i="43"/>
  <c r="M399" i="43" s="1"/>
  <c r="D163" i="43"/>
  <c r="D164" i="43"/>
  <c r="D165" i="43" s="1"/>
  <c r="K319" i="43"/>
  <c r="K320" i="43"/>
  <c r="K321" i="43" s="1"/>
  <c r="D202" i="43"/>
  <c r="D203" i="43"/>
  <c r="D204" i="43" s="1"/>
  <c r="L320" i="43"/>
  <c r="L321" i="43" s="1"/>
  <c r="L319" i="43"/>
  <c r="Y51" i="43"/>
  <c r="Y49" i="43"/>
  <c r="Y50" i="43" s="1"/>
  <c r="Y55" i="43"/>
  <c r="V163" i="43"/>
  <c r="V164" i="43"/>
  <c r="V165" i="43" s="1"/>
  <c r="Z55" i="43"/>
  <c r="Z51" i="43"/>
  <c r="Z49" i="43"/>
  <c r="Z50" i="43" s="1"/>
  <c r="Y203" i="43"/>
  <c r="Y204" i="43" s="1"/>
  <c r="Y202" i="43"/>
  <c r="D319" i="43"/>
  <c r="D320" i="43"/>
  <c r="D321" i="43" s="1"/>
  <c r="N319" i="43"/>
  <c r="N320" i="43"/>
  <c r="N321" i="43" s="1"/>
  <c r="I163" i="43"/>
  <c r="I164" i="43"/>
  <c r="I165" i="43" s="1"/>
  <c r="N358" i="43"/>
  <c r="N359" i="43"/>
  <c r="N360" i="43" s="1"/>
  <c r="W241" i="43"/>
  <c r="W242" i="43"/>
  <c r="W243" i="43" s="1"/>
  <c r="AE241" i="43"/>
  <c r="AE242" i="43"/>
  <c r="AE243" i="43" s="1"/>
  <c r="X51" i="43"/>
  <c r="X49" i="43"/>
  <c r="X50" i="43" s="1"/>
  <c r="X55" i="43"/>
  <c r="G280" i="43"/>
  <c r="G281" i="43"/>
  <c r="G282" i="43" s="1"/>
  <c r="T398" i="43"/>
  <c r="T399" i="43" s="1"/>
  <c r="T397" i="43"/>
  <c r="L397" i="43"/>
  <c r="L398" i="43"/>
  <c r="L399" i="43" s="1"/>
  <c r="F358" i="43"/>
  <c r="F359" i="43"/>
  <c r="F360" i="43" s="1"/>
  <c r="H202" i="43"/>
  <c r="H203" i="43"/>
  <c r="H204" i="43" s="1"/>
  <c r="AF164" i="43"/>
  <c r="AF165" i="43" s="1"/>
  <c r="AF163" i="43"/>
  <c r="Z242" i="43"/>
  <c r="Z243" i="43" s="1"/>
  <c r="Z241" i="43"/>
  <c r="O55" i="43"/>
  <c r="O49" i="43"/>
  <c r="O50" i="43" s="1"/>
  <c r="O51" i="43"/>
  <c r="M319" i="43"/>
  <c r="M320" i="43"/>
  <c r="M321" i="43" s="1"/>
  <c r="X164" i="43"/>
  <c r="X165" i="43" s="1"/>
  <c r="X163" i="43"/>
  <c r="Y358" i="43"/>
  <c r="Y359" i="43"/>
  <c r="Y360" i="43" s="1"/>
  <c r="Q163" i="43"/>
  <c r="Q164" i="43"/>
  <c r="Q165" i="43" s="1"/>
  <c r="S398" i="43"/>
  <c r="S399" i="43" s="1"/>
  <c r="S397" i="43"/>
  <c r="K242" i="43"/>
  <c r="K243" i="43" s="1"/>
  <c r="K241" i="43"/>
  <c r="I281" i="43"/>
  <c r="I282" i="43" s="1"/>
  <c r="I280" i="43"/>
  <c r="AJ55" i="43"/>
  <c r="AJ51" i="43"/>
  <c r="AJ49" i="43"/>
  <c r="AJ50" i="43" s="1"/>
  <c r="Q51" i="43"/>
  <c r="Q55" i="43"/>
  <c r="Q49" i="43"/>
  <c r="Q50" i="43" s="1"/>
  <c r="N164" i="43"/>
  <c r="N165" i="43" s="1"/>
  <c r="N163" i="43"/>
  <c r="C163" i="43"/>
  <c r="C164" i="43"/>
  <c r="C165" i="43" s="1"/>
  <c r="N398" i="43"/>
  <c r="N399" i="43" s="1"/>
  <c r="N397" i="43"/>
  <c r="K397" i="43"/>
  <c r="K398" i="43"/>
  <c r="K399" i="43" s="1"/>
  <c r="AF242" i="43"/>
  <c r="AF243" i="43" s="1"/>
  <c r="AF241" i="43"/>
  <c r="O164" i="43"/>
  <c r="O165" i="43" s="1"/>
  <c r="O163" i="43"/>
  <c r="S319" i="43"/>
  <c r="S320" i="43"/>
  <c r="S321" i="43" s="1"/>
  <c r="J55" i="43"/>
  <c r="J51" i="43"/>
  <c r="J49" i="43"/>
  <c r="J50" i="43" s="1"/>
  <c r="P163" i="43"/>
  <c r="P164" i="43"/>
  <c r="P165" i="43" s="1"/>
  <c r="AC319" i="43"/>
  <c r="AC320" i="43"/>
  <c r="AC321" i="43" s="1"/>
  <c r="K359" i="43"/>
  <c r="K360" i="43" s="1"/>
  <c r="K358" i="43"/>
  <c r="F202" i="43"/>
  <c r="F203" i="43"/>
  <c r="F204" i="43" s="1"/>
  <c r="X358" i="43"/>
  <c r="X359" i="43"/>
  <c r="X360" i="43" s="1"/>
  <c r="U202" i="43"/>
  <c r="U203" i="43"/>
  <c r="U204" i="43" s="1"/>
  <c r="AA242" i="43"/>
  <c r="AA243" i="43" s="1"/>
  <c r="AA241" i="43"/>
  <c r="K55" i="43"/>
  <c r="K51" i="43"/>
  <c r="K49" i="43"/>
  <c r="K50" i="43" s="1"/>
  <c r="AH55" i="43"/>
  <c r="AH51" i="43"/>
  <c r="AH49" i="43"/>
  <c r="AH50" i="43" s="1"/>
  <c r="O319" i="43"/>
  <c r="O320" i="43"/>
  <c r="O321" i="43" s="1"/>
  <c r="Q358" i="43"/>
  <c r="Q359" i="43"/>
  <c r="Q360" i="43" s="1"/>
  <c r="Q202" i="43"/>
  <c r="Q203" i="43"/>
  <c r="Q204" i="43" s="1"/>
  <c r="G53" i="43" l="1"/>
  <c r="I53" i="43" s="1"/>
  <c r="A165" i="43"/>
  <c r="A321" i="43"/>
  <c r="A163" i="43"/>
  <c r="F56" i="43"/>
  <c r="F57" i="43"/>
  <c r="A399" i="43"/>
  <c r="A319" i="43"/>
  <c r="A282" i="43"/>
  <c r="A280" i="43"/>
  <c r="A397" i="43"/>
  <c r="A241" i="43"/>
  <c r="A243" i="43"/>
  <c r="K53" i="43"/>
  <c r="A202" i="43"/>
  <c r="A358" i="43"/>
  <c r="A204" i="43"/>
  <c r="A360"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<sst xmlns="http://schemas.openxmlformats.org/spreadsheetml/2006/main" count="311" uniqueCount="164">
  <si>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</si>
  <si>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</si>
  <si>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</si>
  <si>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</si>
  <si>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</si>
  <si>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</si>
  <si>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</si>
  <si>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</si>
  <si>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</si>
  <si>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</si>
  <si>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</si>
  <si>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</si>
  <si>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</si>
  <si>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</si>
  <si>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</si>
  <si>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</si>
  <si>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</si>
  <si>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</si>
  <si>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</si>
  <si>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</si>
  <si>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</si>
  <si>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</si>
  <si>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</si>
  <si>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</si>
  <si>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</si>
  <si>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</si>
  <si>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</si>
  <si>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</si>
  <si>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</si>
  <si>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</si>
  <si>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</si>
  <si>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</si>
  <si>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</si>
  <si>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</si>
  <si>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</si>
  <si>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</si>
  <si>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</si>
  <si>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</si>
  <si>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</si>
  <si>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</si>
  <si>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</si>
  <si>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</si>
  <si>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</si>
  <si>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</si>
  <si>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</si>
  <si>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</si>
  <si>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</si>
  <si>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</si>
  <si>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</si>
  <si>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</si>
  <si>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</si>
  <si>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</si>
  <si>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</si>
  <si>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</si>
  <si>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</si>
  <si>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</si>
  <si>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</si>
  <si>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</si>
  <si>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</si>
  <si>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</si>
  <si>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</si>
  <si>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</si>
  <si>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</si>
  <si>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</si>
  <si>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</si>
  <si>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</si>
  <si>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</si>
  <si>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</si>
  <si>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</si>
  <si>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</si>
  <si>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</si>
  <si>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</si>
  <si>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</si>
  <si>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</si>
  <si>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</si>
  <si>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</si>
  <si>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</si>
  <si>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</si>
  <si>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</si>
  <si>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</si>
  <si>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</si>
  <si>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</si>
  <si>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</si>
  <si>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</si>
  <si>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</si>
  <si>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</si>
  <si>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</si>
  <si>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</si>
  <si>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</si>
  <si>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</si>
  <si>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</si>
  <si>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</si>
  <si>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</si>
  <si>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</si>
  <si>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</si>
  <si>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</si>
  <si>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</si>
  <si>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</si>
  <si>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</si>
  <si>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</si>
  <si>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</si>
  <si>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</si>
  <si>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</si>
  <si>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</si>
  <si>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</si>
  <si>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</si>
  <si>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</si>
  <si>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</si>
  <si>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</si>
  <si>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</si>
  <si>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</si>
  <si>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</si>
  <si>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</si>
  <si>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</si>
  <si>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</si>
  <si>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</si>
  <si>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</si>
  <si>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</si>
  <si>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</si>
  <si>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</si>
  <si>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</si>
  <si>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</si>
  <si>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</si>
  <si>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</si>
  <si>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</si>
  <si>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</si>
  <si>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</si>
  <si>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</si>
  <si>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</si>
  <si>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</si>
  <si>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</si>
  <si>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</si>
  <si>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</si>
  <si>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</si>
  <si>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</si>
  <si>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</si>
  <si>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</si>
  <si>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</si>
  <si>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</si>
  <si>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</si>
  <si>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</si>
  <si>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</si>
  <si>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</si>
  <si>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</si>
  <si>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</si>
  <si>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</si>
  <si>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</si>
  <si>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</si>
  <si>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</si>
  <si>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</si>
  <si>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</si>
  <si>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</si>
  <si>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</si>
  <si>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</si>
  <si>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</si>
  <si>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</si>
  <si>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</si>
  <si>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</si>
  <si>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</si>
  <si>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</si>
  <si>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</si>
  <si>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</si>
  <si>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</si>
  <si>
    <t>Viertel</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</si>
</sst>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-3.1765554857142859E-4</c:v>
                </c:pt>
                <c:pt idx="1">
                  <c:v>-3.1956785142857146E-4</c:v>
                </c:pt>
                <c:pt idx="2">
                  <c:v>-3.2602421142857144E-4</c:v>
                </c:pt>
                <c:pt idx="3">
                  <c:v>-3.3090011428571432E-4</c:v>
                </c:pt>
                <c:pt idx="4">
                  <c:v>-3.3562091428571432E-4</c:v>
                </c:pt>
                <c:pt idx="5">
                  <c:v>-3.4095297142857148E-4</c:v>
                </c:pt>
                <c:pt idx="6">
                  <c:v>-3.4677661714285719E-4</c:v>
                </c:pt>
                <c:pt idx="7">
                  <c:v>-3.5371800571428575E-4</c:v>
                </c:pt>
                <c:pt idx="8">
                  <c:v>-3.6188184000000005E-4</c:v>
                </c:pt>
                <c:pt idx="9">
                  <c:v>-3.704156685714286E-4</c:v>
                </c:pt>
                <c:pt idx="10">
                  <c:v>-3.7939892000000004E-4</c:v>
                </c:pt>
                <c:pt idx="11">
                  <c:v>-3.8849084571428573E-4</c:v>
                </c:pt>
                <c:pt idx="12">
                  <c:v>-4.0148532E-4</c:v>
                </c:pt>
                <c:pt idx="13">
                  <c:v>-4.165129028571429E-4</c:v>
                </c:pt>
                <c:pt idx="14">
                  <c:v>-4.3171997714285714E-4</c:v>
                </c:pt>
                <c:pt idx="15">
                  <c:v>-4.4481564000000003E-4</c:v>
                </c:pt>
                <c:pt idx="16">
                  <c:v>-4.5926486857142857E-4</c:v>
                </c:pt>
                <c:pt idx="17">
                  <c:v>-4.7422432E-4</c:v>
                </c:pt>
                <c:pt idx="18">
                  <c:v>-4.9147261714285718E-4</c:v>
                </c:pt>
                <c:pt idx="19">
                  <c:v>-5.1080495999999997E-4</c:v>
                </c:pt>
                <c:pt idx="20">
                  <c:v>-5.5237050285714281E-4</c:v>
                </c:pt>
                <c:pt idx="21">
                  <c:v>-6.5347891428571428E-4</c:v>
                </c:pt>
                <c:pt idx="22">
                  <c:v>-8.2994857142857151E-4</c:v>
                </c:pt>
                <c:pt idx="23">
                  <c:v>-1.0604901142857144E-3</c:v>
                </c:pt>
                <c:pt idx="24">
                  <c:v>-1.3626403428571429E-3</c:v>
                </c:pt>
                <c:pt idx="25">
                  <c:v>-1.7953448000000002E-3</c:v>
                </c:pt>
                <c:pt idx="26">
                  <c:v>-2.5186729142857144E-3</c:v>
                </c:pt>
                <c:pt idx="27">
                  <c:v>-3.6098497142857144E-3</c:v>
                </c:pt>
                <c:pt idx="28">
                  <c:v>-5.1771965142857149E-3</c:v>
                </c:pt>
                <c:pt idx="29">
                  <c:v>-6.6766028571428569E-3</c:v>
                </c:pt>
                <c:pt idx="30">
                  <c:v>-7.9544497142857145E-3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-3.2385028571428571E-4</c:v>
                </c:pt>
                <c:pt idx="1">
                  <c:v>-3.3142164571428574E-4</c:v>
                </c:pt>
                <c:pt idx="2">
                  <c:v>-3.362832742857143E-4</c:v>
                </c:pt>
                <c:pt idx="3">
                  <c:v>-3.4131923428571434E-4</c:v>
                </c:pt>
                <c:pt idx="4">
                  <c:v>-3.4687351428571431E-4</c:v>
                </c:pt>
                <c:pt idx="5">
                  <c:v>-3.5323632000000007E-4</c:v>
                </c:pt>
                <c:pt idx="6">
                  <c:v>-3.604695828571429E-4</c:v>
                </c:pt>
                <c:pt idx="7">
                  <c:v>-3.6940146857142862E-4</c:v>
                </c:pt>
                <c:pt idx="8">
                  <c:v>-3.778486685714286E-4</c:v>
                </c:pt>
                <c:pt idx="9">
                  <c:v>-3.8717555428571435E-4</c:v>
                </c:pt>
                <c:pt idx="10">
                  <c:v>-3.9797395428571429E-4</c:v>
                </c:pt>
                <c:pt idx="11">
                  <c:v>-4.1174637142857144E-4</c:v>
                </c:pt>
                <c:pt idx="12">
                  <c:v>-4.2728338285714294E-4</c:v>
                </c:pt>
                <c:pt idx="13">
                  <c:v>-4.4168786857142855E-4</c:v>
                </c:pt>
                <c:pt idx="14">
                  <c:v>-4.5537212571428577E-4</c:v>
                </c:pt>
                <c:pt idx="15">
                  <c:v>-4.7008845714285722E-4</c:v>
                </c:pt>
                <c:pt idx="16">
                  <c:v>-4.8622577714285719E-4</c:v>
                </c:pt>
                <c:pt idx="17">
                  <c:v>-5.042617714285714E-4</c:v>
                </c:pt>
                <c:pt idx="18">
                  <c:v>-5.3436528571428575E-4</c:v>
                </c:pt>
                <c:pt idx="19">
                  <c:v>-6.1334434285714289E-4</c:v>
                </c:pt>
                <c:pt idx="20">
                  <c:v>-7.6379371428571426E-4</c:v>
                </c:pt>
                <c:pt idx="21">
                  <c:v>-9.6756845714285724E-4</c:v>
                </c:pt>
                <c:pt idx="22">
                  <c:v>-1.2198500000000002E-3</c:v>
                </c:pt>
                <c:pt idx="23">
                  <c:v>-1.5611176000000001E-3</c:v>
                </c:pt>
                <c:pt idx="24">
                  <c:v>-2.0873740571428572E-3</c:v>
                </c:pt>
                <c:pt idx="25">
                  <c:v>-2.9592241714285717E-3</c:v>
                </c:pt>
                <c:pt idx="26">
                  <c:v>-4.2434921142857143E-3</c:v>
                </c:pt>
                <c:pt idx="27">
                  <c:v>-5.8771245714285712E-3</c:v>
                </c:pt>
                <c:pt idx="28">
                  <c:v>-7.2722080000000014E-3</c:v>
                </c:pt>
                <c:pt idx="29">
                  <c:v>-8.3137022857142865E-3</c:v>
                </c:pt>
                <c:pt idx="30">
                  <c:v>-8.936981714285714E-3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-3.3333392571428572E-4</c:v>
                </c:pt>
                <c:pt idx="1">
                  <c:v>-3.3902407428571435E-4</c:v>
                </c:pt>
                <c:pt idx="2">
                  <c:v>-3.4420747428571429E-4</c:v>
                </c:pt>
                <c:pt idx="3">
                  <c:v>-3.4984034857142864E-4</c:v>
                </c:pt>
                <c:pt idx="4">
                  <c:v>-3.5637131428571434E-4</c:v>
                </c:pt>
                <c:pt idx="5">
                  <c:v>-3.6370544000000001E-4</c:v>
                </c:pt>
                <c:pt idx="6">
                  <c:v>-3.7287631428571427E-4</c:v>
                </c:pt>
                <c:pt idx="7">
                  <c:v>-3.8131252000000001E-4</c:v>
                </c:pt>
                <c:pt idx="8">
                  <c:v>-3.9080617142857142E-4</c:v>
                </c:pt>
                <c:pt idx="9">
                  <c:v>-4.0198573142857146E-4</c:v>
                </c:pt>
                <c:pt idx="10">
                  <c:v>-4.1611814857142864E-4</c:v>
                </c:pt>
                <c:pt idx="11">
                  <c:v>-4.3179653142857147E-4</c:v>
                </c:pt>
                <c:pt idx="12">
                  <c:v>-4.4603799428571429E-4</c:v>
                </c:pt>
                <c:pt idx="13">
                  <c:v>-4.5998946857142857E-4</c:v>
                </c:pt>
                <c:pt idx="14">
                  <c:v>-4.7481256571428577E-4</c:v>
                </c:pt>
                <c:pt idx="15">
                  <c:v>-4.9127769714285715E-4</c:v>
                </c:pt>
                <c:pt idx="16">
                  <c:v>-5.0905381142857145E-4</c:v>
                </c:pt>
                <c:pt idx="17">
                  <c:v>-5.3754890285714289E-4</c:v>
                </c:pt>
                <c:pt idx="18">
                  <c:v>-6.0763388571428577E-4</c:v>
                </c:pt>
                <c:pt idx="19">
                  <c:v>-7.5412742857142862E-4</c:v>
                </c:pt>
                <c:pt idx="20">
                  <c:v>-9.5998822857142866E-4</c:v>
                </c:pt>
                <c:pt idx="21">
                  <c:v>-1.2203956E-3</c:v>
                </c:pt>
                <c:pt idx="22">
                  <c:v>-1.5747096571428571E-3</c:v>
                </c:pt>
                <c:pt idx="23">
                  <c:v>-2.126671542857143E-3</c:v>
                </c:pt>
                <c:pt idx="24">
                  <c:v>-3.0271867428571433E-3</c:v>
                </c:pt>
                <c:pt idx="25">
                  <c:v>-4.3534069142857146E-3</c:v>
                </c:pt>
                <c:pt idx="26">
                  <c:v>-5.9767857142857149E-3</c:v>
                </c:pt>
                <c:pt idx="27">
                  <c:v>-7.3654439999999996E-3</c:v>
                </c:pt>
                <c:pt idx="28">
                  <c:v>-8.3538388571428573E-3</c:v>
                </c:pt>
                <c:pt idx="29">
                  <c:v>-8.9823782857142865E-3</c:v>
                </c:pt>
                <c:pt idx="30">
                  <c:v>-9.3296577142857155E-3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-3.403251942857143E-4</c:v>
                </c:pt>
                <c:pt idx="1">
                  <c:v>-3.4632799428571432E-4</c:v>
                </c:pt>
                <c:pt idx="2">
                  <c:v>-3.5206168571428573E-4</c:v>
                </c:pt>
                <c:pt idx="3">
                  <c:v>-3.5859454857142857E-4</c:v>
                </c:pt>
                <c:pt idx="4">
                  <c:v>-3.6596454857142861E-4</c:v>
                </c:pt>
                <c:pt idx="5">
                  <c:v>-3.7513532571428575E-4</c:v>
                </c:pt>
                <c:pt idx="6">
                  <c:v>-3.8366720571428569E-4</c:v>
                </c:pt>
                <c:pt idx="7">
                  <c:v>-3.9319581142857146E-4</c:v>
                </c:pt>
                <c:pt idx="8">
                  <c:v>-4.0432668571428575E-4</c:v>
                </c:pt>
                <c:pt idx="9">
                  <c:v>-4.1845078857142859E-4</c:v>
                </c:pt>
                <c:pt idx="10">
                  <c:v>-4.3423338285714292E-4</c:v>
                </c:pt>
                <c:pt idx="11">
                  <c:v>-4.4869412571428574E-4</c:v>
                </c:pt>
                <c:pt idx="12">
                  <c:v>-4.6266420000000007E-4</c:v>
                </c:pt>
                <c:pt idx="13">
                  <c:v>-4.775777771428572E-4</c:v>
                </c:pt>
                <c:pt idx="14">
                  <c:v>-4.940049657142857E-4</c:v>
                </c:pt>
                <c:pt idx="15">
                  <c:v>-5.1156064000000003E-4</c:v>
                </c:pt>
                <c:pt idx="16">
                  <c:v>-5.3645994857142863E-4</c:v>
                </c:pt>
                <c:pt idx="17">
                  <c:v>-5.9246891428571438E-4</c:v>
                </c:pt>
                <c:pt idx="18">
                  <c:v>-7.2165205714285711E-4</c:v>
                </c:pt>
                <c:pt idx="19">
                  <c:v>-9.2102622857142874E-4</c:v>
                </c:pt>
                <c:pt idx="20">
                  <c:v>-1.1794936000000002E-3</c:v>
                </c:pt>
                <c:pt idx="21">
                  <c:v>-1.5301973142857145E-3</c:v>
                </c:pt>
                <c:pt idx="22">
                  <c:v>-2.0701796571428576E-3</c:v>
                </c:pt>
                <c:pt idx="23">
                  <c:v>-2.9545460000000002E-3</c:v>
                </c:pt>
                <c:pt idx="24">
                  <c:v>-4.2581054285714291E-3</c:v>
                </c:pt>
                <c:pt idx="25">
                  <c:v>-5.8863280000000006E-3</c:v>
                </c:pt>
                <c:pt idx="26">
                  <c:v>-7.2844622857142858E-3</c:v>
                </c:pt>
                <c:pt idx="27">
                  <c:v>-8.3061679999999992E-3</c:v>
                </c:pt>
                <c:pt idx="28">
                  <c:v>-8.9411811428571422E-3</c:v>
                </c:pt>
                <c:pt idx="29">
                  <c:v>-9.2980605714285732E-3</c:v>
                </c:pt>
                <c:pt idx="30">
                  <c:v>-9.6590897142857148E-3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-3.4942501142857146E-4</c:v>
                </c:pt>
                <c:pt idx="1">
                  <c:v>-3.5648601714285716E-4</c:v>
                </c:pt>
                <c:pt idx="2">
                  <c:v>-3.6348173142857149E-4</c:v>
                </c:pt>
                <c:pt idx="3">
                  <c:v>-3.7166670857142863E-4</c:v>
                </c:pt>
                <c:pt idx="4">
                  <c:v>-3.8023785142857143E-4</c:v>
                </c:pt>
                <c:pt idx="5">
                  <c:v>-3.8966249142857143E-4</c:v>
                </c:pt>
                <c:pt idx="6">
                  <c:v>-3.9857573142857144E-4</c:v>
                </c:pt>
                <c:pt idx="7">
                  <c:v>-4.1107237714285716E-4</c:v>
                </c:pt>
                <c:pt idx="8">
                  <c:v>-4.2596614285714284E-4</c:v>
                </c:pt>
                <c:pt idx="9">
                  <c:v>-4.4192214857142857E-4</c:v>
                </c:pt>
                <c:pt idx="10">
                  <c:v>-4.5590130285714283E-4</c:v>
                </c:pt>
                <c:pt idx="11">
                  <c:v>-4.7041819428571432E-4</c:v>
                </c:pt>
                <c:pt idx="12">
                  <c:v>-4.8552683428571436E-4</c:v>
                </c:pt>
                <c:pt idx="13">
                  <c:v>-5.0266556571428576E-4</c:v>
                </c:pt>
                <c:pt idx="14">
                  <c:v>-5.2012852571428571E-4</c:v>
                </c:pt>
                <c:pt idx="15">
                  <c:v>-5.4532661142857146E-4</c:v>
                </c:pt>
                <c:pt idx="16">
                  <c:v>-5.9216714285714289E-4</c:v>
                </c:pt>
                <c:pt idx="17">
                  <c:v>-7.0827571428571431E-4</c:v>
                </c:pt>
                <c:pt idx="18">
                  <c:v>-9.0756428571428581E-4</c:v>
                </c:pt>
                <c:pt idx="19">
                  <c:v>-1.1832574285714286E-3</c:v>
                </c:pt>
                <c:pt idx="20">
                  <c:v>-1.5661336571428574E-3</c:v>
                </c:pt>
                <c:pt idx="21">
                  <c:v>-2.1722050857142859E-3</c:v>
                </c:pt>
                <c:pt idx="22">
                  <c:v>-3.1303788000000003E-3</c:v>
                </c:pt>
                <c:pt idx="23">
                  <c:v>-4.5407554857142861E-3</c:v>
                </c:pt>
                <c:pt idx="24">
                  <c:v>-6.1332525714285716E-3</c:v>
                </c:pt>
                <c:pt idx="25">
                  <c:v>-7.5139828571428573E-3</c:v>
                </c:pt>
                <c:pt idx="26">
                  <c:v>-8.4066577142857153E-3</c:v>
                </c:pt>
                <c:pt idx="27">
                  <c:v>-9.0518805714285711E-3</c:v>
                </c:pt>
                <c:pt idx="28">
                  <c:v>-9.3563582857142859E-3</c:v>
                </c:pt>
                <c:pt idx="29">
                  <c:v>-9.698237142857143E-3</c:v>
                </c:pt>
                <c:pt idx="30">
                  <c:v>-1.012065142857143E-2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-3.7173529714285713E-4</c:v>
                </c:pt>
                <c:pt idx="1">
                  <c:v>-3.8212683428571429E-4</c:v>
                </c:pt>
                <c:pt idx="2">
                  <c:v>-3.9116091428571429E-4</c:v>
                </c:pt>
                <c:pt idx="3">
                  <c:v>-4.0084070285714289E-4</c:v>
                </c:pt>
                <c:pt idx="4">
                  <c:v>-4.1181157714285721E-4</c:v>
                </c:pt>
                <c:pt idx="5">
                  <c:v>-4.2589937714285713E-4</c:v>
                </c:pt>
                <c:pt idx="6">
                  <c:v>-4.420115542857143E-4</c:v>
                </c:pt>
                <c:pt idx="7">
                  <c:v>-4.5721752571428574E-4</c:v>
                </c:pt>
                <c:pt idx="8">
                  <c:v>-4.7125333142857142E-4</c:v>
                </c:pt>
                <c:pt idx="9">
                  <c:v>-4.8648615428571431E-4</c:v>
                </c:pt>
                <c:pt idx="10">
                  <c:v>-5.028533485714286E-4</c:v>
                </c:pt>
                <c:pt idx="11">
                  <c:v>-5.2051835428571435E-4</c:v>
                </c:pt>
                <c:pt idx="12">
                  <c:v>-5.4071768571428572E-4</c:v>
                </c:pt>
                <c:pt idx="13">
                  <c:v>-5.6753465714285724E-4</c:v>
                </c:pt>
                <c:pt idx="14">
                  <c:v>-6.0179708571428576E-4</c:v>
                </c:pt>
                <c:pt idx="15">
                  <c:v>-6.6458657142857145E-4</c:v>
                </c:pt>
                <c:pt idx="16">
                  <c:v>-8.1709234285714302E-4</c:v>
                </c:pt>
                <c:pt idx="17">
                  <c:v>-1.1108585142857144E-3</c:v>
                </c:pt>
                <c:pt idx="18">
                  <c:v>-1.5874490285714285E-3</c:v>
                </c:pt>
                <c:pt idx="19">
                  <c:v>-2.3751488000000004E-3</c:v>
                </c:pt>
                <c:pt idx="20">
                  <c:v>-3.5625850285714291E-3</c:v>
                </c:pt>
                <c:pt idx="21">
                  <c:v>-5.1735060571428577E-3</c:v>
                </c:pt>
                <c:pt idx="22">
                  <c:v>-6.6533691428571429E-3</c:v>
                </c:pt>
                <c:pt idx="23">
                  <c:v>-7.8597879999999995E-3</c:v>
                </c:pt>
                <c:pt idx="24">
                  <c:v>-8.5845314285714295E-3</c:v>
                </c:pt>
                <c:pt idx="25">
                  <c:v>-9.184025142857143E-3</c:v>
                </c:pt>
                <c:pt idx="26">
                  <c:v>-9.5224000000000003E-3</c:v>
                </c:pt>
                <c:pt idx="27">
                  <c:v>-9.8091748571428571E-3</c:v>
                </c:pt>
                <c:pt idx="28">
                  <c:v>-1.0384158857142858E-2</c:v>
                </c:pt>
                <c:pt idx="29">
                  <c:v>-1.0416116571428572E-2</c:v>
                </c:pt>
                <c:pt idx="30">
                  <c:v>-1.0529876000000001E-2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-3.9813363428571429E-4</c:v>
                </c:pt>
                <c:pt idx="1">
                  <c:v>-4.1063771428571428E-4</c:v>
                </c:pt>
                <c:pt idx="2">
                  <c:v>-4.2372155999999999E-4</c:v>
                </c:pt>
                <c:pt idx="3">
                  <c:v>-4.3944785714285716E-4</c:v>
                </c:pt>
                <c:pt idx="4">
                  <c:v>-4.5578372000000007E-4</c:v>
                </c:pt>
                <c:pt idx="5">
                  <c:v>-4.6982645714285716E-4</c:v>
                </c:pt>
                <c:pt idx="6">
                  <c:v>-4.8496462857142863E-4</c:v>
                </c:pt>
                <c:pt idx="7">
                  <c:v>-5.0056704571428581E-4</c:v>
                </c:pt>
                <c:pt idx="8">
                  <c:v>-5.1841342285714287E-4</c:v>
                </c:pt>
                <c:pt idx="9">
                  <c:v>-5.3625677714285716E-4</c:v>
                </c:pt>
                <c:pt idx="10">
                  <c:v>-5.6095232E-4</c:v>
                </c:pt>
                <c:pt idx="11">
                  <c:v>-5.8981965714285716E-4</c:v>
                </c:pt>
                <c:pt idx="12">
                  <c:v>-6.2802862857142862E-4</c:v>
                </c:pt>
                <c:pt idx="13">
                  <c:v>-6.7961274285714289E-4</c:v>
                </c:pt>
                <c:pt idx="14">
                  <c:v>-7.6706560000000014E-4</c:v>
                </c:pt>
                <c:pt idx="15">
                  <c:v>-9.6394508571428573E-4</c:v>
                </c:pt>
                <c:pt idx="16">
                  <c:v>-1.4137288571428573E-3</c:v>
                </c:pt>
                <c:pt idx="17">
                  <c:v>-2.2145592571428574E-3</c:v>
                </c:pt>
                <c:pt idx="18">
                  <c:v>-3.505241085714286E-3</c:v>
                </c:pt>
                <c:pt idx="19">
                  <c:v>-5.0682833714285717E-3</c:v>
                </c:pt>
                <c:pt idx="20">
                  <c:v>-6.5951834285714293E-3</c:v>
                </c:pt>
                <c:pt idx="21">
                  <c:v>-7.6842982857142856E-3</c:v>
                </c:pt>
                <c:pt idx="22">
                  <c:v>-8.5483737142857154E-3</c:v>
                </c:pt>
                <c:pt idx="23">
                  <c:v>-9.1112971428571436E-3</c:v>
                </c:pt>
                <c:pt idx="24">
                  <c:v>-9.4835811428571441E-3</c:v>
                </c:pt>
                <c:pt idx="25">
                  <c:v>-1.0088114857142857E-2</c:v>
                </c:pt>
                <c:pt idx="26">
                  <c:v>-1.028188342857143E-2</c:v>
                </c:pt>
                <c:pt idx="27">
                  <c:v>-1.0456755428571428E-2</c:v>
                </c:pt>
                <c:pt idx="28">
                  <c:v>-1.0466368571428573E-2</c:v>
                </c:pt>
                <c:pt idx="29">
                  <c:v>-1.0536541142857144E-2</c:v>
                </c:pt>
                <c:pt idx="30">
                  <c:v>-1.0580144000000001E-2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39486696"/>
        <c:axId val="43948748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3948669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9487480"/>
        <c:crossesAt val="-8.0000000000000019E-3"/>
        <c:crossBetween val="midCat"/>
      </c:valAx>
      <c:valAx>
        <c:axId val="4394874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94866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31480.640098913249</c:v>
                </c:pt>
                <c:pt idx="1">
                  <c:v>31292.259078304567</c:v>
                </c:pt>
                <c:pt idx="2">
                  <c:v>30672.568629740854</c:v>
                </c:pt>
                <c:pt idx="3">
                  <c:v>30220.600018788577</c:v>
                </c:pt>
                <c:pt idx="4">
                  <c:v>29795.52100107502</c:v>
                </c:pt>
                <c:pt idx="5">
                  <c:v>29329.558144340641</c:v>
                </c:pt>
                <c:pt idx="6">
                  <c:v>28837.00776134057</c:v>
                </c:pt>
                <c:pt idx="7">
                  <c:v>28271.10816653608</c:v>
                </c:pt>
                <c:pt idx="8">
                  <c:v>27633.32915517396</c:v>
                </c:pt>
                <c:pt idx="9">
                  <c:v>26996.698164974259</c:v>
                </c:pt>
                <c:pt idx="10">
                  <c:v>26357.481460411112</c:v>
                </c:pt>
                <c:pt idx="11">
                  <c:v>25740.632270533515</c:v>
                </c:pt>
                <c:pt idx="12">
                  <c:v>24907.510939627879</c:v>
                </c:pt>
                <c:pt idx="13">
                  <c:v>24008.860065086232</c:v>
                </c:pt>
                <c:pt idx="14">
                  <c:v>23163.16253461437</c:v>
                </c:pt>
                <c:pt idx="15">
                  <c:v>22481.223906605439</c:v>
                </c:pt>
                <c:pt idx="16">
                  <c:v>21773.927605448269</c:v>
                </c:pt>
                <c:pt idx="17">
                  <c:v>21087.066981296954</c:v>
                </c:pt>
                <c:pt idx="18">
                  <c:v>20347.013549064694</c:v>
                </c:pt>
                <c:pt idx="19">
                  <c:v>19576.943810412493</c:v>
                </c:pt>
                <c:pt idx="20">
                  <c:v>18103.790749641561</c:v>
                </c:pt>
                <c:pt idx="21">
                  <c:v>15302.712576320093</c:v>
                </c:pt>
                <c:pt idx="22">
                  <c:v>12048.939349081869</c:v>
                </c:pt>
                <c:pt idx="23">
                  <c:v>9429.6022803903543</c:v>
                </c:pt>
                <c:pt idx="24">
                  <c:v>7338.6936269861963</c:v>
                </c:pt>
                <c:pt idx="25">
                  <c:v>5569.9607117251235</c:v>
                </c:pt>
                <c:pt idx="26">
                  <c:v>3970.3448364735204</c:v>
                </c:pt>
                <c:pt idx="27">
                  <c:v>2770.1984269388659</c:v>
                </c:pt>
                <c:pt idx="28">
                  <c:v>1931.547309901501</c:v>
                </c:pt>
                <c:pt idx="29">
                  <c:v>1497.7676842500314</c:v>
                </c:pt>
                <c:pt idx="30">
                  <c:v>1257.1579881937778</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30878.465887235372</c:v>
                </c:pt>
                <c:pt idx="1">
                  <c:v>30173.044305684456</c:v>
                </c:pt>
                <c:pt idx="2">
                  <c:v>29736.834284252152</c:v>
                </c:pt>
                <c:pt idx="3">
                  <c:v>29298.085180951497</c:v>
                </c:pt>
                <c:pt idx="4">
                  <c:v>28828.952307275773</c:v>
                </c:pt>
                <c:pt idx="5">
                  <c:v>28309.659663536291</c:v>
                </c:pt>
                <c:pt idx="6">
                  <c:v>27741.591733589026</c:v>
                </c:pt>
                <c:pt idx="7">
                  <c:v>27070.818204033123</c:v>
                </c:pt>
                <c:pt idx="8">
                  <c:v>26465.621905743457</c:v>
                </c:pt>
                <c:pt idx="9">
                  <c:v>25828.07692610817</c:v>
                </c:pt>
                <c:pt idx="10">
                  <c:v>25127.272506935918</c:v>
                </c:pt>
                <c:pt idx="11">
                  <c:v>24286.795692466159</c:v>
                </c:pt>
                <c:pt idx="12">
                  <c:v>23403.671664300084</c:v>
                </c:pt>
                <c:pt idx="13">
                  <c:v>22640.42259603702</c:v>
                </c:pt>
                <c:pt idx="14">
                  <c:v>21960.061750187804</c:v>
                </c:pt>
                <c:pt idx="15">
                  <c:v>21272.592100599177</c:v>
                </c:pt>
                <c:pt idx="16">
                  <c:v>20566.577236529185</c:v>
                </c:pt>
                <c:pt idx="17">
                  <c:v>19830.969878343232</c:v>
                </c:pt>
                <c:pt idx="18">
                  <c:v>18713.790486283193</c:v>
                </c:pt>
                <c:pt idx="19">
                  <c:v>16304.055163233405</c:v>
                </c:pt>
                <c:pt idx="20">
                  <c:v>13092.540319413096</c:v>
                </c:pt>
                <c:pt idx="21">
                  <c:v>10335.186028623857</c:v>
                </c:pt>
                <c:pt idx="22">
                  <c:v>8197.7292290035639</c:v>
                </c:pt>
                <c:pt idx="23">
                  <c:v>6405.6673244859958</c:v>
                </c:pt>
                <c:pt idx="24">
                  <c:v>4790.708194240824</c:v>
                </c:pt>
                <c:pt idx="25">
                  <c:v>3379.2640978505115</c:v>
                </c:pt>
                <c:pt idx="26">
                  <c:v>2356.5496837698847</c:v>
                </c:pt>
                <c:pt idx="27">
                  <c:v>1701.5123430622245</c:v>
                </c:pt>
                <c:pt idx="28">
                  <c:v>1375.0981820101952</c:v>
                </c:pt>
                <c:pt idx="29">
                  <c:v>1202.8335459141151</c:v>
                </c:pt>
                <c:pt idx="30">
                  <c:v>1118.9460065712183</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29999.946685809031</c:v>
                </c:pt>
                <c:pt idx="1">
                  <c:v>29496.430367279601</c:v>
                </c:pt>
                <c:pt idx="2">
                  <c:v>29052.245366698105</c:v>
                </c:pt>
                <c:pt idx="3">
                  <c:v>28584.467288678825</c:v>
                </c:pt>
                <c:pt idx="4">
                  <c:v>28060.619918422162</c:v>
                </c:pt>
                <c:pt idx="5">
                  <c:v>27494.777092143577</c:v>
                </c:pt>
                <c:pt idx="6">
                  <c:v>26818.544425800024</c:v>
                </c:pt>
                <c:pt idx="7">
                  <c:v>26225.207606610977</c:v>
                </c:pt>
                <c:pt idx="8">
                  <c:v>25588.132253504406</c:v>
                </c:pt>
                <c:pt idx="9">
                  <c:v>24876.504856185158</c:v>
                </c:pt>
                <c:pt idx="10">
                  <c:v>24031.636289671351</c:v>
                </c:pt>
                <c:pt idx="11">
                  <c:v>23159.055879665437</c:v>
                </c:pt>
                <c:pt idx="12">
                  <c:v>22419.614759531887</c:v>
                </c:pt>
                <c:pt idx="13">
                  <c:v>21739.628150741388</c:v>
                </c:pt>
                <c:pt idx="14">
                  <c:v>21060.942195066949</c:v>
                </c:pt>
                <c:pt idx="15">
                  <c:v>20355.086457531841</c:v>
                </c:pt>
                <c:pt idx="16">
                  <c:v>19644.288630187701</c:v>
                </c:pt>
                <c:pt idx="17">
                  <c:v>18602.958627296397</c:v>
                </c:pt>
                <c:pt idx="18">
                  <c:v>16457.278363014269</c:v>
                </c:pt>
                <c:pt idx="19">
                  <c:v>13260.358423699518</c:v>
                </c:pt>
                <c:pt idx="20">
                  <c:v>10416.794396407478</c:v>
                </c:pt>
                <c:pt idx="21">
                  <c:v>8194.0642853841819</c:v>
                </c:pt>
                <c:pt idx="22">
                  <c:v>6350.3770073677797</c:v>
                </c:pt>
                <c:pt idx="23">
                  <c:v>4702.1835758262832</c:v>
                </c:pt>
                <c:pt idx="24">
                  <c:v>3303.3971305522173</c:v>
                </c:pt>
                <c:pt idx="25">
                  <c:v>2297.0515269741904</c:v>
                </c:pt>
                <c:pt idx="26">
                  <c:v>1673.1401254855093</c:v>
                </c:pt>
                <c:pt idx="27">
                  <c:v>1357.6914032609575</c:v>
                </c:pt>
                <c:pt idx="28">
                  <c:v>1197.054452570582</c:v>
                </c:pt>
                <c:pt idx="29">
                  <c:v>1113.2908993494691</c:v>
                </c:pt>
                <c:pt idx="30">
                  <c:v>1071.8506837274263</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29383.660592593882</c:v>
                </c:pt>
                <c:pt idx="1">
                  <c:v>28874.362353018976</c:v>
                </c:pt>
                <c:pt idx="2">
                  <c:v>28404.113272682163</c:v>
                </c:pt>
                <c:pt idx="3">
                  <c:v>27886.648137396591</c:v>
                </c:pt>
                <c:pt idx="4">
                  <c:v>27325.05112595137</c:v>
                </c:pt>
                <c:pt idx="5">
                  <c:v>26657.046976205856</c:v>
                </c:pt>
                <c:pt idx="6">
                  <c:v>26064.255300065783</c:v>
                </c:pt>
                <c:pt idx="7">
                  <c:v>25432.620870674291</c:v>
                </c:pt>
                <c:pt idx="8">
                  <c:v>24732.475874883068</c:v>
                </c:pt>
                <c:pt idx="9">
                  <c:v>23897.672732651627</c:v>
                </c:pt>
                <c:pt idx="10">
                  <c:v>23029.090794914468</c:v>
                </c:pt>
                <c:pt idx="11">
                  <c:v>22286.897525303651</c:v>
                </c:pt>
                <c:pt idx="12">
                  <c:v>21613.94808589037</c:v>
                </c:pt>
                <c:pt idx="13">
                  <c:v>20938.997747813366</c:v>
                </c:pt>
                <c:pt idx="14">
                  <c:v>20242.711498943983</c:v>
                </c:pt>
                <c:pt idx="15">
                  <c:v>19548.024648651623</c:v>
                </c:pt>
                <c:pt idx="16">
                  <c:v>18640.720573138031</c:v>
                </c:pt>
                <c:pt idx="17">
                  <c:v>16878.522668241734</c:v>
                </c:pt>
                <c:pt idx="18">
                  <c:v>13857.093458018669</c:v>
                </c:pt>
                <c:pt idx="19">
                  <c:v>10857.454098251519</c:v>
                </c:pt>
                <c:pt idx="20">
                  <c:v>8478.2147185877038</c:v>
                </c:pt>
                <c:pt idx="21">
                  <c:v>6535.1049218563885</c:v>
                </c:pt>
                <c:pt idx="22">
                  <c:v>4830.4986311194953</c:v>
                </c:pt>
                <c:pt idx="23">
                  <c:v>3384.614759763429</c:v>
                </c:pt>
                <c:pt idx="24">
                  <c:v>2348.4622839305662</c:v>
                </c:pt>
                <c:pt idx="25">
                  <c:v>1698.8519837834383</c:v>
                </c:pt>
                <c:pt idx="26">
                  <c:v>1372.7849232758351</c:v>
                </c:pt>
                <c:pt idx="27">
                  <c:v>1203.9246015731924</c:v>
                </c:pt>
                <c:pt idx="28">
                  <c:v>1118.4204681938156</c:v>
                </c:pt>
                <c:pt idx="29">
                  <c:v>1075.493101295594</c:v>
                </c:pt>
                <c:pt idx="30">
                  <c:v>1035.294245710347</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28618.44365151913</c:v>
                </c:pt>
                <c:pt idx="1">
                  <c:v>28051.591139948217</c:v>
                </c:pt>
                <c:pt idx="2">
                  <c:v>27511.699035595466</c:v>
                </c:pt>
                <c:pt idx="3">
                  <c:v>26905.826562828006</c:v>
                </c:pt>
                <c:pt idx="4">
                  <c:v>26299.328071704411</c:v>
                </c:pt>
                <c:pt idx="5">
                  <c:v>25663.234773606862</c:v>
                </c:pt>
                <c:pt idx="6">
                  <c:v>25089.33487786146</c:v>
                </c:pt>
                <c:pt idx="7">
                  <c:v>24326.616323637743</c:v>
                </c:pt>
                <c:pt idx="8">
                  <c:v>23476.044206061986</c:v>
                </c:pt>
                <c:pt idx="9">
                  <c:v>22628.420033542818</c:v>
                </c:pt>
                <c:pt idx="10">
                  <c:v>21934.572104378283</c:v>
                </c:pt>
                <c:pt idx="11">
                  <c:v>21257.681189784882</c:v>
                </c:pt>
                <c:pt idx="12">
                  <c:v>20596.183967280733</c:v>
                </c:pt>
                <c:pt idx="13">
                  <c:v>19893.942776426389</c:v>
                </c:pt>
                <c:pt idx="14">
                  <c:v>19226.017235388372</c:v>
                </c:pt>
                <c:pt idx="15">
                  <c:v>18337.634346879531</c:v>
                </c:pt>
                <c:pt idx="16">
                  <c:v>16887.124050400827</c:v>
                </c:pt>
                <c:pt idx="17">
                  <c:v>14118.795545721701</c:v>
                </c:pt>
                <c:pt idx="18">
                  <c:v>11018.50321504183</c:v>
                </c:pt>
                <c:pt idx="19">
                  <c:v>8451.2463294426198</c:v>
                </c:pt>
                <c:pt idx="20">
                  <c:v>6385.151072127067</c:v>
                </c:pt>
                <c:pt idx="21">
                  <c:v>4603.6168802687898</c:v>
                </c:pt>
                <c:pt idx="22">
                  <c:v>3194.5015727809041</c:v>
                </c:pt>
                <c:pt idx="23">
                  <c:v>2202.2766985496346</c:v>
                </c:pt>
                <c:pt idx="24">
                  <c:v>1630.4562519705228</c:v>
                </c:pt>
                <c:pt idx="25">
                  <c:v>1330.8521179941092</c:v>
                </c:pt>
                <c:pt idx="26">
                  <c:v>1189.5333841184786</c:v>
                </c:pt>
                <c:pt idx="27">
                  <c:v>1104.7428124012242</c:v>
                </c:pt>
                <c:pt idx="28">
                  <c:v>1068.7919054220547</c:v>
                </c:pt>
                <c:pt idx="29">
                  <c:v>1031.115227715906</c:v>
                </c:pt>
                <c:pt idx="30">
                  <c:v>988.07868945759549</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26900.86219107953</c:v>
                </c:pt>
                <c:pt idx="1">
                  <c:v>26169.321551815046</c:v>
                </c:pt>
                <c:pt idx="2">
                  <c:v>25564.926440211086</c:v>
                </c:pt>
                <c:pt idx="3">
                  <c:v>24947.566274385907</c:v>
                </c:pt>
                <c:pt idx="4">
                  <c:v>24282.950152542715</c:v>
                </c:pt>
                <c:pt idx="5">
                  <c:v>23479.724405996851</c:v>
                </c:pt>
                <c:pt idx="6">
                  <c:v>22623.842981118192</c:v>
                </c:pt>
                <c:pt idx="7">
                  <c:v>21871.427575698352</c:v>
                </c:pt>
                <c:pt idx="8">
                  <c:v>21220.009139639824</c:v>
                </c:pt>
                <c:pt idx="9">
                  <c:v>20555.569592073076</c:v>
                </c:pt>
                <c:pt idx="10">
                  <c:v>19886.513689148745</c:v>
                </c:pt>
                <c:pt idx="11">
                  <c:v>19211.618413960798</c:v>
                </c:pt>
                <c:pt idx="12">
                  <c:v>18493.939192667691</c:v>
                </c:pt>
                <c:pt idx="13">
                  <c:v>17620.069319366423</c:v>
                </c:pt>
                <c:pt idx="14">
                  <c:v>16616.896687245979</c:v>
                </c:pt>
                <c:pt idx="15">
                  <c:v>15046.948629287466</c:v>
                </c:pt>
                <c:pt idx="16">
                  <c:v>12238.518800742644</c:v>
                </c:pt>
                <c:pt idx="17">
                  <c:v>9002.0464995310685</c:v>
                </c:pt>
                <c:pt idx="18">
                  <c:v>6299.4148599524888</c:v>
                </c:pt>
                <c:pt idx="19">
                  <c:v>4210.2625317622196</c:v>
                </c:pt>
                <c:pt idx="20">
                  <c:v>2806.9505484925726</c:v>
                </c:pt>
                <c:pt idx="21">
                  <c:v>1932.9251555032763</c:v>
                </c:pt>
                <c:pt idx="22">
                  <c:v>1502.9979225992142</c:v>
                </c:pt>
                <c:pt idx="23">
                  <c:v>1272.2989475034187</c:v>
                </c:pt>
                <c:pt idx="24">
                  <c:v>1164.8859443530655</c:v>
                </c:pt>
                <c:pt idx="25">
                  <c:v>1088.8471933003668</c:v>
                </c:pt>
                <c:pt idx="26">
                  <c:v>1050.1554230026043</c:v>
                </c:pt>
                <c:pt idx="27">
                  <c:v>1019.453740568014</c:v>
                </c:pt>
                <c:pt idx="28">
                  <c:v>963.00529851018121</c:v>
                </c:pt>
                <c:pt idx="29">
                  <c:v>960.05069945453749</c:v>
                </c:pt>
                <c:pt idx="30">
                  <c:v>949.67879963638688</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25117.194677462641</c:v>
                </c:pt>
                <c:pt idx="1">
                  <c:v>24352.366215057835</c:v>
                </c:pt>
                <c:pt idx="2">
                  <c:v>23600.404001155854</c:v>
                </c:pt>
                <c:pt idx="3">
                  <c:v>22755.828336532693</c:v>
                </c:pt>
                <c:pt idx="4">
                  <c:v>21940.230774368156</c:v>
                </c:pt>
                <c:pt idx="5">
                  <c:v>21284.454819366129</c:v>
                </c:pt>
                <c:pt idx="6">
                  <c:v>20620.060538141159</c:v>
                </c:pt>
                <c:pt idx="7">
                  <c:v>19977.343865556446</c:v>
                </c:pt>
                <c:pt idx="8">
                  <c:v>19289.623993311725</c:v>
                </c:pt>
                <c:pt idx="9">
                  <c:v>18647.782976803352</c:v>
                </c:pt>
                <c:pt idx="10">
                  <c:v>17826.827064375098</c:v>
                </c:pt>
                <c:pt idx="11">
                  <c:v>16954.334903724568</c:v>
                </c:pt>
                <c:pt idx="12">
                  <c:v>15922.841006065146</c:v>
                </c:pt>
                <c:pt idx="13">
                  <c:v>14714.26206336163</c:v>
                </c:pt>
                <c:pt idx="14">
                  <c:v>13036.6946451516</c:v>
                </c:pt>
                <c:pt idx="15">
                  <c:v>10374.034940579602</c:v>
                </c:pt>
                <c:pt idx="16">
                  <c:v>7073.4921689368193</c:v>
                </c:pt>
                <c:pt idx="17">
                  <c:v>4515.5711989850433</c:v>
                </c:pt>
                <c:pt idx="18">
                  <c:v>2852.8708170046552</c:v>
                </c:pt>
                <c:pt idx="19">
                  <c:v>1973.0546354951243</c:v>
                </c:pt>
                <c:pt idx="20">
                  <c:v>1516.2580553375271</c:v>
                </c:pt>
                <c:pt idx="21">
                  <c:v>1301.3550005718525</c:v>
                </c:pt>
                <c:pt idx="22">
                  <c:v>1169.8131520956299</c:v>
                </c:pt>
                <c:pt idx="23">
                  <c:v>1097.5385659372946</c:v>
                </c:pt>
                <c:pt idx="24">
                  <c:v>1054.4539925755591</c:v>
                </c:pt>
                <c:pt idx="25">
                  <c:v>991.26547839803118</c:v>
                </c:pt>
                <c:pt idx="26">
                  <c:v>972.58445589957489</c:v>
                </c:pt>
                <c:pt idx="27">
                  <c:v>956.31958386217809</c:v>
                </c:pt>
                <c:pt idx="28">
                  <c:v>955.44122412221554</c:v>
                </c:pt>
                <c:pt idx="29">
                  <c:v>949.07805744004781</c:v>
                </c:pt>
                <c:pt idx="30">
                  <c:v>945.16671984804736</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118590528"/>
        <c:axId val="44453246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1859052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532464"/>
        <c:crosses val="autoZero"/>
        <c:crossBetween val="midCat"/>
      </c:valAx>
      <c:valAx>
        <c:axId val="444532464"/>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18590528"/>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36512.309937517843</c:v>
                </c:pt>
                <c:pt idx="1">
                  <c:v>36610.57382827648</c:v>
                </c:pt>
                <c:pt idx="2">
                  <c:v>36951.279568968181</c:v>
                </c:pt>
                <c:pt idx="3">
                  <c:v>37215.952432993952</c:v>
                </c:pt>
                <c:pt idx="4">
                  <c:v>37490.368188835579</c:v>
                </c:pt>
                <c:pt idx="5">
                  <c:v>37836.258940978238</c:v>
                </c:pt>
                <c:pt idx="6">
                  <c:v>38252.851083355687</c:v>
                </c:pt>
                <c:pt idx="7">
                  <c:v>38813.753225395143</c:v>
                </c:pt>
                <c:pt idx="8">
                  <c:v>39375.916474455924</c:v>
                </c:pt>
                <c:pt idx="9">
                  <c:v>40380.83139009236</c:v>
                </c:pt>
                <c:pt idx="10">
                  <c:v>41249.50745141707</c:v>
                </c:pt>
                <c:pt idx="11">
                  <c:v>42652.687114413609</c:v>
                </c:pt>
                <c:pt idx="12">
                  <c:v>44483.118491309542</c:v>
                </c:pt>
                <c:pt idx="13">
                  <c:v>47428.273679676793</c:v>
                </c:pt>
                <c:pt idx="14">
                  <c:v>51289.058156457933</c:v>
                </c:pt>
                <c:pt idx="15">
                  <c:v>55562.619945805782</c:v>
                </c:pt>
                <c:pt idx="16">
                  <c:v>61665.255060885051</c:v>
                </c:pt>
                <c:pt idx="17">
                  <c:v>70272.962674375391</c:v>
                </c:pt>
                <c:pt idx="18">
                  <c:v>84700.077991831757</c:v>
                </c:pt>
                <c:pt idx="19">
                  <c:v>107212.65476912535</c:v>
                </c:pt>
                <c:pt idx="20">
                  <c:v>143939.45001969935</c:v>
                </c:pt>
                <c:pt idx="21">
                  <c:v>111668.9881054026</c:v>
                </c:pt>
                <c:pt idx="22">
                  <c:v>58458.094598826036</c:v>
                </c:pt>
                <c:pt idx="23">
                  <c:v>33372.30837553781</c:v>
                </c:pt>
                <c:pt idx="24">
                  <c:v>21233.601895930122</c:v>
                </c:pt>
                <c:pt idx="25">
                  <c:v>13689.337461098799</c:v>
                </c:pt>
                <c:pt idx="26">
                  <c:v>8396.4313151766983</c:v>
                </c:pt>
                <c:pt idx="27">
                  <c:v>5147.5408755925846</c:v>
                </c:pt>
                <c:pt idx="28">
                  <c:v>3272.6492527690871</c:v>
                </c:pt>
                <c:pt idx="29">
                  <c:v>2365.557333823856</c:v>
                </c:pt>
                <c:pt idx="30">
                  <c:v>1898.1488471489934</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36299.179580462805</c:v>
                </c:pt>
                <c:pt idx="1">
                  <c:v>36699.448711367004</c:v>
                </c:pt>
                <c:pt idx="2">
                  <c:v>36952.248636182238</c:v>
                </c:pt>
                <c:pt idx="3">
                  <c:v>37240.32428278539</c:v>
                </c:pt>
                <c:pt idx="4">
                  <c:v>37593.431761530461</c:v>
                </c:pt>
                <c:pt idx="5">
                  <c:v>38044.404559415321</c:v>
                </c:pt>
                <c:pt idx="6">
                  <c:v>38620.878018516763</c:v>
                </c:pt>
                <c:pt idx="7">
                  <c:v>39241.146193966451</c:v>
                </c:pt>
                <c:pt idx="8">
                  <c:v>40234.327482181536</c:v>
                </c:pt>
                <c:pt idx="9">
                  <c:v>41142.122240439152</c:v>
                </c:pt>
                <c:pt idx="10">
                  <c:v>42572.326003011323</c:v>
                </c:pt>
                <c:pt idx="11">
                  <c:v>44790.844034825786</c:v>
                </c:pt>
                <c:pt idx="12">
                  <c:v>47965.25101202567</c:v>
                </c:pt>
                <c:pt idx="13">
                  <c:v>51758.433630086693</c:v>
                </c:pt>
                <c:pt idx="14">
                  <c:v>56351.844688906232</c:v>
                </c:pt>
                <c:pt idx="15">
                  <c:v>62836.484888256178</c:v>
                </c:pt>
                <c:pt idx="16">
                  <c:v>72617.835197599168</c:v>
                </c:pt>
                <c:pt idx="17">
                  <c:v>87667.778594674644</c:v>
                </c:pt>
                <c:pt idx="18">
                  <c:v>108467.1368438135</c:v>
                </c:pt>
                <c:pt idx="19">
                  <c:v>101435.40958285246</c:v>
                </c:pt>
                <c:pt idx="20">
                  <c:v>60197.654699373015</c:v>
                </c:pt>
                <c:pt idx="21">
                  <c:v>35592.744482087299</c:v>
                </c:pt>
                <c:pt idx="22">
                  <c:v>23196.038763417302</c:v>
                </c:pt>
                <c:pt idx="23">
                  <c:v>15600.918867376864</c:v>
                </c:pt>
                <c:pt idx="24">
                  <c:v>10221.308262041164</c:v>
                </c:pt>
                <c:pt idx="25">
                  <c:v>6359.4486089142256</c:v>
                </c:pt>
                <c:pt idx="26">
                  <c:v>4028.3826490239189</c:v>
                </c:pt>
                <c:pt idx="27">
                  <c:v>2717.1210267500423</c:v>
                </c:pt>
                <c:pt idx="28">
                  <c:v>2090.6826802924697</c:v>
                </c:pt>
                <c:pt idx="29">
                  <c:v>1769.7999913633751</c:v>
                </c:pt>
                <c:pt idx="30">
                  <c:v>1610.7927755041981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36358.36373983293</c:v>
                </c:pt>
                <c:pt idx="1">
                  <c:v>36686.239718917139</c:v>
                </c:pt>
                <c:pt idx="2">
                  <c:v>36987.044642982437</c:v>
                </c:pt>
                <c:pt idx="3">
                  <c:v>37341.858031419586</c:v>
                </c:pt>
                <c:pt idx="4">
                  <c:v>37797.91016866592</c:v>
                </c:pt>
                <c:pt idx="5">
                  <c:v>38370.8920780728</c:v>
                </c:pt>
                <c:pt idx="6">
                  <c:v>39005.017226510136</c:v>
                </c:pt>
                <c:pt idx="7">
                  <c:v>39971.994022108353</c:v>
                </c:pt>
                <c:pt idx="8">
                  <c:v>40882.751585795231</c:v>
                </c:pt>
                <c:pt idx="9">
                  <c:v>42332.923381303306</c:v>
                </c:pt>
                <c:pt idx="10">
                  <c:v>44570.076027890333</c:v>
                </c:pt>
                <c:pt idx="11">
                  <c:v>47723.544650734701</c:v>
                </c:pt>
                <c:pt idx="12">
                  <c:v>51405.936198888216</c:v>
                </c:pt>
                <c:pt idx="13">
                  <c:v>55992.32233276176</c:v>
                </c:pt>
                <c:pt idx="14">
                  <c:v>62396.526503031571</c:v>
                </c:pt>
                <c:pt idx="15">
                  <c:v>72220.935313936774</c:v>
                </c:pt>
                <c:pt idx="16">
                  <c:v>87241.046762945829</c:v>
                </c:pt>
                <c:pt idx="17">
                  <c:v>112091.19380836448</c:v>
                </c:pt>
                <c:pt idx="18">
                  <c:v>114124.34153515651</c:v>
                </c:pt>
                <c:pt idx="19">
                  <c:v>68394.010154204807</c:v>
                </c:pt>
                <c:pt idx="20">
                  <c:v>38740.564182156799</c:v>
                </c:pt>
                <c:pt idx="21">
                  <c:v>24493.378949802292</c:v>
                </c:pt>
                <c:pt idx="22">
                  <c:v>16120.446077614522</c:v>
                </c:pt>
                <c:pt idx="23">
                  <c:v>10360.516368135783</c:v>
                </c:pt>
                <c:pt idx="24">
                  <c:v>6352.5044658106381</c:v>
                </c:pt>
                <c:pt idx="25">
                  <c:v>3985.2275131089514</c:v>
                </c:pt>
                <c:pt idx="26">
                  <c:v>2695.276643194657</c:v>
                </c:pt>
                <c:pt idx="27">
                  <c:v>2075.7860717174367</c:v>
                </c:pt>
                <c:pt idx="28">
                  <c:v>1766.2399047530398</c:v>
                </c:pt>
                <c:pt idx="29">
                  <c:v>1606.2351441606138</c:v>
                </c:pt>
                <c:pt idx="30">
                  <c:v>1575.8044324046975</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36325.416364517048</c:v>
                </c:pt>
                <c:pt idx="1">
                  <c:v>36687.481046985231</c:v>
                </c:pt>
                <c:pt idx="2">
                  <c:v>37040.477685853191</c:v>
                </c:pt>
                <c:pt idx="3">
                  <c:v>37480.564185723189</c:v>
                </c:pt>
                <c:pt idx="4">
                  <c:v>38034.596355781418</c:v>
                </c:pt>
                <c:pt idx="5">
                  <c:v>38647.942158297199</c:v>
                </c:pt>
                <c:pt idx="6">
                  <c:v>39581.880536953788</c:v>
                </c:pt>
                <c:pt idx="7">
                  <c:v>40457.622409102529</c:v>
                </c:pt>
                <c:pt idx="8">
                  <c:v>41836.102883344225</c:v>
                </c:pt>
                <c:pt idx="9">
                  <c:v>43963.932893854777</c:v>
                </c:pt>
                <c:pt idx="10">
                  <c:v>46976.092551170099</c:v>
                </c:pt>
                <c:pt idx="11">
                  <c:v>50517.80461052616</c:v>
                </c:pt>
                <c:pt idx="12">
                  <c:v>54855.510428800502</c:v>
                </c:pt>
                <c:pt idx="13">
                  <c:v>60907.942517520132</c:v>
                </c:pt>
                <c:pt idx="14">
                  <c:v>70062.571481338528</c:v>
                </c:pt>
                <c:pt idx="15">
                  <c:v>84208.71905738597</c:v>
                </c:pt>
                <c:pt idx="16">
                  <c:v>109958.55693405851</c:v>
                </c:pt>
                <c:pt idx="17">
                  <c:v>131119.14309519043</c:v>
                </c:pt>
                <c:pt idx="18">
                  <c:v>85831.596837512931</c:v>
                </c:pt>
                <c:pt idx="19">
                  <c:v>45978.388580965024</c:v>
                </c:pt>
                <c:pt idx="20">
                  <c:v>27679.005904232457</c:v>
                </c:pt>
                <c:pt idx="21">
                  <c:v>17754.300167590423</c:v>
                </c:pt>
                <c:pt idx="22">
                  <c:v>11239.628231633958</c:v>
                </c:pt>
                <c:pt idx="23">
                  <c:v>6780.3904753259076</c:v>
                </c:pt>
                <c:pt idx="24">
                  <c:v>4190.4405323928358</c:v>
                </c:pt>
                <c:pt idx="25">
                  <c:v>2788.2784343615817</c:v>
                </c:pt>
                <c:pt idx="26">
                  <c:v>2123.3255636604308</c:v>
                </c:pt>
                <c:pt idx="27">
                  <c:v>1789.6066070394293</c:v>
                </c:pt>
                <c:pt idx="28">
                  <c:v>1620.7625048541847</c:v>
                </c:pt>
                <c:pt idx="29">
                  <c:v>1589.3581085744822</c:v>
                </c:pt>
                <c:pt idx="30">
                  <c:v>1466.3593780712374</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36308.296107474693</c:v>
                </c:pt>
                <c:pt idx="1">
                  <c:v>36761.739457116491</c:v>
                </c:pt>
                <c:pt idx="2">
                  <c:v>37230.23477152027</c:v>
                </c:pt>
                <c:pt idx="3">
                  <c:v>37716.299204306764</c:v>
                </c:pt>
                <c:pt idx="4">
                  <c:v>38516.394272123573</c:v>
                </c:pt>
                <c:pt idx="5">
                  <c:v>39264.482457549166</c:v>
                </c:pt>
                <c:pt idx="6">
                  <c:v>40357.830513393368</c:v>
                </c:pt>
                <c:pt idx="7">
                  <c:v>41736.08570178465</c:v>
                </c:pt>
                <c:pt idx="8">
                  <c:v>43978.725655859154</c:v>
                </c:pt>
                <c:pt idx="9">
                  <c:v>47046.030804343041</c:v>
                </c:pt>
                <c:pt idx="10">
                  <c:v>50479.692654247083</c:v>
                </c:pt>
                <c:pt idx="11">
                  <c:v>54990.08984312298</c:v>
                </c:pt>
                <c:pt idx="12">
                  <c:v>61164.375379262776</c:v>
                </c:pt>
                <c:pt idx="13">
                  <c:v>70891.060936983718</c:v>
                </c:pt>
                <c:pt idx="14">
                  <c:v>85635.911727872503</c:v>
                </c:pt>
                <c:pt idx="15">
                  <c:v>119026.41291323678</c:v>
                </c:pt>
                <c:pt idx="16">
                  <c:v>173369.63198085185</c:v>
                </c:pt>
                <c:pt idx="17">
                  <c:v>130628.38523460364</c:v>
                </c:pt>
                <c:pt idx="18">
                  <c:v>60723.229626384789</c:v>
                </c:pt>
                <c:pt idx="19">
                  <c:v>32891.493444086351</c:v>
                </c:pt>
                <c:pt idx="20">
                  <c:v>19687.06122462291</c:v>
                </c:pt>
                <c:pt idx="21">
                  <c:v>11791.37460274017</c:v>
                </c:pt>
                <c:pt idx="22">
                  <c:v>6807.7075853850884</c:v>
                </c:pt>
                <c:pt idx="23">
                  <c:v>4093.4015046080817</c:v>
                </c:pt>
                <c:pt idx="24">
                  <c:v>2737.1778701390231</c:v>
                </c:pt>
                <c:pt idx="25">
                  <c:v>2087.4169172282668</c:v>
                </c:pt>
                <c:pt idx="26">
                  <c:v>1779.8514912256878</c:v>
                </c:pt>
                <c:pt idx="27">
                  <c:v>1609.4758284873408</c:v>
                </c:pt>
                <c:pt idx="28">
                  <c:v>1578.2927353151501</c:v>
                </c:pt>
                <c:pt idx="29">
                  <c:v>1463.3272301717411</c:v>
                </c:pt>
                <c:pt idx="30">
                  <c:v>1425.6932274455485</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36730.628964166252</c:v>
                </c:pt>
                <c:pt idx="1">
                  <c:v>37467.217790171519</c:v>
                </c:pt>
                <c:pt idx="2">
                  <c:v>38316.058702479007</c:v>
                </c:pt>
                <c:pt idx="3">
                  <c:v>39112.809724562008</c:v>
                </c:pt>
                <c:pt idx="4">
                  <c:v>40291.478223423001</c:v>
                </c:pt>
                <c:pt idx="5">
                  <c:v>42108.179956694046</c:v>
                </c:pt>
                <c:pt idx="6">
                  <c:v>44711.836556826791</c:v>
                </c:pt>
                <c:pt idx="7">
                  <c:v>47846.378457034145</c:v>
                </c:pt>
                <c:pt idx="8">
                  <c:v>51484.872258824078</c:v>
                </c:pt>
                <c:pt idx="9">
                  <c:v>56557.358744199089</c:v>
                </c:pt>
                <c:pt idx="10">
                  <c:v>63876.903148452388</c:v>
                </c:pt>
                <c:pt idx="11">
                  <c:v>75271.400713022202</c:v>
                </c:pt>
                <c:pt idx="12">
                  <c:v>96376.788966608874</c:v>
                </c:pt>
                <c:pt idx="13">
                  <c:v>160943.82609826379</c:v>
                </c:pt>
                <c:pt idx="14">
                  <c:v>1080963.5523797481</c:v>
                </c:pt>
                <c:pt idx="15">
                  <c:v>-199161.38263066887</c:v>
                </c:pt>
                <c:pt idx="16">
                  <c:v>-145321.22134929974</c:v>
                </c:pt>
                <c:pt idx="17">
                  <c:v>-1015796.5063565745</c:v>
                </c:pt>
                <c:pt idx="18">
                  <c:v>77509.491590884703</c:v>
                </c:pt>
                <c:pt idx="19">
                  <c:v>23516.669287095461</c:v>
                </c:pt>
                <c:pt idx="20">
                  <c:v>9377.7192036505076</c:v>
                </c:pt>
                <c:pt idx="21">
                  <c:v>4631.7484707554549</c:v>
                </c:pt>
                <c:pt idx="22">
                  <c:v>2894.8174529768339</c:v>
                </c:pt>
                <c:pt idx="23">
                  <c:v>2151.8715170883579</c:v>
                </c:pt>
                <c:pt idx="24">
                  <c:v>1829.6415140515619</c:v>
                </c:pt>
                <c:pt idx="25">
                  <c:v>1636.8617525270804</c:v>
                </c:pt>
                <c:pt idx="26">
                  <c:v>1526.3552001944799</c:v>
                </c:pt>
                <c:pt idx="27">
                  <c:v>1499.092997339136</c:v>
                </c:pt>
                <c:pt idx="28">
                  <c:v>1371.7010824116753</c:v>
                </c:pt>
                <c:pt idx="29">
                  <c:v>1380.5625191129011</c:v>
                </c:pt>
                <c:pt idx="30">
                  <c:v>1334.2372600164617</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37797.204821109102</c:v>
                </c:pt>
                <c:pt idx="1">
                  <c:v>38969.811000425005</c:v>
                </c:pt>
                <c:pt idx="2">
                  <c:v>40428.993668981318</c:v>
                </c:pt>
                <c:pt idx="3">
                  <c:v>42572.527957439939</c:v>
                </c:pt>
                <c:pt idx="4">
                  <c:v>45392.44269781241</c:v>
                </c:pt>
                <c:pt idx="5">
                  <c:v>48453.596544344859</c:v>
                </c:pt>
                <c:pt idx="6">
                  <c:v>52590.237484890778</c:v>
                </c:pt>
                <c:pt idx="7">
                  <c:v>58155.882289702677</c:v>
                </c:pt>
                <c:pt idx="8">
                  <c:v>66920.728343792769</c:v>
                </c:pt>
                <c:pt idx="9">
                  <c:v>79977.412550640627</c:v>
                </c:pt>
                <c:pt idx="10">
                  <c:v>112789.72296137114</c:v>
                </c:pt>
                <c:pt idx="11">
                  <c:v>237907.63093484289</c:v>
                </c:pt>
                <c:pt idx="12">
                  <c:v>-396474.23393248365</c:v>
                </c:pt>
                <c:pt idx="13">
                  <c:v>-81593.252321957276</c:v>
                </c:pt>
                <c:pt idx="14">
                  <c:v>-36702.49207404445</c:v>
                </c:pt>
                <c:pt idx="15">
                  <c:v>-21885.492452218914</c:v>
                </c:pt>
                <c:pt idx="16">
                  <c:v>-15681.108968026225</c:v>
                </c:pt>
                <c:pt idx="17">
                  <c:v>-14556.422147887421</c:v>
                </c:pt>
                <c:pt idx="18">
                  <c:v>-26590.220542328079</c:v>
                </c:pt>
                <c:pt idx="19">
                  <c:v>14669.904104932601</c:v>
                </c:pt>
                <c:pt idx="20">
                  <c:v>4576.4426490144579</c:v>
                </c:pt>
                <c:pt idx="21">
                  <c:v>2723.4473377726486</c:v>
                </c:pt>
                <c:pt idx="22">
                  <c:v>2064.0595872064814</c:v>
                </c:pt>
                <c:pt idx="23">
                  <c:v>1754.2256840813566</c:v>
                </c:pt>
                <c:pt idx="24">
                  <c:v>1594.2557525849165</c:v>
                </c:pt>
                <c:pt idx="25">
                  <c:v>1464.4689456514832</c:v>
                </c:pt>
                <c:pt idx="26">
                  <c:v>1436.6844383710725</c:v>
                </c:pt>
                <c:pt idx="27">
                  <c:v>1364.5517829467524</c:v>
                </c:pt>
                <c:pt idx="28">
                  <c:v>1361.7314251663213</c:v>
                </c:pt>
                <c:pt idx="29">
                  <c:v>1333.6605450428303</c:v>
                </c:pt>
                <c:pt idx="30">
                  <c:v>1316.3534272051288</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44531680"/>
        <c:axId val="44453716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4453168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537168"/>
        <c:crosses val="autoZero"/>
        <c:crossBetween val="midCat"/>
        <c:majorUnit val="10000"/>
      </c:valAx>
      <c:valAx>
        <c:axId val="444537168"/>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531680"/>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0.35630124857075646</c:v>
                </c:pt>
                <c:pt idx="1">
                  <c:v>0.35754452968932648</c:v>
                </c:pt>
                <c:pt idx="2">
                  <c:v>0.36165310562298819</c:v>
                </c:pt>
                <c:pt idx="3">
                  <c:v>0.36466108374180073</c:v>
                </c:pt>
                <c:pt idx="4">
                  <c:v>0.36754144046190884</c:v>
                </c:pt>
                <c:pt idx="5">
                  <c:v>0.370804888550193</c:v>
                </c:pt>
                <c:pt idx="6">
                  <c:v>0.37435791518518591</c:v>
                </c:pt>
                <c:pt idx="7">
                  <c:v>0.37860356266689338</c:v>
                </c:pt>
                <c:pt idx="8">
                  <c:v>0.3830362497801571</c:v>
                </c:pt>
                <c:pt idx="9">
                  <c:v>0.3885746147548032</c:v>
                </c:pt>
                <c:pt idx="10">
                  <c:v>0.39350385378760994</c:v>
                </c:pt>
                <c:pt idx="11">
                  <c:v>0.3994176998294558</c:v>
                </c:pt>
                <c:pt idx="12">
                  <c:v>0.40667803957849036</c:v>
                </c:pt>
                <c:pt idx="13">
                  <c:v>0.41563098618052757</c:v>
                </c:pt>
                <c:pt idx="14">
                  <c:v>0.42473000620666873</c:v>
                </c:pt>
                <c:pt idx="15">
                  <c:v>0.43256490326130231</c:v>
                </c:pt>
                <c:pt idx="16">
                  <c:v>0.44115019988714382</c:v>
                </c:pt>
                <c:pt idx="17">
                  <c:v>0.44998771889219014</c:v>
                </c:pt>
                <c:pt idx="18">
                  <c:v>0.45996262334999088</c:v>
                </c:pt>
                <c:pt idx="19">
                  <c:v>0.46956680183483623</c:v>
                </c:pt>
                <c:pt idx="20">
                  <c:v>0.47903772414122292</c:v>
                </c:pt>
                <c:pt idx="21">
                  <c:v>0.47716060529136328</c:v>
                </c:pt>
                <c:pt idx="22">
                  <c:v>0.46564792999221977</c:v>
                </c:pt>
                <c:pt idx="23">
                  <c:v>0.45290705208702148</c:v>
                </c:pt>
                <c:pt idx="24">
                  <c:v>0.44239716791845213</c:v>
                </c:pt>
                <c:pt idx="25">
                  <c:v>0.43218614210325657</c:v>
                </c:pt>
                <c:pt idx="26">
                  <c:v>0.42118983475560917</c:v>
                </c:pt>
                <c:pt idx="27">
                  <c:v>0.41030673694844755</c:v>
                </c:pt>
                <c:pt idx="28">
                  <c:v>0.40163181973202289</c:v>
                </c:pt>
                <c:pt idx="29">
                  <c:v>0.39447393905626088</c:v>
                </c:pt>
                <c:pt idx="30">
                  <c:v>0.38961543680816352</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0.35822238847580368</c:v>
                </c:pt>
                <c:pt idx="1">
                  <c:v>0.36297230900756061</c:v>
                </c:pt>
                <c:pt idx="2">
                  <c:v>0.36587720016252284</c:v>
                </c:pt>
                <c:pt idx="3">
                  <c:v>0.36887831159186607</c:v>
                </c:pt>
                <c:pt idx="4">
                  <c:v>0.37218976402514115</c:v>
                </c:pt>
                <c:pt idx="5">
                  <c:v>0.37597974879010976</c:v>
                </c:pt>
                <c:pt idx="6">
                  <c:v>0.38028240528223994</c:v>
                </c:pt>
                <c:pt idx="7">
                  <c:v>0.38502366848042691</c:v>
                </c:pt>
                <c:pt idx="8">
                  <c:v>0.39036881537925455</c:v>
                </c:pt>
                <c:pt idx="9">
                  <c:v>0.39537050464903906</c:v>
                </c:pt>
                <c:pt idx="10">
                  <c:v>0.40162908291974087</c:v>
                </c:pt>
                <c:pt idx="11">
                  <c:v>0.40962886792375586</c:v>
                </c:pt>
                <c:pt idx="12">
                  <c:v>0.41867837941529656</c:v>
                </c:pt>
                <c:pt idx="13">
                  <c:v>0.42709586628964896</c:v>
                </c:pt>
                <c:pt idx="14">
                  <c:v>0.43505074568715052</c:v>
                </c:pt>
                <c:pt idx="15">
                  <c:v>0.4435768562950097</c:v>
                </c:pt>
                <c:pt idx="16">
                  <c:v>0.45279723137673222</c:v>
                </c:pt>
                <c:pt idx="17">
                  <c:v>0.46229901453678091</c:v>
                </c:pt>
                <c:pt idx="18">
                  <c:v>0.47124506858203208</c:v>
                </c:pt>
                <c:pt idx="19">
                  <c:v>0.47321110509258563</c:v>
                </c:pt>
                <c:pt idx="20">
                  <c:v>0.46375124472651186</c:v>
                </c:pt>
                <c:pt idx="21">
                  <c:v>0.45160443427908353</c:v>
                </c:pt>
                <c:pt idx="22">
                  <c:v>0.44109820996726762</c:v>
                </c:pt>
                <c:pt idx="23">
                  <c:v>0.43156741408481064</c:v>
                </c:pt>
                <c:pt idx="24">
                  <c:v>0.42188364295087255</c:v>
                </c:pt>
                <c:pt idx="25">
                  <c:v>0.41143718306244093</c:v>
                </c:pt>
                <c:pt idx="26">
                  <c:v>0.40250224101141935</c:v>
                </c:pt>
                <c:pt idx="27">
                  <c:v>0.39563019544640299</c:v>
                </c:pt>
                <c:pt idx="28">
                  <c:v>0.39037885447878123</c:v>
                </c:pt>
                <c:pt idx="29">
                  <c:v>0.38672603761404833</c:v>
                </c:pt>
                <c:pt idx="30">
                  <c:v>0.38422408895096449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0.36248030439214479</c:v>
                </c:pt>
                <c:pt idx="1">
                  <c:v>0.36599684880364075</c:v>
                </c:pt>
                <c:pt idx="2">
                  <c:v>0.3690881917928967</c:v>
                </c:pt>
                <c:pt idx="3">
                  <c:v>0.37241990268834624</c:v>
                </c:pt>
                <c:pt idx="4">
                  <c:v>0.37626908563107048</c:v>
                </c:pt>
                <c:pt idx="5">
                  <c:v>0.38057450321022734</c:v>
                </c:pt>
                <c:pt idx="6">
                  <c:v>0.38540557799671754</c:v>
                </c:pt>
                <c:pt idx="7">
                  <c:v>0.39065174151638138</c:v>
                </c:pt>
                <c:pt idx="8">
                  <c:v>0.39568489048571837</c:v>
                </c:pt>
                <c:pt idx="9">
                  <c:v>0.40206005606197565</c:v>
                </c:pt>
                <c:pt idx="10">
                  <c:v>0.41013538517549597</c:v>
                </c:pt>
                <c:pt idx="11">
                  <c:v>0.41912078880855963</c:v>
                </c:pt>
                <c:pt idx="12">
                  <c:v>0.42731184885992224</c:v>
                </c:pt>
                <c:pt idx="13">
                  <c:v>0.43528985390311487</c:v>
                </c:pt>
                <c:pt idx="14">
                  <c:v>0.44374435198182682</c:v>
                </c:pt>
                <c:pt idx="15">
                  <c:v>0.4530258865404922</c:v>
                </c:pt>
                <c:pt idx="16">
                  <c:v>0.4624712423049252</c:v>
                </c:pt>
                <c:pt idx="17">
                  <c:v>0.472339547834149</c:v>
                </c:pt>
                <c:pt idx="18">
                  <c:v>0.47596586591192652</c:v>
                </c:pt>
                <c:pt idx="19">
                  <c:v>0.467686355394276</c:v>
                </c:pt>
                <c:pt idx="20">
                  <c:v>0.45518567072905775</c:v>
                </c:pt>
                <c:pt idx="21">
                  <c:v>0.44424299792624622</c:v>
                </c:pt>
                <c:pt idx="22">
                  <c:v>0.43434448632508005</c:v>
                </c:pt>
                <c:pt idx="23">
                  <c:v>0.4243573162967042</c:v>
                </c:pt>
                <c:pt idx="24">
                  <c:v>0.41333084590675495</c:v>
                </c:pt>
                <c:pt idx="25">
                  <c:v>0.40393473900723353</c:v>
                </c:pt>
                <c:pt idx="26">
                  <c:v>0.39653875112040632</c:v>
                </c:pt>
                <c:pt idx="27">
                  <c:v>0.39098977798021606</c:v>
                </c:pt>
                <c:pt idx="28">
                  <c:v>0.3870430484038202</c:v>
                </c:pt>
                <c:pt idx="29">
                  <c:v>0.38448236617193715</c:v>
                </c:pt>
                <c:pt idx="30">
                  <c:v>0.38663454871196923</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0.36518318974545844</c:v>
                </c:pt>
                <c:pt idx="1">
                  <c:v>0.36882736050098436</c:v>
                </c:pt>
                <c:pt idx="2">
                  <c:v>0.37219336319227825</c:v>
                </c:pt>
                <c:pt idx="3">
                  <c:v>0.37599507129787302</c:v>
                </c:pt>
                <c:pt idx="4">
                  <c:v>0.38026229738162298</c:v>
                </c:pt>
                <c:pt idx="5">
                  <c:v>0.38504326712911008</c:v>
                </c:pt>
                <c:pt idx="6">
                  <c:v>0.3902517391523288</c:v>
                </c:pt>
                <c:pt idx="7">
                  <c:v>0.3952293809495166</c:v>
                </c:pt>
                <c:pt idx="8">
                  <c:v>0.40147076260964087</c:v>
                </c:pt>
                <c:pt idx="9">
                  <c:v>0.40940425041002942</c:v>
                </c:pt>
                <c:pt idx="10">
                  <c:v>0.41829499665235975</c:v>
                </c:pt>
                <c:pt idx="11">
                  <c:v>0.42647180633597898</c:v>
                </c:pt>
                <c:pt idx="12">
                  <c:v>0.43433066882756743</c:v>
                </c:pt>
                <c:pt idx="13">
                  <c:v>0.44270315473281591</c:v>
                </c:pt>
                <c:pt idx="14">
                  <c:v>0.45184611157581306</c:v>
                </c:pt>
                <c:pt idx="15">
                  <c:v>0.46131037089059196</c:v>
                </c:pt>
                <c:pt idx="16">
                  <c:v>0.47174583907960166</c:v>
                </c:pt>
                <c:pt idx="17">
                  <c:v>0.4785455651633464</c:v>
                </c:pt>
                <c:pt idx="18">
                  <c:v>0.47309247804501914</c:v>
                </c:pt>
                <c:pt idx="19">
                  <c:v>0.46064290770314031</c:v>
                </c:pt>
                <c:pt idx="20">
                  <c:v>0.4489491858443076</c:v>
                </c:pt>
                <c:pt idx="21">
                  <c:v>0.4386523747282936</c:v>
                </c:pt>
                <c:pt idx="22">
                  <c:v>0.42837102005556782</c:v>
                </c:pt>
                <c:pt idx="23">
                  <c:v>0.41680383865599463</c:v>
                </c:pt>
                <c:pt idx="24">
                  <c:v>0.40659445525370808</c:v>
                </c:pt>
                <c:pt idx="25">
                  <c:v>0.39845275356724935</c:v>
                </c:pt>
                <c:pt idx="26">
                  <c:v>0.39224568708238411</c:v>
                </c:pt>
                <c:pt idx="27">
                  <c:v>0.38787809596090866</c:v>
                </c:pt>
                <c:pt idx="28">
                  <c:v>0.38499029882085894</c:v>
                </c:pt>
                <c:pt idx="29">
                  <c:v>0.38721934392954199</c:v>
                </c:pt>
                <c:pt idx="30">
                  <c:v>0.38232827263758129</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0.36863221026765319</c:v>
                </c:pt>
                <c:pt idx="1">
                  <c:v>0.37282252529303772</c:v>
                </c:pt>
                <c:pt idx="2">
                  <c:v>0.37683979967521414</c:v>
                </c:pt>
                <c:pt idx="3">
                  <c:v>0.38110433627523177</c:v>
                </c:pt>
                <c:pt idx="4">
                  <c:v>0.38619855445668116</c:v>
                </c:pt>
                <c:pt idx="5">
                  <c:v>0.39106679808589229</c:v>
                </c:pt>
                <c:pt idx="6">
                  <c:v>0.3963879931160027</c:v>
                </c:pt>
                <c:pt idx="7">
                  <c:v>0.40285538315908109</c:v>
                </c:pt>
                <c:pt idx="8">
                  <c:v>0.41103257368208007</c:v>
                </c:pt>
                <c:pt idx="9">
                  <c:v>0.41983588680183309</c:v>
                </c:pt>
                <c:pt idx="10">
                  <c:v>0.42757955080202326</c:v>
                </c:pt>
                <c:pt idx="11">
                  <c:v>0.43557117518681004</c:v>
                </c:pt>
                <c:pt idx="12">
                  <c:v>0.44387750538454862</c:v>
                </c:pt>
                <c:pt idx="13">
                  <c:v>0.45322884034206029</c:v>
                </c:pt>
                <c:pt idx="14">
                  <c:v>0.46258186383207356</c:v>
                </c:pt>
                <c:pt idx="15">
                  <c:v>0.47432273798443014</c:v>
                </c:pt>
                <c:pt idx="16">
                  <c:v>0.48376578041431351</c:v>
                </c:pt>
                <c:pt idx="17">
                  <c:v>0.48198605466394245</c:v>
                </c:pt>
                <c:pt idx="18">
                  <c:v>0.4697575834848377</c:v>
                </c:pt>
                <c:pt idx="19">
                  <c:v>0.45717612952718178</c:v>
                </c:pt>
                <c:pt idx="20">
                  <c:v>0.44594460629687532</c:v>
                </c:pt>
                <c:pt idx="21">
                  <c:v>0.434929598465433</c:v>
                </c:pt>
                <c:pt idx="22">
                  <c:v>0.42179203907937823</c:v>
                </c:pt>
                <c:pt idx="23">
                  <c:v>0.41033224666289325</c:v>
                </c:pt>
                <c:pt idx="24">
                  <c:v>0.4007215747188721</c:v>
                </c:pt>
                <c:pt idx="25">
                  <c:v>0.39374011271937204</c:v>
                </c:pt>
                <c:pt idx="26">
                  <c:v>0.38861117627110647</c:v>
                </c:pt>
                <c:pt idx="27">
                  <c:v>0.38560014458873937</c:v>
                </c:pt>
                <c:pt idx="28">
                  <c:v>0.3871362832437798</c:v>
                </c:pt>
                <c:pt idx="29">
                  <c:v>0.38256041819676806</c:v>
                </c:pt>
                <c:pt idx="30">
                  <c:v>0.38449143307545414</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0.37793628483137087</c:v>
                </c:pt>
                <c:pt idx="1">
                  <c:v>0.38359013961497546</c:v>
                </c:pt>
                <c:pt idx="2">
                  <c:v>0.38879803357507531</c:v>
                </c:pt>
                <c:pt idx="3">
                  <c:v>0.39369396518229266</c:v>
                </c:pt>
                <c:pt idx="4">
                  <c:v>0.39955299390320337</c:v>
                </c:pt>
                <c:pt idx="5">
                  <c:v>0.40706586214307822</c:v>
                </c:pt>
                <c:pt idx="6">
                  <c:v>0.41566795758745645</c:v>
                </c:pt>
                <c:pt idx="7">
                  <c:v>0.42381371282768104</c:v>
                </c:pt>
                <c:pt idx="8">
                  <c:v>0.4313066531046153</c:v>
                </c:pt>
                <c:pt idx="9">
                  <c:v>0.43942559657284386</c:v>
                </c:pt>
                <c:pt idx="10">
                  <c:v>0.44811240393904789</c:v>
                </c:pt>
                <c:pt idx="11">
                  <c:v>0.45746144788065762</c:v>
                </c:pt>
                <c:pt idx="12">
                  <c:v>0.46801799238356173</c:v>
                </c:pt>
                <c:pt idx="13">
                  <c:v>0.48175339625577546</c:v>
                </c:pt>
                <c:pt idx="14">
                  <c:v>0.49743794989654311</c:v>
                </c:pt>
                <c:pt idx="15">
                  <c:v>0.51259192288395838</c:v>
                </c:pt>
                <c:pt idx="16">
                  <c:v>0.51403616838971011</c:v>
                </c:pt>
                <c:pt idx="17">
                  <c:v>0.5014770094934039</c:v>
                </c:pt>
                <c:pt idx="18">
                  <c:v>0.48645453021159774</c:v>
                </c:pt>
                <c:pt idx="19">
                  <c:v>0.4701611476781099</c:v>
                </c:pt>
                <c:pt idx="20">
                  <c:v>0.45011312652299118</c:v>
                </c:pt>
                <c:pt idx="21">
                  <c:v>0.4304465269178715</c:v>
                </c:pt>
                <c:pt idx="22">
                  <c:v>0.4134661657131648</c:v>
                </c:pt>
                <c:pt idx="23">
                  <c:v>0.40145795280992319</c:v>
                </c:pt>
                <c:pt idx="24">
                  <c:v>0.39388759715980831</c:v>
                </c:pt>
                <c:pt idx="25">
                  <c:v>0.38913264548056237</c:v>
                </c:pt>
                <c:pt idx="26">
                  <c:v>0.38533081696091021</c:v>
                </c:pt>
                <c:pt idx="27">
                  <c:v>0.38665882832958254</c:v>
                </c:pt>
                <c:pt idx="28">
                  <c:v>0.38299135639461379</c:v>
                </c:pt>
                <c:pt idx="29">
                  <c:v>0.38409909171523421</c:v>
                </c:pt>
                <c:pt idx="30">
                  <c:v>0.3813705742729408</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0.38924580183314195</c:v>
                </c:pt>
                <c:pt idx="1">
                  <c:v>0.39584943836485698</c:v>
                </c:pt>
                <c:pt idx="2">
                  <c:v>0.40270842012381908</c:v>
                </c:pt>
                <c:pt idx="3">
                  <c:v>0.41091348721691345</c:v>
                </c:pt>
                <c:pt idx="4">
                  <c:v>0.4194424245153569</c:v>
                </c:pt>
                <c:pt idx="5">
                  <c:v>0.42678749588145798</c:v>
                </c:pt>
                <c:pt idx="6">
                  <c:v>0.43465181142518666</c:v>
                </c:pt>
                <c:pt idx="7">
                  <c:v>0.44274771218601872</c:v>
                </c:pt>
                <c:pt idx="8">
                  <c:v>0.45195902059370185</c:v>
                </c:pt>
                <c:pt idx="9">
                  <c:v>0.46113948013135203</c:v>
                </c:pt>
                <c:pt idx="10">
                  <c:v>0.47365772549082252</c:v>
                </c:pt>
                <c:pt idx="11">
                  <c:v>0.4881226067745259</c:v>
                </c:pt>
                <c:pt idx="12">
                  <c:v>0.50669351651940164</c:v>
                </c:pt>
                <c:pt idx="13">
                  <c:v>0.53005612524039958</c:v>
                </c:pt>
                <c:pt idx="14">
                  <c:v>0.55919986131936705</c:v>
                </c:pt>
                <c:pt idx="15">
                  <c:v>0.57900237233431018</c:v>
                </c:pt>
                <c:pt idx="16">
                  <c:v>0.57518061151754496</c:v>
                </c:pt>
                <c:pt idx="17">
                  <c:v>0.55170193555701907</c:v>
                </c:pt>
                <c:pt idx="18">
                  <c:v>0.51788170461933092</c:v>
                </c:pt>
                <c:pt idx="19">
                  <c:v>0.47758387260768681</c:v>
                </c:pt>
                <c:pt idx="20">
                  <c:v>0.44478032496615921</c:v>
                </c:pt>
                <c:pt idx="21">
                  <c:v>0.42036104495683302</c:v>
                </c:pt>
                <c:pt idx="22">
                  <c:v>0.4055410706691478</c:v>
                </c:pt>
                <c:pt idx="23">
                  <c:v>0.39572430960120469</c:v>
                </c:pt>
                <c:pt idx="24">
                  <c:v>0.38976528275906863</c:v>
                </c:pt>
                <c:pt idx="25">
                  <c:v>0.38718715165869028</c:v>
                </c:pt>
                <c:pt idx="26">
                  <c:v>0.38717257249588954</c:v>
                </c:pt>
                <c:pt idx="27">
                  <c:v>0.38319490743974016</c:v>
                </c:pt>
                <c:pt idx="28">
                  <c:v>0.38306049116776481</c:v>
                </c:pt>
                <c:pt idx="29">
                  <c:v>0.38139434968818992</c:v>
                </c:pt>
                <c:pt idx="30">
                  <c:v>0.38033017319991108</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44534032"/>
        <c:axId val="44453442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453403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4534424"/>
        <c:crosses val="autoZero"/>
        <c:crossBetween val="midCat"/>
        <c:majorUnit val="10000"/>
      </c:valAx>
      <c:valAx>
        <c:axId val="444534424"/>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44534032"/>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44535600"/>
        <c:axId val="44453599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4535600"/>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535992"/>
        <c:crosses val="autoZero"/>
        <c:crossBetween val="midCat"/>
        <c:majorUnit val="10000"/>
      </c:valAx>
      <c:valAx>
        <c:axId val="444535992"/>
        <c:scaling>
          <c:logBase val="10"/>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535600"/>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9.5246524015977236E-3</c:v>
                </c:pt>
                <c:pt idx="1">
                  <c:v>1.276614476293743E-2</c:v>
                </c:pt>
                <c:pt idx="2">
                  <c:v>3.5036597069148792E-3</c:v>
                </c:pt>
                <c:pt idx="3">
                  <c:v>5.964812262334295E-4</c:v>
                </c:pt>
                <c:pt idx="4">
                  <c:v>8.6553639925115403E-5</c:v>
                </c:pt>
                <c:pt idx="5">
                  <c:v>8.1201463813088722E-6</c:v>
                </c:pt>
                <c:pt idx="6">
                  <c:v>1.238245798092251E-5</c:v>
                </c:pt>
                <c:pt idx="7">
                  <c:v>4.1298446857865716E-5</c:v>
                </c:pt>
                <c:pt idx="8">
                  <c:v>1.0165521216779077E-4</c:v>
                </c:pt>
                <c:pt idx="9">
                  <c:v>2.1261054215763838E-4</c:v>
                </c:pt>
                <c:pt idx="10">
                  <c:v>3.8395313955026379E-4</c:v>
                </c:pt>
                <c:pt idx="11">
                  <c:v>5.9249766264982432E-4</c:v>
                </c:pt>
                <c:pt idx="12">
                  <c:v>7.9051031108051889E-4</c:v>
                </c:pt>
                <c:pt idx="13">
                  <c:v>9.1509147304248304E-4</c:v>
                </c:pt>
                <c:pt idx="14">
                  <c:v>9.4359477596875786E-4</c:v>
                </c:pt>
                <c:pt idx="15">
                  <c:v>9.2212078412010447E-4</c:v>
                </c:pt>
                <c:pt idx="16">
                  <c:v>8.9440606259643231E-4</c:v>
                </c:pt>
                <c:pt idx="17">
                  <c:v>7.915752117406261E-4</c:v>
                </c:pt>
                <c:pt idx="18">
                  <c:v>6.0656931434556602E-4</c:v>
                </c:pt>
                <c:pt idx="19">
                  <c:v>3.5442596264274867E-4</c:v>
                </c:pt>
                <c:pt idx="20">
                  <c:v>1.402450710541993E-4</c:v>
                </c:pt>
                <c:pt idx="21">
                  <c:v>2.0750722623467327E-5</c:v>
                </c:pt>
                <c:pt idx="22">
                  <c:v>3.7818851933965766E-5</c:v>
                </c:pt>
                <c:pt idx="23">
                  <c:v>6.8180066928668986E-4</c:v>
                </c:pt>
                <c:pt idx="24">
                  <c:v>1.6417161272781794E-3</c:v>
                </c:pt>
                <c:pt idx="25">
                  <c:v>2.3637538296068252E-3</c:v>
                </c:pt>
                <c:pt idx="26">
                  <c:v>2.6878184713779226E-3</c:v>
                </c:pt>
                <c:pt idx="27">
                  <c:v>3.0440470429061884E-3</c:v>
                </c:pt>
                <c:pt idx="28">
                  <c:v>2.186002354723879E-3</c:v>
                </c:pt>
                <c:pt idx="29">
                  <c:v>7.8343929160017611E-4</c:v>
                </c:pt>
                <c:pt idx="30">
                  <c:v>3.0042857325707743E-4</c:v>
                </c:pt>
              </c:numCache>
            </c:numRef>
          </c:yVal>
          <c:smooth val="1"/>
        </c:ser>
        <c:dLbls>
          <c:showLegendKey val="0"/>
          <c:showVal val="0"/>
          <c:showCatName val="0"/>
          <c:showSerName val="0"/>
          <c:showPercent val="0"/>
          <c:showBubbleSize val="0"/>
        </c:dLbls>
        <c:axId val="444537952"/>
        <c:axId val="444530896"/>
      </c:scatterChart>
      <c:valAx>
        <c:axId val="44453795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530896"/>
        <c:crossesAt val="-1.5000000000000005E-3"/>
        <c:crossBetween val="midCat"/>
      </c:valAx>
      <c:valAx>
        <c:axId val="444530896"/>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4537952"/>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8953.7654517398951</c:v>
                </c:pt>
                <c:pt idx="1">
                  <c:v>8834.495816529703</c:v>
                </c:pt>
                <c:pt idx="2">
                  <c:v>8382.9667945224664</c:v>
                </c:pt>
                <c:pt idx="3">
                  <c:v>8069.0283164832581</c:v>
                </c:pt>
                <c:pt idx="4">
                  <c:v>7727.7990951356433</c:v>
                </c:pt>
                <c:pt idx="5">
                  <c:v>7458.9340436802167</c:v>
                </c:pt>
                <c:pt idx="6">
                  <c:v>7186.5227858633043</c:v>
                </c:pt>
                <c:pt idx="7">
                  <c:v>6923.0810985014423</c:v>
                </c:pt>
                <c:pt idx="8">
                  <c:v>6643.2952344078994</c:v>
                </c:pt>
                <c:pt idx="9">
                  <c:v>6379.8899814405786</c:v>
                </c:pt>
                <c:pt idx="10">
                  <c:v>6050.8187966968135</c:v>
                </c:pt>
                <c:pt idx="11">
                  <c:v>5693.176564479696</c:v>
                </c:pt>
                <c:pt idx="12">
                  <c:v>5288.2115710149255</c:v>
                </c:pt>
                <c:pt idx="13">
                  <c:v>4804.0058547870503</c:v>
                </c:pt>
                <c:pt idx="14">
                  <c:v>4184.5167915397451</c:v>
                </c:pt>
                <c:pt idx="15">
                  <c:v>3281.9674653254151</c:v>
                </c:pt>
                <c:pt idx="16">
                  <c:v>2247.3037985135161</c:v>
                </c:pt>
                <c:pt idx="17">
                  <c:v>1453.8864331368486</c:v>
                </c:pt>
                <c:pt idx="18">
                  <c:v>940.32402927471435</c:v>
                </c:pt>
                <c:pt idx="19">
                  <c:v>667.4258464345977</c:v>
                </c:pt>
                <c:pt idx="20">
                  <c:v>524.81013094213972</c:v>
                </c:pt>
                <c:pt idx="21">
                  <c:v>458.09760875086175</c:v>
                </c:pt>
                <c:pt idx="22">
                  <c:v>416.12761644465451</c:v>
                </c:pt>
                <c:pt idx="23">
                  <c:v>393.44692247279414</c:v>
                </c:pt>
                <c:pt idx="24">
                  <c:v>378.74124915558718</c:v>
                </c:pt>
                <c:pt idx="25">
                  <c:v>358.13789969892377</c:v>
                </c:pt>
                <c:pt idx="26">
                  <c:v>349.62136098495677</c:v>
                </c:pt>
                <c:pt idx="27">
                  <c:v>346.74457681420307</c:v>
                </c:pt>
                <c:pt idx="28">
                  <c:v>344.65326478653736</c:v>
                </c:pt>
                <c:pt idx="29">
                  <c:v>343.79089602307874</c:v>
                </c:pt>
                <c:pt idx="30">
                  <c:v>342.2669384124473</c:v>
                </c:pt>
              </c:numCache>
            </c:numRef>
          </c:yVal>
          <c:smooth val="1"/>
        </c:ser>
        <c:dLbls>
          <c:showLegendKey val="0"/>
          <c:showVal val="0"/>
          <c:showCatName val="0"/>
          <c:showSerName val="0"/>
          <c:showPercent val="0"/>
          <c:showBubbleSize val="0"/>
        </c:dLbls>
        <c:axId val="439489048"/>
        <c:axId val="445314200"/>
      </c:scatterChart>
      <c:valAx>
        <c:axId val="43948904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314200"/>
        <c:crosses val="autoZero"/>
        <c:crossBetween val="midCat"/>
      </c:valAx>
      <c:valAx>
        <c:axId val="4453142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39489048"/>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1.7194523294630698E-2</c:v>
                </c:pt>
                <c:pt idx="1">
                  <c:v>1.0457270162491965E-2</c:v>
                </c:pt>
                <c:pt idx="2">
                  <c:v>1.1716017701449822E-2</c:v>
                </c:pt>
                <c:pt idx="3">
                  <c:v>2.0418387172598137E-2</c:v>
                </c:pt>
                <c:pt idx="4">
                  <c:v>3.4063680133630272E-2</c:v>
                </c:pt>
                <c:pt idx="5">
                  <c:v>0.15911036172149506</c:v>
                </c:pt>
                <c:pt idx="6">
                  <c:v>0.14511248295131079</c:v>
                </c:pt>
                <c:pt idx="7">
                  <c:v>0.12531249821606436</c:v>
                </c:pt>
                <c:pt idx="8">
                  <c:v>0.10230858282903664</c:v>
                </c:pt>
                <c:pt idx="9">
                  <c:v>7.8085982423475725E-2</c:v>
                </c:pt>
                <c:pt idx="10">
                  <c:v>5.8474137306744244E-2</c:v>
                </c:pt>
                <c:pt idx="11">
                  <c:v>7.0062325024589006E-2</c:v>
                </c:pt>
                <c:pt idx="12">
                  <c:v>7.5615562026595071E-2</c:v>
                </c:pt>
                <c:pt idx="13">
                  <c:v>7.3301046891048868E-2</c:v>
                </c:pt>
                <c:pt idx="14">
                  <c:v>7.0303396255575676E-2</c:v>
                </c:pt>
                <c:pt idx="15">
                  <c:v>7.0589140013662163E-2</c:v>
                </c:pt>
                <c:pt idx="16">
                  <c:v>7.0421420438061252E-2</c:v>
                </c:pt>
                <c:pt idx="17">
                  <c:v>7.1682056952768983E-2</c:v>
                </c:pt>
                <c:pt idx="18">
                  <c:v>7.0973686224827651E-2</c:v>
                </c:pt>
                <c:pt idx="19">
                  <c:v>7.1818603123659036E-2</c:v>
                </c:pt>
                <c:pt idx="20">
                  <c:v>4.9945467862694957E-2</c:v>
                </c:pt>
                <c:pt idx="21">
                  <c:v>4.9887367570803864E-2</c:v>
                </c:pt>
                <c:pt idx="22">
                  <c:v>0.20952244060958261</c:v>
                </c:pt>
                <c:pt idx="23">
                  <c:v>0.35984253423101675</c:v>
                </c:pt>
                <c:pt idx="24">
                  <c:v>0.42101509192101616</c:v>
                </c:pt>
                <c:pt idx="25">
                  <c:v>0.3037703224380876</c:v>
                </c:pt>
                <c:pt idx="26">
                  <c:v>0.18920670000385351</c:v>
                </c:pt>
                <c:pt idx="27">
                  <c:v>8.4835388136438136E-2</c:v>
                </c:pt>
                <c:pt idx="28">
                  <c:v>6.9433719006810515E-2</c:v>
                </c:pt>
                <c:pt idx="29">
                  <c:v>4.6398988776757834E-2</c:v>
                </c:pt>
                <c:pt idx="30">
                  <c:v>5.2073403700618692E-2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2.3715527302398964E-2</c:v>
                </c:pt>
                <c:pt idx="1">
                  <c:v>0.10902356109343946</c:v>
                </c:pt>
                <c:pt idx="2">
                  <c:v>0.1334500409409346</c:v>
                </c:pt>
                <c:pt idx="3">
                  <c:v>0.11492731043234411</c:v>
                </c:pt>
                <c:pt idx="4">
                  <c:v>9.395958917697908E-2</c:v>
                </c:pt>
                <c:pt idx="5">
                  <c:v>6.8283192397982084E-2</c:v>
                </c:pt>
                <c:pt idx="6">
                  <c:v>4.5974753454482056E-2</c:v>
                </c:pt>
                <c:pt idx="7">
                  <c:v>3.9482759701303938E-2</c:v>
                </c:pt>
                <c:pt idx="8">
                  <c:v>5.8899228205547341E-2</c:v>
                </c:pt>
                <c:pt idx="9">
                  <c:v>5.6783623558191033E-2</c:v>
                </c:pt>
                <c:pt idx="10">
                  <c:v>5.6741378994857761E-2</c:v>
                </c:pt>
                <c:pt idx="11">
                  <c:v>5.3155331142151263E-2</c:v>
                </c:pt>
                <c:pt idx="12">
                  <c:v>5.4994723852333734E-2</c:v>
                </c:pt>
                <c:pt idx="13">
                  <c:v>5.5322367469240186E-2</c:v>
                </c:pt>
                <c:pt idx="14">
                  <c:v>5.7425745490494569E-2</c:v>
                </c:pt>
                <c:pt idx="15">
                  <c:v>5.7052321738361375E-2</c:v>
                </c:pt>
                <c:pt idx="16">
                  <c:v>6.0123656459188268E-2</c:v>
                </c:pt>
                <c:pt idx="17">
                  <c:v>1.9681106951764036E-2</c:v>
                </c:pt>
                <c:pt idx="18">
                  <c:v>9.8134338941997107E-2</c:v>
                </c:pt>
                <c:pt idx="19">
                  <c:v>0.25402719469700413</c:v>
                </c:pt>
                <c:pt idx="20">
                  <c:v>0.36142723631796009</c:v>
                </c:pt>
                <c:pt idx="21">
                  <c:v>0.31983618913309197</c:v>
                </c:pt>
                <c:pt idx="22">
                  <c:v>0.19918854348782894</c:v>
                </c:pt>
                <c:pt idx="23">
                  <c:v>9.7043215699984656E-2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0.12326934164929368</c:v>
                </c:pt>
                <c:pt idx="1">
                  <c:v>0.12215798377951993</c:v>
                </c:pt>
                <c:pt idx="2">
                  <c:v>0.10231532395598011</c:v>
                </c:pt>
                <c:pt idx="3">
                  <c:v>7.9293069210351272E-2</c:v>
                </c:pt>
                <c:pt idx="4">
                  <c:v>5.4945145314787405E-2</c:v>
                </c:pt>
                <c:pt idx="5">
                  <c:v>3.170347396754928E-2</c:v>
                </c:pt>
                <c:pt idx="6">
                  <c:v>3.3346916710262506E-2</c:v>
                </c:pt>
                <c:pt idx="7">
                  <c:v>4.7293774318621258E-2</c:v>
                </c:pt>
                <c:pt idx="8">
                  <c:v>4.4603270150401275E-2</c:v>
                </c:pt>
                <c:pt idx="9">
                  <c:v>4.3732763992092749E-2</c:v>
                </c:pt>
                <c:pt idx="10">
                  <c:v>4.2148605949182572E-2</c:v>
                </c:pt>
                <c:pt idx="11">
                  <c:v>4.3395864092277893E-2</c:v>
                </c:pt>
                <c:pt idx="12">
                  <c:v>4.4470084548682592E-2</c:v>
                </c:pt>
                <c:pt idx="13">
                  <c:v>4.584646883952196E-2</c:v>
                </c:pt>
                <c:pt idx="14">
                  <c:v>4.7628671068867118E-2</c:v>
                </c:pt>
                <c:pt idx="15">
                  <c:v>5.2283941960785313E-2</c:v>
                </c:pt>
                <c:pt idx="16">
                  <c:v>2.782240501486067E-2</c:v>
                </c:pt>
                <c:pt idx="17">
                  <c:v>6.7521611180958785E-2</c:v>
                </c:pt>
                <c:pt idx="18">
                  <c:v>0.21708122203243282</c:v>
                </c:pt>
                <c:pt idx="19">
                  <c:v>0.3237975934980109</c:v>
                </c:pt>
                <c:pt idx="20">
                  <c:v>0.26920407892112896</c:v>
                </c:pt>
                <c:pt idx="21">
                  <c:v>0.16811956582778789</c:v>
                </c:pt>
                <c:pt idx="22">
                  <c:v>7.5593813511925664E-2</c:v>
                </c:pt>
                <c:pt idx="23">
                  <c:v>4.2827781580429096E-2</c:v>
                </c:pt>
                <c:pt idx="24">
                  <c:v>3.5998094600889756E-2</c:v>
                </c:pt>
                <c:pt idx="25">
                  <c:v>3.6953138426260738E-2</c:v>
                </c:pt>
                <c:pt idx="26">
                  <c:v>3.8470391299661948E-2</c:v>
                </c:pt>
                <c:pt idx="27">
                  <c:v>2.6338230262861503E-3</c:v>
                </c:pt>
                <c:pt idx="28">
                  <c:v>1.2543261506693763E-2</c:v>
                </c:pt>
                <c:pt idx="29">
                  <c:v>1.0198876435722561E-2</c:v>
                </c:pt>
                <c:pt idx="30">
                  <c:v>1.4193696613385081E-2</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9.5383771893265048E-3</c:v>
                </c:pt>
                <c:pt idx="1">
                  <c:v>1.2651943117540691E-2</c:v>
                </c:pt>
                <c:pt idx="2">
                  <c:v>3.6746883232094238E-3</c:v>
                </c:pt>
                <c:pt idx="3">
                  <c:v>4.538401763579442E-4</c:v>
                </c:pt>
                <c:pt idx="4">
                  <c:v>2.4535929267611252E-4</c:v>
                </c:pt>
                <c:pt idx="5">
                  <c:v>1.2768344684412536E-4</c:v>
                </c:pt>
                <c:pt idx="6">
                  <c:v>1.4046342609480193E-4</c:v>
                </c:pt>
                <c:pt idx="7">
                  <c:v>1.9701349079375848E-4</c:v>
                </c:pt>
                <c:pt idx="8">
                  <c:v>7.3921226484197918E-5</c:v>
                </c:pt>
                <c:pt idx="9">
                  <c:v>3.8390603696776218E-4</c:v>
                </c:pt>
                <c:pt idx="10">
                  <c:v>1.3295322748512061E-4</c:v>
                </c:pt>
                <c:pt idx="11">
                  <c:v>8.449660545750907E-4</c:v>
                </c:pt>
                <c:pt idx="12">
                  <c:v>4.5021653177116283E-4</c:v>
                </c:pt>
                <c:pt idx="13">
                  <c:v>1.3368363119534636E-3</c:v>
                </c:pt>
                <c:pt idx="14">
                  <c:v>2.7471282887387495E-4</c:v>
                </c:pt>
                <c:pt idx="15">
                  <c:v>2.1381539441310527E-3</c:v>
                </c:pt>
                <c:pt idx="16">
                  <c:v>4.8100254025064258E-4</c:v>
                </c:pt>
                <c:pt idx="17">
                  <c:v>2.1912482929726416E-3</c:v>
                </c:pt>
                <c:pt idx="18">
                  <c:v>5.3513777584512359E-4</c:v>
                </c:pt>
                <c:pt idx="19">
                  <c:v>1.2006748883646619E-3</c:v>
                </c:pt>
                <c:pt idx="20">
                  <c:v>3.9275863504017447E-4</c:v>
                </c:pt>
                <c:pt idx="21">
                  <c:v>2.9923215507043303E-4</c:v>
                </c:pt>
                <c:pt idx="22">
                  <c:v>4.7741288122584439E-4</c:v>
                </c:pt>
                <c:pt idx="23">
                  <c:v>6.3041948584760413E-4</c:v>
                </c:pt>
                <c:pt idx="24">
                  <c:v>1.879803684056059E-3</c:v>
                </c:pt>
                <c:pt idx="25">
                  <c:v>2.173346086118657E-3</c:v>
                </c:pt>
                <c:pt idx="26">
                  <c:v>2.6996479109117916E-3</c:v>
                </c:pt>
                <c:pt idx="27">
                  <c:v>2.9961808103605341E-3</c:v>
                </c:pt>
                <c:pt idx="28">
                  <c:v>2.1894479941655938E-3</c:v>
                </c:pt>
                <c:pt idx="29">
                  <c:v>7.6794546675325055E-4</c:v>
                </c:pt>
                <c:pt idx="30">
                  <c:v>3.2666257615462984E-4</c:v>
                </c:pt>
              </c:numCache>
            </c:numRef>
          </c:yVal>
          <c:smooth val="1"/>
        </c:ser>
        <c:dLbls>
          <c:showLegendKey val="0"/>
          <c:showVal val="0"/>
          <c:showCatName val="0"/>
          <c:showSerName val="0"/>
          <c:showPercent val="0"/>
          <c:showBubbleSize val="0"/>
        </c:dLbls>
        <c:axId val="445318512"/>
        <c:axId val="445316944"/>
      </c:scatterChart>
      <c:valAx>
        <c:axId val="44531851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316944"/>
        <c:crossesAt val="1.0000000000000005E-9"/>
        <c:crossBetween val="midCat"/>
      </c:valAx>
      <c:valAx>
        <c:axId val="4453169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318512"/>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-21.521805240547501</c:v>
                </c:pt>
                <c:pt idx="1">
                  <c:v>-17.998000048659822</c:v>
                </c:pt>
                <c:pt idx="2">
                  <c:v>-15.418218765754489</c:v>
                </c:pt>
                <c:pt idx="3">
                  <c:v>-13.262636946083704</c:v>
                </c:pt>
                <c:pt idx="4">
                  <c:v>-10.591758215841974</c:v>
                </c:pt>
                <c:pt idx="5">
                  <c:v>-4.9274082148613809</c:v>
                </c:pt>
                <c:pt idx="6">
                  <c:v>0</c:v>
                </c:pt>
              </c:numCache>
            </c:numRef>
          </c:yVal>
          <c:smooth val="0"/>
        </c:ser>
        <c:dLbls>
          <c:showLegendKey val="0"/>
          <c:showVal val="0"/>
          <c:showCatName val="0"/>
          <c:showSerName val="0"/>
          <c:showPercent val="0"/>
          <c:showBubbleSize val="0"/>
        </c:dLbls>
        <c:axId val="445317728"/>
        <c:axId val="445319296"/>
      </c:scatterChart>
      <c:valAx>
        <c:axId val="44531772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319296"/>
        <c:crossesAt val="-100"/>
        <c:crossBetween val="midCat"/>
      </c:valAx>
      <c:valAx>
        <c:axId val="445319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317728"/>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0"/>
        </c:ser>
        <c:dLbls>
          <c:showLegendKey val="0"/>
          <c:showVal val="0"/>
          <c:showCatName val="0"/>
          <c:showSerName val="0"/>
          <c:showPercent val="0"/>
          <c:showBubbleSize val="0"/>
        </c:dLbls>
        <c:axId val="445315768"/>
        <c:axId val="445319688"/>
      </c:scatterChart>
      <c:valAx>
        <c:axId val="445315768"/>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319688"/>
        <c:crosses val="autoZero"/>
        <c:crossBetween val="midCat"/>
      </c:valAx>
      <c:valAx>
        <c:axId val="445319688"/>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315768"/>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4.4998573190371015E-25</c:v>
                </c:pt>
                <c:pt idx="1">
                  <c:v>4.499857319037101E-24</c:v>
                </c:pt>
                <c:pt idx="2">
                  <c:v>4.4998573190371014E-23</c:v>
                </c:pt>
                <c:pt idx="3">
                  <c:v>4.4998573190371006E-22</c:v>
                </c:pt>
                <c:pt idx="4">
                  <c:v>4.4998573190371006E-21</c:v>
                </c:pt>
                <c:pt idx="5">
                  <c:v>4.4998573190371015E-20</c:v>
                </c:pt>
                <c:pt idx="6">
                  <c:v>4.4998573190371017E-19</c:v>
                </c:pt>
                <c:pt idx="7">
                  <c:v>4.4998573190371012E-18</c:v>
                </c:pt>
                <c:pt idx="8">
                  <c:v>4.4998573190371007E-17</c:v>
                </c:pt>
                <c:pt idx="9">
                  <c:v>4.4998573190371012E-16</c:v>
                </c:pt>
                <c:pt idx="10">
                  <c:v>4.4998573190371016E-15</c:v>
                </c:pt>
                <c:pt idx="11">
                  <c:v>4.4998573190371014E-14</c:v>
                </c:pt>
                <c:pt idx="12">
                  <c:v>4.4998573190371012E-13</c:v>
                </c:pt>
                <c:pt idx="13">
                  <c:v>4.4998573190371012E-12</c:v>
                </c:pt>
                <c:pt idx="14">
                  <c:v>4.4998573190371013E-11</c:v>
                </c:pt>
                <c:pt idx="15">
                  <c:v>4.4998573190371013E-10</c:v>
                </c:pt>
                <c:pt idx="16">
                  <c:v>4.4998573190371008E-9</c:v>
                </c:pt>
                <c:pt idx="17">
                  <c:v>4.499857319037101E-8</c:v>
                </c:pt>
                <c:pt idx="18">
                  <c:v>4.4998573190371014E-7</c:v>
                </c:pt>
                <c:pt idx="19">
                  <c:v>4.4998573190371015E-6</c:v>
                </c:pt>
                <c:pt idx="20">
                  <c:v>4.4998573190371013E-5</c:v>
                </c:pt>
                <c:pt idx="21">
                  <c:v>4.4998573190371013E-4</c:v>
                </c:pt>
                <c:pt idx="22">
                  <c:v>4.4998573190371009E-3</c:v>
                </c:pt>
                <c:pt idx="23">
                  <c:v>4.4998573190371011E-2</c:v>
                </c:pt>
                <c:pt idx="24">
                  <c:v>0.44998573190371011</c:v>
                </c:pt>
                <c:pt idx="25">
                  <c:v>4.4998573190371012</c:v>
                </c:pt>
                <c:pt idx="26">
                  <c:v>44.998573190371012</c:v>
                </c:pt>
                <c:pt idx="27">
                  <c:v>449.98573190371013</c:v>
                </c:pt>
                <c:pt idx="28">
                  <c:v>4499.8573190371008</c:v>
                </c:pt>
                <c:pt idx="29">
                  <c:v>44998.573190371011</c:v>
                </c:pt>
                <c:pt idx="30">
                  <c:v>449985.73190371011</c:v>
                </c:pt>
              </c:numCache>
            </c:numRef>
          </c:xVal>
          <c:yVal>
            <c:numRef>
              <c:f>'Mastercurve bestimmen'!$J$404:$J$434</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1.5260469441906595E-23</c:v>
                </c:pt>
                <c:pt idx="1">
                  <c:v>1.5260469441906594E-22</c:v>
                </c:pt>
                <c:pt idx="2">
                  <c:v>1.5260469441906594E-21</c:v>
                </c:pt>
                <c:pt idx="3">
                  <c:v>1.5260469441906594E-20</c:v>
                </c:pt>
                <c:pt idx="4">
                  <c:v>1.5260469441906593E-19</c:v>
                </c:pt>
                <c:pt idx="5">
                  <c:v>1.5260469441906594E-18</c:v>
                </c:pt>
                <c:pt idx="6">
                  <c:v>1.5260469441906596E-17</c:v>
                </c:pt>
                <c:pt idx="7">
                  <c:v>1.5260469441906594E-16</c:v>
                </c:pt>
                <c:pt idx="8">
                  <c:v>1.5260469441906593E-15</c:v>
                </c:pt>
                <c:pt idx="9">
                  <c:v>1.5260469441906592E-14</c:v>
                </c:pt>
                <c:pt idx="10">
                  <c:v>1.5260469441906596E-13</c:v>
                </c:pt>
                <c:pt idx="11">
                  <c:v>1.5260469441906595E-12</c:v>
                </c:pt>
                <c:pt idx="12">
                  <c:v>1.5260469441906595E-11</c:v>
                </c:pt>
                <c:pt idx="13">
                  <c:v>1.5260469441906594E-10</c:v>
                </c:pt>
                <c:pt idx="14">
                  <c:v>1.5260469441906595E-9</c:v>
                </c:pt>
                <c:pt idx="15">
                  <c:v>1.5260469441906594E-8</c:v>
                </c:pt>
                <c:pt idx="16">
                  <c:v>1.5260469441906593E-7</c:v>
                </c:pt>
                <c:pt idx="17">
                  <c:v>1.5260469441906594E-6</c:v>
                </c:pt>
                <c:pt idx="18">
                  <c:v>1.5260469441906595E-5</c:v>
                </c:pt>
                <c:pt idx="19">
                  <c:v>1.5260469441906593E-4</c:v>
                </c:pt>
                <c:pt idx="20">
                  <c:v>1.5260469441906593E-3</c:v>
                </c:pt>
                <c:pt idx="21">
                  <c:v>1.5260469441906593E-2</c:v>
                </c:pt>
                <c:pt idx="22">
                  <c:v>0.15260469441906593</c:v>
                </c:pt>
                <c:pt idx="23">
                  <c:v>1.5260469441906594</c:v>
                </c:pt>
                <c:pt idx="24">
                  <c:v>15.260469441906594</c:v>
                </c:pt>
                <c:pt idx="25">
                  <c:v>152.60469441906594</c:v>
                </c:pt>
                <c:pt idx="26">
                  <c:v>1526.0469441906594</c:v>
                </c:pt>
                <c:pt idx="27">
                  <c:v>15260.469441906595</c:v>
                </c:pt>
                <c:pt idx="28">
                  <c:v>152604.69441906593</c:v>
                </c:pt>
                <c:pt idx="29">
                  <c:v>1526046.9441906593</c:v>
                </c:pt>
                <c:pt idx="30">
                  <c:v>15260469.441906594</c:v>
                </c:pt>
              </c:numCache>
            </c:numRef>
          </c:xVal>
          <c:yVal>
            <c:numRef>
              <c:f>'Mastercurve bestimmen'!$K$404:$K$434</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2.0135047999772153E-22</c:v>
                </c:pt>
                <c:pt idx="1">
                  <c:v>2.0135047999772151E-21</c:v>
                </c:pt>
                <c:pt idx="2">
                  <c:v>2.0135047999772151E-20</c:v>
                </c:pt>
                <c:pt idx="3">
                  <c:v>2.0135047999772153E-19</c:v>
                </c:pt>
                <c:pt idx="4">
                  <c:v>2.013504799977215E-18</c:v>
                </c:pt>
                <c:pt idx="5">
                  <c:v>2.0135047999772152E-17</c:v>
                </c:pt>
                <c:pt idx="6">
                  <c:v>2.0135047999772154E-16</c:v>
                </c:pt>
                <c:pt idx="7">
                  <c:v>2.0135047999772153E-15</c:v>
                </c:pt>
                <c:pt idx="8">
                  <c:v>2.013504799977215E-14</c:v>
                </c:pt>
                <c:pt idx="9">
                  <c:v>2.013504799977215E-13</c:v>
                </c:pt>
                <c:pt idx="10">
                  <c:v>2.0135047999772152E-12</c:v>
                </c:pt>
                <c:pt idx="11">
                  <c:v>2.0135047999772153E-11</c:v>
                </c:pt>
                <c:pt idx="12">
                  <c:v>2.0135047999772153E-10</c:v>
                </c:pt>
                <c:pt idx="13">
                  <c:v>2.0135047999772153E-9</c:v>
                </c:pt>
                <c:pt idx="14">
                  <c:v>2.0135047999772151E-8</c:v>
                </c:pt>
                <c:pt idx="15">
                  <c:v>2.0135047999772151E-7</c:v>
                </c:pt>
                <c:pt idx="16">
                  <c:v>2.0135047999772151E-6</c:v>
                </c:pt>
                <c:pt idx="17">
                  <c:v>2.0135047999772152E-5</c:v>
                </c:pt>
                <c:pt idx="18">
                  <c:v>2.0135047999772152E-4</c:v>
                </c:pt>
                <c:pt idx="19">
                  <c:v>2.0135047999772153E-3</c:v>
                </c:pt>
                <c:pt idx="20">
                  <c:v>2.0135047999772154E-2</c:v>
                </c:pt>
                <c:pt idx="21">
                  <c:v>0.20135047999772152</c:v>
                </c:pt>
                <c:pt idx="22">
                  <c:v>2.0135047999772153</c:v>
                </c:pt>
                <c:pt idx="23">
                  <c:v>20.135047999772151</c:v>
                </c:pt>
                <c:pt idx="24">
                  <c:v>201.35047999772152</c:v>
                </c:pt>
                <c:pt idx="25">
                  <c:v>2013.5047999772153</c:v>
                </c:pt>
                <c:pt idx="26">
                  <c:v>20135.047999772152</c:v>
                </c:pt>
                <c:pt idx="27">
                  <c:v>201350.47999772153</c:v>
                </c:pt>
                <c:pt idx="28">
                  <c:v>2013504.7999772152</c:v>
                </c:pt>
                <c:pt idx="29">
                  <c:v>20135047.999772154</c:v>
                </c:pt>
                <c:pt idx="30">
                  <c:v>201350479.99772152</c:v>
                </c:pt>
              </c:numCache>
            </c:numRef>
          </c:xVal>
          <c:yVal>
            <c:numRef>
              <c:f>'Mastercurve bestimmen'!$L$404:$L$434</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1.7382408774855702E-21</c:v>
                </c:pt>
                <c:pt idx="1">
                  <c:v>1.7382408774855702E-20</c:v>
                </c:pt>
                <c:pt idx="2">
                  <c:v>1.7382408774855703E-19</c:v>
                </c:pt>
                <c:pt idx="3">
                  <c:v>1.7382408774855701E-18</c:v>
                </c:pt>
                <c:pt idx="4">
                  <c:v>1.73824087748557E-17</c:v>
                </c:pt>
                <c:pt idx="5">
                  <c:v>1.7382408774855702E-16</c:v>
                </c:pt>
                <c:pt idx="6">
                  <c:v>1.7382408774855704E-15</c:v>
                </c:pt>
                <c:pt idx="7">
                  <c:v>1.7382408774855702E-14</c:v>
                </c:pt>
                <c:pt idx="8">
                  <c:v>1.7382408774855702E-13</c:v>
                </c:pt>
                <c:pt idx="9">
                  <c:v>1.7382408774855701E-12</c:v>
                </c:pt>
                <c:pt idx="10">
                  <c:v>1.7382408774855703E-11</c:v>
                </c:pt>
                <c:pt idx="11">
                  <c:v>1.7382408774855703E-10</c:v>
                </c:pt>
                <c:pt idx="12">
                  <c:v>1.7382408774855703E-9</c:v>
                </c:pt>
                <c:pt idx="13">
                  <c:v>1.7382408774855702E-8</c:v>
                </c:pt>
                <c:pt idx="14">
                  <c:v>1.7382408774855704E-7</c:v>
                </c:pt>
                <c:pt idx="15">
                  <c:v>1.7382408774855702E-6</c:v>
                </c:pt>
                <c:pt idx="16">
                  <c:v>1.7382408774855701E-5</c:v>
                </c:pt>
                <c:pt idx="17">
                  <c:v>1.7382408774855703E-4</c:v>
                </c:pt>
                <c:pt idx="18">
                  <c:v>1.7382408774855702E-3</c:v>
                </c:pt>
                <c:pt idx="19">
                  <c:v>1.7382408774855702E-2</c:v>
                </c:pt>
                <c:pt idx="20">
                  <c:v>0.17382408774855701</c:v>
                </c:pt>
                <c:pt idx="21">
                  <c:v>1.7382408774855702</c:v>
                </c:pt>
                <c:pt idx="22">
                  <c:v>17.382408774855701</c:v>
                </c:pt>
                <c:pt idx="23">
                  <c:v>173.82408774855702</c:v>
                </c:pt>
                <c:pt idx="24">
                  <c:v>1738.2408774855703</c:v>
                </c:pt>
                <c:pt idx="25">
                  <c:v>17382.408774855703</c:v>
                </c:pt>
                <c:pt idx="26">
                  <c:v>173824.08774855701</c:v>
                </c:pt>
                <c:pt idx="27">
                  <c:v>1738240.8774855703</c:v>
                </c:pt>
                <c:pt idx="28">
                  <c:v>17382408.774855703</c:v>
                </c:pt>
                <c:pt idx="29">
                  <c:v>173824087.74855703</c:v>
                </c:pt>
                <c:pt idx="30">
                  <c:v>1738240877.4855702</c:v>
                </c:pt>
              </c:numCache>
            </c:numRef>
          </c:xVal>
          <c:yVal>
            <c:numRef>
              <c:f>'Mastercurve bestimmen'!$M$404:$M$434</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2.5122210670388878E-20</c:v>
                </c:pt>
                <c:pt idx="1">
                  <c:v>2.5122210670388874E-19</c:v>
                </c:pt>
                <c:pt idx="2">
                  <c:v>2.5122210670388875E-18</c:v>
                </c:pt>
                <c:pt idx="3">
                  <c:v>2.5122210670388873E-17</c:v>
                </c:pt>
                <c:pt idx="4">
                  <c:v>2.5122210670388876E-16</c:v>
                </c:pt>
                <c:pt idx="5">
                  <c:v>2.5122210670388878E-15</c:v>
                </c:pt>
                <c:pt idx="6">
                  <c:v>2.5122210670388876E-14</c:v>
                </c:pt>
                <c:pt idx="7">
                  <c:v>2.5122210670388877E-13</c:v>
                </c:pt>
                <c:pt idx="8">
                  <c:v>2.5122210670388872E-12</c:v>
                </c:pt>
                <c:pt idx="9">
                  <c:v>2.5122210670388872E-11</c:v>
                </c:pt>
                <c:pt idx="10">
                  <c:v>2.5122210670388877E-10</c:v>
                </c:pt>
                <c:pt idx="11">
                  <c:v>2.5122210670388876E-9</c:v>
                </c:pt>
                <c:pt idx="12">
                  <c:v>2.5122210670388874E-8</c:v>
                </c:pt>
                <c:pt idx="13">
                  <c:v>2.5122210670388873E-7</c:v>
                </c:pt>
                <c:pt idx="14">
                  <c:v>2.5122210670388874E-6</c:v>
                </c:pt>
                <c:pt idx="15">
                  <c:v>2.5122210670388873E-5</c:v>
                </c:pt>
                <c:pt idx="16">
                  <c:v>2.5122210670388873E-4</c:v>
                </c:pt>
                <c:pt idx="17">
                  <c:v>2.5122210670388873E-3</c:v>
                </c:pt>
                <c:pt idx="18">
                  <c:v>2.5122210670388875E-2</c:v>
                </c:pt>
                <c:pt idx="19">
                  <c:v>0.25122210670388873</c:v>
                </c:pt>
                <c:pt idx="20">
                  <c:v>2.5122210670388876</c:v>
                </c:pt>
                <c:pt idx="21">
                  <c:v>25.122210670388874</c:v>
                </c:pt>
                <c:pt idx="22">
                  <c:v>251.22210670388876</c:v>
                </c:pt>
                <c:pt idx="23">
                  <c:v>2512.2210670388877</c:v>
                </c:pt>
                <c:pt idx="24">
                  <c:v>25122.210670388875</c:v>
                </c:pt>
                <c:pt idx="25">
                  <c:v>251222.10670388874</c:v>
                </c:pt>
                <c:pt idx="26">
                  <c:v>2512221.0670388876</c:v>
                </c:pt>
                <c:pt idx="27">
                  <c:v>25122210.670388874</c:v>
                </c:pt>
                <c:pt idx="28">
                  <c:v>251222106.70388874</c:v>
                </c:pt>
                <c:pt idx="29">
                  <c:v>2512221067.0388875</c:v>
                </c:pt>
                <c:pt idx="30">
                  <c:v>25122210670.388874</c:v>
                </c:pt>
              </c:numCache>
            </c:numRef>
          </c:xVal>
          <c:yVal>
            <c:numRef>
              <c:f>'Mastercurve bestimmen'!$N$404:$N$434</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7.2452571176443726E-18</c:v>
                </c:pt>
                <c:pt idx="1">
                  <c:v>7.2452571176443729E-17</c:v>
                </c:pt>
                <c:pt idx="2">
                  <c:v>7.2452571176443734E-16</c:v>
                </c:pt>
                <c:pt idx="3">
                  <c:v>7.2452571176443724E-15</c:v>
                </c:pt>
                <c:pt idx="4">
                  <c:v>7.2452571176443718E-14</c:v>
                </c:pt>
                <c:pt idx="5">
                  <c:v>7.2452571176443731E-13</c:v>
                </c:pt>
                <c:pt idx="6">
                  <c:v>7.2452571176443729E-12</c:v>
                </c:pt>
                <c:pt idx="7">
                  <c:v>7.2452571176443735E-11</c:v>
                </c:pt>
                <c:pt idx="8">
                  <c:v>7.2452571176443725E-10</c:v>
                </c:pt>
                <c:pt idx="9">
                  <c:v>7.2452571176443727E-9</c:v>
                </c:pt>
                <c:pt idx="10">
                  <c:v>7.2452571176443738E-8</c:v>
                </c:pt>
                <c:pt idx="11">
                  <c:v>7.2452571176443728E-7</c:v>
                </c:pt>
                <c:pt idx="12">
                  <c:v>7.2452571176443728E-6</c:v>
                </c:pt>
                <c:pt idx="13">
                  <c:v>7.2452571176443724E-5</c:v>
                </c:pt>
                <c:pt idx="14">
                  <c:v>7.2452571176443727E-4</c:v>
                </c:pt>
                <c:pt idx="15">
                  <c:v>7.2452571176443731E-3</c:v>
                </c:pt>
                <c:pt idx="16">
                  <c:v>7.2452571176443728E-2</c:v>
                </c:pt>
                <c:pt idx="17">
                  <c:v>0.72452571176443725</c:v>
                </c:pt>
                <c:pt idx="18">
                  <c:v>7.245257117644373</c:v>
                </c:pt>
                <c:pt idx="19">
                  <c:v>72.452571176443726</c:v>
                </c:pt>
                <c:pt idx="20">
                  <c:v>724.52571176443723</c:v>
                </c:pt>
                <c:pt idx="21">
                  <c:v>7245.2571176443726</c:v>
                </c:pt>
                <c:pt idx="22">
                  <c:v>72452.571176443729</c:v>
                </c:pt>
                <c:pt idx="23">
                  <c:v>724525.71176443726</c:v>
                </c:pt>
                <c:pt idx="24">
                  <c:v>7245257.1176443724</c:v>
                </c:pt>
                <c:pt idx="25">
                  <c:v>72452571.176443726</c:v>
                </c:pt>
                <c:pt idx="26">
                  <c:v>724525711.76443732</c:v>
                </c:pt>
                <c:pt idx="27">
                  <c:v>7245257117.6443729</c:v>
                </c:pt>
                <c:pt idx="28">
                  <c:v>72452571176.443726</c:v>
                </c:pt>
                <c:pt idx="29">
                  <c:v>724525711764.43726</c:v>
                </c:pt>
                <c:pt idx="30">
                  <c:v>7245257117644.373</c:v>
                </c:pt>
              </c:numCache>
            </c:numRef>
          </c:xVal>
          <c:yVal>
            <c:numRef>
              <c:f>'Mastercurve bestimmen'!$O$404:$O$434</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1"/>
        </c:ser>
        <c:dLbls>
          <c:showLegendKey val="0"/>
          <c:showVal val="0"/>
          <c:showCatName val="0"/>
          <c:showSerName val="0"/>
          <c:showPercent val="0"/>
          <c:showBubbleSize val="0"/>
        </c:dLbls>
        <c:axId val="445320080"/>
        <c:axId val="445314592"/>
      </c:scatterChart>
      <c:valAx>
        <c:axId val="445320080"/>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314592"/>
        <c:crosses val="autoZero"/>
        <c:crossBetween val="midCat"/>
      </c:valAx>
      <c:valAx>
        <c:axId val="4453145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320080"/>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4.4998573190371015E-25</c:v>
                </c:pt>
                <c:pt idx="1">
                  <c:v>4.499857319037101E-24</c:v>
                </c:pt>
                <c:pt idx="2">
                  <c:v>4.4998573190371014E-23</c:v>
                </c:pt>
                <c:pt idx="3">
                  <c:v>4.4998573190371006E-22</c:v>
                </c:pt>
                <c:pt idx="4">
                  <c:v>4.4998573190371006E-21</c:v>
                </c:pt>
                <c:pt idx="5">
                  <c:v>4.4998573190371015E-20</c:v>
                </c:pt>
                <c:pt idx="6">
                  <c:v>4.4998573190371017E-19</c:v>
                </c:pt>
                <c:pt idx="7">
                  <c:v>4.4998573190371012E-18</c:v>
                </c:pt>
                <c:pt idx="8">
                  <c:v>4.4998573190371007E-17</c:v>
                </c:pt>
                <c:pt idx="9">
                  <c:v>4.4998573190371012E-16</c:v>
                </c:pt>
                <c:pt idx="10">
                  <c:v>4.4998573190371016E-15</c:v>
                </c:pt>
                <c:pt idx="11">
                  <c:v>4.4998573190371014E-14</c:v>
                </c:pt>
                <c:pt idx="12">
                  <c:v>4.4998573190371012E-13</c:v>
                </c:pt>
                <c:pt idx="13">
                  <c:v>4.4998573190371012E-12</c:v>
                </c:pt>
                <c:pt idx="14">
                  <c:v>4.4998573190371013E-11</c:v>
                </c:pt>
                <c:pt idx="15">
                  <c:v>4.4998573190371013E-10</c:v>
                </c:pt>
                <c:pt idx="16">
                  <c:v>4.4998573190371008E-9</c:v>
                </c:pt>
                <c:pt idx="17">
                  <c:v>4.499857319037101E-8</c:v>
                </c:pt>
                <c:pt idx="18">
                  <c:v>4.4998573190371014E-7</c:v>
                </c:pt>
                <c:pt idx="19">
                  <c:v>4.4998573190371015E-6</c:v>
                </c:pt>
                <c:pt idx="20">
                  <c:v>4.4998573190371013E-5</c:v>
                </c:pt>
                <c:pt idx="21">
                  <c:v>4.4998573190371013E-4</c:v>
                </c:pt>
                <c:pt idx="22">
                  <c:v>4.4998573190371009E-3</c:v>
                </c:pt>
                <c:pt idx="23">
                  <c:v>4.4998573190371011E-2</c:v>
                </c:pt>
                <c:pt idx="24">
                  <c:v>0.44998573190371011</c:v>
                </c:pt>
                <c:pt idx="25">
                  <c:v>4.4998573190371012</c:v>
                </c:pt>
                <c:pt idx="26">
                  <c:v>44.998573190371012</c:v>
                </c:pt>
                <c:pt idx="27">
                  <c:v>449.98573190371013</c:v>
                </c:pt>
                <c:pt idx="28">
                  <c:v>4499.8573190371008</c:v>
                </c:pt>
                <c:pt idx="29">
                  <c:v>44998.573190371011</c:v>
                </c:pt>
                <c:pt idx="30">
                  <c:v>449985.73190371011</c:v>
                </c:pt>
              </c:numCache>
            </c:numRef>
          </c:xVal>
          <c:yVal>
            <c:numRef>
              <c:f>'Mastercurve bestimmen'!$J$404:$J$434</c:f>
              <c:numCache>
                <c:formatCode>0.00E+00</c:formatCode>
                <c:ptCount val="31"/>
                <c:pt idx="0">
                  <c:v>11605.327404987251</c:v>
                </c:pt>
                <c:pt idx="1">
                  <c:v>11525.315889809444</c:v>
                </c:pt>
                <c:pt idx="2">
                  <c:v>11262.989267632682</c:v>
                </c:pt>
                <c:pt idx="3">
                  <c:v>11072.566067439215</c:v>
                </c:pt>
                <c:pt idx="4">
                  <c:v>10893.827462738938</c:v>
                </c:pt>
                <c:pt idx="5">
                  <c:v>10697.933159313619</c:v>
                </c:pt>
                <c:pt idx="6">
                  <c:v>10491.083669953241</c:v>
                </c:pt>
                <c:pt idx="7">
                  <c:v>10253.530794540358</c:v>
                </c:pt>
                <c:pt idx="8">
                  <c:v>9990.0957619753135</c:v>
                </c:pt>
                <c:pt idx="9">
                  <c:v>9721.0109842535821</c:v>
                </c:pt>
                <c:pt idx="10">
                  <c:v>9457.2689514888043</c:v>
                </c:pt>
                <c:pt idx="11">
                  <c:v>9196.9082117763955</c:v>
                </c:pt>
                <c:pt idx="12">
                  <c:v>8853.3090866661241</c:v>
                </c:pt>
                <c:pt idx="13">
                  <c:v>8479.914716286281</c:v>
                </c:pt>
                <c:pt idx="14">
                  <c:v>8128.965640404419</c:v>
                </c:pt>
                <c:pt idx="15">
                  <c:v>7846.4940246078413</c:v>
                </c:pt>
                <c:pt idx="16">
                  <c:v>7554.3574872186746</c:v>
                </c:pt>
                <c:pt idx="17">
                  <c:v>7271.4639946770558</c:v>
                </c:pt>
                <c:pt idx="18">
                  <c:v>6968.3337174677063</c:v>
                </c:pt>
                <c:pt idx="19">
                  <c:v>6660.7873102364538</c:v>
                </c:pt>
                <c:pt idx="20">
                  <c:v>6120.1247453486039</c:v>
                </c:pt>
                <c:pt idx="21">
                  <c:v>5179.772775385416</c:v>
                </c:pt>
                <c:pt idx="22">
                  <c:v>4110.4480491252179</c:v>
                </c:pt>
                <c:pt idx="23">
                  <c:v>3245.0810486621449</c:v>
                </c:pt>
                <c:pt idx="24">
                  <c:v>2543.9226414929772</c:v>
                </c:pt>
                <c:pt idx="25">
                  <c:v>1944.565914995268</c:v>
                </c:pt>
                <c:pt idx="26">
                  <c:v>1396.8383179282553</c:v>
                </c:pt>
                <c:pt idx="27">
                  <c:v>982.12621210790121</c:v>
                </c:pt>
                <c:pt idx="28">
                  <c:v>689.03519551617785</c:v>
                </c:pt>
                <c:pt idx="29">
                  <c:v>537.03681449352746</c:v>
                </c:pt>
                <c:pt idx="30">
                  <c:v>452.34025000519932</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1.5260469441906595E-23</c:v>
                </c:pt>
                <c:pt idx="1">
                  <c:v>1.5260469441906594E-22</c:v>
                </c:pt>
                <c:pt idx="2">
                  <c:v>1.5260469441906594E-21</c:v>
                </c:pt>
                <c:pt idx="3">
                  <c:v>1.5260469441906594E-20</c:v>
                </c:pt>
                <c:pt idx="4">
                  <c:v>1.5260469441906593E-19</c:v>
                </c:pt>
                <c:pt idx="5">
                  <c:v>1.5260469441906594E-18</c:v>
                </c:pt>
                <c:pt idx="6">
                  <c:v>1.5260469441906596E-17</c:v>
                </c:pt>
                <c:pt idx="7">
                  <c:v>1.5260469441906594E-16</c:v>
                </c:pt>
                <c:pt idx="8">
                  <c:v>1.5260469441906593E-15</c:v>
                </c:pt>
                <c:pt idx="9">
                  <c:v>1.5260469441906592E-14</c:v>
                </c:pt>
                <c:pt idx="10">
                  <c:v>1.5260469441906596E-13</c:v>
                </c:pt>
                <c:pt idx="11">
                  <c:v>1.5260469441906595E-12</c:v>
                </c:pt>
                <c:pt idx="12">
                  <c:v>1.5260469441906595E-11</c:v>
                </c:pt>
                <c:pt idx="13">
                  <c:v>1.5260469441906594E-10</c:v>
                </c:pt>
                <c:pt idx="14">
                  <c:v>1.5260469441906595E-9</c:v>
                </c:pt>
                <c:pt idx="15">
                  <c:v>1.5260469441906594E-8</c:v>
                </c:pt>
                <c:pt idx="16">
                  <c:v>1.5260469441906593E-7</c:v>
                </c:pt>
                <c:pt idx="17">
                  <c:v>1.5260469441906594E-6</c:v>
                </c:pt>
                <c:pt idx="18">
                  <c:v>1.5260469441906595E-5</c:v>
                </c:pt>
                <c:pt idx="19">
                  <c:v>1.5260469441906593E-4</c:v>
                </c:pt>
                <c:pt idx="20">
                  <c:v>1.5260469441906593E-3</c:v>
                </c:pt>
                <c:pt idx="21">
                  <c:v>1.5260469441906593E-2</c:v>
                </c:pt>
                <c:pt idx="22">
                  <c:v>0.15260469441906593</c:v>
                </c:pt>
                <c:pt idx="23">
                  <c:v>1.5260469441906594</c:v>
                </c:pt>
                <c:pt idx="24">
                  <c:v>15.260469441906594</c:v>
                </c:pt>
                <c:pt idx="25">
                  <c:v>152.60469441906594</c:v>
                </c:pt>
                <c:pt idx="26">
                  <c:v>1526.0469441906594</c:v>
                </c:pt>
                <c:pt idx="27">
                  <c:v>15260.469441906595</c:v>
                </c:pt>
                <c:pt idx="28">
                  <c:v>152604.69441906593</c:v>
                </c:pt>
                <c:pt idx="29">
                  <c:v>1526046.9441906593</c:v>
                </c:pt>
                <c:pt idx="30">
                  <c:v>15260469.441906594</c:v>
                </c:pt>
              </c:numCache>
            </c:numRef>
          </c:xVal>
          <c:yVal>
            <c:numRef>
              <c:f>'Mastercurve bestimmen'!$K$404:$K$434</c:f>
              <c:numCache>
                <c:formatCode>0.00E+00</c:formatCode>
                <c:ptCount val="31"/>
                <c:pt idx="0">
                  <c:v>11367.234905429283</c:v>
                </c:pt>
                <c:pt idx="1">
                  <c:v>11068.839809245561</c:v>
                </c:pt>
                <c:pt idx="2">
                  <c:v>10885.617784934777</c:v>
                </c:pt>
                <c:pt idx="3">
                  <c:v>10701.493672903915</c:v>
                </c:pt>
                <c:pt idx="4">
                  <c:v>10504.725025316387</c:v>
                </c:pt>
                <c:pt idx="5">
                  <c:v>10287.091684462941</c:v>
                </c:pt>
                <c:pt idx="6">
                  <c:v>10049.244860118473</c:v>
                </c:pt>
                <c:pt idx="7">
                  <c:v>9772.6915503667024</c:v>
                </c:pt>
                <c:pt idx="8">
                  <c:v>9517.4825603824975</c:v>
                </c:pt>
                <c:pt idx="9">
                  <c:v>9254.9171850971579</c:v>
                </c:pt>
                <c:pt idx="10">
                  <c:v>8963.5955807199589</c:v>
                </c:pt>
                <c:pt idx="11">
                  <c:v>8614.6063850970258</c:v>
                </c:pt>
                <c:pt idx="12">
                  <c:v>8248.4064055257641</c:v>
                </c:pt>
                <c:pt idx="13">
                  <c:v>7932.3411730217404</c:v>
                </c:pt>
                <c:pt idx="14">
                  <c:v>7651.3188875674869</c:v>
                </c:pt>
                <c:pt idx="15">
                  <c:v>7368.015082756323</c:v>
                </c:pt>
                <c:pt idx="16">
                  <c:v>7078.2683200185556</c:v>
                </c:pt>
                <c:pt idx="17">
                  <c:v>6780.7506129740432</c:v>
                </c:pt>
                <c:pt idx="18">
                  <c:v>6359.8481605512916</c:v>
                </c:pt>
                <c:pt idx="19">
                  <c:v>5533.5094566127227</c:v>
                </c:pt>
                <c:pt idx="20">
                  <c:v>4472.2559132167689</c:v>
                </c:pt>
                <c:pt idx="21">
                  <c:v>3559.9181790033126</c:v>
                </c:pt>
                <c:pt idx="22">
                  <c:v>2844.2645935941323</c:v>
                </c:pt>
                <c:pt idx="23">
                  <c:v>2237.2915384432267</c:v>
                </c:pt>
                <c:pt idx="24">
                  <c:v>1684.6343995836892</c:v>
                </c:pt>
                <c:pt idx="25">
                  <c:v>1197.1004230306633</c:v>
                </c:pt>
                <c:pt idx="26">
                  <c:v>840.12332203849121</c:v>
                </c:pt>
                <c:pt idx="27">
                  <c:v>609.58567269963044</c:v>
                </c:pt>
                <c:pt idx="28">
                  <c:v>494.5048529689002</c:v>
                </c:pt>
                <c:pt idx="29">
                  <c:v>433.69545003412065</c:v>
                </c:pt>
                <c:pt idx="30">
                  <c:v>404.17805740514621</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2.0135047999772153E-22</c:v>
                </c:pt>
                <c:pt idx="1">
                  <c:v>2.0135047999772151E-21</c:v>
                </c:pt>
                <c:pt idx="2">
                  <c:v>2.0135047999772151E-20</c:v>
                </c:pt>
                <c:pt idx="3">
                  <c:v>2.0135047999772153E-19</c:v>
                </c:pt>
                <c:pt idx="4">
                  <c:v>2.013504799977215E-18</c:v>
                </c:pt>
                <c:pt idx="5">
                  <c:v>2.0135047999772152E-17</c:v>
                </c:pt>
                <c:pt idx="6">
                  <c:v>2.0135047999772154E-16</c:v>
                </c:pt>
                <c:pt idx="7">
                  <c:v>2.0135047999772153E-15</c:v>
                </c:pt>
                <c:pt idx="8">
                  <c:v>2.013504799977215E-14</c:v>
                </c:pt>
                <c:pt idx="9">
                  <c:v>2.013504799977215E-13</c:v>
                </c:pt>
                <c:pt idx="10">
                  <c:v>2.0135047999772152E-12</c:v>
                </c:pt>
                <c:pt idx="11">
                  <c:v>2.0135047999772153E-11</c:v>
                </c:pt>
                <c:pt idx="12">
                  <c:v>2.0135047999772153E-10</c:v>
                </c:pt>
                <c:pt idx="13">
                  <c:v>2.0135047999772153E-9</c:v>
                </c:pt>
                <c:pt idx="14">
                  <c:v>2.0135047999772151E-8</c:v>
                </c:pt>
                <c:pt idx="15">
                  <c:v>2.0135047999772151E-7</c:v>
                </c:pt>
                <c:pt idx="16">
                  <c:v>2.0135047999772151E-6</c:v>
                </c:pt>
                <c:pt idx="17">
                  <c:v>2.0135047999772152E-5</c:v>
                </c:pt>
                <c:pt idx="18">
                  <c:v>2.0135047999772152E-4</c:v>
                </c:pt>
                <c:pt idx="19">
                  <c:v>2.0135047999772153E-3</c:v>
                </c:pt>
                <c:pt idx="20">
                  <c:v>2.0135047999772154E-2</c:v>
                </c:pt>
                <c:pt idx="21">
                  <c:v>0.20135047999772152</c:v>
                </c:pt>
                <c:pt idx="22">
                  <c:v>2.0135047999772153</c:v>
                </c:pt>
                <c:pt idx="23">
                  <c:v>20.135047999772151</c:v>
                </c:pt>
                <c:pt idx="24">
                  <c:v>201.35047999772152</c:v>
                </c:pt>
                <c:pt idx="25">
                  <c:v>2013.5047999772153</c:v>
                </c:pt>
                <c:pt idx="26">
                  <c:v>20135.047999772152</c:v>
                </c:pt>
                <c:pt idx="27">
                  <c:v>201350.47999772153</c:v>
                </c:pt>
                <c:pt idx="28">
                  <c:v>2013504.7999772152</c:v>
                </c:pt>
                <c:pt idx="29">
                  <c:v>20135047.999772154</c:v>
                </c:pt>
                <c:pt idx="30">
                  <c:v>201350479.99772152</c:v>
                </c:pt>
              </c:numCache>
            </c:numRef>
          </c:xVal>
          <c:yVal>
            <c:numRef>
              <c:f>'Mastercurve bestimmen'!$L$404:$L$434</c:f>
              <c:numCache>
                <c:formatCode>0.00E+00</c:formatCode>
                <c:ptCount val="31"/>
                <c:pt idx="0">
                  <c:v>11009.313892134818</c:v>
                </c:pt>
                <c:pt idx="1">
                  <c:v>10796.668525667899</c:v>
                </c:pt>
                <c:pt idx="2">
                  <c:v>10610.07082701246</c:v>
                </c:pt>
                <c:pt idx="3">
                  <c:v>10413.892727978708</c:v>
                </c:pt>
                <c:pt idx="4">
                  <c:v>10194.452600653791</c:v>
                </c:pt>
                <c:pt idx="5">
                  <c:v>9957.7302884452874</c:v>
                </c:pt>
                <c:pt idx="6">
                  <c:v>9678.9506451169946</c:v>
                </c:pt>
                <c:pt idx="7">
                  <c:v>9429.10680786792</c:v>
                </c:pt>
                <c:pt idx="8">
                  <c:v>9166.8729911518094</c:v>
                </c:pt>
                <c:pt idx="9">
                  <c:v>8871.4120157080979</c:v>
                </c:pt>
                <c:pt idx="10">
                  <c:v>8521.038668453999</c:v>
                </c:pt>
                <c:pt idx="11">
                  <c:v>8159.6492921187164</c:v>
                </c:pt>
                <c:pt idx="12">
                  <c:v>7853.7898979258625</c:v>
                </c:pt>
                <c:pt idx="13">
                  <c:v>7573.2536155058961</c:v>
                </c:pt>
                <c:pt idx="14">
                  <c:v>7293.8613287583112</c:v>
                </c:pt>
                <c:pt idx="15">
                  <c:v>7004.3784649959834</c:v>
                </c:pt>
                <c:pt idx="16">
                  <c:v>6716.1281746734903</c:v>
                </c:pt>
                <c:pt idx="17">
                  <c:v>6317.4824905918776</c:v>
                </c:pt>
                <c:pt idx="18">
                  <c:v>5575.0877249610812</c:v>
                </c:pt>
                <c:pt idx="19">
                  <c:v>4517.4360226770941</c:v>
                </c:pt>
                <c:pt idx="20">
                  <c:v>3579.1976948167016</c:v>
                </c:pt>
                <c:pt idx="21">
                  <c:v>2836.8024969308635</c:v>
                </c:pt>
                <c:pt idx="22">
                  <c:v>2213.6861360404496</c:v>
                </c:pt>
                <c:pt idx="23">
                  <c:v>1650.6334197278006</c:v>
                </c:pt>
                <c:pt idx="24">
                  <c:v>1168.6567020451771</c:v>
                </c:pt>
                <c:pt idx="25">
                  <c:v>818.07631905971209</c:v>
                </c:pt>
                <c:pt idx="26">
                  <c:v>599.03104161742488</c:v>
                </c:pt>
                <c:pt idx="27">
                  <c:v>488.03069035934635</c:v>
                </c:pt>
                <c:pt idx="28">
                  <c:v>431.51308603872349</c:v>
                </c:pt>
                <c:pt idx="29">
                  <c:v>402.06033913876905</c:v>
                </c:pt>
                <c:pt idx="30">
                  <c:v>386.49357349528668</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1.7382408774855702E-21</c:v>
                </c:pt>
                <c:pt idx="1">
                  <c:v>1.7382408774855702E-20</c:v>
                </c:pt>
                <c:pt idx="2">
                  <c:v>1.7382408774855703E-19</c:v>
                </c:pt>
                <c:pt idx="3">
                  <c:v>1.7382408774855701E-18</c:v>
                </c:pt>
                <c:pt idx="4">
                  <c:v>1.73824087748557E-17</c:v>
                </c:pt>
                <c:pt idx="5">
                  <c:v>1.7382408774855702E-16</c:v>
                </c:pt>
                <c:pt idx="6">
                  <c:v>1.7382408774855704E-15</c:v>
                </c:pt>
                <c:pt idx="7">
                  <c:v>1.7382408774855702E-14</c:v>
                </c:pt>
                <c:pt idx="8">
                  <c:v>1.7382408774855702E-13</c:v>
                </c:pt>
                <c:pt idx="9">
                  <c:v>1.7382408774855701E-12</c:v>
                </c:pt>
                <c:pt idx="10">
                  <c:v>1.7382408774855703E-11</c:v>
                </c:pt>
                <c:pt idx="11">
                  <c:v>1.7382408774855703E-10</c:v>
                </c:pt>
                <c:pt idx="12">
                  <c:v>1.7382408774855703E-9</c:v>
                </c:pt>
                <c:pt idx="13">
                  <c:v>1.7382408774855702E-8</c:v>
                </c:pt>
                <c:pt idx="14">
                  <c:v>1.7382408774855704E-7</c:v>
                </c:pt>
                <c:pt idx="15">
                  <c:v>1.7382408774855702E-6</c:v>
                </c:pt>
                <c:pt idx="16">
                  <c:v>1.7382408774855701E-5</c:v>
                </c:pt>
                <c:pt idx="17">
                  <c:v>1.7382408774855703E-4</c:v>
                </c:pt>
                <c:pt idx="18">
                  <c:v>1.7382408774855702E-3</c:v>
                </c:pt>
                <c:pt idx="19">
                  <c:v>1.7382408774855702E-2</c:v>
                </c:pt>
                <c:pt idx="20">
                  <c:v>0.17382408774855701</c:v>
                </c:pt>
                <c:pt idx="21">
                  <c:v>1.7382408774855702</c:v>
                </c:pt>
                <c:pt idx="22">
                  <c:v>17.382408774855701</c:v>
                </c:pt>
                <c:pt idx="23">
                  <c:v>173.82408774855702</c:v>
                </c:pt>
                <c:pt idx="24">
                  <c:v>1738.2408774855703</c:v>
                </c:pt>
                <c:pt idx="25">
                  <c:v>17382.408774855703</c:v>
                </c:pt>
                <c:pt idx="26">
                  <c:v>173824.08774855701</c:v>
                </c:pt>
                <c:pt idx="27">
                  <c:v>1738240.8774855703</c:v>
                </c:pt>
                <c:pt idx="28">
                  <c:v>17382408.774855703</c:v>
                </c:pt>
                <c:pt idx="29">
                  <c:v>173824087.74855703</c:v>
                </c:pt>
                <c:pt idx="30">
                  <c:v>1738240877.4855702</c:v>
                </c:pt>
              </c:numCache>
            </c:numRef>
          </c:xVal>
          <c:yVal>
            <c:numRef>
              <c:f>'Mastercurve bestimmen'!$M$404:$M$434</c:f>
              <c:numCache>
                <c:formatCode>0.00E+00</c:formatCode>
                <c:ptCount val="31"/>
                <c:pt idx="0">
                  <c:v>10761.801351389528</c:v>
                </c:pt>
                <c:pt idx="1">
                  <c:v>10547.11616169445</c:v>
                </c:pt>
                <c:pt idx="2">
                  <c:v>10349.894568285434</c:v>
                </c:pt>
                <c:pt idx="3">
                  <c:v>10133.265997491257</c:v>
                </c:pt>
                <c:pt idx="4">
                  <c:v>9898.4994293430227</c:v>
                </c:pt>
                <c:pt idx="5">
                  <c:v>9623.1820365655622</c:v>
                </c:pt>
                <c:pt idx="6">
                  <c:v>9373.9337150399151</c:v>
                </c:pt>
                <c:pt idx="7">
                  <c:v>9114.1360760931802</c:v>
                </c:pt>
                <c:pt idx="8">
                  <c:v>8823.7573464712859</c:v>
                </c:pt>
                <c:pt idx="9">
                  <c:v>8477.9341078683501</c:v>
                </c:pt>
                <c:pt idx="10">
                  <c:v>8118.5828227804013</c:v>
                </c:pt>
                <c:pt idx="11">
                  <c:v>7811.8955545814642</c:v>
                </c:pt>
                <c:pt idx="12">
                  <c:v>7534.5067060295696</c:v>
                </c:pt>
                <c:pt idx="13">
                  <c:v>7256.8628130889483</c:v>
                </c:pt>
                <c:pt idx="14">
                  <c:v>6971.3695334324493</c:v>
                </c:pt>
                <c:pt idx="15">
                  <c:v>6688.5259415281262</c:v>
                </c:pt>
                <c:pt idx="16">
                  <c:v>6332.8599538611707</c:v>
                </c:pt>
                <c:pt idx="17">
                  <c:v>5707.8128215740962</c:v>
                </c:pt>
                <c:pt idx="18">
                  <c:v>4703.4024219609055</c:v>
                </c:pt>
                <c:pt idx="19">
                  <c:v>3716.6695709784594</c:v>
                </c:pt>
                <c:pt idx="20">
                  <c:v>2925.6425281910142</c:v>
                </c:pt>
                <c:pt idx="21">
                  <c:v>2271.2592133629987</c:v>
                </c:pt>
                <c:pt idx="22">
                  <c:v>1690.9117320692962</c:v>
                </c:pt>
                <c:pt idx="23">
                  <c:v>1194.4542594457305</c:v>
                </c:pt>
                <c:pt idx="24">
                  <c:v>834.8043301176574</c:v>
                </c:pt>
                <c:pt idx="25">
                  <c:v>607.40413984309237</c:v>
                </c:pt>
                <c:pt idx="26">
                  <c:v>493.01101666641495</c:v>
                </c:pt>
                <c:pt idx="27">
                  <c:v>433.7285115590953</c:v>
                </c:pt>
                <c:pt idx="28">
                  <c:v>403.76473002951963</c:v>
                </c:pt>
                <c:pt idx="29">
                  <c:v>387.64349199783766</c:v>
                </c:pt>
                <c:pt idx="30">
                  <c:v>374.47481405228427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2.5122210670388878E-20</c:v>
                </c:pt>
                <c:pt idx="1">
                  <c:v>2.5122210670388874E-19</c:v>
                </c:pt>
                <c:pt idx="2">
                  <c:v>2.5122210670388875E-18</c:v>
                </c:pt>
                <c:pt idx="3">
                  <c:v>2.5122210670388873E-17</c:v>
                </c:pt>
                <c:pt idx="4">
                  <c:v>2.5122210670388876E-16</c:v>
                </c:pt>
                <c:pt idx="5">
                  <c:v>2.5122210670388878E-15</c:v>
                </c:pt>
                <c:pt idx="6">
                  <c:v>2.5122210670388876E-14</c:v>
                </c:pt>
                <c:pt idx="7">
                  <c:v>2.5122210670388877E-13</c:v>
                </c:pt>
                <c:pt idx="8">
                  <c:v>2.5122210670388872E-12</c:v>
                </c:pt>
                <c:pt idx="9">
                  <c:v>2.5122210670388872E-11</c:v>
                </c:pt>
                <c:pt idx="10">
                  <c:v>2.5122210670388877E-10</c:v>
                </c:pt>
                <c:pt idx="11">
                  <c:v>2.5122210670388876E-9</c:v>
                </c:pt>
                <c:pt idx="12">
                  <c:v>2.5122210670388874E-8</c:v>
                </c:pt>
                <c:pt idx="13">
                  <c:v>2.5122210670388873E-7</c:v>
                </c:pt>
                <c:pt idx="14">
                  <c:v>2.5122210670388874E-6</c:v>
                </c:pt>
                <c:pt idx="15">
                  <c:v>2.5122210670388873E-5</c:v>
                </c:pt>
                <c:pt idx="16">
                  <c:v>2.5122210670388873E-4</c:v>
                </c:pt>
                <c:pt idx="17">
                  <c:v>2.5122210670388873E-3</c:v>
                </c:pt>
                <c:pt idx="18">
                  <c:v>2.5122210670388875E-2</c:v>
                </c:pt>
                <c:pt idx="19">
                  <c:v>0.25122210670388873</c:v>
                </c:pt>
                <c:pt idx="20">
                  <c:v>2.5122210670388876</c:v>
                </c:pt>
                <c:pt idx="21">
                  <c:v>25.122210670388874</c:v>
                </c:pt>
                <c:pt idx="22">
                  <c:v>251.22210670388876</c:v>
                </c:pt>
                <c:pt idx="23">
                  <c:v>2512.2210670388877</c:v>
                </c:pt>
                <c:pt idx="24">
                  <c:v>25122.210670388875</c:v>
                </c:pt>
                <c:pt idx="25">
                  <c:v>251222.10670388874</c:v>
                </c:pt>
                <c:pt idx="26">
                  <c:v>2512221.0670388876</c:v>
                </c:pt>
                <c:pt idx="27">
                  <c:v>25122210.670388874</c:v>
                </c:pt>
                <c:pt idx="28">
                  <c:v>251222106.70388874</c:v>
                </c:pt>
                <c:pt idx="29">
                  <c:v>2512221067.0388875</c:v>
                </c:pt>
                <c:pt idx="30">
                  <c:v>25122210670.388874</c:v>
                </c:pt>
              </c:numCache>
            </c:numRef>
          </c:xVal>
          <c:yVal>
            <c:numRef>
              <c:f>'Mastercurve bestimmen'!$N$404:$N$434</c:f>
              <c:numCache>
                <c:formatCode>0.00E+00</c:formatCode>
                <c:ptCount val="31"/>
                <c:pt idx="0">
                  <c:v>10455.125722169887</c:v>
                </c:pt>
                <c:pt idx="1">
                  <c:v>10216.758037955571</c:v>
                </c:pt>
                <c:pt idx="2">
                  <c:v>9990.8860283110862</c:v>
                </c:pt>
                <c:pt idx="3">
                  <c:v>9740.6929571272121</c:v>
                </c:pt>
                <c:pt idx="4">
                  <c:v>9486.1331326421696</c:v>
                </c:pt>
                <c:pt idx="5">
                  <c:v>9224.2999433670138</c:v>
                </c:pt>
                <c:pt idx="6">
                  <c:v>8983.6546151744242</c:v>
                </c:pt>
                <c:pt idx="7">
                  <c:v>8670.3934759322055</c:v>
                </c:pt>
                <c:pt idx="8">
                  <c:v>8318.7463719570296</c:v>
                </c:pt>
                <c:pt idx="9">
                  <c:v>7968.6744939632144</c:v>
                </c:pt>
                <c:pt idx="10">
                  <c:v>7682.4342615636733</c:v>
                </c:pt>
                <c:pt idx="11">
                  <c:v>7403.9105678680935</c:v>
                </c:pt>
                <c:pt idx="12">
                  <c:v>7132.2476769922887</c:v>
                </c:pt>
                <c:pt idx="13">
                  <c:v>6844.7384968439528</c:v>
                </c:pt>
                <c:pt idx="14">
                  <c:v>6572.6294407257219</c:v>
                </c:pt>
                <c:pt idx="15">
                  <c:v>6219.0027578185491</c:v>
                </c:pt>
                <c:pt idx="16">
                  <c:v>5690.6299745251627</c:v>
                </c:pt>
                <c:pt idx="17">
                  <c:v>4763.4711208275512</c:v>
                </c:pt>
                <c:pt idx="18">
                  <c:v>3748.4083561986595</c:v>
                </c:pt>
                <c:pt idx="19">
                  <c:v>2899.8712503562774</c:v>
                </c:pt>
                <c:pt idx="20">
                  <c:v>2207.9514817928284</c:v>
                </c:pt>
                <c:pt idx="21">
                  <c:v>1604.1263924000411</c:v>
                </c:pt>
                <c:pt idx="22">
                  <c:v>1123.4067588567204</c:v>
                </c:pt>
                <c:pt idx="23">
                  <c:v>780.76520754617513</c:v>
                </c:pt>
                <c:pt idx="24">
                  <c:v>582.0058323502866</c:v>
                </c:pt>
                <c:pt idx="25">
                  <c:v>477.43912435634792</c:v>
                </c:pt>
                <c:pt idx="26">
                  <c:v>428.31766172038903</c:v>
                </c:pt>
                <c:pt idx="27">
                  <c:v>398.6513774250231</c:v>
                </c:pt>
                <c:pt idx="28">
                  <c:v>385.25122525189607</c:v>
                </c:pt>
                <c:pt idx="29">
                  <c:v>372.90060316523403</c:v>
                </c:pt>
                <c:pt idx="30">
                  <c:v>356.83813776395743</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7.2452571176443726E-18</c:v>
                </c:pt>
                <c:pt idx="1">
                  <c:v>7.2452571176443729E-17</c:v>
                </c:pt>
                <c:pt idx="2">
                  <c:v>7.2452571176443734E-16</c:v>
                </c:pt>
                <c:pt idx="3">
                  <c:v>7.2452571176443724E-15</c:v>
                </c:pt>
                <c:pt idx="4">
                  <c:v>7.2452571176443718E-14</c:v>
                </c:pt>
                <c:pt idx="5">
                  <c:v>7.2452571176443731E-13</c:v>
                </c:pt>
                <c:pt idx="6">
                  <c:v>7.2452571176443729E-12</c:v>
                </c:pt>
                <c:pt idx="7">
                  <c:v>7.2452571176443735E-11</c:v>
                </c:pt>
                <c:pt idx="8">
                  <c:v>7.2452571176443725E-10</c:v>
                </c:pt>
                <c:pt idx="9">
                  <c:v>7.2452571176443727E-9</c:v>
                </c:pt>
                <c:pt idx="10">
                  <c:v>7.2452571176443738E-8</c:v>
                </c:pt>
                <c:pt idx="11">
                  <c:v>7.2452571176443728E-7</c:v>
                </c:pt>
                <c:pt idx="12">
                  <c:v>7.2452571176443728E-6</c:v>
                </c:pt>
                <c:pt idx="13">
                  <c:v>7.2452571176443724E-5</c:v>
                </c:pt>
                <c:pt idx="14">
                  <c:v>7.2452571176443727E-4</c:v>
                </c:pt>
                <c:pt idx="15">
                  <c:v>7.2452571176443731E-3</c:v>
                </c:pt>
                <c:pt idx="16">
                  <c:v>7.2452571176443728E-2</c:v>
                </c:pt>
                <c:pt idx="17">
                  <c:v>0.72452571176443725</c:v>
                </c:pt>
                <c:pt idx="18">
                  <c:v>7.245257117644373</c:v>
                </c:pt>
                <c:pt idx="19">
                  <c:v>72.452571176443726</c:v>
                </c:pt>
                <c:pt idx="20">
                  <c:v>724.52571176443723</c:v>
                </c:pt>
                <c:pt idx="21">
                  <c:v>7245.2571176443726</c:v>
                </c:pt>
                <c:pt idx="22">
                  <c:v>72452.571176443729</c:v>
                </c:pt>
                <c:pt idx="23">
                  <c:v>724525.71176443726</c:v>
                </c:pt>
                <c:pt idx="24">
                  <c:v>7245257.1176443724</c:v>
                </c:pt>
                <c:pt idx="25">
                  <c:v>72452571.176443726</c:v>
                </c:pt>
                <c:pt idx="26">
                  <c:v>724525711.76443732</c:v>
                </c:pt>
                <c:pt idx="27">
                  <c:v>7245257117.6443729</c:v>
                </c:pt>
                <c:pt idx="28">
                  <c:v>72452571176.443726</c:v>
                </c:pt>
                <c:pt idx="29">
                  <c:v>724525711764.43726</c:v>
                </c:pt>
                <c:pt idx="30">
                  <c:v>7245257117644.373</c:v>
                </c:pt>
              </c:numCache>
            </c:numRef>
          </c:xVal>
          <c:yVal>
            <c:numRef>
              <c:f>'Mastercurve bestimmen'!$O$404:$O$434</c:f>
              <c:numCache>
                <c:formatCode>0.00E+00</c:formatCode>
                <c:ptCount val="31"/>
                <c:pt idx="0">
                  <c:v>9761.2866745763949</c:v>
                </c:pt>
                <c:pt idx="1">
                  <c:v>9457.0352890406648</c:v>
                </c:pt>
                <c:pt idx="2">
                  <c:v>9203.9756041421206</c:v>
                </c:pt>
                <c:pt idx="3">
                  <c:v>8950.159395690147</c:v>
                </c:pt>
                <c:pt idx="4">
                  <c:v>8675.2521191856285</c:v>
                </c:pt>
                <c:pt idx="5">
                  <c:v>8343.5058150850455</c:v>
                </c:pt>
                <c:pt idx="6">
                  <c:v>7990.5188430178014</c:v>
                </c:pt>
                <c:pt idx="7">
                  <c:v>7680.5790598342728</c:v>
                </c:pt>
                <c:pt idx="8">
                  <c:v>7412.8102086341796</c:v>
                </c:pt>
                <c:pt idx="9">
                  <c:v>7140.1987157287695</c:v>
                </c:pt>
                <c:pt idx="10">
                  <c:v>6866.3570711275343</c:v>
                </c:pt>
                <c:pt idx="11">
                  <c:v>6590.7809918049779</c:v>
                </c:pt>
                <c:pt idx="12">
                  <c:v>6298.9484082003064</c:v>
                </c:pt>
                <c:pt idx="13">
                  <c:v>5945.6821100901007</c:v>
                </c:pt>
                <c:pt idx="14">
                  <c:v>5548.4424875147679</c:v>
                </c:pt>
                <c:pt idx="15">
                  <c:v>4973.8956031837224</c:v>
                </c:pt>
                <c:pt idx="16">
                  <c:v>4041.6864062630743</c:v>
                </c:pt>
                <c:pt idx="17">
                  <c:v>2997.7303823547541</c:v>
                </c:pt>
                <c:pt idx="18">
                  <c:v>2118.9396419195423</c:v>
                </c:pt>
                <c:pt idx="19">
                  <c:v>1431.9051140793895</c:v>
                </c:pt>
                <c:pt idx="20">
                  <c:v>967.83847313448518</c:v>
                </c:pt>
                <c:pt idx="21">
                  <c:v>675.63698437161315</c:v>
                </c:pt>
                <c:pt idx="22">
                  <c:v>531.67099399258564</c:v>
                </c:pt>
                <c:pt idx="23">
                  <c:v>453.91977153237434</c:v>
                </c:pt>
                <c:pt idx="24">
                  <c:v>417.85505040960345</c:v>
                </c:pt>
                <c:pt idx="25">
                  <c:v>391.91620643386665</c:v>
                </c:pt>
                <c:pt idx="26">
                  <c:v>379.02694798430821</c:v>
                </c:pt>
                <c:pt idx="27">
                  <c:v>367.59357086994629</c:v>
                </c:pt>
                <c:pt idx="28">
                  <c:v>348.16027376363564</c:v>
                </c:pt>
                <c:pt idx="29">
                  <c:v>346.81429429478277</c:v>
                </c:pt>
                <c:pt idx="30">
                  <c:v>343.74512434370951</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9039.8670430819093</c:v>
                </c:pt>
                <c:pt idx="1">
                  <c:v>8723.1350121775959</c:v>
                </c:pt>
                <c:pt idx="2">
                  <c:v>8412.4411255307823</c:v>
                </c:pt>
                <c:pt idx="3">
                  <c:v>8064.2181617455262</c:v>
                </c:pt>
                <c:pt idx="4">
                  <c:v>7728.4680221740073</c:v>
                </c:pt>
                <c:pt idx="5">
                  <c:v>7458.8734765357476</c:v>
                </c:pt>
                <c:pt idx="6">
                  <c:v>7186.4338001487413</c:v>
                </c:pt>
                <c:pt idx="7">
                  <c:v>6923.3670228065112</c:v>
                </c:pt>
                <c:pt idx="8">
                  <c:v>6642.6199774647403</c:v>
                </c:pt>
                <c:pt idx="9">
                  <c:v>6381.2467017614817</c:v>
                </c:pt>
                <c:pt idx="10">
                  <c:v>6048.4964574924006</c:v>
                </c:pt>
                <c:pt idx="11">
                  <c:v>5696.5517580815231</c:v>
                </c:pt>
                <c:pt idx="12">
                  <c:v>5284.0344872686346</c:v>
                </c:pt>
                <c:pt idx="13">
                  <c:v>4808.4059861038604</c:v>
                </c:pt>
                <c:pt idx="14">
                  <c:v>4180.5720256158129</c:v>
                </c:pt>
                <c:pt idx="15">
                  <c:v>3284.9966289927738</c:v>
                </c:pt>
                <c:pt idx="16">
                  <c:v>2245.2955925232422</c:v>
                </c:pt>
                <c:pt idx="17">
                  <c:v>1455.0382053123094</c:v>
                </c:pt>
                <c:pt idx="18">
                  <c:v>939.75400333325899</c:v>
                </c:pt>
                <c:pt idx="19">
                  <c:v>667.66248335298053</c:v>
                </c:pt>
                <c:pt idx="20">
                  <c:v>524.73653922891083</c:v>
                </c:pt>
                <c:pt idx="21">
                  <c:v>458.1071148045329</c:v>
                </c:pt>
                <c:pt idx="22">
                  <c:v>416.14335450856197</c:v>
                </c:pt>
                <c:pt idx="23">
                  <c:v>393.17885286775953</c:v>
                </c:pt>
                <c:pt idx="24">
                  <c:v>379.36405724647841</c:v>
                </c:pt>
                <c:pt idx="25">
                  <c:v>357.29334618358928</c:v>
                </c:pt>
                <c:pt idx="26">
                  <c:v>350.56361233759071</c:v>
                </c:pt>
                <c:pt idx="27">
                  <c:v>345.69227327199394</c:v>
                </c:pt>
                <c:pt idx="28">
                  <c:v>345.40832820533547</c:v>
                </c:pt>
                <c:pt idx="29">
                  <c:v>343.52176757284224</c:v>
                </c:pt>
                <c:pt idx="30">
                  <c:v>342.36979608181048</c:v>
                </c:pt>
              </c:numCache>
            </c:numRef>
          </c:yVal>
          <c:smooth val="1"/>
        </c:ser>
        <c:dLbls>
          <c:showLegendKey val="0"/>
          <c:showVal val="0"/>
          <c:showCatName val="0"/>
          <c:showSerName val="0"/>
          <c:showPercent val="0"/>
          <c:showBubbleSize val="0"/>
        </c:dLbls>
        <c:axId val="445312632"/>
        <c:axId val="445316160"/>
      </c:scatterChart>
      <c:valAx>
        <c:axId val="44531263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316160"/>
        <c:crosses val="autoZero"/>
        <c:crossBetween val="midCat"/>
      </c:valAx>
      <c:valAx>
        <c:axId val="445316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312632"/>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-21.521805240547501</c:v>
                </c:pt>
                <c:pt idx="1">
                  <c:v>-21.460492380066679</c:v>
                </c:pt>
                <c:pt idx="2">
                  <c:v>-21.399079023265717</c:v>
                </c:pt>
                <c:pt idx="3">
                  <c:v>-21.337464673824485</c:v>
                </c:pt>
                <c:pt idx="4">
                  <c:v>-21.275548835422843</c:v>
                </c:pt>
                <c:pt idx="5">
                  <c:v>-21.213231011740657</c:v>
                </c:pt>
                <c:pt idx="6">
                  <c:v>-21.150410706457784</c:v>
                </c:pt>
                <c:pt idx="7">
                  <c:v>-21.086987423254094</c:v>
                </c:pt>
                <c:pt idx="8">
                  <c:v>-21.02286066580945</c:v>
                </c:pt>
                <c:pt idx="9">
                  <c:v>-20.957929937803712</c:v>
                </c:pt>
                <c:pt idx="10">
                  <c:v>-20.892094742916747</c:v>
                </c:pt>
                <c:pt idx="11">
                  <c:v>-20.825254584828421</c:v>
                </c:pt>
                <c:pt idx="12">
                  <c:v>-20.757308967218592</c:v>
                </c:pt>
                <c:pt idx="13">
                  <c:v>-20.688157393767121</c:v>
                </c:pt>
                <c:pt idx="14">
                  <c:v>-20.617699368153879</c:v>
                </c:pt>
                <c:pt idx="15">
                  <c:v>-20.545834394058726</c:v>
                </c:pt>
                <c:pt idx="16">
                  <c:v>-20.472461975161526</c:v>
                </c:pt>
                <c:pt idx="17">
                  <c:v>-20.397481615142144</c:v>
                </c:pt>
                <c:pt idx="18">
                  <c:v>-20.320792817680442</c:v>
                </c:pt>
                <c:pt idx="19">
                  <c:v>-20.242295086456281</c:v>
                </c:pt>
                <c:pt idx="20">
                  <c:v>-20.161887925149529</c:v>
                </c:pt>
                <c:pt idx="21">
                  <c:v>-20.079470837440045</c:v>
                </c:pt>
                <c:pt idx="22">
                  <c:v>-19.994943327007697</c:v>
                </c:pt>
                <c:pt idx="23">
                  <c:v>-19.90820489753235</c:v>
                </c:pt>
                <c:pt idx="24">
                  <c:v>-19.819155052693858</c:v>
                </c:pt>
                <c:pt idx="25">
                  <c:v>-19.727693296172099</c:v>
                </c:pt>
                <c:pt idx="26">
                  <c:v>-19.633719131646924</c:v>
                </c:pt>
                <c:pt idx="27">
                  <c:v>-19.5371320627982</c:v>
                </c:pt>
                <c:pt idx="28">
                  <c:v>-19.437831593305791</c:v>
                </c:pt>
                <c:pt idx="29">
                  <c:v>-19.33571722684956</c:v>
                </c:pt>
                <c:pt idx="30">
                  <c:v>-19.230688467109374</c:v>
                </c:pt>
                <c:pt idx="31">
                  <c:v>-19.122644817765092</c:v>
                </c:pt>
                <c:pt idx="32">
                  <c:v>-19.011485782496582</c:v>
                </c:pt>
                <c:pt idx="33">
                  <c:v>-18.897110864983706</c:v>
                </c:pt>
                <c:pt idx="34">
                  <c:v>-18.779419568906324</c:v>
                </c:pt>
                <c:pt idx="35">
                  <c:v>-18.658311397944303</c:v>
                </c:pt>
                <c:pt idx="36">
                  <c:v>-18.533685855777502</c:v>
                </c:pt>
                <c:pt idx="37">
                  <c:v>-18.405442446085793</c:v>
                </c:pt>
                <c:pt idx="38">
                  <c:v>-18.273480672549034</c:v>
                </c:pt>
                <c:pt idx="39">
                  <c:v>-18.137700038847086</c:v>
                </c:pt>
                <c:pt idx="40">
                  <c:v>-17.998000048659822</c:v>
                </c:pt>
                <c:pt idx="41">
                  <c:v>-17.91764516831288</c:v>
                </c:pt>
                <c:pt idx="42">
                  <c:v>-17.833514683840257</c:v>
                </c:pt>
                <c:pt idx="43">
                  <c:v>-17.745852843921703</c:v>
                </c:pt>
                <c:pt idx="44">
                  <c:v>-17.654903897237016</c:v>
                </c:pt>
                <c:pt idx="45">
                  <c:v>-17.560912092465955</c:v>
                </c:pt>
                <c:pt idx="46">
                  <c:v>-17.464121678288294</c:v>
                </c:pt>
                <c:pt idx="47">
                  <c:v>-17.364776903383799</c:v>
                </c:pt>
                <c:pt idx="48">
                  <c:v>-17.263122016432245</c:v>
                </c:pt>
                <c:pt idx="49">
                  <c:v>-17.159401266113406</c:v>
                </c:pt>
                <c:pt idx="50">
                  <c:v>-17.053858901107056</c:v>
                </c:pt>
                <c:pt idx="51">
                  <c:v>-16.946739170092954</c:v>
                </c:pt>
                <c:pt idx="52">
                  <c:v>-16.838286321750886</c:v>
                </c:pt>
                <c:pt idx="53">
                  <c:v>-16.728744604760614</c:v>
                </c:pt>
                <c:pt idx="54">
                  <c:v>-16.618358267801909</c:v>
                </c:pt>
                <c:pt idx="55">
                  <c:v>-16.507371559554549</c:v>
                </c:pt>
                <c:pt idx="56">
                  <c:v>-16.396028728698305</c:v>
                </c:pt>
                <c:pt idx="57">
                  <c:v>-16.284574023912946</c:v>
                </c:pt>
                <c:pt idx="58">
                  <c:v>-16.173251693878239</c:v>
                </c:pt>
                <c:pt idx="59">
                  <c:v>-16.062305987273962</c:v>
                </c:pt>
                <c:pt idx="60">
                  <c:v>-15.951981152779886</c:v>
                </c:pt>
                <c:pt idx="61">
                  <c:v>-15.842521439075778</c:v>
                </c:pt>
                <c:pt idx="62">
                  <c:v>-15.734171094841415</c:v>
                </c:pt>
                <c:pt idx="63">
                  <c:v>-15.627174368756563</c:v>
                </c:pt>
                <c:pt idx="64">
                  <c:v>-15.521775509500996</c:v>
                </c:pt>
                <c:pt idx="65">
                  <c:v>-15.418218765754489</c:v>
                </c:pt>
                <c:pt idx="66">
                  <c:v>-15.316692080394901</c:v>
                </c:pt>
                <c:pt idx="67">
                  <c:v>-15.217158173092477</c:v>
                </c:pt>
                <c:pt idx="68">
                  <c:v>-15.11952345771555</c:v>
                </c:pt>
                <c:pt idx="69">
                  <c:v>-15.023694348132455</c:v>
                </c:pt>
                <c:pt idx="70">
                  <c:v>-14.92957725821153</c:v>
                </c:pt>
                <c:pt idx="71">
                  <c:v>-14.837078601821107</c:v>
                </c:pt>
                <c:pt idx="72">
                  <c:v>-14.746104792829518</c:v>
                </c:pt>
                <c:pt idx="73">
                  <c:v>-14.656562245105103</c:v>
                </c:pt>
                <c:pt idx="74">
                  <c:v>-14.568357372516193</c:v>
                </c:pt>
                <c:pt idx="75">
                  <c:v>-14.481396588931123</c:v>
                </c:pt>
                <c:pt idx="76">
                  <c:v>-14.395586308218235</c:v>
                </c:pt>
                <c:pt idx="77">
                  <c:v>-14.310832944245851</c:v>
                </c:pt>
                <c:pt idx="78">
                  <c:v>-14.227042910882314</c:v>
                </c:pt>
                <c:pt idx="79">
                  <c:v>-14.14412262199596</c:v>
                </c:pt>
                <c:pt idx="80">
                  <c:v>-14.061978491455118</c:v>
                </c:pt>
                <c:pt idx="81">
                  <c:v>-13.980516933128129</c:v>
                </c:pt>
                <c:pt idx="82">
                  <c:v>-13.899644360883322</c:v>
                </c:pt>
                <c:pt idx="83">
                  <c:v>-13.819267188589038</c:v>
                </c:pt>
                <c:pt idx="84">
                  <c:v>-13.739291830113604</c:v>
                </c:pt>
                <c:pt idx="85">
                  <c:v>-13.659624699325363</c:v>
                </c:pt>
                <c:pt idx="86">
                  <c:v>-13.580172210092645</c:v>
                </c:pt>
                <c:pt idx="87">
                  <c:v>-13.500840776283784</c:v>
                </c:pt>
                <c:pt idx="88">
                  <c:v>-13.421536811767119</c:v>
                </c:pt>
                <c:pt idx="89">
                  <c:v>-13.34216673041098</c:v>
                </c:pt>
                <c:pt idx="90">
                  <c:v>-13.262636946083706</c:v>
                </c:pt>
                <c:pt idx="91">
                  <c:v>-13.182863260205265</c:v>
                </c:pt>
                <c:pt idx="92">
                  <c:v>-13.102799024402184</c:v>
                </c:pt>
                <c:pt idx="93">
                  <c:v>-13.02240697785262</c:v>
                </c:pt>
                <c:pt idx="94">
                  <c:v>-12.941649859734735</c:v>
                </c:pt>
                <c:pt idx="95">
                  <c:v>-12.86049040922669</c:v>
                </c:pt>
                <c:pt idx="96">
                  <c:v>-12.778891365506645</c:v>
                </c:pt>
                <c:pt idx="97">
                  <c:v>-12.696815467752758</c:v>
                </c:pt>
                <c:pt idx="98">
                  <c:v>-12.614225455143192</c:v>
                </c:pt>
                <c:pt idx="99">
                  <c:v>-12.531084066856105</c:v>
                </c:pt>
                <c:pt idx="100">
                  <c:v>-12.447354042069659</c:v>
                </c:pt>
                <c:pt idx="101">
                  <c:v>-12.362998119962011</c:v>
                </c:pt>
                <c:pt idx="102">
                  <c:v>-12.277979039711326</c:v>
                </c:pt>
                <c:pt idx="103">
                  <c:v>-12.192259540495762</c:v>
                </c:pt>
                <c:pt idx="104">
                  <c:v>-12.105802361493478</c:v>
                </c:pt>
                <c:pt idx="105">
                  <c:v>-12.018570241882637</c:v>
                </c:pt>
                <c:pt idx="106">
                  <c:v>-11.930525920841397</c:v>
                </c:pt>
                <c:pt idx="107">
                  <c:v>-11.841632137547919</c:v>
                </c:pt>
                <c:pt idx="108">
                  <c:v>-11.751851631180365</c:v>
                </c:pt>
                <c:pt idx="109">
                  <c:v>-11.661147140916892</c:v>
                </c:pt>
                <c:pt idx="110">
                  <c:v>-11.569481405935662</c:v>
                </c:pt>
                <c:pt idx="111">
                  <c:v>-11.476817165414834</c:v>
                </c:pt>
                <c:pt idx="112">
                  <c:v>-11.383117158532571</c:v>
                </c:pt>
                <c:pt idx="113">
                  <c:v>-11.288344124467031</c:v>
                </c:pt>
                <c:pt idx="114">
                  <c:v>-11.192460802396376</c:v>
                </c:pt>
                <c:pt idx="115">
                  <c:v>-11.095429931498764</c:v>
                </c:pt>
                <c:pt idx="116">
                  <c:v>-10.997214250952355</c:v>
                </c:pt>
                <c:pt idx="117">
                  <c:v>-10.897776499935311</c:v>
                </c:pt>
                <c:pt idx="118">
                  <c:v>-10.797079417625794</c:v>
                </c:pt>
                <c:pt idx="119">
                  <c:v>-10.695085743201961</c:v>
                </c:pt>
                <c:pt idx="120">
                  <c:v>-10.591758215841974</c:v>
                </c:pt>
                <c:pt idx="121">
                  <c:v>-10.487070220658097</c:v>
                </c:pt>
                <c:pt idx="122">
                  <c:v>-10.381037726499011</c:v>
                </c:pt>
                <c:pt idx="123">
                  <c:v>-10.273687348147508</c:v>
                </c:pt>
                <c:pt idx="124">
                  <c:v>-10.16504570038637</c:v>
                </c:pt>
                <c:pt idx="125">
                  <c:v>-10.055139397998389</c:v>
                </c:pt>
                <c:pt idx="126">
                  <c:v>-9.9439950557663437</c:v>
                </c:pt>
                <c:pt idx="127">
                  <c:v>-9.8316392884730313</c:v>
                </c:pt>
                <c:pt idx="128">
                  <c:v>-9.7180987109012325</c:v>
                </c:pt>
                <c:pt idx="129">
                  <c:v>-9.6033999378337356</c:v>
                </c:pt>
                <c:pt idx="130">
                  <c:v>-9.4875695840533307</c:v>
                </c:pt>
                <c:pt idx="131">
                  <c:v>-9.3706342643428009</c:v>
                </c:pt>
                <c:pt idx="132">
                  <c:v>-9.2526205934849344</c:v>
                </c:pt>
                <c:pt idx="133">
                  <c:v>-9.1335551862625213</c:v>
                </c:pt>
                <c:pt idx="134">
                  <c:v>-9.0134646574583428</c:v>
                </c:pt>
                <c:pt idx="135">
                  <c:v>-8.8923756218551908</c:v>
                </c:pt>
                <c:pt idx="136">
                  <c:v>-8.7703146942358536</c:v>
                </c:pt>
                <c:pt idx="137">
                  <c:v>-8.6473084893831142</c:v>
                </c:pt>
                <c:pt idx="138">
                  <c:v>-8.5233836220797592</c:v>
                </c:pt>
                <c:pt idx="139">
                  <c:v>-8.3985667071085803</c:v>
                </c:pt>
                <c:pt idx="140">
                  <c:v>-8.2728843592523607</c:v>
                </c:pt>
                <c:pt idx="141">
                  <c:v>-8.1463631932938885</c:v>
                </c:pt>
                <c:pt idx="142">
                  <c:v>-8.0190298240159521</c:v>
                </c:pt>
                <c:pt idx="143">
                  <c:v>-7.8909108662013381</c:v>
                </c:pt>
                <c:pt idx="144">
                  <c:v>-7.7620329346328321</c:v>
                </c:pt>
                <c:pt idx="145">
                  <c:v>-7.6324226440932232</c:v>
                </c:pt>
                <c:pt idx="146">
                  <c:v>-7.5021066093652973</c:v>
                </c:pt>
                <c:pt idx="147">
                  <c:v>-7.3711114452318416</c:v>
                </c:pt>
                <c:pt idx="148">
                  <c:v>-7.2394637664756436</c:v>
                </c:pt>
                <c:pt idx="149">
                  <c:v>-7.1071901878794908</c:v>
                </c:pt>
                <c:pt idx="150">
                  <c:v>-6.9743173242261687</c:v>
                </c:pt>
                <c:pt idx="151">
                  <c:v>-6.8408717902984666</c:v>
                </c:pt>
                <c:pt idx="152">
                  <c:v>-6.7068802008791693</c:v>
                </c:pt>
                <c:pt idx="153">
                  <c:v>-6.572369170751065</c:v>
                </c:pt>
                <c:pt idx="154">
                  <c:v>-6.4373653146969412</c:v>
                </c:pt>
                <c:pt idx="155">
                  <c:v>-6.3018952474995853</c:v>
                </c:pt>
                <c:pt idx="156">
                  <c:v>-6.165985583941783</c:v>
                </c:pt>
                <c:pt idx="157">
                  <c:v>-6.0296629388063216</c:v>
                </c:pt>
                <c:pt idx="158">
                  <c:v>-5.8929539268759905</c:v>
                </c:pt>
                <c:pt idx="159">
                  <c:v>-5.7558851629335734</c:v>
                </c:pt>
                <c:pt idx="160">
                  <c:v>-5.6184832617618596</c:v>
                </c:pt>
                <c:pt idx="161">
                  <c:v>-5.4807748381436356</c:v>
                </c:pt>
                <c:pt idx="162">
                  <c:v>-5.3427865068616889</c:v>
                </c:pt>
                <c:pt idx="163">
                  <c:v>-5.2045448826988059</c:v>
                </c:pt>
                <c:pt idx="164">
                  <c:v>-5.066076580437775</c:v>
                </c:pt>
                <c:pt idx="165">
                  <c:v>-4.9274082148613809</c:v>
                </c:pt>
                <c:pt idx="166">
                  <c:v>-4.7885627909006745</c:v>
                </c:pt>
                <c:pt idx="167">
                  <c:v>-4.6495488740797528</c:v>
                </c:pt>
                <c:pt idx="168">
                  <c:v>-4.5103714200709764</c:v>
                </c:pt>
                <c:pt idx="169">
                  <c:v>-4.371035384546702</c:v>
                </c:pt>
                <c:pt idx="170">
                  <c:v>-4.2315457231792903</c:v>
                </c:pt>
                <c:pt idx="171">
                  <c:v>-4.0919073916411008</c:v>
                </c:pt>
                <c:pt idx="172">
                  <c:v>-3.9521253456044918</c:v>
                </c:pt>
                <c:pt idx="173">
                  <c:v>-3.8122045407418228</c:v>
                </c:pt>
                <c:pt idx="174">
                  <c:v>-3.6721499327254543</c:v>
                </c:pt>
                <c:pt idx="175">
                  <c:v>-3.5319664772277442</c:v>
                </c:pt>
                <c:pt idx="176">
                  <c:v>-3.3916591299210523</c:v>
                </c:pt>
                <c:pt idx="177">
                  <c:v>-3.2512328464777376</c:v>
                </c:pt>
                <c:pt idx="178">
                  <c:v>-3.1106925825701595</c:v>
                </c:pt>
                <c:pt idx="179">
                  <c:v>-2.970043293870678</c:v>
                </c:pt>
                <c:pt idx="180">
                  <c:v>-2.829289936051651</c:v>
                </c:pt>
                <c:pt idx="181">
                  <c:v>-2.688437464785439</c:v>
                </c:pt>
                <c:pt idx="182">
                  <c:v>-2.547490835744401</c:v>
                </c:pt>
                <c:pt idx="183">
                  <c:v>-2.4064550046008955</c:v>
                </c:pt>
                <c:pt idx="184">
                  <c:v>-2.2653349270272822</c:v>
                </c:pt>
                <c:pt idx="185">
                  <c:v>-2.124135558695921</c:v>
                </c:pt>
                <c:pt idx="186">
                  <c:v>-1.9828618552791706</c:v>
                </c:pt>
                <c:pt idx="187">
                  <c:v>-1.8415187724493904</c:v>
                </c:pt>
                <c:pt idx="188">
                  <c:v>-1.7001112658789392</c:v>
                </c:pt>
                <c:pt idx="189">
                  <c:v>-1.558644291240177</c:v>
                </c:pt>
                <c:pt idx="190">
                  <c:v>-1.4171228042054629</c:v>
                </c:pt>
                <c:pt idx="191">
                  <c:v>-1.275551760447156</c:v>
                </c:pt>
                <c:pt idx="192">
                  <c:v>-1.1339361156376155</c:v>
                </c:pt>
                <c:pt idx="193">
                  <c:v>-0.99228082544920082</c:v>
                </c:pt>
                <c:pt idx="194">
                  <c:v>-0.85059084555427134</c:v>
                </c:pt>
                <c:pt idx="195">
                  <c:v>-0.70887113162518611</c:v>
                </c:pt>
                <c:pt idx="196">
                  <c:v>-0.56712663933430452</c:v>
                </c:pt>
                <c:pt idx="197">
                  <c:v>-0.42536232435398585</c:v>
                </c:pt>
                <c:pt idx="198">
                  <c:v>-0.28358314235658938</c:v>
                </c:pt>
                <c:pt idx="199">
                  <c:v>-0.14179404901447432</c:v>
                </c:pt>
                <c:pt idx="200">
                  <c:v>0</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-21.521805240547501</c:v>
                </c:pt>
                <c:pt idx="1">
                  <c:v>-17.998000048659822</c:v>
                </c:pt>
                <c:pt idx="2">
                  <c:v>-15.418218765754489</c:v>
                </c:pt>
                <c:pt idx="3">
                  <c:v>-13.262636946083704</c:v>
                </c:pt>
                <c:pt idx="4">
                  <c:v>-10.591758215841974</c:v>
                </c:pt>
                <c:pt idx="5">
                  <c:v>-4.9274082148613809</c:v>
                </c:pt>
                <c:pt idx="6">
                  <c:v>0</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-200</c:v>
                </c:pt>
                <c:pt idx="1">
                  <c:v>-199</c:v>
                </c:pt>
                <c:pt idx="2">
                  <c:v>-198</c:v>
                </c:pt>
                <c:pt idx="3">
                  <c:v>-197</c:v>
                </c:pt>
                <c:pt idx="4">
                  <c:v>-196</c:v>
                </c:pt>
                <c:pt idx="5">
                  <c:v>-195</c:v>
                </c:pt>
                <c:pt idx="6">
                  <c:v>-194</c:v>
                </c:pt>
                <c:pt idx="7">
                  <c:v>-193</c:v>
                </c:pt>
                <c:pt idx="8">
                  <c:v>-192</c:v>
                </c:pt>
                <c:pt idx="9">
                  <c:v>-191</c:v>
                </c:pt>
                <c:pt idx="10">
                  <c:v>-190</c:v>
                </c:pt>
                <c:pt idx="11">
                  <c:v>-189</c:v>
                </c:pt>
                <c:pt idx="12">
                  <c:v>-188</c:v>
                </c:pt>
                <c:pt idx="13">
                  <c:v>-187</c:v>
                </c:pt>
                <c:pt idx="14">
                  <c:v>-186</c:v>
                </c:pt>
                <c:pt idx="15">
                  <c:v>-185</c:v>
                </c:pt>
                <c:pt idx="16">
                  <c:v>-184</c:v>
                </c:pt>
                <c:pt idx="17">
                  <c:v>-183</c:v>
                </c:pt>
                <c:pt idx="18">
                  <c:v>-182</c:v>
                </c:pt>
                <c:pt idx="19">
                  <c:v>-181</c:v>
                </c:pt>
                <c:pt idx="20">
                  <c:v>-180</c:v>
                </c:pt>
                <c:pt idx="21">
                  <c:v>-179</c:v>
                </c:pt>
                <c:pt idx="22">
                  <c:v>-178</c:v>
                </c:pt>
                <c:pt idx="23">
                  <c:v>-177</c:v>
                </c:pt>
                <c:pt idx="24">
                  <c:v>-176</c:v>
                </c:pt>
                <c:pt idx="25">
                  <c:v>-175</c:v>
                </c:pt>
                <c:pt idx="26">
                  <c:v>-174</c:v>
                </c:pt>
                <c:pt idx="27">
                  <c:v>-173</c:v>
                </c:pt>
                <c:pt idx="28">
                  <c:v>-172</c:v>
                </c:pt>
                <c:pt idx="29">
                  <c:v>-171</c:v>
                </c:pt>
                <c:pt idx="30">
                  <c:v>-170</c:v>
                </c:pt>
                <c:pt idx="31">
                  <c:v>-169</c:v>
                </c:pt>
                <c:pt idx="32">
                  <c:v>-168</c:v>
                </c:pt>
                <c:pt idx="33">
                  <c:v>-167</c:v>
                </c:pt>
                <c:pt idx="34">
                  <c:v>-166</c:v>
                </c:pt>
                <c:pt idx="35">
                  <c:v>-165</c:v>
                </c:pt>
                <c:pt idx="36">
                  <c:v>-164</c:v>
                </c:pt>
                <c:pt idx="37">
                  <c:v>-163</c:v>
                </c:pt>
                <c:pt idx="38">
                  <c:v>-162</c:v>
                </c:pt>
                <c:pt idx="39">
                  <c:v>-161</c:v>
                </c:pt>
                <c:pt idx="40">
                  <c:v>-160</c:v>
                </c:pt>
                <c:pt idx="41">
                  <c:v>-159</c:v>
                </c:pt>
                <c:pt idx="42">
                  <c:v>-158</c:v>
                </c:pt>
                <c:pt idx="43">
                  <c:v>-157</c:v>
                </c:pt>
                <c:pt idx="44">
                  <c:v>-156</c:v>
                </c:pt>
                <c:pt idx="45">
                  <c:v>-155</c:v>
                </c:pt>
                <c:pt idx="46">
                  <c:v>-154</c:v>
                </c:pt>
                <c:pt idx="47">
                  <c:v>-153</c:v>
                </c:pt>
                <c:pt idx="48">
                  <c:v>-152</c:v>
                </c:pt>
                <c:pt idx="49">
                  <c:v>-151</c:v>
                </c:pt>
                <c:pt idx="50">
                  <c:v>-150</c:v>
                </c:pt>
                <c:pt idx="51">
                  <c:v>-149</c:v>
                </c:pt>
                <c:pt idx="52">
                  <c:v>-148</c:v>
                </c:pt>
                <c:pt idx="53">
                  <c:v>-147</c:v>
                </c:pt>
                <c:pt idx="54">
                  <c:v>-146</c:v>
                </c:pt>
                <c:pt idx="55">
                  <c:v>-145</c:v>
                </c:pt>
                <c:pt idx="56">
                  <c:v>-144</c:v>
                </c:pt>
                <c:pt idx="57">
                  <c:v>-143</c:v>
                </c:pt>
                <c:pt idx="58">
                  <c:v>-142</c:v>
                </c:pt>
                <c:pt idx="59">
                  <c:v>-141</c:v>
                </c:pt>
                <c:pt idx="60">
                  <c:v>-140</c:v>
                </c:pt>
                <c:pt idx="61">
                  <c:v>-139</c:v>
                </c:pt>
                <c:pt idx="62">
                  <c:v>-138</c:v>
                </c:pt>
                <c:pt idx="63">
                  <c:v>-137</c:v>
                </c:pt>
                <c:pt idx="64">
                  <c:v>-136</c:v>
                </c:pt>
                <c:pt idx="65">
                  <c:v>-135</c:v>
                </c:pt>
                <c:pt idx="66">
                  <c:v>-134</c:v>
                </c:pt>
                <c:pt idx="67">
                  <c:v>-133</c:v>
                </c:pt>
                <c:pt idx="68">
                  <c:v>-132</c:v>
                </c:pt>
                <c:pt idx="69">
                  <c:v>-131</c:v>
                </c:pt>
                <c:pt idx="70">
                  <c:v>-130</c:v>
                </c:pt>
                <c:pt idx="71">
                  <c:v>-129</c:v>
                </c:pt>
                <c:pt idx="72">
                  <c:v>-128</c:v>
                </c:pt>
                <c:pt idx="73">
                  <c:v>-127</c:v>
                </c:pt>
                <c:pt idx="74">
                  <c:v>-126</c:v>
                </c:pt>
                <c:pt idx="75">
                  <c:v>-125</c:v>
                </c:pt>
                <c:pt idx="76">
                  <c:v>-124</c:v>
                </c:pt>
                <c:pt idx="77">
                  <c:v>-123</c:v>
                </c:pt>
                <c:pt idx="78">
                  <c:v>-122</c:v>
                </c:pt>
                <c:pt idx="79">
                  <c:v>-121</c:v>
                </c:pt>
                <c:pt idx="80">
                  <c:v>-120</c:v>
                </c:pt>
                <c:pt idx="81">
                  <c:v>-119</c:v>
                </c:pt>
                <c:pt idx="82">
                  <c:v>-118</c:v>
                </c:pt>
                <c:pt idx="83">
                  <c:v>-117</c:v>
                </c:pt>
                <c:pt idx="84">
                  <c:v>-116</c:v>
                </c:pt>
                <c:pt idx="85">
                  <c:v>-115</c:v>
                </c:pt>
                <c:pt idx="86">
                  <c:v>-114</c:v>
                </c:pt>
                <c:pt idx="87">
                  <c:v>-113</c:v>
                </c:pt>
                <c:pt idx="88">
                  <c:v>-112</c:v>
                </c:pt>
                <c:pt idx="89">
                  <c:v>-111</c:v>
                </c:pt>
                <c:pt idx="90">
                  <c:v>-110</c:v>
                </c:pt>
                <c:pt idx="91">
                  <c:v>-109</c:v>
                </c:pt>
                <c:pt idx="92">
                  <c:v>-108</c:v>
                </c:pt>
                <c:pt idx="93">
                  <c:v>-107</c:v>
                </c:pt>
                <c:pt idx="94">
                  <c:v>-106</c:v>
                </c:pt>
                <c:pt idx="95">
                  <c:v>-105</c:v>
                </c:pt>
                <c:pt idx="96">
                  <c:v>-104</c:v>
                </c:pt>
                <c:pt idx="97">
                  <c:v>-103</c:v>
                </c:pt>
                <c:pt idx="98">
                  <c:v>-102</c:v>
                </c:pt>
                <c:pt idx="99">
                  <c:v>-101</c:v>
                </c:pt>
                <c:pt idx="100">
                  <c:v>-100</c:v>
                </c:pt>
                <c:pt idx="101">
                  <c:v>-99</c:v>
                </c:pt>
                <c:pt idx="102">
                  <c:v>-98</c:v>
                </c:pt>
                <c:pt idx="103">
                  <c:v>-97</c:v>
                </c:pt>
                <c:pt idx="104">
                  <c:v>-96</c:v>
                </c:pt>
                <c:pt idx="105">
                  <c:v>-95</c:v>
                </c:pt>
                <c:pt idx="106">
                  <c:v>-94</c:v>
                </c:pt>
                <c:pt idx="107">
                  <c:v>-93</c:v>
                </c:pt>
                <c:pt idx="108">
                  <c:v>-92</c:v>
                </c:pt>
                <c:pt idx="109">
                  <c:v>-91</c:v>
                </c:pt>
                <c:pt idx="110">
                  <c:v>-90</c:v>
                </c:pt>
                <c:pt idx="111">
                  <c:v>-89</c:v>
                </c:pt>
                <c:pt idx="112">
                  <c:v>-88</c:v>
                </c:pt>
                <c:pt idx="113">
                  <c:v>-87</c:v>
                </c:pt>
                <c:pt idx="114">
                  <c:v>-86</c:v>
                </c:pt>
                <c:pt idx="115">
                  <c:v>-85</c:v>
                </c:pt>
                <c:pt idx="116">
                  <c:v>-84</c:v>
                </c:pt>
                <c:pt idx="117">
                  <c:v>-83</c:v>
                </c:pt>
                <c:pt idx="118">
                  <c:v>-82</c:v>
                </c:pt>
                <c:pt idx="119">
                  <c:v>-81</c:v>
                </c:pt>
                <c:pt idx="120">
                  <c:v>-80</c:v>
                </c:pt>
                <c:pt idx="121">
                  <c:v>-79</c:v>
                </c:pt>
                <c:pt idx="122">
                  <c:v>-78</c:v>
                </c:pt>
                <c:pt idx="123">
                  <c:v>-77</c:v>
                </c:pt>
                <c:pt idx="124">
                  <c:v>-76</c:v>
                </c:pt>
                <c:pt idx="125">
                  <c:v>-75</c:v>
                </c:pt>
                <c:pt idx="126">
                  <c:v>-74</c:v>
                </c:pt>
                <c:pt idx="127">
                  <c:v>-73</c:v>
                </c:pt>
                <c:pt idx="128">
                  <c:v>-72</c:v>
                </c:pt>
                <c:pt idx="129">
                  <c:v>-71</c:v>
                </c:pt>
                <c:pt idx="130">
                  <c:v>-70</c:v>
                </c:pt>
                <c:pt idx="131">
                  <c:v>-69</c:v>
                </c:pt>
                <c:pt idx="132">
                  <c:v>-68</c:v>
                </c:pt>
                <c:pt idx="133">
                  <c:v>-67</c:v>
                </c:pt>
                <c:pt idx="134">
                  <c:v>-66</c:v>
                </c:pt>
                <c:pt idx="135">
                  <c:v>-65</c:v>
                </c:pt>
                <c:pt idx="136">
                  <c:v>-64</c:v>
                </c:pt>
                <c:pt idx="137">
                  <c:v>-63</c:v>
                </c:pt>
                <c:pt idx="138">
                  <c:v>-62</c:v>
                </c:pt>
                <c:pt idx="139">
                  <c:v>-61</c:v>
                </c:pt>
                <c:pt idx="140">
                  <c:v>-60</c:v>
                </c:pt>
                <c:pt idx="141">
                  <c:v>-59</c:v>
                </c:pt>
                <c:pt idx="142">
                  <c:v>-58</c:v>
                </c:pt>
                <c:pt idx="143">
                  <c:v>-57</c:v>
                </c:pt>
                <c:pt idx="144">
                  <c:v>-56</c:v>
                </c:pt>
                <c:pt idx="145">
                  <c:v>-55</c:v>
                </c:pt>
                <c:pt idx="146">
                  <c:v>-54</c:v>
                </c:pt>
                <c:pt idx="147">
                  <c:v>-53</c:v>
                </c:pt>
                <c:pt idx="148">
                  <c:v>-52</c:v>
                </c:pt>
                <c:pt idx="149">
                  <c:v>-51</c:v>
                </c:pt>
                <c:pt idx="150">
                  <c:v>-50</c:v>
                </c:pt>
                <c:pt idx="151">
                  <c:v>-49</c:v>
                </c:pt>
                <c:pt idx="152">
                  <c:v>-48</c:v>
                </c:pt>
                <c:pt idx="153">
                  <c:v>-47</c:v>
                </c:pt>
                <c:pt idx="154">
                  <c:v>-46</c:v>
                </c:pt>
                <c:pt idx="155">
                  <c:v>-45</c:v>
                </c:pt>
                <c:pt idx="156">
                  <c:v>-44</c:v>
                </c:pt>
                <c:pt idx="157">
                  <c:v>-43</c:v>
                </c:pt>
                <c:pt idx="158">
                  <c:v>-42</c:v>
                </c:pt>
                <c:pt idx="159">
                  <c:v>-41</c:v>
                </c:pt>
                <c:pt idx="160">
                  <c:v>-40</c:v>
                </c:pt>
                <c:pt idx="161">
                  <c:v>-39</c:v>
                </c:pt>
                <c:pt idx="162">
                  <c:v>-38</c:v>
                </c:pt>
                <c:pt idx="163">
                  <c:v>-37</c:v>
                </c:pt>
                <c:pt idx="164">
                  <c:v>-36</c:v>
                </c:pt>
                <c:pt idx="165">
                  <c:v>-35</c:v>
                </c:pt>
                <c:pt idx="166">
                  <c:v>-34</c:v>
                </c:pt>
                <c:pt idx="167">
                  <c:v>-33</c:v>
                </c:pt>
                <c:pt idx="168">
                  <c:v>-32</c:v>
                </c:pt>
                <c:pt idx="169">
                  <c:v>-31</c:v>
                </c:pt>
                <c:pt idx="170">
                  <c:v>-30</c:v>
                </c:pt>
                <c:pt idx="171">
                  <c:v>-29</c:v>
                </c:pt>
                <c:pt idx="172">
                  <c:v>-28</c:v>
                </c:pt>
                <c:pt idx="173">
                  <c:v>-27</c:v>
                </c:pt>
                <c:pt idx="174">
                  <c:v>-26</c:v>
                </c:pt>
                <c:pt idx="175">
                  <c:v>-25</c:v>
                </c:pt>
                <c:pt idx="176">
                  <c:v>-24</c:v>
                </c:pt>
                <c:pt idx="177">
                  <c:v>-23</c:v>
                </c:pt>
                <c:pt idx="178">
                  <c:v>-22</c:v>
                </c:pt>
                <c:pt idx="179">
                  <c:v>-21</c:v>
                </c:pt>
                <c:pt idx="180">
                  <c:v>-20</c:v>
                </c:pt>
                <c:pt idx="181">
                  <c:v>-19</c:v>
                </c:pt>
                <c:pt idx="182">
                  <c:v>-18</c:v>
                </c:pt>
                <c:pt idx="183">
                  <c:v>-17</c:v>
                </c:pt>
                <c:pt idx="184">
                  <c:v>-16</c:v>
                </c:pt>
                <c:pt idx="185">
                  <c:v>-15</c:v>
                </c:pt>
                <c:pt idx="186">
                  <c:v>-14</c:v>
                </c:pt>
                <c:pt idx="187">
                  <c:v>-13</c:v>
                </c:pt>
                <c:pt idx="188">
                  <c:v>-12</c:v>
                </c:pt>
                <c:pt idx="189">
                  <c:v>-11</c:v>
                </c:pt>
                <c:pt idx="190">
                  <c:v>-10</c:v>
                </c:pt>
                <c:pt idx="191">
                  <c:v>-9</c:v>
                </c:pt>
                <c:pt idx="192">
                  <c:v>-8</c:v>
                </c:pt>
                <c:pt idx="193">
                  <c:v>-7</c:v>
                </c:pt>
                <c:pt idx="194">
                  <c:v>-6</c:v>
                </c:pt>
                <c:pt idx="195">
                  <c:v>-5</c:v>
                </c:pt>
                <c:pt idx="196">
                  <c:v>-4</c:v>
                </c:pt>
                <c:pt idx="197">
                  <c:v>-3</c:v>
                </c:pt>
                <c:pt idx="198">
                  <c:v>-2</c:v>
                </c:pt>
                <c:pt idx="199">
                  <c:v>-1</c:v>
                </c:pt>
                <c:pt idx="200">
                  <c:v>0</c:v>
                </c:pt>
              </c:numCache>
            </c:numRef>
          </c:xVal>
          <c:yVal>
            <c:numRef>
              <c:f>'Shiftfunktion bestimmen'!$F$222:$F$422</c:f>
              <c:numCache>
                <c:formatCode>General</c:formatCode>
                <c:ptCount val="201"/>
                <c:pt idx="0">
                  <c:v>-21.526583080134969</c:v>
                </c:pt>
                <c:pt idx="1">
                  <c:v>-21.460789147418382</c:v>
                </c:pt>
                <c:pt idx="2">
                  <c:v>-21.396839132436071</c:v>
                </c:pt>
                <c:pt idx="3">
                  <c:v>-21.334203363351889</c:v>
                </c:pt>
                <c:pt idx="4">
                  <c:v>-21.272400364696523</c:v>
                </c:pt>
                <c:pt idx="5">
                  <c:v>-21.210994310148749</c:v>
                </c:pt>
                <c:pt idx="6">
                  <c:v>-21.149592559674034</c:v>
                </c:pt>
                <c:pt idx="7">
                  <c:v>-21.087843279373715</c:v>
                </c:pt>
                <c:pt idx="8">
                  <c:v>-21.025433142398015</c:v>
                </c:pt>
                <c:pt idx="9">
                  <c:v>-20.962085109289092</c:v>
                </c:pt>
                <c:pt idx="10">
                  <c:v>-20.897556286136705</c:v>
                </c:pt>
                <c:pt idx="11">
                  <c:v>-20.83163585895511</c:v>
                </c:pt>
                <c:pt idx="12">
                  <c:v>-20.764143102686376</c:v>
                </c:pt>
                <c:pt idx="13">
                  <c:v>-20.694925463271034</c:v>
                </c:pt>
                <c:pt idx="14">
                  <c:v>-20.623856711213534</c:v>
                </c:pt>
                <c:pt idx="15">
                  <c:v>-20.550835165125136</c:v>
                </c:pt>
                <c:pt idx="16">
                  <c:v>-20.475781983704451</c:v>
                </c:pt>
                <c:pt idx="17">
                  <c:v>-20.398639524646455</c:v>
                </c:pt>
                <c:pt idx="18">
                  <c:v>-20.319369768995273</c:v>
                </c:pt>
                <c:pt idx="19">
                  <c:v>-20.237952809449666</c:v>
                </c:pt>
                <c:pt idx="20">
                  <c:v>-20.154385401167133</c:v>
                </c:pt>
                <c:pt idx="21">
                  <c:v>-20.068679573607767</c:v>
                </c:pt>
                <c:pt idx="22">
                  <c:v>-19.980861301994821</c:v>
                </c:pt>
                <c:pt idx="23">
                  <c:v>-19.890969236959563</c:v>
                </c:pt>
                <c:pt idx="24">
                  <c:v>-19.799053490981009</c:v>
                </c:pt>
                <c:pt idx="25">
                  <c:v>-19.705174480220421</c:v>
                </c:pt>
                <c:pt idx="26">
                  <c:v>-19.609401820381777</c:v>
                </c:pt>
                <c:pt idx="27">
                  <c:v>-19.511813275238353</c:v>
                </c:pt>
                <c:pt idx="28">
                  <c:v>-19.412493756484537</c:v>
                </c:pt>
                <c:pt idx="29">
                  <c:v>-19.311534373580514</c:v>
                </c:pt>
                <c:pt idx="30">
                  <c:v>-19.209031532277265</c:v>
                </c:pt>
                <c:pt idx="31">
                  <c:v>-19.105086080528991</c:v>
                </c:pt>
                <c:pt idx="32">
                  <c:v>-18.999802500499698</c:v>
                </c:pt>
                <c:pt idx="33">
                  <c:v>-18.893288145406672</c:v>
                </c:pt>
                <c:pt idx="34">
                  <c:v>-18.785652519938992</c:v>
                </c:pt>
                <c:pt idx="35">
                  <c:v>-18.677006603021823</c:v>
                </c:pt>
                <c:pt idx="36">
                  <c:v>-18.567462211693368</c:v>
                </c:pt>
                <c:pt idx="37">
                  <c:v>-18.457131404898007</c:v>
                </c:pt>
                <c:pt idx="38">
                  <c:v>-18.346125925994272</c:v>
                </c:pt>
                <c:pt idx="39">
                  <c:v>-18.234556682803941</c:v>
                </c:pt>
                <c:pt idx="40">
                  <c:v>-18.122533264041323</c:v>
                </c:pt>
                <c:pt idx="41">
                  <c:v>-18.010163490970626</c:v>
                </c:pt>
                <c:pt idx="42">
                  <c:v>-17.897553003165399</c:v>
                </c:pt>
                <c:pt idx="43">
                  <c:v>-17.784804877247808</c:v>
                </c:pt>
                <c:pt idx="44">
                  <c:v>-17.67201927750753</c:v>
                </c:pt>
                <c:pt idx="45">
                  <c:v>-17.559293137314754</c:v>
                </c:pt>
                <c:pt idx="46">
                  <c:v>-17.446719870253503</c:v>
                </c:pt>
                <c:pt idx="47">
                  <c:v>-17.334389109920664</c:v>
                </c:pt>
                <c:pt idx="48">
                  <c:v>-17.222386477345566</c:v>
                </c:pt>
                <c:pt idx="49">
                  <c:v>-17.110793375007404</c:v>
                </c:pt>
                <c:pt idx="50">
                  <c:v>-16.999686806437978</c:v>
                </c:pt>
                <c:pt idx="51">
                  <c:v>-16.88913922041128</c:v>
                </c:pt>
                <c:pt idx="52">
                  <c:v>-16.77921837874274</c:v>
                </c:pt>
                <c:pt idx="53">
                  <c:v>-16.669987246727302</c:v>
                </c:pt>
                <c:pt idx="54">
                  <c:v>-16.561503905269404</c:v>
                </c:pt>
                <c:pt idx="55">
                  <c:v>-16.453821483766959</c:v>
                </c:pt>
                <c:pt idx="56">
                  <c:v>-16.346988112827901</c:v>
                </c:pt>
                <c:pt idx="57">
                  <c:v>-16.241046895914891</c:v>
                </c:pt>
                <c:pt idx="58">
                  <c:v>-16.136035899027981</c:v>
                </c:pt>
                <c:pt idx="59">
                  <c:v>-16.031988157546863</c:v>
                </c:pt>
                <c:pt idx="60">
                  <c:v>-15.928931699376143</c:v>
                </c:pt>
                <c:pt idx="61">
                  <c:v>-15.826889583544308</c:v>
                </c:pt>
                <c:pt idx="62">
                  <c:v>-15.725879953430159</c:v>
                </c:pt>
                <c:pt idx="63">
                  <c:v>-15.625916103797465</c:v>
                </c:pt>
                <c:pt idx="64">
                  <c:v>-15.527006560841258</c:v>
                </c:pt>
                <c:pt idx="65">
                  <c:v>-15.429155174458351</c:v>
                </c:pt>
                <c:pt idx="66">
                  <c:v>-15.332361221973663</c:v>
                </c:pt>
                <c:pt idx="67">
                  <c:v>-15.236619522567104</c:v>
                </c:pt>
                <c:pt idx="68">
                  <c:v>-15.141920561660356</c:v>
                </c:pt>
                <c:pt idx="69">
                  <c:v>-15.048250624541197</c:v>
                </c:pt>
                <c:pt idx="70">
                  <c:v>-14.955591938513226</c:v>
                </c:pt>
                <c:pt idx="71">
                  <c:v>-14.863922822879196</c:v>
                </c:pt>
                <c:pt idx="72">
                  <c:v>-14.773217846075987</c:v>
                </c:pt>
                <c:pt idx="73">
                  <c:v>-14.683447989299136</c:v>
                </c:pt>
                <c:pt idx="74">
                  <c:v>-14.594580815967003</c:v>
                </c:pt>
                <c:pt idx="75">
                  <c:v>-14.506580646390383</c:v>
                </c:pt>
                <c:pt idx="76">
                  <c:v>-14.419408737028728</c:v>
                </c:pt>
                <c:pt idx="77">
                  <c:v>-14.333023463729234</c:v>
                </c:pt>
                <c:pt idx="78">
                  <c:v>-14.247380508360532</c:v>
                </c:pt>
                <c:pt idx="79">
                  <c:v>-14.162433048266024</c:v>
                </c:pt>
                <c:pt idx="80">
                  <c:v>-14.07813194797993</c:v>
                </c:pt>
                <c:pt idx="81">
                  <c:v>-13.994425952661445</c:v>
                </c:pt>
                <c:pt idx="82">
                  <c:v>-13.911261882718961</c:v>
                </c:pt>
                <c:pt idx="83">
                  <c:v>-13.828584829111396</c:v>
                </c:pt>
                <c:pt idx="84">
                  <c:v>-13.746338348828111</c:v>
                </c:pt>
                <c:pt idx="85">
                  <c:v>-13.664464660064517</c:v>
                </c:pt>
                <c:pt idx="86">
                  <c:v>-13.582904836625245</c:v>
                </c:pt>
                <c:pt idx="87">
                  <c:v>-13.501599001102246</c:v>
                </c:pt>
                <c:pt idx="88">
                  <c:v>-13.420486516389744</c:v>
                </c:pt>
                <c:pt idx="89">
                  <c:v>-13.339506175113721</c:v>
                </c:pt>
                <c:pt idx="90">
                  <c:v>-13.258596386568028</c:v>
                </c:pt>
                <c:pt idx="91">
                  <c:v>-13.177695360764673</c:v>
                </c:pt>
                <c:pt idx="92">
                  <c:v>-13.096741289221113</c:v>
                </c:pt>
                <c:pt idx="93">
                  <c:v>-13.015672522121854</c:v>
                </c:pt>
                <c:pt idx="94">
                  <c:v>-12.934427741507712</c:v>
                </c:pt>
                <c:pt idx="95">
                  <c:v>-12.852946130160035</c:v>
                </c:pt>
                <c:pt idx="96">
                  <c:v>-12.771167535863157</c:v>
                </c:pt>
                <c:pt idx="97">
                  <c:v>-12.689032630743315</c:v>
                </c:pt>
                <c:pt idx="98">
                  <c:v>-12.60648306539686</c:v>
                </c:pt>
                <c:pt idx="99">
                  <c:v>-12.523461617536245</c:v>
                </c:pt>
                <c:pt idx="100">
                  <c:v>-12.439912334897105</c:v>
                </c:pt>
                <c:pt idx="101">
                  <c:v>-12.355780672164961</c:v>
                </c:pt>
                <c:pt idx="102">
                  <c:v>-12.271013621694987</c:v>
                </c:pt>
                <c:pt idx="103">
                  <c:v>-12.185559837813541</c:v>
                </c:pt>
                <c:pt idx="104">
                  <c:v>-12.099369754505238</c:v>
                </c:pt>
                <c:pt idx="105">
                  <c:v>-12.012395696304466</c:v>
                </c:pt>
                <c:pt idx="106">
                  <c:v>-11.924591982224966</c:v>
                </c:pt>
                <c:pt idx="107">
                  <c:v>-11.835915022577128</c:v>
                </c:pt>
                <c:pt idx="108">
                  <c:v>-11.74632340853635</c:v>
                </c:pt>
                <c:pt idx="109">
                  <c:v>-11.655777994342476</c:v>
                </c:pt>
                <c:pt idx="110">
                  <c:v>-11.564241972023952</c:v>
                </c:pt>
                <c:pt idx="111">
                  <c:v>-11.471680938556622</c:v>
                </c:pt>
                <c:pt idx="112">
                  <c:v>-11.378062955381388</c:v>
                </c:pt>
                <c:pt idx="113">
                  <c:v>-11.283358600220449</c:v>
                </c:pt>
                <c:pt idx="114">
                  <c:v>-11.187541011146827</c:v>
                </c:pt>
                <c:pt idx="115">
                  <c:v>-11.090585922876947</c:v>
                </c:pt>
                <c:pt idx="116">
                  <c:v>-10.992471695271167</c:v>
                </c:pt>
                <c:pt idx="117">
                  <c:v>-10.89317933404233</c:v>
                </c:pt>
                <c:pt idx="118">
                  <c:v>-10.792692503687277</c:v>
                </c:pt>
                <c:pt idx="119">
                  <c:v>-10.690997532671636</c:v>
                </c:pt>
                <c:pt idx="120">
                  <c:v>-10.588083410913136</c:v>
                </c:pt>
                <c:pt idx="121">
                  <c:v>-10.48394177962374</c:v>
                </c:pt>
                <c:pt idx="122">
                  <c:v>-10.378566913586194</c:v>
                </c:pt>
                <c:pt idx="123">
                  <c:v>-10.271955695955436</c:v>
                </c:pt>
                <c:pt idx="124">
                  <c:v>-10.164107585690649</c:v>
                </c:pt>
                <c:pt idx="125">
                  <c:v>-10.055024577738568</c:v>
                </c:pt>
                <c:pt idx="126">
                  <c:v>-9.9447111561040433</c:v>
                </c:pt>
                <c:pt idx="127">
                  <c:v>-9.833174239958705</c:v>
                </c:pt>
                <c:pt idx="128">
                  <c:v>-9.7204231229537967</c:v>
                </c:pt>
                <c:pt idx="129">
                  <c:v>-9.6064694059183591</c:v>
                </c:pt>
                <c:pt idx="130">
                  <c:v>-9.4913269231389368</c:v>
                </c:pt>
                <c:pt idx="131">
                  <c:v>-9.3750116624321791</c:v>
                </c:pt>
                <c:pt idx="132">
                  <c:v>-9.2575416792367466</c:v>
                </c:pt>
                <c:pt idx="133">
                  <c:v>-9.1389370049660403</c:v>
                </c:pt>
                <c:pt idx="134">
                  <c:v>-9.0192195498784145</c:v>
                </c:pt>
                <c:pt idx="135">
                  <c:v>-8.8984130007364772</c:v>
                </c:pt>
                <c:pt idx="136">
                  <c:v>-8.7765427135424297</c:v>
                </c:pt>
                <c:pt idx="137">
                  <c:v>-8.6536356016512492</c:v>
                </c:pt>
                <c:pt idx="138">
                  <c:v>-8.5297200195787291</c:v>
                </c:pt>
                <c:pt idx="139">
                  <c:v>-8.4048256428365224</c:v>
                </c:pt>
                <c:pt idx="140">
                  <c:v>-8.278983344141297</c:v>
                </c:pt>
                <c:pt idx="141">
                  <c:v>-8.1522250663603835</c:v>
                </c:pt>
                <c:pt idx="142">
                  <c:v>-8.0245836925712037</c:v>
                </c:pt>
                <c:pt idx="143">
                  <c:v>-7.8960929136270419</c:v>
                </c:pt>
                <c:pt idx="144">
                  <c:v>-7.7667870936366725</c:v>
                </c:pt>
                <c:pt idx="145">
                  <c:v>-7.636701133780524</c:v>
                </c:pt>
                <c:pt idx="146">
                  <c:v>-7.5058703349011893</c:v>
                </c:pt>
                <c:pt idx="147">
                  <c:v>-7.3743302593210647</c:v>
                </c:pt>
                <c:pt idx="148">
                  <c:v>-7.2421165923551474</c:v>
                </c:pt>
                <c:pt idx="149">
                  <c:v>-7.1092650040019914</c:v>
                </c:pt>
                <c:pt idx="150">
                  <c:v>-6.9758110113109941</c:v>
                </c:pt>
                <c:pt idx="151">
                  <c:v>-6.8417898419392609</c:v>
                </c:pt>
                <c:pt idx="152">
                  <c:v>-6.7072362994263486</c:v>
                </c:pt>
                <c:pt idx="153">
                  <c:v>-6.5721846307303746</c:v>
                </c:pt>
                <c:pt idx="154">
                  <c:v>-6.4366683965839897</c:v>
                </c:pt>
                <c:pt idx="155">
                  <c:v>-6.3007203452438194</c:v>
                </c:pt>
                <c:pt idx="156">
                  <c:v>-6.1643722902221576</c:v>
                </c:pt>
                <c:pt idx="157">
                  <c:v>-6.027654992604659</c:v>
                </c:pt>
                <c:pt idx="158">
                  <c:v>-5.8905980485729934</c:v>
                </c:pt>
                <c:pt idx="159">
                  <c:v>-5.753229782766434</c:v>
                </c:pt>
                <c:pt idx="160">
                  <c:v>-5.6155771481315115</c:v>
                </c:pt>
                <c:pt idx="161">
                  <c:v>-5.4776656329239124</c:v>
                </c:pt>
                <c:pt idx="162">
                  <c:v>-5.3395191755419198</c:v>
                </c:pt>
                <c:pt idx="163">
                  <c:v>-5.2011600878857971</c:v>
                </c:pt>
                <c:pt idx="164">
                  <c:v>-5.0626089879525891</c:v>
                </c:pt>
                <c:pt idx="165">
                  <c:v>-4.9238847423909178</c:v>
                </c:pt>
                <c:pt idx="166">
                  <c:v>-4.7850044197554684</c:v>
                </c:pt>
                <c:pt idx="167">
                  <c:v>-4.6459832552159179</c:v>
                </c:pt>
                <c:pt idx="168">
                  <c:v>-4.5068346274901874</c:v>
                </c:pt>
                <c:pt idx="169">
                  <c:v>-4.3675700487869689</c:v>
                </c:pt>
                <c:pt idx="170">
                  <c:v>-4.2281991685575964</c:v>
                </c:pt>
                <c:pt idx="171">
                  <c:v>-4.0887297918724226</c:v>
                </c:pt>
                <c:pt idx="172">
                  <c:v>-3.9491679132519253</c:v>
                </c:pt>
                <c:pt idx="173">
                  <c:v>-3.8095177667979203</c:v>
                </c:pt>
                <c:pt idx="174">
                  <c:v>-3.6697818934852973</c:v>
                </c:pt>
                <c:pt idx="175">
                  <c:v>-3.5299612264898337</c:v>
                </c:pt>
                <c:pt idx="176">
                  <c:v>-3.3900551954427076</c:v>
                </c:pt>
                <c:pt idx="177">
                  <c:v>-3.2500618505174454</c:v>
                </c:pt>
                <c:pt idx="178">
                  <c:v>-3.1099780072701297</c:v>
                </c:pt>
                <c:pt idx="179">
                  <c:v>-2.9697994131687699</c:v>
                </c:pt>
                <c:pt idx="180">
                  <c:v>-2.8295209367628749</c:v>
                </c:pt>
                <c:pt idx="181">
                  <c:v>-2.6891367804593291</c:v>
                </c:pt>
                <c:pt idx="182">
                  <c:v>-2.5486407178857644</c:v>
                </c:pt>
                <c:pt idx="183">
                  <c:v>-2.4080263568377549</c:v>
                </c:pt>
                <c:pt idx="184">
                  <c:v>-2.267287428821211</c:v>
                </c:pt>
                <c:pt idx="185">
                  <c:v>-2.1264181062164798</c:v>
                </c:pt>
                <c:pt idx="186">
                  <c:v>-1.9854133481057299</c:v>
                </c:pt>
                <c:pt idx="187">
                  <c:v>-1.8442692758203216</c:v>
                </c:pt>
                <c:pt idx="188">
                  <c:v>-1.7029835792799148</c:v>
                </c:pt>
                <c:pt idx="189">
                  <c:v>-1.5615559552102218</c:v>
                </c:pt>
                <c:pt idx="190">
                  <c:v>-1.4199885783413562</c:v>
                </c:pt>
                <c:pt idx="191">
                  <c:v>-1.2782866067038479</c:v>
                </c:pt>
                <c:pt idx="192">
                  <c:v>-1.136458722154492</c:v>
                </c:pt>
                <c:pt idx="193">
                  <c:v>-0.99451770727928679</c:v>
                </c:pt>
                <c:pt idx="194">
                  <c:v>-0.85248105983581479</c:v>
                </c:pt>
                <c:pt idx="195">
                  <c:v>-0.71037164591251223</c:v>
                </c:pt>
                <c:pt idx="196">
                  <c:v>-0.56821839299738108</c:v>
                </c:pt>
                <c:pt idx="197">
                  <c:v>-0.42605702416377517</c:v>
                </c:pt>
                <c:pt idx="198">
                  <c:v>-0.2839308345960016</c:v>
                </c:pt>
                <c:pt idx="199">
                  <c:v>-0.14189151169256745</c:v>
                </c:pt>
                <c:pt idx="200">
                  <c:v>0</c:v>
                </c:pt>
              </c:numCache>
            </c:numRef>
          </c:yVal>
          <c:smooth val="1"/>
        </c:ser>
        <c:dLbls>
          <c:showLegendKey val="0"/>
          <c:showVal val="0"/>
          <c:showCatName val="0"/>
          <c:showSerName val="0"/>
          <c:showPercent val="0"/>
          <c:showBubbleSize val="0"/>
        </c:dLbls>
        <c:axId val="445314984"/>
        <c:axId val="445315376"/>
      </c:scatterChart>
      <c:valAx>
        <c:axId val="445314984"/>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315376"/>
        <c:crossesAt val="-1000"/>
        <c:crossBetween val="midCat"/>
      </c:valAx>
      <c:valAx>
        <c:axId val="445315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314984"/>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K24" sqref="K24"/>
    </sheetView>
  </sheetViews>
  <sheetFormatPr baseColWidth="10" defaultRowHeight="15" x14ac:dyDescent="0.25"/>
  <cols>
    <col min="1" max="1" width="22.140625" customWidth="1"/>
  </cols>
  <sheetData>
    <row r="1" spans="1:13" x14ac:dyDescent="0.25">
      <c r="A1" s="13" t="s">
        <v>102</v>
      </c>
      <c r="B1" s="63" t="s">
        <v>163</v>
      </c>
      <c r="D1" t="s">
        <v>103</v>
      </c>
    </row>
    <row r="2" spans="1:13" x14ac:dyDescent="0.25">
      <c r="A2" s="13" t="s">
        <v>104</v>
      </c>
      <c r="B2" s="63" t="s">
        <v>105</v>
      </c>
      <c r="D2" s="111" t="s">
        <v>106</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154</v>
      </c>
      <c r="B20" s="99">
        <f>CTE!N5</f>
        <v>0.5</v>
      </c>
    </row>
    <row r="21" spans="1:2" s="11" customFormat="1" x14ac:dyDescent="0.25">
      <c r="A21" s="61" t="s">
        <v>155</v>
      </c>
      <c r="B21" s="99">
        <f>CTE!N6-0.5</f>
        <v>151</v>
      </c>
    </row>
    <row r="22" spans="1:2" s="11" customFormat="1" x14ac:dyDescent="0.25">
      <c r="A22" s="61" t="s">
        <v>156</v>
      </c>
      <c r="B22" s="99">
        <f>CTE!N8-0.5</f>
        <v>161</v>
      </c>
    </row>
    <row r="23" spans="1:2" s="11" customFormat="1" x14ac:dyDescent="0.25">
      <c r="A23" s="61" t="s">
        <v>157</v>
      </c>
      <c r="B23" s="99">
        <f>CTE!N9</f>
        <v>180.5</v>
      </c>
    </row>
    <row r="24" spans="1:2" s="11" customFormat="1" x14ac:dyDescent="0.25"/>
    <row r="25" spans="1:2" s="11" customFormat="1" x14ac:dyDescent="0.25">
      <c r="A25" s="61" t="s">
        <v>146</v>
      </c>
      <c r="B25" s="53">
        <f>CTE!O5</f>
        <v>1.9566746857142857E-5</v>
      </c>
    </row>
    <row r="26" spans="1:2" s="11" customFormat="1" x14ac:dyDescent="0.25">
      <c r="A26" s="61" t="s">
        <v>147</v>
      </c>
      <c r="B26" s="53">
        <f>CTE!O6</f>
        <v>2.1190465714285718E-5</v>
      </c>
    </row>
    <row r="27" spans="1:2" s="11" customFormat="1" x14ac:dyDescent="0.25">
      <c r="A27" s="61" t="s">
        <v>148</v>
      </c>
      <c r="B27" s="53">
        <f>CTE!O8</f>
        <v>5.3153978285714289E-5</v>
      </c>
    </row>
    <row r="28" spans="1:2" s="11" customFormat="1" x14ac:dyDescent="0.25">
      <c r="A28" s="61" t="s">
        <v>149</v>
      </c>
      <c r="B28" s="53">
        <f>CTE!O9</f>
        <v>5.310945314285715E-5</v>
      </c>
    </row>
    <row r="29" spans="1:2" s="11" customFormat="1" x14ac:dyDescent="0.25">
      <c r="A29" s="61"/>
    </row>
    <row r="30" spans="1:2" s="11" customFormat="1" x14ac:dyDescent="0.25">
      <c r="A30" s="61" t="s">
        <v>150</v>
      </c>
      <c r="B30" s="52">
        <f>CTE!P5</f>
        <v>1.9838334999999999E-5</v>
      </c>
    </row>
    <row r="31" spans="1:2" s="11" customFormat="1" x14ac:dyDescent="0.25">
      <c r="A31" s="61" t="s">
        <v>151</v>
      </c>
      <c r="B31" s="52">
        <f>CTE!P6</f>
        <v>2.1019518444444445E-5</v>
      </c>
    </row>
    <row r="32" spans="1:2" s="11" customFormat="1" x14ac:dyDescent="0.25">
      <c r="A32" s="61" t="s">
        <v>152</v>
      </c>
      <c r="B32" s="52">
        <f>CTE!P8</f>
        <v>4.2214975555555561E-5</v>
      </c>
    </row>
    <row r="33" spans="1:2" s="11" customFormat="1" x14ac:dyDescent="0.25">
      <c r="A33" s="61" t="s">
        <v>153</v>
      </c>
      <c r="B33" s="52">
        <f>CTE!P9</f>
        <v>4.2465003333333332E-5</v>
      </c>
    </row>
    <row r="34" spans="1:2" s="11" customFormat="1" x14ac:dyDescent="0.25"/>
    <row r="35" spans="1:2" s="11" customFormat="1" x14ac:dyDescent="0.25">
      <c r="A35" s="11" t="s">
        <v>56</v>
      </c>
    </row>
    <row r="36" spans="1:2" s="11" customFormat="1" x14ac:dyDescent="0.25">
      <c r="A36" s="11" t="s">
        <v>158</v>
      </c>
    </row>
    <row r="37" spans="1:2" s="11" customFormat="1" x14ac:dyDescent="0.25">
      <c r="A37" s="11" t="s">
        <v>159</v>
      </c>
    </row>
    <row r="38" spans="1:2" s="11" customFormat="1" x14ac:dyDescent="0.25">
      <c r="A38" s="11" t="s">
        <v>160</v>
      </c>
    </row>
    <row r="39" spans="1:2" s="11" customFormat="1" x14ac:dyDescent="0.25">
      <c r="A39" s="11" t="s">
        <v>161</v>
      </c>
    </row>
    <row r="40" spans="1:2" s="11" customFormat="1" x14ac:dyDescent="0.25"/>
    <row r="41" spans="1:2" s="11" customFormat="1" x14ac:dyDescent="0.25">
      <c r="A41" s="11" t="s">
        <v>57</v>
      </c>
    </row>
    <row r="42" spans="1:2" s="11" customFormat="1" x14ac:dyDescent="0.25">
      <c r="A42" s="11" t="s">
        <v>113</v>
      </c>
      <c r="B42" s="52">
        <f>273.15+'Mastercurve bestimmen'!B2</f>
        <v>433.15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0.14179479631188399</v>
      </c>
      <c r="D59" s="55">
        <v>1</v>
      </c>
    </row>
    <row r="60" spans="1:4" s="11" customFormat="1" x14ac:dyDescent="0.25">
      <c r="A60" s="54">
        <v>2</v>
      </c>
      <c r="B60" s="56">
        <f>'Shiftfunktion bestimmen'!N2</f>
        <v>-1.0899863123856419E-4</v>
      </c>
      <c r="D60" s="55">
        <v>2</v>
      </c>
    </row>
    <row r="61" spans="1:4" s="11" customFormat="1" x14ac:dyDescent="0.25">
      <c r="A61" s="54">
        <v>3</v>
      </c>
      <c r="B61" s="56">
        <f>'Shiftfunktion bestimmen'!N3</f>
        <v>-1.2738401982057976E-5</v>
      </c>
      <c r="D61" s="55">
        <v>3</v>
      </c>
    </row>
    <row r="62" spans="1:4" s="11" customFormat="1" x14ac:dyDescent="0.25">
      <c r="A62" s="54">
        <v>4</v>
      </c>
      <c r="B62" s="56">
        <f>'Shiftfunktion bestimmen'!N4</f>
        <v>-4.6327007023861663E-7</v>
      </c>
      <c r="D62" s="55">
        <v>4</v>
      </c>
    </row>
    <row r="63" spans="1:4" s="11" customFormat="1" x14ac:dyDescent="0.25">
      <c r="A63" s="54">
        <v>5</v>
      </c>
      <c r="B63" s="56">
        <f>'Shiftfunktion bestimmen'!N5</f>
        <v>-8.1859903442646794E-9</v>
      </c>
      <c r="D63" s="55">
        <v>5</v>
      </c>
    </row>
    <row r="64" spans="1:4" s="11" customFormat="1" x14ac:dyDescent="0.25">
      <c r="A64" s="54">
        <v>6</v>
      </c>
      <c r="B64" s="56">
        <f>'Shiftfunktion bestimmen'!N6</f>
        <v>-6.7605770943289849E-11</v>
      </c>
      <c r="D64" s="55">
        <v>6</v>
      </c>
    </row>
    <row r="65" spans="1:5" s="11" customFormat="1" x14ac:dyDescent="0.25">
      <c r="A65" s="54">
        <v>7</v>
      </c>
      <c r="B65" s="56">
        <f>'Shiftfunktion bestimmen'!N7</f>
        <v>-2.5907976925974234E-13</v>
      </c>
      <c r="D65" s="55">
        <v>7</v>
      </c>
    </row>
    <row r="66" spans="1:5" x14ac:dyDescent="0.25">
      <c r="A66" s="54">
        <v>8</v>
      </c>
      <c r="B66" s="56">
        <f>'Shiftfunktion bestimmen'!N8</f>
        <v>-3.7439507748505535E-16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0.21367784010727472</v>
      </c>
      <c r="D74" s="51">
        <v>1</v>
      </c>
      <c r="E74" s="56">
        <f>'Mastercurve bestimmen'!A18</f>
        <v>1.0000000000000001E-20</v>
      </c>
    </row>
    <row r="75" spans="1:5" x14ac:dyDescent="0.25">
      <c r="A75" s="50">
        <f>A74+1</f>
        <v>2</v>
      </c>
      <c r="B75" s="56">
        <f>'Mastercurve bestimmen'!C19</f>
        <v>4.9174999607743887E-2</v>
      </c>
      <c r="D75" s="51">
        <v>2</v>
      </c>
      <c r="E75" s="56">
        <f>'Mastercurve bestimmen'!A19</f>
        <v>3.9038946506297401E-14</v>
      </c>
    </row>
    <row r="76" spans="1:5" x14ac:dyDescent="0.25">
      <c r="A76" s="50">
        <f t="shared" ref="A76:A104" si="0">A75+1</f>
        <v>3</v>
      </c>
      <c r="B76" s="56">
        <f>'Mastercurve bestimmen'!C20</f>
        <v>2.5308430895829587E-2</v>
      </c>
      <c r="D76" s="51">
        <v>3</v>
      </c>
      <c r="E76" s="56">
        <f>'Mastercurve bestimmen'!A20</f>
        <v>4.3276437088188502E-13</v>
      </c>
    </row>
    <row r="77" spans="1:5" x14ac:dyDescent="0.25">
      <c r="A77" s="50">
        <f t="shared" si="0"/>
        <v>4</v>
      </c>
      <c r="B77" s="56">
        <f>'Mastercurve bestimmen'!C21</f>
        <v>3.4194516713944662E-2</v>
      </c>
      <c r="D77" s="51">
        <v>4</v>
      </c>
      <c r="E77" s="56">
        <f>'Mastercurve bestimmen'!A21</f>
        <v>4.7973886968128502E-12</v>
      </c>
    </row>
    <row r="78" spans="1:5" x14ac:dyDescent="0.25">
      <c r="A78" s="50">
        <f t="shared" si="0"/>
        <v>5</v>
      </c>
      <c r="B78" s="56">
        <f>'Mastercurve bestimmen'!C22</f>
        <v>2.2721576937749576E-2</v>
      </c>
      <c r="D78" s="51">
        <v>5</v>
      </c>
      <c r="E78" s="56">
        <f>'Mastercurve bestimmen'!A22</f>
        <v>5.31812225239524E-11</v>
      </c>
    </row>
    <row r="79" spans="1:5" x14ac:dyDescent="0.25">
      <c r="A79" s="50">
        <f t="shared" si="0"/>
        <v>6</v>
      </c>
      <c r="B79" s="56">
        <f>'Mastercurve bestimmen'!C23</f>
        <v>2.5892610318392656E-2</v>
      </c>
      <c r="D79" s="51">
        <v>6</v>
      </c>
      <c r="E79" s="56">
        <f>'Mastercurve bestimmen'!A23</f>
        <v>5.8953789402578301E-10</v>
      </c>
    </row>
    <row r="80" spans="1:5" x14ac:dyDescent="0.25">
      <c r="A80" s="50">
        <f t="shared" si="0"/>
        <v>7</v>
      </c>
      <c r="B80" s="56">
        <f>'Mastercurve bestimmen'!C24</f>
        <v>2.3275396535951842E-2</v>
      </c>
      <c r="D80" s="51">
        <v>7</v>
      </c>
      <c r="E80" s="56">
        <f>'Mastercurve bestimmen'!A24</f>
        <v>6.5352940755699598E-9</v>
      </c>
    </row>
    <row r="81" spans="1:5" x14ac:dyDescent="0.25">
      <c r="A81" s="50">
        <f t="shared" si="0"/>
        <v>8</v>
      </c>
      <c r="B81" s="56">
        <f>'Mastercurve bestimmen'!C25</f>
        <v>2.7259427341223066E-2</v>
      </c>
      <c r="D81" s="51">
        <v>8</v>
      </c>
      <c r="E81" s="56">
        <f>'Mastercurve bestimmen'!A25</f>
        <v>7.2446689325643296E-8</v>
      </c>
    </row>
    <row r="82" spans="1:5" x14ac:dyDescent="0.25">
      <c r="A82" s="50">
        <f t="shared" si="0"/>
        <v>9</v>
      </c>
      <c r="B82" s="56">
        <f>'Mastercurve bestimmen'!C26</f>
        <v>2.1214287036784938E-2</v>
      </c>
      <c r="D82" s="51">
        <f>A82</f>
        <v>9</v>
      </c>
      <c r="E82" s="56">
        <f>'Mastercurve bestimmen'!A26</f>
        <v>8.03104303120212E-7</v>
      </c>
    </row>
    <row r="83" spans="1:5" x14ac:dyDescent="0.25">
      <c r="A83" s="50">
        <f t="shared" si="0"/>
        <v>10</v>
      </c>
      <c r="B83" s="56">
        <f>'Mastercurve bestimmen'!C27</f>
        <v>3.4718036830476549E-2</v>
      </c>
      <c r="C83" s="11"/>
      <c r="D83" s="51">
        <f t="shared" ref="D83:D104" si="1">A83</f>
        <v>10</v>
      </c>
      <c r="E83" s="56">
        <f>'Mastercurve bestimmen'!A27</f>
        <v>8.9027742702096099E-6</v>
      </c>
    </row>
    <row r="84" spans="1:5" x14ac:dyDescent="0.25">
      <c r="A84" s="50">
        <f t="shared" si="0"/>
        <v>11</v>
      </c>
      <c r="B84" s="56">
        <f>'Mastercurve bestimmen'!C28</f>
        <v>3.054172570036021E-2</v>
      </c>
      <c r="C84" s="11"/>
      <c r="D84" s="51">
        <f t="shared" si="1"/>
        <v>11</v>
      </c>
      <c r="E84" s="56">
        <f>'Mastercurve bestimmen'!A28</f>
        <v>9.86912775817142E-5</v>
      </c>
    </row>
    <row r="85" spans="1:5" x14ac:dyDescent="0.25">
      <c r="A85" s="50">
        <f t="shared" si="0"/>
        <v>12</v>
      </c>
      <c r="B85" s="56">
        <f>'Mastercurve bestimmen'!C29</f>
        <v>4.0592217810354776E-2</v>
      </c>
      <c r="C85" s="11"/>
      <c r="D85" s="51">
        <f t="shared" si="1"/>
        <v>12</v>
      </c>
      <c r="E85" s="56">
        <f>'Mastercurve bestimmen'!A29</f>
        <v>1.0940374286813801E-3</v>
      </c>
    </row>
    <row r="86" spans="1:5" x14ac:dyDescent="0.25">
      <c r="A86" s="50">
        <f t="shared" si="0"/>
        <v>13</v>
      </c>
      <c r="B86" s="56">
        <f>'Mastercurve bestimmen'!C30</f>
        <v>4.4579554777240793E-2</v>
      </c>
      <c r="C86" s="11"/>
      <c r="D86" s="51">
        <f t="shared" si="1"/>
        <v>13</v>
      </c>
      <c r="E86" s="56">
        <f>'Mastercurve bestimmen'!A30</f>
        <v>1.2127899493091E-2</v>
      </c>
    </row>
    <row r="87" spans="1:5" x14ac:dyDescent="0.25">
      <c r="A87" s="50">
        <f t="shared" si="0"/>
        <v>14</v>
      </c>
      <c r="B87" s="56">
        <f>'Mastercurve bestimmen'!C31</f>
        <v>6.2079559793872717E-2</v>
      </c>
      <c r="C87" s="11"/>
      <c r="D87" s="51">
        <f t="shared" si="1"/>
        <v>14</v>
      </c>
      <c r="E87" s="56">
        <f>'Mastercurve bestimmen'!A31</f>
        <v>0.13444324870292301</v>
      </c>
    </row>
    <row r="88" spans="1:5" x14ac:dyDescent="0.25">
      <c r="A88" s="50">
        <f t="shared" si="0"/>
        <v>15</v>
      </c>
      <c r="B88" s="56">
        <f>'Mastercurve bestimmen'!C32</f>
        <v>0.10578931784531295</v>
      </c>
      <c r="C88" s="11"/>
      <c r="D88" s="51">
        <f t="shared" si="1"/>
        <v>15</v>
      </c>
      <c r="E88" s="56">
        <f>'Mastercurve bestimmen'!A32</f>
        <v>1.49036419143257</v>
      </c>
    </row>
    <row r="89" spans="1:5" x14ac:dyDescent="0.25">
      <c r="A89" s="50">
        <f t="shared" si="0"/>
        <v>16</v>
      </c>
      <c r="B89" s="56">
        <f>'Mastercurve bestimmen'!C33</f>
        <v>8.5446045134986312E-2</v>
      </c>
      <c r="C89" s="11"/>
      <c r="D89" s="51">
        <f t="shared" si="1"/>
        <v>16</v>
      </c>
      <c r="E89" s="56">
        <f>'Mastercurve bestimmen'!A33</f>
        <v>16.521360830937301</v>
      </c>
    </row>
    <row r="90" spans="1:5" x14ac:dyDescent="0.25">
      <c r="A90" s="50">
        <f t="shared" si="0"/>
        <v>17</v>
      </c>
      <c r="B90" s="56">
        <f>'Mastercurve bestimmen'!C34</f>
        <v>5.8777528752493244E-2</v>
      </c>
      <c r="C90" s="11"/>
      <c r="D90" s="51">
        <f t="shared" si="1"/>
        <v>17</v>
      </c>
      <c r="E90" s="56">
        <f>'Mastercurve bestimmen'!A34</f>
        <v>183.146753843879</v>
      </c>
    </row>
    <row r="91" spans="1:5" x14ac:dyDescent="0.25">
      <c r="A91" s="50">
        <f t="shared" si="0"/>
        <v>18</v>
      </c>
      <c r="B91" s="56">
        <f>'Mastercurve bestimmen'!C35</f>
        <v>3.044822143643108E-2</v>
      </c>
      <c r="C91" s="11"/>
      <c r="D91" s="51">
        <f t="shared" si="1"/>
        <v>18</v>
      </c>
      <c r="E91" s="56">
        <f>'Mastercurve bestimmen'!A35</f>
        <v>2030.26456396616</v>
      </c>
    </row>
    <row r="92" spans="1:5" x14ac:dyDescent="0.25">
      <c r="A92" s="50">
        <f t="shared" si="0"/>
        <v>19</v>
      </c>
      <c r="B92" s="56">
        <f>'Mastercurve bestimmen'!C36</f>
        <v>1.5917825428886163E-2</v>
      </c>
      <c r="C92" s="11"/>
      <c r="D92" s="51">
        <f t="shared" si="1"/>
        <v>19</v>
      </c>
      <c r="E92" s="56">
        <f>'Mastercurve bestimmen'!A36</f>
        <v>22506.400540467101</v>
      </c>
    </row>
    <row r="93" spans="1:5" x14ac:dyDescent="0.25">
      <c r="A93" s="50">
        <f t="shared" si="0"/>
        <v>20</v>
      </c>
      <c r="B93" s="56">
        <f>'Mastercurve bestimmen'!C37</f>
        <v>7.4710107179745602E-3</v>
      </c>
      <c r="C93" s="11"/>
      <c r="D93" s="51">
        <f t="shared" si="1"/>
        <v>20</v>
      </c>
      <c r="E93" s="56">
        <f>'Mastercurve bestimmen'!A37</f>
        <v>249493.62476110301</v>
      </c>
    </row>
    <row r="94" spans="1:5" x14ac:dyDescent="0.25">
      <c r="A94" s="50">
        <f t="shared" si="0"/>
        <v>21</v>
      </c>
      <c r="B94" s="56">
        <f>'Mastercurve bestimmen'!C38</f>
        <v>1.4378472174592341E-3</v>
      </c>
      <c r="C94" s="11"/>
      <c r="D94" s="51">
        <f t="shared" si="1"/>
        <v>21</v>
      </c>
      <c r="E94" s="56">
        <f>'Mastercurve bestimmen'!A38</f>
        <v>2765749.6224023802</v>
      </c>
    </row>
    <row r="95" spans="1:5" x14ac:dyDescent="0.25">
      <c r="A95" s="50">
        <f t="shared" si="0"/>
        <v>22</v>
      </c>
      <c r="B95" s="56">
        <f>'Mastercurve bestimmen'!C39</f>
        <v>4.7686363858368023E-3</v>
      </c>
      <c r="C95" s="11"/>
      <c r="D95" s="51">
        <f t="shared" si="1"/>
        <v>22</v>
      </c>
      <c r="E95" s="56">
        <f>'Mastercurve bestimmen'!A39</f>
        <v>10000000</v>
      </c>
    </row>
    <row r="96" spans="1:5" x14ac:dyDescent="0.25">
      <c r="A96" s="50">
        <f t="shared" si="0"/>
        <v>23</v>
      </c>
      <c r="B96" s="56">
        <f>'Mastercurve bestimmen'!C40</f>
        <v>0</v>
      </c>
      <c r="C96" s="11"/>
      <c r="D96" s="51">
        <f t="shared" si="1"/>
        <v>23</v>
      </c>
      <c r="E96" s="56">
        <f>'Mastercurve bestimmen'!A40</f>
        <v>100000000</v>
      </c>
    </row>
    <row r="97" spans="1:5" x14ac:dyDescent="0.25">
      <c r="A97" s="50">
        <f t="shared" si="0"/>
        <v>24</v>
      </c>
      <c r="B97" s="56">
        <f>'Mastercurve bestimmen'!C41</f>
        <v>2.0950739363465548E-3</v>
      </c>
      <c r="C97" s="11"/>
      <c r="D97" s="51">
        <f t="shared" si="1"/>
        <v>24</v>
      </c>
      <c r="E97" s="56">
        <f>'Mastercurve bestimmen'!A41</f>
        <v>1000000000</v>
      </c>
    </row>
    <row r="98" spans="1:5" x14ac:dyDescent="0.25">
      <c r="A98" s="50">
        <f t="shared" si="0"/>
        <v>25</v>
      </c>
      <c r="B98" s="56">
        <f>'Mastercurve bestimmen'!C42</f>
        <v>1.9210885084110967E-3</v>
      </c>
      <c r="C98" s="11"/>
      <c r="D98" s="51">
        <f t="shared" si="1"/>
        <v>25</v>
      </c>
      <c r="E98" s="56">
        <f>'Mastercurve bestimmen'!A42</f>
        <v>10000000000</v>
      </c>
    </row>
    <row r="99" spans="1:5" x14ac:dyDescent="0.25">
      <c r="A99" s="50">
        <f t="shared" si="0"/>
        <v>26</v>
      </c>
      <c r="B99" s="56">
        <f>'Mastercurve bestimmen'!C43</f>
        <v>0</v>
      </c>
      <c r="C99" s="11"/>
      <c r="D99" s="51">
        <f t="shared" si="1"/>
        <v>26</v>
      </c>
      <c r="E99" s="56">
        <f>'Mastercurve bestimmen'!A43</f>
        <v>100000000000</v>
      </c>
    </row>
    <row r="100" spans="1:5" x14ac:dyDescent="0.25">
      <c r="A100" s="50">
        <f t="shared" si="0"/>
        <v>27</v>
      </c>
      <c r="B100" s="56">
        <f>'Mastercurve bestimmen'!C44</f>
        <v>4.6732387958302481E-4</v>
      </c>
      <c r="C100" s="11"/>
      <c r="D100" s="51">
        <f t="shared" si="1"/>
        <v>27</v>
      </c>
      <c r="E100" s="56">
        <f>'Mastercurve bestimmen'!A44</f>
        <v>1000000000000</v>
      </c>
    </row>
    <row r="101" spans="1:5" x14ac:dyDescent="0.25">
      <c r="A101" s="50">
        <f t="shared" si="0"/>
        <v>28</v>
      </c>
      <c r="B101" s="56">
        <f>'Mastercurve bestimmen'!C45</f>
        <v>0</v>
      </c>
      <c r="C101" s="11"/>
      <c r="D101" s="51">
        <f t="shared" si="1"/>
        <v>28</v>
      </c>
      <c r="E101" s="56">
        <f>'Mastercurve bestimmen'!A45</f>
        <v>10000000000000</v>
      </c>
    </row>
    <row r="102" spans="1:5" x14ac:dyDescent="0.25">
      <c r="A102" s="50">
        <f t="shared" si="0"/>
        <v>29</v>
      </c>
      <c r="B102" s="56">
        <f>'Mastercurve bestimmen'!C46</f>
        <v>1.2351806616485092E-4</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1.0347942973527732E-3</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30950.077000000001</v>
      </c>
    </row>
    <row r="108" spans="1:5" s="11" customFormat="1" x14ac:dyDescent="0.25">
      <c r="A108" s="61" t="str">
        <f>STUTT!B3</f>
        <v>mp,PRXY,MatID,</v>
      </c>
      <c r="B108" s="52">
        <f>STUTT!C3</f>
        <v>0.34430355000000001</v>
      </c>
    </row>
    <row r="109" spans="1:5" s="11" customFormat="1" x14ac:dyDescent="0.25">
      <c r="A109" s="61" t="str">
        <f>STUTT!B4</f>
        <v>mp,ey,MatID,</v>
      </c>
      <c r="B109" s="52">
        <f>STUTT!C4</f>
        <v>32732.228999999999</v>
      </c>
    </row>
    <row r="110" spans="1:5" s="11" customFormat="1" x14ac:dyDescent="0.25">
      <c r="A110" s="61" t="str">
        <f>STUTT!B5</f>
        <v>mp,PRYZ,MatID,</v>
      </c>
      <c r="B110" s="52">
        <f>STUTT!C5</f>
        <v>0.36416230999999999</v>
      </c>
    </row>
    <row r="111" spans="1:5" s="11" customFormat="1" x14ac:dyDescent="0.25">
      <c r="A111" s="61" t="str">
        <f>STUTT!B6</f>
        <v>mp,ez,MatID,</v>
      </c>
      <c r="B111" s="52">
        <f>STUTT!C6</f>
        <v>30950.077000000001</v>
      </c>
    </row>
    <row r="112" spans="1:5" s="11" customFormat="1" x14ac:dyDescent="0.25">
      <c r="A112" s="61" t="str">
        <f>STUTT!B7</f>
        <v>mp,PRXZ,MatID,</v>
      </c>
      <c r="B112" s="52">
        <f>STUTT!C7</f>
        <v>0.35675860999999998</v>
      </c>
    </row>
    <row r="113" spans="1:4" s="11" customFormat="1" x14ac:dyDescent="0.25">
      <c r="A113" s="61" t="str">
        <f>STUTT!B8</f>
        <v>MP,GXZ,</v>
      </c>
      <c r="B113" s="52" t="str">
        <f>STUTT!C8</f>
        <v>MatID,</v>
      </c>
      <c r="C113" s="112">
        <f>STUTT!D8</f>
        <v>11405.888999999999</v>
      </c>
      <c r="D113" s="112"/>
    </row>
    <row r="114" spans="1:4" s="11" customFormat="1" x14ac:dyDescent="0.25">
      <c r="A114" s="61" t="str">
        <f>STUTT!B9</f>
        <v>MP,GXY,</v>
      </c>
      <c r="B114" s="52" t="str">
        <f>STUTT!C9</f>
        <v>MatID,</v>
      </c>
      <c r="C114" s="112">
        <f>STUTT!D9</f>
        <v>11852.276</v>
      </c>
      <c r="D114" s="112"/>
    </row>
    <row r="115" spans="1:4" x14ac:dyDescent="0.25">
      <c r="A115" s="61" t="str">
        <f>STUTT!B10</f>
        <v>MP,GYZ,</v>
      </c>
      <c r="B115" s="52" t="str">
        <f>STUTT!C10</f>
        <v>MatID,</v>
      </c>
      <c r="C115" s="112">
        <f>STUTT!D10</f>
        <v>11852.276</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107</v>
      </c>
    </row>
    <row r="155" spans="1:4" x14ac:dyDescent="0.25">
      <c r="A155" t="s">
        <v>108</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P21" sqref="P21"/>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128</v>
      </c>
      <c r="L1">
        <f>0.35/2</f>
        <v>0.17499999999999999</v>
      </c>
      <c r="Q1" t="s">
        <v>129</v>
      </c>
      <c r="R1">
        <v>0.09</v>
      </c>
    </row>
    <row r="2" spans="1:18" x14ac:dyDescent="0.25">
      <c r="A2" t="s">
        <v>27</v>
      </c>
      <c r="B2" t="s">
        <v>14</v>
      </c>
      <c r="C2" t="s">
        <v>15</v>
      </c>
      <c r="D2" t="s">
        <v>16</v>
      </c>
      <c r="E2" t="s">
        <v>33</v>
      </c>
      <c r="F2" t="s">
        <v>34</v>
      </c>
      <c r="G2" t="s">
        <v>35</v>
      </c>
      <c r="H2" t="s">
        <v>36</v>
      </c>
      <c r="I2" t="s">
        <v>37</v>
      </c>
      <c r="J2" t="s">
        <v>38</v>
      </c>
    </row>
    <row r="3" spans="1:18" x14ac:dyDescent="0.25">
      <c r="A3">
        <v>-40</v>
      </c>
      <c r="B3" s="3">
        <v>2.367E-7</v>
      </c>
      <c r="C3" s="3">
        <v>-3.157E-7</v>
      </c>
      <c r="D3" s="3">
        <v>2.367E-7</v>
      </c>
      <c r="E3" s="3">
        <v>-1.0000000000000001E-5</v>
      </c>
      <c r="F3" s="3">
        <v>-1.0000000000000001E-5</v>
      </c>
      <c r="G3" s="3">
        <v>-1.0000000000000001E-5</v>
      </c>
      <c r="H3" s="3">
        <v>-1.7133474E-6</v>
      </c>
      <c r="I3" s="3">
        <v>-8.9191822000000001E-7</v>
      </c>
      <c r="J3" s="3">
        <v>-1.7133474E-6</v>
      </c>
      <c r="L3" s="48">
        <f>ABS(H3/(-0.5)/$L$1)</f>
        <v>1.9581113142857145E-5</v>
      </c>
      <c r="R3">
        <f>ABS(I3/(-0.5)/$R$1)</f>
        <v>1.9820404888888889E-5</v>
      </c>
    </row>
    <row r="4" spans="1:18" x14ac:dyDescent="0.25">
      <c r="A4">
        <v>-39</v>
      </c>
      <c r="B4" s="3">
        <v>-2.368E-7</v>
      </c>
      <c r="C4" s="3">
        <v>3.1580000000000001E-7</v>
      </c>
      <c r="D4" s="3">
        <v>-2.368E-7</v>
      </c>
      <c r="E4" s="3">
        <v>1.0000000000000001E-5</v>
      </c>
      <c r="F4" s="3">
        <v>1.0000000000000001E-5</v>
      </c>
      <c r="G4" s="3">
        <v>1.0000000000000001E-5</v>
      </c>
      <c r="H4" s="3">
        <v>1.713317E-6</v>
      </c>
      <c r="I4" s="3">
        <v>8.9193782999999999E-7</v>
      </c>
      <c r="J4" s="3">
        <v>1.713317E-6</v>
      </c>
      <c r="L4" s="48">
        <f t="shared" ref="L4:L14" si="0">ABS(H4/(-0.5)/$L$1)</f>
        <v>1.9580765714285715E-5</v>
      </c>
      <c r="N4" s="39" t="s">
        <v>27</v>
      </c>
      <c r="O4" s="39" t="s">
        <v>130</v>
      </c>
      <c r="P4" s="85" t="s">
        <v>131</v>
      </c>
      <c r="R4" s="11">
        <f t="shared" ref="R4:R14" si="1">ABS(I4/(-0.5)/$R$1)</f>
        <v>1.9820840666666667E-5</v>
      </c>
    </row>
    <row r="5" spans="1:18" x14ac:dyDescent="0.25">
      <c r="A5">
        <v>0</v>
      </c>
      <c r="B5" s="3">
        <v>2.3949999999999999E-7</v>
      </c>
      <c r="C5" s="3">
        <v>-3.2210000000000001E-7</v>
      </c>
      <c r="D5" s="3">
        <v>2.3949999999999999E-7</v>
      </c>
      <c r="E5" s="3">
        <v>-1.0000000000000001E-5</v>
      </c>
      <c r="F5" s="3">
        <v>-1.0000000000000001E-5</v>
      </c>
      <c r="G5" s="3">
        <v>-1.0000000000000001E-5</v>
      </c>
      <c r="H5" s="3">
        <v>-1.7121061999999999E-6</v>
      </c>
      <c r="I5" s="3">
        <v>-8.9271494999999996E-7</v>
      </c>
      <c r="J5" s="3">
        <v>-1.7121061999999999E-6</v>
      </c>
      <c r="L5" s="48">
        <f t="shared" si="0"/>
        <v>1.9566928000000001E-5</v>
      </c>
      <c r="M5" s="48"/>
      <c r="N5" s="10">
        <f>(INDEX(A:A,ROW(A2)*2+1)+INDEX(A:A,ROW(A2)*2+2))/2</f>
        <v>0.5</v>
      </c>
      <c r="O5" s="89">
        <f>(INDEX(L:L,ROW(L2)*2+1)+INDEX(L:L,ROW(L2)*2+2))/2</f>
        <v>1.9566746857142857E-5</v>
      </c>
      <c r="P5" s="89">
        <f>(INDEX(R:R,ROW(M2)*2+1)+INDEX(R:R,ROW(R2)*2+2))/2</f>
        <v>1.9838334999999999E-5</v>
      </c>
      <c r="R5" s="11">
        <f t="shared" si="1"/>
        <v>1.983811E-5</v>
      </c>
    </row>
    <row r="6" spans="1:18" x14ac:dyDescent="0.25">
      <c r="A6">
        <v>1</v>
      </c>
      <c r="B6" s="3">
        <v>-2.396E-7</v>
      </c>
      <c r="C6" s="3">
        <v>3.2230000000000002E-7</v>
      </c>
      <c r="D6" s="3">
        <v>-2.396E-7</v>
      </c>
      <c r="E6" s="3">
        <v>1.0000000000000001E-5</v>
      </c>
      <c r="F6" s="3">
        <v>1.0000000000000001E-5</v>
      </c>
      <c r="G6" s="3">
        <v>1.0000000000000001E-5</v>
      </c>
      <c r="H6" s="3">
        <v>1.7120744999999999E-6</v>
      </c>
      <c r="I6" s="3">
        <v>8.9273520000000004E-7</v>
      </c>
      <c r="J6" s="3">
        <v>1.7120744999999999E-6</v>
      </c>
      <c r="L6" s="48">
        <f t="shared" si="0"/>
        <v>1.9566565714285714E-5</v>
      </c>
      <c r="M6" s="49"/>
      <c r="N6" s="10">
        <f>(INDEX(A:A,ROW(A3)*2+1)+INDEX(A:A,ROW(A3)*2+2))/2</f>
        <v>151.5</v>
      </c>
      <c r="O6" s="89">
        <f t="shared" ref="O6:O7" si="2">(INDEX(L:L,ROW(L3)*2+1)+INDEX(L:L,ROW(L3)*2+2))/2</f>
        <v>2.1190465714285718E-5</v>
      </c>
      <c r="P6" s="89">
        <f t="shared" ref="P6:P9" si="3">(INDEX(R:R,ROW(M3)*2+1)+INDEX(R:R,ROW(R3)*2+2))/2</f>
        <v>2.1019518444444445E-5</v>
      </c>
      <c r="R6" s="11">
        <f t="shared" si="1"/>
        <v>1.9838560000000001E-5</v>
      </c>
    </row>
    <row r="7" spans="1:18" x14ac:dyDescent="0.25">
      <c r="A7">
        <v>151</v>
      </c>
      <c r="B7" s="3">
        <v>1.9250000000000001E-7</v>
      </c>
      <c r="C7" s="3">
        <v>8.252E-8</v>
      </c>
      <c r="D7" s="3">
        <v>1.9250000000000001E-7</v>
      </c>
      <c r="E7" s="3">
        <v>-1.0689999999999999E-5</v>
      </c>
      <c r="F7" s="3">
        <v>-1.0689999999999999E-5</v>
      </c>
      <c r="G7" s="3">
        <v>-1.0689999999999999E-5</v>
      </c>
      <c r="H7" s="3">
        <v>-1.7805354E-6</v>
      </c>
      <c r="I7" s="3">
        <v>-9.2090522999999996E-7</v>
      </c>
      <c r="J7" s="3">
        <v>-1.7805354E-6</v>
      </c>
      <c r="L7" s="48">
        <f t="shared" si="0"/>
        <v>2.0348976000000002E-5</v>
      </c>
      <c r="M7" s="48"/>
      <c r="N7" s="10">
        <f>(INDEX(A:A,ROW(A4)*2+1)+INDEX(A:A,ROW(A4)*2+2))/2</f>
        <v>156.5</v>
      </c>
      <c r="O7" s="89">
        <f t="shared" si="2"/>
        <v>3.8018201714285711E-5</v>
      </c>
      <c r="P7" s="89">
        <f t="shared" si="3"/>
        <v>3.2143815555555557E-5</v>
      </c>
      <c r="R7" s="11">
        <f t="shared" si="1"/>
        <v>2.0464560666666667E-5</v>
      </c>
    </row>
    <row r="8" spans="1:18" x14ac:dyDescent="0.25">
      <c r="A8">
        <v>152</v>
      </c>
      <c r="B8" s="3">
        <v>-7.673E-8</v>
      </c>
      <c r="C8" s="3">
        <v>-9.414E-7</v>
      </c>
      <c r="D8" s="3">
        <v>-7.673E-8</v>
      </c>
      <c r="E8" s="3">
        <v>1.206E-5</v>
      </c>
      <c r="F8" s="3">
        <v>1.206E-5</v>
      </c>
      <c r="G8" s="3">
        <v>1.206E-5</v>
      </c>
      <c r="H8" s="3">
        <v>1.9277960999999998E-6</v>
      </c>
      <c r="I8" s="3">
        <v>9.7085143000000009E-7</v>
      </c>
      <c r="J8" s="3">
        <v>1.9277960999999998E-6</v>
      </c>
      <c r="L8" s="48">
        <f t="shared" si="0"/>
        <v>2.2031955428571429E-5</v>
      </c>
      <c r="M8" s="49"/>
      <c r="N8" s="10">
        <f>(INDEX(A:A,ROW(A5)*2+1)+INDEX(A:A,ROW(A5)*2+2))/2</f>
        <v>161.5</v>
      </c>
      <c r="O8" s="89">
        <f t="shared" ref="O8:O9" si="4">(INDEX(L:L,ROW(L5)*2+1)+INDEX(L:L,ROW(L5)*2+2))/2</f>
        <v>5.3153978285714289E-5</v>
      </c>
      <c r="P8" s="89">
        <f t="shared" si="3"/>
        <v>4.2214975555555561E-5</v>
      </c>
      <c r="R8" s="11">
        <f t="shared" si="1"/>
        <v>2.1574476222222224E-5</v>
      </c>
    </row>
    <row r="9" spans="1:18" x14ac:dyDescent="0.25">
      <c r="A9">
        <v>156</v>
      </c>
      <c r="B9" s="3">
        <v>-9.64E-7</v>
      </c>
      <c r="C9" s="3">
        <v>8.6619999999999994E-6</v>
      </c>
      <c r="D9" s="3">
        <v>-9.64E-7</v>
      </c>
      <c r="E9" s="3">
        <v>-2.444E-5</v>
      </c>
      <c r="F9" s="3">
        <v>-2.444E-5</v>
      </c>
      <c r="G9" s="3">
        <v>-2.444E-5</v>
      </c>
      <c r="H9" s="3">
        <v>-3.2530239999999998E-6</v>
      </c>
      <c r="I9" s="3">
        <v>-1.4212904999999999E-6</v>
      </c>
      <c r="J9" s="3">
        <v>-3.2530239999999998E-6</v>
      </c>
      <c r="L9" s="48">
        <f t="shared" si="0"/>
        <v>3.7177417142857142E-5</v>
      </c>
      <c r="M9" s="48"/>
      <c r="N9" s="10">
        <f>(INDEX(A:A,ROW(A6)*2+1)+INDEX(A:A,ROW(A6)*2+2))/2</f>
        <v>180.5</v>
      </c>
      <c r="O9" s="89">
        <f t="shared" si="4"/>
        <v>5.310945314285715E-5</v>
      </c>
      <c r="P9" s="89">
        <f t="shared" si="3"/>
        <v>4.2465003333333332E-5</v>
      </c>
      <c r="R9" s="11">
        <f t="shared" si="1"/>
        <v>3.1584233333333335E-5</v>
      </c>
    </row>
    <row r="10" spans="1:18" x14ac:dyDescent="0.25">
      <c r="A10">
        <v>157</v>
      </c>
      <c r="B10" s="3">
        <v>1.079E-6</v>
      </c>
      <c r="C10" s="3">
        <v>-9.5170000000000005E-6</v>
      </c>
      <c r="D10" s="3">
        <v>1.079E-6</v>
      </c>
      <c r="E10" s="3">
        <v>2.5809999999999999E-5</v>
      </c>
      <c r="F10" s="3">
        <v>2.5809999999999999E-5</v>
      </c>
      <c r="G10" s="3">
        <v>2.5809999999999999E-5</v>
      </c>
      <c r="H10" s="3">
        <v>3.4001612999999999E-6</v>
      </c>
      <c r="I10" s="3">
        <v>1.4716529000000001E-6</v>
      </c>
      <c r="J10" s="3">
        <v>3.4001612999999999E-6</v>
      </c>
      <c r="L10" s="48">
        <f t="shared" si="0"/>
        <v>3.8858986285714286E-5</v>
      </c>
      <c r="M10" s="49"/>
      <c r="N10" s="10"/>
      <c r="O10" s="3"/>
      <c r="R10" s="11">
        <f t="shared" si="1"/>
        <v>3.270339777777778E-5</v>
      </c>
    </row>
    <row r="11" spans="1:18" x14ac:dyDescent="0.25">
      <c r="A11">
        <v>161</v>
      </c>
      <c r="B11" s="3">
        <v>-2.058E-6</v>
      </c>
      <c r="C11" s="3">
        <v>1.679E-5</v>
      </c>
      <c r="D11" s="3">
        <v>-2.058E-6</v>
      </c>
      <c r="E11" s="3">
        <v>-3.7499999999999997E-5</v>
      </c>
      <c r="F11" s="3">
        <v>-3.7499999999999997E-5</v>
      </c>
      <c r="G11" s="3">
        <v>-3.7499999999999997E-5</v>
      </c>
      <c r="H11" s="3">
        <v>-4.6510748000000003E-6</v>
      </c>
      <c r="I11" s="3">
        <v>-1.8993824000000001E-6</v>
      </c>
      <c r="J11" s="3">
        <v>-4.6510748000000003E-6</v>
      </c>
      <c r="L11" s="48">
        <f t="shared" si="0"/>
        <v>5.3155140571428577E-5</v>
      </c>
      <c r="M11" s="48"/>
      <c r="N11" s="10"/>
      <c r="O11" s="3"/>
      <c r="R11" s="11">
        <f t="shared" si="1"/>
        <v>4.2208497777777784E-5</v>
      </c>
    </row>
    <row r="12" spans="1:18" x14ac:dyDescent="0.25">
      <c r="A12">
        <v>162</v>
      </c>
      <c r="B12" s="3">
        <v>2.057E-6</v>
      </c>
      <c r="C12" s="3">
        <v>-1.6779999999999999E-5</v>
      </c>
      <c r="D12" s="3">
        <v>2.057E-6</v>
      </c>
      <c r="E12" s="3">
        <v>3.7499999999999997E-5</v>
      </c>
      <c r="F12" s="3">
        <v>3.7499999999999997E-5</v>
      </c>
      <c r="G12" s="3">
        <v>3.7499999999999997E-5</v>
      </c>
      <c r="H12" s="3">
        <v>4.6508714000000002E-6</v>
      </c>
      <c r="I12" s="3">
        <v>1.8999654000000001E-6</v>
      </c>
      <c r="J12" s="3">
        <v>4.6508714000000002E-6</v>
      </c>
      <c r="L12" s="48">
        <f t="shared" si="0"/>
        <v>5.3152816000000008E-5</v>
      </c>
      <c r="M12" s="49"/>
      <c r="N12" s="10"/>
      <c r="O12" s="3"/>
      <c r="R12" s="11">
        <f t="shared" si="1"/>
        <v>4.2221453333333337E-5</v>
      </c>
    </row>
    <row r="13" spans="1:18" x14ac:dyDescent="0.25">
      <c r="A13">
        <v>180</v>
      </c>
      <c r="B13" s="3">
        <v>-2.0360000000000001E-6</v>
      </c>
      <c r="C13" s="3">
        <v>1.6670000000000001E-5</v>
      </c>
      <c r="D13" s="3">
        <v>-2.0360000000000001E-6</v>
      </c>
      <c r="E13" s="3">
        <v>-3.7499999999999997E-5</v>
      </c>
      <c r="F13" s="3">
        <v>-3.7499999999999997E-5</v>
      </c>
      <c r="G13" s="3">
        <v>-3.7499999999999997E-5</v>
      </c>
      <c r="H13" s="3">
        <v>-4.6471805000000002E-6</v>
      </c>
      <c r="I13" s="3">
        <v>-1.9106244E-6</v>
      </c>
      <c r="J13" s="3">
        <v>-4.6471805000000002E-6</v>
      </c>
      <c r="L13" s="48">
        <f t="shared" si="0"/>
        <v>5.3110634285714288E-5</v>
      </c>
      <c r="M13" s="48"/>
      <c r="N13" s="10"/>
      <c r="O13" s="3"/>
      <c r="R13" s="11">
        <f t="shared" si="1"/>
        <v>4.2458320000000001E-5</v>
      </c>
    </row>
    <row r="14" spans="1:18" x14ac:dyDescent="0.25">
      <c r="A14" s="11">
        <v>181</v>
      </c>
      <c r="B14" s="3">
        <v>2.035E-6</v>
      </c>
      <c r="C14" s="3">
        <v>-1.6670000000000001E-5</v>
      </c>
      <c r="D14" s="3">
        <v>2.035E-6</v>
      </c>
      <c r="E14" s="3">
        <v>3.7499999999999997E-5</v>
      </c>
      <c r="F14" s="3">
        <v>3.7499999999999997E-5</v>
      </c>
      <c r="G14" s="3">
        <v>3.7499999999999997E-5</v>
      </c>
      <c r="H14" s="3">
        <v>4.6469738000000004E-6</v>
      </c>
      <c r="I14" s="3">
        <v>1.9112258999999999E-6</v>
      </c>
      <c r="J14" s="3">
        <v>4.6469738000000004E-6</v>
      </c>
      <c r="L14" s="48">
        <f t="shared" si="0"/>
        <v>5.3108272000000005E-5</v>
      </c>
      <c r="M14" s="49"/>
      <c r="N14" s="10"/>
      <c r="O14" s="3"/>
      <c r="R14" s="11">
        <f t="shared" si="1"/>
        <v>4.247168666666667E-5</v>
      </c>
    </row>
    <row r="15" spans="1:18" x14ac:dyDescent="0.25">
      <c r="L15" s="48"/>
      <c r="M15" s="48"/>
      <c r="N15" s="10"/>
      <c r="O15" s="3"/>
    </row>
    <row r="16" spans="1:18" x14ac:dyDescent="0.25">
      <c r="L16" s="48"/>
      <c r="M16" s="49"/>
      <c r="N16" s="10"/>
      <c r="O16" s="3"/>
    </row>
    <row r="17" spans="2:15" x14ac:dyDescent="0.25">
      <c r="B17" s="88" t="s">
        <v>127</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117</v>
      </c>
      <c r="C2" s="3">
        <v>30950.077000000001</v>
      </c>
    </row>
    <row r="3" spans="2:4" x14ac:dyDescent="0.25">
      <c r="B3" t="s">
        <v>118</v>
      </c>
      <c r="C3" s="3">
        <v>0.34430355000000001</v>
      </c>
    </row>
    <row r="4" spans="2:4" x14ac:dyDescent="0.25">
      <c r="B4" t="s">
        <v>119</v>
      </c>
      <c r="C4" s="3">
        <v>32732.228999999999</v>
      </c>
    </row>
    <row r="5" spans="2:4" x14ac:dyDescent="0.25">
      <c r="B5" t="s">
        <v>120</v>
      </c>
      <c r="C5" s="3">
        <v>0.36416230999999999</v>
      </c>
    </row>
    <row r="6" spans="2:4" x14ac:dyDescent="0.25">
      <c r="B6" t="s">
        <v>121</v>
      </c>
      <c r="C6" s="3">
        <v>30950.077000000001</v>
      </c>
    </row>
    <row r="7" spans="2:4" x14ac:dyDescent="0.25">
      <c r="B7" t="s">
        <v>122</v>
      </c>
      <c r="C7" s="3">
        <v>0.35675860999999998</v>
      </c>
    </row>
    <row r="8" spans="2:4" x14ac:dyDescent="0.25">
      <c r="B8" t="s">
        <v>123</v>
      </c>
      <c r="C8" t="s">
        <v>124</v>
      </c>
      <c r="D8" s="3">
        <v>11405.888999999999</v>
      </c>
    </row>
    <row r="9" spans="2:4" x14ac:dyDescent="0.25">
      <c r="B9" t="s">
        <v>125</v>
      </c>
      <c r="C9" t="s">
        <v>124</v>
      </c>
      <c r="D9" s="3">
        <v>11852.276</v>
      </c>
    </row>
    <row r="10" spans="2:4" x14ac:dyDescent="0.25">
      <c r="B10" t="s">
        <v>126</v>
      </c>
      <c r="C10" t="s">
        <v>124</v>
      </c>
      <c r="D10" s="3">
        <v>11852.276</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19" zoomScaleNormal="100" workbookViewId="0">
      <selection activeCell="AM3" sqref="AM3"/>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-3.1765554857142859E-4</v>
      </c>
      <c r="C3" s="2">
        <f>IF('Modell einstellen'!$B$2="Ja",creep_res0!O3,creep_res0!C3)</f>
        <v>-3.2385028571428571E-4</v>
      </c>
      <c r="D3" s="2">
        <f>IF('Modell einstellen'!$B$2="Ja",creep_res25!O3,creep_res25!C3)</f>
        <v>-3.3333392571428572E-4</v>
      </c>
      <c r="E3" s="2">
        <f>IF('Modell einstellen'!$B$2="Ja",creep_res50!O3,creep_res50!C3)</f>
        <v>-3.403251942857143E-4</v>
      </c>
      <c r="F3" s="2">
        <f>IF('Modell einstellen'!$B$2="Ja",creep_res80!O3,creep_res80!C3)</f>
        <v>-3.4942501142857146E-4</v>
      </c>
      <c r="G3" s="2">
        <f>IF('Modell einstellen'!$B$2="Ja",creep_res125!O3,creep_res125!C3)</f>
        <v>-3.7173529714285713E-4</v>
      </c>
      <c r="H3" s="2">
        <f>IF('Modell einstellen'!$B$2="Ja",creep_res160!O3,creep_res160!C3)</f>
        <v>-3.9813363428571429E-4</v>
      </c>
      <c r="M3" s="9">
        <f>-10</f>
        <v>-10</v>
      </c>
      <c r="N3" s="2">
        <f t="shared" ref="N3:N33" si="4">A3</f>
        <v>1.0000000000000001E-15</v>
      </c>
      <c r="O3" s="2">
        <f t="shared" ref="O3:O33" si="5">$M$3/B3</f>
        <v>31480.640098913249</v>
      </c>
      <c r="P3" s="2">
        <f t="shared" ref="P3:P33" si="6">$M$3/C3</f>
        <v>30878.465887235372</v>
      </c>
      <c r="Q3" s="2">
        <f t="shared" ref="Q3:Q33" si="7">$M$3/D3</f>
        <v>29999.946685809031</v>
      </c>
      <c r="R3" s="2">
        <f>$M$3/E3</f>
        <v>29383.660592593882</v>
      </c>
      <c r="S3" s="2">
        <f t="shared" ref="S3:S33" si="8">$M$3/F3</f>
        <v>28618.44365151913</v>
      </c>
      <c r="T3" s="2">
        <f t="shared" ref="T3:T33" si="9">$M$3/G3</f>
        <v>26900.86219107953</v>
      </c>
      <c r="U3" s="2">
        <f t="shared" ref="U3:U33" si="10">$M$3/H3</f>
        <v>25117.194677462641</v>
      </c>
      <c r="W3" s="2">
        <v>18599.275035544593</v>
      </c>
      <c r="Z3" s="2">
        <v>1.0000000000000001E-15</v>
      </c>
      <c r="AA3" s="3">
        <f>IF('Modell einstellen'!$B$2="Ja",'creep_res-40'!P3,'creep_res-40'!L3)</f>
        <v>0.35630124857075646</v>
      </c>
      <c r="AB3" s="2">
        <f>IF('Modell einstellen'!$B$2="Ja",creep_res0!P3,creep_res0!L3)</f>
        <v>0.35822238847580368</v>
      </c>
      <c r="AC3" s="2">
        <f>IF('Modell einstellen'!$B$2="Ja",creep_res25!P3,creep_res25!L3)</f>
        <v>0.36248030439214479</v>
      </c>
      <c r="AD3" s="2">
        <f>IF('Modell einstellen'!$B$2="Ja",creep_res50!P3,creep_res50!L3)</f>
        <v>0.36518318974545844</v>
      </c>
      <c r="AE3" s="2">
        <f>IF('Modell einstellen'!$B$2="Ja",creep_res80!P3,creep_res80!L3)</f>
        <v>0.36863221026765319</v>
      </c>
      <c r="AF3" s="2">
        <f>IF('Modell einstellen'!$B$2="Ja",creep_res125!P3,creep_res125!L3)</f>
        <v>0.37793628483137087</v>
      </c>
      <c r="AG3" s="2">
        <f>IF('Modell einstellen'!$B$2="Ja",creep_res160!P3,creep_res160!L3)</f>
        <v>0.38924580183314195</v>
      </c>
      <c r="AL3" s="2">
        <f t="shared" ref="AL3:AL33" si="11">Z3</f>
        <v>1.0000000000000001E-15</v>
      </c>
      <c r="AM3" s="2">
        <f t="shared" ref="AM3:AM33" si="12">O3/(2*(1+AA3))</f>
        <v>11605.327404987251</v>
      </c>
      <c r="AN3" s="2">
        <f t="shared" ref="AN3:AN33" si="13">P3/(2*(1+AB3))</f>
        <v>11367.234905429283</v>
      </c>
      <c r="AO3" s="2">
        <f t="shared" ref="AO3:AO33" si="14">Q3/(2*(1+AC3))</f>
        <v>11009.313892134818</v>
      </c>
      <c r="AP3" s="2">
        <f t="shared" ref="AP3:AP33" si="15">R3/(2*(1+AD3))</f>
        <v>10761.801351389528</v>
      </c>
      <c r="AQ3" s="2">
        <f t="shared" ref="AQ3:AQ33" si="16">S3/(2*(1+AE3))</f>
        <v>10455.125722169887</v>
      </c>
      <c r="AR3" s="2">
        <f t="shared" ref="AR3:AR33" si="17">T3/(2*(1+AF3))</f>
        <v>9761.2866745763949</v>
      </c>
      <c r="AS3" s="2">
        <f t="shared" ref="AS3:AS33" si="18">U3/(2*(1+AG3))</f>
        <v>9039.8670430819093</v>
      </c>
      <c r="AX3" s="2">
        <f>AL3</f>
        <v>1.0000000000000001E-15</v>
      </c>
      <c r="AY3" s="37">
        <f t="shared" ref="AY3:AY33" si="19">O3/(3*(1-(2*AA3)))</f>
        <v>36512.309937517843</v>
      </c>
      <c r="AZ3" s="37">
        <f t="shared" ref="AZ3:AZ33" si="20">P3/(3*(1-(2*AB3)))</f>
        <v>36299.179580462805</v>
      </c>
      <c r="BA3" s="37">
        <f t="shared" ref="BA3:BA33" si="21">Q3/(3*(1-(2*AC3)))</f>
        <v>36358.36373983293</v>
      </c>
      <c r="BB3" s="37">
        <f t="shared" ref="BB3:BB33" si="22">R3/(3*(1-(2*AD3)))</f>
        <v>36325.416364517048</v>
      </c>
      <c r="BC3" s="37">
        <f t="shared" ref="BC3:BC33" si="23">S3/(3*(1-(2*AE3)))</f>
        <v>36308.296107474693</v>
      </c>
      <c r="BD3" s="37">
        <f t="shared" ref="BD3:BD33" si="24">T3/(3*(1-(2*AF3)))</f>
        <v>36730.628964166252</v>
      </c>
      <c r="BE3" s="37">
        <f t="shared" ref="BE3:BE33" si="25">U3/(3*(1-(2*AG3)))</f>
        <v>37797.204821109102</v>
      </c>
    </row>
    <row r="4" spans="1:308" x14ac:dyDescent="0.25">
      <c r="A4" s="2">
        <f>'creep_res-40'!A4</f>
        <v>1E-14</v>
      </c>
      <c r="B4" s="3">
        <f>'creep_res-40'!O4</f>
        <v>-3.1956785142857146E-4</v>
      </c>
      <c r="C4" s="2">
        <f>IF('Modell einstellen'!$B$2="Ja",creep_res0!O4,creep_res0!C4)</f>
        <v>-3.3142164571428574E-4</v>
      </c>
      <c r="D4" s="2">
        <f>IF('Modell einstellen'!$B$2="Ja",creep_res25!O4,creep_res25!C4)</f>
        <v>-3.3902407428571435E-4</v>
      </c>
      <c r="E4" s="2">
        <f>IF('Modell einstellen'!$B$2="Ja",creep_res50!O4,creep_res50!C4)</f>
        <v>-3.4632799428571432E-4</v>
      </c>
      <c r="F4" s="2">
        <f>IF('Modell einstellen'!$B$2="Ja",creep_res80!O4,creep_res80!C4)</f>
        <v>-3.5648601714285716E-4</v>
      </c>
      <c r="G4" s="2">
        <f>IF('Modell einstellen'!$B$2="Ja",creep_res125!O4,creep_res125!C4)</f>
        <v>-3.8212683428571429E-4</v>
      </c>
      <c r="H4" s="2">
        <f>IF('Modell einstellen'!$B$2="Ja",creep_res160!O4,creep_res160!C4)</f>
        <v>-4.1063771428571428E-4</v>
      </c>
      <c r="M4" s="9">
        <f t="shared" ref="M4:M32" si="26">M3</f>
        <v>-10</v>
      </c>
      <c r="N4" s="2">
        <f t="shared" si="4"/>
        <v>1E-14</v>
      </c>
      <c r="O4" s="2">
        <f t="shared" si="5"/>
        <v>31292.259078304567</v>
      </c>
      <c r="P4" s="2">
        <f t="shared" si="6"/>
        <v>30173.044305684456</v>
      </c>
      <c r="Q4" s="2">
        <f t="shared" si="7"/>
        <v>29496.430367279601</v>
      </c>
      <c r="R4" s="2">
        <f t="shared" ref="R4:R33" si="27">$M$3/E4</f>
        <v>28874.362353018976</v>
      </c>
      <c r="S4" s="2">
        <f t="shared" si="8"/>
        <v>28051.591139948217</v>
      </c>
      <c r="T4" s="2">
        <f t="shared" si="9"/>
        <v>26169.321551815046</v>
      </c>
      <c r="U4" s="2">
        <f t="shared" si="10"/>
        <v>24352.366215057835</v>
      </c>
      <c r="Z4" s="2">
        <v>1E-14</v>
      </c>
      <c r="AA4" s="3">
        <f>IF('Modell einstellen'!$B$2="Ja",'creep_res-40'!P4,'creep_res-40'!L4)</f>
        <v>0.35754452968932648</v>
      </c>
      <c r="AB4" s="2">
        <f>IF('Modell einstellen'!$B$2="Ja",creep_res0!P4,creep_res0!L4)</f>
        <v>0.36297230900756061</v>
      </c>
      <c r="AC4" s="2">
        <f>IF('Modell einstellen'!$B$2="Ja",creep_res25!P4,creep_res25!L4)</f>
        <v>0.36599684880364075</v>
      </c>
      <c r="AD4" s="2">
        <f>IF('Modell einstellen'!$B$2="Ja",creep_res50!P4,creep_res50!L4)</f>
        <v>0.36882736050098436</v>
      </c>
      <c r="AE4" s="2">
        <f>IF('Modell einstellen'!$B$2="Ja",creep_res80!P4,creep_res80!L4)</f>
        <v>0.37282252529303772</v>
      </c>
      <c r="AF4" s="2">
        <f>IF('Modell einstellen'!$B$2="Ja",creep_res125!P4,creep_res125!L4)</f>
        <v>0.38359013961497546</v>
      </c>
      <c r="AG4" s="2">
        <f>IF('Modell einstellen'!$B$2="Ja",creep_res160!P4,creep_res160!L4)</f>
        <v>0.39584943836485698</v>
      </c>
      <c r="AL4" s="2">
        <f t="shared" si="11"/>
        <v>1E-14</v>
      </c>
      <c r="AM4" s="2">
        <f t="shared" si="12"/>
        <v>11525.315889809444</v>
      </c>
      <c r="AN4" s="2">
        <f t="shared" si="13"/>
        <v>11068.839809245561</v>
      </c>
      <c r="AO4" s="2">
        <f t="shared" si="14"/>
        <v>10796.668525667899</v>
      </c>
      <c r="AP4" s="2">
        <f t="shared" si="15"/>
        <v>10547.11616169445</v>
      </c>
      <c r="AQ4" s="2">
        <f t="shared" si="16"/>
        <v>10216.758037955571</v>
      </c>
      <c r="AR4" s="2">
        <f t="shared" si="17"/>
        <v>9457.0352890406648</v>
      </c>
      <c r="AS4" s="2">
        <f t="shared" si="18"/>
        <v>8723.1350121775959</v>
      </c>
      <c r="AX4" s="2">
        <f t="shared" ref="AX4:AX32" si="28">AL4</f>
        <v>1E-14</v>
      </c>
      <c r="AY4" s="37">
        <f t="shared" si="19"/>
        <v>36610.57382827648</v>
      </c>
      <c r="AZ4" s="37">
        <f t="shared" si="20"/>
        <v>36699.448711367004</v>
      </c>
      <c r="BA4" s="37">
        <f t="shared" si="21"/>
        <v>36686.239718917139</v>
      </c>
      <c r="BB4" s="37">
        <f t="shared" si="22"/>
        <v>36687.481046985231</v>
      </c>
      <c r="BC4" s="37">
        <f t="shared" si="23"/>
        <v>36761.739457116491</v>
      </c>
      <c r="BD4" s="37">
        <f t="shared" si="24"/>
        <v>37467.217790171519</v>
      </c>
      <c r="BE4" s="37">
        <f t="shared" si="25"/>
        <v>38969.811000425005</v>
      </c>
      <c r="BF4" s="5"/>
      <c r="BG4" s="5"/>
    </row>
    <row r="5" spans="1:308" x14ac:dyDescent="0.25">
      <c r="A5" s="2">
        <f>'creep_res-40'!A5</f>
        <v>1E-13</v>
      </c>
      <c r="B5" s="3">
        <f>'creep_res-40'!O5</f>
        <v>-3.2602421142857144E-4</v>
      </c>
      <c r="C5" s="2">
        <f>IF('Modell einstellen'!$B$2="Ja",creep_res0!O5,creep_res0!C5)</f>
        <v>-3.362832742857143E-4</v>
      </c>
      <c r="D5" s="2">
        <f>IF('Modell einstellen'!$B$2="Ja",creep_res25!O5,creep_res25!C5)</f>
        <v>-3.4420747428571429E-4</v>
      </c>
      <c r="E5" s="2">
        <f>IF('Modell einstellen'!$B$2="Ja",creep_res50!O5,creep_res50!C5)</f>
        <v>-3.5206168571428573E-4</v>
      </c>
      <c r="F5" s="2">
        <f>IF('Modell einstellen'!$B$2="Ja",creep_res80!O5,creep_res80!C5)</f>
        <v>-3.6348173142857149E-4</v>
      </c>
      <c r="G5" s="2">
        <f>IF('Modell einstellen'!$B$2="Ja",creep_res125!O5,creep_res125!C5)</f>
        <v>-3.9116091428571429E-4</v>
      </c>
      <c r="H5" s="2">
        <f>IF('Modell einstellen'!$B$2="Ja",creep_res160!O5,creep_res160!C5)</f>
        <v>-4.2372155999999999E-4</v>
      </c>
      <c r="M5" s="9">
        <f t="shared" si="26"/>
        <v>-10</v>
      </c>
      <c r="N5" s="2">
        <f t="shared" si="4"/>
        <v>1E-13</v>
      </c>
      <c r="O5" s="2">
        <f t="shared" si="5"/>
        <v>30672.568629740854</v>
      </c>
      <c r="P5" s="2">
        <f t="shared" si="6"/>
        <v>29736.834284252152</v>
      </c>
      <c r="Q5" s="2">
        <f t="shared" si="7"/>
        <v>29052.245366698105</v>
      </c>
      <c r="R5" s="2">
        <f t="shared" si="27"/>
        <v>28404.113272682163</v>
      </c>
      <c r="S5" s="2">
        <f t="shared" si="8"/>
        <v>27511.699035595466</v>
      </c>
      <c r="T5" s="2">
        <f t="shared" si="9"/>
        <v>25564.926440211086</v>
      </c>
      <c r="U5" s="2">
        <f t="shared" si="10"/>
        <v>23600.404001155854</v>
      </c>
      <c r="Z5" s="2">
        <v>1E-13</v>
      </c>
      <c r="AA5" s="3">
        <f>IF('Modell einstellen'!$B$2="Ja",'creep_res-40'!P5,'creep_res-40'!L5)</f>
        <v>0.36165310562298819</v>
      </c>
      <c r="AB5" s="2">
        <f>IF('Modell einstellen'!$B$2="Ja",creep_res0!P5,creep_res0!L5)</f>
        <v>0.36587720016252284</v>
      </c>
      <c r="AC5" s="2">
        <f>IF('Modell einstellen'!$B$2="Ja",creep_res25!P5,creep_res25!L5)</f>
        <v>0.3690881917928967</v>
      </c>
      <c r="AD5" s="2">
        <f>IF('Modell einstellen'!$B$2="Ja",creep_res50!P5,creep_res50!L5)</f>
        <v>0.37219336319227825</v>
      </c>
      <c r="AE5" s="2">
        <f>IF('Modell einstellen'!$B$2="Ja",creep_res80!P5,creep_res80!L5)</f>
        <v>0.37683979967521414</v>
      </c>
      <c r="AF5" s="2">
        <f>IF('Modell einstellen'!$B$2="Ja",creep_res125!P5,creep_res125!L5)</f>
        <v>0.38879803357507531</v>
      </c>
      <c r="AG5" s="2">
        <f>IF('Modell einstellen'!$B$2="Ja",creep_res160!P5,creep_res160!L5)</f>
        <v>0.40270842012381908</v>
      </c>
      <c r="AL5" s="2">
        <f t="shared" si="11"/>
        <v>1E-13</v>
      </c>
      <c r="AM5" s="2">
        <f t="shared" si="12"/>
        <v>11262.989267632682</v>
      </c>
      <c r="AN5" s="2">
        <f t="shared" si="13"/>
        <v>10885.617784934777</v>
      </c>
      <c r="AO5" s="2">
        <f t="shared" si="14"/>
        <v>10610.07082701246</v>
      </c>
      <c r="AP5" s="2">
        <f t="shared" si="15"/>
        <v>10349.894568285434</v>
      </c>
      <c r="AQ5" s="2">
        <f t="shared" si="16"/>
        <v>9990.8860283110862</v>
      </c>
      <c r="AR5" s="2">
        <f t="shared" si="17"/>
        <v>9203.9756041421206</v>
      </c>
      <c r="AS5" s="2">
        <f t="shared" si="18"/>
        <v>8412.4411255307823</v>
      </c>
      <c r="AX5" s="2">
        <f t="shared" si="28"/>
        <v>1E-13</v>
      </c>
      <c r="AY5" s="37">
        <f t="shared" si="19"/>
        <v>36951.279568968181</v>
      </c>
      <c r="AZ5" s="37">
        <f t="shared" si="20"/>
        <v>36952.248636182238</v>
      </c>
      <c r="BA5" s="37">
        <f t="shared" si="21"/>
        <v>36987.044642982437</v>
      </c>
      <c r="BB5" s="37">
        <f t="shared" si="22"/>
        <v>37040.477685853191</v>
      </c>
      <c r="BC5" s="37">
        <f t="shared" si="23"/>
        <v>37230.23477152027</v>
      </c>
      <c r="BD5" s="37">
        <f t="shared" si="24"/>
        <v>38316.058702479007</v>
      </c>
      <c r="BE5" s="37">
        <f t="shared" si="25"/>
        <v>40428.993668981318</v>
      </c>
    </row>
    <row r="6" spans="1:308" x14ac:dyDescent="0.25">
      <c r="A6" s="2">
        <f>'creep_res-40'!A6</f>
        <v>9.9999999999999998E-13</v>
      </c>
      <c r="B6" s="3">
        <f>'creep_res-40'!O6</f>
        <v>-3.3090011428571432E-4</v>
      </c>
      <c r="C6" s="2">
        <f>IF('Modell einstellen'!$B$2="Ja",creep_res0!O6,creep_res0!C6)</f>
        <v>-3.4131923428571434E-4</v>
      </c>
      <c r="D6" s="2">
        <f>IF('Modell einstellen'!$B$2="Ja",creep_res25!O6,creep_res25!C6)</f>
        <v>-3.4984034857142864E-4</v>
      </c>
      <c r="E6" s="2">
        <f>IF('Modell einstellen'!$B$2="Ja",creep_res50!O6,creep_res50!C6)</f>
        <v>-3.5859454857142857E-4</v>
      </c>
      <c r="F6" s="2">
        <f>IF('Modell einstellen'!$B$2="Ja",creep_res80!O6,creep_res80!C6)</f>
        <v>-3.7166670857142863E-4</v>
      </c>
      <c r="G6" s="2">
        <f>IF('Modell einstellen'!$B$2="Ja",creep_res125!O6,creep_res125!C6)</f>
        <v>-4.0084070285714289E-4</v>
      </c>
      <c r="H6" s="2">
        <f>IF('Modell einstellen'!$B$2="Ja",creep_res160!O6,creep_res160!C6)</f>
        <v>-4.3944785714285716E-4</v>
      </c>
      <c r="M6" s="9">
        <f t="shared" si="26"/>
        <v>-10</v>
      </c>
      <c r="N6" s="2">
        <f t="shared" si="4"/>
        <v>9.9999999999999998E-13</v>
      </c>
      <c r="O6" s="2">
        <f t="shared" si="5"/>
        <v>30220.600018788577</v>
      </c>
      <c r="P6" s="2">
        <f t="shared" si="6"/>
        <v>29298.085180951497</v>
      </c>
      <c r="Q6" s="2">
        <f t="shared" si="7"/>
        <v>28584.467288678825</v>
      </c>
      <c r="R6" s="2">
        <f t="shared" si="27"/>
        <v>27886.648137396591</v>
      </c>
      <c r="S6" s="2">
        <f t="shared" si="8"/>
        <v>26905.826562828006</v>
      </c>
      <c r="T6" s="2">
        <f t="shared" si="9"/>
        <v>24947.566274385907</v>
      </c>
      <c r="U6" s="2">
        <f t="shared" si="10"/>
        <v>22755.828336532693</v>
      </c>
      <c r="Z6" s="2">
        <v>9.9999999999999998E-13</v>
      </c>
      <c r="AA6" s="3">
        <f>IF('Modell einstellen'!$B$2="Ja",'creep_res-40'!P6,'creep_res-40'!L6)</f>
        <v>0.36466108374180073</v>
      </c>
      <c r="AB6" s="2">
        <f>IF('Modell einstellen'!$B$2="Ja",creep_res0!P6,creep_res0!L6)</f>
        <v>0.36887831159186607</v>
      </c>
      <c r="AC6" s="2">
        <f>IF('Modell einstellen'!$B$2="Ja",creep_res25!P6,creep_res25!L6)</f>
        <v>0.37241990268834624</v>
      </c>
      <c r="AD6" s="2">
        <f>IF('Modell einstellen'!$B$2="Ja",creep_res50!P6,creep_res50!L6)</f>
        <v>0.37599507129787302</v>
      </c>
      <c r="AE6" s="2">
        <f>IF('Modell einstellen'!$B$2="Ja",creep_res80!P6,creep_res80!L6)</f>
        <v>0.38110433627523177</v>
      </c>
      <c r="AF6" s="2">
        <f>IF('Modell einstellen'!$B$2="Ja",creep_res125!P6,creep_res125!L6)</f>
        <v>0.39369396518229266</v>
      </c>
      <c r="AG6" s="2">
        <f>IF('Modell einstellen'!$B$2="Ja",creep_res160!P6,creep_res160!L6)</f>
        <v>0.41091348721691345</v>
      </c>
      <c r="AL6" s="2">
        <f t="shared" si="11"/>
        <v>9.9999999999999998E-13</v>
      </c>
      <c r="AM6" s="2">
        <f t="shared" si="12"/>
        <v>11072.566067439215</v>
      </c>
      <c r="AN6" s="2">
        <f t="shared" si="13"/>
        <v>10701.493672903915</v>
      </c>
      <c r="AO6" s="2">
        <f t="shared" si="14"/>
        <v>10413.892727978708</v>
      </c>
      <c r="AP6" s="2">
        <f t="shared" si="15"/>
        <v>10133.265997491257</v>
      </c>
      <c r="AQ6" s="2">
        <f t="shared" si="16"/>
        <v>9740.6929571272121</v>
      </c>
      <c r="AR6" s="2">
        <f t="shared" si="17"/>
        <v>8950.159395690147</v>
      </c>
      <c r="AS6" s="2">
        <f t="shared" si="18"/>
        <v>8064.2181617455262</v>
      </c>
      <c r="AX6" s="2">
        <f t="shared" si="28"/>
        <v>9.9999999999999998E-13</v>
      </c>
      <c r="AY6" s="37">
        <f t="shared" si="19"/>
        <v>37215.952432993952</v>
      </c>
      <c r="AZ6" s="37">
        <f t="shared" si="20"/>
        <v>37240.32428278539</v>
      </c>
      <c r="BA6" s="37">
        <f t="shared" si="21"/>
        <v>37341.858031419586</v>
      </c>
      <c r="BB6" s="37">
        <f t="shared" si="22"/>
        <v>37480.564185723189</v>
      </c>
      <c r="BC6" s="37">
        <f t="shared" si="23"/>
        <v>37716.299204306764</v>
      </c>
      <c r="BD6" s="37">
        <f t="shared" si="24"/>
        <v>39112.809724562008</v>
      </c>
      <c r="BE6" s="37">
        <f t="shared" si="25"/>
        <v>42572.527957439939</v>
      </c>
    </row>
    <row r="7" spans="1:308" x14ac:dyDescent="0.25">
      <c r="A7" s="2">
        <f>'creep_res-40'!A7</f>
        <v>9.9999999999999994E-12</v>
      </c>
      <c r="B7" s="3">
        <f>'creep_res-40'!O7</f>
        <v>-3.3562091428571432E-4</v>
      </c>
      <c r="C7" s="2">
        <f>IF('Modell einstellen'!$B$2="Ja",creep_res0!O7,creep_res0!C7)</f>
        <v>-3.4687351428571431E-4</v>
      </c>
      <c r="D7" s="2">
        <f>IF('Modell einstellen'!$B$2="Ja",creep_res25!O7,creep_res25!C7)</f>
        <v>-3.5637131428571434E-4</v>
      </c>
      <c r="E7" s="2">
        <f>IF('Modell einstellen'!$B$2="Ja",creep_res50!O7,creep_res50!C7)</f>
        <v>-3.6596454857142861E-4</v>
      </c>
      <c r="F7" s="2">
        <f>IF('Modell einstellen'!$B$2="Ja",creep_res80!O7,creep_res80!C7)</f>
        <v>-3.8023785142857143E-4</v>
      </c>
      <c r="G7" s="2">
        <f>IF('Modell einstellen'!$B$2="Ja",creep_res125!O7,creep_res125!C7)</f>
        <v>-4.1181157714285721E-4</v>
      </c>
      <c r="H7" s="2">
        <f>IF('Modell einstellen'!$B$2="Ja",creep_res160!O7,creep_res160!C7)</f>
        <v>-4.5578372000000007E-4</v>
      </c>
      <c r="M7" s="9">
        <f t="shared" si="26"/>
        <v>-10</v>
      </c>
      <c r="N7" s="2">
        <f t="shared" si="4"/>
        <v>9.9999999999999994E-12</v>
      </c>
      <c r="O7" s="2">
        <f t="shared" si="5"/>
        <v>29795.52100107502</v>
      </c>
      <c r="P7" s="2">
        <f t="shared" si="6"/>
        <v>28828.952307275773</v>
      </c>
      <c r="Q7" s="2">
        <f t="shared" si="7"/>
        <v>28060.619918422162</v>
      </c>
      <c r="R7" s="2">
        <f t="shared" si="27"/>
        <v>27325.05112595137</v>
      </c>
      <c r="S7" s="2">
        <f t="shared" si="8"/>
        <v>26299.328071704411</v>
      </c>
      <c r="T7" s="2">
        <f t="shared" si="9"/>
        <v>24282.950152542715</v>
      </c>
      <c r="U7" s="2">
        <f t="shared" si="10"/>
        <v>21940.230774368156</v>
      </c>
      <c r="Z7" s="2">
        <v>9.9999999999999994E-12</v>
      </c>
      <c r="AA7" s="3">
        <f>IF('Modell einstellen'!$B$2="Ja",'creep_res-40'!P7,'creep_res-40'!L7)</f>
        <v>0.36754144046190884</v>
      </c>
      <c r="AB7" s="2">
        <f>IF('Modell einstellen'!$B$2="Ja",creep_res0!P7,creep_res0!L7)</f>
        <v>0.37218976402514115</v>
      </c>
      <c r="AC7" s="2">
        <f>IF('Modell einstellen'!$B$2="Ja",creep_res25!P7,creep_res25!L7)</f>
        <v>0.37626908563107048</v>
      </c>
      <c r="AD7" s="2">
        <f>IF('Modell einstellen'!$B$2="Ja",creep_res50!P7,creep_res50!L7)</f>
        <v>0.38026229738162298</v>
      </c>
      <c r="AE7" s="2">
        <f>IF('Modell einstellen'!$B$2="Ja",creep_res80!P7,creep_res80!L7)</f>
        <v>0.38619855445668116</v>
      </c>
      <c r="AF7" s="2">
        <f>IF('Modell einstellen'!$B$2="Ja",creep_res125!P7,creep_res125!L7)</f>
        <v>0.39955299390320337</v>
      </c>
      <c r="AG7" s="2">
        <f>IF('Modell einstellen'!$B$2="Ja",creep_res160!P7,creep_res160!L7)</f>
        <v>0.4194424245153569</v>
      </c>
      <c r="AL7" s="2">
        <f t="shared" si="11"/>
        <v>9.9999999999999994E-12</v>
      </c>
      <c r="AM7" s="2">
        <f t="shared" si="12"/>
        <v>10893.827462738938</v>
      </c>
      <c r="AN7" s="2">
        <f t="shared" si="13"/>
        <v>10504.725025316387</v>
      </c>
      <c r="AO7" s="2">
        <f t="shared" si="14"/>
        <v>10194.452600653791</v>
      </c>
      <c r="AP7" s="2">
        <f t="shared" si="15"/>
        <v>9898.4994293430227</v>
      </c>
      <c r="AQ7" s="2">
        <f t="shared" si="16"/>
        <v>9486.1331326421696</v>
      </c>
      <c r="AR7" s="2">
        <f t="shared" si="17"/>
        <v>8675.2521191856285</v>
      </c>
      <c r="AS7" s="2">
        <f t="shared" si="18"/>
        <v>7728.4680221740073</v>
      </c>
      <c r="AX7" s="2">
        <f t="shared" si="28"/>
        <v>9.9999999999999994E-12</v>
      </c>
      <c r="AY7" s="37">
        <f t="shared" si="19"/>
        <v>37490.368188835579</v>
      </c>
      <c r="AZ7" s="37">
        <f t="shared" si="20"/>
        <v>37593.431761530461</v>
      </c>
      <c r="BA7" s="37">
        <f t="shared" si="21"/>
        <v>37797.91016866592</v>
      </c>
      <c r="BB7" s="37">
        <f t="shared" si="22"/>
        <v>38034.596355781418</v>
      </c>
      <c r="BC7" s="37">
        <f t="shared" si="23"/>
        <v>38516.394272123573</v>
      </c>
      <c r="BD7" s="37">
        <f t="shared" si="24"/>
        <v>40291.478223423001</v>
      </c>
      <c r="BE7" s="37">
        <f t="shared" si="25"/>
        <v>45392.44269781241</v>
      </c>
    </row>
    <row r="8" spans="1:308" x14ac:dyDescent="0.25">
      <c r="A8" s="2">
        <f>'creep_res-40'!A8</f>
        <v>1E-10</v>
      </c>
      <c r="B8" s="3">
        <f>'creep_res-40'!O8</f>
        <v>-3.4095297142857148E-4</v>
      </c>
      <c r="C8" s="2">
        <f>IF('Modell einstellen'!$B$2="Ja",creep_res0!O8,creep_res0!C8)</f>
        <v>-3.5323632000000007E-4</v>
      </c>
      <c r="D8" s="2">
        <f>IF('Modell einstellen'!$B$2="Ja",creep_res25!O8,creep_res25!C8)</f>
        <v>-3.6370544000000001E-4</v>
      </c>
      <c r="E8" s="2">
        <f>IF('Modell einstellen'!$B$2="Ja",creep_res50!O8,creep_res50!C8)</f>
        <v>-3.7513532571428575E-4</v>
      </c>
      <c r="F8" s="2">
        <f>IF('Modell einstellen'!$B$2="Ja",creep_res80!O8,creep_res80!C8)</f>
        <v>-3.8966249142857143E-4</v>
      </c>
      <c r="G8" s="2">
        <f>IF('Modell einstellen'!$B$2="Ja",creep_res125!O8,creep_res125!C8)</f>
        <v>-4.2589937714285713E-4</v>
      </c>
      <c r="H8" s="2">
        <f>IF('Modell einstellen'!$B$2="Ja",creep_res160!O8,creep_res160!C8)</f>
        <v>-4.6982645714285716E-4</v>
      </c>
      <c r="M8" s="9">
        <f t="shared" si="26"/>
        <v>-10</v>
      </c>
      <c r="N8" s="2">
        <f t="shared" si="4"/>
        <v>1E-10</v>
      </c>
      <c r="O8" s="2">
        <f t="shared" si="5"/>
        <v>29329.558144340641</v>
      </c>
      <c r="P8" s="2">
        <f t="shared" si="6"/>
        <v>28309.659663536291</v>
      </c>
      <c r="Q8" s="2">
        <f t="shared" si="7"/>
        <v>27494.777092143577</v>
      </c>
      <c r="R8" s="2">
        <f t="shared" si="27"/>
        <v>26657.046976205856</v>
      </c>
      <c r="S8" s="2">
        <f t="shared" si="8"/>
        <v>25663.234773606862</v>
      </c>
      <c r="T8" s="2">
        <f t="shared" si="9"/>
        <v>23479.724405996851</v>
      </c>
      <c r="U8" s="2">
        <f t="shared" si="10"/>
        <v>21284.454819366129</v>
      </c>
      <c r="Z8" s="2">
        <v>1E-10</v>
      </c>
      <c r="AA8" s="3">
        <f>IF('Modell einstellen'!$B$2="Ja",'creep_res-40'!P8,'creep_res-40'!L8)</f>
        <v>0.370804888550193</v>
      </c>
      <c r="AB8" s="2">
        <f>IF('Modell einstellen'!$B$2="Ja",creep_res0!P8,creep_res0!L8)</f>
        <v>0.37597974879010976</v>
      </c>
      <c r="AC8" s="2">
        <f>IF('Modell einstellen'!$B$2="Ja",creep_res25!P8,creep_res25!L8)</f>
        <v>0.38057450321022734</v>
      </c>
      <c r="AD8" s="2">
        <f>IF('Modell einstellen'!$B$2="Ja",creep_res50!P8,creep_res50!L8)</f>
        <v>0.38504326712911008</v>
      </c>
      <c r="AE8" s="2">
        <f>IF('Modell einstellen'!$B$2="Ja",creep_res80!P8,creep_res80!L8)</f>
        <v>0.39106679808589229</v>
      </c>
      <c r="AF8" s="2">
        <f>IF('Modell einstellen'!$B$2="Ja",creep_res125!P8,creep_res125!L8)</f>
        <v>0.40706586214307822</v>
      </c>
      <c r="AG8" s="2">
        <f>IF('Modell einstellen'!$B$2="Ja",creep_res160!P8,creep_res160!L8)</f>
        <v>0.42678749588145798</v>
      </c>
      <c r="AL8" s="2">
        <f t="shared" si="11"/>
        <v>1E-10</v>
      </c>
      <c r="AM8" s="2">
        <f t="shared" si="12"/>
        <v>10697.933159313619</v>
      </c>
      <c r="AN8" s="2">
        <f t="shared" si="13"/>
        <v>10287.091684462941</v>
      </c>
      <c r="AO8" s="2">
        <f t="shared" si="14"/>
        <v>9957.7302884452874</v>
      </c>
      <c r="AP8" s="2">
        <f t="shared" si="15"/>
        <v>9623.1820365655622</v>
      </c>
      <c r="AQ8" s="2">
        <f t="shared" si="16"/>
        <v>9224.2999433670138</v>
      </c>
      <c r="AR8" s="2">
        <f t="shared" si="17"/>
        <v>8343.5058150850455</v>
      </c>
      <c r="AS8" s="2">
        <f t="shared" si="18"/>
        <v>7458.8734765357476</v>
      </c>
      <c r="AX8" s="2">
        <f t="shared" si="28"/>
        <v>1E-10</v>
      </c>
      <c r="AY8" s="37">
        <f t="shared" si="19"/>
        <v>37836.258940978238</v>
      </c>
      <c r="AZ8" s="37">
        <f t="shared" si="20"/>
        <v>38044.404559415321</v>
      </c>
      <c r="BA8" s="37">
        <f t="shared" si="21"/>
        <v>38370.8920780728</v>
      </c>
      <c r="BB8" s="37">
        <f t="shared" si="22"/>
        <v>38647.942158297199</v>
      </c>
      <c r="BC8" s="37">
        <f t="shared" si="23"/>
        <v>39264.482457549166</v>
      </c>
      <c r="BD8" s="37">
        <f t="shared" si="24"/>
        <v>42108.179956694046</v>
      </c>
      <c r="BE8" s="37">
        <f t="shared" si="25"/>
        <v>48453.596544344859</v>
      </c>
    </row>
    <row r="9" spans="1:308" x14ac:dyDescent="0.25">
      <c r="A9" s="2">
        <f>'creep_res-40'!A9</f>
        <v>1.0000000000000001E-9</v>
      </c>
      <c r="B9" s="3">
        <f>'creep_res-40'!O9</f>
        <v>-3.4677661714285719E-4</v>
      </c>
      <c r="C9" s="2">
        <f>IF('Modell einstellen'!$B$2="Ja",creep_res0!O9,creep_res0!C9)</f>
        <v>-3.604695828571429E-4</v>
      </c>
      <c r="D9" s="2">
        <f>IF('Modell einstellen'!$B$2="Ja",creep_res25!O9,creep_res25!C9)</f>
        <v>-3.7287631428571427E-4</v>
      </c>
      <c r="E9" s="2">
        <f>IF('Modell einstellen'!$B$2="Ja",creep_res50!O9,creep_res50!C9)</f>
        <v>-3.8366720571428569E-4</v>
      </c>
      <c r="F9" s="2">
        <f>IF('Modell einstellen'!$B$2="Ja",creep_res80!O9,creep_res80!C9)</f>
        <v>-3.9857573142857144E-4</v>
      </c>
      <c r="G9" s="2">
        <f>IF('Modell einstellen'!$B$2="Ja",creep_res125!O9,creep_res125!C9)</f>
        <v>-4.420115542857143E-4</v>
      </c>
      <c r="H9" s="2">
        <f>IF('Modell einstellen'!$B$2="Ja",creep_res160!O9,creep_res160!C9)</f>
        <v>-4.8496462857142863E-4</v>
      </c>
      <c r="M9" s="9">
        <f t="shared" si="26"/>
        <v>-10</v>
      </c>
      <c r="N9" s="2">
        <f t="shared" si="4"/>
        <v>1.0000000000000001E-9</v>
      </c>
      <c r="O9" s="2">
        <f t="shared" si="5"/>
        <v>28837.00776134057</v>
      </c>
      <c r="P9" s="2">
        <f t="shared" si="6"/>
        <v>27741.591733589026</v>
      </c>
      <c r="Q9" s="2">
        <f t="shared" si="7"/>
        <v>26818.544425800024</v>
      </c>
      <c r="R9" s="2">
        <f t="shared" si="27"/>
        <v>26064.255300065783</v>
      </c>
      <c r="S9" s="2">
        <f t="shared" si="8"/>
        <v>25089.33487786146</v>
      </c>
      <c r="T9" s="2">
        <f t="shared" si="9"/>
        <v>22623.842981118192</v>
      </c>
      <c r="U9" s="2">
        <f t="shared" si="10"/>
        <v>20620.060538141159</v>
      </c>
      <c r="Z9" s="2">
        <v>1.0000000000000001E-9</v>
      </c>
      <c r="AA9" s="3">
        <f>IF('Modell einstellen'!$B$2="Ja",'creep_res-40'!P9,'creep_res-40'!L9)</f>
        <v>0.37435791518518591</v>
      </c>
      <c r="AB9" s="2">
        <f>IF('Modell einstellen'!$B$2="Ja",creep_res0!P9,creep_res0!L9)</f>
        <v>0.38028240528223994</v>
      </c>
      <c r="AC9" s="2">
        <f>IF('Modell einstellen'!$B$2="Ja",creep_res25!P9,creep_res25!L9)</f>
        <v>0.38540557799671754</v>
      </c>
      <c r="AD9" s="2">
        <f>IF('Modell einstellen'!$B$2="Ja",creep_res50!P9,creep_res50!L9)</f>
        <v>0.3902517391523288</v>
      </c>
      <c r="AE9" s="2">
        <f>IF('Modell einstellen'!$B$2="Ja",creep_res80!P9,creep_res80!L9)</f>
        <v>0.3963879931160027</v>
      </c>
      <c r="AF9" s="2">
        <f>IF('Modell einstellen'!$B$2="Ja",creep_res125!P9,creep_res125!L9)</f>
        <v>0.41566795758745645</v>
      </c>
      <c r="AG9" s="2">
        <f>IF('Modell einstellen'!$B$2="Ja",creep_res160!P9,creep_res160!L9)</f>
        <v>0.43465181142518666</v>
      </c>
      <c r="AL9" s="2">
        <f t="shared" si="11"/>
        <v>1.0000000000000001E-9</v>
      </c>
      <c r="AM9" s="2">
        <f t="shared" si="12"/>
        <v>10491.083669953241</v>
      </c>
      <c r="AN9" s="2">
        <f t="shared" si="13"/>
        <v>10049.244860118473</v>
      </c>
      <c r="AO9" s="2">
        <f t="shared" si="14"/>
        <v>9678.9506451169946</v>
      </c>
      <c r="AP9" s="2">
        <f t="shared" si="15"/>
        <v>9373.9337150399151</v>
      </c>
      <c r="AQ9" s="2">
        <f t="shared" si="16"/>
        <v>8983.6546151744242</v>
      </c>
      <c r="AR9" s="2">
        <f t="shared" si="17"/>
        <v>7990.5188430178014</v>
      </c>
      <c r="AS9" s="2">
        <f t="shared" si="18"/>
        <v>7186.4338001487413</v>
      </c>
      <c r="AX9" s="2">
        <f t="shared" si="28"/>
        <v>1.0000000000000001E-9</v>
      </c>
      <c r="AY9" s="37">
        <f t="shared" si="19"/>
        <v>38252.851083355687</v>
      </c>
      <c r="AZ9" s="37">
        <f t="shared" si="20"/>
        <v>38620.878018516763</v>
      </c>
      <c r="BA9" s="37">
        <f t="shared" si="21"/>
        <v>39005.017226510136</v>
      </c>
      <c r="BB9" s="37">
        <f t="shared" si="22"/>
        <v>39581.880536953788</v>
      </c>
      <c r="BC9" s="37">
        <f t="shared" si="23"/>
        <v>40357.830513393368</v>
      </c>
      <c r="BD9" s="37">
        <f t="shared" si="24"/>
        <v>44711.836556826791</v>
      </c>
      <c r="BE9" s="37">
        <f t="shared" si="25"/>
        <v>52590.237484890778</v>
      </c>
    </row>
    <row r="10" spans="1:308" x14ac:dyDescent="0.25">
      <c r="A10" s="2">
        <f>'creep_res-40'!A10</f>
        <v>1E-8</v>
      </c>
      <c r="B10" s="3">
        <f>'creep_res-40'!O10</f>
        <v>-3.5371800571428575E-4</v>
      </c>
      <c r="C10" s="2">
        <f>IF('Modell einstellen'!$B$2="Ja",creep_res0!O10,creep_res0!C10)</f>
        <v>-3.6940146857142862E-4</v>
      </c>
      <c r="D10" s="2">
        <f>IF('Modell einstellen'!$B$2="Ja",creep_res25!O10,creep_res25!C10)</f>
        <v>-3.8131252000000001E-4</v>
      </c>
      <c r="E10" s="2">
        <f>IF('Modell einstellen'!$B$2="Ja",creep_res50!O10,creep_res50!C10)</f>
        <v>-3.9319581142857146E-4</v>
      </c>
      <c r="F10" s="2">
        <f>IF('Modell einstellen'!$B$2="Ja",creep_res80!O10,creep_res80!C10)</f>
        <v>-4.1107237714285716E-4</v>
      </c>
      <c r="G10" s="2">
        <f>IF('Modell einstellen'!$B$2="Ja",creep_res125!O10,creep_res125!C10)</f>
        <v>-4.5721752571428574E-4</v>
      </c>
      <c r="H10" s="2">
        <f>IF('Modell einstellen'!$B$2="Ja",creep_res160!O10,creep_res160!C10)</f>
        <v>-5.0056704571428581E-4</v>
      </c>
      <c r="M10" s="9">
        <f t="shared" si="26"/>
        <v>-10</v>
      </c>
      <c r="N10" s="2">
        <f t="shared" si="4"/>
        <v>1E-8</v>
      </c>
      <c r="O10" s="2">
        <f t="shared" si="5"/>
        <v>28271.10816653608</v>
      </c>
      <c r="P10" s="2">
        <f t="shared" si="6"/>
        <v>27070.818204033123</v>
      </c>
      <c r="Q10" s="2">
        <f t="shared" si="7"/>
        <v>26225.207606610977</v>
      </c>
      <c r="R10" s="2">
        <f t="shared" si="27"/>
        <v>25432.620870674291</v>
      </c>
      <c r="S10" s="2">
        <f t="shared" si="8"/>
        <v>24326.616323637743</v>
      </c>
      <c r="T10" s="2">
        <f t="shared" si="9"/>
        <v>21871.427575698352</v>
      </c>
      <c r="U10" s="2">
        <f t="shared" si="10"/>
        <v>19977.343865556446</v>
      </c>
      <c r="Z10" s="2">
        <v>1E-8</v>
      </c>
      <c r="AA10" s="3">
        <f>IF('Modell einstellen'!$B$2="Ja",'creep_res-40'!P10,'creep_res-40'!L10)</f>
        <v>0.37860356266689338</v>
      </c>
      <c r="AB10" s="2">
        <f>IF('Modell einstellen'!$B$2="Ja",creep_res0!P10,creep_res0!L10)</f>
        <v>0.38502366848042691</v>
      </c>
      <c r="AC10" s="2">
        <f>IF('Modell einstellen'!$B$2="Ja",creep_res25!P10,creep_res25!L10)</f>
        <v>0.39065174151638138</v>
      </c>
      <c r="AD10" s="2">
        <f>IF('Modell einstellen'!$B$2="Ja",creep_res50!P10,creep_res50!L10)</f>
        <v>0.3952293809495166</v>
      </c>
      <c r="AE10" s="2">
        <f>IF('Modell einstellen'!$B$2="Ja",creep_res80!P10,creep_res80!L10)</f>
        <v>0.40285538315908109</v>
      </c>
      <c r="AF10" s="2">
        <f>IF('Modell einstellen'!$B$2="Ja",creep_res125!P10,creep_res125!L10)</f>
        <v>0.42381371282768104</v>
      </c>
      <c r="AG10" s="2">
        <f>IF('Modell einstellen'!$B$2="Ja",creep_res160!P10,creep_res160!L10)</f>
        <v>0.44274771218601872</v>
      </c>
      <c r="AL10" s="2">
        <f t="shared" si="11"/>
        <v>1E-8</v>
      </c>
      <c r="AM10" s="2">
        <f t="shared" si="12"/>
        <v>10253.530794540358</v>
      </c>
      <c r="AN10" s="2">
        <f t="shared" si="13"/>
        <v>9772.6915503667024</v>
      </c>
      <c r="AO10" s="2">
        <f t="shared" si="14"/>
        <v>9429.10680786792</v>
      </c>
      <c r="AP10" s="2">
        <f t="shared" si="15"/>
        <v>9114.1360760931802</v>
      </c>
      <c r="AQ10" s="2">
        <f t="shared" si="16"/>
        <v>8670.3934759322055</v>
      </c>
      <c r="AR10" s="2">
        <f t="shared" si="17"/>
        <v>7680.5790598342728</v>
      </c>
      <c r="AS10" s="2">
        <f t="shared" si="18"/>
        <v>6923.3670228065112</v>
      </c>
      <c r="AX10" s="2">
        <f t="shared" si="28"/>
        <v>1E-8</v>
      </c>
      <c r="AY10" s="37">
        <f t="shared" si="19"/>
        <v>38813.753225395143</v>
      </c>
      <c r="AZ10" s="37">
        <f t="shared" si="20"/>
        <v>39241.146193966451</v>
      </c>
      <c r="BA10" s="37">
        <f t="shared" si="21"/>
        <v>39971.994022108353</v>
      </c>
      <c r="BB10" s="37">
        <f t="shared" si="22"/>
        <v>40457.622409102529</v>
      </c>
      <c r="BC10" s="37">
        <f t="shared" si="23"/>
        <v>41736.08570178465</v>
      </c>
      <c r="BD10" s="37">
        <f t="shared" si="24"/>
        <v>47846.378457034145</v>
      </c>
      <c r="BE10" s="37">
        <f t="shared" si="25"/>
        <v>58155.882289702677</v>
      </c>
    </row>
    <row r="11" spans="1:308" x14ac:dyDescent="0.25">
      <c r="A11" s="2">
        <f>'creep_res-40'!A11</f>
        <v>9.9999999999999995E-8</v>
      </c>
      <c r="B11" s="3">
        <f>'creep_res-40'!O11</f>
        <v>-3.6188184000000005E-4</v>
      </c>
      <c r="C11" s="2">
        <f>IF('Modell einstellen'!$B$2="Ja",creep_res0!O11,creep_res0!C11)</f>
        <v>-3.778486685714286E-4</v>
      </c>
      <c r="D11" s="2">
        <f>IF('Modell einstellen'!$B$2="Ja",creep_res25!O11,creep_res25!C11)</f>
        <v>-3.9080617142857142E-4</v>
      </c>
      <c r="E11" s="2">
        <f>IF('Modell einstellen'!$B$2="Ja",creep_res50!O11,creep_res50!C11)</f>
        <v>-4.0432668571428575E-4</v>
      </c>
      <c r="F11" s="2">
        <f>IF('Modell einstellen'!$B$2="Ja",creep_res80!O11,creep_res80!C11)</f>
        <v>-4.2596614285714284E-4</v>
      </c>
      <c r="G11" s="2">
        <f>IF('Modell einstellen'!$B$2="Ja",creep_res125!O11,creep_res125!C11)</f>
        <v>-4.7125333142857142E-4</v>
      </c>
      <c r="H11" s="2">
        <f>IF('Modell einstellen'!$B$2="Ja",creep_res160!O11,creep_res160!C11)</f>
        <v>-5.1841342285714287E-4</v>
      </c>
      <c r="M11" s="9">
        <f t="shared" si="26"/>
        <v>-10</v>
      </c>
      <c r="N11" s="2">
        <f t="shared" si="4"/>
        <v>9.9999999999999995E-8</v>
      </c>
      <c r="O11" s="2">
        <f t="shared" si="5"/>
        <v>27633.32915517396</v>
      </c>
      <c r="P11" s="2">
        <f t="shared" si="6"/>
        <v>26465.621905743457</v>
      </c>
      <c r="Q11" s="2">
        <f t="shared" si="7"/>
        <v>25588.132253504406</v>
      </c>
      <c r="R11" s="2">
        <f t="shared" si="27"/>
        <v>24732.475874883068</v>
      </c>
      <c r="S11" s="2">
        <f t="shared" si="8"/>
        <v>23476.044206061986</v>
      </c>
      <c r="T11" s="2">
        <f t="shared" si="9"/>
        <v>21220.009139639824</v>
      </c>
      <c r="U11" s="2">
        <f t="shared" si="10"/>
        <v>19289.623993311725</v>
      </c>
      <c r="Z11" s="2">
        <v>9.9999999999999995E-8</v>
      </c>
      <c r="AA11" s="3">
        <f>IF('Modell einstellen'!$B$2="Ja",'creep_res-40'!P11,'creep_res-40'!L11)</f>
        <v>0.3830362497801571</v>
      </c>
      <c r="AB11" s="2">
        <f>IF('Modell einstellen'!$B$2="Ja",creep_res0!P11,creep_res0!L11)</f>
        <v>0.39036881537925455</v>
      </c>
      <c r="AC11" s="2">
        <f>IF('Modell einstellen'!$B$2="Ja",creep_res25!P11,creep_res25!L11)</f>
        <v>0.39568489048571837</v>
      </c>
      <c r="AD11" s="2">
        <f>IF('Modell einstellen'!$B$2="Ja",creep_res50!P11,creep_res50!L11)</f>
        <v>0.40147076260964087</v>
      </c>
      <c r="AE11" s="2">
        <f>IF('Modell einstellen'!$B$2="Ja",creep_res80!P11,creep_res80!L11)</f>
        <v>0.41103257368208007</v>
      </c>
      <c r="AF11" s="2">
        <f>IF('Modell einstellen'!$B$2="Ja",creep_res125!P11,creep_res125!L11)</f>
        <v>0.4313066531046153</v>
      </c>
      <c r="AG11" s="2">
        <f>IF('Modell einstellen'!$B$2="Ja",creep_res160!P11,creep_res160!L11)</f>
        <v>0.45195902059370185</v>
      </c>
      <c r="AL11" s="2">
        <f t="shared" si="11"/>
        <v>9.9999999999999995E-8</v>
      </c>
      <c r="AM11" s="2">
        <f t="shared" si="12"/>
        <v>9990.0957619753135</v>
      </c>
      <c r="AN11" s="2">
        <f t="shared" si="13"/>
        <v>9517.4825603824975</v>
      </c>
      <c r="AO11" s="2">
        <f t="shared" si="14"/>
        <v>9166.8729911518094</v>
      </c>
      <c r="AP11" s="2">
        <f t="shared" si="15"/>
        <v>8823.7573464712859</v>
      </c>
      <c r="AQ11" s="2">
        <f t="shared" si="16"/>
        <v>8318.7463719570296</v>
      </c>
      <c r="AR11" s="2">
        <f t="shared" si="17"/>
        <v>7412.8102086341796</v>
      </c>
      <c r="AS11" s="2">
        <f t="shared" si="18"/>
        <v>6642.6199774647403</v>
      </c>
      <c r="AX11" s="2">
        <f t="shared" si="28"/>
        <v>9.9999999999999995E-8</v>
      </c>
      <c r="AY11" s="37">
        <f t="shared" si="19"/>
        <v>39375.916474455924</v>
      </c>
      <c r="AZ11" s="37">
        <f t="shared" si="20"/>
        <v>40234.327482181536</v>
      </c>
      <c r="BA11" s="37">
        <f t="shared" si="21"/>
        <v>40882.751585795231</v>
      </c>
      <c r="BB11" s="37">
        <f t="shared" si="22"/>
        <v>41836.102883344225</v>
      </c>
      <c r="BC11" s="37">
        <f t="shared" si="23"/>
        <v>43978.725655859154</v>
      </c>
      <c r="BD11" s="37">
        <f t="shared" si="24"/>
        <v>51484.872258824078</v>
      </c>
      <c r="BE11" s="37">
        <f t="shared" si="25"/>
        <v>66920.728343792769</v>
      </c>
    </row>
    <row r="12" spans="1:308" x14ac:dyDescent="0.25">
      <c r="A12" s="2">
        <f>'creep_res-40'!A12</f>
        <v>9.9999999999999995E-7</v>
      </c>
      <c r="B12" s="3">
        <f>'creep_res-40'!O12</f>
        <v>-3.704156685714286E-4</v>
      </c>
      <c r="C12" s="2">
        <f>IF('Modell einstellen'!$B$2="Ja",creep_res0!O12,creep_res0!C12)</f>
        <v>-3.8717555428571435E-4</v>
      </c>
      <c r="D12" s="2">
        <f>IF('Modell einstellen'!$B$2="Ja",creep_res25!O12,creep_res25!C12)</f>
        <v>-4.0198573142857146E-4</v>
      </c>
      <c r="E12" s="2">
        <f>IF('Modell einstellen'!$B$2="Ja",creep_res50!O12,creep_res50!C12)</f>
        <v>-4.1845078857142859E-4</v>
      </c>
      <c r="F12" s="2">
        <f>IF('Modell einstellen'!$B$2="Ja",creep_res80!O12,creep_res80!C12)</f>
        <v>-4.4192214857142857E-4</v>
      </c>
      <c r="G12" s="2">
        <f>IF('Modell einstellen'!$B$2="Ja",creep_res125!O12,creep_res125!C12)</f>
        <v>-4.8648615428571431E-4</v>
      </c>
      <c r="H12" s="2">
        <f>IF('Modell einstellen'!$B$2="Ja",creep_res160!O12,creep_res160!C12)</f>
        <v>-5.3625677714285716E-4</v>
      </c>
      <c r="M12" s="9">
        <f t="shared" si="26"/>
        <v>-10</v>
      </c>
      <c r="N12" s="2">
        <f t="shared" si="4"/>
        <v>9.9999999999999995E-7</v>
      </c>
      <c r="O12" s="2">
        <f t="shared" si="5"/>
        <v>26996.698164974259</v>
      </c>
      <c r="P12" s="2">
        <f t="shared" si="6"/>
        <v>25828.07692610817</v>
      </c>
      <c r="Q12" s="2">
        <f t="shared" si="7"/>
        <v>24876.504856185158</v>
      </c>
      <c r="R12" s="2">
        <f t="shared" si="27"/>
        <v>23897.672732651627</v>
      </c>
      <c r="S12" s="2">
        <f t="shared" si="8"/>
        <v>22628.420033542818</v>
      </c>
      <c r="T12" s="2">
        <f t="shared" si="9"/>
        <v>20555.569592073076</v>
      </c>
      <c r="U12" s="2">
        <f t="shared" si="10"/>
        <v>18647.782976803352</v>
      </c>
      <c r="Z12" s="2">
        <v>9.9999999999999995E-7</v>
      </c>
      <c r="AA12" s="3">
        <f>IF('Modell einstellen'!$B$2="Ja",'creep_res-40'!P12,'creep_res-40'!L12)</f>
        <v>0.3885746147548032</v>
      </c>
      <c r="AB12" s="2">
        <f>IF('Modell einstellen'!$B$2="Ja",creep_res0!P12,creep_res0!L12)</f>
        <v>0.39537050464903906</v>
      </c>
      <c r="AC12" s="2">
        <f>IF('Modell einstellen'!$B$2="Ja",creep_res25!P12,creep_res25!L12)</f>
        <v>0.40206005606197565</v>
      </c>
      <c r="AD12" s="2">
        <f>IF('Modell einstellen'!$B$2="Ja",creep_res50!P12,creep_res50!L12)</f>
        <v>0.40940425041002942</v>
      </c>
      <c r="AE12" s="2">
        <f>IF('Modell einstellen'!$B$2="Ja",creep_res80!P12,creep_res80!L12)</f>
        <v>0.41983588680183309</v>
      </c>
      <c r="AF12" s="2">
        <f>IF('Modell einstellen'!$B$2="Ja",creep_res125!P12,creep_res125!L12)</f>
        <v>0.43942559657284386</v>
      </c>
      <c r="AG12" s="2">
        <f>IF('Modell einstellen'!$B$2="Ja",creep_res160!P12,creep_res160!L12)</f>
        <v>0.46113948013135203</v>
      </c>
      <c r="AL12" s="2">
        <f t="shared" si="11"/>
        <v>9.9999999999999995E-7</v>
      </c>
      <c r="AM12" s="2">
        <f t="shared" si="12"/>
        <v>9721.0109842535821</v>
      </c>
      <c r="AN12" s="2">
        <f t="shared" si="13"/>
        <v>9254.9171850971579</v>
      </c>
      <c r="AO12" s="2">
        <f t="shared" si="14"/>
        <v>8871.4120157080979</v>
      </c>
      <c r="AP12" s="2">
        <f t="shared" si="15"/>
        <v>8477.9341078683501</v>
      </c>
      <c r="AQ12" s="2">
        <f t="shared" si="16"/>
        <v>7968.6744939632144</v>
      </c>
      <c r="AR12" s="2">
        <f t="shared" si="17"/>
        <v>7140.1987157287695</v>
      </c>
      <c r="AS12" s="2">
        <f t="shared" si="18"/>
        <v>6381.2467017614817</v>
      </c>
      <c r="AX12" s="2">
        <f t="shared" si="28"/>
        <v>9.9999999999999995E-7</v>
      </c>
      <c r="AY12" s="37">
        <f t="shared" si="19"/>
        <v>40380.83139009236</v>
      </c>
      <c r="AZ12" s="37">
        <f t="shared" si="20"/>
        <v>41142.122240439152</v>
      </c>
      <c r="BA12" s="37">
        <f t="shared" si="21"/>
        <v>42332.923381303306</v>
      </c>
      <c r="BB12" s="37">
        <f t="shared" si="22"/>
        <v>43963.932893854777</v>
      </c>
      <c r="BC12" s="37">
        <f t="shared" si="23"/>
        <v>47046.030804343041</v>
      </c>
      <c r="BD12" s="37">
        <f t="shared" si="24"/>
        <v>56557.358744199089</v>
      </c>
      <c r="BE12" s="37">
        <f t="shared" si="25"/>
        <v>79977.412550640627</v>
      </c>
    </row>
    <row r="13" spans="1:308" x14ac:dyDescent="0.25">
      <c r="A13" s="2">
        <f>'creep_res-40'!A13</f>
        <v>1.0000000000000001E-5</v>
      </c>
      <c r="B13" s="3">
        <f>'creep_res-40'!O13</f>
        <v>-3.7939892000000004E-4</v>
      </c>
      <c r="C13" s="2">
        <f>IF('Modell einstellen'!$B$2="Ja",creep_res0!O13,creep_res0!C13)</f>
        <v>-3.9797395428571429E-4</v>
      </c>
      <c r="D13" s="2">
        <f>IF('Modell einstellen'!$B$2="Ja",creep_res25!O13,creep_res25!C13)</f>
        <v>-4.1611814857142864E-4</v>
      </c>
      <c r="E13" s="2">
        <f>IF('Modell einstellen'!$B$2="Ja",creep_res50!O13,creep_res50!C13)</f>
        <v>-4.3423338285714292E-4</v>
      </c>
      <c r="F13" s="2">
        <f>IF('Modell einstellen'!$B$2="Ja",creep_res80!O13,creep_res80!C13)</f>
        <v>-4.5590130285714283E-4</v>
      </c>
      <c r="G13" s="2">
        <f>IF('Modell einstellen'!$B$2="Ja",creep_res125!O13,creep_res125!C13)</f>
        <v>-5.028533485714286E-4</v>
      </c>
      <c r="H13" s="2">
        <f>IF('Modell einstellen'!$B$2="Ja",creep_res160!O13,creep_res160!C13)</f>
        <v>-5.6095232E-4</v>
      </c>
      <c r="M13" s="9">
        <f t="shared" si="26"/>
        <v>-10</v>
      </c>
      <c r="N13" s="2">
        <f t="shared" si="4"/>
        <v>1.0000000000000001E-5</v>
      </c>
      <c r="O13" s="2">
        <f t="shared" si="5"/>
        <v>26357.481460411112</v>
      </c>
      <c r="P13" s="2">
        <f t="shared" si="6"/>
        <v>25127.272506935918</v>
      </c>
      <c r="Q13" s="2">
        <f t="shared" si="7"/>
        <v>24031.636289671351</v>
      </c>
      <c r="R13" s="2">
        <f t="shared" si="27"/>
        <v>23029.090794914468</v>
      </c>
      <c r="S13" s="2">
        <f t="shared" si="8"/>
        <v>21934.572104378283</v>
      </c>
      <c r="T13" s="2">
        <f t="shared" si="9"/>
        <v>19886.513689148745</v>
      </c>
      <c r="U13" s="2">
        <f t="shared" si="10"/>
        <v>17826.827064375098</v>
      </c>
      <c r="Z13" s="2">
        <v>1.0000000000000001E-5</v>
      </c>
      <c r="AA13" s="3">
        <f>IF('Modell einstellen'!$B$2="Ja",'creep_res-40'!P13,'creep_res-40'!L13)</f>
        <v>0.39350385378760994</v>
      </c>
      <c r="AB13" s="2">
        <f>IF('Modell einstellen'!$B$2="Ja",creep_res0!P13,creep_res0!L13)</f>
        <v>0.40162908291974087</v>
      </c>
      <c r="AC13" s="2">
        <f>IF('Modell einstellen'!$B$2="Ja",creep_res25!P13,creep_res25!L13)</f>
        <v>0.41013538517549597</v>
      </c>
      <c r="AD13" s="2">
        <f>IF('Modell einstellen'!$B$2="Ja",creep_res50!P13,creep_res50!L13)</f>
        <v>0.41829499665235975</v>
      </c>
      <c r="AE13" s="2">
        <f>IF('Modell einstellen'!$B$2="Ja",creep_res80!P13,creep_res80!L13)</f>
        <v>0.42757955080202326</v>
      </c>
      <c r="AF13" s="2">
        <f>IF('Modell einstellen'!$B$2="Ja",creep_res125!P13,creep_res125!L13)</f>
        <v>0.44811240393904789</v>
      </c>
      <c r="AG13" s="2">
        <f>IF('Modell einstellen'!$B$2="Ja",creep_res160!P13,creep_res160!L13)</f>
        <v>0.47365772549082252</v>
      </c>
      <c r="AL13" s="2">
        <f t="shared" si="11"/>
        <v>1.0000000000000001E-5</v>
      </c>
      <c r="AM13" s="2">
        <f t="shared" si="12"/>
        <v>9457.2689514888043</v>
      </c>
      <c r="AN13" s="2">
        <f t="shared" si="13"/>
        <v>8963.5955807199589</v>
      </c>
      <c r="AO13" s="2">
        <f t="shared" si="14"/>
        <v>8521.038668453999</v>
      </c>
      <c r="AP13" s="2">
        <f t="shared" si="15"/>
        <v>8118.5828227804013</v>
      </c>
      <c r="AQ13" s="2">
        <f t="shared" si="16"/>
        <v>7682.4342615636733</v>
      </c>
      <c r="AR13" s="2">
        <f t="shared" si="17"/>
        <v>6866.3570711275343</v>
      </c>
      <c r="AS13" s="2">
        <f t="shared" si="18"/>
        <v>6048.4964574924006</v>
      </c>
      <c r="AX13" s="2">
        <f t="shared" si="28"/>
        <v>1.0000000000000001E-5</v>
      </c>
      <c r="AY13" s="37">
        <f t="shared" si="19"/>
        <v>41249.50745141707</v>
      </c>
      <c r="AZ13" s="37">
        <f t="shared" si="20"/>
        <v>42572.326003011323</v>
      </c>
      <c r="BA13" s="37">
        <f t="shared" si="21"/>
        <v>44570.076027890333</v>
      </c>
      <c r="BB13" s="37">
        <f t="shared" si="22"/>
        <v>46976.092551170099</v>
      </c>
      <c r="BC13" s="37">
        <f t="shared" si="23"/>
        <v>50479.692654247083</v>
      </c>
      <c r="BD13" s="37">
        <f t="shared" si="24"/>
        <v>63876.903148452388</v>
      </c>
      <c r="BE13" s="37">
        <f t="shared" si="25"/>
        <v>112789.72296137114</v>
      </c>
    </row>
    <row r="14" spans="1:308" x14ac:dyDescent="0.25">
      <c r="A14" s="2">
        <f>'creep_res-40'!A14</f>
        <v>1E-4</v>
      </c>
      <c r="B14" s="3">
        <f>'creep_res-40'!O14</f>
        <v>-3.8849084571428573E-4</v>
      </c>
      <c r="C14" s="2">
        <f>IF('Modell einstellen'!$B$2="Ja",creep_res0!O14,creep_res0!C14)</f>
        <v>-4.1174637142857144E-4</v>
      </c>
      <c r="D14" s="2">
        <f>IF('Modell einstellen'!$B$2="Ja",creep_res25!O14,creep_res25!C14)</f>
        <v>-4.3179653142857147E-4</v>
      </c>
      <c r="E14" s="2">
        <f>IF('Modell einstellen'!$B$2="Ja",creep_res50!O14,creep_res50!C14)</f>
        <v>-4.4869412571428574E-4</v>
      </c>
      <c r="F14" s="2">
        <f>IF('Modell einstellen'!$B$2="Ja",creep_res80!O14,creep_res80!C14)</f>
        <v>-4.7041819428571432E-4</v>
      </c>
      <c r="G14" s="2">
        <f>IF('Modell einstellen'!$B$2="Ja",creep_res125!O14,creep_res125!C14)</f>
        <v>-5.2051835428571435E-4</v>
      </c>
      <c r="H14" s="2">
        <f>IF('Modell einstellen'!$B$2="Ja",creep_res160!O14,creep_res160!C14)</f>
        <v>-5.8981965714285716E-4</v>
      </c>
      <c r="M14" s="9">
        <f t="shared" si="26"/>
        <v>-10</v>
      </c>
      <c r="N14" s="2">
        <f t="shared" si="4"/>
        <v>1E-4</v>
      </c>
      <c r="O14" s="2">
        <f t="shared" si="5"/>
        <v>25740.632270533515</v>
      </c>
      <c r="P14" s="2">
        <f t="shared" si="6"/>
        <v>24286.795692466159</v>
      </c>
      <c r="Q14" s="2">
        <f t="shared" si="7"/>
        <v>23159.055879665437</v>
      </c>
      <c r="R14" s="2">
        <f t="shared" si="27"/>
        <v>22286.897525303651</v>
      </c>
      <c r="S14" s="2">
        <f t="shared" si="8"/>
        <v>21257.681189784882</v>
      </c>
      <c r="T14" s="2">
        <f t="shared" si="9"/>
        <v>19211.618413960798</v>
      </c>
      <c r="U14" s="2">
        <f t="shared" si="10"/>
        <v>16954.334903724568</v>
      </c>
      <c r="Z14" s="2">
        <v>1E-4</v>
      </c>
      <c r="AA14" s="3">
        <f>IF('Modell einstellen'!$B$2="Ja",'creep_res-40'!P14,'creep_res-40'!L14)</f>
        <v>0.3994176998294558</v>
      </c>
      <c r="AB14" s="2">
        <f>IF('Modell einstellen'!$B$2="Ja",creep_res0!P14,creep_res0!L14)</f>
        <v>0.40962886792375586</v>
      </c>
      <c r="AC14" s="2">
        <f>IF('Modell einstellen'!$B$2="Ja",creep_res25!P14,creep_res25!L14)</f>
        <v>0.41912078880855963</v>
      </c>
      <c r="AD14" s="2">
        <f>IF('Modell einstellen'!$B$2="Ja",creep_res50!P14,creep_res50!L14)</f>
        <v>0.42647180633597898</v>
      </c>
      <c r="AE14" s="2">
        <f>IF('Modell einstellen'!$B$2="Ja",creep_res80!P14,creep_res80!L14)</f>
        <v>0.43557117518681004</v>
      </c>
      <c r="AF14" s="2">
        <f>IF('Modell einstellen'!$B$2="Ja",creep_res125!P14,creep_res125!L14)</f>
        <v>0.45746144788065762</v>
      </c>
      <c r="AG14" s="2">
        <f>IF('Modell einstellen'!$B$2="Ja",creep_res160!P14,creep_res160!L14)</f>
        <v>0.4881226067745259</v>
      </c>
      <c r="AL14" s="2">
        <f t="shared" si="11"/>
        <v>1E-4</v>
      </c>
      <c r="AM14" s="2">
        <f t="shared" si="12"/>
        <v>9196.9082117763955</v>
      </c>
      <c r="AN14" s="2">
        <f t="shared" si="13"/>
        <v>8614.6063850970258</v>
      </c>
      <c r="AO14" s="2">
        <f t="shared" si="14"/>
        <v>8159.6492921187164</v>
      </c>
      <c r="AP14" s="2">
        <f t="shared" si="15"/>
        <v>7811.8955545814642</v>
      </c>
      <c r="AQ14" s="2">
        <f t="shared" si="16"/>
        <v>7403.9105678680935</v>
      </c>
      <c r="AR14" s="2">
        <f t="shared" si="17"/>
        <v>6590.7809918049779</v>
      </c>
      <c r="AS14" s="2">
        <f t="shared" si="18"/>
        <v>5696.5517580815231</v>
      </c>
      <c r="AX14" s="2">
        <f t="shared" si="28"/>
        <v>1E-4</v>
      </c>
      <c r="AY14" s="37">
        <f t="shared" si="19"/>
        <v>42652.687114413609</v>
      </c>
      <c r="AZ14" s="37">
        <f t="shared" si="20"/>
        <v>44790.844034825786</v>
      </c>
      <c r="BA14" s="37">
        <f t="shared" si="21"/>
        <v>47723.544650734701</v>
      </c>
      <c r="BB14" s="37">
        <f t="shared" si="22"/>
        <v>50517.80461052616</v>
      </c>
      <c r="BC14" s="37">
        <f t="shared" si="23"/>
        <v>54990.08984312298</v>
      </c>
      <c r="BD14" s="37">
        <f t="shared" si="24"/>
        <v>75271.400713022202</v>
      </c>
      <c r="BE14" s="37">
        <f t="shared" si="25"/>
        <v>237907.63093484289</v>
      </c>
    </row>
    <row r="15" spans="1:308" x14ac:dyDescent="0.25">
      <c r="A15" s="2">
        <f>'creep_res-40'!A15</f>
        <v>1E-3</v>
      </c>
      <c r="B15" s="3">
        <f>'creep_res-40'!O15</f>
        <v>-4.0148532E-4</v>
      </c>
      <c r="C15" s="2">
        <f>IF('Modell einstellen'!$B$2="Ja",creep_res0!O15,creep_res0!C15)</f>
        <v>-4.2728338285714294E-4</v>
      </c>
      <c r="D15" s="2">
        <f>IF('Modell einstellen'!$B$2="Ja",creep_res25!O15,creep_res25!C15)</f>
        <v>-4.4603799428571429E-4</v>
      </c>
      <c r="E15" s="2">
        <f>IF('Modell einstellen'!$B$2="Ja",creep_res50!O15,creep_res50!C15)</f>
        <v>-4.6266420000000007E-4</v>
      </c>
      <c r="F15" s="2">
        <f>IF('Modell einstellen'!$B$2="Ja",creep_res80!O15,creep_res80!C15)</f>
        <v>-4.8552683428571436E-4</v>
      </c>
      <c r="G15" s="2">
        <f>IF('Modell einstellen'!$B$2="Ja",creep_res125!O15,creep_res125!C15)</f>
        <v>-5.4071768571428572E-4</v>
      </c>
      <c r="H15" s="2">
        <f>IF('Modell einstellen'!$B$2="Ja",creep_res160!O15,creep_res160!C15)</f>
        <v>-6.2802862857142862E-4</v>
      </c>
      <c r="M15" s="9">
        <f t="shared" si="26"/>
        <v>-10</v>
      </c>
      <c r="N15" s="2">
        <f t="shared" si="4"/>
        <v>1E-3</v>
      </c>
      <c r="O15" s="2">
        <f t="shared" si="5"/>
        <v>24907.510939627879</v>
      </c>
      <c r="P15" s="2">
        <f t="shared" si="6"/>
        <v>23403.671664300084</v>
      </c>
      <c r="Q15" s="2">
        <f t="shared" si="7"/>
        <v>22419.614759531887</v>
      </c>
      <c r="R15" s="2">
        <f t="shared" si="27"/>
        <v>21613.94808589037</v>
      </c>
      <c r="S15" s="2">
        <f t="shared" si="8"/>
        <v>20596.183967280733</v>
      </c>
      <c r="T15" s="2">
        <f t="shared" si="9"/>
        <v>18493.939192667691</v>
      </c>
      <c r="U15" s="2">
        <f t="shared" si="10"/>
        <v>15922.841006065146</v>
      </c>
      <c r="Z15" s="2">
        <v>1E-3</v>
      </c>
      <c r="AA15" s="3">
        <f>IF('Modell einstellen'!$B$2="Ja",'creep_res-40'!P15,'creep_res-40'!L15)</f>
        <v>0.40667803957849036</v>
      </c>
      <c r="AB15" s="2">
        <f>IF('Modell einstellen'!$B$2="Ja",creep_res0!P15,creep_res0!L15)</f>
        <v>0.41867837941529656</v>
      </c>
      <c r="AC15" s="2">
        <f>IF('Modell einstellen'!$B$2="Ja",creep_res25!P15,creep_res25!L15)</f>
        <v>0.42731184885992224</v>
      </c>
      <c r="AD15" s="2">
        <f>IF('Modell einstellen'!$B$2="Ja",creep_res50!P15,creep_res50!L15)</f>
        <v>0.43433066882756743</v>
      </c>
      <c r="AE15" s="2">
        <f>IF('Modell einstellen'!$B$2="Ja",creep_res80!P15,creep_res80!L15)</f>
        <v>0.44387750538454862</v>
      </c>
      <c r="AF15" s="2">
        <f>IF('Modell einstellen'!$B$2="Ja",creep_res125!P15,creep_res125!L15)</f>
        <v>0.46801799238356173</v>
      </c>
      <c r="AG15" s="2">
        <f>IF('Modell einstellen'!$B$2="Ja",creep_res160!P15,creep_res160!L15)</f>
        <v>0.50669351651940164</v>
      </c>
      <c r="AL15" s="2">
        <f t="shared" si="11"/>
        <v>1E-3</v>
      </c>
      <c r="AM15" s="2">
        <f t="shared" si="12"/>
        <v>8853.3090866661241</v>
      </c>
      <c r="AN15" s="2">
        <f t="shared" si="13"/>
        <v>8248.4064055257641</v>
      </c>
      <c r="AO15" s="2">
        <f t="shared" si="14"/>
        <v>7853.7898979258625</v>
      </c>
      <c r="AP15" s="2">
        <f t="shared" si="15"/>
        <v>7534.5067060295696</v>
      </c>
      <c r="AQ15" s="2">
        <f t="shared" si="16"/>
        <v>7132.2476769922887</v>
      </c>
      <c r="AR15" s="2">
        <f t="shared" si="17"/>
        <v>6298.9484082003064</v>
      </c>
      <c r="AS15" s="2">
        <f t="shared" si="18"/>
        <v>5284.0344872686346</v>
      </c>
      <c r="AX15" s="2">
        <f t="shared" si="28"/>
        <v>1E-3</v>
      </c>
      <c r="AY15" s="37">
        <f t="shared" si="19"/>
        <v>44483.118491309542</v>
      </c>
      <c r="AZ15" s="37">
        <f t="shared" si="20"/>
        <v>47965.25101202567</v>
      </c>
      <c r="BA15" s="37">
        <f t="shared" si="21"/>
        <v>51405.936198888216</v>
      </c>
      <c r="BB15" s="37">
        <f t="shared" si="22"/>
        <v>54855.510428800502</v>
      </c>
      <c r="BC15" s="37">
        <f t="shared" si="23"/>
        <v>61164.375379262776</v>
      </c>
      <c r="BD15" s="37">
        <f t="shared" si="24"/>
        <v>96376.788966608874</v>
      </c>
      <c r="BE15" s="37">
        <f t="shared" si="25"/>
        <v>-396474.23393248365</v>
      </c>
    </row>
    <row r="16" spans="1:308" x14ac:dyDescent="0.25">
      <c r="A16" s="2">
        <f>'creep_res-40'!A16</f>
        <v>0.01</v>
      </c>
      <c r="B16" s="3">
        <f>'creep_res-40'!O16</f>
        <v>-4.165129028571429E-4</v>
      </c>
      <c r="C16" s="2">
        <f>IF('Modell einstellen'!$B$2="Ja",creep_res0!O16,creep_res0!C16)</f>
        <v>-4.4168786857142855E-4</v>
      </c>
      <c r="D16" s="2">
        <f>IF('Modell einstellen'!$B$2="Ja",creep_res25!O16,creep_res25!C16)</f>
        <v>-4.5998946857142857E-4</v>
      </c>
      <c r="E16" s="2">
        <f>IF('Modell einstellen'!$B$2="Ja",creep_res50!O16,creep_res50!C16)</f>
        <v>-4.775777771428572E-4</v>
      </c>
      <c r="F16" s="2">
        <f>IF('Modell einstellen'!$B$2="Ja",creep_res80!O16,creep_res80!C16)</f>
        <v>-5.0266556571428576E-4</v>
      </c>
      <c r="G16" s="2">
        <f>IF('Modell einstellen'!$B$2="Ja",creep_res125!O16,creep_res125!C16)</f>
        <v>-5.6753465714285724E-4</v>
      </c>
      <c r="H16" s="2">
        <f>IF('Modell einstellen'!$B$2="Ja",creep_res160!O16,creep_res160!C16)</f>
        <v>-6.7961274285714289E-4</v>
      </c>
      <c r="M16" s="9">
        <f t="shared" si="26"/>
        <v>-10</v>
      </c>
      <c r="N16" s="2">
        <f t="shared" si="4"/>
        <v>0.01</v>
      </c>
      <c r="O16" s="2">
        <f t="shared" si="5"/>
        <v>24008.860065086232</v>
      </c>
      <c r="P16" s="2">
        <f t="shared" si="6"/>
        <v>22640.42259603702</v>
      </c>
      <c r="Q16" s="2">
        <f t="shared" si="7"/>
        <v>21739.628150741388</v>
      </c>
      <c r="R16" s="2">
        <f t="shared" si="27"/>
        <v>20938.997747813366</v>
      </c>
      <c r="S16" s="2">
        <f t="shared" si="8"/>
        <v>19893.942776426389</v>
      </c>
      <c r="T16" s="2">
        <f t="shared" si="9"/>
        <v>17620.069319366423</v>
      </c>
      <c r="U16" s="2">
        <f t="shared" si="10"/>
        <v>14714.26206336163</v>
      </c>
      <c r="Z16" s="2">
        <v>0.01</v>
      </c>
      <c r="AA16" s="3">
        <f>IF('Modell einstellen'!$B$2="Ja",'creep_res-40'!P16,'creep_res-40'!L16)</f>
        <v>0.41563098618052757</v>
      </c>
      <c r="AB16" s="2">
        <f>IF('Modell einstellen'!$B$2="Ja",creep_res0!P16,creep_res0!L16)</f>
        <v>0.42709586628964896</v>
      </c>
      <c r="AC16" s="2">
        <f>IF('Modell einstellen'!$B$2="Ja",creep_res25!P16,creep_res25!L16)</f>
        <v>0.43528985390311487</v>
      </c>
      <c r="AD16" s="2">
        <f>IF('Modell einstellen'!$B$2="Ja",creep_res50!P16,creep_res50!L16)</f>
        <v>0.44270315473281591</v>
      </c>
      <c r="AE16" s="2">
        <f>IF('Modell einstellen'!$B$2="Ja",creep_res80!P16,creep_res80!L16)</f>
        <v>0.45322884034206029</v>
      </c>
      <c r="AF16" s="2">
        <f>IF('Modell einstellen'!$B$2="Ja",creep_res125!P16,creep_res125!L16)</f>
        <v>0.48175339625577546</v>
      </c>
      <c r="AG16" s="2">
        <f>IF('Modell einstellen'!$B$2="Ja",creep_res160!P16,creep_res160!L16)</f>
        <v>0.53005612524039958</v>
      </c>
      <c r="AL16" s="2">
        <f t="shared" si="11"/>
        <v>0.01</v>
      </c>
      <c r="AM16" s="2">
        <f t="shared" si="12"/>
        <v>8479.914716286281</v>
      </c>
      <c r="AN16" s="2">
        <f t="shared" si="13"/>
        <v>7932.3411730217404</v>
      </c>
      <c r="AO16" s="2">
        <f t="shared" si="14"/>
        <v>7573.2536155058961</v>
      </c>
      <c r="AP16" s="2">
        <f t="shared" si="15"/>
        <v>7256.8628130889483</v>
      </c>
      <c r="AQ16" s="2">
        <f t="shared" si="16"/>
        <v>6844.7384968439528</v>
      </c>
      <c r="AR16" s="2">
        <f t="shared" si="17"/>
        <v>5945.6821100901007</v>
      </c>
      <c r="AS16" s="2">
        <f t="shared" si="18"/>
        <v>4808.4059861038604</v>
      </c>
      <c r="AX16" s="2">
        <f t="shared" si="28"/>
        <v>0.01</v>
      </c>
      <c r="AY16" s="37">
        <f t="shared" si="19"/>
        <v>47428.273679676793</v>
      </c>
      <c r="AZ16" s="37">
        <f t="shared" si="20"/>
        <v>51758.433630086693</v>
      </c>
      <c r="BA16" s="37">
        <f t="shared" si="21"/>
        <v>55992.32233276176</v>
      </c>
      <c r="BB16" s="37">
        <f t="shared" si="22"/>
        <v>60907.942517520132</v>
      </c>
      <c r="BC16" s="37">
        <f t="shared" si="23"/>
        <v>70891.060936983718</v>
      </c>
      <c r="BD16" s="37">
        <f t="shared" si="24"/>
        <v>160943.82609826379</v>
      </c>
      <c r="BE16" s="37">
        <f t="shared" si="25"/>
        <v>-81593.252321957276</v>
      </c>
    </row>
    <row r="17" spans="1:57" x14ac:dyDescent="0.25">
      <c r="A17" s="2">
        <f>'creep_res-40'!A17</f>
        <v>0.1</v>
      </c>
      <c r="B17" s="3">
        <f>'creep_res-40'!O17</f>
        <v>-4.3171997714285714E-4</v>
      </c>
      <c r="C17" s="2">
        <f>IF('Modell einstellen'!$B$2="Ja",creep_res0!O17,creep_res0!C17)</f>
        <v>-4.5537212571428577E-4</v>
      </c>
      <c r="D17" s="2">
        <f>IF('Modell einstellen'!$B$2="Ja",creep_res25!O17,creep_res25!C17)</f>
        <v>-4.7481256571428577E-4</v>
      </c>
      <c r="E17" s="2">
        <f>IF('Modell einstellen'!$B$2="Ja",creep_res50!O17,creep_res50!C17)</f>
        <v>-4.940049657142857E-4</v>
      </c>
      <c r="F17" s="2">
        <f>IF('Modell einstellen'!$B$2="Ja",creep_res80!O17,creep_res80!C17)</f>
        <v>-5.2012852571428571E-4</v>
      </c>
      <c r="G17" s="2">
        <f>IF('Modell einstellen'!$B$2="Ja",creep_res125!O17,creep_res125!C17)</f>
        <v>-6.0179708571428576E-4</v>
      </c>
      <c r="H17" s="2">
        <f>IF('Modell einstellen'!$B$2="Ja",creep_res160!O17,creep_res160!C17)</f>
        <v>-7.6706560000000014E-4</v>
      </c>
      <c r="M17" s="9">
        <f t="shared" si="26"/>
        <v>-10</v>
      </c>
      <c r="N17" s="2">
        <f t="shared" si="4"/>
        <v>0.1</v>
      </c>
      <c r="O17" s="2">
        <f t="shared" si="5"/>
        <v>23163.16253461437</v>
      </c>
      <c r="P17" s="2">
        <f t="shared" si="6"/>
        <v>21960.061750187804</v>
      </c>
      <c r="Q17" s="2">
        <f t="shared" si="7"/>
        <v>21060.942195066949</v>
      </c>
      <c r="R17" s="2">
        <f t="shared" si="27"/>
        <v>20242.711498943983</v>
      </c>
      <c r="S17" s="2">
        <f t="shared" si="8"/>
        <v>19226.017235388372</v>
      </c>
      <c r="T17" s="2">
        <f t="shared" si="9"/>
        <v>16616.896687245979</v>
      </c>
      <c r="U17" s="2">
        <f t="shared" si="10"/>
        <v>13036.6946451516</v>
      </c>
      <c r="Z17" s="2">
        <v>0.1</v>
      </c>
      <c r="AA17" s="3">
        <f>IF('Modell einstellen'!$B$2="Ja",'creep_res-40'!P17,'creep_res-40'!L17)</f>
        <v>0.42473000620666873</v>
      </c>
      <c r="AB17" s="2">
        <f>IF('Modell einstellen'!$B$2="Ja",creep_res0!P17,creep_res0!L17)</f>
        <v>0.43505074568715052</v>
      </c>
      <c r="AC17" s="2">
        <f>IF('Modell einstellen'!$B$2="Ja",creep_res25!P17,creep_res25!L17)</f>
        <v>0.44374435198182682</v>
      </c>
      <c r="AD17" s="2">
        <f>IF('Modell einstellen'!$B$2="Ja",creep_res50!P17,creep_res50!L17)</f>
        <v>0.45184611157581306</v>
      </c>
      <c r="AE17" s="2">
        <f>IF('Modell einstellen'!$B$2="Ja",creep_res80!P17,creep_res80!L17)</f>
        <v>0.46258186383207356</v>
      </c>
      <c r="AF17" s="2">
        <f>IF('Modell einstellen'!$B$2="Ja",creep_res125!P17,creep_res125!L17)</f>
        <v>0.49743794989654311</v>
      </c>
      <c r="AG17" s="2">
        <f>IF('Modell einstellen'!$B$2="Ja",creep_res160!P17,creep_res160!L17)</f>
        <v>0.55919986131936705</v>
      </c>
      <c r="AL17" s="2">
        <f t="shared" si="11"/>
        <v>0.1</v>
      </c>
      <c r="AM17" s="2">
        <f t="shared" si="12"/>
        <v>8128.965640404419</v>
      </c>
      <c r="AN17" s="2">
        <f t="shared" si="13"/>
        <v>7651.3188875674869</v>
      </c>
      <c r="AO17" s="2">
        <f t="shared" si="14"/>
        <v>7293.8613287583112</v>
      </c>
      <c r="AP17" s="2">
        <f t="shared" si="15"/>
        <v>6971.3695334324493</v>
      </c>
      <c r="AQ17" s="2">
        <f t="shared" si="16"/>
        <v>6572.6294407257219</v>
      </c>
      <c r="AR17" s="2">
        <f t="shared" si="17"/>
        <v>5548.4424875147679</v>
      </c>
      <c r="AS17" s="2">
        <f t="shared" si="18"/>
        <v>4180.5720256158129</v>
      </c>
      <c r="AX17" s="2">
        <f t="shared" si="28"/>
        <v>0.1</v>
      </c>
      <c r="AY17" s="37">
        <f t="shared" si="19"/>
        <v>51289.058156457933</v>
      </c>
      <c r="AZ17" s="37">
        <f t="shared" si="20"/>
        <v>56351.844688906232</v>
      </c>
      <c r="BA17" s="37">
        <f t="shared" si="21"/>
        <v>62396.526503031571</v>
      </c>
      <c r="BB17" s="37">
        <f t="shared" si="22"/>
        <v>70062.571481338528</v>
      </c>
      <c r="BC17" s="37">
        <f t="shared" si="23"/>
        <v>85635.911727872503</v>
      </c>
      <c r="BD17" s="37">
        <f t="shared" si="24"/>
        <v>1080963.5523797481</v>
      </c>
      <c r="BE17" s="37">
        <f t="shared" si="25"/>
        <v>-36702.49207404445</v>
      </c>
    </row>
    <row r="18" spans="1:57" x14ac:dyDescent="0.25">
      <c r="A18" s="2">
        <f>'creep_res-40'!A18</f>
        <v>1</v>
      </c>
      <c r="B18" s="3">
        <f>'creep_res-40'!O18</f>
        <v>-4.4481564000000003E-4</v>
      </c>
      <c r="C18" s="2">
        <f>IF('Modell einstellen'!$B$2="Ja",creep_res0!O18,creep_res0!C18)</f>
        <v>-4.7008845714285722E-4</v>
      </c>
      <c r="D18" s="2">
        <f>IF('Modell einstellen'!$B$2="Ja",creep_res25!O18,creep_res25!C18)</f>
        <v>-4.9127769714285715E-4</v>
      </c>
      <c r="E18" s="2">
        <f>IF('Modell einstellen'!$B$2="Ja",creep_res50!O18,creep_res50!C18)</f>
        <v>-5.1156064000000003E-4</v>
      </c>
      <c r="F18" s="2">
        <f>IF('Modell einstellen'!$B$2="Ja",creep_res80!O18,creep_res80!C18)</f>
        <v>-5.4532661142857146E-4</v>
      </c>
      <c r="G18" s="2">
        <f>IF('Modell einstellen'!$B$2="Ja",creep_res125!O18,creep_res125!C18)</f>
        <v>-6.6458657142857145E-4</v>
      </c>
      <c r="H18" s="2">
        <f>IF('Modell einstellen'!$B$2="Ja",creep_res160!O18,creep_res160!C18)</f>
        <v>-9.6394508571428573E-4</v>
      </c>
      <c r="M18" s="9">
        <f t="shared" si="26"/>
        <v>-10</v>
      </c>
      <c r="N18" s="2">
        <f t="shared" si="4"/>
        <v>1</v>
      </c>
      <c r="O18" s="2">
        <f t="shared" si="5"/>
        <v>22481.223906605439</v>
      </c>
      <c r="P18" s="2">
        <f t="shared" si="6"/>
        <v>21272.592100599177</v>
      </c>
      <c r="Q18" s="2">
        <f t="shared" si="7"/>
        <v>20355.086457531841</v>
      </c>
      <c r="R18" s="2">
        <f t="shared" si="27"/>
        <v>19548.024648651623</v>
      </c>
      <c r="S18" s="2">
        <f t="shared" si="8"/>
        <v>18337.634346879531</v>
      </c>
      <c r="T18" s="2">
        <f t="shared" si="9"/>
        <v>15046.948629287466</v>
      </c>
      <c r="U18" s="2">
        <f t="shared" si="10"/>
        <v>10374.034940579602</v>
      </c>
      <c r="Z18" s="2">
        <v>1</v>
      </c>
      <c r="AA18" s="3">
        <f>IF('Modell einstellen'!$B$2="Ja",'creep_res-40'!P18,'creep_res-40'!L18)</f>
        <v>0.43256490326130231</v>
      </c>
      <c r="AB18" s="2">
        <f>IF('Modell einstellen'!$B$2="Ja",creep_res0!P18,creep_res0!L18)</f>
        <v>0.4435768562950097</v>
      </c>
      <c r="AC18" s="2">
        <f>IF('Modell einstellen'!$B$2="Ja",creep_res25!P18,creep_res25!L18)</f>
        <v>0.4530258865404922</v>
      </c>
      <c r="AD18" s="2">
        <f>IF('Modell einstellen'!$B$2="Ja",creep_res50!P18,creep_res50!L18)</f>
        <v>0.46131037089059196</v>
      </c>
      <c r="AE18" s="2">
        <f>IF('Modell einstellen'!$B$2="Ja",creep_res80!P18,creep_res80!L18)</f>
        <v>0.47432273798443014</v>
      </c>
      <c r="AF18" s="2">
        <f>IF('Modell einstellen'!$B$2="Ja",creep_res125!P18,creep_res125!L18)</f>
        <v>0.51259192288395838</v>
      </c>
      <c r="AG18" s="2">
        <f>IF('Modell einstellen'!$B$2="Ja",creep_res160!P18,creep_res160!L18)</f>
        <v>0.57900237233431018</v>
      </c>
      <c r="AL18" s="2">
        <f t="shared" si="11"/>
        <v>1</v>
      </c>
      <c r="AM18" s="2">
        <f t="shared" si="12"/>
        <v>7846.4940246078413</v>
      </c>
      <c r="AN18" s="2">
        <f t="shared" si="13"/>
        <v>7368.015082756323</v>
      </c>
      <c r="AO18" s="2">
        <f t="shared" si="14"/>
        <v>7004.3784649959834</v>
      </c>
      <c r="AP18" s="2">
        <f t="shared" si="15"/>
        <v>6688.5259415281262</v>
      </c>
      <c r="AQ18" s="2">
        <f t="shared" si="16"/>
        <v>6219.0027578185491</v>
      </c>
      <c r="AR18" s="2">
        <f t="shared" si="17"/>
        <v>4973.8956031837224</v>
      </c>
      <c r="AS18" s="2">
        <f t="shared" si="18"/>
        <v>3284.9966289927738</v>
      </c>
      <c r="AX18" s="2">
        <f t="shared" si="28"/>
        <v>1</v>
      </c>
      <c r="AY18" s="37">
        <f t="shared" si="19"/>
        <v>55562.619945805782</v>
      </c>
      <c r="AZ18" s="37">
        <f t="shared" si="20"/>
        <v>62836.484888256178</v>
      </c>
      <c r="BA18" s="37">
        <f t="shared" si="21"/>
        <v>72220.935313936774</v>
      </c>
      <c r="BB18" s="37">
        <f t="shared" si="22"/>
        <v>84208.71905738597</v>
      </c>
      <c r="BC18" s="37">
        <f t="shared" si="23"/>
        <v>119026.41291323678</v>
      </c>
      <c r="BD18" s="37">
        <f t="shared" si="24"/>
        <v>-199161.38263066887</v>
      </c>
      <c r="BE18" s="37">
        <f t="shared" si="25"/>
        <v>-21885.492452218914</v>
      </c>
    </row>
    <row r="19" spans="1:57" x14ac:dyDescent="0.25">
      <c r="A19" s="2">
        <f>'creep_res-40'!A19</f>
        <v>10</v>
      </c>
      <c r="B19" s="3">
        <f>'creep_res-40'!O19</f>
        <v>-4.5926486857142857E-4</v>
      </c>
      <c r="C19" s="2">
        <f>IF('Modell einstellen'!$B$2="Ja",creep_res0!O19,creep_res0!C19)</f>
        <v>-4.8622577714285719E-4</v>
      </c>
      <c r="D19" s="2">
        <f>IF('Modell einstellen'!$B$2="Ja",creep_res25!O19,creep_res25!C19)</f>
        <v>-5.0905381142857145E-4</v>
      </c>
      <c r="E19" s="2">
        <f>IF('Modell einstellen'!$B$2="Ja",creep_res50!O19,creep_res50!C19)</f>
        <v>-5.3645994857142863E-4</v>
      </c>
      <c r="F19" s="2">
        <f>IF('Modell einstellen'!$B$2="Ja",creep_res80!O19,creep_res80!C19)</f>
        <v>-5.9216714285714289E-4</v>
      </c>
      <c r="G19" s="2">
        <f>IF('Modell einstellen'!$B$2="Ja",creep_res125!O19,creep_res125!C19)</f>
        <v>-8.1709234285714302E-4</v>
      </c>
      <c r="H19" s="2">
        <f>IF('Modell einstellen'!$B$2="Ja",creep_res160!O19,creep_res160!C19)</f>
        <v>-1.4137288571428573E-3</v>
      </c>
      <c r="M19" s="9">
        <f t="shared" si="26"/>
        <v>-10</v>
      </c>
      <c r="N19" s="2">
        <f t="shared" si="4"/>
        <v>10</v>
      </c>
      <c r="O19" s="2">
        <f t="shared" si="5"/>
        <v>21773.927605448269</v>
      </c>
      <c r="P19" s="2">
        <f t="shared" si="6"/>
        <v>20566.577236529185</v>
      </c>
      <c r="Q19" s="2">
        <f t="shared" si="7"/>
        <v>19644.288630187701</v>
      </c>
      <c r="R19" s="2">
        <f t="shared" si="27"/>
        <v>18640.720573138031</v>
      </c>
      <c r="S19" s="2">
        <f t="shared" si="8"/>
        <v>16887.124050400827</v>
      </c>
      <c r="T19" s="2">
        <f t="shared" si="9"/>
        <v>12238.518800742644</v>
      </c>
      <c r="U19" s="2">
        <f t="shared" si="10"/>
        <v>7073.4921689368193</v>
      </c>
      <c r="Z19" s="2">
        <v>10</v>
      </c>
      <c r="AA19" s="3">
        <f>IF('Modell einstellen'!$B$2="Ja",'creep_res-40'!P19,'creep_res-40'!L19)</f>
        <v>0.44115019988714382</v>
      </c>
      <c r="AB19" s="2">
        <f>IF('Modell einstellen'!$B$2="Ja",creep_res0!P19,creep_res0!L19)</f>
        <v>0.45279723137673222</v>
      </c>
      <c r="AC19" s="2">
        <f>IF('Modell einstellen'!$B$2="Ja",creep_res25!P19,creep_res25!L19)</f>
        <v>0.4624712423049252</v>
      </c>
      <c r="AD19" s="2">
        <f>IF('Modell einstellen'!$B$2="Ja",creep_res50!P19,creep_res50!L19)</f>
        <v>0.47174583907960166</v>
      </c>
      <c r="AE19" s="2">
        <f>IF('Modell einstellen'!$B$2="Ja",creep_res80!P19,creep_res80!L19)</f>
        <v>0.48376578041431351</v>
      </c>
      <c r="AF19" s="2">
        <f>IF('Modell einstellen'!$B$2="Ja",creep_res125!P19,creep_res125!L19)</f>
        <v>0.51403616838971011</v>
      </c>
      <c r="AG19" s="2">
        <f>IF('Modell einstellen'!$B$2="Ja",creep_res160!P19,creep_res160!L19)</f>
        <v>0.57518061151754496</v>
      </c>
      <c r="AL19" s="2">
        <f t="shared" si="11"/>
        <v>10</v>
      </c>
      <c r="AM19" s="2">
        <f t="shared" si="12"/>
        <v>7554.3574872186746</v>
      </c>
      <c r="AN19" s="2">
        <f t="shared" si="13"/>
        <v>7078.2683200185556</v>
      </c>
      <c r="AO19" s="2">
        <f t="shared" si="14"/>
        <v>6716.1281746734903</v>
      </c>
      <c r="AP19" s="2">
        <f t="shared" si="15"/>
        <v>6332.8599538611707</v>
      </c>
      <c r="AQ19" s="2">
        <f t="shared" si="16"/>
        <v>5690.6299745251627</v>
      </c>
      <c r="AR19" s="2">
        <f t="shared" si="17"/>
        <v>4041.6864062630743</v>
      </c>
      <c r="AS19" s="2">
        <f t="shared" si="18"/>
        <v>2245.2955925232422</v>
      </c>
      <c r="AX19" s="2">
        <f t="shared" si="28"/>
        <v>10</v>
      </c>
      <c r="AY19" s="37">
        <f t="shared" si="19"/>
        <v>61665.255060885051</v>
      </c>
      <c r="AZ19" s="37">
        <f t="shared" si="20"/>
        <v>72617.835197599168</v>
      </c>
      <c r="BA19" s="37">
        <f t="shared" si="21"/>
        <v>87241.046762945829</v>
      </c>
      <c r="BB19" s="37">
        <f t="shared" si="22"/>
        <v>109958.55693405851</v>
      </c>
      <c r="BC19" s="37">
        <f t="shared" si="23"/>
        <v>173369.63198085185</v>
      </c>
      <c r="BD19" s="37">
        <f t="shared" si="24"/>
        <v>-145321.22134929974</v>
      </c>
      <c r="BE19" s="37">
        <f t="shared" si="25"/>
        <v>-15681.108968026225</v>
      </c>
    </row>
    <row r="20" spans="1:57" x14ac:dyDescent="0.25">
      <c r="A20" s="2">
        <f>'creep_res-40'!A20</f>
        <v>100</v>
      </c>
      <c r="B20" s="3">
        <f>'creep_res-40'!O20</f>
        <v>-4.7422432E-4</v>
      </c>
      <c r="C20" s="2">
        <f>IF('Modell einstellen'!$B$2="Ja",creep_res0!O20,creep_res0!C20)</f>
        <v>-5.042617714285714E-4</v>
      </c>
      <c r="D20" s="2">
        <f>IF('Modell einstellen'!$B$2="Ja",creep_res25!O20,creep_res25!C20)</f>
        <v>-5.3754890285714289E-4</v>
      </c>
      <c r="E20" s="2">
        <f>IF('Modell einstellen'!$B$2="Ja",creep_res50!O20,creep_res50!C20)</f>
        <v>-5.9246891428571438E-4</v>
      </c>
      <c r="F20" s="2">
        <f>IF('Modell einstellen'!$B$2="Ja",creep_res80!O20,creep_res80!C20)</f>
        <v>-7.0827571428571431E-4</v>
      </c>
      <c r="G20" s="2">
        <f>IF('Modell einstellen'!$B$2="Ja",creep_res125!O20,creep_res125!C20)</f>
        <v>-1.1108585142857144E-3</v>
      </c>
      <c r="H20" s="2">
        <f>IF('Modell einstellen'!$B$2="Ja",creep_res160!O20,creep_res160!C20)</f>
        <v>-2.2145592571428574E-3</v>
      </c>
      <c r="M20" s="9">
        <f t="shared" si="26"/>
        <v>-10</v>
      </c>
      <c r="N20" s="2">
        <f t="shared" si="4"/>
        <v>100</v>
      </c>
      <c r="O20" s="2">
        <f t="shared" si="5"/>
        <v>21087.066981296954</v>
      </c>
      <c r="P20" s="2">
        <f t="shared" si="6"/>
        <v>19830.969878343232</v>
      </c>
      <c r="Q20" s="2">
        <f t="shared" si="7"/>
        <v>18602.958627296397</v>
      </c>
      <c r="R20" s="2">
        <f t="shared" si="27"/>
        <v>16878.522668241734</v>
      </c>
      <c r="S20" s="2">
        <f t="shared" si="8"/>
        <v>14118.795545721701</v>
      </c>
      <c r="T20" s="2">
        <f t="shared" si="9"/>
        <v>9002.0464995310685</v>
      </c>
      <c r="U20" s="2">
        <f t="shared" si="10"/>
        <v>4515.5711989850433</v>
      </c>
      <c r="Z20" s="2">
        <v>100</v>
      </c>
      <c r="AA20" s="3">
        <f>IF('Modell einstellen'!$B$2="Ja",'creep_res-40'!P20,'creep_res-40'!L20)</f>
        <v>0.44998771889219014</v>
      </c>
      <c r="AB20" s="2">
        <f>IF('Modell einstellen'!$B$2="Ja",creep_res0!P20,creep_res0!L20)</f>
        <v>0.46229901453678091</v>
      </c>
      <c r="AC20" s="2">
        <f>IF('Modell einstellen'!$B$2="Ja",creep_res25!P20,creep_res25!L20)</f>
        <v>0.472339547834149</v>
      </c>
      <c r="AD20" s="2">
        <f>IF('Modell einstellen'!$B$2="Ja",creep_res50!P20,creep_res50!L20)</f>
        <v>0.4785455651633464</v>
      </c>
      <c r="AE20" s="2">
        <f>IF('Modell einstellen'!$B$2="Ja",creep_res80!P20,creep_res80!L20)</f>
        <v>0.48198605466394245</v>
      </c>
      <c r="AF20" s="2">
        <f>IF('Modell einstellen'!$B$2="Ja",creep_res125!P20,creep_res125!L20)</f>
        <v>0.5014770094934039</v>
      </c>
      <c r="AG20" s="2">
        <f>IF('Modell einstellen'!$B$2="Ja",creep_res160!P20,creep_res160!L20)</f>
        <v>0.55170193555701907</v>
      </c>
      <c r="AL20" s="2">
        <f t="shared" si="11"/>
        <v>100</v>
      </c>
      <c r="AM20" s="2">
        <f t="shared" si="12"/>
        <v>7271.4639946770558</v>
      </c>
      <c r="AN20" s="2">
        <f t="shared" si="13"/>
        <v>6780.7506129740432</v>
      </c>
      <c r="AO20" s="2">
        <f t="shared" si="14"/>
        <v>6317.4824905918776</v>
      </c>
      <c r="AP20" s="2">
        <f t="shared" si="15"/>
        <v>5707.8128215740962</v>
      </c>
      <c r="AQ20" s="2">
        <f t="shared" si="16"/>
        <v>4763.4711208275512</v>
      </c>
      <c r="AR20" s="2">
        <f t="shared" si="17"/>
        <v>2997.7303823547541</v>
      </c>
      <c r="AS20" s="2">
        <f t="shared" si="18"/>
        <v>1455.0382053123094</v>
      </c>
      <c r="AX20" s="2">
        <f t="shared" si="28"/>
        <v>100</v>
      </c>
      <c r="AY20" s="37">
        <f t="shared" si="19"/>
        <v>70272.962674375391</v>
      </c>
      <c r="AZ20" s="37">
        <f t="shared" si="20"/>
        <v>87667.778594674644</v>
      </c>
      <c r="BA20" s="37">
        <f t="shared" si="21"/>
        <v>112091.19380836448</v>
      </c>
      <c r="BB20" s="37">
        <f t="shared" si="22"/>
        <v>131119.14309519043</v>
      </c>
      <c r="BC20" s="37">
        <f t="shared" si="23"/>
        <v>130628.38523460364</v>
      </c>
      <c r="BD20" s="37">
        <f t="shared" si="24"/>
        <v>-1015796.5063565745</v>
      </c>
      <c r="BE20" s="37">
        <f t="shared" si="25"/>
        <v>-14556.422147887421</v>
      </c>
    </row>
    <row r="21" spans="1:57" x14ac:dyDescent="0.25">
      <c r="A21" s="2">
        <f>'creep_res-40'!A21</f>
        <v>1000</v>
      </c>
      <c r="B21" s="3">
        <f>'creep_res-40'!O21</f>
        <v>-4.9147261714285718E-4</v>
      </c>
      <c r="C21" s="2">
        <f>IF('Modell einstellen'!$B$2="Ja",creep_res0!O21,creep_res0!C21)</f>
        <v>-5.3436528571428575E-4</v>
      </c>
      <c r="D21" s="2">
        <f>IF('Modell einstellen'!$B$2="Ja",creep_res25!O21,creep_res25!C21)</f>
        <v>-6.0763388571428577E-4</v>
      </c>
      <c r="E21" s="2">
        <f>IF('Modell einstellen'!$B$2="Ja",creep_res50!O21,creep_res50!C21)</f>
        <v>-7.2165205714285711E-4</v>
      </c>
      <c r="F21" s="2">
        <f>IF('Modell einstellen'!$B$2="Ja",creep_res80!O21,creep_res80!C21)</f>
        <v>-9.0756428571428581E-4</v>
      </c>
      <c r="G21" s="2">
        <f>IF('Modell einstellen'!$B$2="Ja",creep_res125!O21,creep_res125!C21)</f>
        <v>-1.5874490285714285E-3</v>
      </c>
      <c r="H21" s="2">
        <f>IF('Modell einstellen'!$B$2="Ja",creep_res160!O21,creep_res160!C21)</f>
        <v>-3.505241085714286E-3</v>
      </c>
      <c r="M21" s="9">
        <f t="shared" si="26"/>
        <v>-10</v>
      </c>
      <c r="N21" s="2">
        <f t="shared" si="4"/>
        <v>1000</v>
      </c>
      <c r="O21" s="2">
        <f t="shared" si="5"/>
        <v>20347.013549064694</v>
      </c>
      <c r="P21" s="2">
        <f t="shared" si="6"/>
        <v>18713.790486283193</v>
      </c>
      <c r="Q21" s="2">
        <f t="shared" si="7"/>
        <v>16457.278363014269</v>
      </c>
      <c r="R21" s="2">
        <f t="shared" si="27"/>
        <v>13857.093458018669</v>
      </c>
      <c r="S21" s="2">
        <f t="shared" si="8"/>
        <v>11018.50321504183</v>
      </c>
      <c r="T21" s="2">
        <f t="shared" si="9"/>
        <v>6299.4148599524888</v>
      </c>
      <c r="U21" s="2">
        <f t="shared" si="10"/>
        <v>2852.8708170046552</v>
      </c>
      <c r="Z21" s="2">
        <v>1000</v>
      </c>
      <c r="AA21" s="3">
        <f>IF('Modell einstellen'!$B$2="Ja",'creep_res-40'!P21,'creep_res-40'!L21)</f>
        <v>0.45996262334999088</v>
      </c>
      <c r="AB21" s="2">
        <f>IF('Modell einstellen'!$B$2="Ja",creep_res0!P21,creep_res0!L21)</f>
        <v>0.47124506858203208</v>
      </c>
      <c r="AC21" s="2">
        <f>IF('Modell einstellen'!$B$2="Ja",creep_res25!P21,creep_res25!L21)</f>
        <v>0.47596586591192652</v>
      </c>
      <c r="AD21" s="2">
        <f>IF('Modell einstellen'!$B$2="Ja",creep_res50!P21,creep_res50!L21)</f>
        <v>0.47309247804501914</v>
      </c>
      <c r="AE21" s="2">
        <f>IF('Modell einstellen'!$B$2="Ja",creep_res80!P21,creep_res80!L21)</f>
        <v>0.4697575834848377</v>
      </c>
      <c r="AF21" s="2">
        <f>IF('Modell einstellen'!$B$2="Ja",creep_res125!P21,creep_res125!L21)</f>
        <v>0.48645453021159774</v>
      </c>
      <c r="AG21" s="2">
        <f>IF('Modell einstellen'!$B$2="Ja",creep_res160!P21,creep_res160!L21)</f>
        <v>0.51788170461933092</v>
      </c>
      <c r="AL21" s="2">
        <f t="shared" si="11"/>
        <v>1000</v>
      </c>
      <c r="AM21" s="2">
        <f t="shared" si="12"/>
        <v>6968.3337174677063</v>
      </c>
      <c r="AN21" s="2">
        <f t="shared" si="13"/>
        <v>6359.8481605512916</v>
      </c>
      <c r="AO21" s="2">
        <f t="shared" si="14"/>
        <v>5575.0877249610812</v>
      </c>
      <c r="AP21" s="2">
        <f t="shared" si="15"/>
        <v>4703.4024219609055</v>
      </c>
      <c r="AQ21" s="2">
        <f t="shared" si="16"/>
        <v>3748.4083561986595</v>
      </c>
      <c r="AR21" s="2">
        <f t="shared" si="17"/>
        <v>2118.9396419195423</v>
      </c>
      <c r="AS21" s="2">
        <f t="shared" si="18"/>
        <v>939.75400333325899</v>
      </c>
      <c r="AX21" s="2">
        <f t="shared" si="28"/>
        <v>1000</v>
      </c>
      <c r="AY21" s="37">
        <f t="shared" si="19"/>
        <v>84700.077991831757</v>
      </c>
      <c r="AZ21" s="37">
        <f t="shared" si="20"/>
        <v>108467.1368438135</v>
      </c>
      <c r="BA21" s="37">
        <f t="shared" si="21"/>
        <v>114124.34153515651</v>
      </c>
      <c r="BB21" s="37">
        <f t="shared" si="22"/>
        <v>85831.596837512931</v>
      </c>
      <c r="BC21" s="37">
        <f t="shared" si="23"/>
        <v>60723.229626384789</v>
      </c>
      <c r="BD21" s="37">
        <f t="shared" si="24"/>
        <v>77509.491590884703</v>
      </c>
      <c r="BE21" s="37">
        <f t="shared" si="25"/>
        <v>-26590.220542328079</v>
      </c>
    </row>
    <row r="22" spans="1:57" x14ac:dyDescent="0.25">
      <c r="A22" s="2">
        <f>'creep_res-40'!A22</f>
        <v>10000</v>
      </c>
      <c r="B22" s="3">
        <f>'creep_res-40'!O22</f>
        <v>-5.1080495999999997E-4</v>
      </c>
      <c r="C22" s="2">
        <f>IF('Modell einstellen'!$B$2="Ja",creep_res0!O22,creep_res0!C22)</f>
        <v>-6.1334434285714289E-4</v>
      </c>
      <c r="D22" s="2">
        <f>IF('Modell einstellen'!$B$2="Ja",creep_res25!O22,creep_res25!C22)</f>
        <v>-7.5412742857142862E-4</v>
      </c>
      <c r="E22" s="2">
        <f>IF('Modell einstellen'!$B$2="Ja",creep_res50!O22,creep_res50!C22)</f>
        <v>-9.2102622857142874E-4</v>
      </c>
      <c r="F22" s="2">
        <f>IF('Modell einstellen'!$B$2="Ja",creep_res80!O22,creep_res80!C22)</f>
        <v>-1.1832574285714286E-3</v>
      </c>
      <c r="G22" s="2">
        <f>IF('Modell einstellen'!$B$2="Ja",creep_res125!O22,creep_res125!C22)</f>
        <v>-2.3751488000000004E-3</v>
      </c>
      <c r="H22" s="2">
        <f>IF('Modell einstellen'!$B$2="Ja",creep_res160!O22,creep_res160!C22)</f>
        <v>-5.0682833714285717E-3</v>
      </c>
      <c r="M22" s="9">
        <f t="shared" si="26"/>
        <v>-10</v>
      </c>
      <c r="N22" s="2">
        <f t="shared" si="4"/>
        <v>10000</v>
      </c>
      <c r="O22" s="2">
        <f t="shared" si="5"/>
        <v>19576.943810412493</v>
      </c>
      <c r="P22" s="2">
        <f t="shared" si="6"/>
        <v>16304.055163233405</v>
      </c>
      <c r="Q22" s="2">
        <f t="shared" si="7"/>
        <v>13260.358423699518</v>
      </c>
      <c r="R22" s="2">
        <f t="shared" si="27"/>
        <v>10857.454098251519</v>
      </c>
      <c r="S22" s="2">
        <f t="shared" si="8"/>
        <v>8451.2463294426198</v>
      </c>
      <c r="T22" s="2">
        <f t="shared" si="9"/>
        <v>4210.2625317622196</v>
      </c>
      <c r="U22" s="2">
        <f t="shared" si="10"/>
        <v>1973.0546354951243</v>
      </c>
      <c r="Z22" s="2">
        <v>10000</v>
      </c>
      <c r="AA22" s="3">
        <f>IF('Modell einstellen'!$B$2="Ja",'creep_res-40'!P22,'creep_res-40'!L22)</f>
        <v>0.46956680183483623</v>
      </c>
      <c r="AB22" s="2">
        <f>IF('Modell einstellen'!$B$2="Ja",creep_res0!P22,creep_res0!L22)</f>
        <v>0.47321110509258563</v>
      </c>
      <c r="AC22" s="2">
        <f>IF('Modell einstellen'!$B$2="Ja",creep_res25!P22,creep_res25!L22)</f>
        <v>0.467686355394276</v>
      </c>
      <c r="AD22" s="2">
        <f>IF('Modell einstellen'!$B$2="Ja",creep_res50!P22,creep_res50!L22)</f>
        <v>0.46064290770314031</v>
      </c>
      <c r="AE22" s="2">
        <f>IF('Modell einstellen'!$B$2="Ja",creep_res80!P22,creep_res80!L22)</f>
        <v>0.45717612952718178</v>
      </c>
      <c r="AF22" s="2">
        <f>IF('Modell einstellen'!$B$2="Ja",creep_res125!P22,creep_res125!L22)</f>
        <v>0.4701611476781099</v>
      </c>
      <c r="AG22" s="2">
        <f>IF('Modell einstellen'!$B$2="Ja",creep_res160!P22,creep_res160!L22)</f>
        <v>0.47758387260768681</v>
      </c>
      <c r="AL22" s="2">
        <f t="shared" si="11"/>
        <v>10000</v>
      </c>
      <c r="AM22" s="2">
        <f t="shared" si="12"/>
        <v>6660.7873102364538</v>
      </c>
      <c r="AN22" s="2">
        <f t="shared" si="13"/>
        <v>5533.5094566127227</v>
      </c>
      <c r="AO22" s="2">
        <f t="shared" si="14"/>
        <v>4517.4360226770941</v>
      </c>
      <c r="AP22" s="2">
        <f t="shared" si="15"/>
        <v>3716.6695709784594</v>
      </c>
      <c r="AQ22" s="2">
        <f t="shared" si="16"/>
        <v>2899.8712503562774</v>
      </c>
      <c r="AR22" s="2">
        <f t="shared" si="17"/>
        <v>1431.9051140793895</v>
      </c>
      <c r="AS22" s="2">
        <f t="shared" si="18"/>
        <v>667.66248335298053</v>
      </c>
      <c r="AX22" s="2">
        <f t="shared" si="28"/>
        <v>10000</v>
      </c>
      <c r="AY22" s="37">
        <f t="shared" si="19"/>
        <v>107212.65476912535</v>
      </c>
      <c r="AZ22" s="37">
        <f t="shared" si="20"/>
        <v>101435.40958285246</v>
      </c>
      <c r="BA22" s="37">
        <f t="shared" si="21"/>
        <v>68394.010154204807</v>
      </c>
      <c r="BB22" s="37">
        <f t="shared" si="22"/>
        <v>45978.388580965024</v>
      </c>
      <c r="BC22" s="37">
        <f t="shared" si="23"/>
        <v>32891.493444086351</v>
      </c>
      <c r="BD22" s="37">
        <f t="shared" si="24"/>
        <v>23516.669287095461</v>
      </c>
      <c r="BE22" s="37">
        <f t="shared" si="25"/>
        <v>14669.904104932601</v>
      </c>
    </row>
    <row r="23" spans="1:57" x14ac:dyDescent="0.25">
      <c r="A23" s="2">
        <f>'creep_res-40'!A23</f>
        <v>100000</v>
      </c>
      <c r="B23" s="3">
        <f>'creep_res-40'!O23</f>
        <v>-5.5237050285714281E-4</v>
      </c>
      <c r="C23" s="2">
        <f>IF('Modell einstellen'!$B$2="Ja",creep_res0!O23,creep_res0!C23)</f>
        <v>-7.6379371428571426E-4</v>
      </c>
      <c r="D23" s="2">
        <f>IF('Modell einstellen'!$B$2="Ja",creep_res25!O23,creep_res25!C23)</f>
        <v>-9.5998822857142866E-4</v>
      </c>
      <c r="E23" s="2">
        <f>IF('Modell einstellen'!$B$2="Ja",creep_res50!O23,creep_res50!C23)</f>
        <v>-1.1794936000000002E-3</v>
      </c>
      <c r="F23" s="2">
        <f>IF('Modell einstellen'!$B$2="Ja",creep_res80!O23,creep_res80!C23)</f>
        <v>-1.5661336571428574E-3</v>
      </c>
      <c r="G23" s="2">
        <f>IF('Modell einstellen'!$B$2="Ja",creep_res125!O23,creep_res125!C23)</f>
        <v>-3.5625850285714291E-3</v>
      </c>
      <c r="H23" s="2">
        <f>IF('Modell einstellen'!$B$2="Ja",creep_res160!O23,creep_res160!C23)</f>
        <v>-6.5951834285714293E-3</v>
      </c>
      <c r="M23" s="9">
        <f t="shared" si="26"/>
        <v>-10</v>
      </c>
      <c r="N23" s="2">
        <f t="shared" si="4"/>
        <v>100000</v>
      </c>
      <c r="O23" s="2">
        <f t="shared" si="5"/>
        <v>18103.790749641561</v>
      </c>
      <c r="P23" s="2">
        <f t="shared" si="6"/>
        <v>13092.540319413096</v>
      </c>
      <c r="Q23" s="2">
        <f t="shared" si="7"/>
        <v>10416.794396407478</v>
      </c>
      <c r="R23" s="2">
        <f t="shared" si="27"/>
        <v>8478.2147185877038</v>
      </c>
      <c r="S23" s="2">
        <f t="shared" si="8"/>
        <v>6385.151072127067</v>
      </c>
      <c r="T23" s="2">
        <f t="shared" si="9"/>
        <v>2806.9505484925726</v>
      </c>
      <c r="U23" s="2">
        <f t="shared" si="10"/>
        <v>1516.2580553375271</v>
      </c>
      <c r="Z23" s="2">
        <v>100000</v>
      </c>
      <c r="AA23" s="3">
        <f>IF('Modell einstellen'!$B$2="Ja",'creep_res-40'!P23,'creep_res-40'!L23)</f>
        <v>0.47903772414122292</v>
      </c>
      <c r="AB23" s="2">
        <f>IF('Modell einstellen'!$B$2="Ja",creep_res0!P23,creep_res0!L23)</f>
        <v>0.46375124472651186</v>
      </c>
      <c r="AC23" s="2">
        <f>IF('Modell einstellen'!$B$2="Ja",creep_res25!P23,creep_res25!L23)</f>
        <v>0.45518567072905775</v>
      </c>
      <c r="AD23" s="2">
        <f>IF('Modell einstellen'!$B$2="Ja",creep_res50!P23,creep_res50!L23)</f>
        <v>0.4489491858443076</v>
      </c>
      <c r="AE23" s="2">
        <f>IF('Modell einstellen'!$B$2="Ja",creep_res80!P23,creep_res80!L23)</f>
        <v>0.44594460629687532</v>
      </c>
      <c r="AF23" s="2">
        <f>IF('Modell einstellen'!$B$2="Ja",creep_res125!P23,creep_res125!L23)</f>
        <v>0.45011312652299118</v>
      </c>
      <c r="AG23" s="2">
        <f>IF('Modell einstellen'!$B$2="Ja",creep_res160!P23,creep_res160!L23)</f>
        <v>0.44478032496615921</v>
      </c>
      <c r="AL23" s="2">
        <f t="shared" si="11"/>
        <v>100000</v>
      </c>
      <c r="AM23" s="2">
        <f t="shared" si="12"/>
        <v>6120.1247453486039</v>
      </c>
      <c r="AN23" s="2">
        <f t="shared" si="13"/>
        <v>4472.2559132167689</v>
      </c>
      <c r="AO23" s="2">
        <f t="shared" si="14"/>
        <v>3579.1976948167016</v>
      </c>
      <c r="AP23" s="2">
        <f t="shared" si="15"/>
        <v>2925.6425281910142</v>
      </c>
      <c r="AQ23" s="2">
        <f t="shared" si="16"/>
        <v>2207.9514817928284</v>
      </c>
      <c r="AR23" s="2">
        <f t="shared" si="17"/>
        <v>967.83847313448518</v>
      </c>
      <c r="AS23" s="2">
        <f t="shared" si="18"/>
        <v>524.73653922891083</v>
      </c>
      <c r="AX23" s="2">
        <f t="shared" si="28"/>
        <v>100000</v>
      </c>
      <c r="AY23" s="37">
        <f t="shared" si="19"/>
        <v>143939.45001969935</v>
      </c>
      <c r="AZ23" s="37">
        <f t="shared" si="20"/>
        <v>60197.654699373015</v>
      </c>
      <c r="BA23" s="37">
        <f t="shared" si="21"/>
        <v>38740.564182156799</v>
      </c>
      <c r="BB23" s="37">
        <f t="shared" si="22"/>
        <v>27679.005904232457</v>
      </c>
      <c r="BC23" s="37">
        <f t="shared" si="23"/>
        <v>19687.06122462291</v>
      </c>
      <c r="BD23" s="37">
        <f t="shared" si="24"/>
        <v>9377.7192036505076</v>
      </c>
      <c r="BE23" s="37">
        <f t="shared" si="25"/>
        <v>4576.4426490144579</v>
      </c>
    </row>
    <row r="24" spans="1:57" x14ac:dyDescent="0.25">
      <c r="A24" s="2">
        <f>'creep_res-40'!A24</f>
        <v>1000000</v>
      </c>
      <c r="B24" s="3">
        <f>'creep_res-40'!O24</f>
        <v>-6.5347891428571428E-4</v>
      </c>
      <c r="C24" s="2">
        <f>IF('Modell einstellen'!$B$2="Ja",creep_res0!O24,creep_res0!C24)</f>
        <v>-9.6756845714285724E-4</v>
      </c>
      <c r="D24" s="2">
        <f>IF('Modell einstellen'!$B$2="Ja",creep_res25!O24,creep_res25!C24)</f>
        <v>-1.2203956E-3</v>
      </c>
      <c r="E24" s="2">
        <f>IF('Modell einstellen'!$B$2="Ja",creep_res50!O24,creep_res50!C24)</f>
        <v>-1.5301973142857145E-3</v>
      </c>
      <c r="F24" s="2">
        <f>IF('Modell einstellen'!$B$2="Ja",creep_res80!O24,creep_res80!C24)</f>
        <v>-2.1722050857142859E-3</v>
      </c>
      <c r="G24" s="2">
        <f>IF('Modell einstellen'!$B$2="Ja",creep_res125!O24,creep_res125!C24)</f>
        <v>-5.1735060571428577E-3</v>
      </c>
      <c r="H24" s="2">
        <f>IF('Modell einstellen'!$B$2="Ja",creep_res160!O24,creep_res160!C24)</f>
        <v>-7.6842982857142856E-3</v>
      </c>
      <c r="M24" s="9">
        <f t="shared" si="26"/>
        <v>-10</v>
      </c>
      <c r="N24" s="2">
        <f t="shared" si="4"/>
        <v>1000000</v>
      </c>
      <c r="O24" s="2">
        <f t="shared" si="5"/>
        <v>15302.712576320093</v>
      </c>
      <c r="P24" s="2">
        <f t="shared" si="6"/>
        <v>10335.186028623857</v>
      </c>
      <c r="Q24" s="2">
        <f t="shared" si="7"/>
        <v>8194.0642853841819</v>
      </c>
      <c r="R24" s="2">
        <f t="shared" si="27"/>
        <v>6535.1049218563885</v>
      </c>
      <c r="S24" s="2">
        <f t="shared" si="8"/>
        <v>4603.6168802687898</v>
      </c>
      <c r="T24" s="2">
        <f t="shared" si="9"/>
        <v>1932.9251555032763</v>
      </c>
      <c r="U24" s="2">
        <f t="shared" si="10"/>
        <v>1301.3550005718525</v>
      </c>
      <c r="Z24" s="2">
        <v>1000000</v>
      </c>
      <c r="AA24" s="3">
        <f>IF('Modell einstellen'!$B$2="Ja",'creep_res-40'!P24,'creep_res-40'!L24)</f>
        <v>0.47716060529136328</v>
      </c>
      <c r="AB24" s="2">
        <f>IF('Modell einstellen'!$B$2="Ja",creep_res0!P24,creep_res0!L24)</f>
        <v>0.45160443427908353</v>
      </c>
      <c r="AC24" s="2">
        <f>IF('Modell einstellen'!$B$2="Ja",creep_res25!P24,creep_res25!L24)</f>
        <v>0.44424299792624622</v>
      </c>
      <c r="AD24" s="2">
        <f>IF('Modell einstellen'!$B$2="Ja",creep_res50!P24,creep_res50!L24)</f>
        <v>0.4386523747282936</v>
      </c>
      <c r="AE24" s="2">
        <f>IF('Modell einstellen'!$B$2="Ja",creep_res80!P24,creep_res80!L24)</f>
        <v>0.434929598465433</v>
      </c>
      <c r="AF24" s="2">
        <f>IF('Modell einstellen'!$B$2="Ja",creep_res125!P24,creep_res125!L24)</f>
        <v>0.4304465269178715</v>
      </c>
      <c r="AG24" s="2">
        <f>IF('Modell einstellen'!$B$2="Ja",creep_res160!P24,creep_res160!L24)</f>
        <v>0.42036104495683302</v>
      </c>
      <c r="AL24" s="2">
        <f t="shared" si="11"/>
        <v>1000000</v>
      </c>
      <c r="AM24" s="2">
        <f t="shared" si="12"/>
        <v>5179.772775385416</v>
      </c>
      <c r="AN24" s="2">
        <f t="shared" si="13"/>
        <v>3559.9181790033126</v>
      </c>
      <c r="AO24" s="2">
        <f t="shared" si="14"/>
        <v>2836.8024969308635</v>
      </c>
      <c r="AP24" s="2">
        <f t="shared" si="15"/>
        <v>2271.2592133629987</v>
      </c>
      <c r="AQ24" s="2">
        <f t="shared" si="16"/>
        <v>1604.1263924000411</v>
      </c>
      <c r="AR24" s="2">
        <f t="shared" si="17"/>
        <v>675.63698437161315</v>
      </c>
      <c r="AS24" s="2">
        <f t="shared" si="18"/>
        <v>458.1071148045329</v>
      </c>
      <c r="AX24" s="2">
        <f t="shared" si="28"/>
        <v>1000000</v>
      </c>
      <c r="AY24" s="37">
        <f t="shared" si="19"/>
        <v>111668.9881054026</v>
      </c>
      <c r="AZ24" s="37">
        <f t="shared" si="20"/>
        <v>35592.744482087299</v>
      </c>
      <c r="BA24" s="37">
        <f t="shared" si="21"/>
        <v>24493.378949802292</v>
      </c>
      <c r="BB24" s="37">
        <f t="shared" si="22"/>
        <v>17754.300167590423</v>
      </c>
      <c r="BC24" s="37">
        <f t="shared" si="23"/>
        <v>11791.37460274017</v>
      </c>
      <c r="BD24" s="37">
        <f t="shared" si="24"/>
        <v>4631.7484707554549</v>
      </c>
      <c r="BE24" s="37">
        <f t="shared" si="25"/>
        <v>2723.4473377726486</v>
      </c>
    </row>
    <row r="25" spans="1:57" x14ac:dyDescent="0.25">
      <c r="A25" s="2">
        <f>'creep_res-40'!A25</f>
        <v>10000000</v>
      </c>
      <c r="B25" s="3">
        <f>'creep_res-40'!O25</f>
        <v>-8.2994857142857151E-4</v>
      </c>
      <c r="C25" s="2">
        <f>IF('Modell einstellen'!$B$2="Ja",creep_res0!O25,creep_res0!C25)</f>
        <v>-1.2198500000000002E-3</v>
      </c>
      <c r="D25" s="2">
        <f>IF('Modell einstellen'!$B$2="Ja",creep_res25!O25,creep_res25!C25)</f>
        <v>-1.5747096571428571E-3</v>
      </c>
      <c r="E25" s="2">
        <f>IF('Modell einstellen'!$B$2="Ja",creep_res50!O25,creep_res50!C25)</f>
        <v>-2.0701796571428576E-3</v>
      </c>
      <c r="F25" s="2">
        <f>IF('Modell einstellen'!$B$2="Ja",creep_res80!O25,creep_res80!C25)</f>
        <v>-3.1303788000000003E-3</v>
      </c>
      <c r="G25" s="2">
        <f>IF('Modell einstellen'!$B$2="Ja",creep_res125!O25,creep_res125!C25)</f>
        <v>-6.6533691428571429E-3</v>
      </c>
      <c r="H25" s="2">
        <f>IF('Modell einstellen'!$B$2="Ja",creep_res160!O25,creep_res160!C25)</f>
        <v>-8.5483737142857154E-3</v>
      </c>
      <c r="M25" s="9">
        <f t="shared" si="26"/>
        <v>-10</v>
      </c>
      <c r="N25" s="2">
        <f t="shared" si="4"/>
        <v>10000000</v>
      </c>
      <c r="O25" s="2">
        <f t="shared" si="5"/>
        <v>12048.939349081869</v>
      </c>
      <c r="P25" s="2">
        <f t="shared" si="6"/>
        <v>8197.7292290035639</v>
      </c>
      <c r="Q25" s="2">
        <f t="shared" si="7"/>
        <v>6350.3770073677797</v>
      </c>
      <c r="R25" s="2">
        <f t="shared" si="27"/>
        <v>4830.4986311194953</v>
      </c>
      <c r="S25" s="2">
        <f t="shared" si="8"/>
        <v>3194.5015727809041</v>
      </c>
      <c r="T25" s="2">
        <f t="shared" si="9"/>
        <v>1502.9979225992142</v>
      </c>
      <c r="U25" s="2">
        <f t="shared" si="10"/>
        <v>1169.8131520956299</v>
      </c>
      <c r="Z25" s="2">
        <v>10000000</v>
      </c>
      <c r="AA25" s="3">
        <f>IF('Modell einstellen'!$B$2="Ja",'creep_res-40'!P25,'creep_res-40'!L25)</f>
        <v>0.46564792999221977</v>
      </c>
      <c r="AB25" s="2">
        <f>IF('Modell einstellen'!$B$2="Ja",creep_res0!P25,creep_res0!L25)</f>
        <v>0.44109820996726762</v>
      </c>
      <c r="AC25" s="2">
        <f>IF('Modell einstellen'!$B$2="Ja",creep_res25!P25,creep_res25!L25)</f>
        <v>0.43434448632508005</v>
      </c>
      <c r="AD25" s="2">
        <f>IF('Modell einstellen'!$B$2="Ja",creep_res50!P25,creep_res50!L25)</f>
        <v>0.42837102005556782</v>
      </c>
      <c r="AE25" s="2">
        <f>IF('Modell einstellen'!$B$2="Ja",creep_res80!P25,creep_res80!L25)</f>
        <v>0.42179203907937823</v>
      </c>
      <c r="AF25" s="2">
        <f>IF('Modell einstellen'!$B$2="Ja",creep_res125!P25,creep_res125!L25)</f>
        <v>0.4134661657131648</v>
      </c>
      <c r="AG25" s="2">
        <f>IF('Modell einstellen'!$B$2="Ja",creep_res160!P25,creep_res160!L25)</f>
        <v>0.4055410706691478</v>
      </c>
      <c r="AL25" s="2">
        <f t="shared" si="11"/>
        <v>10000000</v>
      </c>
      <c r="AM25" s="2">
        <f t="shared" si="12"/>
        <v>4110.4480491252179</v>
      </c>
      <c r="AN25" s="2">
        <f t="shared" si="13"/>
        <v>2844.2645935941323</v>
      </c>
      <c r="AO25" s="2">
        <f t="shared" si="14"/>
        <v>2213.6861360404496</v>
      </c>
      <c r="AP25" s="2">
        <f t="shared" si="15"/>
        <v>1690.9117320692962</v>
      </c>
      <c r="AQ25" s="2">
        <f t="shared" si="16"/>
        <v>1123.4067588567204</v>
      </c>
      <c r="AR25" s="2">
        <f t="shared" si="17"/>
        <v>531.67099399258564</v>
      </c>
      <c r="AS25" s="2">
        <f t="shared" si="18"/>
        <v>416.14335450856197</v>
      </c>
      <c r="AX25" s="2">
        <f t="shared" si="28"/>
        <v>10000000</v>
      </c>
      <c r="AY25" s="37">
        <f t="shared" si="19"/>
        <v>58458.094598826036</v>
      </c>
      <c r="AZ25" s="37">
        <f t="shared" si="20"/>
        <v>23196.038763417302</v>
      </c>
      <c r="BA25" s="37">
        <f t="shared" si="21"/>
        <v>16120.446077614522</v>
      </c>
      <c r="BB25" s="37">
        <f t="shared" si="22"/>
        <v>11239.628231633958</v>
      </c>
      <c r="BC25" s="37">
        <f t="shared" si="23"/>
        <v>6807.7075853850884</v>
      </c>
      <c r="BD25" s="37">
        <f t="shared" si="24"/>
        <v>2894.8174529768339</v>
      </c>
      <c r="BE25" s="37">
        <f t="shared" si="25"/>
        <v>2064.0595872064814</v>
      </c>
    </row>
    <row r="26" spans="1:57" x14ac:dyDescent="0.25">
      <c r="A26" s="2">
        <f>'creep_res-40'!A26</f>
        <v>100000000</v>
      </c>
      <c r="B26" s="3">
        <f>'creep_res-40'!O26</f>
        <v>-1.0604901142857144E-3</v>
      </c>
      <c r="C26" s="2">
        <f>IF('Modell einstellen'!$B$2="Ja",creep_res0!O26,creep_res0!C26)</f>
        <v>-1.5611176000000001E-3</v>
      </c>
      <c r="D26" s="2">
        <f>IF('Modell einstellen'!$B$2="Ja",creep_res25!O26,creep_res25!C26)</f>
        <v>-2.126671542857143E-3</v>
      </c>
      <c r="E26" s="2">
        <f>IF('Modell einstellen'!$B$2="Ja",creep_res50!O26,creep_res50!C26)</f>
        <v>-2.9545460000000002E-3</v>
      </c>
      <c r="F26" s="2">
        <f>IF('Modell einstellen'!$B$2="Ja",creep_res80!O26,creep_res80!C26)</f>
        <v>-4.5407554857142861E-3</v>
      </c>
      <c r="G26" s="2">
        <f>IF('Modell einstellen'!$B$2="Ja",creep_res125!O26,creep_res125!C26)</f>
        <v>-7.8597879999999995E-3</v>
      </c>
      <c r="H26" s="2">
        <f>IF('Modell einstellen'!$B$2="Ja",creep_res160!O26,creep_res160!C26)</f>
        <v>-9.1112971428571436E-3</v>
      </c>
      <c r="M26" s="9">
        <f t="shared" si="26"/>
        <v>-10</v>
      </c>
      <c r="N26" s="2">
        <f t="shared" si="4"/>
        <v>100000000</v>
      </c>
      <c r="O26" s="2">
        <f t="shared" si="5"/>
        <v>9429.6022803903543</v>
      </c>
      <c r="P26" s="2">
        <f t="shared" si="6"/>
        <v>6405.6673244859958</v>
      </c>
      <c r="Q26" s="2">
        <f t="shared" si="7"/>
        <v>4702.1835758262832</v>
      </c>
      <c r="R26" s="2">
        <f t="shared" si="27"/>
        <v>3384.614759763429</v>
      </c>
      <c r="S26" s="2">
        <f t="shared" si="8"/>
        <v>2202.2766985496346</v>
      </c>
      <c r="T26" s="2">
        <f t="shared" si="9"/>
        <v>1272.2989475034187</v>
      </c>
      <c r="U26" s="2">
        <f t="shared" si="10"/>
        <v>1097.5385659372946</v>
      </c>
      <c r="Z26" s="2">
        <v>100000000</v>
      </c>
      <c r="AA26" s="3">
        <f>IF('Modell einstellen'!$B$2="Ja",'creep_res-40'!P26,'creep_res-40'!L26)</f>
        <v>0.45290705208702148</v>
      </c>
      <c r="AB26" s="2">
        <f>IF('Modell einstellen'!$B$2="Ja",creep_res0!P26,creep_res0!L26)</f>
        <v>0.43156741408481064</v>
      </c>
      <c r="AC26" s="2">
        <f>IF('Modell einstellen'!$B$2="Ja",creep_res25!P26,creep_res25!L26)</f>
        <v>0.4243573162967042</v>
      </c>
      <c r="AD26" s="2">
        <f>IF('Modell einstellen'!$B$2="Ja",creep_res50!P26,creep_res50!L26)</f>
        <v>0.41680383865599463</v>
      </c>
      <c r="AE26" s="2">
        <f>IF('Modell einstellen'!$B$2="Ja",creep_res80!P26,creep_res80!L26)</f>
        <v>0.41033224666289325</v>
      </c>
      <c r="AF26" s="2">
        <f>IF('Modell einstellen'!$B$2="Ja",creep_res125!P26,creep_res125!L26)</f>
        <v>0.40145795280992319</v>
      </c>
      <c r="AG26" s="2">
        <f>IF('Modell einstellen'!$B$2="Ja",creep_res160!P26,creep_res160!L26)</f>
        <v>0.39572430960120469</v>
      </c>
      <c r="AL26" s="2">
        <f t="shared" si="11"/>
        <v>100000000</v>
      </c>
      <c r="AM26" s="2">
        <f t="shared" si="12"/>
        <v>3245.0810486621449</v>
      </c>
      <c r="AN26" s="2">
        <f t="shared" si="13"/>
        <v>2237.2915384432267</v>
      </c>
      <c r="AO26" s="2">
        <f t="shared" si="14"/>
        <v>1650.6334197278006</v>
      </c>
      <c r="AP26" s="2">
        <f t="shared" si="15"/>
        <v>1194.4542594457305</v>
      </c>
      <c r="AQ26" s="2">
        <f t="shared" si="16"/>
        <v>780.76520754617513</v>
      </c>
      <c r="AR26" s="2">
        <f t="shared" si="17"/>
        <v>453.91977153237434</v>
      </c>
      <c r="AS26" s="2">
        <f t="shared" si="18"/>
        <v>393.17885286775953</v>
      </c>
      <c r="AX26" s="2">
        <f t="shared" si="28"/>
        <v>100000000</v>
      </c>
      <c r="AY26" s="37">
        <f t="shared" si="19"/>
        <v>33372.30837553781</v>
      </c>
      <c r="AZ26" s="37">
        <f t="shared" si="20"/>
        <v>15600.918867376864</v>
      </c>
      <c r="BA26" s="37">
        <f t="shared" si="21"/>
        <v>10360.516368135783</v>
      </c>
      <c r="BB26" s="37">
        <f t="shared" si="22"/>
        <v>6780.3904753259076</v>
      </c>
      <c r="BC26" s="37">
        <f t="shared" si="23"/>
        <v>4093.4015046080817</v>
      </c>
      <c r="BD26" s="37">
        <f t="shared" si="24"/>
        <v>2151.8715170883579</v>
      </c>
      <c r="BE26" s="37">
        <f t="shared" si="25"/>
        <v>1754.2256840813566</v>
      </c>
    </row>
    <row r="27" spans="1:57" x14ac:dyDescent="0.25">
      <c r="A27" s="2">
        <f>'creep_res-40'!A27</f>
        <v>1000000000</v>
      </c>
      <c r="B27" s="3">
        <f>'creep_res-40'!O27</f>
        <v>-1.3626403428571429E-3</v>
      </c>
      <c r="C27" s="2">
        <f>IF('Modell einstellen'!$B$2="Ja",creep_res0!O27,creep_res0!C27)</f>
        <v>-2.0873740571428572E-3</v>
      </c>
      <c r="D27" s="2">
        <f>IF('Modell einstellen'!$B$2="Ja",creep_res25!O27,creep_res25!C27)</f>
        <v>-3.0271867428571433E-3</v>
      </c>
      <c r="E27" s="2">
        <f>IF('Modell einstellen'!$B$2="Ja",creep_res50!O27,creep_res50!C27)</f>
        <v>-4.2581054285714291E-3</v>
      </c>
      <c r="F27" s="2">
        <f>IF('Modell einstellen'!$B$2="Ja",creep_res80!O27,creep_res80!C27)</f>
        <v>-6.1332525714285716E-3</v>
      </c>
      <c r="G27" s="2">
        <f>IF('Modell einstellen'!$B$2="Ja",creep_res125!O27,creep_res125!C27)</f>
        <v>-8.5845314285714295E-3</v>
      </c>
      <c r="H27" s="2">
        <f>IF('Modell einstellen'!$B$2="Ja",creep_res160!O27,creep_res160!C27)</f>
        <v>-9.4835811428571441E-3</v>
      </c>
      <c r="M27" s="9">
        <f t="shared" si="26"/>
        <v>-10</v>
      </c>
      <c r="N27" s="2">
        <f t="shared" si="4"/>
        <v>1000000000</v>
      </c>
      <c r="O27" s="2">
        <f t="shared" si="5"/>
        <v>7338.6936269861963</v>
      </c>
      <c r="P27" s="2">
        <f t="shared" si="6"/>
        <v>4790.708194240824</v>
      </c>
      <c r="Q27" s="2">
        <f t="shared" si="7"/>
        <v>3303.3971305522173</v>
      </c>
      <c r="R27" s="2">
        <f t="shared" si="27"/>
        <v>2348.4622839305662</v>
      </c>
      <c r="S27" s="2">
        <f t="shared" si="8"/>
        <v>1630.4562519705228</v>
      </c>
      <c r="T27" s="2">
        <f t="shared" si="9"/>
        <v>1164.8859443530655</v>
      </c>
      <c r="U27" s="2">
        <f t="shared" si="10"/>
        <v>1054.4539925755591</v>
      </c>
      <c r="Z27" s="2">
        <v>1000000000</v>
      </c>
      <c r="AA27" s="3">
        <f>IF('Modell einstellen'!$B$2="Ja",'creep_res-40'!P27,'creep_res-40'!L27)</f>
        <v>0.44239716791845213</v>
      </c>
      <c r="AB27" s="2">
        <f>IF('Modell einstellen'!$B$2="Ja",creep_res0!P27,creep_res0!L27)</f>
        <v>0.42188364295087255</v>
      </c>
      <c r="AC27" s="2">
        <f>IF('Modell einstellen'!$B$2="Ja",creep_res25!P27,creep_res25!L27)</f>
        <v>0.41333084590675495</v>
      </c>
      <c r="AD27" s="2">
        <f>IF('Modell einstellen'!$B$2="Ja",creep_res50!P27,creep_res50!L27)</f>
        <v>0.40659445525370808</v>
      </c>
      <c r="AE27" s="2">
        <f>IF('Modell einstellen'!$B$2="Ja",creep_res80!P27,creep_res80!L27)</f>
        <v>0.4007215747188721</v>
      </c>
      <c r="AF27" s="2">
        <f>IF('Modell einstellen'!$B$2="Ja",creep_res125!P27,creep_res125!L27)</f>
        <v>0.39388759715980831</v>
      </c>
      <c r="AG27" s="2">
        <f>IF('Modell einstellen'!$B$2="Ja",creep_res160!P27,creep_res160!L27)</f>
        <v>0.38976528275906863</v>
      </c>
      <c r="AL27" s="2">
        <f t="shared" si="11"/>
        <v>1000000000</v>
      </c>
      <c r="AM27" s="2">
        <f t="shared" si="12"/>
        <v>2543.9226414929772</v>
      </c>
      <c r="AN27" s="2">
        <f t="shared" si="13"/>
        <v>1684.6343995836892</v>
      </c>
      <c r="AO27" s="2">
        <f t="shared" si="14"/>
        <v>1168.6567020451771</v>
      </c>
      <c r="AP27" s="2">
        <f t="shared" si="15"/>
        <v>834.8043301176574</v>
      </c>
      <c r="AQ27" s="2">
        <f t="shared" si="16"/>
        <v>582.0058323502866</v>
      </c>
      <c r="AR27" s="2">
        <f t="shared" si="17"/>
        <v>417.85505040960345</v>
      </c>
      <c r="AS27" s="2">
        <f t="shared" si="18"/>
        <v>379.36405724647841</v>
      </c>
      <c r="AX27" s="2">
        <f t="shared" si="28"/>
        <v>1000000000</v>
      </c>
      <c r="AY27" s="37">
        <f t="shared" si="19"/>
        <v>21233.601895930122</v>
      </c>
      <c r="AZ27" s="37">
        <f t="shared" si="20"/>
        <v>10221.308262041164</v>
      </c>
      <c r="BA27" s="37">
        <f t="shared" si="21"/>
        <v>6352.5044658106381</v>
      </c>
      <c r="BB27" s="37">
        <f t="shared" si="22"/>
        <v>4190.4405323928358</v>
      </c>
      <c r="BC27" s="37">
        <f t="shared" si="23"/>
        <v>2737.1778701390231</v>
      </c>
      <c r="BD27" s="37">
        <f t="shared" si="24"/>
        <v>1829.6415140515619</v>
      </c>
      <c r="BE27" s="37">
        <f t="shared" si="25"/>
        <v>1594.2557525849165</v>
      </c>
    </row>
    <row r="28" spans="1:57" x14ac:dyDescent="0.25">
      <c r="A28" s="2">
        <f>'creep_res-40'!A28</f>
        <v>10000000000</v>
      </c>
      <c r="B28" s="3">
        <f>'creep_res-40'!O28</f>
        <v>-1.7953448000000002E-3</v>
      </c>
      <c r="C28" s="2">
        <f>IF('Modell einstellen'!$B$2="Ja",creep_res0!O28,creep_res0!C28)</f>
        <v>-2.9592241714285717E-3</v>
      </c>
      <c r="D28" s="2">
        <f>IF('Modell einstellen'!$B$2="Ja",creep_res25!O28,creep_res25!C28)</f>
        <v>-4.3534069142857146E-3</v>
      </c>
      <c r="E28" s="2">
        <f>IF('Modell einstellen'!$B$2="Ja",creep_res50!O28,creep_res50!C28)</f>
        <v>-5.8863280000000006E-3</v>
      </c>
      <c r="F28" s="2">
        <f>IF('Modell einstellen'!$B$2="Ja",creep_res80!O28,creep_res80!C28)</f>
        <v>-7.5139828571428573E-3</v>
      </c>
      <c r="G28" s="2">
        <f>IF('Modell einstellen'!$B$2="Ja",creep_res125!O28,creep_res125!C28)</f>
        <v>-9.184025142857143E-3</v>
      </c>
      <c r="H28" s="2">
        <f>IF('Modell einstellen'!$B$2="Ja",creep_res160!O28,creep_res160!C28)</f>
        <v>-1.0088114857142857E-2</v>
      </c>
      <c r="M28" s="9">
        <f t="shared" si="26"/>
        <v>-10</v>
      </c>
      <c r="N28" s="2">
        <f t="shared" si="4"/>
        <v>10000000000</v>
      </c>
      <c r="O28" s="2">
        <f t="shared" si="5"/>
        <v>5569.9607117251235</v>
      </c>
      <c r="P28" s="2">
        <f t="shared" si="6"/>
        <v>3379.2640978505115</v>
      </c>
      <c r="Q28" s="2">
        <f t="shared" si="7"/>
        <v>2297.0515269741904</v>
      </c>
      <c r="R28" s="2">
        <f t="shared" si="27"/>
        <v>1698.8519837834383</v>
      </c>
      <c r="S28" s="2">
        <f t="shared" si="8"/>
        <v>1330.8521179941092</v>
      </c>
      <c r="T28" s="2">
        <f t="shared" si="9"/>
        <v>1088.8471933003668</v>
      </c>
      <c r="U28" s="2">
        <f t="shared" si="10"/>
        <v>991.26547839803118</v>
      </c>
      <c r="Z28" s="2">
        <v>10000000000</v>
      </c>
      <c r="AA28" s="3">
        <f>IF('Modell einstellen'!$B$2="Ja",'creep_res-40'!P28,'creep_res-40'!L28)</f>
        <v>0.43218614210325657</v>
      </c>
      <c r="AB28" s="2">
        <f>IF('Modell einstellen'!$B$2="Ja",creep_res0!P28,creep_res0!L28)</f>
        <v>0.41143718306244093</v>
      </c>
      <c r="AC28" s="2">
        <f>IF('Modell einstellen'!$B$2="Ja",creep_res25!P28,creep_res25!L28)</f>
        <v>0.40393473900723353</v>
      </c>
      <c r="AD28" s="2">
        <f>IF('Modell einstellen'!$B$2="Ja",creep_res50!P28,creep_res50!L28)</f>
        <v>0.39845275356724935</v>
      </c>
      <c r="AE28" s="2">
        <f>IF('Modell einstellen'!$B$2="Ja",creep_res80!P28,creep_res80!L28)</f>
        <v>0.39374011271937204</v>
      </c>
      <c r="AF28" s="2">
        <f>IF('Modell einstellen'!$B$2="Ja",creep_res125!P28,creep_res125!L28)</f>
        <v>0.38913264548056237</v>
      </c>
      <c r="AG28" s="2">
        <f>IF('Modell einstellen'!$B$2="Ja",creep_res160!P28,creep_res160!L28)</f>
        <v>0.38718715165869028</v>
      </c>
      <c r="AL28" s="2">
        <f t="shared" si="11"/>
        <v>10000000000</v>
      </c>
      <c r="AM28" s="2">
        <f t="shared" si="12"/>
        <v>1944.565914995268</v>
      </c>
      <c r="AN28" s="2">
        <f t="shared" si="13"/>
        <v>1197.1004230306633</v>
      </c>
      <c r="AO28" s="2">
        <f t="shared" si="14"/>
        <v>818.07631905971209</v>
      </c>
      <c r="AP28" s="2">
        <f t="shared" si="15"/>
        <v>607.40413984309237</v>
      </c>
      <c r="AQ28" s="2">
        <f t="shared" si="16"/>
        <v>477.43912435634792</v>
      </c>
      <c r="AR28" s="2">
        <f t="shared" si="17"/>
        <v>391.91620643386665</v>
      </c>
      <c r="AS28" s="2">
        <f t="shared" si="18"/>
        <v>357.29334618358928</v>
      </c>
      <c r="AX28" s="2">
        <f t="shared" si="28"/>
        <v>10000000000</v>
      </c>
      <c r="AY28" s="37">
        <f t="shared" si="19"/>
        <v>13689.337461098799</v>
      </c>
      <c r="AZ28" s="37">
        <f t="shared" si="20"/>
        <v>6359.4486089142256</v>
      </c>
      <c r="BA28" s="37">
        <f t="shared" si="21"/>
        <v>3985.2275131089514</v>
      </c>
      <c r="BB28" s="37">
        <f t="shared" si="22"/>
        <v>2788.2784343615817</v>
      </c>
      <c r="BC28" s="37">
        <f t="shared" si="23"/>
        <v>2087.4169172282668</v>
      </c>
      <c r="BD28" s="37">
        <f t="shared" si="24"/>
        <v>1636.8617525270804</v>
      </c>
      <c r="BE28" s="37">
        <f t="shared" si="25"/>
        <v>1464.4689456514832</v>
      </c>
    </row>
    <row r="29" spans="1:57" x14ac:dyDescent="0.25">
      <c r="A29" s="2">
        <f>'creep_res-40'!A29</f>
        <v>100000000000</v>
      </c>
      <c r="B29" s="3">
        <f>'creep_res-40'!O29</f>
        <v>-2.5186729142857144E-3</v>
      </c>
      <c r="C29" s="2">
        <f>IF('Modell einstellen'!$B$2="Ja",creep_res0!O29,creep_res0!C29)</f>
        <v>-4.2434921142857143E-3</v>
      </c>
      <c r="D29" s="2">
        <f>IF('Modell einstellen'!$B$2="Ja",creep_res25!O29,creep_res25!C29)</f>
        <v>-5.9767857142857149E-3</v>
      </c>
      <c r="E29" s="2">
        <f>IF('Modell einstellen'!$B$2="Ja",creep_res50!O29,creep_res50!C29)</f>
        <v>-7.2844622857142858E-3</v>
      </c>
      <c r="F29" s="2">
        <f>IF('Modell einstellen'!$B$2="Ja",creep_res80!O29,creep_res80!C29)</f>
        <v>-8.4066577142857153E-3</v>
      </c>
      <c r="G29" s="2">
        <f>IF('Modell einstellen'!$B$2="Ja",creep_res125!O29,creep_res125!C29)</f>
        <v>-9.5224000000000003E-3</v>
      </c>
      <c r="H29" s="2">
        <f>IF('Modell einstellen'!$B$2="Ja",creep_res160!O29,creep_res160!C29)</f>
        <v>-1.028188342857143E-2</v>
      </c>
      <c r="M29" s="9">
        <f t="shared" si="26"/>
        <v>-10</v>
      </c>
      <c r="N29" s="2">
        <f t="shared" si="4"/>
        <v>100000000000</v>
      </c>
      <c r="O29" s="2">
        <f t="shared" si="5"/>
        <v>3970.3448364735204</v>
      </c>
      <c r="P29" s="2">
        <f t="shared" si="6"/>
        <v>2356.5496837698847</v>
      </c>
      <c r="Q29" s="2">
        <f t="shared" si="7"/>
        <v>1673.1401254855093</v>
      </c>
      <c r="R29" s="2">
        <f t="shared" si="27"/>
        <v>1372.7849232758351</v>
      </c>
      <c r="S29" s="2">
        <f t="shared" si="8"/>
        <v>1189.5333841184786</v>
      </c>
      <c r="T29" s="2">
        <f t="shared" si="9"/>
        <v>1050.1554230026043</v>
      </c>
      <c r="U29" s="2">
        <f t="shared" si="10"/>
        <v>972.58445589957489</v>
      </c>
      <c r="Z29" s="2">
        <v>100000000000</v>
      </c>
      <c r="AA29" s="3">
        <f>IF('Modell einstellen'!$B$2="Ja",'creep_res-40'!P29,'creep_res-40'!L29)</f>
        <v>0.42118983475560917</v>
      </c>
      <c r="AB29" s="2">
        <f>IF('Modell einstellen'!$B$2="Ja",creep_res0!P29,creep_res0!L29)</f>
        <v>0.40250224101141935</v>
      </c>
      <c r="AC29" s="2">
        <f>IF('Modell einstellen'!$B$2="Ja",creep_res25!P29,creep_res25!L29)</f>
        <v>0.39653875112040632</v>
      </c>
      <c r="AD29" s="2">
        <f>IF('Modell einstellen'!$B$2="Ja",creep_res50!P29,creep_res50!L29)</f>
        <v>0.39224568708238411</v>
      </c>
      <c r="AE29" s="2">
        <f>IF('Modell einstellen'!$B$2="Ja",creep_res80!P29,creep_res80!L29)</f>
        <v>0.38861117627110647</v>
      </c>
      <c r="AF29" s="2">
        <f>IF('Modell einstellen'!$B$2="Ja",creep_res125!P29,creep_res125!L29)</f>
        <v>0.38533081696091021</v>
      </c>
      <c r="AG29" s="2">
        <f>IF('Modell einstellen'!$B$2="Ja",creep_res160!P29,creep_res160!L29)</f>
        <v>0.38717257249588954</v>
      </c>
      <c r="AL29" s="2">
        <f t="shared" si="11"/>
        <v>100000000000</v>
      </c>
      <c r="AM29" s="2">
        <f t="shared" si="12"/>
        <v>1396.8383179282553</v>
      </c>
      <c r="AN29" s="2">
        <f t="shared" si="13"/>
        <v>840.12332203849121</v>
      </c>
      <c r="AO29" s="2">
        <f t="shared" si="14"/>
        <v>599.03104161742488</v>
      </c>
      <c r="AP29" s="2">
        <f t="shared" si="15"/>
        <v>493.01101666641495</v>
      </c>
      <c r="AQ29" s="2">
        <f t="shared" si="16"/>
        <v>428.31766172038903</v>
      </c>
      <c r="AR29" s="2">
        <f t="shared" si="17"/>
        <v>379.02694798430821</v>
      </c>
      <c r="AS29" s="2">
        <f t="shared" si="18"/>
        <v>350.56361233759071</v>
      </c>
      <c r="AX29" s="2">
        <f t="shared" si="28"/>
        <v>100000000000</v>
      </c>
      <c r="AY29" s="37">
        <f t="shared" si="19"/>
        <v>8396.4313151766983</v>
      </c>
      <c r="AZ29" s="37">
        <f t="shared" si="20"/>
        <v>4028.3826490239189</v>
      </c>
      <c r="BA29" s="37">
        <f t="shared" si="21"/>
        <v>2695.276643194657</v>
      </c>
      <c r="BB29" s="37">
        <f t="shared" si="22"/>
        <v>2123.3255636604308</v>
      </c>
      <c r="BC29" s="37">
        <f t="shared" si="23"/>
        <v>1779.8514912256878</v>
      </c>
      <c r="BD29" s="37">
        <f t="shared" si="24"/>
        <v>1526.3552001944799</v>
      </c>
      <c r="BE29" s="37">
        <f t="shared" si="25"/>
        <v>1436.6844383710725</v>
      </c>
    </row>
    <row r="30" spans="1:57" x14ac:dyDescent="0.25">
      <c r="A30" s="2">
        <f>'creep_res-40'!A30</f>
        <v>1000000000000</v>
      </c>
      <c r="B30" s="3">
        <f>'creep_res-40'!O30</f>
        <v>-3.6098497142857144E-3</v>
      </c>
      <c r="C30" s="2">
        <f>IF('Modell einstellen'!$B$2="Ja",creep_res0!O30,creep_res0!C30)</f>
        <v>-5.8771245714285712E-3</v>
      </c>
      <c r="D30" s="2">
        <f>IF('Modell einstellen'!$B$2="Ja",creep_res25!O30,creep_res25!C30)</f>
        <v>-7.3654439999999996E-3</v>
      </c>
      <c r="E30" s="2">
        <f>IF('Modell einstellen'!$B$2="Ja",creep_res50!O30,creep_res50!C30)</f>
        <v>-8.3061679999999992E-3</v>
      </c>
      <c r="F30" s="2">
        <f>IF('Modell einstellen'!$B$2="Ja",creep_res80!O30,creep_res80!C30)</f>
        <v>-9.0518805714285711E-3</v>
      </c>
      <c r="G30" s="2">
        <f>IF('Modell einstellen'!$B$2="Ja",creep_res125!O30,creep_res125!C30)</f>
        <v>-9.8091748571428571E-3</v>
      </c>
      <c r="H30" s="2">
        <f>IF('Modell einstellen'!$B$2="Ja",creep_res160!O30,creep_res160!C30)</f>
        <v>-1.0456755428571428E-2</v>
      </c>
      <c r="M30" s="9">
        <f t="shared" si="26"/>
        <v>-10</v>
      </c>
      <c r="N30" s="2">
        <f t="shared" si="4"/>
        <v>1000000000000</v>
      </c>
      <c r="O30" s="2">
        <f t="shared" si="5"/>
        <v>2770.1984269388659</v>
      </c>
      <c r="P30" s="2">
        <f t="shared" si="6"/>
        <v>1701.5123430622245</v>
      </c>
      <c r="Q30" s="2">
        <f t="shared" si="7"/>
        <v>1357.6914032609575</v>
      </c>
      <c r="R30" s="2">
        <f t="shared" si="27"/>
        <v>1203.9246015731924</v>
      </c>
      <c r="S30" s="2">
        <f t="shared" si="8"/>
        <v>1104.7428124012242</v>
      </c>
      <c r="T30" s="2">
        <f t="shared" si="9"/>
        <v>1019.453740568014</v>
      </c>
      <c r="U30" s="2">
        <f t="shared" si="10"/>
        <v>956.31958386217809</v>
      </c>
      <c r="Z30" s="2">
        <v>1000000000000</v>
      </c>
      <c r="AA30" s="3">
        <f>IF('Modell einstellen'!$B$2="Ja",'creep_res-40'!P30,'creep_res-40'!L30)</f>
        <v>0.41030673694844755</v>
      </c>
      <c r="AB30" s="2">
        <f>IF('Modell einstellen'!$B$2="Ja",creep_res0!P30,creep_res0!L30)</f>
        <v>0.39563019544640299</v>
      </c>
      <c r="AC30" s="2">
        <f>IF('Modell einstellen'!$B$2="Ja",creep_res25!P30,creep_res25!L30)</f>
        <v>0.39098977798021606</v>
      </c>
      <c r="AD30" s="2">
        <f>IF('Modell einstellen'!$B$2="Ja",creep_res50!P30,creep_res50!L30)</f>
        <v>0.38787809596090866</v>
      </c>
      <c r="AE30" s="2">
        <f>IF('Modell einstellen'!$B$2="Ja",creep_res80!P30,creep_res80!L30)</f>
        <v>0.38560014458873937</v>
      </c>
      <c r="AF30" s="2">
        <f>IF('Modell einstellen'!$B$2="Ja",creep_res125!P30,creep_res125!L30)</f>
        <v>0.38665882832958254</v>
      </c>
      <c r="AG30" s="2">
        <f>IF('Modell einstellen'!$B$2="Ja",creep_res160!P30,creep_res160!L30)</f>
        <v>0.38319490743974016</v>
      </c>
      <c r="AL30" s="2">
        <f t="shared" si="11"/>
        <v>1000000000000</v>
      </c>
      <c r="AM30" s="2">
        <f t="shared" si="12"/>
        <v>982.12621210790121</v>
      </c>
      <c r="AN30" s="2">
        <f t="shared" si="13"/>
        <v>609.58567269963044</v>
      </c>
      <c r="AO30" s="2">
        <f t="shared" si="14"/>
        <v>488.03069035934635</v>
      </c>
      <c r="AP30" s="2">
        <f t="shared" si="15"/>
        <v>433.7285115590953</v>
      </c>
      <c r="AQ30" s="2">
        <f t="shared" si="16"/>
        <v>398.6513774250231</v>
      </c>
      <c r="AR30" s="2">
        <f t="shared" si="17"/>
        <v>367.59357086994629</v>
      </c>
      <c r="AS30" s="2">
        <f t="shared" si="18"/>
        <v>345.69227327199394</v>
      </c>
      <c r="AX30" s="2">
        <f t="shared" si="28"/>
        <v>1000000000000</v>
      </c>
      <c r="AY30" s="37">
        <f t="shared" si="19"/>
        <v>5147.5408755925846</v>
      </c>
      <c r="AZ30" s="37">
        <f t="shared" si="20"/>
        <v>2717.1210267500423</v>
      </c>
      <c r="BA30" s="37">
        <f t="shared" si="21"/>
        <v>2075.7860717174367</v>
      </c>
      <c r="BB30" s="37">
        <f t="shared" si="22"/>
        <v>1789.6066070394293</v>
      </c>
      <c r="BC30" s="37">
        <f t="shared" si="23"/>
        <v>1609.4758284873408</v>
      </c>
      <c r="BD30" s="37">
        <f t="shared" si="24"/>
        <v>1499.092997339136</v>
      </c>
      <c r="BE30" s="37">
        <f t="shared" si="25"/>
        <v>1364.5517829467524</v>
      </c>
    </row>
    <row r="31" spans="1:57" x14ac:dyDescent="0.25">
      <c r="A31" s="2">
        <f>'creep_res-40'!A31</f>
        <v>10000000000000</v>
      </c>
      <c r="B31" s="3">
        <f>'creep_res-40'!O31</f>
        <v>-5.1771965142857149E-3</v>
      </c>
      <c r="C31" s="2">
        <f>IF('Modell einstellen'!$B$2="Ja",creep_res0!O31,creep_res0!C31)</f>
        <v>-7.2722080000000014E-3</v>
      </c>
      <c r="D31" s="2">
        <f>IF('Modell einstellen'!$B$2="Ja",creep_res25!O31,creep_res25!C31)</f>
        <v>-8.3538388571428573E-3</v>
      </c>
      <c r="E31" s="2">
        <f>IF('Modell einstellen'!$B$2="Ja",creep_res50!O31,creep_res50!C31)</f>
        <v>-8.9411811428571422E-3</v>
      </c>
      <c r="F31" s="2">
        <f>IF('Modell einstellen'!$B$2="Ja",creep_res80!O31,creep_res80!C31)</f>
        <v>-9.3563582857142859E-3</v>
      </c>
      <c r="G31" s="2">
        <f>IF('Modell einstellen'!$B$2="Ja",creep_res125!O31,creep_res125!C31)</f>
        <v>-1.0384158857142858E-2</v>
      </c>
      <c r="H31" s="2">
        <f>IF('Modell einstellen'!$B$2="Ja",creep_res160!O31,creep_res160!C31)</f>
        <v>-1.0466368571428573E-2</v>
      </c>
      <c r="M31" s="9">
        <f t="shared" si="26"/>
        <v>-10</v>
      </c>
      <c r="N31" s="2">
        <f t="shared" si="4"/>
        <v>10000000000000</v>
      </c>
      <c r="O31" s="2">
        <f t="shared" si="5"/>
        <v>1931.547309901501</v>
      </c>
      <c r="P31" s="2">
        <f t="shared" si="6"/>
        <v>1375.0981820101952</v>
      </c>
      <c r="Q31" s="2">
        <f t="shared" si="7"/>
        <v>1197.054452570582</v>
      </c>
      <c r="R31" s="2">
        <f t="shared" si="27"/>
        <v>1118.4204681938156</v>
      </c>
      <c r="S31" s="2">
        <f t="shared" si="8"/>
        <v>1068.7919054220547</v>
      </c>
      <c r="T31" s="2">
        <f t="shared" si="9"/>
        <v>963.00529851018121</v>
      </c>
      <c r="U31" s="2">
        <f t="shared" si="10"/>
        <v>955.44122412221554</v>
      </c>
      <c r="Z31" s="2">
        <v>10000000000000</v>
      </c>
      <c r="AA31" s="3">
        <f>IF('Modell einstellen'!$B$2="Ja",'creep_res-40'!P31,'creep_res-40'!L31)</f>
        <v>0.40163181973202289</v>
      </c>
      <c r="AB31" s="2">
        <f>IF('Modell einstellen'!$B$2="Ja",creep_res0!P31,creep_res0!L31)</f>
        <v>0.39037885447878123</v>
      </c>
      <c r="AC31" s="2">
        <f>IF('Modell einstellen'!$B$2="Ja",creep_res25!P31,creep_res25!L31)</f>
        <v>0.3870430484038202</v>
      </c>
      <c r="AD31" s="2">
        <f>IF('Modell einstellen'!$B$2="Ja",creep_res50!P31,creep_res50!L31)</f>
        <v>0.38499029882085894</v>
      </c>
      <c r="AE31" s="2">
        <f>IF('Modell einstellen'!$B$2="Ja",creep_res80!P31,creep_res80!L31)</f>
        <v>0.3871362832437798</v>
      </c>
      <c r="AF31" s="2">
        <f>IF('Modell einstellen'!$B$2="Ja",creep_res125!P31,creep_res125!L31)</f>
        <v>0.38299135639461379</v>
      </c>
      <c r="AG31" s="2">
        <f>IF('Modell einstellen'!$B$2="Ja",creep_res160!P31,creep_res160!L31)</f>
        <v>0.38306049116776481</v>
      </c>
      <c r="AL31" s="2">
        <f t="shared" si="11"/>
        <v>10000000000000</v>
      </c>
      <c r="AM31" s="2">
        <f t="shared" si="12"/>
        <v>689.03519551617785</v>
      </c>
      <c r="AN31" s="2">
        <f t="shared" si="13"/>
        <v>494.5048529689002</v>
      </c>
      <c r="AO31" s="2">
        <f t="shared" si="14"/>
        <v>431.51308603872349</v>
      </c>
      <c r="AP31" s="2">
        <f t="shared" si="15"/>
        <v>403.76473002951963</v>
      </c>
      <c r="AQ31" s="2">
        <f t="shared" si="16"/>
        <v>385.25122525189607</v>
      </c>
      <c r="AR31" s="2">
        <f t="shared" si="17"/>
        <v>348.16027376363564</v>
      </c>
      <c r="AS31" s="2">
        <f t="shared" si="18"/>
        <v>345.40832820533547</v>
      </c>
      <c r="AX31" s="2">
        <f t="shared" si="28"/>
        <v>10000000000000</v>
      </c>
      <c r="AY31" s="37">
        <f t="shared" si="19"/>
        <v>3272.6492527690871</v>
      </c>
      <c r="AZ31" s="37">
        <f t="shared" si="20"/>
        <v>2090.6826802924697</v>
      </c>
      <c r="BA31" s="37">
        <f t="shared" si="21"/>
        <v>1766.2399047530398</v>
      </c>
      <c r="BB31" s="37">
        <f t="shared" si="22"/>
        <v>1620.7625048541847</v>
      </c>
      <c r="BC31" s="37">
        <f t="shared" si="23"/>
        <v>1578.2927353151501</v>
      </c>
      <c r="BD31" s="37">
        <f t="shared" si="24"/>
        <v>1371.7010824116753</v>
      </c>
      <c r="BE31" s="37">
        <f t="shared" si="25"/>
        <v>1361.7314251663213</v>
      </c>
    </row>
    <row r="32" spans="1:57" x14ac:dyDescent="0.25">
      <c r="A32" s="2">
        <f>'creep_res-40'!A32</f>
        <v>100000000000000</v>
      </c>
      <c r="B32" s="3">
        <f>'creep_res-40'!O32</f>
        <v>-6.6766028571428569E-3</v>
      </c>
      <c r="C32" s="2">
        <f>IF('Modell einstellen'!$B$2="Ja",creep_res0!O32,creep_res0!C32)</f>
        <v>-8.3137022857142865E-3</v>
      </c>
      <c r="D32" s="2">
        <f>IF('Modell einstellen'!$B$2="Ja",creep_res25!O32,creep_res25!C32)</f>
        <v>-8.9823782857142865E-3</v>
      </c>
      <c r="E32" s="2">
        <f>IF('Modell einstellen'!$B$2="Ja",creep_res50!O32,creep_res50!C32)</f>
        <v>-9.2980605714285732E-3</v>
      </c>
      <c r="F32" s="2">
        <f>IF('Modell einstellen'!$B$2="Ja",creep_res80!O32,creep_res80!C32)</f>
        <v>-9.698237142857143E-3</v>
      </c>
      <c r="G32" s="2">
        <f>IF('Modell einstellen'!$B$2="Ja",creep_res125!O32,creep_res125!C32)</f>
        <v>-1.0416116571428572E-2</v>
      </c>
      <c r="H32" s="2">
        <f>IF('Modell einstellen'!$B$2="Ja",creep_res160!O32,creep_res160!C32)</f>
        <v>-1.0536541142857144E-2</v>
      </c>
      <c r="M32" s="9">
        <f t="shared" si="26"/>
        <v>-10</v>
      </c>
      <c r="N32" s="2">
        <f t="shared" si="4"/>
        <v>100000000000000</v>
      </c>
      <c r="O32" s="2">
        <f t="shared" si="5"/>
        <v>1497.7676842500314</v>
      </c>
      <c r="P32" s="2">
        <f t="shared" si="6"/>
        <v>1202.8335459141151</v>
      </c>
      <c r="Q32" s="2">
        <f t="shared" si="7"/>
        <v>1113.2908993494691</v>
      </c>
      <c r="R32" s="2">
        <f t="shared" si="27"/>
        <v>1075.493101295594</v>
      </c>
      <c r="S32" s="2">
        <f t="shared" si="8"/>
        <v>1031.115227715906</v>
      </c>
      <c r="T32" s="2">
        <f t="shared" si="9"/>
        <v>960.05069945453749</v>
      </c>
      <c r="U32" s="2">
        <f t="shared" si="10"/>
        <v>949.07805744004781</v>
      </c>
      <c r="Z32" s="2">
        <v>100000000000000</v>
      </c>
      <c r="AA32" s="3">
        <f>IF('Modell einstellen'!$B$2="Ja",'creep_res-40'!P32,'creep_res-40'!L32)</f>
        <v>0.39447393905626088</v>
      </c>
      <c r="AB32" s="2">
        <f>IF('Modell einstellen'!$B$2="Ja",creep_res0!P32,creep_res0!L32)</f>
        <v>0.38672603761404833</v>
      </c>
      <c r="AC32" s="2">
        <f>IF('Modell einstellen'!$B$2="Ja",creep_res25!P32,creep_res25!L32)</f>
        <v>0.38448236617193715</v>
      </c>
      <c r="AD32" s="2">
        <f>IF('Modell einstellen'!$B$2="Ja",creep_res50!P32,creep_res50!L32)</f>
        <v>0.38721934392954199</v>
      </c>
      <c r="AE32" s="2">
        <f>IF('Modell einstellen'!$B$2="Ja",creep_res80!P32,creep_res80!L32)</f>
        <v>0.38256041819676806</v>
      </c>
      <c r="AF32" s="2">
        <f>IF('Modell einstellen'!$B$2="Ja",creep_res125!P32,creep_res125!L32)</f>
        <v>0.38409909171523421</v>
      </c>
      <c r="AG32" s="2">
        <f>IF('Modell einstellen'!$B$2="Ja",creep_res160!P32,creep_res160!L32)</f>
        <v>0.38139434968818992</v>
      </c>
      <c r="AL32" s="2">
        <f t="shared" si="11"/>
        <v>100000000000000</v>
      </c>
      <c r="AM32" s="2">
        <f t="shared" si="12"/>
        <v>537.03681449352746</v>
      </c>
      <c r="AN32" s="2">
        <f t="shared" si="13"/>
        <v>433.69545003412065</v>
      </c>
      <c r="AO32" s="2">
        <f t="shared" si="14"/>
        <v>402.06033913876905</v>
      </c>
      <c r="AP32" s="2">
        <f t="shared" si="15"/>
        <v>387.64349199783766</v>
      </c>
      <c r="AQ32" s="2">
        <f t="shared" si="16"/>
        <v>372.90060316523403</v>
      </c>
      <c r="AR32" s="2">
        <f t="shared" si="17"/>
        <v>346.81429429478277</v>
      </c>
      <c r="AS32" s="2">
        <f t="shared" si="18"/>
        <v>343.52176757284224</v>
      </c>
      <c r="AX32" s="2">
        <f t="shared" si="28"/>
        <v>100000000000000</v>
      </c>
      <c r="AY32" s="37">
        <f t="shared" si="19"/>
        <v>2365.557333823856</v>
      </c>
      <c r="AZ32" s="37">
        <f t="shared" si="20"/>
        <v>1769.7999913633751</v>
      </c>
      <c r="BA32" s="37">
        <f t="shared" si="21"/>
        <v>1606.2351441606138</v>
      </c>
      <c r="BB32" s="37">
        <f t="shared" si="22"/>
        <v>1589.3581085744822</v>
      </c>
      <c r="BC32" s="37">
        <f t="shared" si="23"/>
        <v>1463.3272301717411</v>
      </c>
      <c r="BD32" s="37">
        <f t="shared" si="24"/>
        <v>1380.5625191129011</v>
      </c>
      <c r="BE32" s="37">
        <f t="shared" si="25"/>
        <v>1333.6605450428303</v>
      </c>
    </row>
    <row r="33" spans="1:60" x14ac:dyDescent="0.25">
      <c r="A33" s="2">
        <f>'creep_res-40'!A33</f>
        <v>1000000000000000</v>
      </c>
      <c r="B33" s="3">
        <f>'creep_res-40'!O33</f>
        <v>-7.9544497142857145E-3</v>
      </c>
      <c r="C33" s="2">
        <f>IF('Modell einstellen'!$B$2="Ja",creep_res0!O33,creep_res0!C33)</f>
        <v>-8.936981714285714E-3</v>
      </c>
      <c r="D33" s="2">
        <f>IF('Modell einstellen'!$B$2="Ja",creep_res25!O33,creep_res25!C33)</f>
        <v>-9.3296577142857155E-3</v>
      </c>
      <c r="E33" s="2">
        <f>IF('Modell einstellen'!$B$2="Ja",creep_res50!O33,creep_res50!C33)</f>
        <v>-9.6590897142857148E-3</v>
      </c>
      <c r="F33" s="2">
        <f>IF('Modell einstellen'!$B$2="Ja",creep_res80!O33,creep_res80!C33)</f>
        <v>-1.012065142857143E-2</v>
      </c>
      <c r="G33" s="2">
        <f>IF('Modell einstellen'!$B$2="Ja",creep_res125!O33,creep_res125!C33)</f>
        <v>-1.0529876000000001E-2</v>
      </c>
      <c r="H33" s="2">
        <f>IF('Modell einstellen'!$B$2="Ja",creep_res160!O33,creep_res160!C33)</f>
        <v>-1.0580144000000001E-2</v>
      </c>
      <c r="M33" s="9">
        <f>M31</f>
        <v>-10</v>
      </c>
      <c r="N33" s="2">
        <f t="shared" si="4"/>
        <v>1000000000000000</v>
      </c>
      <c r="O33" s="2">
        <f t="shared" si="5"/>
        <v>1257.1579881937778</v>
      </c>
      <c r="P33" s="2">
        <f t="shared" si="6"/>
        <v>1118.9460065712183</v>
      </c>
      <c r="Q33" s="2">
        <f t="shared" si="7"/>
        <v>1071.8506837274263</v>
      </c>
      <c r="R33" s="2">
        <f t="shared" si="27"/>
        <v>1035.294245710347</v>
      </c>
      <c r="S33" s="2">
        <f t="shared" si="8"/>
        <v>988.07868945759549</v>
      </c>
      <c r="T33" s="2">
        <f t="shared" si="9"/>
        <v>949.67879963638688</v>
      </c>
      <c r="U33" s="2">
        <f t="shared" si="10"/>
        <v>945.16671984804736</v>
      </c>
      <c r="Z33" s="2">
        <v>1000000000000000</v>
      </c>
      <c r="AA33" s="3">
        <f>IF('Modell einstellen'!$B$2="Ja",'creep_res-40'!P33,'creep_res-40'!L33)</f>
        <v>0.38961543680816352</v>
      </c>
      <c r="AB33" s="2">
        <f>IF('Modell einstellen'!$B$2="Ja",creep_res0!P33,creep_res0!L33)</f>
        <v>0.38422408895096449</v>
      </c>
      <c r="AC33" s="2">
        <f>IF('Modell einstellen'!$B$2="Ja",creep_res25!P33,creep_res25!L33)</f>
        <v>0.38663454871196923</v>
      </c>
      <c r="AD33" s="2">
        <f>IF('Modell einstellen'!$B$2="Ja",creep_res50!P33,creep_res50!L33)</f>
        <v>0.38232827263758129</v>
      </c>
      <c r="AE33" s="2">
        <f>IF('Modell einstellen'!$B$2="Ja",creep_res80!P33,creep_res80!L33)</f>
        <v>0.38449143307545414</v>
      </c>
      <c r="AF33" s="2">
        <f>IF('Modell einstellen'!$B$2="Ja",creep_res125!P33,creep_res125!L33)</f>
        <v>0.3813705742729408</v>
      </c>
      <c r="AG33" s="2">
        <f>IF('Modell einstellen'!$B$2="Ja",creep_res160!P33,creep_res160!L33)</f>
        <v>0.38033017319991108</v>
      </c>
      <c r="AL33" s="2">
        <f t="shared" si="11"/>
        <v>1000000000000000</v>
      </c>
      <c r="AM33" s="2">
        <f t="shared" si="12"/>
        <v>452.34025000519932</v>
      </c>
      <c r="AN33" s="2">
        <f t="shared" si="13"/>
        <v>404.17805740514621</v>
      </c>
      <c r="AO33" s="2">
        <f t="shared" si="14"/>
        <v>386.49357349528668</v>
      </c>
      <c r="AP33" s="2">
        <f t="shared" si="15"/>
        <v>374.47481405228427</v>
      </c>
      <c r="AQ33" s="2">
        <f t="shared" si="16"/>
        <v>356.83813776395743</v>
      </c>
      <c r="AR33" s="2">
        <f t="shared" si="17"/>
        <v>343.74512434370951</v>
      </c>
      <c r="AS33" s="2">
        <f t="shared" si="18"/>
        <v>342.36979608181048</v>
      </c>
      <c r="AX33" s="2">
        <f>AL33</f>
        <v>1000000000000000</v>
      </c>
      <c r="AY33" s="37">
        <f t="shared" si="19"/>
        <v>1898.1488471489934</v>
      </c>
      <c r="AZ33" s="37">
        <f t="shared" si="20"/>
        <v>1610.7927755041981</v>
      </c>
      <c r="BA33" s="37">
        <f t="shared" si="21"/>
        <v>1575.8044324046975</v>
      </c>
      <c r="BB33" s="37">
        <f t="shared" si="22"/>
        <v>1466.3593780712374</v>
      </c>
      <c r="BC33" s="37">
        <f t="shared" si="23"/>
        <v>1425.6932274455485</v>
      </c>
      <c r="BD33" s="37">
        <f t="shared" si="24"/>
        <v>1334.2372600164617</v>
      </c>
      <c r="BE33" s="37">
        <f t="shared" si="25"/>
        <v>1316.3534272051288</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98" zoomScale="120" zoomScaleNormal="120" zoomScaleSheetLayoutView="110" workbookViewId="0">
      <selection activeCell="D4" sqref="D4"/>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109</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160</v>
      </c>
      <c r="D2" s="11">
        <f>1</f>
        <v>1</v>
      </c>
      <c r="E2" s="11">
        <f>D2+1</f>
        <v>2</v>
      </c>
      <c r="F2" s="11">
        <f t="shared" ref="F2:J2" si="0">E2+1</f>
        <v>3</v>
      </c>
      <c r="G2" s="11">
        <f t="shared" si="0"/>
        <v>4</v>
      </c>
      <c r="H2" s="11">
        <f t="shared" si="0"/>
        <v>5</v>
      </c>
      <c r="I2" s="11">
        <f t="shared" si="0"/>
        <v>6</v>
      </c>
      <c r="J2" s="11">
        <f t="shared" si="0"/>
        <v>7</v>
      </c>
    </row>
    <row r="3" spans="1:36" x14ac:dyDescent="0.25">
      <c r="A3" s="11" t="s">
        <v>110</v>
      </c>
      <c r="B3" s="35">
        <v>7</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6</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9039.8670430819093</v>
      </c>
      <c r="G16" s="26">
        <f>INDEX(Comparison!$AM$3:$AS$33,G14,$B$3)</f>
        <v>8723.1350121775959</v>
      </c>
      <c r="H16" s="26">
        <f>INDEX(Comparison!$AM$3:$AS$33,H14,$B$3)</f>
        <v>8412.4411255307823</v>
      </c>
      <c r="I16" s="26">
        <f>INDEX(Comparison!$AM$3:$AS$33,I14,$B$3)</f>
        <v>8064.2181617455262</v>
      </c>
      <c r="J16" s="26">
        <f>INDEX(Comparison!$AM$3:$AS$33,J14,$B$3)</f>
        <v>7728.4680221740073</v>
      </c>
      <c r="K16" s="26">
        <f>INDEX(Comparison!$AM$3:$AS$33,K14,$B$3)</f>
        <v>7458.8734765357476</v>
      </c>
      <c r="L16" s="26">
        <f>INDEX(Comparison!$AM$3:$AS$33,L14,$B$3)</f>
        <v>7186.4338001487413</v>
      </c>
      <c r="M16" s="26">
        <f>INDEX(Comparison!$AM$3:$AS$33,M14,$B$3)</f>
        <v>6923.3670228065112</v>
      </c>
      <c r="N16" s="26">
        <f>INDEX(Comparison!$AM$3:$AS$33,N14,$B$3)</f>
        <v>6642.6199774647403</v>
      </c>
      <c r="O16" s="26">
        <f>INDEX(Comparison!$AM$3:$AS$33,O14,$B$3)</f>
        <v>6381.2467017614817</v>
      </c>
      <c r="P16" s="26">
        <f>INDEX(Comparison!$AM$3:$AS$33,P14,$B$3)</f>
        <v>6048.4964574924006</v>
      </c>
      <c r="Q16" s="26">
        <f>INDEX(Comparison!$AM$3:$AS$33,Q14,$B$3)</f>
        <v>5696.5517580815231</v>
      </c>
      <c r="R16" s="26">
        <f>INDEX(Comparison!$AM$3:$AS$33,R14,$B$3)</f>
        <v>5284.0344872686346</v>
      </c>
      <c r="S16" s="26">
        <f>INDEX(Comparison!$AM$3:$AS$33,S14,$B$3)</f>
        <v>4808.4059861038604</v>
      </c>
      <c r="T16" s="26">
        <f>INDEX(Comparison!$AM$3:$AS$33,T14,$B$3)</f>
        <v>4180.5720256158129</v>
      </c>
      <c r="U16" s="26">
        <f>INDEX(Comparison!$AM$3:$AS$33,U14,$B$3)</f>
        <v>3284.9966289927738</v>
      </c>
      <c r="V16" s="26">
        <f>INDEX(Comparison!$AM$3:$AS$33,V14,$B$3)</f>
        <v>2245.2955925232422</v>
      </c>
      <c r="W16" s="26">
        <f>INDEX(Comparison!$AM$3:$AS$33,W14,$B$3)</f>
        <v>1455.0382053123094</v>
      </c>
      <c r="X16" s="26">
        <f>INDEX(Comparison!$AM$3:$AS$33,X14,$B$3)</f>
        <v>939.75400333325899</v>
      </c>
      <c r="Y16" s="26">
        <f>INDEX(Comparison!$AM$3:$AS$33,Y14,$B$3)</f>
        <v>667.66248335298053</v>
      </c>
      <c r="Z16" s="26">
        <f>INDEX(Comparison!$AM$3:$AS$33,Z14,$B$3)</f>
        <v>524.73653922891083</v>
      </c>
      <c r="AA16" s="26">
        <f>INDEX(Comparison!$AM$3:$AS$33,AA14,$B$3)</f>
        <v>458.1071148045329</v>
      </c>
      <c r="AB16" s="26">
        <f>INDEX(Comparison!$AM$3:$AS$33,AB14,$B$3)</f>
        <v>416.14335450856197</v>
      </c>
      <c r="AC16" s="26">
        <f>INDEX(Comparison!$AM$3:$AS$33,AC14,$B$3)</f>
        <v>393.17885286775953</v>
      </c>
      <c r="AD16" s="26">
        <f>INDEX(Comparison!$AM$3:$AS$33,AD14,$B$3)</f>
        <v>379.36405724647841</v>
      </c>
      <c r="AE16" s="26">
        <f>INDEX(Comparison!$AM$3:$AS$33,AE14,$B$3)</f>
        <v>357.29334618358928</v>
      </c>
      <c r="AF16" s="26">
        <f>INDEX(Comparison!$AM$3:$AS$33,AF14,$B$3)</f>
        <v>350.56361233759071</v>
      </c>
      <c r="AG16" s="26">
        <f>INDEX(Comparison!$AM$3:$AS$33,AG14,$B$3)</f>
        <v>345.69227327199394</v>
      </c>
      <c r="AH16" s="26">
        <f>INDEX(Comparison!$AM$3:$AS$33,AH14,$B$3)</f>
        <v>345.40832820533547</v>
      </c>
      <c r="AI16" s="26">
        <f>INDEX(Comparison!$AM$3:$AS$33,AI14,$B$3)</f>
        <v>343.52176757284224</v>
      </c>
      <c r="AJ16" s="26">
        <f>INDEX(Comparison!$AM$3:$AS$33,AJ14,$B$3)</f>
        <v>342.36979608181048</v>
      </c>
    </row>
    <row r="17" spans="1:36" x14ac:dyDescent="0.25">
      <c r="A17" s="14" t="s">
        <v>20</v>
      </c>
      <c r="B17" s="105">
        <v>2.2825039918949672E-2</v>
      </c>
      <c r="C17" s="18">
        <f t="shared" ref="C17:C48" si="3">ABS(B17/$B$49)</f>
        <v>2.907158798556134E-2</v>
      </c>
      <c r="D17" s="66"/>
      <c r="E17" s="65" t="s">
        <v>22</v>
      </c>
      <c r="F17" s="27">
        <f>($C$17+SUM(F18:F48))*$B$51</f>
        <v>8953.7654517398951</v>
      </c>
      <c r="G17" s="27">
        <f t="shared" ref="G17:M17" si="4">($C$17+SUM(G18:G48))*$B$51</f>
        <v>8834.495816529703</v>
      </c>
      <c r="H17" s="27">
        <f t="shared" si="4"/>
        <v>8382.9667945224664</v>
      </c>
      <c r="I17" s="27">
        <f t="shared" si="4"/>
        <v>8069.0283164832581</v>
      </c>
      <c r="J17" s="27">
        <f t="shared" si="4"/>
        <v>7727.7990951356433</v>
      </c>
      <c r="K17" s="27">
        <f t="shared" si="4"/>
        <v>7458.9340436802167</v>
      </c>
      <c r="L17" s="27">
        <f t="shared" si="4"/>
        <v>7186.5227858633043</v>
      </c>
      <c r="M17" s="27">
        <f t="shared" si="4"/>
        <v>6923.0810985014423</v>
      </c>
      <c r="N17" s="27">
        <f t="shared" ref="N17" si="5">($C$17+SUM(N18:N48))*$B$51</f>
        <v>6643.2952344078994</v>
      </c>
      <c r="O17" s="27">
        <f t="shared" ref="O17" si="6">($C$17+SUM(O18:O48))*$B$51</f>
        <v>6379.8899814405786</v>
      </c>
      <c r="P17" s="27">
        <f t="shared" ref="P17" si="7">($C$17+SUM(P18:P48))*$B$51</f>
        <v>6050.8187966968135</v>
      </c>
      <c r="Q17" s="27">
        <f t="shared" ref="Q17" si="8">($C$17+SUM(Q18:Q48))*$B$51</f>
        <v>5693.176564479696</v>
      </c>
      <c r="R17" s="27">
        <f t="shared" ref="R17" si="9">($C$17+SUM(R18:R48))*$B$51</f>
        <v>5288.2115710149255</v>
      </c>
      <c r="S17" s="27">
        <f t="shared" ref="S17:T17" si="10">($C$17+SUM(S18:S48))*$B$51</f>
        <v>4804.0058547870503</v>
      </c>
      <c r="T17" s="27">
        <f t="shared" si="10"/>
        <v>4184.5167915397451</v>
      </c>
      <c r="U17" s="27">
        <f t="shared" ref="U17" si="11">($C$17+SUM(U18:U48))*$B$51</f>
        <v>3281.9674653254151</v>
      </c>
      <c r="V17" s="27">
        <f t="shared" ref="V17" si="12">($C$17+SUM(V18:V48))*$B$51</f>
        <v>2247.3037985135161</v>
      </c>
      <c r="W17" s="27">
        <f t="shared" ref="W17" si="13">($C$17+SUM(W18:W48))*$B$51</f>
        <v>1453.8864331368486</v>
      </c>
      <c r="X17" s="27">
        <f t="shared" ref="X17" si="14">($C$17+SUM(X18:X48))*$B$51</f>
        <v>940.32402927471435</v>
      </c>
      <c r="Y17" s="27">
        <f t="shared" ref="Y17" si="15">($C$17+SUM(Y18:Y48))*$B$51</f>
        <v>667.4258464345977</v>
      </c>
      <c r="Z17" s="27">
        <f t="shared" ref="Z17:AA17" si="16">($C$17+SUM(Z18:Z48))*$B$51</f>
        <v>524.81013094213972</v>
      </c>
      <c r="AA17" s="27">
        <f t="shared" si="16"/>
        <v>458.09760875086175</v>
      </c>
      <c r="AB17" s="27">
        <f t="shared" ref="AB17" si="17">($C$17+SUM(AB18:AB48))*$B$51</f>
        <v>416.12761644465451</v>
      </c>
      <c r="AC17" s="27">
        <f t="shared" ref="AC17" si="18">($C$17+SUM(AC18:AC48))*$B$51</f>
        <v>393.44692247279414</v>
      </c>
      <c r="AD17" s="27">
        <f t="shared" ref="AD17" si="19">($C$17+SUM(AD18:AD48))*$B$51</f>
        <v>378.74124915558718</v>
      </c>
      <c r="AE17" s="27">
        <f t="shared" ref="AE17" si="20">($C$17+SUM(AE18:AE48))*$B$51</f>
        <v>358.13789969892377</v>
      </c>
      <c r="AF17" s="27">
        <f t="shared" ref="AF17" si="21">($C$17+SUM(AF18:AF48))*$B$51</f>
        <v>349.62136098495677</v>
      </c>
      <c r="AG17" s="27">
        <f t="shared" ref="AG17:AH17" si="22">($C$17+SUM(AG18:AG48))*$B$51</f>
        <v>346.74457681420307</v>
      </c>
      <c r="AH17" s="27">
        <f t="shared" si="22"/>
        <v>344.65326478653736</v>
      </c>
      <c r="AI17" s="27">
        <f t="shared" ref="AI17" si="23">($C$17+SUM(AI18:AI48))*$B$51</f>
        <v>343.79089602307874</v>
      </c>
      <c r="AJ17" s="27">
        <f t="shared" ref="AJ17" si="24">($C$17+SUM(AJ18:AJ48))*$B$51</f>
        <v>342.2669384124473</v>
      </c>
    </row>
    <row r="18" spans="1:36" x14ac:dyDescent="0.25">
      <c r="A18" s="3">
        <f>0.000000000000001/10^5</f>
        <v>1.0000000000000001E-20</v>
      </c>
      <c r="B18" s="106">
        <v>0.1677653533293674</v>
      </c>
      <c r="C18" s="18">
        <f t="shared" si="3"/>
        <v>0.21367784010727472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3.8608875773093271E-2</v>
      </c>
      <c r="C19" s="18">
        <f t="shared" si="3"/>
        <v>4.9174999607743887E-2</v>
      </c>
      <c r="D19" s="17"/>
      <c r="F19" s="3">
        <f t="shared" si="25"/>
        <v>4.7931356332559946E-2</v>
      </c>
      <c r="G19" s="3">
        <f t="shared" si="25"/>
        <v>3.8062551670690135E-2</v>
      </c>
      <c r="H19" s="3">
        <f t="shared" si="25"/>
        <v>3.7955936314113207E-3</v>
      </c>
      <c r="I19" s="3">
        <f t="shared" si="25"/>
        <v>3.6906070456694963E-13</v>
      </c>
      <c r="J19" s="3">
        <f t="shared" si="25"/>
        <v>2.7879101882346783E-113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1.9870464102965148E-2</v>
      </c>
      <c r="C20" s="18">
        <f t="shared" si="3"/>
        <v>2.5308430895829587E-2</v>
      </c>
      <c r="D20" s="17"/>
      <c r="F20" s="3">
        <f t="shared" si="25"/>
        <v>2.5250017554348927E-2</v>
      </c>
      <c r="G20" s="3">
        <f t="shared" si="25"/>
        <v>2.4730327254015128E-2</v>
      </c>
      <c r="H20" s="3">
        <f t="shared" si="25"/>
        <v>2.0086841527827737E-2</v>
      </c>
      <c r="I20" s="3">
        <f t="shared" si="25"/>
        <v>2.5103226944495909E-3</v>
      </c>
      <c r="J20" s="3">
        <f t="shared" si="25"/>
        <v>2.3329667154675961E-12</v>
      </c>
      <c r="K20" s="3">
        <f t="shared" si="25"/>
        <v>1.1212396493948528E-102</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2.6847216237125281E-2</v>
      </c>
      <c r="C21" s="18">
        <f t="shared" si="3"/>
        <v>3.4194516713944662E-2</v>
      </c>
      <c r="D21" s="17"/>
      <c r="F21" s="3">
        <f t="shared" si="25"/>
        <v>3.4187389721479652E-2</v>
      </c>
      <c r="G21" s="3">
        <f t="shared" si="25"/>
        <v>3.4123313597111869E-2</v>
      </c>
      <c r="H21" s="3">
        <f t="shared" si="25"/>
        <v>3.3489120601751812E-2</v>
      </c>
      <c r="I21" s="3">
        <f t="shared" si="25"/>
        <v>2.7760622739765792E-2</v>
      </c>
      <c r="J21" s="3">
        <f t="shared" si="25"/>
        <v>4.2528866870050665E-3</v>
      </c>
      <c r="K21" s="3">
        <f t="shared" si="25"/>
        <v>3.028516093557998E-11</v>
      </c>
      <c r="L21" s="3">
        <f t="shared" si="25"/>
        <v>1.0155250208076172E-92</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1.783944175609526E-2</v>
      </c>
      <c r="C22" s="18">
        <f t="shared" si="3"/>
        <v>2.2721576937749576E-2</v>
      </c>
      <c r="D22" s="17"/>
      <c r="F22" s="3">
        <f t="shared" si="25"/>
        <v>2.2721149693654075E-2</v>
      </c>
      <c r="G22" s="3">
        <f t="shared" si="25"/>
        <v>2.2717304858291296E-2</v>
      </c>
      <c r="H22" s="3">
        <f t="shared" si="25"/>
        <v>2.2678892270421167E-2</v>
      </c>
      <c r="I22" s="3">
        <f t="shared" si="25"/>
        <v>2.2298320673382183E-2</v>
      </c>
      <c r="J22" s="3">
        <f t="shared" si="25"/>
        <v>1.8826749509494228E-2</v>
      </c>
      <c r="K22" s="3">
        <f t="shared" si="25"/>
        <v>3.4658297073174482E-3</v>
      </c>
      <c r="L22" s="3">
        <f t="shared" si="25"/>
        <v>1.5492659501425463E-10</v>
      </c>
      <c r="M22" s="3">
        <f t="shared" si="25"/>
        <v>4.9352997700853665E-84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2.0329122179932029E-2</v>
      </c>
      <c r="C23" s="18">
        <f t="shared" si="3"/>
        <v>2.5892610318392656E-2</v>
      </c>
      <c r="D23" s="17"/>
      <c r="F23" s="3">
        <f t="shared" si="25"/>
        <v>2.5892566398250081E-2</v>
      </c>
      <c r="G23" s="3">
        <f t="shared" si="25"/>
        <v>2.5892171120319368E-2</v>
      </c>
      <c r="H23" s="3">
        <f t="shared" si="25"/>
        <v>2.5888218672885908E-2</v>
      </c>
      <c r="I23" s="3">
        <f t="shared" si="25"/>
        <v>2.5848727367183008E-2</v>
      </c>
      <c r="J23" s="3">
        <f t="shared" si="25"/>
        <v>2.5457112514308555E-2</v>
      </c>
      <c r="K23" s="3">
        <f t="shared" si="25"/>
        <v>2.1852891168155926E-2</v>
      </c>
      <c r="L23" s="3">
        <f t="shared" si="25"/>
        <v>4.747954093211818E-3</v>
      </c>
      <c r="M23" s="3">
        <f t="shared" si="25"/>
        <v>1.1129677870971887E-9</v>
      </c>
      <c r="N23" s="3">
        <f t="shared" si="25"/>
        <v>5.5749814759271261E-76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1.8274263357279951E-2</v>
      </c>
      <c r="C24" s="18">
        <f t="shared" si="3"/>
        <v>2.3275396535951842E-2</v>
      </c>
      <c r="D24" s="17"/>
      <c r="F24" s="3">
        <f t="shared" si="25"/>
        <v>2.3275392974460272E-2</v>
      </c>
      <c r="G24" s="3">
        <f t="shared" si="25"/>
        <v>2.3275360921060671E-2</v>
      </c>
      <c r="H24" s="3">
        <f t="shared" si="25"/>
        <v>2.3275040389492432E-2</v>
      </c>
      <c r="I24" s="3">
        <f t="shared" si="25"/>
        <v>2.3271835316577207E-2</v>
      </c>
      <c r="J24" s="3">
        <f t="shared" si="25"/>
        <v>2.3239808851775668E-2</v>
      </c>
      <c r="K24" s="3">
        <f t="shared" si="25"/>
        <v>2.2921958320561275E-2</v>
      </c>
      <c r="L24" s="3">
        <f t="shared" si="25"/>
        <v>1.9973003914909061E-2</v>
      </c>
      <c r="M24" s="3">
        <f t="shared" si="25"/>
        <v>5.0391823403032211E-3</v>
      </c>
      <c r="N24" s="3">
        <f t="shared" si="25"/>
        <v>5.2665587804978813E-9</v>
      </c>
      <c r="O24" s="3">
        <f t="shared" si="25"/>
        <v>8.1883341958111815E-69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2.1402254240124222E-2</v>
      </c>
      <c r="C25" s="18">
        <f t="shared" si="3"/>
        <v>2.7259427341223066E-2</v>
      </c>
      <c r="D25" s="17"/>
      <c r="F25" s="3">
        <f t="shared" si="25"/>
        <v>2.725942696495429E-2</v>
      </c>
      <c r="G25" s="3">
        <f t="shared" si="25"/>
        <v>2.7259423578535537E-2</v>
      </c>
      <c r="H25" s="3">
        <f t="shared" si="25"/>
        <v>2.7259389714371127E-2</v>
      </c>
      <c r="I25" s="3">
        <f t="shared" si="25"/>
        <v>2.7259051075040838E-2</v>
      </c>
      <c r="J25" s="3">
        <f t="shared" si="25"/>
        <v>2.7255664913106943E-2</v>
      </c>
      <c r="K25" s="3">
        <f t="shared" si="25"/>
        <v>2.7221826420036649E-2</v>
      </c>
      <c r="L25" s="3">
        <f t="shared" si="25"/>
        <v>2.6885743521479027E-2</v>
      </c>
      <c r="M25" s="3">
        <f t="shared" si="25"/>
        <v>2.3744879001463555E-2</v>
      </c>
      <c r="N25" s="3">
        <f t="shared" si="25"/>
        <v>6.8556566073486435E-3</v>
      </c>
      <c r="O25" s="3">
        <f t="shared" si="25"/>
        <v>2.7595610635926889E-8</v>
      </c>
      <c r="P25" s="3">
        <f t="shared" si="25"/>
        <v>3.0814103242266855E-62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1.6656019915635957E-2</v>
      </c>
      <c r="C26" s="18">
        <f t="shared" si="3"/>
        <v>2.1214287036784938E-2</v>
      </c>
      <c r="D26" s="17"/>
      <c r="F26" s="3">
        <f t="shared" si="25"/>
        <v>2.1214287010369579E-2</v>
      </c>
      <c r="G26" s="3">
        <f t="shared" si="25"/>
        <v>2.1214286772631367E-2</v>
      </c>
      <c r="H26" s="3">
        <f t="shared" si="25"/>
        <v>2.1214284395249382E-2</v>
      </c>
      <c r="I26" s="3">
        <f t="shared" si="25"/>
        <v>2.1214260621444183E-2</v>
      </c>
      <c r="J26" s="3">
        <f t="shared" si="25"/>
        <v>2.1214022884857495E-2</v>
      </c>
      <c r="K26" s="3">
        <f t="shared" si="25"/>
        <v>2.121164566551581E-2</v>
      </c>
      <c r="L26" s="3">
        <f t="shared" si="25"/>
        <v>2.1187888118542268E-2</v>
      </c>
      <c r="M26" s="3">
        <f t="shared" si="25"/>
        <v>2.0951771238284362E-2</v>
      </c>
      <c r="N26" s="3">
        <f t="shared" si="25"/>
        <v>1.8730590520165697E-2</v>
      </c>
      <c r="O26" s="3">
        <f t="shared" si="25"/>
        <v>6.1074332580960495E-3</v>
      </c>
      <c r="P26" s="3">
        <f t="shared" si="25"/>
        <v>8.2971956442638E-8</v>
      </c>
      <c r="Q26" s="3">
        <f t="shared" si="25"/>
        <v>1.7768768960386634E-56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2.7258248739517245E-2</v>
      </c>
      <c r="C27" s="18">
        <f t="shared" si="3"/>
        <v>3.4718036830476549E-2</v>
      </c>
      <c r="D27" s="17"/>
      <c r="F27" s="3">
        <f t="shared" si="25"/>
        <v>3.4718036826576863E-2</v>
      </c>
      <c r="G27" s="3">
        <f t="shared" si="25"/>
        <v>3.4718036791479674E-2</v>
      </c>
      <c r="H27" s="3">
        <f t="shared" si="25"/>
        <v>3.4718036440507812E-2</v>
      </c>
      <c r="I27" s="3">
        <f t="shared" si="25"/>
        <v>3.4718032930789351E-2</v>
      </c>
      <c r="J27" s="3">
        <f t="shared" si="25"/>
        <v>3.471799783362424E-2</v>
      </c>
      <c r="K27" s="3">
        <f t="shared" si="25"/>
        <v>3.4717646863924631E-2</v>
      </c>
      <c r="L27" s="3">
        <f t="shared" si="25"/>
        <v>3.471413736206299E-2</v>
      </c>
      <c r="M27" s="3">
        <f t="shared" si="25"/>
        <v>3.4679061849601268E-2</v>
      </c>
      <c r="N27" s="3">
        <f t="shared" si="25"/>
        <v>3.4330250064047205E-2</v>
      </c>
      <c r="O27" s="3">
        <f t="shared" si="25"/>
        <v>3.1029389633436353E-2</v>
      </c>
      <c r="P27" s="3">
        <f t="shared" si="25"/>
        <v>1.1291090607863185E-2</v>
      </c>
      <c r="Q27" s="3">
        <f t="shared" si="25"/>
        <v>4.5958144810698291E-7</v>
      </c>
      <c r="R27" s="3">
        <f t="shared" si="25"/>
        <v>5.7362550954337057E-51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2.397929238163948E-2</v>
      </c>
      <c r="C28" s="18">
        <f t="shared" si="3"/>
        <v>3.054172570036021E-2</v>
      </c>
      <c r="D28" s="17"/>
      <c r="F28" s="3">
        <f t="shared" si="25"/>
        <v>3.0541725700050745E-2</v>
      </c>
      <c r="G28" s="3">
        <f t="shared" si="25"/>
        <v>3.0541725697265536E-2</v>
      </c>
      <c r="H28" s="3">
        <f t="shared" si="25"/>
        <v>3.0541725669413475E-2</v>
      </c>
      <c r="I28" s="3">
        <f t="shared" si="25"/>
        <v>3.0541725390892886E-2</v>
      </c>
      <c r="J28" s="3">
        <f t="shared" si="25"/>
        <v>3.0541722605687112E-2</v>
      </c>
      <c r="K28" s="3">
        <f t="shared" si="25"/>
        <v>3.0541694753643364E-2</v>
      </c>
      <c r="L28" s="3">
        <f t="shared" si="25"/>
        <v>3.0541416234602794E-2</v>
      </c>
      <c r="M28" s="3">
        <f t="shared" si="25"/>
        <v>3.0538631183887797E-2</v>
      </c>
      <c r="N28" s="3">
        <f t="shared" si="25"/>
        <v>3.0510794641094428E-2</v>
      </c>
      <c r="O28" s="3">
        <f t="shared" si="25"/>
        <v>3.0233820948495246E-2</v>
      </c>
      <c r="P28" s="3">
        <f t="shared" si="25"/>
        <v>2.7598673979303621E-2</v>
      </c>
      <c r="Q28" s="3">
        <f t="shared" si="25"/>
        <v>1.1087662831417067E-2</v>
      </c>
      <c r="R28" s="3">
        <f t="shared" si="25"/>
        <v>1.2143893705371414E-6</v>
      </c>
      <c r="S28" s="3">
        <f t="shared" si="25"/>
        <v>3.0167367981285575E-46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3.1870257392895472E-2</v>
      </c>
      <c r="C29" s="18">
        <f t="shared" si="3"/>
        <v>4.0592217810354776E-2</v>
      </c>
      <c r="D29" s="17"/>
      <c r="F29" s="3">
        <f t="shared" si="25"/>
        <v>4.0592217810317674E-2</v>
      </c>
      <c r="G29" s="3">
        <f t="shared" si="25"/>
        <v>4.0592217809983747E-2</v>
      </c>
      <c r="H29" s="3">
        <f t="shared" si="25"/>
        <v>4.0592217806644459E-2</v>
      </c>
      <c r="I29" s="3">
        <f t="shared" si="25"/>
        <v>4.0592217773251643E-2</v>
      </c>
      <c r="J29" s="3">
        <f t="shared" si="25"/>
        <v>4.0592217439323432E-2</v>
      </c>
      <c r="K29" s="3">
        <f t="shared" si="25"/>
        <v>4.0592214100041504E-2</v>
      </c>
      <c r="L29" s="3">
        <f t="shared" si="25"/>
        <v>4.0592180707237281E-2</v>
      </c>
      <c r="M29" s="3">
        <f t="shared" si="25"/>
        <v>4.0591846780705966E-2</v>
      </c>
      <c r="N29" s="3">
        <f t="shared" si="25"/>
        <v>4.0588507666474316E-2</v>
      </c>
      <c r="O29" s="3">
        <f t="shared" si="25"/>
        <v>4.055513162771561E-2</v>
      </c>
      <c r="P29" s="3">
        <f t="shared" si="25"/>
        <v>4.0222877008823897E-2</v>
      </c>
      <c r="Q29" s="3">
        <f t="shared" si="25"/>
        <v>3.7046423584045959E-2</v>
      </c>
      <c r="R29" s="3">
        <f t="shared" si="25"/>
        <v>1.6273383486114151E-2</v>
      </c>
      <c r="S29" s="3">
        <f t="shared" si="25"/>
        <v>4.3530491027534461E-6</v>
      </c>
      <c r="T29" s="3">
        <f t="shared" si="25"/>
        <v>8.1648956479306104E-42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3.500084404969174E-2</v>
      </c>
      <c r="C30" s="18">
        <f t="shared" si="3"/>
        <v>4.4579554777240793E-2</v>
      </c>
      <c r="D30" s="17"/>
      <c r="F30" s="3">
        <f t="shared" si="25"/>
        <v>4.4579554777237115E-2</v>
      </c>
      <c r="G30" s="3">
        <f t="shared" si="25"/>
        <v>4.4579554777204038E-2</v>
      </c>
      <c r="H30" s="3">
        <f t="shared" si="25"/>
        <v>4.4579554776873219E-2</v>
      </c>
      <c r="I30" s="3">
        <f t="shared" si="25"/>
        <v>4.4579554773565011E-2</v>
      </c>
      <c r="J30" s="3">
        <f t="shared" si="25"/>
        <v>4.4579554740482939E-2</v>
      </c>
      <c r="K30" s="3">
        <f t="shared" si="25"/>
        <v>4.4579554409662263E-2</v>
      </c>
      <c r="L30" s="3">
        <f t="shared" si="25"/>
        <v>4.4579551101455638E-2</v>
      </c>
      <c r="M30" s="3">
        <f t="shared" si="25"/>
        <v>4.4579518019402867E-2</v>
      </c>
      <c r="N30" s="3">
        <f t="shared" si="25"/>
        <v>4.4579187200225384E-2</v>
      </c>
      <c r="O30" s="3">
        <f t="shared" si="25"/>
        <v>4.4575879143470866E-2</v>
      </c>
      <c r="P30" s="3">
        <f t="shared" si="25"/>
        <v>4.4542812074247207E-2</v>
      </c>
      <c r="Q30" s="3">
        <f t="shared" si="25"/>
        <v>4.4213487515227773E-2</v>
      </c>
      <c r="R30" s="3">
        <f t="shared" si="25"/>
        <v>4.1051231345442932E-2</v>
      </c>
      <c r="S30" s="3">
        <f t="shared" si="25"/>
        <v>1.9545210107597442E-2</v>
      </c>
      <c r="T30" s="3">
        <f t="shared" si="25"/>
        <v>1.1699893071305943E-5</v>
      </c>
      <c r="U30" s="3">
        <f t="shared" si="25"/>
        <v>6.9118990256468868E-38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4.8740661540391861E-2</v>
      </c>
      <c r="C31" s="18">
        <f t="shared" si="3"/>
        <v>6.2079559793872717E-2</v>
      </c>
      <c r="D31" s="17"/>
      <c r="F31" s="3">
        <f t="shared" si="25"/>
        <v>6.2079559793872252E-2</v>
      </c>
      <c r="G31" s="3">
        <f t="shared" si="25"/>
        <v>6.2079559793868103E-2</v>
      </c>
      <c r="H31" s="3">
        <f t="shared" si="25"/>
        <v>6.2079559793826539E-2</v>
      </c>
      <c r="I31" s="3">
        <f t="shared" si="25"/>
        <v>6.2079559793410968E-2</v>
      </c>
      <c r="J31" s="3">
        <f t="shared" si="25"/>
        <v>6.2079559789255188E-2</v>
      </c>
      <c r="K31" s="3">
        <f t="shared" si="25"/>
        <v>6.2079559747697431E-2</v>
      </c>
      <c r="L31" s="3">
        <f t="shared" si="25"/>
        <v>6.2079559332119817E-2</v>
      </c>
      <c r="M31" s="3">
        <f t="shared" si="25"/>
        <v>6.2079555176343899E-2</v>
      </c>
      <c r="N31" s="3">
        <f t="shared" si="25"/>
        <v>6.2079513618600021E-2</v>
      </c>
      <c r="O31" s="3">
        <f t="shared" si="25"/>
        <v>6.2079098042691329E-2</v>
      </c>
      <c r="P31" s="3">
        <f t="shared" si="25"/>
        <v>6.2074942436609666E-2</v>
      </c>
      <c r="Q31" s="3">
        <f t="shared" si="25"/>
        <v>6.2033401672530929E-2</v>
      </c>
      <c r="R31" s="3">
        <f t="shared" si="25"/>
        <v>6.1619519923485529E-2</v>
      </c>
      <c r="S31" s="3">
        <f t="shared" si="25"/>
        <v>5.7629578877446991E-2</v>
      </c>
      <c r="T31" s="3">
        <f t="shared" si="25"/>
        <v>2.9506439174192503E-2</v>
      </c>
      <c r="U31" s="3">
        <f t="shared" si="25"/>
        <v>3.6528375921441443E-5</v>
      </c>
      <c r="V31" s="3">
        <f t="shared" si="26"/>
        <v>3.0886306565310184E-34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8.3058600170619432E-2</v>
      </c>
      <c r="C32" s="18">
        <f t="shared" si="3"/>
        <v>0.10578931784531295</v>
      </c>
      <c r="D32" s="17"/>
      <c r="F32" s="3">
        <f t="shared" si="25"/>
        <v>0.10578931784531288</v>
      </c>
      <c r="G32" s="3">
        <f t="shared" si="25"/>
        <v>0.10578931784531224</v>
      </c>
      <c r="H32" s="3">
        <f t="shared" si="25"/>
        <v>0.10578931784530586</v>
      </c>
      <c r="I32" s="3">
        <f t="shared" si="25"/>
        <v>0.10578931784524197</v>
      </c>
      <c r="J32" s="3">
        <f t="shared" si="25"/>
        <v>0.10578931784460313</v>
      </c>
      <c r="K32" s="3">
        <f t="shared" si="25"/>
        <v>0.10578931783821474</v>
      </c>
      <c r="L32" s="3">
        <f t="shared" si="25"/>
        <v>0.10578931777433076</v>
      </c>
      <c r="M32" s="3">
        <f t="shared" si="25"/>
        <v>0.10578931713549103</v>
      </c>
      <c r="N32" s="3">
        <f t="shared" si="25"/>
        <v>0.10578931074709395</v>
      </c>
      <c r="O32" s="3">
        <f t="shared" si="25"/>
        <v>0.10578924686314432</v>
      </c>
      <c r="P32" s="3">
        <f t="shared" si="25"/>
        <v>0.10578860802576989</v>
      </c>
      <c r="Q32" s="3">
        <f t="shared" si="25"/>
        <v>0.10578221986420047</v>
      </c>
      <c r="R32" s="3">
        <f t="shared" si="25"/>
        <v>0.10571835946125246</v>
      </c>
      <c r="S32" s="3">
        <f t="shared" si="25"/>
        <v>0.10508187197436622</v>
      </c>
      <c r="T32" s="3">
        <f t="shared" si="25"/>
        <v>9.8923997679399536E-2</v>
      </c>
      <c r="U32" s="3">
        <f t="shared" si="25"/>
        <v>5.4080442385345463E-2</v>
      </c>
      <c r="V32" s="3">
        <f t="shared" si="26"/>
        <v>1.289513832098296E-4</v>
      </c>
      <c r="W32" s="3">
        <f t="shared" si="26"/>
        <v>7.6609689062532441E-31</v>
      </c>
      <c r="X32" s="3">
        <f t="shared" si="26"/>
        <v>4.1962431592724873E-293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6.7086441651934392E-2</v>
      </c>
      <c r="C33" s="18">
        <f t="shared" si="3"/>
        <v>8.5446045134986312E-2</v>
      </c>
      <c r="D33" s="17"/>
      <c r="F33" s="3">
        <f t="shared" si="25"/>
        <v>8.5446045134986298E-2</v>
      </c>
      <c r="G33" s="3">
        <f t="shared" si="25"/>
        <v>8.544604513498627E-2</v>
      </c>
      <c r="H33" s="3">
        <f t="shared" si="25"/>
        <v>8.5446045134985785E-2</v>
      </c>
      <c r="I33" s="3">
        <f t="shared" si="25"/>
        <v>8.5446045134981136E-2</v>
      </c>
      <c r="J33" s="3">
        <f t="shared" si="25"/>
        <v>8.544604513493459E-2</v>
      </c>
      <c r="K33" s="3">
        <f t="shared" si="25"/>
        <v>8.5446045134469129E-2</v>
      </c>
      <c r="L33" s="3">
        <f t="shared" si="25"/>
        <v>8.5446045129814463E-2</v>
      </c>
      <c r="M33" s="3">
        <f t="shared" si="25"/>
        <v>8.544604508326778E-2</v>
      </c>
      <c r="N33" s="3">
        <f t="shared" si="25"/>
        <v>8.5446044617801045E-2</v>
      </c>
      <c r="O33" s="3">
        <f t="shared" si="25"/>
        <v>8.5446039963133741E-2</v>
      </c>
      <c r="P33" s="3">
        <f t="shared" si="25"/>
        <v>8.5445993416474658E-2</v>
      </c>
      <c r="Q33" s="3">
        <f t="shared" si="25"/>
        <v>8.5445527951278397E-2</v>
      </c>
      <c r="R33" s="3">
        <f t="shared" si="25"/>
        <v>8.5440873438772227E-2</v>
      </c>
      <c r="S33" s="3">
        <f t="shared" si="25"/>
        <v>8.5394342256535805E-2</v>
      </c>
      <c r="T33" s="3">
        <f t="shared" si="25"/>
        <v>8.4930421910510062E-2</v>
      </c>
      <c r="U33" s="3">
        <f t="shared" ref="P33:AE48" si="27">$C33*EXP(-U$15/$A33)</f>
        <v>8.042760186092808E-2</v>
      </c>
      <c r="V33" s="3">
        <f t="shared" si="27"/>
        <v>4.6646976311806421E-2</v>
      </c>
      <c r="W33" s="3">
        <f t="shared" si="27"/>
        <v>2.0091264970022057E-4</v>
      </c>
      <c r="X33" s="3">
        <f t="shared" si="27"/>
        <v>4.4141299762054203E-28</v>
      </c>
      <c r="Y33" s="3">
        <f t="shared" si="27"/>
        <v>1.1567072940832046E-264</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4.6148130634597169E-2</v>
      </c>
      <c r="C34" s="18">
        <f t="shared" si="3"/>
        <v>5.8777528752493244E-2</v>
      </c>
      <c r="D34" s="17"/>
      <c r="F34" s="3">
        <f t="shared" ref="F34:O48" si="28">$C34*EXP(-F$15/$A34)</f>
        <v>5.8777528752493244E-2</v>
      </c>
      <c r="G34" s="3">
        <f t="shared" si="28"/>
        <v>5.8777528752493244E-2</v>
      </c>
      <c r="H34" s="3">
        <f t="shared" si="28"/>
        <v>5.8777528752493209E-2</v>
      </c>
      <c r="I34" s="3">
        <f t="shared" si="28"/>
        <v>5.8777528752492925E-2</v>
      </c>
      <c r="J34" s="3">
        <f t="shared" si="28"/>
        <v>5.8777528752490031E-2</v>
      </c>
      <c r="K34" s="3">
        <f t="shared" si="28"/>
        <v>5.8777528752461151E-2</v>
      </c>
      <c r="L34" s="3">
        <f t="shared" si="28"/>
        <v>5.8777528752172313E-2</v>
      </c>
      <c r="M34" s="3">
        <f t="shared" si="28"/>
        <v>5.8777528749283936E-2</v>
      </c>
      <c r="N34" s="3">
        <f t="shared" si="28"/>
        <v>5.877752872040011E-2</v>
      </c>
      <c r="O34" s="3">
        <f t="shared" si="28"/>
        <v>5.8777528431561928E-2</v>
      </c>
      <c r="P34" s="3">
        <f t="shared" si="27"/>
        <v>5.8777525543180172E-2</v>
      </c>
      <c r="Q34" s="3">
        <f t="shared" si="27"/>
        <v>5.877749665937039E-2</v>
      </c>
      <c r="R34" s="3">
        <f t="shared" si="27"/>
        <v>5.8777207822053291E-2</v>
      </c>
      <c r="S34" s="3">
        <f t="shared" si="27"/>
        <v>5.8774319526946429E-2</v>
      </c>
      <c r="T34" s="3">
        <f t="shared" si="27"/>
        <v>5.8745444380876748E-2</v>
      </c>
      <c r="U34" s="3">
        <f t="shared" si="27"/>
        <v>5.8457472002816167E-2</v>
      </c>
      <c r="V34" s="3">
        <f t="shared" si="27"/>
        <v>5.5654258373828466E-2</v>
      </c>
      <c r="W34" s="3">
        <f t="shared" si="27"/>
        <v>3.4047254376257753E-2</v>
      </c>
      <c r="X34" s="3">
        <f t="shared" si="27"/>
        <v>2.4998793626254218E-4</v>
      </c>
      <c r="Y34" s="3">
        <f t="shared" si="27"/>
        <v>1.1383835452787646E-25</v>
      </c>
      <c r="Z34" s="3">
        <f t="shared" si="27"/>
        <v>4.3649994451410514E-239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2.3905879172913681E-2</v>
      </c>
      <c r="C35" s="18">
        <f t="shared" si="3"/>
        <v>3.044822143643108E-2</v>
      </c>
      <c r="D35" s="17"/>
      <c r="F35" s="3">
        <f t="shared" si="28"/>
        <v>3.044822143643108E-2</v>
      </c>
      <c r="G35" s="3">
        <f t="shared" si="28"/>
        <v>3.044822143643108E-2</v>
      </c>
      <c r="H35" s="3">
        <f t="shared" si="28"/>
        <v>3.044822143643108E-2</v>
      </c>
      <c r="I35" s="3">
        <f t="shared" si="28"/>
        <v>3.0448221436431066E-2</v>
      </c>
      <c r="J35" s="3">
        <f t="shared" si="28"/>
        <v>3.0448221436430931E-2</v>
      </c>
      <c r="K35" s="3">
        <f t="shared" si="28"/>
        <v>3.0448221436429578E-2</v>
      </c>
      <c r="L35" s="3">
        <f t="shared" si="28"/>
        <v>3.0448221436416085E-2</v>
      </c>
      <c r="M35" s="3">
        <f t="shared" si="28"/>
        <v>3.0448221436281106E-2</v>
      </c>
      <c r="N35" s="3">
        <f t="shared" si="28"/>
        <v>3.0448221434931363E-2</v>
      </c>
      <c r="O35" s="3">
        <f t="shared" si="28"/>
        <v>3.044822142143391E-2</v>
      </c>
      <c r="P35" s="3">
        <f t="shared" si="27"/>
        <v>3.0448221286459385E-2</v>
      </c>
      <c r="Q35" s="3">
        <f t="shared" si="27"/>
        <v>3.0448219936714184E-2</v>
      </c>
      <c r="R35" s="3">
        <f t="shared" si="27"/>
        <v>3.0448206439265449E-2</v>
      </c>
      <c r="S35" s="3">
        <f t="shared" si="27"/>
        <v>3.0448071465107189E-2</v>
      </c>
      <c r="T35" s="3">
        <f t="shared" si="27"/>
        <v>3.0446721756432194E-2</v>
      </c>
      <c r="U35" s="3">
        <f t="shared" si="27"/>
        <v>3.0433227959904413E-2</v>
      </c>
      <c r="V35" s="3">
        <f t="shared" si="27"/>
        <v>3.0298618477827222E-2</v>
      </c>
      <c r="W35" s="3">
        <f t="shared" si="27"/>
        <v>2.8984839534218241E-2</v>
      </c>
      <c r="X35" s="3">
        <f t="shared" si="27"/>
        <v>1.8605940991483577E-2</v>
      </c>
      <c r="Y35" s="3">
        <f t="shared" si="27"/>
        <v>2.2103397204850593E-4</v>
      </c>
      <c r="Z35" s="3">
        <f t="shared" si="27"/>
        <v>1.2374649794535435E-23</v>
      </c>
      <c r="AA35" s="3">
        <f t="shared" si="27"/>
        <v>3.7434480191876448E-216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1.2497597345478596E-2</v>
      </c>
      <c r="C36" s="18">
        <f t="shared" si="3"/>
        <v>1.5917825428886163E-2</v>
      </c>
      <c r="D36" s="17"/>
      <c r="F36" s="3">
        <f t="shared" si="28"/>
        <v>1.5917825428886163E-2</v>
      </c>
      <c r="G36" s="3">
        <f t="shared" si="28"/>
        <v>1.5917825428886163E-2</v>
      </c>
      <c r="H36" s="3">
        <f t="shared" si="28"/>
        <v>1.5917825428886163E-2</v>
      </c>
      <c r="I36" s="3">
        <f t="shared" si="28"/>
        <v>1.5917825428886163E-2</v>
      </c>
      <c r="J36" s="3">
        <f t="shared" si="28"/>
        <v>1.5917825428886156E-2</v>
      </c>
      <c r="K36" s="3">
        <f t="shared" si="28"/>
        <v>1.5917825428886093E-2</v>
      </c>
      <c r="L36" s="3">
        <f t="shared" si="28"/>
        <v>1.5917825428885455E-2</v>
      </c>
      <c r="M36" s="3">
        <f t="shared" si="28"/>
        <v>1.5917825428879089E-2</v>
      </c>
      <c r="N36" s="3">
        <f t="shared" si="28"/>
        <v>1.5917825428815435E-2</v>
      </c>
      <c r="O36" s="3">
        <f t="shared" si="28"/>
        <v>1.5917825428178906E-2</v>
      </c>
      <c r="P36" s="3">
        <f t="shared" si="27"/>
        <v>1.5917825421813588E-2</v>
      </c>
      <c r="Q36" s="3">
        <f t="shared" si="27"/>
        <v>1.591782535816039E-2</v>
      </c>
      <c r="R36" s="3">
        <f t="shared" si="27"/>
        <v>1.5917824721628462E-2</v>
      </c>
      <c r="S36" s="3">
        <f t="shared" si="27"/>
        <v>1.5917818356310582E-2</v>
      </c>
      <c r="T36" s="3">
        <f t="shared" si="27"/>
        <v>1.5917754703271742E-2</v>
      </c>
      <c r="U36" s="3">
        <f t="shared" si="27"/>
        <v>1.5917118186882864E-2</v>
      </c>
      <c r="V36" s="3">
        <f t="shared" si="27"/>
        <v>1.5910754422735988E-2</v>
      </c>
      <c r="W36" s="3">
        <f t="shared" si="27"/>
        <v>1.5847256548575901E-2</v>
      </c>
      <c r="X36" s="3">
        <f t="shared" si="27"/>
        <v>1.5226049934395256E-2</v>
      </c>
      <c r="Y36" s="3">
        <f t="shared" si="27"/>
        <v>1.0207487579942545E-2</v>
      </c>
      <c r="Z36" s="3">
        <f t="shared" si="27"/>
        <v>1.8716945007809252E-4</v>
      </c>
      <c r="AA36" s="3">
        <f t="shared" si="27"/>
        <v>8.0425914204913374E-22</v>
      </c>
      <c r="AB36" s="3">
        <f t="shared" si="27"/>
        <v>1.7258634251466254E-195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5.8657311034183432E-3</v>
      </c>
      <c r="C37" s="18">
        <f t="shared" si="3"/>
        <v>7.4710107179745602E-3</v>
      </c>
      <c r="D37" s="17"/>
      <c r="F37" s="3">
        <f t="shared" si="28"/>
        <v>7.4710107179745602E-3</v>
      </c>
      <c r="G37" s="3">
        <f t="shared" si="28"/>
        <v>7.4710107179745602E-3</v>
      </c>
      <c r="H37" s="3">
        <f t="shared" si="28"/>
        <v>7.4710107179745602E-3</v>
      </c>
      <c r="I37" s="3">
        <f t="shared" si="28"/>
        <v>7.4710107179745602E-3</v>
      </c>
      <c r="J37" s="3">
        <f t="shared" si="28"/>
        <v>7.4710107179745602E-3</v>
      </c>
      <c r="K37" s="3">
        <f t="shared" si="28"/>
        <v>7.4710107179745567E-3</v>
      </c>
      <c r="L37" s="3">
        <f t="shared" si="28"/>
        <v>7.4710107179745307E-3</v>
      </c>
      <c r="M37" s="3">
        <f t="shared" si="28"/>
        <v>7.4710107179742609E-3</v>
      </c>
      <c r="N37" s="3">
        <f t="shared" si="28"/>
        <v>7.471010717971566E-3</v>
      </c>
      <c r="O37" s="3">
        <f t="shared" si="28"/>
        <v>7.4710107179446154E-3</v>
      </c>
      <c r="P37" s="3">
        <f t="shared" si="27"/>
        <v>7.4710107176751131E-3</v>
      </c>
      <c r="Q37" s="3">
        <f t="shared" si="27"/>
        <v>7.4710107149800909E-3</v>
      </c>
      <c r="R37" s="3">
        <f t="shared" si="27"/>
        <v>7.471010688029865E-3</v>
      </c>
      <c r="S37" s="3">
        <f t="shared" si="27"/>
        <v>7.4710104185276068E-3</v>
      </c>
      <c r="T37" s="3">
        <f t="shared" si="27"/>
        <v>7.4710077235055723E-3</v>
      </c>
      <c r="U37" s="3">
        <f t="shared" si="27"/>
        <v>7.4709807733386894E-3</v>
      </c>
      <c r="V37" s="3">
        <f t="shared" si="27"/>
        <v>7.4707112770167547E-3</v>
      </c>
      <c r="W37" s="3">
        <f t="shared" si="27"/>
        <v>7.4680168484156286E-3</v>
      </c>
      <c r="X37" s="3">
        <f t="shared" si="27"/>
        <v>7.441125952939812E-3</v>
      </c>
      <c r="Y37" s="3">
        <f t="shared" si="27"/>
        <v>7.1774854735623698E-3</v>
      </c>
      <c r="Z37" s="3">
        <f t="shared" si="27"/>
        <v>5.0039042054608506E-3</v>
      </c>
      <c r="AA37" s="3">
        <f t="shared" si="27"/>
        <v>1.3572993302124033E-4</v>
      </c>
      <c r="AB37" s="3">
        <f t="shared" si="27"/>
        <v>2.9264567679908794E-20</v>
      </c>
      <c r="AC37" s="3">
        <f t="shared" si="27"/>
        <v>6.3534101481844533E-177</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1.1289001533785334E-3</v>
      </c>
      <c r="C38" s="18">
        <f t="shared" si="3"/>
        <v>1.4378472174592341E-3</v>
      </c>
      <c r="D38" s="17"/>
      <c r="F38" s="3">
        <f t="shared" si="28"/>
        <v>1.4378472174592341E-3</v>
      </c>
      <c r="G38" s="3">
        <f t="shared" si="28"/>
        <v>1.4378472174592341E-3</v>
      </c>
      <c r="H38" s="3">
        <f t="shared" si="28"/>
        <v>1.4378472174592341E-3</v>
      </c>
      <c r="I38" s="3">
        <f t="shared" si="28"/>
        <v>1.4378472174592341E-3</v>
      </c>
      <c r="J38" s="3">
        <f t="shared" si="28"/>
        <v>1.4378472174592341E-3</v>
      </c>
      <c r="K38" s="3">
        <f t="shared" si="28"/>
        <v>1.4378472174592341E-3</v>
      </c>
      <c r="L38" s="3">
        <f t="shared" si="28"/>
        <v>1.4378472174592337E-3</v>
      </c>
      <c r="M38" s="3">
        <f t="shared" si="28"/>
        <v>1.4378472174592289E-3</v>
      </c>
      <c r="N38" s="3">
        <f t="shared" si="28"/>
        <v>1.4378472174591821E-3</v>
      </c>
      <c r="O38" s="3">
        <f t="shared" si="28"/>
        <v>1.4378472174587141E-3</v>
      </c>
      <c r="P38" s="3">
        <f t="shared" si="27"/>
        <v>1.4378472174540354E-3</v>
      </c>
      <c r="Q38" s="3">
        <f t="shared" si="27"/>
        <v>1.4378472174072466E-3</v>
      </c>
      <c r="R38" s="3">
        <f t="shared" si="27"/>
        <v>1.4378472169393579E-3</v>
      </c>
      <c r="S38" s="3">
        <f t="shared" si="27"/>
        <v>1.4378472122604728E-3</v>
      </c>
      <c r="T38" s="3">
        <f t="shared" si="27"/>
        <v>1.4378471654716218E-3</v>
      </c>
      <c r="U38" s="3">
        <f t="shared" si="27"/>
        <v>1.4378466975831956E-3</v>
      </c>
      <c r="V38" s="3">
        <f t="shared" si="27"/>
        <v>1.4378420187073065E-3</v>
      </c>
      <c r="W38" s="3">
        <f t="shared" si="27"/>
        <v>1.4377952307858086E-3</v>
      </c>
      <c r="X38" s="3">
        <f t="shared" si="27"/>
        <v>1.4373274352999692E-3</v>
      </c>
      <c r="Y38" s="3">
        <f t="shared" si="27"/>
        <v>1.4326578432831941E-3</v>
      </c>
      <c r="Z38" s="3">
        <f t="shared" si="27"/>
        <v>1.3867882253445008E-3</v>
      </c>
      <c r="AA38" s="3">
        <f t="shared" si="27"/>
        <v>1.0015826298216872E-3</v>
      </c>
      <c r="AB38" s="3">
        <f t="shared" si="27"/>
        <v>3.8677034607002542E-5</v>
      </c>
      <c r="AC38" s="3">
        <f t="shared" si="27"/>
        <v>2.8517865655774165E-19</v>
      </c>
      <c r="AD38" s="3">
        <f t="shared" si="27"/>
        <v>1.3544267296591079E-160</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3.7440099907765402E-3</v>
      </c>
      <c r="C39" s="18">
        <f t="shared" si="3"/>
        <v>4.7686363858368023E-3</v>
      </c>
      <c r="D39" s="17"/>
      <c r="F39" s="3">
        <f t="shared" si="28"/>
        <v>4.7686363858368023E-3</v>
      </c>
      <c r="G39" s="3">
        <f t="shared" si="28"/>
        <v>4.7686363858368023E-3</v>
      </c>
      <c r="H39" s="3">
        <f t="shared" si="28"/>
        <v>4.7686363858368023E-3</v>
      </c>
      <c r="I39" s="3">
        <f t="shared" si="28"/>
        <v>4.7686363858368023E-3</v>
      </c>
      <c r="J39" s="3">
        <f t="shared" si="28"/>
        <v>4.7686363858368023E-3</v>
      </c>
      <c r="K39" s="3">
        <f t="shared" si="28"/>
        <v>4.7686363858368023E-3</v>
      </c>
      <c r="L39" s="3">
        <f t="shared" si="28"/>
        <v>4.7686363858368015E-3</v>
      </c>
      <c r="M39" s="3">
        <f t="shared" si="28"/>
        <v>4.768636385836798E-3</v>
      </c>
      <c r="N39" s="3">
        <f t="shared" si="28"/>
        <v>4.7686363858367546E-3</v>
      </c>
      <c r="O39" s="3">
        <f t="shared" si="28"/>
        <v>4.7686363858363253E-3</v>
      </c>
      <c r="P39" s="3">
        <f t="shared" si="27"/>
        <v>4.7686363858320336E-3</v>
      </c>
      <c r="Q39" s="3">
        <f t="shared" si="27"/>
        <v>4.7686363857891156E-3</v>
      </c>
      <c r="R39" s="3">
        <f t="shared" si="27"/>
        <v>4.768636385359939E-3</v>
      </c>
      <c r="S39" s="3">
        <f t="shared" si="27"/>
        <v>4.7686363810681663E-3</v>
      </c>
      <c r="T39" s="3">
        <f t="shared" si="27"/>
        <v>4.7686363381504388E-3</v>
      </c>
      <c r="U39" s="3">
        <f t="shared" si="27"/>
        <v>4.7686359089731878E-3</v>
      </c>
      <c r="V39" s="3">
        <f t="shared" si="27"/>
        <v>4.7686316172028008E-3</v>
      </c>
      <c r="W39" s="3">
        <f t="shared" si="27"/>
        <v>4.7685886997113746E-3</v>
      </c>
      <c r="X39" s="3">
        <f t="shared" si="27"/>
        <v>4.7681595460406061E-3</v>
      </c>
      <c r="Y39" s="3">
        <f t="shared" si="27"/>
        <v>4.7638701329745844E-3</v>
      </c>
      <c r="Z39" s="3">
        <f t="shared" si="27"/>
        <v>4.7211876610079601E-3</v>
      </c>
      <c r="AA39" s="3">
        <f t="shared" si="27"/>
        <v>4.3148406349129021E-3</v>
      </c>
      <c r="AB39" s="3">
        <f t="shared" si="27"/>
        <v>1.7542832887714494E-3</v>
      </c>
      <c r="AC39" s="3">
        <f t="shared" si="27"/>
        <v>2.1649575697982045E-7</v>
      </c>
      <c r="AD39" s="3">
        <f t="shared" si="27"/>
        <v>1.7739689657330314E-46</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0</v>
      </c>
      <c r="C40" s="18">
        <f t="shared" si="3"/>
        <v>0</v>
      </c>
      <c r="D40" s="17"/>
      <c r="F40" s="3">
        <f t="shared" si="28"/>
        <v>0</v>
      </c>
      <c r="G40" s="3">
        <f t="shared" si="28"/>
        <v>0</v>
      </c>
      <c r="H40" s="3">
        <f t="shared" si="28"/>
        <v>0</v>
      </c>
      <c r="I40" s="3">
        <f t="shared" si="28"/>
        <v>0</v>
      </c>
      <c r="J40" s="3">
        <f t="shared" si="28"/>
        <v>0</v>
      </c>
      <c r="K40" s="3">
        <f t="shared" si="28"/>
        <v>0</v>
      </c>
      <c r="L40" s="3">
        <f t="shared" si="28"/>
        <v>0</v>
      </c>
      <c r="M40" s="3">
        <f t="shared" si="28"/>
        <v>0</v>
      </c>
      <c r="N40" s="3">
        <f t="shared" si="28"/>
        <v>0</v>
      </c>
      <c r="O40" s="3">
        <f t="shared" si="28"/>
        <v>0</v>
      </c>
      <c r="P40" s="3">
        <f t="shared" si="27"/>
        <v>0</v>
      </c>
      <c r="Q40" s="3">
        <f t="shared" si="27"/>
        <v>0</v>
      </c>
      <c r="R40" s="3">
        <f t="shared" si="27"/>
        <v>0</v>
      </c>
      <c r="S40" s="3">
        <f t="shared" si="27"/>
        <v>0</v>
      </c>
      <c r="T40" s="3">
        <f t="shared" si="27"/>
        <v>0</v>
      </c>
      <c r="U40" s="3">
        <f t="shared" si="27"/>
        <v>0</v>
      </c>
      <c r="V40" s="3">
        <f t="shared" si="27"/>
        <v>0</v>
      </c>
      <c r="W40" s="3">
        <f t="shared" si="27"/>
        <v>0</v>
      </c>
      <c r="X40" s="3">
        <f t="shared" si="27"/>
        <v>0</v>
      </c>
      <c r="Y40" s="3">
        <f t="shared" si="27"/>
        <v>0</v>
      </c>
      <c r="Z40" s="3">
        <f t="shared" si="27"/>
        <v>0</v>
      </c>
      <c r="AA40" s="3">
        <f t="shared" si="27"/>
        <v>0</v>
      </c>
      <c r="AB40" s="3">
        <f t="shared" si="27"/>
        <v>0</v>
      </c>
      <c r="AC40" s="3">
        <f t="shared" si="27"/>
        <v>0</v>
      </c>
      <c r="AD40" s="3">
        <f t="shared" si="27"/>
        <v>0</v>
      </c>
      <c r="AE40" s="3">
        <f t="shared" si="27"/>
        <v>0</v>
      </c>
      <c r="AF40" s="3">
        <f t="shared" si="29"/>
        <v>0</v>
      </c>
      <c r="AG40" s="3">
        <f t="shared" si="29"/>
        <v>0</v>
      </c>
      <c r="AH40" s="3">
        <f t="shared" si="29"/>
        <v>0</v>
      </c>
      <c r="AI40" s="3">
        <f t="shared" si="29"/>
        <v>0</v>
      </c>
      <c r="AJ40" s="3">
        <f t="shared" si="29"/>
        <v>0</v>
      </c>
    </row>
    <row r="41" spans="1:36" x14ac:dyDescent="0.25">
      <c r="A41" s="3">
        <f t="shared" si="30"/>
        <v>1000000000</v>
      </c>
      <c r="B41" s="106">
        <v>1.6449100150295001E-3</v>
      </c>
      <c r="C41" s="18">
        <f t="shared" si="3"/>
        <v>2.0950739363465548E-3</v>
      </c>
      <c r="D41" s="17"/>
      <c r="F41" s="3">
        <f t="shared" si="28"/>
        <v>2.0950739363465548E-3</v>
      </c>
      <c r="G41" s="3">
        <f t="shared" si="28"/>
        <v>2.0950739363465548E-3</v>
      </c>
      <c r="H41" s="3">
        <f t="shared" si="28"/>
        <v>2.0950739363465548E-3</v>
      </c>
      <c r="I41" s="3">
        <f t="shared" si="28"/>
        <v>2.0950739363465548E-3</v>
      </c>
      <c r="J41" s="3">
        <f t="shared" si="28"/>
        <v>2.0950739363465548E-3</v>
      </c>
      <c r="K41" s="3">
        <f t="shared" si="28"/>
        <v>2.0950739363465548E-3</v>
      </c>
      <c r="L41" s="3">
        <f t="shared" si="28"/>
        <v>2.0950739363465548E-3</v>
      </c>
      <c r="M41" s="3">
        <f t="shared" si="28"/>
        <v>2.0950739363465548E-3</v>
      </c>
      <c r="N41" s="3">
        <f t="shared" si="28"/>
        <v>2.0950739363465544E-3</v>
      </c>
      <c r="O41" s="3">
        <f t="shared" si="28"/>
        <v>2.0950739363465526E-3</v>
      </c>
      <c r="P41" s="3">
        <f t="shared" si="27"/>
        <v>2.095073936346534E-3</v>
      </c>
      <c r="Q41" s="3">
        <f t="shared" si="27"/>
        <v>2.0950739363463453E-3</v>
      </c>
      <c r="R41" s="3">
        <f t="shared" si="27"/>
        <v>2.0950739363444597E-3</v>
      </c>
      <c r="S41" s="3">
        <f t="shared" si="27"/>
        <v>2.0950739363256041E-3</v>
      </c>
      <c r="T41" s="3">
        <f t="shared" si="27"/>
        <v>2.0950739361370475E-3</v>
      </c>
      <c r="U41" s="3">
        <f t="shared" si="27"/>
        <v>2.0950739342514811E-3</v>
      </c>
      <c r="V41" s="3">
        <f t="shared" si="27"/>
        <v>2.0950739153958154E-3</v>
      </c>
      <c r="W41" s="3">
        <f t="shared" si="27"/>
        <v>2.0950737268391716E-3</v>
      </c>
      <c r="X41" s="3">
        <f t="shared" si="27"/>
        <v>2.0950718412736662E-3</v>
      </c>
      <c r="Y41" s="3">
        <f t="shared" si="27"/>
        <v>2.0950529857119448E-3</v>
      </c>
      <c r="Z41" s="3">
        <f t="shared" si="27"/>
        <v>2.0948644394279408E-3</v>
      </c>
      <c r="AA41" s="3">
        <f t="shared" si="27"/>
        <v>2.0929799095980848E-3</v>
      </c>
      <c r="AB41" s="3">
        <f t="shared" si="27"/>
        <v>2.0742276023721219E-3</v>
      </c>
      <c r="AC41" s="3">
        <f t="shared" si="27"/>
        <v>1.8957012911582508E-3</v>
      </c>
      <c r="AD41" s="3">
        <f t="shared" si="27"/>
        <v>7.7073462891602453E-4</v>
      </c>
      <c r="AE41" s="3">
        <f t="shared" si="27"/>
        <v>9.5116209557346257E-8</v>
      </c>
      <c r="AF41" s="3">
        <f t="shared" si="29"/>
        <v>7.793834218590225E-47</v>
      </c>
      <c r="AG41" s="3">
        <f t="shared" si="29"/>
        <v>0</v>
      </c>
      <c r="AH41" s="3">
        <f t="shared" si="29"/>
        <v>0</v>
      </c>
      <c r="AI41" s="3">
        <f t="shared" si="29"/>
        <v>0</v>
      </c>
      <c r="AJ41" s="3">
        <f t="shared" si="29"/>
        <v>0</v>
      </c>
    </row>
    <row r="42" spans="1:36" x14ac:dyDescent="0.25">
      <c r="A42" s="3">
        <f t="shared" si="30"/>
        <v>10000000000</v>
      </c>
      <c r="B42" s="106">
        <v>1.5083084527097975E-3</v>
      </c>
      <c r="C42" s="18">
        <f t="shared" si="3"/>
        <v>1.9210885084110967E-3</v>
      </c>
      <c r="D42" s="17"/>
      <c r="F42" s="3">
        <f t="shared" si="28"/>
        <v>1.9210885084110967E-3</v>
      </c>
      <c r="G42" s="3">
        <f t="shared" si="28"/>
        <v>1.9210885084110967E-3</v>
      </c>
      <c r="H42" s="3">
        <f t="shared" si="28"/>
        <v>1.9210885084110967E-3</v>
      </c>
      <c r="I42" s="3">
        <f t="shared" si="28"/>
        <v>1.9210885084110967E-3</v>
      </c>
      <c r="J42" s="3">
        <f t="shared" si="28"/>
        <v>1.9210885084110967E-3</v>
      </c>
      <c r="K42" s="3">
        <f t="shared" si="28"/>
        <v>1.9210885084110967E-3</v>
      </c>
      <c r="L42" s="3">
        <f t="shared" si="28"/>
        <v>1.9210885084110967E-3</v>
      </c>
      <c r="M42" s="3">
        <f t="shared" si="28"/>
        <v>1.9210885084110967E-3</v>
      </c>
      <c r="N42" s="3">
        <f t="shared" si="28"/>
        <v>1.9210885084110967E-3</v>
      </c>
      <c r="O42" s="3">
        <f t="shared" si="28"/>
        <v>1.9210885084110965E-3</v>
      </c>
      <c r="P42" s="3">
        <f t="shared" si="27"/>
        <v>1.9210885084110947E-3</v>
      </c>
      <c r="Q42" s="3">
        <f t="shared" si="27"/>
        <v>1.9210885084110774E-3</v>
      </c>
      <c r="R42" s="3">
        <f t="shared" si="27"/>
        <v>1.9210885084109046E-3</v>
      </c>
      <c r="S42" s="3">
        <f t="shared" si="27"/>
        <v>1.9210885084091757E-3</v>
      </c>
      <c r="T42" s="3">
        <f t="shared" si="27"/>
        <v>1.9210885083918857E-3</v>
      </c>
      <c r="U42" s="3">
        <f t="shared" si="27"/>
        <v>1.9210885082189878E-3</v>
      </c>
      <c r="V42" s="3">
        <f t="shared" si="27"/>
        <v>1.9210885064900082E-3</v>
      </c>
      <c r="W42" s="3">
        <f t="shared" si="27"/>
        <v>1.9210884892002116E-3</v>
      </c>
      <c r="X42" s="3">
        <f t="shared" si="27"/>
        <v>1.9210883163022555E-3</v>
      </c>
      <c r="Y42" s="3">
        <f t="shared" si="27"/>
        <v>1.9210865873235488E-3</v>
      </c>
      <c r="Z42" s="3">
        <f t="shared" si="27"/>
        <v>1.9210692976220666E-3</v>
      </c>
      <c r="AA42" s="3">
        <f t="shared" si="27"/>
        <v>1.9208964091653779E-3</v>
      </c>
      <c r="AB42" s="3">
        <f t="shared" si="27"/>
        <v>1.9191683801268384E-3</v>
      </c>
      <c r="AC42" s="3">
        <f t="shared" si="27"/>
        <v>1.9019733583698435E-3</v>
      </c>
      <c r="AD42" s="3">
        <f t="shared" si="27"/>
        <v>1.7382727657692494E-3</v>
      </c>
      <c r="AE42" s="3">
        <f t="shared" si="27"/>
        <v>7.0672896691515396E-4</v>
      </c>
      <c r="AF42" s="3">
        <f t="shared" si="29"/>
        <v>8.721728334938059E-8</v>
      </c>
      <c r="AG42" s="3">
        <f t="shared" si="29"/>
        <v>7.1465952079498223E-47</v>
      </c>
      <c r="AH42" s="3">
        <f t="shared" si="29"/>
        <v>0</v>
      </c>
      <c r="AI42" s="3">
        <f t="shared" si="29"/>
        <v>0</v>
      </c>
      <c r="AJ42" s="3">
        <f t="shared" si="29"/>
        <v>0</v>
      </c>
    </row>
    <row r="43" spans="1:36" x14ac:dyDescent="0.25">
      <c r="A43" s="3">
        <f t="shared" si="30"/>
        <v>100000000000</v>
      </c>
      <c r="B43" s="106">
        <v>0</v>
      </c>
      <c r="C43" s="18">
        <f t="shared" si="3"/>
        <v>0</v>
      </c>
      <c r="D43" s="17"/>
      <c r="F43" s="3">
        <f t="shared" si="28"/>
        <v>0</v>
      </c>
      <c r="G43" s="3">
        <f t="shared" si="28"/>
        <v>0</v>
      </c>
      <c r="H43" s="3">
        <f t="shared" si="28"/>
        <v>0</v>
      </c>
      <c r="I43" s="3">
        <f t="shared" si="28"/>
        <v>0</v>
      </c>
      <c r="J43" s="3">
        <f t="shared" si="28"/>
        <v>0</v>
      </c>
      <c r="K43" s="3">
        <f t="shared" si="28"/>
        <v>0</v>
      </c>
      <c r="L43" s="3">
        <f t="shared" si="28"/>
        <v>0</v>
      </c>
      <c r="M43" s="3">
        <f t="shared" si="28"/>
        <v>0</v>
      </c>
      <c r="N43" s="3">
        <f t="shared" si="28"/>
        <v>0</v>
      </c>
      <c r="O43" s="3">
        <f t="shared" si="28"/>
        <v>0</v>
      </c>
      <c r="P43" s="3">
        <f t="shared" si="27"/>
        <v>0</v>
      </c>
      <c r="Q43" s="3">
        <f t="shared" si="27"/>
        <v>0</v>
      </c>
      <c r="R43" s="3">
        <f t="shared" si="27"/>
        <v>0</v>
      </c>
      <c r="S43" s="3">
        <f t="shared" si="27"/>
        <v>0</v>
      </c>
      <c r="T43" s="3">
        <f t="shared" si="27"/>
        <v>0</v>
      </c>
      <c r="U43" s="3">
        <f t="shared" si="27"/>
        <v>0</v>
      </c>
      <c r="V43" s="3">
        <f t="shared" si="27"/>
        <v>0</v>
      </c>
      <c r="W43" s="3">
        <f t="shared" si="27"/>
        <v>0</v>
      </c>
      <c r="X43" s="3">
        <f t="shared" si="27"/>
        <v>0</v>
      </c>
      <c r="Y43" s="3">
        <f t="shared" si="27"/>
        <v>0</v>
      </c>
      <c r="Z43" s="3">
        <f t="shared" si="27"/>
        <v>0</v>
      </c>
      <c r="AA43" s="3">
        <f t="shared" si="27"/>
        <v>0</v>
      </c>
      <c r="AB43" s="3">
        <f t="shared" si="27"/>
        <v>0</v>
      </c>
      <c r="AC43" s="3">
        <f t="shared" si="27"/>
        <v>0</v>
      </c>
      <c r="AD43" s="3">
        <f t="shared" si="27"/>
        <v>0</v>
      </c>
      <c r="AE43" s="3">
        <f t="shared" si="27"/>
        <v>0</v>
      </c>
      <c r="AF43" s="3">
        <f t="shared" si="29"/>
        <v>0</v>
      </c>
      <c r="AG43" s="3">
        <f t="shared" si="29"/>
        <v>0</v>
      </c>
      <c r="AH43" s="3">
        <f t="shared" si="29"/>
        <v>0</v>
      </c>
      <c r="AI43" s="3">
        <f t="shared" si="29"/>
        <v>0</v>
      </c>
      <c r="AJ43" s="3">
        <f t="shared" si="29"/>
        <v>0</v>
      </c>
    </row>
    <row r="44" spans="1:36" x14ac:dyDescent="0.25">
      <c r="A44" s="3">
        <f t="shared" si="30"/>
        <v>1000000000000</v>
      </c>
      <c r="B44" s="106">
        <v>3.6691102707766339E-4</v>
      </c>
      <c r="C44" s="18">
        <f t="shared" si="3"/>
        <v>4.6732387958302481E-4</v>
      </c>
      <c r="D44" s="17"/>
      <c r="F44" s="3">
        <f t="shared" si="28"/>
        <v>4.6732387958302481E-4</v>
      </c>
      <c r="G44" s="3">
        <f t="shared" si="28"/>
        <v>4.6732387958302481E-4</v>
      </c>
      <c r="H44" s="3">
        <f t="shared" si="28"/>
        <v>4.6732387958302481E-4</v>
      </c>
      <c r="I44" s="3">
        <f t="shared" si="28"/>
        <v>4.6732387958302481E-4</v>
      </c>
      <c r="J44" s="3">
        <f t="shared" si="28"/>
        <v>4.6732387958302481E-4</v>
      </c>
      <c r="K44" s="3">
        <f t="shared" si="28"/>
        <v>4.6732387958302481E-4</v>
      </c>
      <c r="L44" s="3">
        <f t="shared" si="28"/>
        <v>4.6732387958302481E-4</v>
      </c>
      <c r="M44" s="3">
        <f t="shared" si="28"/>
        <v>4.6732387958302481E-4</v>
      </c>
      <c r="N44" s="3">
        <f t="shared" si="28"/>
        <v>4.6732387958302481E-4</v>
      </c>
      <c r="O44" s="3">
        <f t="shared" si="28"/>
        <v>4.6732387958302481E-4</v>
      </c>
      <c r="P44" s="3">
        <f t="shared" si="27"/>
        <v>4.6732387958302481E-4</v>
      </c>
      <c r="Q44" s="3">
        <f t="shared" si="27"/>
        <v>4.6732387958302475E-4</v>
      </c>
      <c r="R44" s="3">
        <f t="shared" si="27"/>
        <v>4.6732387958302432E-4</v>
      </c>
      <c r="S44" s="3">
        <f t="shared" si="27"/>
        <v>4.6732387958302015E-4</v>
      </c>
      <c r="T44" s="3">
        <f t="shared" si="27"/>
        <v>4.6732387958297808E-4</v>
      </c>
      <c r="U44" s="3">
        <f t="shared" si="27"/>
        <v>4.6732387958255752E-4</v>
      </c>
      <c r="V44" s="3">
        <f t="shared" si="27"/>
        <v>4.6732387957835157E-4</v>
      </c>
      <c r="W44" s="3">
        <f t="shared" si="27"/>
        <v>4.6732387953629244E-4</v>
      </c>
      <c r="X44" s="3">
        <f t="shared" si="27"/>
        <v>4.6732387911570093E-4</v>
      </c>
      <c r="Y44" s="3">
        <f t="shared" si="27"/>
        <v>4.6732387490978602E-4</v>
      </c>
      <c r="Z44" s="3">
        <f t="shared" si="27"/>
        <v>4.6732383285063921E-4</v>
      </c>
      <c r="AA44" s="3">
        <f t="shared" si="27"/>
        <v>4.6732341225937888E-4</v>
      </c>
      <c r="AB44" s="3">
        <f t="shared" si="27"/>
        <v>4.6731920636759511E-4</v>
      </c>
      <c r="AC44" s="3">
        <f t="shared" si="27"/>
        <v>4.6727714953160801E-4</v>
      </c>
      <c r="AD44" s="3">
        <f t="shared" si="27"/>
        <v>4.6685678928751374E-4</v>
      </c>
      <c r="AE44" s="3">
        <f t="shared" si="27"/>
        <v>4.6267392928818994E-4</v>
      </c>
      <c r="AF44" s="3">
        <f t="shared" si="29"/>
        <v>4.2285213258845181E-4</v>
      </c>
      <c r="AG44" s="3">
        <f t="shared" si="29"/>
        <v>1.7191884766707357E-4</v>
      </c>
      <c r="AH44" s="3">
        <f t="shared" si="29"/>
        <v>2.1216471309401258E-8</v>
      </c>
      <c r="AI44" s="3">
        <f t="shared" si="29"/>
        <v>1.7384803374576648E-47</v>
      </c>
      <c r="AJ44" s="3">
        <f t="shared" si="29"/>
        <v>0</v>
      </c>
    </row>
    <row r="45" spans="1:36" x14ac:dyDescent="0.25">
      <c r="A45" s="3">
        <f t="shared" si="30"/>
        <v>10000000000000</v>
      </c>
      <c r="B45" s="106">
        <v>0</v>
      </c>
      <c r="C45" s="18">
        <f t="shared" si="3"/>
        <v>0</v>
      </c>
      <c r="D45" s="17"/>
      <c r="F45" s="3">
        <f t="shared" si="28"/>
        <v>0</v>
      </c>
      <c r="G45" s="3">
        <f t="shared" si="28"/>
        <v>0</v>
      </c>
      <c r="H45" s="3">
        <f t="shared" si="28"/>
        <v>0</v>
      </c>
      <c r="I45" s="3">
        <f t="shared" si="28"/>
        <v>0</v>
      </c>
      <c r="J45" s="3">
        <f t="shared" si="28"/>
        <v>0</v>
      </c>
      <c r="K45" s="3">
        <f t="shared" si="28"/>
        <v>0</v>
      </c>
      <c r="L45" s="3">
        <f t="shared" si="28"/>
        <v>0</v>
      </c>
      <c r="M45" s="3">
        <f t="shared" si="28"/>
        <v>0</v>
      </c>
      <c r="N45" s="3">
        <f t="shared" si="28"/>
        <v>0</v>
      </c>
      <c r="O45" s="3">
        <f t="shared" si="28"/>
        <v>0</v>
      </c>
      <c r="P45" s="3">
        <f t="shared" si="27"/>
        <v>0</v>
      </c>
      <c r="Q45" s="3">
        <f t="shared" si="27"/>
        <v>0</v>
      </c>
      <c r="R45" s="3">
        <f t="shared" si="27"/>
        <v>0</v>
      </c>
      <c r="S45" s="3">
        <f t="shared" si="27"/>
        <v>0</v>
      </c>
      <c r="T45" s="3">
        <f t="shared" si="27"/>
        <v>0</v>
      </c>
      <c r="U45" s="3">
        <f t="shared" si="27"/>
        <v>0</v>
      </c>
      <c r="V45" s="3">
        <f t="shared" si="27"/>
        <v>0</v>
      </c>
      <c r="W45" s="3">
        <f t="shared" si="27"/>
        <v>0</v>
      </c>
      <c r="X45" s="3">
        <f t="shared" si="27"/>
        <v>0</v>
      </c>
      <c r="Y45" s="3">
        <f t="shared" si="27"/>
        <v>0</v>
      </c>
      <c r="Z45" s="3">
        <f t="shared" si="27"/>
        <v>0</v>
      </c>
      <c r="AA45" s="3">
        <f t="shared" si="27"/>
        <v>0</v>
      </c>
      <c r="AB45" s="3">
        <f t="shared" si="27"/>
        <v>0</v>
      </c>
      <c r="AC45" s="3">
        <f t="shared" si="27"/>
        <v>0</v>
      </c>
      <c r="AD45" s="3">
        <f t="shared" si="27"/>
        <v>0</v>
      </c>
      <c r="AE45" s="3">
        <f t="shared" si="27"/>
        <v>0</v>
      </c>
      <c r="AF45" s="3">
        <f t="shared" si="29"/>
        <v>0</v>
      </c>
      <c r="AG45" s="3">
        <f t="shared" si="29"/>
        <v>0</v>
      </c>
      <c r="AH45" s="3">
        <f t="shared" si="29"/>
        <v>0</v>
      </c>
      <c r="AI45" s="3">
        <f t="shared" si="29"/>
        <v>0</v>
      </c>
      <c r="AJ45" s="3">
        <f t="shared" si="29"/>
        <v>0</v>
      </c>
    </row>
    <row r="46" spans="1:36" x14ac:dyDescent="0.25">
      <c r="A46" s="3">
        <f t="shared" si="30"/>
        <v>100000000000000</v>
      </c>
      <c r="B46" s="106">
        <v>9.6978011394644877E-5</v>
      </c>
      <c r="C46" s="18">
        <f t="shared" si="3"/>
        <v>1.2351806616485092E-4</v>
      </c>
      <c r="D46" s="17"/>
      <c r="F46" s="3">
        <f t="shared" si="28"/>
        <v>1.2351806616485092E-4</v>
      </c>
      <c r="G46" s="3">
        <f t="shared" si="28"/>
        <v>1.2351806616485092E-4</v>
      </c>
      <c r="H46" s="3">
        <f t="shared" si="28"/>
        <v>1.2351806616485092E-4</v>
      </c>
      <c r="I46" s="3">
        <f t="shared" si="28"/>
        <v>1.2351806616485092E-4</v>
      </c>
      <c r="J46" s="3">
        <f t="shared" si="28"/>
        <v>1.2351806616485092E-4</v>
      </c>
      <c r="K46" s="3">
        <f t="shared" si="28"/>
        <v>1.2351806616485092E-4</v>
      </c>
      <c r="L46" s="3">
        <f t="shared" si="28"/>
        <v>1.2351806616485092E-4</v>
      </c>
      <c r="M46" s="3">
        <f t="shared" si="28"/>
        <v>1.2351806616485092E-4</v>
      </c>
      <c r="N46" s="3">
        <f t="shared" si="28"/>
        <v>1.2351806616485092E-4</v>
      </c>
      <c r="O46" s="3">
        <f t="shared" si="28"/>
        <v>1.2351806616485092E-4</v>
      </c>
      <c r="P46" s="3">
        <f t="shared" si="27"/>
        <v>1.2351806616485092E-4</v>
      </c>
      <c r="Q46" s="3">
        <f t="shared" si="27"/>
        <v>1.2351806616485092E-4</v>
      </c>
      <c r="R46" s="3">
        <f t="shared" si="27"/>
        <v>1.2351806616485092E-4</v>
      </c>
      <c r="S46" s="3">
        <f t="shared" si="27"/>
        <v>1.2351806616485089E-4</v>
      </c>
      <c r="T46" s="3">
        <f t="shared" si="27"/>
        <v>1.2351806616485078E-4</v>
      </c>
      <c r="U46" s="3">
        <f t="shared" si="27"/>
        <v>1.2351806616484967E-4</v>
      </c>
      <c r="V46" s="3">
        <f t="shared" si="27"/>
        <v>1.2351806616483856E-4</v>
      </c>
      <c r="W46" s="3">
        <f t="shared" si="27"/>
        <v>1.235180661647274E-4</v>
      </c>
      <c r="X46" s="3">
        <f t="shared" si="27"/>
        <v>1.2351806616361574E-4</v>
      </c>
      <c r="Y46" s="3">
        <f t="shared" si="27"/>
        <v>1.2351806615249912E-4</v>
      </c>
      <c r="Z46" s="3">
        <f t="shared" si="27"/>
        <v>1.2351806604133286E-4</v>
      </c>
      <c r="AA46" s="3">
        <f t="shared" si="27"/>
        <v>1.2351806492967026E-4</v>
      </c>
      <c r="AB46" s="3">
        <f t="shared" si="27"/>
        <v>1.2351805381304493E-4</v>
      </c>
      <c r="AC46" s="3">
        <f t="shared" si="27"/>
        <v>1.2351794264684653E-4</v>
      </c>
      <c r="AD46" s="3">
        <f t="shared" si="27"/>
        <v>1.2351683099036514E-4</v>
      </c>
      <c r="AE46" s="3">
        <f t="shared" si="27"/>
        <v>1.2350571497580419E-4</v>
      </c>
      <c r="AF46" s="3">
        <f t="shared" si="29"/>
        <v>1.2339460983713796E-4</v>
      </c>
      <c r="AG46" s="3">
        <f t="shared" si="29"/>
        <v>1.2228904087152939E-4</v>
      </c>
      <c r="AH46" s="3">
        <f t="shared" si="29"/>
        <v>1.1176376806939852E-4</v>
      </c>
      <c r="AI46" s="3">
        <f t="shared" si="29"/>
        <v>4.5439757155302597E-5</v>
      </c>
      <c r="AJ46" s="3">
        <f t="shared" si="29"/>
        <v>5.6077115282821889E-9</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8.1245032630172169E-4</v>
      </c>
      <c r="C48" s="18">
        <f t="shared" si="3"/>
        <v>1.0347942973527732E-3</v>
      </c>
      <c r="D48" s="17"/>
      <c r="F48" s="3">
        <f t="shared" si="28"/>
        <v>1.0347942973527732E-3</v>
      </c>
      <c r="G48" s="3">
        <f t="shared" si="28"/>
        <v>1.0347942973527732E-3</v>
      </c>
      <c r="H48" s="3">
        <f t="shared" si="28"/>
        <v>1.0347942973527732E-3</v>
      </c>
      <c r="I48" s="3">
        <f t="shared" si="28"/>
        <v>1.0347942973527732E-3</v>
      </c>
      <c r="J48" s="3">
        <f t="shared" si="28"/>
        <v>1.0347942973527732E-3</v>
      </c>
      <c r="K48" s="3">
        <f t="shared" si="28"/>
        <v>1.0347942973527732E-3</v>
      </c>
      <c r="L48" s="3">
        <f t="shared" si="28"/>
        <v>1.0347942973527732E-3</v>
      </c>
      <c r="M48" s="3">
        <f t="shared" si="28"/>
        <v>1.0347942973527732E-3</v>
      </c>
      <c r="N48" s="3">
        <f t="shared" si="28"/>
        <v>1.0347942973527732E-3</v>
      </c>
      <c r="O48" s="3">
        <f t="shared" si="28"/>
        <v>1.0347942973527732E-3</v>
      </c>
      <c r="P48" s="3">
        <f t="shared" si="27"/>
        <v>1.0347942973527732E-3</v>
      </c>
      <c r="Q48" s="3">
        <f t="shared" si="27"/>
        <v>1.0347942973527732E-3</v>
      </c>
      <c r="R48" s="3">
        <f t="shared" si="27"/>
        <v>1.0347942973527732E-3</v>
      </c>
      <c r="S48" s="3">
        <f t="shared" si="27"/>
        <v>1.0347942973527732E-3</v>
      </c>
      <c r="T48" s="3">
        <f t="shared" si="27"/>
        <v>1.0347942973527732E-3</v>
      </c>
      <c r="U48" s="3">
        <f t="shared" si="27"/>
        <v>1.034794297352773E-3</v>
      </c>
      <c r="V48" s="3">
        <f t="shared" si="27"/>
        <v>1.0347942973527721E-3</v>
      </c>
      <c r="W48" s="3">
        <f t="shared" si="27"/>
        <v>1.0347942973527628E-3</v>
      </c>
      <c r="X48" s="3">
        <f t="shared" si="27"/>
        <v>1.0347942973526697E-3</v>
      </c>
      <c r="Y48" s="3">
        <f t="shared" si="27"/>
        <v>1.0347942973517384E-3</v>
      </c>
      <c r="Z48" s="3">
        <f t="shared" si="27"/>
        <v>1.0347942973424253E-3</v>
      </c>
      <c r="AA48" s="3">
        <f t="shared" si="27"/>
        <v>1.0347942972492937E-3</v>
      </c>
      <c r="AB48" s="3">
        <f t="shared" si="27"/>
        <v>1.034794296317979E-3</v>
      </c>
      <c r="AC48" s="3">
        <f t="shared" si="27"/>
        <v>1.0347942870048302E-3</v>
      </c>
      <c r="AD48" s="3">
        <f t="shared" si="27"/>
        <v>1.0347941938733487E-3</v>
      </c>
      <c r="AE48" s="3">
        <f t="shared" si="27"/>
        <v>1.0347932625589932E-3</v>
      </c>
      <c r="AF48" s="3">
        <f t="shared" si="29"/>
        <v>1.0347839494615392E-3</v>
      </c>
      <c r="AG48" s="3">
        <f t="shared" si="29"/>
        <v>1.034690823096837E-3</v>
      </c>
      <c r="AH48" s="3">
        <f t="shared" si="29"/>
        <v>1.0337600202801466E-3</v>
      </c>
      <c r="AI48" s="3">
        <f t="shared" si="29"/>
        <v>1.0244979220587003E-3</v>
      </c>
      <c r="AJ48" s="3">
        <f t="shared" si="29"/>
        <v>9.3632060021501824E-4</v>
      </c>
    </row>
    <row r="49" spans="1:36" x14ac:dyDescent="0.25">
      <c r="B49" s="16">
        <f>SUM(B17:B48)</f>
        <v>0.78513220297033404</v>
      </c>
      <c r="C49" s="18">
        <f>SUM(C17:C48)</f>
        <v>1</v>
      </c>
      <c r="F49" s="3">
        <f t="shared" ref="F49:AJ49" si="31">F16-F17</f>
        <v>86.101591342014217</v>
      </c>
      <c r="G49" s="3">
        <f t="shared" si="31"/>
        <v>-111.36080435210715</v>
      </c>
      <c r="H49" s="3">
        <f t="shared" si="31"/>
        <v>29.474331008315858</v>
      </c>
      <c r="I49" s="3">
        <f t="shared" si="31"/>
        <v>-4.8101547377318639</v>
      </c>
      <c r="J49" s="3">
        <f t="shared" si="31"/>
        <v>0.66892703836401779</v>
      </c>
      <c r="K49" s="3">
        <f t="shared" si="31"/>
        <v>-6.0567144469132472E-2</v>
      </c>
      <c r="L49" s="3">
        <f t="shared" si="31"/>
        <v>-8.8985714563023066E-2</v>
      </c>
      <c r="M49" s="3">
        <f t="shared" si="31"/>
        <v>0.28592430506887467</v>
      </c>
      <c r="N49" s="3">
        <f t="shared" si="31"/>
        <v>-0.67525694315918372</v>
      </c>
      <c r="O49" s="3">
        <f t="shared" si="31"/>
        <v>1.3567203209031504</v>
      </c>
      <c r="P49" s="3">
        <f t="shared" si="31"/>
        <v>-2.3223392044128559</v>
      </c>
      <c r="Q49" s="3">
        <f t="shared" si="31"/>
        <v>3.3751936018270499</v>
      </c>
      <c r="R49" s="3">
        <f t="shared" si="31"/>
        <v>-4.1770837462909185</v>
      </c>
      <c r="S49" s="3">
        <f t="shared" si="31"/>
        <v>4.4001313168100751</v>
      </c>
      <c r="T49" s="3">
        <f t="shared" si="31"/>
        <v>-3.9447659239322093</v>
      </c>
      <c r="U49" s="3">
        <f t="shared" si="31"/>
        <v>3.0291636673587163</v>
      </c>
      <c r="V49" s="3">
        <f t="shared" si="31"/>
        <v>-2.0082059902738365</v>
      </c>
      <c r="W49" s="3">
        <f t="shared" si="31"/>
        <v>1.1517721754607919</v>
      </c>
      <c r="X49" s="3">
        <f t="shared" si="31"/>
        <v>-0.57002594145535568</v>
      </c>
      <c r="Y49" s="3">
        <f t="shared" si="31"/>
        <v>0.2366369183828283</v>
      </c>
      <c r="Z49" s="3">
        <f t="shared" si="31"/>
        <v>-7.3591713228893241E-2</v>
      </c>
      <c r="AA49" s="3">
        <f t="shared" si="31"/>
        <v>9.5060536711457644E-3</v>
      </c>
      <c r="AB49" s="3">
        <f t="shared" si="31"/>
        <v>1.5738063907463129E-2</v>
      </c>
      <c r="AC49" s="3">
        <f t="shared" si="31"/>
        <v>-0.26806960503461141</v>
      </c>
      <c r="AD49" s="3">
        <f t="shared" si="31"/>
        <v>0.62280809089122613</v>
      </c>
      <c r="AE49" s="3">
        <f t="shared" si="31"/>
        <v>-0.8445535153344963</v>
      </c>
      <c r="AF49" s="3">
        <f t="shared" si="31"/>
        <v>0.94225135263394577</v>
      </c>
      <c r="AG49" s="3">
        <f t="shared" si="31"/>
        <v>-1.0523035422091311</v>
      </c>
      <c r="AH49" s="3">
        <f t="shared" si="31"/>
        <v>0.75506341879810179</v>
      </c>
      <c r="AI49" s="3">
        <f t="shared" si="31"/>
        <v>-0.26912845023650789</v>
      </c>
      <c r="AJ49" s="3">
        <f t="shared" si="31"/>
        <v>0.10285766936317486</v>
      </c>
    </row>
    <row r="50" spans="1:36" x14ac:dyDescent="0.25">
      <c r="F50" s="57">
        <f t="shared" ref="F50:AJ50" si="32">F49/F17</f>
        <v>9.6162437810209736E-3</v>
      </c>
      <c r="G50" s="57">
        <f t="shared" si="32"/>
        <v>-1.2605224640408627E-2</v>
      </c>
      <c r="H50" s="57">
        <f t="shared" si="32"/>
        <v>3.5159784991125992E-3</v>
      </c>
      <c r="I50" s="57">
        <f t="shared" si="32"/>
        <v>-5.9612564847563753E-4</v>
      </c>
      <c r="J50" s="57">
        <f t="shared" si="32"/>
        <v>8.6561132106175229E-5</v>
      </c>
      <c r="K50" s="57">
        <f t="shared" si="32"/>
        <v>-8.1200804450670288E-6</v>
      </c>
      <c r="L50" s="57">
        <f t="shared" si="32"/>
        <v>-1.2382304657555381E-5</v>
      </c>
      <c r="M50" s="57">
        <f t="shared" si="32"/>
        <v>4.1300152490018545E-5</v>
      </c>
      <c r="N50" s="57">
        <f t="shared" si="32"/>
        <v>-1.0164487943600593E-4</v>
      </c>
      <c r="O50" s="57">
        <f t="shared" si="32"/>
        <v>2.1265575501300463E-4</v>
      </c>
      <c r="P50" s="57">
        <f t="shared" si="32"/>
        <v>-3.8380577611754591E-4</v>
      </c>
      <c r="Q50" s="57">
        <f t="shared" si="32"/>
        <v>5.9284892425174793E-4</v>
      </c>
      <c r="R50" s="57">
        <f t="shared" si="32"/>
        <v>-7.8988589813346727E-4</v>
      </c>
      <c r="S50" s="57">
        <f t="shared" si="32"/>
        <v>9.1592963243903496E-4</v>
      </c>
      <c r="T50" s="57">
        <f t="shared" si="32"/>
        <v>-9.4270524422502883E-4</v>
      </c>
      <c r="U50" s="57">
        <f t="shared" si="32"/>
        <v>9.2297187566981788E-4</v>
      </c>
      <c r="V50" s="57">
        <f t="shared" si="32"/>
        <v>-8.9360681524330117E-4</v>
      </c>
      <c r="W50" s="57">
        <f t="shared" si="32"/>
        <v>7.9220229944354959E-4</v>
      </c>
      <c r="X50" s="57">
        <f t="shared" si="32"/>
        <v>-6.0620161104999631E-4</v>
      </c>
      <c r="Y50" s="57">
        <f t="shared" si="32"/>
        <v>3.5455162494372593E-4</v>
      </c>
      <c r="Z50" s="57">
        <f t="shared" si="32"/>
        <v>-1.4022540513229293E-4</v>
      </c>
      <c r="AA50" s="57">
        <f t="shared" si="32"/>
        <v>2.0751153224892011E-5</v>
      </c>
      <c r="AB50" s="57">
        <f t="shared" si="32"/>
        <v>3.7820282253620413E-5</v>
      </c>
      <c r="AC50" s="57">
        <f t="shared" si="32"/>
        <v>-6.8133613385461863E-4</v>
      </c>
      <c r="AD50" s="57">
        <f t="shared" si="32"/>
        <v>1.6444157912025477E-3</v>
      </c>
      <c r="AE50" s="57">
        <f t="shared" si="32"/>
        <v>-2.3581796733729886E-3</v>
      </c>
      <c r="AF50" s="57">
        <f t="shared" si="32"/>
        <v>2.6950623096352747E-3</v>
      </c>
      <c r="AG50" s="57">
        <f t="shared" si="32"/>
        <v>-3.0348089417213562E-3</v>
      </c>
      <c r="AH50" s="57">
        <f t="shared" si="32"/>
        <v>2.1907914299484554E-3</v>
      </c>
      <c r="AI50" s="57">
        <f t="shared" si="32"/>
        <v>-7.8282599495724063E-4</v>
      </c>
      <c r="AJ50" s="57">
        <f t="shared" si="32"/>
        <v>3.0051885770873574E-4</v>
      </c>
    </row>
    <row r="51" spans="1:36" x14ac:dyDescent="0.25">
      <c r="A51" s="13" t="s">
        <v>21</v>
      </c>
      <c r="B51" s="3">
        <f>STUTT!D8</f>
        <v>11405.888999999999</v>
      </c>
      <c r="E51" s="11" t="s">
        <v>24</v>
      </c>
      <c r="F51" s="20">
        <f t="shared" ref="F51:AJ51" si="33">(F16-F17)^2</f>
        <v>7413.4840316272175</v>
      </c>
      <c r="G51" s="20">
        <f t="shared" si="33"/>
        <v>12401.228745948287</v>
      </c>
      <c r="H51" s="20">
        <f t="shared" si="33"/>
        <v>868.73618838776963</v>
      </c>
      <c r="I51" s="20">
        <f t="shared" si="33"/>
        <v>23.137588600924296</v>
      </c>
      <c r="J51" s="20">
        <f t="shared" si="33"/>
        <v>0.44746338265445612</v>
      </c>
      <c r="K51" s="20">
        <f t="shared" si="33"/>
        <v>3.6683789891447643E-3</v>
      </c>
      <c r="L51" s="20">
        <f t="shared" si="33"/>
        <v>7.9184573962918156E-3</v>
      </c>
      <c r="M51" s="20">
        <f t="shared" si="33"/>
        <v>8.1752708229118912E-2</v>
      </c>
      <c r="N51" s="20">
        <f t="shared" si="33"/>
        <v>0.45597193928468505</v>
      </c>
      <c r="O51" s="20">
        <f t="shared" si="33"/>
        <v>1.8406900291515476</v>
      </c>
      <c r="P51" s="20">
        <f t="shared" si="33"/>
        <v>5.3932593803529363</v>
      </c>
      <c r="Q51" s="20">
        <f t="shared" si="33"/>
        <v>11.391931849814254</v>
      </c>
      <c r="R51" s="20">
        <f t="shared" si="33"/>
        <v>17.448028623527776</v>
      </c>
      <c r="S51" s="20">
        <f t="shared" si="33"/>
        <v>19.361155605172765</v>
      </c>
      <c r="T51" s="20">
        <f t="shared" si="33"/>
        <v>15.561178194616737</v>
      </c>
      <c r="U51" s="20">
        <f t="shared" si="33"/>
        <v>9.1758325236461076</v>
      </c>
      <c r="V51" s="20">
        <f t="shared" si="33"/>
        <v>4.0328912993717205</v>
      </c>
      <c r="W51" s="20">
        <f t="shared" si="33"/>
        <v>1.3265791441656853</v>
      </c>
      <c r="X51" s="20">
        <f t="shared" si="33"/>
        <v>0.32492957393206456</v>
      </c>
      <c r="Y51" s="20">
        <f t="shared" si="33"/>
        <v>5.5997031141721339E-2</v>
      </c>
      <c r="Z51" s="20">
        <f t="shared" si="33"/>
        <v>5.4157402559636605E-3</v>
      </c>
      <c r="AA51" s="20">
        <f t="shared" si="33"/>
        <v>9.0365056398703869E-5</v>
      </c>
      <c r="AB51" s="20">
        <f t="shared" si="33"/>
        <v>2.4768665555539361E-4</v>
      </c>
      <c r="AC51" s="20">
        <f t="shared" si="33"/>
        <v>7.1861313143412556E-2</v>
      </c>
      <c r="AD51" s="20">
        <f t="shared" si="33"/>
        <v>0.38788991807957379</v>
      </c>
      <c r="AE51" s="20">
        <f t="shared" si="33"/>
        <v>0.71327064026385523</v>
      </c>
      <c r="AF51" s="20">
        <f t="shared" si="33"/>
        <v>0.88783761154050045</v>
      </c>
      <c r="AG51" s="20">
        <f t="shared" si="33"/>
        <v>1.1073427449458846</v>
      </c>
      <c r="AH51" s="20">
        <f t="shared" si="33"/>
        <v>0.57012076640707765</v>
      </c>
      <c r="AI51" s="20">
        <f t="shared" si="33"/>
        <v>7.2430122726704502E-2</v>
      </c>
      <c r="AJ51" s="20">
        <f t="shared" si="33"/>
        <v>1.0579700146824201E-2</v>
      </c>
    </row>
    <row r="52" spans="1:36" x14ac:dyDescent="0.25">
      <c r="A52" s="13"/>
    </row>
    <row r="53" spans="1:36" x14ac:dyDescent="0.25">
      <c r="E53" s="118" t="s">
        <v>25</v>
      </c>
      <c r="F53" s="118"/>
      <c r="G53" s="104">
        <f>SUM(F51:AJ51)</f>
        <v>20797.322889294861</v>
      </c>
      <c r="I53" s="3">
        <f>G53+C123</f>
        <v>20797.322889294861</v>
      </c>
      <c r="K53" s="3">
        <f>SUM(Z51:AJ51)</f>
        <v>3.8270866092217508</v>
      </c>
    </row>
    <row r="55" spans="1:36" x14ac:dyDescent="0.25">
      <c r="E55" s="30" t="s">
        <v>30</v>
      </c>
      <c r="F55" s="31">
        <f t="shared" ref="F55:AJ55" si="34">ABS(F17-F16)/F16</f>
        <v>9.5246524015977236E-3</v>
      </c>
      <c r="G55" s="31">
        <f t="shared" si="34"/>
        <v>1.276614476293743E-2</v>
      </c>
      <c r="H55" s="31">
        <f t="shared" si="34"/>
        <v>3.5036597069148792E-3</v>
      </c>
      <c r="I55" s="31">
        <f t="shared" si="34"/>
        <v>5.964812262334295E-4</v>
      </c>
      <c r="J55" s="31">
        <f t="shared" si="34"/>
        <v>8.6553639925115403E-5</v>
      </c>
      <c r="K55" s="31">
        <f t="shared" si="34"/>
        <v>8.1201463813088722E-6</v>
      </c>
      <c r="L55" s="31">
        <f t="shared" si="34"/>
        <v>1.238245798092251E-5</v>
      </c>
      <c r="M55" s="31">
        <f t="shared" si="34"/>
        <v>4.1298446857865716E-5</v>
      </c>
      <c r="N55" s="31">
        <f t="shared" si="34"/>
        <v>1.0165521216779077E-4</v>
      </c>
      <c r="O55" s="31">
        <f t="shared" si="34"/>
        <v>2.1261054215763838E-4</v>
      </c>
      <c r="P55" s="31">
        <f t="shared" si="34"/>
        <v>3.8395313955026379E-4</v>
      </c>
      <c r="Q55" s="31">
        <f t="shared" si="34"/>
        <v>5.9249766264982432E-4</v>
      </c>
      <c r="R55" s="31">
        <f t="shared" si="34"/>
        <v>7.9051031108051889E-4</v>
      </c>
      <c r="S55" s="31">
        <f t="shared" si="34"/>
        <v>9.1509147304248304E-4</v>
      </c>
      <c r="T55" s="31">
        <f t="shared" si="34"/>
        <v>9.4359477596875786E-4</v>
      </c>
      <c r="U55" s="31">
        <f t="shared" si="34"/>
        <v>9.2212078412010447E-4</v>
      </c>
      <c r="V55" s="31">
        <f t="shared" si="34"/>
        <v>8.9440606259643231E-4</v>
      </c>
      <c r="W55" s="31">
        <f t="shared" si="34"/>
        <v>7.915752117406261E-4</v>
      </c>
      <c r="X55" s="31">
        <f t="shared" si="34"/>
        <v>6.0656931434556602E-4</v>
      </c>
      <c r="Y55" s="31">
        <f t="shared" si="34"/>
        <v>3.5442596264274867E-4</v>
      </c>
      <c r="Z55" s="31">
        <f t="shared" si="34"/>
        <v>1.402450710541993E-4</v>
      </c>
      <c r="AA55" s="31">
        <f t="shared" si="34"/>
        <v>2.0750722623467327E-5</v>
      </c>
      <c r="AB55" s="31">
        <f t="shared" si="34"/>
        <v>3.7818851933965766E-5</v>
      </c>
      <c r="AC55" s="31">
        <f t="shared" si="34"/>
        <v>6.8180066928668986E-4</v>
      </c>
      <c r="AD55" s="31">
        <f t="shared" si="34"/>
        <v>1.6417161272781794E-3</v>
      </c>
      <c r="AE55" s="31">
        <f t="shared" si="34"/>
        <v>2.3637538296068252E-3</v>
      </c>
      <c r="AF55" s="31">
        <f t="shared" si="34"/>
        <v>2.6878184713779226E-3</v>
      </c>
      <c r="AG55" s="31">
        <f t="shared" si="34"/>
        <v>3.0440470429061884E-3</v>
      </c>
      <c r="AH55" s="31">
        <f t="shared" si="34"/>
        <v>2.186002354723879E-3</v>
      </c>
      <c r="AI55" s="31">
        <f t="shared" si="34"/>
        <v>7.8343929160017611E-4</v>
      </c>
      <c r="AJ55" s="31">
        <f t="shared" si="34"/>
        <v>3.0042857325707743E-4</v>
      </c>
    </row>
    <row r="56" spans="1:36" x14ac:dyDescent="0.25">
      <c r="E56" s="13" t="s">
        <v>31</v>
      </c>
      <c r="F56" s="32">
        <f>AVERAGE(F55:AJ55)</f>
        <v>1.546326588598065E-3</v>
      </c>
    </row>
    <row r="57" spans="1:36" x14ac:dyDescent="0.25">
      <c r="A57" s="42"/>
      <c r="B57" s="15"/>
      <c r="C57" s="15"/>
      <c r="D57" s="15"/>
      <c r="F57" s="60">
        <f>AVERAGE(S55:X55)</f>
        <v>8.4555960363566181E-4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111</v>
      </c>
      <c r="D60" s="11" t="s">
        <v>114</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112</v>
      </c>
      <c r="B63" s="15"/>
      <c r="C63" s="119"/>
      <c r="D63" s="119"/>
      <c r="E63" s="119"/>
      <c r="F63" s="119"/>
      <c r="G63" s="119"/>
      <c r="H63" s="119"/>
      <c r="I63" s="119"/>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-21.521805240547501</v>
      </c>
    </row>
    <row r="119" spans="1:14" x14ac:dyDescent="0.25">
      <c r="L119" s="11">
        <f>L118+1</f>
        <v>2</v>
      </c>
      <c r="M119" s="11">
        <f t="shared" ref="M119:M124" si="35">INDEX($B$125:$K$126,1,L119)</f>
        <v>0</v>
      </c>
      <c r="N119" s="11">
        <f t="shared" ref="N119:N124" si="36">IF(L119=$B$3,0,INDEX($B$125:$K$126,2,L119))</f>
        <v>-17.998000048659822</v>
      </c>
    </row>
    <row r="120" spans="1:14" x14ac:dyDescent="0.25">
      <c r="L120" s="11">
        <f t="shared" ref="L120:L124" si="37">L119+1</f>
        <v>3</v>
      </c>
      <c r="M120" s="11">
        <f t="shared" si="35"/>
        <v>25</v>
      </c>
      <c r="N120" s="11">
        <f t="shared" si="36"/>
        <v>-15.418218765754489</v>
      </c>
    </row>
    <row r="121" spans="1:14" x14ac:dyDescent="0.25">
      <c r="A121" s="103">
        <f>(A165+A204+A243+A282+A321+A360+A399)*10^9</f>
        <v>6.4162841349926104E+16</v>
      </c>
      <c r="L121" s="11">
        <f t="shared" si="37"/>
        <v>4</v>
      </c>
      <c r="M121" s="11">
        <f t="shared" si="35"/>
        <v>50</v>
      </c>
      <c r="N121" s="11">
        <f t="shared" si="36"/>
        <v>-13.262636946083704</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-10.591758215841974</v>
      </c>
    </row>
    <row r="123" spans="1:14" x14ac:dyDescent="0.25">
      <c r="A123" s="118"/>
      <c r="B123" s="118"/>
      <c r="C123" s="3"/>
      <c r="D123" s="3"/>
      <c r="E123" s="3"/>
      <c r="F123" s="3"/>
      <c r="G123" s="3"/>
      <c r="H123" s="3"/>
      <c r="I123" s="3"/>
      <c r="J123" s="3"/>
      <c r="K123" s="3"/>
      <c r="L123" s="11">
        <f t="shared" si="37"/>
        <v>6</v>
      </c>
      <c r="M123" s="11">
        <f t="shared" si="35"/>
        <v>125</v>
      </c>
      <c r="N123" s="11">
        <f t="shared" si="36"/>
        <v>-4.9274082148613809</v>
      </c>
    </row>
    <row r="124" spans="1:14" x14ac:dyDescent="0.25">
      <c r="B124" s="3"/>
      <c r="C124" s="3"/>
      <c r="D124" s="3"/>
      <c r="E124" s="3"/>
      <c r="F124" s="3"/>
      <c r="G124" s="3"/>
      <c r="H124" s="3"/>
      <c r="I124" s="3"/>
      <c r="J124" s="3"/>
      <c r="K124" s="3"/>
      <c r="L124" s="11">
        <f t="shared" si="37"/>
        <v>7</v>
      </c>
      <c r="M124" s="11">
        <f t="shared" si="35"/>
        <v>160</v>
      </c>
      <c r="N124" s="11">
        <f t="shared" si="36"/>
        <v>0</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-21.521805240547501</v>
      </c>
      <c r="C126" s="107">
        <v>-17.998000048659822</v>
      </c>
      <c r="D126" s="107">
        <v>-15.418218765754489</v>
      </c>
      <c r="E126" s="107">
        <v>-13.262636946083704</v>
      </c>
      <c r="F126" s="107">
        <v>-10.591758215841974</v>
      </c>
      <c r="G126" s="107">
        <v>-4.9274082148613809</v>
      </c>
      <c r="H126" s="107">
        <v>8.3737456677560468E-3</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11605.327404987251</v>
      </c>
      <c r="C130" s="26">
        <f>INDEX(Comparison!$AM$3:$AS$33,G14,$B$122)</f>
        <v>11525.315889809444</v>
      </c>
      <c r="D130" s="26">
        <f>INDEX(Comparison!$AM$3:$AS$33,H14,$B$122)</f>
        <v>11262.989267632682</v>
      </c>
      <c r="E130" s="26">
        <f>INDEX(Comparison!$AM$3:$AS$33,I14,$B$122)</f>
        <v>11072.566067439215</v>
      </c>
      <c r="F130" s="26">
        <f>INDEX(Comparison!$AM$3:$AS$33,J14,$B$122)</f>
        <v>10893.827462738938</v>
      </c>
      <c r="G130" s="26">
        <f>INDEX(Comparison!$AM$3:$AS$33,K14,$B$122)</f>
        <v>10697.933159313619</v>
      </c>
      <c r="H130" s="26">
        <f>INDEX(Comparison!$AM$3:$AS$33,L14,$B$122)</f>
        <v>10491.083669953241</v>
      </c>
      <c r="I130" s="26">
        <f>INDEX(Comparison!$AM$3:$AS$33,M14,$B$122)</f>
        <v>10253.530794540358</v>
      </c>
      <c r="J130" s="26">
        <f>INDEX(Comparison!$AM$3:$AS$33,N14,$B$122)</f>
        <v>9990.0957619753135</v>
      </c>
      <c r="K130" s="26">
        <f>INDEX(Comparison!$AM$3:$AS$33,O14,$B$122)</f>
        <v>9721.0109842535821</v>
      </c>
      <c r="L130" s="26">
        <f>INDEX(Comparison!$AM$3:$AS$33,P14,$B$122)</f>
        <v>9457.2689514888043</v>
      </c>
      <c r="M130" s="26">
        <f>INDEX(Comparison!$AM$3:$AS$33,Q14,$B$122)</f>
        <v>9196.9082117763955</v>
      </c>
      <c r="N130" s="26">
        <f>INDEX(Comparison!$AM$3:$AS$33,R14,$B$122)</f>
        <v>8853.3090866661241</v>
      </c>
      <c r="O130" s="26">
        <f>INDEX(Comparison!$AM$3:$AS$33,S14,$B$122)</f>
        <v>8479.914716286281</v>
      </c>
      <c r="P130" s="26">
        <f>INDEX(Comparison!$AM$3:$AS$33,T14,$B$122)</f>
        <v>8128.965640404419</v>
      </c>
      <c r="Q130" s="26">
        <f>INDEX(Comparison!$AM$3:$AS$33,U14,$B$122)</f>
        <v>7846.4940246078413</v>
      </c>
      <c r="R130" s="26">
        <f>INDEX(Comparison!$AM$3:$AS$33,V14,$B$122)</f>
        <v>7554.3574872186746</v>
      </c>
      <c r="S130" s="26">
        <f>INDEX(Comparison!$AM$3:$AS$33,W14,$B$122)</f>
        <v>7271.4639946770558</v>
      </c>
      <c r="T130" s="26">
        <f>INDEX(Comparison!$AM$3:$AS$33,X14,$B$122)</f>
        <v>6968.3337174677063</v>
      </c>
      <c r="U130" s="26">
        <f>INDEX(Comparison!$AM$3:$AS$33,Y14,$B$122)</f>
        <v>6660.7873102364538</v>
      </c>
      <c r="V130" s="26">
        <f>INDEX(Comparison!$AM$3:$AS$33,Z14,$B$122)</f>
        <v>6120.1247453486039</v>
      </c>
      <c r="W130" s="26">
        <f>INDEX(Comparison!$AM$3:$AS$33,AA14,$B$122)</f>
        <v>5179.772775385416</v>
      </c>
      <c r="X130" s="26">
        <f>INDEX(Comparison!$AM$3:$AS$33,AB14,$B$122)</f>
        <v>4110.4480491252179</v>
      </c>
      <c r="Y130" s="26">
        <f>INDEX(Comparison!$AM$3:$AS$33,AC14,$B$122)</f>
        <v>3245.0810486621449</v>
      </c>
      <c r="Z130" s="26">
        <f>INDEX(Comparison!$AM$3:$AS$33,AD14,$B$122)</f>
        <v>2543.9226414929772</v>
      </c>
      <c r="AA130" s="26">
        <f>INDEX(Comparison!$AM$3:$AS$33,AE14,$B$122)</f>
        <v>1944.565914995268</v>
      </c>
      <c r="AB130" s="26">
        <f>INDEX(Comparison!$AM$3:$AS$33,AF14,$B$122)</f>
        <v>1396.8383179282553</v>
      </c>
      <c r="AC130" s="26">
        <f>INDEX(Comparison!$AM$3:$AS$33,AG14,$B$122)</f>
        <v>982.12621210790121</v>
      </c>
      <c r="AD130" s="26">
        <f>INDEX(Comparison!$AM$3:$AS$33,AH14,$B$122)</f>
        <v>689.03519551617785</v>
      </c>
      <c r="AE130" s="26">
        <f>INDEX(Comparison!$AM$3:$AS$33,AI14,$B$122)</f>
        <v>537.03681449352746</v>
      </c>
      <c r="AF130" s="26">
        <f>INDEX(Comparison!$AM$3:$AS$33,AJ14,$B$122)</f>
        <v>452.34025000519932</v>
      </c>
    </row>
    <row r="131" spans="1:33" x14ac:dyDescent="0.25">
      <c r="A131" s="68" t="s">
        <v>22</v>
      </c>
      <c r="B131" s="27">
        <f>($C$17+SUM(B132:B162))*$B$51</f>
        <v>11405.779332580381</v>
      </c>
      <c r="C131" s="27">
        <f t="shared" ref="C131:AF131" si="40">($C$17+SUM(C132:C162))*$B$51</f>
        <v>11404.792547841646</v>
      </c>
      <c r="D131" s="27">
        <f t="shared" si="40"/>
        <v>11394.946649263506</v>
      </c>
      <c r="E131" s="27">
        <f t="shared" si="40"/>
        <v>11298.650008398361</v>
      </c>
      <c r="F131" s="27">
        <f t="shared" si="40"/>
        <v>10522.743608617242</v>
      </c>
      <c r="G131" s="27">
        <f t="shared" si="40"/>
        <v>8995.781144662853</v>
      </c>
      <c r="H131" s="27">
        <f t="shared" si="40"/>
        <v>8968.6964697563762</v>
      </c>
      <c r="I131" s="27">
        <f t="shared" si="40"/>
        <v>8968.6352351411588</v>
      </c>
      <c r="J131" s="27">
        <f t="shared" si="40"/>
        <v>8968.0232222412542</v>
      </c>
      <c r="K131" s="27">
        <f t="shared" si="40"/>
        <v>8961.9362913987425</v>
      </c>
      <c r="L131" s="27">
        <f t="shared" si="40"/>
        <v>8904.2633082726388</v>
      </c>
      <c r="M131" s="27">
        <f t="shared" si="40"/>
        <v>8552.5514394216061</v>
      </c>
      <c r="N131" s="27">
        <f t="shared" si="40"/>
        <v>8183.8611442827041</v>
      </c>
      <c r="O131" s="27">
        <f t="shared" si="40"/>
        <v>7858.3280900356849</v>
      </c>
      <c r="P131" s="27">
        <f t="shared" si="40"/>
        <v>7557.4717478391076</v>
      </c>
      <c r="Q131" s="27">
        <f t="shared" si="40"/>
        <v>7292.6167592884349</v>
      </c>
      <c r="R131" s="27">
        <f t="shared" si="40"/>
        <v>7022.3689024718324</v>
      </c>
      <c r="S131" s="27">
        <f t="shared" si="40"/>
        <v>6750.230498480606</v>
      </c>
      <c r="T131" s="27">
        <f t="shared" si="40"/>
        <v>6473.7653866942665</v>
      </c>
      <c r="U131" s="27">
        <f t="shared" si="40"/>
        <v>6182.4188699114775</v>
      </c>
      <c r="V131" s="27">
        <f t="shared" si="40"/>
        <v>5814.4522515641111</v>
      </c>
      <c r="W131" s="27">
        <f t="shared" si="40"/>
        <v>5438.1780037643111</v>
      </c>
      <c r="X131" s="27">
        <f t="shared" si="40"/>
        <v>4971.6791563768311</v>
      </c>
      <c r="Y131" s="27">
        <f t="shared" si="40"/>
        <v>4412.7992369977765</v>
      </c>
      <c r="Z131" s="27">
        <f t="shared" si="40"/>
        <v>3614.9524662410972</v>
      </c>
      <c r="AA131" s="27">
        <f t="shared" si="40"/>
        <v>2535.2673299954954</v>
      </c>
      <c r="AB131" s="27">
        <f t="shared" si="40"/>
        <v>1661.129486502394</v>
      </c>
      <c r="AC131" s="27">
        <f t="shared" si="40"/>
        <v>1065.4452705110448</v>
      </c>
      <c r="AD131" s="27">
        <f t="shared" si="40"/>
        <v>736.87747166745089</v>
      </c>
      <c r="AE131" s="27">
        <f t="shared" si="40"/>
        <v>561.95477962191842</v>
      </c>
      <c r="AF131" s="27">
        <f t="shared" si="40"/>
        <v>475.89514645375885</v>
      </c>
    </row>
    <row r="132" spans="1:33" x14ac:dyDescent="0.25">
      <c r="B132" s="3">
        <f t="shared" ref="B132:Z133" si="41">$C18*EXP(-B$129/$A18/EXP(-$B$126))</f>
        <v>0.21366822512567935</v>
      </c>
      <c r="C132" s="3">
        <f t="shared" ref="C132:AF132" si="42">$C18*EXP(-C$129/$A18/EXP(-$B$126))</f>
        <v>0.21358170975826729</v>
      </c>
      <c r="D132" s="3">
        <f t="shared" si="42"/>
        <v>0.21271848042421393</v>
      </c>
      <c r="E132" s="3">
        <f t="shared" si="42"/>
        <v>0.20427576852851595</v>
      </c>
      <c r="F132" s="3">
        <f t="shared" si="42"/>
        <v>0.13624895022940706</v>
      </c>
      <c r="G132" s="3">
        <f t="shared" si="42"/>
        <v>2.3740850986341913E-3</v>
      </c>
      <c r="H132" s="3">
        <f t="shared" si="42"/>
        <v>6.1253012825015386E-21</v>
      </c>
      <c r="I132" s="3">
        <f t="shared" si="42"/>
        <v>8.006435035790603E-197</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4.917499960717707E-2</v>
      </c>
      <c r="C133" s="3">
        <f t="shared" si="41"/>
        <v>4.9174999602075692E-2</v>
      </c>
      <c r="D133" s="3">
        <f t="shared" si="41"/>
        <v>4.9174999551061901E-2</v>
      </c>
      <c r="E133" s="3">
        <f t="shared" si="41"/>
        <v>4.9174999040924081E-2</v>
      </c>
      <c r="F133" s="3">
        <f t="shared" si="41"/>
        <v>4.9174993939546129E-2</v>
      </c>
      <c r="G133" s="3">
        <f t="shared" si="41"/>
        <v>4.9174942925795689E-2</v>
      </c>
      <c r="H133" s="3">
        <f t="shared" si="41"/>
        <v>4.9174432791201941E-2</v>
      </c>
      <c r="I133" s="3">
        <f t="shared" si="41"/>
        <v>4.9169331736319349E-2</v>
      </c>
      <c r="J133" s="3">
        <f t="shared" si="41"/>
        <v>4.9118350281811073E-2</v>
      </c>
      <c r="K133" s="3">
        <f t="shared" si="41"/>
        <v>4.8611434031991557E-2</v>
      </c>
      <c r="L133" s="3">
        <f t="shared" si="41"/>
        <v>4.3821278378601634E-2</v>
      </c>
      <c r="M133" s="3">
        <f t="shared" si="41"/>
        <v>1.552927364193399E-2</v>
      </c>
      <c r="N133" s="3">
        <f t="shared" si="41"/>
        <v>4.850786288271083E-7</v>
      </c>
      <c r="O133" s="3">
        <f t="shared" si="41"/>
        <v>4.2896526456530541E-52</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2.5308430895803272E-2</v>
      </c>
      <c r="C134" s="3">
        <f t="shared" si="44"/>
        <v>2.5308430895566433E-2</v>
      </c>
      <c r="D134" s="3">
        <f t="shared" si="44"/>
        <v>2.5308430893198033E-2</v>
      </c>
      <c r="E134" s="3">
        <f t="shared" si="44"/>
        <v>2.5308430869514037E-2</v>
      </c>
      <c r="F134" s="3">
        <f t="shared" si="44"/>
        <v>2.530843063267408E-2</v>
      </c>
      <c r="G134" s="3">
        <f t="shared" si="44"/>
        <v>2.5308428264274641E-2</v>
      </c>
      <c r="H134" s="3">
        <f t="shared" si="44"/>
        <v>2.5308404580292439E-2</v>
      </c>
      <c r="I134" s="3">
        <f t="shared" si="44"/>
        <v>2.5308167741689407E-2</v>
      </c>
      <c r="J134" s="3">
        <f t="shared" si="44"/>
        <v>2.530579947755544E-2</v>
      </c>
      <c r="K134" s="3">
        <f t="shared" si="44"/>
        <v>2.5282129021631381E-2</v>
      </c>
      <c r="L134" s="3">
        <f t="shared" si="44"/>
        <v>2.5046638795277045E-2</v>
      </c>
      <c r="M134" s="3">
        <f t="shared" si="44"/>
        <v>2.2809068362495757E-2</v>
      </c>
      <c r="N134" s="3">
        <f t="shared" si="44"/>
        <v>8.9472276624294363E-3</v>
      </c>
      <c r="O134" s="3">
        <f t="shared" si="44"/>
        <v>7.7178778489156106E-7</v>
      </c>
      <c r="P134" s="3">
        <f t="shared" si="44"/>
        <v>1.760321634409847E-47</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3.4194516713941456E-2</v>
      </c>
      <c r="C135" s="3">
        <f t="shared" si="47"/>
        <v>3.4194516713912583E-2</v>
      </c>
      <c r="D135" s="3">
        <f t="shared" si="47"/>
        <v>3.4194516713623925E-2</v>
      </c>
      <c r="E135" s="3">
        <f t="shared" si="47"/>
        <v>3.4194516710737283E-2</v>
      </c>
      <c r="F135" s="3">
        <f t="shared" si="47"/>
        <v>3.4194516681870867E-2</v>
      </c>
      <c r="G135" s="3">
        <f t="shared" si="47"/>
        <v>3.4194516393206746E-2</v>
      </c>
      <c r="H135" s="3">
        <f t="shared" si="47"/>
        <v>3.4194513506565632E-2</v>
      </c>
      <c r="I135" s="3">
        <f t="shared" si="47"/>
        <v>3.4194484640167895E-2</v>
      </c>
      <c r="J135" s="3">
        <f t="shared" si="47"/>
        <v>3.4194195977530761E-2</v>
      </c>
      <c r="K135" s="3">
        <f t="shared" si="47"/>
        <v>3.4191309485181655E-2</v>
      </c>
      <c r="L135" s="3">
        <f t="shared" si="47"/>
        <v>3.4162457959726479E-2</v>
      </c>
      <c r="M135" s="3">
        <f t="shared" si="47"/>
        <v>3.3875278333352868E-2</v>
      </c>
      <c r="N135" s="3">
        <f t="shared" si="47"/>
        <v>3.1132965619935605E-2</v>
      </c>
      <c r="O135" s="3">
        <f t="shared" si="47"/>
        <v>1.3384331674914807E-2</v>
      </c>
      <c r="P135" s="3">
        <f t="shared" si="47"/>
        <v>2.8864143323025897E-6</v>
      </c>
      <c r="Q135" s="3">
        <f t="shared" si="47"/>
        <v>6.2802725697234545E-43</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2.2721576937749385E-2</v>
      </c>
      <c r="C136" s="3">
        <f t="shared" si="49"/>
        <v>2.2721576937747654E-2</v>
      </c>
      <c r="D136" s="3">
        <f t="shared" si="49"/>
        <v>2.2721576937730352E-2</v>
      </c>
      <c r="E136" s="3">
        <f t="shared" si="49"/>
        <v>2.272157693755732E-2</v>
      </c>
      <c r="F136" s="3">
        <f t="shared" si="49"/>
        <v>2.272157693582702E-2</v>
      </c>
      <c r="G136" s="3">
        <f t="shared" si="49"/>
        <v>2.2721576918524021E-2</v>
      </c>
      <c r="H136" s="3">
        <f t="shared" si="49"/>
        <v>2.2721576745494021E-2</v>
      </c>
      <c r="I136" s="3">
        <f t="shared" si="49"/>
        <v>2.2721575015194111E-2</v>
      </c>
      <c r="J136" s="3">
        <f t="shared" si="49"/>
        <v>2.2721557712202255E-2</v>
      </c>
      <c r="K136" s="3">
        <f t="shared" si="49"/>
        <v>2.272138468300839E-2</v>
      </c>
      <c r="L136" s="3">
        <f t="shared" si="49"/>
        <v>2.2719654463538939E-2</v>
      </c>
      <c r="M136" s="3">
        <f t="shared" si="49"/>
        <v>2.2702359513722372E-2</v>
      </c>
      <c r="N136" s="3">
        <f t="shared" si="49"/>
        <v>2.2530132466162599E-2</v>
      </c>
      <c r="O136" s="3">
        <f t="shared" si="49"/>
        <v>2.0878112250807396E-2</v>
      </c>
      <c r="P136" s="3">
        <f t="shared" si="49"/>
        <v>9.7491344293313496E-3</v>
      </c>
      <c r="Q136" s="3">
        <f t="shared" si="49"/>
        <v>4.8052320497144408E-6</v>
      </c>
      <c r="R136" s="3">
        <f t="shared" si="49"/>
        <v>4.0662813725730531E-39</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2.5892610318392635E-2</v>
      </c>
      <c r="C137" s="3">
        <f t="shared" si="51"/>
        <v>2.5892610318392458E-2</v>
      </c>
      <c r="D137" s="3">
        <f t="shared" si="51"/>
        <v>2.5892610318390678E-2</v>
      </c>
      <c r="E137" s="3">
        <f t="shared" si="51"/>
        <v>2.5892610318372894E-2</v>
      </c>
      <c r="F137" s="3">
        <f t="shared" si="51"/>
        <v>2.5892610318195019E-2</v>
      </c>
      <c r="G137" s="3">
        <f t="shared" si="51"/>
        <v>2.5892610316416313E-2</v>
      </c>
      <c r="H137" s="3">
        <f t="shared" si="51"/>
        <v>2.5892610298629201E-2</v>
      </c>
      <c r="I137" s="3">
        <f t="shared" si="51"/>
        <v>2.5892610120758115E-2</v>
      </c>
      <c r="J137" s="3">
        <f t="shared" si="51"/>
        <v>2.5892608342047305E-2</v>
      </c>
      <c r="K137" s="3">
        <f t="shared" si="51"/>
        <v>2.5892590554945936E-2</v>
      </c>
      <c r="L137" s="3">
        <f t="shared" si="51"/>
        <v>2.589241268460428E-2</v>
      </c>
      <c r="M137" s="3">
        <f t="shared" si="51"/>
        <v>2.5890634048390204E-2</v>
      </c>
      <c r="N137" s="3">
        <f t="shared" si="51"/>
        <v>2.5872854404789876E-2</v>
      </c>
      <c r="O137" s="3">
        <f t="shared" si="51"/>
        <v>2.56957281182826E-2</v>
      </c>
      <c r="P137" s="3">
        <f t="shared" si="51"/>
        <v>2.3989807703783901E-2</v>
      </c>
      <c r="Q137" s="3">
        <f t="shared" si="51"/>
        <v>1.2069385258404971E-2</v>
      </c>
      <c r="R137" s="3">
        <f t="shared" si="51"/>
        <v>1.2539175638822423E-5</v>
      </c>
      <c r="S137" s="3">
        <f t="shared" si="51"/>
        <v>1.8369923139311439E-35</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2.3275396535951839E-2</v>
      </c>
      <c r="C138" s="3">
        <f t="shared" si="53"/>
        <v>2.3275396535951828E-2</v>
      </c>
      <c r="D138" s="3">
        <f t="shared" si="53"/>
        <v>2.3275396535951683E-2</v>
      </c>
      <c r="E138" s="3">
        <f t="shared" si="53"/>
        <v>2.3275396535950239E-2</v>
      </c>
      <c r="F138" s="3">
        <f t="shared" si="53"/>
        <v>2.3275396535935817E-2</v>
      </c>
      <c r="G138" s="3">
        <f t="shared" si="53"/>
        <v>2.3275396535791578E-2</v>
      </c>
      <c r="H138" s="3">
        <f t="shared" si="53"/>
        <v>2.3275396534349221E-2</v>
      </c>
      <c r="I138" s="3">
        <f t="shared" si="53"/>
        <v>2.3275396519925638E-2</v>
      </c>
      <c r="J138" s="3">
        <f t="shared" si="53"/>
        <v>2.3275396375689792E-2</v>
      </c>
      <c r="K138" s="3">
        <f t="shared" si="53"/>
        <v>2.3275394933331386E-2</v>
      </c>
      <c r="L138" s="3">
        <f t="shared" si="53"/>
        <v>2.3275380509752228E-2</v>
      </c>
      <c r="M138" s="3">
        <f t="shared" si="53"/>
        <v>2.3275236274452257E-2</v>
      </c>
      <c r="N138" s="3">
        <f t="shared" si="53"/>
        <v>2.3273793970611311E-2</v>
      </c>
      <c r="O138" s="3">
        <f t="shared" si="53"/>
        <v>2.3259375846951272E-2</v>
      </c>
      <c r="P138" s="3">
        <f t="shared" si="53"/>
        <v>2.3115684960271568E-2</v>
      </c>
      <c r="Q138" s="3">
        <f t="shared" si="53"/>
        <v>2.1726705174442518E-2</v>
      </c>
      <c r="R138" s="3">
        <f t="shared" si="53"/>
        <v>1.1691356768413838E-2</v>
      </c>
      <c r="S138" s="3">
        <f t="shared" si="53"/>
        <v>2.3799911198323382E-5</v>
      </c>
      <c r="T138" s="3">
        <f t="shared" si="53"/>
        <v>2.9085703215084478E-32</v>
      </c>
      <c r="U138" s="3">
        <f t="shared" si="53"/>
        <v>2.1613340006060668E-301</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2.7259427341223066E-2</v>
      </c>
      <c r="C139" s="3">
        <f t="shared" si="55"/>
        <v>2.7259427341223063E-2</v>
      </c>
      <c r="D139" s="3">
        <f t="shared" si="55"/>
        <v>2.7259427341223049E-2</v>
      </c>
      <c r="E139" s="3">
        <f t="shared" si="55"/>
        <v>2.7259427341222896E-2</v>
      </c>
      <c r="F139" s="3">
        <f t="shared" si="55"/>
        <v>2.7259427341221373E-2</v>
      </c>
      <c r="G139" s="3">
        <f t="shared" si="55"/>
        <v>2.7259427341206132E-2</v>
      </c>
      <c r="H139" s="3">
        <f t="shared" si="55"/>
        <v>2.725942734105375E-2</v>
      </c>
      <c r="I139" s="3">
        <f t="shared" si="55"/>
        <v>2.725942733952991E-2</v>
      </c>
      <c r="J139" s="3">
        <f t="shared" si="55"/>
        <v>2.725942732429151E-2</v>
      </c>
      <c r="K139" s="3">
        <f t="shared" si="55"/>
        <v>2.7259427171907488E-2</v>
      </c>
      <c r="L139" s="3">
        <f t="shared" si="55"/>
        <v>2.7259425648067302E-2</v>
      </c>
      <c r="M139" s="3">
        <f t="shared" si="55"/>
        <v>2.7259410409670129E-2</v>
      </c>
      <c r="N139" s="3">
        <f t="shared" si="55"/>
        <v>2.7259258026166949E-2</v>
      </c>
      <c r="O139" s="3">
        <f t="shared" si="55"/>
        <v>2.7257734237985706E-2</v>
      </c>
      <c r="P139" s="3">
        <f t="shared" si="55"/>
        <v>2.7242501040261134E-2</v>
      </c>
      <c r="Q139" s="3">
        <f t="shared" si="55"/>
        <v>2.7090636504413169E-2</v>
      </c>
      <c r="R139" s="3">
        <f t="shared" si="55"/>
        <v>2.5617782739179088E-2</v>
      </c>
      <c r="S139" s="3">
        <f t="shared" si="55"/>
        <v>1.4647544596034278E-2</v>
      </c>
      <c r="T139" s="3">
        <f t="shared" si="55"/>
        <v>5.4701311242980652E-5</v>
      </c>
      <c r="U139" s="3">
        <f t="shared" si="55"/>
        <v>2.8862026205570675E-29</v>
      </c>
      <c r="V139" s="3">
        <f t="shared" si="55"/>
        <v>4.8263366771008428E-272</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2.1214287036784938E-2</v>
      </c>
      <c r="C140" s="3">
        <f t="shared" si="57"/>
        <v>2.1214287036784938E-2</v>
      </c>
      <c r="D140" s="3">
        <f t="shared" si="57"/>
        <v>2.1214287036784935E-2</v>
      </c>
      <c r="E140" s="3">
        <f t="shared" si="57"/>
        <v>2.1214287036784928E-2</v>
      </c>
      <c r="F140" s="3">
        <f t="shared" si="57"/>
        <v>2.121428703678482E-2</v>
      </c>
      <c r="G140" s="3">
        <f t="shared" si="57"/>
        <v>2.1214287036783748E-2</v>
      </c>
      <c r="H140" s="3">
        <f t="shared" si="57"/>
        <v>2.1214287036773052E-2</v>
      </c>
      <c r="I140" s="3">
        <f t="shared" si="57"/>
        <v>2.1214287036666071E-2</v>
      </c>
      <c r="J140" s="3">
        <f t="shared" si="57"/>
        <v>2.1214287035596285E-2</v>
      </c>
      <c r="K140" s="3">
        <f t="shared" si="57"/>
        <v>2.1214287024898405E-2</v>
      </c>
      <c r="L140" s="3">
        <f t="shared" si="57"/>
        <v>2.12142869179196E-2</v>
      </c>
      <c r="M140" s="3">
        <f t="shared" si="57"/>
        <v>2.1214285848131585E-2</v>
      </c>
      <c r="N140" s="3">
        <f t="shared" si="57"/>
        <v>2.1214275150254425E-2</v>
      </c>
      <c r="O140" s="3">
        <f t="shared" si="57"/>
        <v>2.1214168171779506E-2</v>
      </c>
      <c r="P140" s="3">
        <f t="shared" si="57"/>
        <v>2.1213098416700542E-2</v>
      </c>
      <c r="Q140" s="3">
        <f t="shared" si="57"/>
        <v>2.1202403832379119E-2</v>
      </c>
      <c r="R140" s="3">
        <f t="shared" si="57"/>
        <v>2.1095754083240246E-2</v>
      </c>
      <c r="S140" s="3">
        <f t="shared" si="57"/>
        <v>2.0058320912337665E-2</v>
      </c>
      <c r="T140" s="3">
        <f t="shared" si="57"/>
        <v>1.2114061845347742E-2</v>
      </c>
      <c r="U140" s="3">
        <f t="shared" si="57"/>
        <v>7.8206328663734496E-5</v>
      </c>
      <c r="V140" s="3">
        <f t="shared" si="57"/>
        <v>9.8347431254669025E-27</v>
      </c>
      <c r="W140" s="3">
        <f t="shared" si="57"/>
        <v>9.7268953601878913E-246</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3.4718036830476549E-2</v>
      </c>
      <c r="C141" s="3">
        <f t="shared" si="59"/>
        <v>3.4718036830476549E-2</v>
      </c>
      <c r="D141" s="3">
        <f t="shared" si="59"/>
        <v>3.4718036830476549E-2</v>
      </c>
      <c r="E141" s="3">
        <f t="shared" si="59"/>
        <v>3.4718036830476549E-2</v>
      </c>
      <c r="F141" s="3">
        <f t="shared" si="59"/>
        <v>3.4718036830476529E-2</v>
      </c>
      <c r="G141" s="3">
        <f t="shared" si="59"/>
        <v>3.4718036830476369E-2</v>
      </c>
      <c r="H141" s="3">
        <f t="shared" si="59"/>
        <v>3.4718036830474794E-2</v>
      </c>
      <c r="I141" s="3">
        <f t="shared" si="59"/>
        <v>3.4718036830459001E-2</v>
      </c>
      <c r="J141" s="3">
        <f t="shared" si="59"/>
        <v>3.4718036830301072E-2</v>
      </c>
      <c r="K141" s="3">
        <f t="shared" si="59"/>
        <v>3.4718036828721745E-2</v>
      </c>
      <c r="L141" s="3">
        <f t="shared" si="59"/>
        <v>3.4718036812928517E-2</v>
      </c>
      <c r="M141" s="3">
        <f t="shared" si="59"/>
        <v>3.4718036654996183E-2</v>
      </c>
      <c r="N141" s="3">
        <f t="shared" si="59"/>
        <v>3.4718035075672893E-2</v>
      </c>
      <c r="O141" s="3">
        <f t="shared" si="59"/>
        <v>3.4718019282444001E-2</v>
      </c>
      <c r="P141" s="3">
        <f t="shared" si="59"/>
        <v>3.471786135055021E-2</v>
      </c>
      <c r="Q141" s="3">
        <f t="shared" si="59"/>
        <v>3.4716282071125405E-2</v>
      </c>
      <c r="R141" s="3">
        <f t="shared" si="59"/>
        <v>3.4700493227526101E-2</v>
      </c>
      <c r="S141" s="3">
        <f t="shared" si="59"/>
        <v>3.4542999192267075E-2</v>
      </c>
      <c r="T141" s="3">
        <f t="shared" si="59"/>
        <v>3.3006843085440107E-2</v>
      </c>
      <c r="U141" s="3">
        <f t="shared" si="59"/>
        <v>2.0943219748853818E-2</v>
      </c>
      <c r="V141" s="3">
        <f t="shared" si="59"/>
        <v>2.2153281211560429E-4</v>
      </c>
      <c r="W141" s="3">
        <f t="shared" si="59"/>
        <v>3.8849386810568654E-24</v>
      </c>
      <c r="X141" s="3">
        <f t="shared" si="59"/>
        <v>1.0686740112462362E-221</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3.054172570036021E-2</v>
      </c>
      <c r="C142" s="3">
        <f t="shared" si="61"/>
        <v>3.054172570036021E-2</v>
      </c>
      <c r="D142" s="3">
        <f t="shared" si="61"/>
        <v>3.054172570036021E-2</v>
      </c>
      <c r="E142" s="3">
        <f t="shared" si="61"/>
        <v>3.054172570036021E-2</v>
      </c>
      <c r="F142" s="3">
        <f t="shared" si="61"/>
        <v>3.054172570036021E-2</v>
      </c>
      <c r="G142" s="3">
        <f t="shared" si="61"/>
        <v>3.0541725700360196E-2</v>
      </c>
      <c r="H142" s="3">
        <f t="shared" si="61"/>
        <v>3.0541725700360071E-2</v>
      </c>
      <c r="I142" s="3">
        <f t="shared" si="61"/>
        <v>3.0541725700358815E-2</v>
      </c>
      <c r="J142" s="3">
        <f t="shared" si="61"/>
        <v>3.0541725700346283E-2</v>
      </c>
      <c r="K142" s="3">
        <f t="shared" si="61"/>
        <v>3.0541725700220953E-2</v>
      </c>
      <c r="L142" s="3">
        <f t="shared" si="61"/>
        <v>3.054172569896765E-2</v>
      </c>
      <c r="M142" s="3">
        <f t="shared" si="61"/>
        <v>3.054172568643462E-2</v>
      </c>
      <c r="N142" s="3">
        <f t="shared" si="61"/>
        <v>3.0541725561104328E-2</v>
      </c>
      <c r="O142" s="3">
        <f t="shared" si="61"/>
        <v>3.0541724307801433E-2</v>
      </c>
      <c r="P142" s="3">
        <f t="shared" si="61"/>
        <v>3.0541711774775299E-2</v>
      </c>
      <c r="Q142" s="3">
        <f t="shared" si="61"/>
        <v>3.054158644479682E-2</v>
      </c>
      <c r="R142" s="3">
        <f t="shared" si="61"/>
        <v>3.0540333173298184E-2</v>
      </c>
      <c r="S142" s="3">
        <f t="shared" si="61"/>
        <v>3.0527803286497783E-2</v>
      </c>
      <c r="T142" s="3">
        <f t="shared" si="61"/>
        <v>3.0402786808150201E-2</v>
      </c>
      <c r="U142" s="3">
        <f t="shared" si="61"/>
        <v>2.9180436897141625E-2</v>
      </c>
      <c r="V142" s="3">
        <f t="shared" si="61"/>
        <v>1.9358680331709021E-2</v>
      </c>
      <c r="W142" s="3">
        <f t="shared" si="61"/>
        <v>3.1967990156531623E-4</v>
      </c>
      <c r="X142" s="3">
        <f t="shared" si="61"/>
        <v>4.8207118923213464E-22</v>
      </c>
      <c r="Y142" s="3">
        <f t="shared" si="61"/>
        <v>2.9313631029700098E-200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4.0592217810354776E-2</v>
      </c>
      <c r="C143" s="3">
        <f t="shared" si="63"/>
        <v>4.0592217810354776E-2</v>
      </c>
      <c r="D143" s="3">
        <f t="shared" si="63"/>
        <v>4.0592217810354776E-2</v>
      </c>
      <c r="E143" s="3">
        <f t="shared" si="63"/>
        <v>4.0592217810354776E-2</v>
      </c>
      <c r="F143" s="3">
        <f t="shared" si="63"/>
        <v>4.0592217810354776E-2</v>
      </c>
      <c r="G143" s="3">
        <f t="shared" si="63"/>
        <v>4.0592217810354776E-2</v>
      </c>
      <c r="H143" s="3">
        <f t="shared" si="63"/>
        <v>4.0592217810354755E-2</v>
      </c>
      <c r="I143" s="3">
        <f t="shared" si="63"/>
        <v>4.059221781035461E-2</v>
      </c>
      <c r="J143" s="3">
        <f t="shared" si="63"/>
        <v>4.0592217810353111E-2</v>
      </c>
      <c r="K143" s="3">
        <f t="shared" si="63"/>
        <v>4.0592217810338081E-2</v>
      </c>
      <c r="L143" s="3">
        <f t="shared" si="63"/>
        <v>4.0592217810187819E-2</v>
      </c>
      <c r="M143" s="3">
        <f t="shared" si="63"/>
        <v>4.0592217808685188E-2</v>
      </c>
      <c r="N143" s="3">
        <f t="shared" si="63"/>
        <v>4.0592217793658895E-2</v>
      </c>
      <c r="O143" s="3">
        <f t="shared" si="63"/>
        <v>4.0592217643395968E-2</v>
      </c>
      <c r="P143" s="3">
        <f t="shared" si="63"/>
        <v>4.0592216140766704E-2</v>
      </c>
      <c r="Q143" s="3">
        <f t="shared" si="63"/>
        <v>4.0592201114477103E-2</v>
      </c>
      <c r="R143" s="3">
        <f t="shared" si="63"/>
        <v>4.0592050851887017E-2</v>
      </c>
      <c r="S143" s="3">
        <f t="shared" si="63"/>
        <v>4.0590548256578839E-2</v>
      </c>
      <c r="T143" s="3">
        <f t="shared" si="63"/>
        <v>4.0575525362342442E-2</v>
      </c>
      <c r="U143" s="3">
        <f t="shared" si="63"/>
        <v>4.0425601885975007E-2</v>
      </c>
      <c r="V143" s="3">
        <f t="shared" si="63"/>
        <v>3.8956499449686481E-2</v>
      </c>
      <c r="W143" s="3">
        <f t="shared" si="63"/>
        <v>2.6903837398511068E-2</v>
      </c>
      <c r="X143" s="3">
        <f t="shared" si="63"/>
        <v>6.6398347846291354E-4</v>
      </c>
      <c r="Y143" s="3">
        <f t="shared" si="63"/>
        <v>5.5665704503359071E-20</v>
      </c>
      <c r="Z143" s="3">
        <f t="shared" si="63"/>
        <v>9.5475529696484602E-181</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4.4579554777240793E-2</v>
      </c>
      <c r="C144" s="3">
        <f t="shared" si="65"/>
        <v>4.4579554777240793E-2</v>
      </c>
      <c r="D144" s="3">
        <f t="shared" si="65"/>
        <v>4.4579554777240793E-2</v>
      </c>
      <c r="E144" s="3">
        <f t="shared" si="65"/>
        <v>4.4579554777240793E-2</v>
      </c>
      <c r="F144" s="3">
        <f t="shared" si="65"/>
        <v>4.4579554777240793E-2</v>
      </c>
      <c r="G144" s="3">
        <f t="shared" si="65"/>
        <v>4.4579554777240793E-2</v>
      </c>
      <c r="H144" s="3">
        <f t="shared" si="65"/>
        <v>4.4579554777240793E-2</v>
      </c>
      <c r="I144" s="3">
        <f t="shared" si="65"/>
        <v>4.4579554777240779E-2</v>
      </c>
      <c r="J144" s="3">
        <f t="shared" si="65"/>
        <v>4.4579554777240626E-2</v>
      </c>
      <c r="K144" s="3">
        <f t="shared" si="65"/>
        <v>4.4579554777239142E-2</v>
      </c>
      <c r="L144" s="3">
        <f t="shared" si="65"/>
        <v>4.4579554777224251E-2</v>
      </c>
      <c r="M144" s="3">
        <f t="shared" si="65"/>
        <v>4.4579554777075384E-2</v>
      </c>
      <c r="N144" s="3">
        <f t="shared" si="65"/>
        <v>4.4579554775586741E-2</v>
      </c>
      <c r="O144" s="3">
        <f t="shared" si="65"/>
        <v>4.4579554760700281E-2</v>
      </c>
      <c r="P144" s="3">
        <f t="shared" si="65"/>
        <v>4.4579554611835701E-2</v>
      </c>
      <c r="Q144" s="3">
        <f t="shared" si="65"/>
        <v>4.4579553123189883E-2</v>
      </c>
      <c r="R144" s="3">
        <f t="shared" si="65"/>
        <v>4.4579538236734439E-2</v>
      </c>
      <c r="S144" s="3">
        <f t="shared" si="65"/>
        <v>4.4579389372453419E-2</v>
      </c>
      <c r="T144" s="3">
        <f t="shared" si="65"/>
        <v>4.4577900756983556E-2</v>
      </c>
      <c r="U144" s="3">
        <f t="shared" si="65"/>
        <v>4.456301733598033E-2</v>
      </c>
      <c r="V144" s="3">
        <f t="shared" si="65"/>
        <v>4.4414456158031447E-2</v>
      </c>
      <c r="W144" s="3">
        <f t="shared" si="65"/>
        <v>4.2955813236370134E-2</v>
      </c>
      <c r="X144" s="3">
        <f t="shared" si="65"/>
        <v>3.0760820368756648E-2</v>
      </c>
      <c r="Y144" s="3">
        <f t="shared" si="65"/>
        <v>1.0908313096578857E-3</v>
      </c>
      <c r="Z144" s="3">
        <f t="shared" si="65"/>
        <v>3.4304761709024478E-18</v>
      </c>
      <c r="AA144" s="3">
        <f t="shared" ref="AA144" si="66">$C30*EXP(-AA$129/$A30/EXP(-$B$126))</f>
        <v>3.2458057714244356E-163</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6.2079559793872717E-2</v>
      </c>
      <c r="C145" s="3">
        <f t="shared" si="68"/>
        <v>6.2079559793872717E-2</v>
      </c>
      <c r="D145" s="3">
        <f t="shared" si="68"/>
        <v>6.2079559793872717E-2</v>
      </c>
      <c r="E145" s="3">
        <f t="shared" si="68"/>
        <v>6.2079559793872717E-2</v>
      </c>
      <c r="F145" s="3">
        <f t="shared" si="68"/>
        <v>6.2079559793872717E-2</v>
      </c>
      <c r="G145" s="3">
        <f t="shared" si="68"/>
        <v>6.2079559793872717E-2</v>
      </c>
      <c r="H145" s="3">
        <f t="shared" si="68"/>
        <v>6.2079559793872717E-2</v>
      </c>
      <c r="I145" s="3">
        <f t="shared" si="68"/>
        <v>6.2079559793872717E-2</v>
      </c>
      <c r="J145" s="3">
        <f t="shared" si="68"/>
        <v>6.2079559793872696E-2</v>
      </c>
      <c r="K145" s="3">
        <f t="shared" si="68"/>
        <v>6.2079559793872509E-2</v>
      </c>
      <c r="L145" s="3">
        <f t="shared" si="68"/>
        <v>6.2079559793870642E-2</v>
      </c>
      <c r="M145" s="3">
        <f t="shared" si="68"/>
        <v>6.2079559793851935E-2</v>
      </c>
      <c r="N145" s="3">
        <f t="shared" si="68"/>
        <v>6.2079559793664939E-2</v>
      </c>
      <c r="O145" s="3">
        <f t="shared" si="68"/>
        <v>6.2079559791794893E-2</v>
      </c>
      <c r="P145" s="3">
        <f t="shared" si="68"/>
        <v>6.2079559773094491E-2</v>
      </c>
      <c r="Q145" s="3">
        <f t="shared" si="68"/>
        <v>6.2079559586090502E-2</v>
      </c>
      <c r="R145" s="3">
        <f t="shared" si="68"/>
        <v>6.2079557716050594E-2</v>
      </c>
      <c r="S145" s="3">
        <f t="shared" si="68"/>
        <v>6.2079539015654592E-2</v>
      </c>
      <c r="T145" s="3">
        <f t="shared" si="68"/>
        <v>6.2079352012004381E-2</v>
      </c>
      <c r="U145" s="3">
        <f t="shared" si="68"/>
        <v>6.2077482006484386E-2</v>
      </c>
      <c r="V145" s="3">
        <f t="shared" si="68"/>
        <v>6.2058785049146248E-2</v>
      </c>
      <c r="W145" s="3">
        <f t="shared" si="68"/>
        <v>6.1872124916951592E-2</v>
      </c>
      <c r="X145" s="3">
        <f t="shared" si="68"/>
        <v>6.0036125583833817E-2</v>
      </c>
      <c r="Y145" s="3">
        <f t="shared" si="68"/>
        <v>4.4421059804333092E-2</v>
      </c>
      <c r="Z145" s="3">
        <f t="shared" si="68"/>
        <v>2.1844972377009606E-3</v>
      </c>
      <c r="AA145" s="3">
        <f t="shared" ref="AA145" si="69">$C31*EXP(-AA$129/$A31/EXP(-$B$126))</f>
        <v>1.807079839176427E-16</v>
      </c>
      <c r="AB145" s="3">
        <f t="shared" si="67"/>
        <v>2.7116632089966763E-147</v>
      </c>
      <c r="AC145" s="3">
        <f t="shared" si="67"/>
        <v>0</v>
      </c>
      <c r="AD145" s="3">
        <f t="shared" si="67"/>
        <v>0</v>
      </c>
      <c r="AE145" s="3">
        <f t="shared" si="67"/>
        <v>0</v>
      </c>
      <c r="AF145" s="3">
        <f t="shared" si="67"/>
        <v>0</v>
      </c>
    </row>
    <row r="146" spans="1:32" x14ac:dyDescent="0.25">
      <c r="B146" s="3">
        <f t="shared" ref="B146:Z146" si="70">$C32*EXP(-B$129/$A32/EXP(-$B$126))</f>
        <v>0.10578931784531295</v>
      </c>
      <c r="C146" s="3">
        <f t="shared" si="70"/>
        <v>0.10578931784531295</v>
      </c>
      <c r="D146" s="3">
        <f t="shared" si="70"/>
        <v>0.10578931784531295</v>
      </c>
      <c r="E146" s="3">
        <f t="shared" si="70"/>
        <v>0.10578931784531295</v>
      </c>
      <c r="F146" s="3">
        <f t="shared" si="70"/>
        <v>0.10578931784531295</v>
      </c>
      <c r="G146" s="3">
        <f t="shared" si="70"/>
        <v>0.10578931784531295</v>
      </c>
      <c r="H146" s="3">
        <f t="shared" si="70"/>
        <v>0.10578931784531295</v>
      </c>
      <c r="I146" s="3">
        <f t="shared" si="70"/>
        <v>0.10578931784531295</v>
      </c>
      <c r="J146" s="3">
        <f t="shared" si="70"/>
        <v>0.10578931784531295</v>
      </c>
      <c r="K146" s="3">
        <f t="shared" si="70"/>
        <v>0.10578931784531291</v>
      </c>
      <c r="L146" s="3">
        <f t="shared" si="70"/>
        <v>0.10578931784531263</v>
      </c>
      <c r="M146" s="3">
        <f t="shared" si="70"/>
        <v>0.10578931784530976</v>
      </c>
      <c r="N146" s="3">
        <f t="shared" si="70"/>
        <v>0.10578931784528101</v>
      </c>
      <c r="O146" s="3">
        <f t="shared" si="70"/>
        <v>0.10578931784499354</v>
      </c>
      <c r="P146" s="3">
        <f t="shared" si="70"/>
        <v>0.10578931784211885</v>
      </c>
      <c r="Q146" s="3">
        <f t="shared" si="70"/>
        <v>0.10578931781337197</v>
      </c>
      <c r="R146" s="3">
        <f t="shared" si="70"/>
        <v>0.10578931752590322</v>
      </c>
      <c r="S146" s="3">
        <f t="shared" si="70"/>
        <v>0.10578931465121562</v>
      </c>
      <c r="T146" s="3">
        <f t="shared" si="70"/>
        <v>0.10578928590434396</v>
      </c>
      <c r="U146" s="3">
        <f t="shared" si="70"/>
        <v>0.10578899843605696</v>
      </c>
      <c r="V146" s="3">
        <f t="shared" si="70"/>
        <v>0.10578612379615035</v>
      </c>
      <c r="W146" s="3">
        <f t="shared" si="70"/>
        <v>0.10575738169297931</v>
      </c>
      <c r="X146" s="3">
        <f t="shared" si="70"/>
        <v>0.10547038981918522</v>
      </c>
      <c r="Y146" s="3">
        <f t="shared" si="70"/>
        <v>0.10264295850423434</v>
      </c>
      <c r="Z146" s="3">
        <f t="shared" si="70"/>
        <v>7.8219540961229739E-2</v>
      </c>
      <c r="AA146" s="3">
        <f t="shared" ref="AA146" si="71">$C32*EXP(-AA$129/$A32/EXP(-$B$126))</f>
        <v>5.1662602375672356E-3</v>
      </c>
      <c r="AB146" s="3">
        <f t="shared" si="67"/>
        <v>8.1618092119979489E-15</v>
      </c>
      <c r="AC146" s="3">
        <f t="shared" si="67"/>
        <v>7.9047481176296467E-133</v>
      </c>
      <c r="AD146" s="3">
        <f t="shared" si="67"/>
        <v>0</v>
      </c>
      <c r="AE146" s="3">
        <f t="shared" si="67"/>
        <v>0</v>
      </c>
      <c r="AF146" s="3">
        <f t="shared" si="67"/>
        <v>0</v>
      </c>
    </row>
    <row r="147" spans="1:32" x14ac:dyDescent="0.25">
      <c r="B147" s="3">
        <f t="shared" ref="B147:Z147" si="72">$C33*EXP(-B$129/$A33/EXP(-$B$126))</f>
        <v>8.5446045134986312E-2</v>
      </c>
      <c r="C147" s="3">
        <f t="shared" si="72"/>
        <v>8.5446045134986312E-2</v>
      </c>
      <c r="D147" s="3">
        <f t="shared" si="72"/>
        <v>8.5446045134986312E-2</v>
      </c>
      <c r="E147" s="3">
        <f t="shared" si="72"/>
        <v>8.5446045134986312E-2</v>
      </c>
      <c r="F147" s="3">
        <f t="shared" si="72"/>
        <v>8.5446045134986312E-2</v>
      </c>
      <c r="G147" s="3">
        <f t="shared" si="72"/>
        <v>8.5446045134986312E-2</v>
      </c>
      <c r="H147" s="3">
        <f t="shared" si="72"/>
        <v>8.5446045134986312E-2</v>
      </c>
      <c r="I147" s="3">
        <f t="shared" si="72"/>
        <v>8.5446045134986312E-2</v>
      </c>
      <c r="J147" s="3">
        <f t="shared" si="72"/>
        <v>8.5446045134986312E-2</v>
      </c>
      <c r="K147" s="3">
        <f t="shared" si="72"/>
        <v>8.5446045134986312E-2</v>
      </c>
      <c r="L147" s="3">
        <f t="shared" si="72"/>
        <v>8.5446045134986298E-2</v>
      </c>
      <c r="M147" s="3">
        <f t="shared" si="72"/>
        <v>8.5446045134986076E-2</v>
      </c>
      <c r="N147" s="3">
        <f t="shared" si="72"/>
        <v>8.5446045134983994E-2</v>
      </c>
      <c r="O147" s="3">
        <f t="shared" si="72"/>
        <v>8.5446045134963039E-2</v>
      </c>
      <c r="P147" s="3">
        <f t="shared" si="72"/>
        <v>8.5446045134753582E-2</v>
      </c>
      <c r="Q147" s="3">
        <f t="shared" si="72"/>
        <v>8.5446045132659049E-2</v>
      </c>
      <c r="R147" s="3">
        <f t="shared" si="72"/>
        <v>8.544604511171372E-2</v>
      </c>
      <c r="S147" s="3">
        <f t="shared" si="72"/>
        <v>8.5446044902260321E-2</v>
      </c>
      <c r="T147" s="3">
        <f t="shared" si="72"/>
        <v>8.5446042807726413E-2</v>
      </c>
      <c r="U147" s="3">
        <f t="shared" si="72"/>
        <v>8.5446021862390115E-2</v>
      </c>
      <c r="V147" s="3">
        <f t="shared" si="72"/>
        <v>8.5445812409309596E-2</v>
      </c>
      <c r="W147" s="3">
        <f t="shared" si="72"/>
        <v>8.544371790674285E-2</v>
      </c>
      <c r="X147" s="3">
        <f t="shared" si="72"/>
        <v>8.5422775704666207E-2</v>
      </c>
      <c r="Y147" s="3">
        <f t="shared" si="72"/>
        <v>8.521363578705729E-2</v>
      </c>
      <c r="Z147" s="3">
        <f t="shared" si="72"/>
        <v>8.3150192734105996E-2</v>
      </c>
      <c r="AA147" s="3">
        <f t="shared" ref="AA147" si="73">$C33*EXP(-AA$129/$A33/EXP(-$B$126))</f>
        <v>6.5073610880144753E-2</v>
      </c>
      <c r="AB147" s="3">
        <f t="shared" si="67"/>
        <v>5.6081725109759731E-3</v>
      </c>
      <c r="AC147" s="3">
        <f t="shared" si="67"/>
        <v>1.2676108485726526E-13</v>
      </c>
      <c r="AD147" s="3">
        <f t="shared" si="67"/>
        <v>4.4119621443713063E-120</v>
      </c>
      <c r="AE147" s="3">
        <f t="shared" si="67"/>
        <v>0</v>
      </c>
      <c r="AF147" s="3">
        <f t="shared" si="67"/>
        <v>0</v>
      </c>
    </row>
    <row r="148" spans="1:32" x14ac:dyDescent="0.25">
      <c r="B148" s="3">
        <f t="shared" ref="B148:Z148" si="74">$C34*EXP(-B$129/$A34/EXP(-$B$126))</f>
        <v>5.8777528752493244E-2</v>
      </c>
      <c r="C148" s="3">
        <f t="shared" si="74"/>
        <v>5.8777528752493244E-2</v>
      </c>
      <c r="D148" s="3">
        <f t="shared" si="74"/>
        <v>5.8777528752493244E-2</v>
      </c>
      <c r="E148" s="3">
        <f t="shared" si="74"/>
        <v>5.8777528752493244E-2</v>
      </c>
      <c r="F148" s="3">
        <f t="shared" si="74"/>
        <v>5.8777528752493244E-2</v>
      </c>
      <c r="G148" s="3">
        <f t="shared" si="74"/>
        <v>5.8777528752493244E-2</v>
      </c>
      <c r="H148" s="3">
        <f t="shared" si="74"/>
        <v>5.8777528752493244E-2</v>
      </c>
      <c r="I148" s="3">
        <f t="shared" si="74"/>
        <v>5.8777528752493244E-2</v>
      </c>
      <c r="J148" s="3">
        <f t="shared" si="74"/>
        <v>5.8777528752493244E-2</v>
      </c>
      <c r="K148" s="3">
        <f t="shared" si="74"/>
        <v>5.8777528752493244E-2</v>
      </c>
      <c r="L148" s="3">
        <f t="shared" si="74"/>
        <v>5.8777528752493244E-2</v>
      </c>
      <c r="M148" s="3">
        <f t="shared" si="74"/>
        <v>5.877752875249323E-2</v>
      </c>
      <c r="N148" s="3">
        <f t="shared" si="74"/>
        <v>5.8777528752493098E-2</v>
      </c>
      <c r="O148" s="3">
        <f t="shared" si="74"/>
        <v>5.8777528752491801E-2</v>
      </c>
      <c r="P148" s="3">
        <f t="shared" si="74"/>
        <v>5.8777528752478804E-2</v>
      </c>
      <c r="Q148" s="3">
        <f t="shared" si="74"/>
        <v>5.8777528752348832E-2</v>
      </c>
      <c r="R148" s="3">
        <f t="shared" si="74"/>
        <v>5.87775287510491E-2</v>
      </c>
      <c r="S148" s="3">
        <f t="shared" si="74"/>
        <v>5.8777528738051796E-2</v>
      </c>
      <c r="T148" s="3">
        <f t="shared" si="74"/>
        <v>5.8777528608078736E-2</v>
      </c>
      <c r="U148" s="3">
        <f t="shared" si="74"/>
        <v>5.8777527308348128E-2</v>
      </c>
      <c r="V148" s="3">
        <f t="shared" si="74"/>
        <v>5.8777514311043701E-2</v>
      </c>
      <c r="W148" s="3">
        <f t="shared" si="74"/>
        <v>5.8777384338157483E-2</v>
      </c>
      <c r="X148" s="3">
        <f t="shared" si="74"/>
        <v>5.8776084625102483E-2</v>
      </c>
      <c r="Y148" s="3">
        <f t="shared" si="74"/>
        <v>5.8763089075140135E-2</v>
      </c>
      <c r="Z148" s="3">
        <f t="shared" si="74"/>
        <v>5.8633291505040007E-2</v>
      </c>
      <c r="AA148" s="3">
        <f>$C34*EXP(-AA$129/$A34/EXP(-$B$126))</f>
        <v>5.7350980303839998E-2</v>
      </c>
      <c r="AB148" s="3">
        <f t="shared" si="67"/>
        <v>4.5973392615581025E-2</v>
      </c>
      <c r="AC148" s="3">
        <f t="shared" si="67"/>
        <v>5.0369035450382868E-3</v>
      </c>
      <c r="AD148" s="3">
        <f t="shared" si="67"/>
        <v>1.255262168260288E-12</v>
      </c>
      <c r="AE148" s="3">
        <f t="shared" si="67"/>
        <v>1.1599586206331214E-108</v>
      </c>
      <c r="AF148" s="3">
        <f t="shared" si="67"/>
        <v>0</v>
      </c>
    </row>
    <row r="149" spans="1:32" x14ac:dyDescent="0.25">
      <c r="B149" s="3">
        <f t="shared" ref="B149:Z149" si="75">$C35*EXP(-B$129/$A35/EXP(-$B$126))</f>
        <v>3.044822143643108E-2</v>
      </c>
      <c r="C149" s="3">
        <f t="shared" si="75"/>
        <v>3.044822143643108E-2</v>
      </c>
      <c r="D149" s="3">
        <f t="shared" si="75"/>
        <v>3.044822143643108E-2</v>
      </c>
      <c r="E149" s="3">
        <f t="shared" si="75"/>
        <v>3.044822143643108E-2</v>
      </c>
      <c r="F149" s="3">
        <f t="shared" si="75"/>
        <v>3.044822143643108E-2</v>
      </c>
      <c r="G149" s="3">
        <f t="shared" si="75"/>
        <v>3.044822143643108E-2</v>
      </c>
      <c r="H149" s="3">
        <f t="shared" si="75"/>
        <v>3.044822143643108E-2</v>
      </c>
      <c r="I149" s="3">
        <f t="shared" si="75"/>
        <v>3.044822143643108E-2</v>
      </c>
      <c r="J149" s="3">
        <f t="shared" si="75"/>
        <v>3.044822143643108E-2</v>
      </c>
      <c r="K149" s="3">
        <f t="shared" si="75"/>
        <v>3.044822143643108E-2</v>
      </c>
      <c r="L149" s="3">
        <f t="shared" si="75"/>
        <v>3.044822143643108E-2</v>
      </c>
      <c r="M149" s="3">
        <f t="shared" si="75"/>
        <v>3.044822143643108E-2</v>
      </c>
      <c r="N149" s="3">
        <f t="shared" si="75"/>
        <v>3.0448221436431073E-2</v>
      </c>
      <c r="O149" s="3">
        <f t="shared" si="75"/>
        <v>3.0448221436431014E-2</v>
      </c>
      <c r="P149" s="3">
        <f t="shared" si="75"/>
        <v>3.0448221436430403E-2</v>
      </c>
      <c r="Q149" s="3">
        <f t="shared" si="75"/>
        <v>3.0448221436424332E-2</v>
      </c>
      <c r="R149" s="3">
        <f t="shared" si="75"/>
        <v>3.0448221436363596E-2</v>
      </c>
      <c r="S149" s="3">
        <f t="shared" si="75"/>
        <v>3.0448221435756227E-2</v>
      </c>
      <c r="T149" s="3">
        <f t="shared" si="75"/>
        <v>3.0448221429682568E-2</v>
      </c>
      <c r="U149" s="3">
        <f t="shared" si="75"/>
        <v>3.0448221368945958E-2</v>
      </c>
      <c r="V149" s="3">
        <f t="shared" si="75"/>
        <v>3.0448220761579863E-2</v>
      </c>
      <c r="W149" s="3">
        <f t="shared" si="75"/>
        <v>3.0448214687919615E-2</v>
      </c>
      <c r="X149" s="3">
        <f t="shared" si="75"/>
        <v>3.0448153951383724E-2</v>
      </c>
      <c r="Y149" s="3">
        <f t="shared" si="75"/>
        <v>3.0447546592688259E-2</v>
      </c>
      <c r="Z149" s="3">
        <f t="shared" si="75"/>
        <v>3.0441473672028128E-2</v>
      </c>
      <c r="AA149" s="3">
        <f t="shared" ref="AA149" si="76">$C35*EXP(-AA$129/$A35/EXP(-$B$126))</f>
        <v>3.0380811045728633E-2</v>
      </c>
      <c r="AB149" s="3">
        <f t="shared" si="67"/>
        <v>2.9780793933903212E-2</v>
      </c>
      <c r="AC149" s="3">
        <f t="shared" si="67"/>
        <v>2.4395254372853514E-2</v>
      </c>
      <c r="AD149" s="3">
        <f t="shared" si="67"/>
        <v>3.3189151133347673E-3</v>
      </c>
      <c r="AE149" s="3">
        <f t="shared" si="67"/>
        <v>7.209482353257549E-12</v>
      </c>
      <c r="AF149" s="3">
        <f t="shared" si="67"/>
        <v>1.6864888215124786E-98</v>
      </c>
    </row>
    <row r="150" spans="1:32" x14ac:dyDescent="0.25">
      <c r="B150" s="3">
        <f t="shared" ref="B150:Z150" si="77">$C36*EXP(-B$129/$A36/EXP(-$B$126))</f>
        <v>1.5917825428886163E-2</v>
      </c>
      <c r="C150" s="3">
        <f t="shared" si="77"/>
        <v>1.5917825428886163E-2</v>
      </c>
      <c r="D150" s="3">
        <f t="shared" si="77"/>
        <v>1.5917825428886163E-2</v>
      </c>
      <c r="E150" s="3">
        <f t="shared" si="77"/>
        <v>1.5917825428886163E-2</v>
      </c>
      <c r="F150" s="3">
        <f t="shared" si="77"/>
        <v>1.5917825428886163E-2</v>
      </c>
      <c r="G150" s="3">
        <f t="shared" si="77"/>
        <v>1.5917825428886163E-2</v>
      </c>
      <c r="H150" s="3">
        <f t="shared" si="77"/>
        <v>1.5917825428886163E-2</v>
      </c>
      <c r="I150" s="3">
        <f t="shared" si="77"/>
        <v>1.5917825428886163E-2</v>
      </c>
      <c r="J150" s="3">
        <f t="shared" si="77"/>
        <v>1.5917825428886163E-2</v>
      </c>
      <c r="K150" s="3">
        <f t="shared" si="77"/>
        <v>1.5917825428886163E-2</v>
      </c>
      <c r="L150" s="3">
        <f t="shared" si="77"/>
        <v>1.5917825428886163E-2</v>
      </c>
      <c r="M150" s="3">
        <f t="shared" si="77"/>
        <v>1.5917825428886163E-2</v>
      </c>
      <c r="N150" s="3">
        <f t="shared" si="77"/>
        <v>1.5917825428886163E-2</v>
      </c>
      <c r="O150" s="3">
        <f t="shared" si="77"/>
        <v>1.5917825428886159E-2</v>
      </c>
      <c r="P150" s="3">
        <f t="shared" si="77"/>
        <v>1.5917825428886132E-2</v>
      </c>
      <c r="Q150" s="3">
        <f t="shared" si="77"/>
        <v>1.5917825428885844E-2</v>
      </c>
      <c r="R150" s="3">
        <f t="shared" si="77"/>
        <v>1.5917825428882981E-2</v>
      </c>
      <c r="S150" s="3">
        <f t="shared" si="77"/>
        <v>1.5917825428854337E-2</v>
      </c>
      <c r="T150" s="3">
        <f t="shared" si="77"/>
        <v>1.5917825428567907E-2</v>
      </c>
      <c r="U150" s="3">
        <f t="shared" si="77"/>
        <v>1.5917825425703604E-2</v>
      </c>
      <c r="V150" s="3">
        <f t="shared" si="77"/>
        <v>1.5917825397060575E-2</v>
      </c>
      <c r="W150" s="3">
        <f t="shared" si="77"/>
        <v>1.5917825110630286E-2</v>
      </c>
      <c r="X150" s="3">
        <f t="shared" si="77"/>
        <v>1.5917822246327675E-2</v>
      </c>
      <c r="Y150" s="3">
        <f t="shared" si="77"/>
        <v>1.5917793603329906E-2</v>
      </c>
      <c r="Z150" s="3">
        <f t="shared" si="77"/>
        <v>1.5917507176186969E-2</v>
      </c>
      <c r="AA150" s="3">
        <f t="shared" ref="AA150" si="78">$C36*EXP(-AA$129/$A36/EXP(-$B$126))</f>
        <v>1.5914643188213007E-2</v>
      </c>
      <c r="AB150" s="3">
        <f t="shared" si="67"/>
        <v>1.5886031635149178E-2</v>
      </c>
      <c r="AC150" s="3">
        <f t="shared" si="67"/>
        <v>1.5602730002923268E-2</v>
      </c>
      <c r="AD150" s="3">
        <f t="shared" si="67"/>
        <v>1.3033237097982561E-2</v>
      </c>
      <c r="AE150" s="3">
        <f t="shared" si="67"/>
        <v>2.1556056933897971E-3</v>
      </c>
      <c r="AF150" s="3">
        <f t="shared" si="67"/>
        <v>3.3017149984142194E-11</v>
      </c>
    </row>
    <row r="151" spans="1:32" x14ac:dyDescent="0.25">
      <c r="B151" s="3">
        <f t="shared" ref="B151:Z151" si="79">$C37*EXP(-B$129/$A37/EXP(-$B$126))</f>
        <v>7.4710107179745602E-3</v>
      </c>
      <c r="C151" s="3">
        <f t="shared" si="79"/>
        <v>7.4710107179745602E-3</v>
      </c>
      <c r="D151" s="3">
        <f t="shared" si="79"/>
        <v>7.4710107179745602E-3</v>
      </c>
      <c r="E151" s="3">
        <f t="shared" si="79"/>
        <v>7.4710107179745602E-3</v>
      </c>
      <c r="F151" s="3">
        <f t="shared" si="79"/>
        <v>7.4710107179745602E-3</v>
      </c>
      <c r="G151" s="3">
        <f t="shared" si="79"/>
        <v>7.4710107179745602E-3</v>
      </c>
      <c r="H151" s="3">
        <f t="shared" si="79"/>
        <v>7.4710107179745602E-3</v>
      </c>
      <c r="I151" s="3">
        <f t="shared" si="79"/>
        <v>7.4710107179745602E-3</v>
      </c>
      <c r="J151" s="3">
        <f t="shared" si="79"/>
        <v>7.4710107179745602E-3</v>
      </c>
      <c r="K151" s="3">
        <f t="shared" si="79"/>
        <v>7.4710107179745602E-3</v>
      </c>
      <c r="L151" s="3">
        <f t="shared" si="79"/>
        <v>7.4710107179745602E-3</v>
      </c>
      <c r="M151" s="3">
        <f t="shared" si="79"/>
        <v>7.4710107179745602E-3</v>
      </c>
      <c r="N151" s="3">
        <f t="shared" si="79"/>
        <v>7.4710107179745602E-3</v>
      </c>
      <c r="O151" s="3">
        <f t="shared" si="79"/>
        <v>7.4710107179745602E-3</v>
      </c>
      <c r="P151" s="3">
        <f t="shared" si="79"/>
        <v>7.4710107179745584E-3</v>
      </c>
      <c r="Q151" s="3">
        <f t="shared" si="79"/>
        <v>7.4710107179745472E-3</v>
      </c>
      <c r="R151" s="3">
        <f t="shared" si="79"/>
        <v>7.4710107179744257E-3</v>
      </c>
      <c r="S151" s="3">
        <f t="shared" si="79"/>
        <v>7.4710107179732123E-3</v>
      </c>
      <c r="T151" s="3">
        <f t="shared" si="79"/>
        <v>7.4710107179610857E-3</v>
      </c>
      <c r="U151" s="3">
        <f t="shared" si="79"/>
        <v>7.4710107178398138E-3</v>
      </c>
      <c r="V151" s="3">
        <f t="shared" si="79"/>
        <v>7.4710107166270912E-3</v>
      </c>
      <c r="W151" s="3">
        <f t="shared" si="79"/>
        <v>7.4710107044998735E-3</v>
      </c>
      <c r="X151" s="3">
        <f t="shared" si="79"/>
        <v>7.4710105832277024E-3</v>
      </c>
      <c r="Y151" s="3">
        <f t="shared" si="79"/>
        <v>7.4710093705060926E-3</v>
      </c>
      <c r="Z151" s="3">
        <f t="shared" si="79"/>
        <v>7.4709972433008188E-3</v>
      </c>
      <c r="AA151" s="3">
        <f t="shared" ref="AA151" si="80">$C37*EXP(-AA$129/$A37/EXP(-$B$126))</f>
        <v>7.4708759723307663E-3</v>
      </c>
      <c r="AB151" s="3">
        <f t="shared" si="67"/>
        <v>7.4696633708923998E-3</v>
      </c>
      <c r="AC151" s="3">
        <f t="shared" si="67"/>
        <v>7.4575481762248659E-3</v>
      </c>
      <c r="AD151" s="3">
        <f t="shared" si="67"/>
        <v>7.3374717309870564E-3</v>
      </c>
      <c r="AE151" s="3">
        <f t="shared" si="67"/>
        <v>6.2380690181807396E-3</v>
      </c>
      <c r="AF151" s="3">
        <f t="shared" si="67"/>
        <v>1.2305167219790259E-3</v>
      </c>
    </row>
    <row r="152" spans="1:32" x14ac:dyDescent="0.25">
      <c r="B152" s="3">
        <f t="shared" ref="B152:Z152" si="81">$C38*EXP(-B$129/$A38/EXP(-$B$126))</f>
        <v>1.4378472174592341E-3</v>
      </c>
      <c r="C152" s="3">
        <f t="shared" si="81"/>
        <v>1.4378472174592341E-3</v>
      </c>
      <c r="D152" s="3">
        <f t="shared" si="81"/>
        <v>1.4378472174592341E-3</v>
      </c>
      <c r="E152" s="3">
        <f t="shared" si="81"/>
        <v>1.4378472174592341E-3</v>
      </c>
      <c r="F152" s="3">
        <f t="shared" si="81"/>
        <v>1.4378472174592341E-3</v>
      </c>
      <c r="G152" s="3">
        <f t="shared" si="81"/>
        <v>1.4378472174592341E-3</v>
      </c>
      <c r="H152" s="3">
        <f t="shared" si="81"/>
        <v>1.4378472174592341E-3</v>
      </c>
      <c r="I152" s="3">
        <f t="shared" si="81"/>
        <v>1.4378472174592341E-3</v>
      </c>
      <c r="J152" s="3">
        <f t="shared" si="81"/>
        <v>1.4378472174592341E-3</v>
      </c>
      <c r="K152" s="3">
        <f t="shared" si="81"/>
        <v>1.4378472174592341E-3</v>
      </c>
      <c r="L152" s="3">
        <f t="shared" si="81"/>
        <v>1.4378472174592341E-3</v>
      </c>
      <c r="M152" s="3">
        <f t="shared" si="81"/>
        <v>1.4378472174592341E-3</v>
      </c>
      <c r="N152" s="3">
        <f t="shared" si="81"/>
        <v>1.4378472174592341E-3</v>
      </c>
      <c r="O152" s="3">
        <f t="shared" si="81"/>
        <v>1.4378472174592341E-3</v>
      </c>
      <c r="P152" s="3">
        <f t="shared" si="81"/>
        <v>1.4378472174592341E-3</v>
      </c>
      <c r="Q152" s="3">
        <f t="shared" si="81"/>
        <v>1.4378472174592339E-3</v>
      </c>
      <c r="R152" s="3">
        <f t="shared" si="81"/>
        <v>1.4378472174592317E-3</v>
      </c>
      <c r="S152" s="3">
        <f t="shared" si="81"/>
        <v>1.4378472174592107E-3</v>
      </c>
      <c r="T152" s="3">
        <f t="shared" si="81"/>
        <v>1.4378472174590002E-3</v>
      </c>
      <c r="U152" s="3">
        <f t="shared" si="81"/>
        <v>1.4378472174568946E-3</v>
      </c>
      <c r="V152" s="3">
        <f t="shared" si="81"/>
        <v>1.4378472174358403E-3</v>
      </c>
      <c r="W152" s="3">
        <f t="shared" si="81"/>
        <v>1.4378472172252973E-3</v>
      </c>
      <c r="X152" s="3">
        <f t="shared" si="81"/>
        <v>1.4378472151198656E-3</v>
      </c>
      <c r="Y152" s="3">
        <f t="shared" si="81"/>
        <v>1.43784719406555E-3</v>
      </c>
      <c r="Z152" s="3">
        <f t="shared" si="81"/>
        <v>1.4378469835224111E-3</v>
      </c>
      <c r="AA152" s="3">
        <f t="shared" ref="AA152" si="82">$C38*EXP(-AA$129/$A38/EXP(-$B$126))</f>
        <v>1.4378448780927168E-3</v>
      </c>
      <c r="AB152" s="3">
        <f t="shared" si="67"/>
        <v>1.4378238239653369E-3</v>
      </c>
      <c r="AC152" s="3">
        <f t="shared" si="67"/>
        <v>1.4376132996468598E-3</v>
      </c>
      <c r="AD152" s="3">
        <f t="shared" si="67"/>
        <v>1.4355097510761333E-3</v>
      </c>
      <c r="AE152" s="3">
        <f t="shared" si="67"/>
        <v>1.4146428122354261E-3</v>
      </c>
      <c r="AF152" s="3">
        <f t="shared" si="67"/>
        <v>1.221949620987981E-3</v>
      </c>
    </row>
    <row r="153" spans="1:32" x14ac:dyDescent="0.25">
      <c r="B153" s="3">
        <f t="shared" ref="B153:Z153" si="83">$C39*EXP(-B$129/$A39/EXP(-$B$126))</f>
        <v>4.7686363858368023E-3</v>
      </c>
      <c r="C153" s="3">
        <f t="shared" si="83"/>
        <v>4.7686363858368023E-3</v>
      </c>
      <c r="D153" s="3">
        <f t="shared" si="83"/>
        <v>4.7686363858368023E-3</v>
      </c>
      <c r="E153" s="3">
        <f t="shared" si="83"/>
        <v>4.7686363858368023E-3</v>
      </c>
      <c r="F153" s="3">
        <f t="shared" si="83"/>
        <v>4.7686363858368023E-3</v>
      </c>
      <c r="G153" s="3">
        <f t="shared" si="83"/>
        <v>4.7686363858368023E-3</v>
      </c>
      <c r="H153" s="3">
        <f t="shared" si="83"/>
        <v>4.7686363858368023E-3</v>
      </c>
      <c r="I153" s="3">
        <f t="shared" si="83"/>
        <v>4.7686363858368023E-3</v>
      </c>
      <c r="J153" s="3">
        <f t="shared" si="83"/>
        <v>4.7686363858368023E-3</v>
      </c>
      <c r="K153" s="3">
        <f t="shared" si="83"/>
        <v>4.7686363858368023E-3</v>
      </c>
      <c r="L153" s="3">
        <f t="shared" si="83"/>
        <v>4.7686363858368023E-3</v>
      </c>
      <c r="M153" s="3">
        <f t="shared" si="83"/>
        <v>4.7686363858368023E-3</v>
      </c>
      <c r="N153" s="3">
        <f t="shared" si="83"/>
        <v>4.7686363858368023E-3</v>
      </c>
      <c r="O153" s="3">
        <f t="shared" si="83"/>
        <v>4.7686363858368023E-3</v>
      </c>
      <c r="P153" s="3">
        <f t="shared" si="83"/>
        <v>4.7686363858368023E-3</v>
      </c>
      <c r="Q153" s="3">
        <f t="shared" si="83"/>
        <v>4.7686363858368023E-3</v>
      </c>
      <c r="R153" s="3">
        <f t="shared" si="83"/>
        <v>4.7686363858368006E-3</v>
      </c>
      <c r="S153" s="3">
        <f t="shared" si="83"/>
        <v>4.7686363858367806E-3</v>
      </c>
      <c r="T153" s="3">
        <f t="shared" si="83"/>
        <v>4.7686363858365881E-3</v>
      </c>
      <c r="U153" s="3">
        <f t="shared" si="83"/>
        <v>4.7686363858346565E-3</v>
      </c>
      <c r="V153" s="3">
        <f t="shared" si="83"/>
        <v>4.7686363858153438E-3</v>
      </c>
      <c r="W153" s="3">
        <f t="shared" si="83"/>
        <v>4.7686363856222205E-3</v>
      </c>
      <c r="X153" s="3">
        <f t="shared" si="83"/>
        <v>4.7686363836909841E-3</v>
      </c>
      <c r="Y153" s="3">
        <f t="shared" si="83"/>
        <v>4.768636364378619E-3</v>
      </c>
      <c r="Z153" s="3">
        <f t="shared" si="83"/>
        <v>4.7686361712549735E-3</v>
      </c>
      <c r="AA153" s="3">
        <f t="shared" ref="AA153" si="84">$C39*EXP(-AA$129/$A39/EXP(-$B$126))</f>
        <v>4.7686342400189508E-3</v>
      </c>
      <c r="AB153" s="3">
        <f t="shared" si="67"/>
        <v>4.7686149277017392E-3</v>
      </c>
      <c r="AC153" s="3">
        <f t="shared" si="67"/>
        <v>4.7684218088312417E-3</v>
      </c>
      <c r="AD153" s="3">
        <f t="shared" si="67"/>
        <v>4.7664910502239468E-3</v>
      </c>
      <c r="AE153" s="3">
        <f t="shared" si="67"/>
        <v>4.7472264095404686E-3</v>
      </c>
      <c r="AF153" s="3">
        <f t="shared" si="67"/>
        <v>4.5588108811882994E-3</v>
      </c>
    </row>
    <row r="154" spans="1:32" x14ac:dyDescent="0.25">
      <c r="B154" s="3">
        <f t="shared" ref="B154:Z154" si="85">$C40*EXP(-B$129/$A40/EXP(-$B$126))</f>
        <v>0</v>
      </c>
      <c r="C154" s="3">
        <f t="shared" si="85"/>
        <v>0</v>
      </c>
      <c r="D154" s="3">
        <f t="shared" si="85"/>
        <v>0</v>
      </c>
      <c r="E154" s="3">
        <f t="shared" si="85"/>
        <v>0</v>
      </c>
      <c r="F154" s="3">
        <f t="shared" si="85"/>
        <v>0</v>
      </c>
      <c r="G154" s="3">
        <f t="shared" si="85"/>
        <v>0</v>
      </c>
      <c r="H154" s="3">
        <f t="shared" si="85"/>
        <v>0</v>
      </c>
      <c r="I154" s="3">
        <f t="shared" si="85"/>
        <v>0</v>
      </c>
      <c r="J154" s="3">
        <f t="shared" si="85"/>
        <v>0</v>
      </c>
      <c r="K154" s="3">
        <f t="shared" si="85"/>
        <v>0</v>
      </c>
      <c r="L154" s="3">
        <f t="shared" si="85"/>
        <v>0</v>
      </c>
      <c r="M154" s="3">
        <f t="shared" si="85"/>
        <v>0</v>
      </c>
      <c r="N154" s="3">
        <f t="shared" si="85"/>
        <v>0</v>
      </c>
      <c r="O154" s="3">
        <f t="shared" si="85"/>
        <v>0</v>
      </c>
      <c r="P154" s="3">
        <f t="shared" si="85"/>
        <v>0</v>
      </c>
      <c r="Q154" s="3">
        <f t="shared" si="85"/>
        <v>0</v>
      </c>
      <c r="R154" s="3">
        <f t="shared" si="85"/>
        <v>0</v>
      </c>
      <c r="S154" s="3">
        <f t="shared" si="85"/>
        <v>0</v>
      </c>
      <c r="T154" s="3">
        <f t="shared" si="85"/>
        <v>0</v>
      </c>
      <c r="U154" s="3">
        <f t="shared" si="85"/>
        <v>0</v>
      </c>
      <c r="V154" s="3">
        <f t="shared" si="85"/>
        <v>0</v>
      </c>
      <c r="W154" s="3">
        <f t="shared" si="85"/>
        <v>0</v>
      </c>
      <c r="X154" s="3">
        <f t="shared" si="85"/>
        <v>0</v>
      </c>
      <c r="Y154" s="3">
        <f t="shared" si="85"/>
        <v>0</v>
      </c>
      <c r="Z154" s="3">
        <f t="shared" si="85"/>
        <v>0</v>
      </c>
      <c r="AA154" s="3">
        <f t="shared" ref="AA154:AF154" si="86">$C40*EXP(-AA$129/$A40/EXP(-$B$126))</f>
        <v>0</v>
      </c>
      <c r="AB154" s="3">
        <f t="shared" si="86"/>
        <v>0</v>
      </c>
      <c r="AC154" s="3">
        <f t="shared" si="86"/>
        <v>0</v>
      </c>
      <c r="AD154" s="3">
        <f t="shared" si="86"/>
        <v>0</v>
      </c>
      <c r="AE154" s="3">
        <f t="shared" si="86"/>
        <v>0</v>
      </c>
      <c r="AF154" s="3">
        <f t="shared" si="86"/>
        <v>0</v>
      </c>
    </row>
    <row r="155" spans="1:32" x14ac:dyDescent="0.25">
      <c r="B155" s="3">
        <f t="shared" ref="B155:Z155" si="87">$C41*EXP(-B$129/$A41/EXP(-$B$126))</f>
        <v>2.0950739363465548E-3</v>
      </c>
      <c r="C155" s="3">
        <f t="shared" si="87"/>
        <v>2.0950739363465548E-3</v>
      </c>
      <c r="D155" s="3">
        <f t="shared" si="87"/>
        <v>2.0950739363465548E-3</v>
      </c>
      <c r="E155" s="3">
        <f t="shared" si="87"/>
        <v>2.0950739363465548E-3</v>
      </c>
      <c r="F155" s="3">
        <f t="shared" si="87"/>
        <v>2.0950739363465548E-3</v>
      </c>
      <c r="G155" s="3">
        <f t="shared" si="87"/>
        <v>2.0950739363465548E-3</v>
      </c>
      <c r="H155" s="3">
        <f t="shared" si="87"/>
        <v>2.0950739363465548E-3</v>
      </c>
      <c r="I155" s="3">
        <f t="shared" si="87"/>
        <v>2.0950739363465548E-3</v>
      </c>
      <c r="J155" s="3">
        <f t="shared" si="87"/>
        <v>2.0950739363465548E-3</v>
      </c>
      <c r="K155" s="3">
        <f t="shared" si="87"/>
        <v>2.0950739363465548E-3</v>
      </c>
      <c r="L155" s="3">
        <f t="shared" si="87"/>
        <v>2.0950739363465548E-3</v>
      </c>
      <c r="M155" s="3">
        <f t="shared" si="87"/>
        <v>2.0950739363465548E-3</v>
      </c>
      <c r="N155" s="3">
        <f t="shared" si="87"/>
        <v>2.0950739363465548E-3</v>
      </c>
      <c r="O155" s="3">
        <f t="shared" si="87"/>
        <v>2.0950739363465548E-3</v>
      </c>
      <c r="P155" s="3">
        <f t="shared" si="87"/>
        <v>2.0950739363465548E-3</v>
      </c>
      <c r="Q155" s="3">
        <f t="shared" si="87"/>
        <v>2.0950739363465548E-3</v>
      </c>
      <c r="R155" s="3">
        <f t="shared" si="87"/>
        <v>2.0950739363465548E-3</v>
      </c>
      <c r="S155" s="3">
        <f t="shared" si="87"/>
        <v>2.0950739363465548E-3</v>
      </c>
      <c r="T155" s="3">
        <f t="shared" si="87"/>
        <v>2.0950739363465539E-3</v>
      </c>
      <c r="U155" s="3">
        <f t="shared" si="87"/>
        <v>2.0950739363465453E-3</v>
      </c>
      <c r="V155" s="3">
        <f t="shared" si="87"/>
        <v>2.0950739363464607E-3</v>
      </c>
      <c r="W155" s="3">
        <f t="shared" si="87"/>
        <v>2.095073936345612E-3</v>
      </c>
      <c r="X155" s="3">
        <f t="shared" si="87"/>
        <v>2.0950739363371274E-3</v>
      </c>
      <c r="Y155" s="3">
        <f t="shared" si="87"/>
        <v>2.0950739362522795E-3</v>
      </c>
      <c r="Z155" s="3">
        <f t="shared" si="87"/>
        <v>2.0950739354038015E-3</v>
      </c>
      <c r="AA155" s="3">
        <f t="shared" ref="AA155:AF155" si="88">$C41*EXP(-AA$129/$A41/EXP(-$B$126))</f>
        <v>2.095073926919021E-3</v>
      </c>
      <c r="AB155" s="3">
        <f t="shared" si="88"/>
        <v>2.095073842071219E-3</v>
      </c>
      <c r="AC155" s="3">
        <f t="shared" si="88"/>
        <v>2.0950729935933885E-3</v>
      </c>
      <c r="AD155" s="3">
        <f t="shared" si="88"/>
        <v>2.0950645088339799E-3</v>
      </c>
      <c r="AE155" s="3">
        <f t="shared" si="88"/>
        <v>2.0949796631297866E-3</v>
      </c>
      <c r="AF155" s="3">
        <f t="shared" si="88"/>
        <v>2.0941313950488876E-3</v>
      </c>
    </row>
    <row r="156" spans="1:32" x14ac:dyDescent="0.25">
      <c r="B156" s="3">
        <f t="shared" ref="B156:Z156" si="89">$C42*EXP(-B$129/$A42/EXP(-$B$126))</f>
        <v>1.9210885084110967E-3</v>
      </c>
      <c r="C156" s="3">
        <f t="shared" si="89"/>
        <v>1.9210885084110967E-3</v>
      </c>
      <c r="D156" s="3">
        <f t="shared" si="89"/>
        <v>1.9210885084110967E-3</v>
      </c>
      <c r="E156" s="3">
        <f t="shared" si="89"/>
        <v>1.9210885084110967E-3</v>
      </c>
      <c r="F156" s="3">
        <f t="shared" si="89"/>
        <v>1.9210885084110967E-3</v>
      </c>
      <c r="G156" s="3">
        <f t="shared" si="89"/>
        <v>1.9210885084110967E-3</v>
      </c>
      <c r="H156" s="3">
        <f t="shared" si="89"/>
        <v>1.9210885084110967E-3</v>
      </c>
      <c r="I156" s="3">
        <f t="shared" si="89"/>
        <v>1.9210885084110967E-3</v>
      </c>
      <c r="J156" s="3">
        <f t="shared" si="89"/>
        <v>1.9210885084110967E-3</v>
      </c>
      <c r="K156" s="3">
        <f t="shared" si="89"/>
        <v>1.9210885084110967E-3</v>
      </c>
      <c r="L156" s="3">
        <f t="shared" si="89"/>
        <v>1.9210885084110967E-3</v>
      </c>
      <c r="M156" s="3">
        <f t="shared" si="89"/>
        <v>1.9210885084110967E-3</v>
      </c>
      <c r="N156" s="3">
        <f t="shared" si="89"/>
        <v>1.9210885084110967E-3</v>
      </c>
      <c r="O156" s="3">
        <f t="shared" si="89"/>
        <v>1.9210885084110967E-3</v>
      </c>
      <c r="P156" s="3">
        <f t="shared" si="89"/>
        <v>1.9210885084110967E-3</v>
      </c>
      <c r="Q156" s="3">
        <f t="shared" si="89"/>
        <v>1.9210885084110967E-3</v>
      </c>
      <c r="R156" s="3">
        <f t="shared" si="89"/>
        <v>1.9210885084110967E-3</v>
      </c>
      <c r="S156" s="3">
        <f t="shared" si="89"/>
        <v>1.9210885084110967E-3</v>
      </c>
      <c r="T156" s="3">
        <f t="shared" si="89"/>
        <v>1.9210885084110967E-3</v>
      </c>
      <c r="U156" s="3">
        <f t="shared" si="89"/>
        <v>1.9210885084110958E-3</v>
      </c>
      <c r="V156" s="3">
        <f t="shared" si="89"/>
        <v>1.921088508411088E-3</v>
      </c>
      <c r="W156" s="3">
        <f t="shared" si="89"/>
        <v>1.9210885084110104E-3</v>
      </c>
      <c r="X156" s="3">
        <f t="shared" si="89"/>
        <v>1.9210885084102321E-3</v>
      </c>
      <c r="Y156" s="3">
        <f t="shared" si="89"/>
        <v>1.9210885084024521E-3</v>
      </c>
      <c r="Z156" s="3">
        <f t="shared" si="89"/>
        <v>1.9210885083246504E-3</v>
      </c>
      <c r="AA156" s="3">
        <f t="shared" ref="AA156:AF156" si="90">$C42*EXP(-AA$129/$A42/EXP(-$B$126))</f>
        <v>1.9210885075466343E-3</v>
      </c>
      <c r="AB156" s="3">
        <f t="shared" si="90"/>
        <v>1.9210884997664726E-3</v>
      </c>
      <c r="AC156" s="3">
        <f t="shared" si="90"/>
        <v>1.9210884219648568E-3</v>
      </c>
      <c r="AD156" s="3">
        <f t="shared" si="90"/>
        <v>1.9210876439488727E-3</v>
      </c>
      <c r="AE156" s="3">
        <f t="shared" si="90"/>
        <v>1.9210798638063615E-3</v>
      </c>
      <c r="AF156" s="3">
        <f t="shared" si="90"/>
        <v>1.9210020641141953E-3</v>
      </c>
    </row>
    <row r="157" spans="1:32" x14ac:dyDescent="0.25">
      <c r="B157" s="3">
        <f t="shared" ref="B157:Z157" si="91">$C43*EXP(-B$129/$A43/EXP(-$B$126))</f>
        <v>0</v>
      </c>
      <c r="C157" s="3">
        <f t="shared" si="91"/>
        <v>0</v>
      </c>
      <c r="D157" s="3">
        <f t="shared" si="91"/>
        <v>0</v>
      </c>
      <c r="E157" s="3">
        <f t="shared" si="91"/>
        <v>0</v>
      </c>
      <c r="F157" s="3">
        <f t="shared" si="91"/>
        <v>0</v>
      </c>
      <c r="G157" s="3">
        <f t="shared" si="91"/>
        <v>0</v>
      </c>
      <c r="H157" s="3">
        <f t="shared" si="91"/>
        <v>0</v>
      </c>
      <c r="I157" s="3">
        <f t="shared" si="91"/>
        <v>0</v>
      </c>
      <c r="J157" s="3">
        <f t="shared" si="91"/>
        <v>0</v>
      </c>
      <c r="K157" s="3">
        <f t="shared" si="91"/>
        <v>0</v>
      </c>
      <c r="L157" s="3">
        <f t="shared" si="91"/>
        <v>0</v>
      </c>
      <c r="M157" s="3">
        <f t="shared" si="91"/>
        <v>0</v>
      </c>
      <c r="N157" s="3">
        <f t="shared" si="91"/>
        <v>0</v>
      </c>
      <c r="O157" s="3">
        <f t="shared" si="91"/>
        <v>0</v>
      </c>
      <c r="P157" s="3">
        <f t="shared" si="91"/>
        <v>0</v>
      </c>
      <c r="Q157" s="3">
        <f t="shared" si="91"/>
        <v>0</v>
      </c>
      <c r="R157" s="3">
        <f t="shared" si="91"/>
        <v>0</v>
      </c>
      <c r="S157" s="3">
        <f t="shared" si="91"/>
        <v>0</v>
      </c>
      <c r="T157" s="3">
        <f t="shared" si="91"/>
        <v>0</v>
      </c>
      <c r="U157" s="3">
        <f t="shared" si="91"/>
        <v>0</v>
      </c>
      <c r="V157" s="3">
        <f t="shared" si="91"/>
        <v>0</v>
      </c>
      <c r="W157" s="3">
        <f t="shared" si="91"/>
        <v>0</v>
      </c>
      <c r="X157" s="3">
        <f t="shared" si="91"/>
        <v>0</v>
      </c>
      <c r="Y157" s="3">
        <f t="shared" si="91"/>
        <v>0</v>
      </c>
      <c r="Z157" s="3">
        <f t="shared" si="91"/>
        <v>0</v>
      </c>
      <c r="AA157" s="3">
        <f t="shared" ref="AA157:AF157" si="92">$C43*EXP(-AA$129/$A43/EXP(-$B$126))</f>
        <v>0</v>
      </c>
      <c r="AB157" s="3">
        <f t="shared" si="92"/>
        <v>0</v>
      </c>
      <c r="AC157" s="3">
        <f t="shared" si="92"/>
        <v>0</v>
      </c>
      <c r="AD157" s="3">
        <f t="shared" si="92"/>
        <v>0</v>
      </c>
      <c r="AE157" s="3">
        <f t="shared" si="92"/>
        <v>0</v>
      </c>
      <c r="AF157" s="3">
        <f t="shared" si="92"/>
        <v>0</v>
      </c>
    </row>
    <row r="158" spans="1:32" x14ac:dyDescent="0.25">
      <c r="B158" s="3">
        <f t="shared" ref="B158:Z158" si="93">$C44*EXP(-B$129/$A44/EXP(-$B$126))</f>
        <v>4.6732387958302481E-4</v>
      </c>
      <c r="C158" s="3">
        <f t="shared" si="93"/>
        <v>4.6732387958302481E-4</v>
      </c>
      <c r="D158" s="3">
        <f t="shared" si="93"/>
        <v>4.6732387958302481E-4</v>
      </c>
      <c r="E158" s="3">
        <f t="shared" si="93"/>
        <v>4.6732387958302481E-4</v>
      </c>
      <c r="F158" s="3">
        <f t="shared" si="93"/>
        <v>4.6732387958302481E-4</v>
      </c>
      <c r="G158" s="3">
        <f t="shared" si="93"/>
        <v>4.6732387958302481E-4</v>
      </c>
      <c r="H158" s="3">
        <f t="shared" si="93"/>
        <v>4.6732387958302481E-4</v>
      </c>
      <c r="I158" s="3">
        <f t="shared" si="93"/>
        <v>4.6732387958302481E-4</v>
      </c>
      <c r="J158" s="3">
        <f t="shared" si="93"/>
        <v>4.6732387958302481E-4</v>
      </c>
      <c r="K158" s="3">
        <f t="shared" si="93"/>
        <v>4.6732387958302481E-4</v>
      </c>
      <c r="L158" s="3">
        <f t="shared" si="93"/>
        <v>4.6732387958302481E-4</v>
      </c>
      <c r="M158" s="3">
        <f t="shared" si="93"/>
        <v>4.6732387958302481E-4</v>
      </c>
      <c r="N158" s="3">
        <f t="shared" si="93"/>
        <v>4.6732387958302481E-4</v>
      </c>
      <c r="O158" s="3">
        <f t="shared" si="93"/>
        <v>4.6732387958302481E-4</v>
      </c>
      <c r="P158" s="3">
        <f t="shared" si="93"/>
        <v>4.6732387958302481E-4</v>
      </c>
      <c r="Q158" s="3">
        <f t="shared" si="93"/>
        <v>4.6732387958302481E-4</v>
      </c>
      <c r="R158" s="3">
        <f t="shared" si="93"/>
        <v>4.6732387958302481E-4</v>
      </c>
      <c r="S158" s="3">
        <f t="shared" si="93"/>
        <v>4.6732387958302481E-4</v>
      </c>
      <c r="T158" s="3">
        <f t="shared" si="93"/>
        <v>4.6732387958302481E-4</v>
      </c>
      <c r="U158" s="3">
        <f t="shared" si="93"/>
        <v>4.6732387958302481E-4</v>
      </c>
      <c r="V158" s="3">
        <f t="shared" si="93"/>
        <v>4.6732387958302481E-4</v>
      </c>
      <c r="W158" s="3">
        <f t="shared" si="93"/>
        <v>4.6732387958302459E-4</v>
      </c>
      <c r="X158" s="3">
        <f t="shared" si="93"/>
        <v>4.6732387958302269E-4</v>
      </c>
      <c r="Y158" s="3">
        <f t="shared" si="93"/>
        <v>4.6732387958300377E-4</v>
      </c>
      <c r="Z158" s="3">
        <f t="shared" si="93"/>
        <v>4.6732387958281453E-4</v>
      </c>
      <c r="AA158" s="3">
        <f t="shared" ref="AA158:AF158" si="94">$C44*EXP(-AA$129/$A44/EXP(-$B$126))</f>
        <v>4.6732387958092194E-4</v>
      </c>
      <c r="AB158" s="3">
        <f t="shared" si="94"/>
        <v>4.6732387956199589E-4</v>
      </c>
      <c r="AC158" s="3">
        <f t="shared" si="94"/>
        <v>4.6732387937273572E-4</v>
      </c>
      <c r="AD158" s="3">
        <f t="shared" si="94"/>
        <v>4.6732387748013403E-4</v>
      </c>
      <c r="AE158" s="3">
        <f t="shared" si="94"/>
        <v>4.6732385855411746E-4</v>
      </c>
      <c r="AF158" s="3">
        <f t="shared" si="94"/>
        <v>4.6732366929399415E-4</v>
      </c>
    </row>
    <row r="159" spans="1:32" x14ac:dyDescent="0.25">
      <c r="A159" s="11" t="s">
        <v>75</v>
      </c>
      <c r="B159" s="3">
        <f t="shared" ref="B159:Z159" si="95">$C45*EXP(-B$129/$A45/EXP(-$B$126))</f>
        <v>0</v>
      </c>
      <c r="C159" s="3">
        <f t="shared" si="95"/>
        <v>0</v>
      </c>
      <c r="D159" s="3">
        <f t="shared" si="95"/>
        <v>0</v>
      </c>
      <c r="E159" s="3">
        <f t="shared" si="95"/>
        <v>0</v>
      </c>
      <c r="F159" s="3">
        <f t="shared" si="95"/>
        <v>0</v>
      </c>
      <c r="G159" s="3">
        <f t="shared" si="95"/>
        <v>0</v>
      </c>
      <c r="H159" s="3">
        <f t="shared" si="95"/>
        <v>0</v>
      </c>
      <c r="I159" s="3">
        <f t="shared" si="95"/>
        <v>0</v>
      </c>
      <c r="J159" s="3">
        <f t="shared" si="95"/>
        <v>0</v>
      </c>
      <c r="K159" s="3">
        <f t="shared" si="95"/>
        <v>0</v>
      </c>
      <c r="L159" s="3">
        <f t="shared" si="95"/>
        <v>0</v>
      </c>
      <c r="M159" s="3">
        <f t="shared" si="95"/>
        <v>0</v>
      </c>
      <c r="N159" s="3">
        <f t="shared" si="95"/>
        <v>0</v>
      </c>
      <c r="O159" s="3">
        <f t="shared" si="95"/>
        <v>0</v>
      </c>
      <c r="P159" s="3">
        <f t="shared" si="95"/>
        <v>0</v>
      </c>
      <c r="Q159" s="3">
        <f t="shared" si="95"/>
        <v>0</v>
      </c>
      <c r="R159" s="3">
        <f t="shared" si="95"/>
        <v>0</v>
      </c>
      <c r="S159" s="3">
        <f t="shared" si="95"/>
        <v>0</v>
      </c>
      <c r="T159" s="3">
        <f t="shared" si="95"/>
        <v>0</v>
      </c>
      <c r="U159" s="3">
        <f t="shared" si="95"/>
        <v>0</v>
      </c>
      <c r="V159" s="3">
        <f t="shared" si="95"/>
        <v>0</v>
      </c>
      <c r="W159" s="3">
        <f t="shared" si="95"/>
        <v>0</v>
      </c>
      <c r="X159" s="3">
        <f t="shared" si="95"/>
        <v>0</v>
      </c>
      <c r="Y159" s="3">
        <f t="shared" si="95"/>
        <v>0</v>
      </c>
      <c r="Z159" s="3">
        <f t="shared" si="95"/>
        <v>0</v>
      </c>
      <c r="AA159" s="3">
        <f t="shared" ref="AA159:AF159" si="96">$C45*EXP(-AA$129/$A45/EXP(-$B$126))</f>
        <v>0</v>
      </c>
      <c r="AB159" s="3">
        <f t="shared" si="96"/>
        <v>0</v>
      </c>
      <c r="AC159" s="3">
        <f t="shared" si="96"/>
        <v>0</v>
      </c>
      <c r="AD159" s="3">
        <f t="shared" si="96"/>
        <v>0</v>
      </c>
      <c r="AE159" s="3">
        <f t="shared" si="96"/>
        <v>0</v>
      </c>
      <c r="AF159" s="3">
        <f t="shared" si="96"/>
        <v>0</v>
      </c>
    </row>
    <row r="160" spans="1:32" x14ac:dyDescent="0.25">
      <c r="B160" s="3">
        <f t="shared" ref="B160:Z160" si="97">$C46*EXP(-B$129/$A46/EXP(-$B$126))</f>
        <v>1.2351806616485092E-4</v>
      </c>
      <c r="C160" s="3">
        <f t="shared" si="97"/>
        <v>1.2351806616485092E-4</v>
      </c>
      <c r="D160" s="3">
        <f t="shared" si="97"/>
        <v>1.2351806616485092E-4</v>
      </c>
      <c r="E160" s="3">
        <f t="shared" si="97"/>
        <v>1.2351806616485092E-4</v>
      </c>
      <c r="F160" s="3">
        <f t="shared" si="97"/>
        <v>1.2351806616485092E-4</v>
      </c>
      <c r="G160" s="3">
        <f t="shared" si="97"/>
        <v>1.2351806616485092E-4</v>
      </c>
      <c r="H160" s="3">
        <f t="shared" si="97"/>
        <v>1.2351806616485092E-4</v>
      </c>
      <c r="I160" s="3">
        <f t="shared" si="97"/>
        <v>1.2351806616485092E-4</v>
      </c>
      <c r="J160" s="3">
        <f t="shared" si="97"/>
        <v>1.2351806616485092E-4</v>
      </c>
      <c r="K160" s="3">
        <f t="shared" si="97"/>
        <v>1.2351806616485092E-4</v>
      </c>
      <c r="L160" s="3">
        <f t="shared" si="97"/>
        <v>1.2351806616485092E-4</v>
      </c>
      <c r="M160" s="3">
        <f t="shared" si="97"/>
        <v>1.2351806616485092E-4</v>
      </c>
      <c r="N160" s="3">
        <f t="shared" si="97"/>
        <v>1.2351806616485092E-4</v>
      </c>
      <c r="O160" s="3">
        <f t="shared" si="97"/>
        <v>1.2351806616485092E-4</v>
      </c>
      <c r="P160" s="3">
        <f t="shared" si="97"/>
        <v>1.2351806616485092E-4</v>
      </c>
      <c r="Q160" s="3">
        <f t="shared" si="97"/>
        <v>1.2351806616485092E-4</v>
      </c>
      <c r="R160" s="3">
        <f t="shared" si="97"/>
        <v>1.2351806616485092E-4</v>
      </c>
      <c r="S160" s="3">
        <f t="shared" si="97"/>
        <v>1.2351806616485092E-4</v>
      </c>
      <c r="T160" s="3">
        <f t="shared" si="97"/>
        <v>1.2351806616485092E-4</v>
      </c>
      <c r="U160" s="3">
        <f t="shared" si="97"/>
        <v>1.2351806616485092E-4</v>
      </c>
      <c r="V160" s="3">
        <f t="shared" si="97"/>
        <v>1.2351806616485092E-4</v>
      </c>
      <c r="W160" s="3">
        <f t="shared" si="97"/>
        <v>1.2351806616485092E-4</v>
      </c>
      <c r="X160" s="3">
        <f t="shared" si="97"/>
        <v>1.2351806616485092E-4</v>
      </c>
      <c r="Y160" s="3">
        <f t="shared" si="97"/>
        <v>1.2351806616485087E-4</v>
      </c>
      <c r="Z160" s="3">
        <f t="shared" si="97"/>
        <v>1.2351806616485035E-4</v>
      </c>
      <c r="AA160" s="3">
        <f t="shared" ref="AA160:AF160" si="98">$C46*EXP(-AA$129/$A46/EXP(-$B$126))</f>
        <v>1.2351806616484536E-4</v>
      </c>
      <c r="AB160" s="3">
        <f t="shared" si="98"/>
        <v>1.2351806616479533E-4</v>
      </c>
      <c r="AC160" s="3">
        <f t="shared" si="98"/>
        <v>1.235180661642951E-4</v>
      </c>
      <c r="AD160" s="3">
        <f t="shared" si="98"/>
        <v>1.2351806615929279E-4</v>
      </c>
      <c r="AE160" s="3">
        <f t="shared" si="98"/>
        <v>1.2351806610926957E-4</v>
      </c>
      <c r="AF160" s="3">
        <f t="shared" si="98"/>
        <v>1.2351806560903725E-4</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1.0347942973527732E-3</v>
      </c>
      <c r="C162" s="3">
        <f t="shared" si="101"/>
        <v>1.0347942973527732E-3</v>
      </c>
      <c r="D162" s="3">
        <f t="shared" si="101"/>
        <v>1.0347942973527732E-3</v>
      </c>
      <c r="E162" s="3">
        <f t="shared" si="101"/>
        <v>1.0347942973527732E-3</v>
      </c>
      <c r="F162" s="3">
        <f t="shared" si="101"/>
        <v>1.0347942973527732E-3</v>
      </c>
      <c r="G162" s="3">
        <f t="shared" si="101"/>
        <v>1.0347942973527732E-3</v>
      </c>
      <c r="H162" s="3">
        <f t="shared" si="101"/>
        <v>1.0347942973527732E-3</v>
      </c>
      <c r="I162" s="3">
        <f t="shared" si="101"/>
        <v>1.0347942973527732E-3</v>
      </c>
      <c r="J162" s="3">
        <f t="shared" si="101"/>
        <v>1.0347942973527732E-3</v>
      </c>
      <c r="K162" s="3">
        <f t="shared" si="101"/>
        <v>1.0347942973527732E-3</v>
      </c>
      <c r="L162" s="3">
        <f t="shared" si="101"/>
        <v>1.0347942973527732E-3</v>
      </c>
      <c r="M162" s="3">
        <f t="shared" si="101"/>
        <v>1.0347942973527732E-3</v>
      </c>
      <c r="N162" s="3">
        <f t="shared" si="101"/>
        <v>1.0347942973527732E-3</v>
      </c>
      <c r="O162" s="3">
        <f t="shared" si="101"/>
        <v>1.0347942973527732E-3</v>
      </c>
      <c r="P162" s="3">
        <f t="shared" si="101"/>
        <v>1.0347942973527732E-3</v>
      </c>
      <c r="Q162" s="3">
        <f t="shared" si="101"/>
        <v>1.0347942973527732E-3</v>
      </c>
      <c r="R162" s="3">
        <f t="shared" si="101"/>
        <v>1.0347942973527732E-3</v>
      </c>
      <c r="S162" s="3">
        <f t="shared" si="101"/>
        <v>1.0347942973527732E-3</v>
      </c>
      <c r="T162" s="3">
        <f t="shared" si="101"/>
        <v>1.0347942973527732E-3</v>
      </c>
      <c r="U162" s="3">
        <f t="shared" si="101"/>
        <v>1.0347942973527732E-3</v>
      </c>
      <c r="V162" s="3">
        <f t="shared" si="101"/>
        <v>1.0347942973527732E-3</v>
      </c>
      <c r="W162" s="3">
        <f t="shared" si="101"/>
        <v>1.0347942973527732E-3</v>
      </c>
      <c r="X162" s="3">
        <f t="shared" si="101"/>
        <v>1.0347942973527732E-3</v>
      </c>
      <c r="Y162" s="3">
        <f t="shared" si="101"/>
        <v>1.0347942973527732E-3</v>
      </c>
      <c r="Z162" s="3">
        <f t="shared" si="101"/>
        <v>1.0347942973527732E-3</v>
      </c>
      <c r="AA162" s="3">
        <f t="shared" ref="AA162:AF162" si="102">$C48*EXP(-AA$129/$A48/EXP(-$B$126))</f>
        <v>1.0347942973527727E-3</v>
      </c>
      <c r="AB162" s="3">
        <f t="shared" si="102"/>
        <v>1.0347942973527684E-3</v>
      </c>
      <c r="AC162" s="3">
        <f t="shared" si="102"/>
        <v>1.0347942973527265E-3</v>
      </c>
      <c r="AD162" s="3">
        <f t="shared" si="102"/>
        <v>1.0347942973523076E-3</v>
      </c>
      <c r="AE162" s="3">
        <f t="shared" si="102"/>
        <v>1.0347942973481167E-3</v>
      </c>
      <c r="AF162" s="3">
        <f t="shared" si="102"/>
        <v>1.0347942973062089E-3</v>
      </c>
    </row>
    <row r="163" spans="1:34" x14ac:dyDescent="0.25">
      <c r="A163" s="79">
        <f>AVERAGE(B163:AF163)</f>
        <v>0.10461137371359343</v>
      </c>
      <c r="B163" s="80">
        <f>IF($A$64&lt;=B129,IF($B$64&gt;=B129,ABS((B131-B130)/B130),0),0)</f>
        <v>1.7194523294630698E-2</v>
      </c>
      <c r="C163" s="80">
        <f t="shared" ref="C163:AF163" si="103">IF($A$64&lt;=C129,IF($B$64&gt;=C129,ABS((C131-C130)/C130),0),0)</f>
        <v>1.0457270162491965E-2</v>
      </c>
      <c r="D163" s="80">
        <f t="shared" si="103"/>
        <v>1.1716017701449822E-2</v>
      </c>
      <c r="E163" s="80">
        <f t="shared" si="103"/>
        <v>2.0418387172598137E-2</v>
      </c>
      <c r="F163" s="80">
        <f t="shared" si="103"/>
        <v>3.4063680133630272E-2</v>
      </c>
      <c r="G163" s="80">
        <f t="shared" si="103"/>
        <v>0.15911036172149506</v>
      </c>
      <c r="H163" s="80">
        <f t="shared" si="103"/>
        <v>0.14511248295131079</v>
      </c>
      <c r="I163" s="80">
        <f t="shared" si="103"/>
        <v>0.12531249821606436</v>
      </c>
      <c r="J163" s="80">
        <f t="shared" si="103"/>
        <v>0.10230858282903664</v>
      </c>
      <c r="K163" s="80">
        <f t="shared" si="103"/>
        <v>7.8085982423475725E-2</v>
      </c>
      <c r="L163" s="80">
        <f t="shared" si="103"/>
        <v>5.8474137306744244E-2</v>
      </c>
      <c r="M163" s="80">
        <f t="shared" si="103"/>
        <v>7.0062325024589006E-2</v>
      </c>
      <c r="N163" s="80">
        <f t="shared" si="103"/>
        <v>7.5615562026595071E-2</v>
      </c>
      <c r="O163" s="80">
        <f t="shared" si="103"/>
        <v>7.3301046891048868E-2</v>
      </c>
      <c r="P163" s="80">
        <f t="shared" si="103"/>
        <v>7.0303396255575676E-2</v>
      </c>
      <c r="Q163" s="80">
        <f t="shared" si="103"/>
        <v>7.0589140013662163E-2</v>
      </c>
      <c r="R163" s="80">
        <f t="shared" si="103"/>
        <v>7.0421420438061252E-2</v>
      </c>
      <c r="S163" s="80">
        <f t="shared" si="103"/>
        <v>7.1682056952768983E-2</v>
      </c>
      <c r="T163" s="80">
        <f t="shared" si="103"/>
        <v>7.0973686224827651E-2</v>
      </c>
      <c r="U163" s="80">
        <f t="shared" si="103"/>
        <v>7.1818603123659036E-2</v>
      </c>
      <c r="V163" s="80">
        <f t="shared" si="103"/>
        <v>4.9945467862694957E-2</v>
      </c>
      <c r="W163" s="80">
        <f t="shared" si="103"/>
        <v>4.9887367570803864E-2</v>
      </c>
      <c r="X163" s="80">
        <f t="shared" si="103"/>
        <v>0.20952244060958261</v>
      </c>
      <c r="Y163" s="80">
        <f t="shared" si="103"/>
        <v>0.35984253423101675</v>
      </c>
      <c r="Z163" s="80">
        <f t="shared" si="103"/>
        <v>0.42101509192101616</v>
      </c>
      <c r="AA163" s="80">
        <f t="shared" si="103"/>
        <v>0.3037703224380876</v>
      </c>
      <c r="AB163" s="80">
        <f t="shared" si="103"/>
        <v>0.18920670000385351</v>
      </c>
      <c r="AC163" s="80">
        <f t="shared" si="103"/>
        <v>8.4835388136438136E-2</v>
      </c>
      <c r="AD163" s="80">
        <f t="shared" si="103"/>
        <v>6.9433719006810515E-2</v>
      </c>
      <c r="AE163" s="80">
        <f t="shared" si="103"/>
        <v>4.6398988776757834E-2</v>
      </c>
      <c r="AF163" s="80">
        <f t="shared" si="103"/>
        <v>5.2073403700618692E-2</v>
      </c>
    </row>
    <row r="164" spans="1:34" x14ac:dyDescent="0.25">
      <c r="B164" s="21">
        <f>(B131-B130)^2</f>
        <v>39819.433201297164</v>
      </c>
      <c r="C164" s="21">
        <f t="shared" ref="C164:AF164" si="104">(C131-C130)^2</f>
        <v>14525.875959086981</v>
      </c>
      <c r="D164" s="21">
        <f t="shared" si="104"/>
        <v>17412.750566862895</v>
      </c>
      <c r="E164" s="21">
        <f t="shared" si="104"/>
        <v>51113.948359618742</v>
      </c>
      <c r="F164" s="21">
        <f t="shared" si="104"/>
        <v>137703.22678981235</v>
      </c>
      <c r="G164" s="21">
        <f t="shared" si="104"/>
        <v>2897321.4809796629</v>
      </c>
      <c r="H164" s="21">
        <f t="shared" si="104"/>
        <v>2317662.787323249</v>
      </c>
      <c r="I164" s="21">
        <f t="shared" si="104"/>
        <v>1650956.5985637819</v>
      </c>
      <c r="J164" s="21">
        <f t="shared" si="104"/>
        <v>1044632.2764784303</v>
      </c>
      <c r="K164" s="21">
        <f t="shared" si="104"/>
        <v>576194.38933266921</v>
      </c>
      <c r="L164" s="21">
        <f t="shared" si="104"/>
        <v>305815.2414289249</v>
      </c>
      <c r="M164" s="21">
        <f t="shared" si="104"/>
        <v>415195.65007948194</v>
      </c>
      <c r="N164" s="21">
        <f t="shared" si="104"/>
        <v>448160.54756139487</v>
      </c>
      <c r="O164" s="21">
        <f t="shared" si="104"/>
        <v>386369.93393359816</v>
      </c>
      <c r="P164" s="21">
        <f t="shared" si="104"/>
        <v>326605.26923945168</v>
      </c>
      <c r="Q164" s="21">
        <f t="shared" si="104"/>
        <v>306780.02503770415</v>
      </c>
      <c r="R164" s="21">
        <f t="shared" si="104"/>
        <v>283011.85430094809</v>
      </c>
      <c r="S164" s="21">
        <f t="shared" si="104"/>
        <v>271684.3575571744</v>
      </c>
      <c r="T164" s="21">
        <f t="shared" si="104"/>
        <v>244597.83380402657</v>
      </c>
      <c r="U164" s="21">
        <f t="shared" si="104"/>
        <v>228836.3646989504</v>
      </c>
      <c r="V164" s="21">
        <f t="shared" si="104"/>
        <v>93435.673456430828</v>
      </c>
      <c r="W164" s="21">
        <f t="shared" si="104"/>
        <v>66773.26205354894</v>
      </c>
      <c r="X164" s="21">
        <f t="shared" si="104"/>
        <v>741719.02009783953</v>
      </c>
      <c r="Y164" s="21">
        <f t="shared" si="104"/>
        <v>1363565.7673698496</v>
      </c>
      <c r="Z164" s="21">
        <f t="shared" si="104"/>
        <v>1147104.8854999887</v>
      </c>
      <c r="AA164" s="21">
        <f t="shared" si="104"/>
        <v>348928.16168327082</v>
      </c>
      <c r="AB164" s="21">
        <f t="shared" si="104"/>
        <v>69849.821786283821</v>
      </c>
      <c r="AC164" s="21">
        <f t="shared" si="104"/>
        <v>6942.0654931864492</v>
      </c>
      <c r="AD164" s="21">
        <f t="shared" si="104"/>
        <v>2288.8833873346689</v>
      </c>
      <c r="AE164" s="21">
        <f t="shared" si="104"/>
        <v>620.90498613970794</v>
      </c>
      <c r="AF164" s="21">
        <f t="shared" si="104"/>
        <v>554.83314670236246</v>
      </c>
    </row>
    <row r="165" spans="1:34" x14ac:dyDescent="0.25">
      <c r="A165" s="71">
        <f>SUM(B165:AF165)</f>
        <v>15806183.124156699</v>
      </c>
      <c r="B165" s="60">
        <f>IF($A$64&lt;=B129,IF($B$64&gt;=B129,ABS(B164),0),0)</f>
        <v>39819.433201297164</v>
      </c>
      <c r="C165" s="60">
        <f t="shared" ref="C165:AF165" si="105">IF($A$64&lt;=C129,IF($B$64&gt;=C129,ABS(C164),0),0)</f>
        <v>14525.875959086981</v>
      </c>
      <c r="D165" s="60">
        <f t="shared" si="105"/>
        <v>17412.750566862895</v>
      </c>
      <c r="E165" s="60">
        <f t="shared" si="105"/>
        <v>51113.948359618742</v>
      </c>
      <c r="F165" s="60">
        <f t="shared" si="105"/>
        <v>137703.22678981235</v>
      </c>
      <c r="G165" s="60">
        <f t="shared" si="105"/>
        <v>2897321.4809796629</v>
      </c>
      <c r="H165" s="60">
        <f t="shared" si="105"/>
        <v>2317662.787323249</v>
      </c>
      <c r="I165" s="60">
        <f t="shared" si="105"/>
        <v>1650956.5985637819</v>
      </c>
      <c r="J165" s="60">
        <f t="shared" si="105"/>
        <v>1044632.2764784303</v>
      </c>
      <c r="K165" s="60">
        <f t="shared" si="105"/>
        <v>576194.38933266921</v>
      </c>
      <c r="L165" s="60">
        <f t="shared" si="105"/>
        <v>305815.2414289249</v>
      </c>
      <c r="M165" s="60">
        <f t="shared" si="105"/>
        <v>415195.65007948194</v>
      </c>
      <c r="N165" s="60">
        <f t="shared" si="105"/>
        <v>448160.54756139487</v>
      </c>
      <c r="O165" s="60">
        <f t="shared" si="105"/>
        <v>386369.93393359816</v>
      </c>
      <c r="P165" s="60">
        <f t="shared" si="105"/>
        <v>326605.26923945168</v>
      </c>
      <c r="Q165" s="60">
        <f t="shared" si="105"/>
        <v>306780.02503770415</v>
      </c>
      <c r="R165" s="60">
        <f t="shared" si="105"/>
        <v>283011.85430094809</v>
      </c>
      <c r="S165" s="60">
        <f t="shared" si="105"/>
        <v>271684.3575571744</v>
      </c>
      <c r="T165" s="60">
        <f t="shared" si="105"/>
        <v>244597.83380402657</v>
      </c>
      <c r="U165" s="60">
        <f t="shared" si="105"/>
        <v>228836.3646989504</v>
      </c>
      <c r="V165" s="60">
        <f t="shared" si="105"/>
        <v>93435.673456430828</v>
      </c>
      <c r="W165" s="60">
        <f t="shared" si="105"/>
        <v>66773.26205354894</v>
      </c>
      <c r="X165" s="60">
        <f t="shared" si="105"/>
        <v>741719.02009783953</v>
      </c>
      <c r="Y165" s="60">
        <f t="shared" si="105"/>
        <v>1363565.7673698496</v>
      </c>
      <c r="Z165" s="60">
        <f t="shared" si="105"/>
        <v>1147104.8854999887</v>
      </c>
      <c r="AA165" s="60">
        <f t="shared" si="105"/>
        <v>348928.16168327082</v>
      </c>
      <c r="AB165" s="60">
        <f t="shared" si="105"/>
        <v>69849.821786283821</v>
      </c>
      <c r="AC165" s="60">
        <f t="shared" si="105"/>
        <v>6942.0654931864492</v>
      </c>
      <c r="AD165" s="60">
        <f t="shared" si="105"/>
        <v>2288.8833873346689</v>
      </c>
      <c r="AE165" s="60">
        <f t="shared" si="105"/>
        <v>620.90498613970794</v>
      </c>
      <c r="AF165" s="60">
        <f t="shared" si="105"/>
        <v>554.83314670236246</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11367.234905429283</v>
      </c>
      <c r="C169" s="26">
        <f>INDEX(Comparison!$AM$3:$AS$33,G$14,$C$122)</f>
        <v>11068.839809245561</v>
      </c>
      <c r="D169" s="26">
        <f>INDEX(Comparison!$AM$3:$AS$33,H$14,$C$122)</f>
        <v>10885.617784934777</v>
      </c>
      <c r="E169" s="26">
        <f>INDEX(Comparison!$AM$3:$AS$33,I$14,$C$122)</f>
        <v>10701.493672903915</v>
      </c>
      <c r="F169" s="26">
        <f>INDEX(Comparison!$AM$3:$AS$33,J$14,$C$122)</f>
        <v>10504.725025316387</v>
      </c>
      <c r="G169" s="26">
        <f>INDEX(Comparison!$AM$3:$AS$33,K$14,$C$122)</f>
        <v>10287.091684462941</v>
      </c>
      <c r="H169" s="26">
        <f>INDEX(Comparison!$AM$3:$AS$33,L$14,$C$122)</f>
        <v>10049.244860118473</v>
      </c>
      <c r="I169" s="26">
        <f>INDEX(Comparison!$AM$3:$AS$33,M$14,$C$122)</f>
        <v>9772.6915503667024</v>
      </c>
      <c r="J169" s="26">
        <f>INDEX(Comparison!$AM$3:$AS$33,N$14,$C$122)</f>
        <v>9517.4825603824975</v>
      </c>
      <c r="K169" s="26">
        <f>INDEX(Comparison!$AM$3:$AS$33,O$14,$C$122)</f>
        <v>9254.9171850971579</v>
      </c>
      <c r="L169" s="26">
        <f>INDEX(Comparison!$AM$3:$AS$33,P$14,$C$122)</f>
        <v>8963.5955807199589</v>
      </c>
      <c r="M169" s="26">
        <f>INDEX(Comparison!$AM$3:$AS$33,Q$14,$C$122)</f>
        <v>8614.6063850970258</v>
      </c>
      <c r="N169" s="26">
        <f>INDEX(Comparison!$AM$3:$AS$33,R$14,$C$122)</f>
        <v>8248.4064055257641</v>
      </c>
      <c r="O169" s="26">
        <f>INDEX(Comparison!$AM$3:$AS$33,S$14,$C$122)</f>
        <v>7932.3411730217404</v>
      </c>
      <c r="P169" s="26">
        <f>INDEX(Comparison!$AM$3:$AS$33,T$14,$C$122)</f>
        <v>7651.3188875674869</v>
      </c>
      <c r="Q169" s="26">
        <f>INDEX(Comparison!$AM$3:$AS$33,U$14,$C$122)</f>
        <v>7368.015082756323</v>
      </c>
      <c r="R169" s="26">
        <f>INDEX(Comparison!$AM$3:$AS$33,V$14,$C$122)</f>
        <v>7078.2683200185556</v>
      </c>
      <c r="S169" s="26">
        <f>INDEX(Comparison!$AM$3:$AS$33,W$14,$C$122)</f>
        <v>6780.7506129740432</v>
      </c>
      <c r="T169" s="26">
        <f>INDEX(Comparison!$AM$3:$AS$33,X$14,$C$122)</f>
        <v>6359.8481605512916</v>
      </c>
      <c r="U169" s="26">
        <f>INDEX(Comparison!$AM$3:$AS$33,Y$14,$C$122)</f>
        <v>5533.5094566127227</v>
      </c>
      <c r="V169" s="26">
        <f>INDEX(Comparison!$AM$3:$AS$33,Z$14,$C$122)</f>
        <v>4472.2559132167689</v>
      </c>
      <c r="W169" s="26">
        <f>INDEX(Comparison!$AM$3:$AS$33,AA$14,$C$122)</f>
        <v>3559.9181790033126</v>
      </c>
      <c r="X169" s="26">
        <f>INDEX(Comparison!$AM$3:$AS$33,AB$14,$C$122)</f>
        <v>2844.2645935941323</v>
      </c>
      <c r="Y169" s="26">
        <f>INDEX(Comparison!$AM$3:$AS$33,AC$14,$C$122)</f>
        <v>2237.2915384432267</v>
      </c>
      <c r="Z169" s="26">
        <f>INDEX(Comparison!$AM$3:$AS$33,AD$14,$C$122)</f>
        <v>1684.6343995836892</v>
      </c>
      <c r="AA169" s="26">
        <f>INDEX(Comparison!$AM$3:$AS$33,AE$14,$C$122)</f>
        <v>1197.1004230306633</v>
      </c>
      <c r="AB169" s="26">
        <f>INDEX(Comparison!$AM$3:$AS$33,AF$14,$C$122)</f>
        <v>840.12332203849121</v>
      </c>
      <c r="AC169" s="26">
        <f>INDEX(Comparison!$AM$3:$AS$33,AG$14,$C$122)</f>
        <v>609.58567269963044</v>
      </c>
      <c r="AD169" s="26">
        <f>INDEX(Comparison!$AM$3:$AS$33,AH$14,$C$122)</f>
        <v>494.5048529689002</v>
      </c>
      <c r="AE169" s="26">
        <f>INDEX(Comparison!$AM$3:$AS$33,AI$14,$C$122)</f>
        <v>433.69545003412065</v>
      </c>
      <c r="AF169" s="26">
        <f>INDEX(Comparison!$AM$3:$AS$33,AJ$14,$C$122)</f>
        <v>404.17805740514621</v>
      </c>
      <c r="AG169" s="26"/>
      <c r="AH169" s="26"/>
    </row>
    <row r="170" spans="1:34" x14ac:dyDescent="0.25">
      <c r="A170" s="70" t="s">
        <v>22</v>
      </c>
      <c r="B170" s="27">
        <f>($C$17+SUM(B171:B201))*$B$51</f>
        <v>11402.172576379138</v>
      </c>
      <c r="C170" s="27">
        <f t="shared" ref="C170:AF170" si="106">($C$17+SUM(C171:C201))*$B$51</f>
        <v>11368.978749561107</v>
      </c>
      <c r="D170" s="27">
        <f t="shared" si="106"/>
        <v>11060.951674002055</v>
      </c>
      <c r="E170" s="27">
        <f t="shared" si="106"/>
        <v>9498.5309859382614</v>
      </c>
      <c r="F170" s="27">
        <f t="shared" si="106"/>
        <v>8968.7015410180338</v>
      </c>
      <c r="G170" s="27">
        <f t="shared" si="106"/>
        <v>8968.6801989715968</v>
      </c>
      <c r="H170" s="27">
        <f t="shared" si="106"/>
        <v>8968.472562651541</v>
      </c>
      <c r="I170" s="27">
        <f t="shared" si="106"/>
        <v>8966.4000283185342</v>
      </c>
      <c r="J170" s="27">
        <f t="shared" si="106"/>
        <v>8946.0526531937849</v>
      </c>
      <c r="K170" s="27">
        <f t="shared" si="106"/>
        <v>8775.9032995812267</v>
      </c>
      <c r="L170" s="27">
        <f t="shared" si="106"/>
        <v>8320.2526723537449</v>
      </c>
      <c r="M170" s="27">
        <f t="shared" si="106"/>
        <v>8013.2125991226476</v>
      </c>
      <c r="N170" s="27">
        <f t="shared" si="106"/>
        <v>7672.4530716022127</v>
      </c>
      <c r="O170" s="27">
        <f t="shared" si="106"/>
        <v>7410.4870928346763</v>
      </c>
      <c r="P170" s="27">
        <f t="shared" si="106"/>
        <v>7134.5349743855577</v>
      </c>
      <c r="Q170" s="27">
        <f t="shared" si="106"/>
        <v>6870.5200539805683</v>
      </c>
      <c r="R170" s="27">
        <f t="shared" si="106"/>
        <v>6586.8674108072219</v>
      </c>
      <c r="S170" s="27">
        <f t="shared" si="106"/>
        <v>6324.0257529620067</v>
      </c>
      <c r="T170" s="27">
        <f t="shared" si="106"/>
        <v>5974.5663345852154</v>
      </c>
      <c r="U170" s="27">
        <f t="shared" si="106"/>
        <v>5618.577765292408</v>
      </c>
      <c r="V170" s="27">
        <f t="shared" si="106"/>
        <v>5194.265546665104</v>
      </c>
      <c r="W170" s="27">
        <f t="shared" si="106"/>
        <v>4695.7257357603476</v>
      </c>
      <c r="X170" s="27">
        <f t="shared" si="106"/>
        <v>4032.9960960332478</v>
      </c>
      <c r="Y170" s="27">
        <f t="shared" si="106"/>
        <v>3067.3578526321148</v>
      </c>
      <c r="Z170" s="27">
        <f t="shared" si="106"/>
        <v>2081.8787541279153</v>
      </c>
      <c r="AA170" s="27">
        <f t="shared" si="106"/>
        <v>1345.8411285842992</v>
      </c>
      <c r="AB170" s="27">
        <f t="shared" si="106"/>
        <v>884.99724856136629</v>
      </c>
      <c r="AC170" s="27">
        <f t="shared" si="106"/>
        <v>639.0597821492338</v>
      </c>
      <c r="AD170" s="27">
        <f t="shared" si="106"/>
        <v>511.44975771083705</v>
      </c>
      <c r="AE170" s="27">
        <f t="shared" si="106"/>
        <v>452.22305384670966</v>
      </c>
      <c r="AF170" s="27">
        <f t="shared" si="106"/>
        <v>407.43163222761274</v>
      </c>
      <c r="AG170" s="27"/>
      <c r="AH170" s="27"/>
    </row>
    <row r="171" spans="1:34" x14ac:dyDescent="0.25">
      <c r="B171" s="3">
        <f t="shared" ref="B171:AF171" si="107">$C18*EXP(-B$168/$A18/EXP(-$C$126))</f>
        <v>0.21335200637435794</v>
      </c>
      <c r="C171" s="3">
        <f t="shared" si="107"/>
        <v>0.2104417707284347</v>
      </c>
      <c r="D171" s="3">
        <f t="shared" si="107"/>
        <v>0.18343580435517248</v>
      </c>
      <c r="E171" s="3">
        <f t="shared" si="107"/>
        <v>4.6452139128821839E-2</v>
      </c>
      <c r="F171" s="3">
        <f t="shared" si="107"/>
        <v>5.0375783663267734E-8</v>
      </c>
      <c r="G171" s="3">
        <f t="shared" si="107"/>
        <v>1.1333988988782833E-67</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4.9174999588521194E-2</v>
      </c>
      <c r="C172" s="3">
        <f t="shared" si="108"/>
        <v>4.9174999415516986E-2</v>
      </c>
      <c r="D172" s="3">
        <f t="shared" si="108"/>
        <v>4.9174997685474897E-2</v>
      </c>
      <c r="E172" s="3">
        <f t="shared" si="108"/>
        <v>4.9174980385057326E-2</v>
      </c>
      <c r="F172" s="3">
        <f t="shared" si="108"/>
        <v>4.9174807381216469E-2</v>
      </c>
      <c r="G172" s="3">
        <f t="shared" si="108"/>
        <v>4.917307737628325E-2</v>
      </c>
      <c r="H172" s="3">
        <f t="shared" si="108"/>
        <v>4.9155780674052386E-2</v>
      </c>
      <c r="I172" s="3">
        <f t="shared" si="108"/>
        <v>4.8983147926598282E-2</v>
      </c>
      <c r="J172" s="3">
        <f t="shared" si="108"/>
        <v>4.7289816873215984E-2</v>
      </c>
      <c r="K172" s="3">
        <f t="shared" si="108"/>
        <v>3.3264196406963799E-2</v>
      </c>
      <c r="L172" s="3">
        <f t="shared" si="108"/>
        <v>9.8644091310168876E-4</v>
      </c>
      <c r="M172" s="3">
        <f t="shared" si="108"/>
        <v>5.1881375188853408E-19</v>
      </c>
      <c r="N172" s="3">
        <f t="shared" si="108"/>
        <v>8.4026351281604667E-172</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2.5308430894937142E-2</v>
      </c>
      <c r="C173" s="3">
        <f t="shared" si="109"/>
        <v>2.5308430886905132E-2</v>
      </c>
      <c r="D173" s="3">
        <f t="shared" si="109"/>
        <v>2.5308430806585056E-2</v>
      </c>
      <c r="E173" s="3">
        <f t="shared" si="109"/>
        <v>2.5308430003384286E-2</v>
      </c>
      <c r="F173" s="3">
        <f t="shared" si="109"/>
        <v>2.5308421971377986E-2</v>
      </c>
      <c r="G173" s="3">
        <f t="shared" si="109"/>
        <v>2.53083416514552E-2</v>
      </c>
      <c r="H173" s="3">
        <f t="shared" si="109"/>
        <v>2.5307538466247101E-2</v>
      </c>
      <c r="I173" s="3">
        <f t="shared" si="109"/>
        <v>2.5299508015975764E-2</v>
      </c>
      <c r="J173" s="3">
        <f t="shared" si="109"/>
        <v>2.5219343529763176E-2</v>
      </c>
      <c r="K173" s="3">
        <f t="shared" si="109"/>
        <v>2.4431537289706356E-2</v>
      </c>
      <c r="L173" s="3">
        <f t="shared" si="109"/>
        <v>1.7787747917827904E-2</v>
      </c>
      <c r="M173" s="3">
        <f t="shared" si="109"/>
        <v>7.444279676731921E-4</v>
      </c>
      <c r="N173" s="3">
        <f t="shared" si="109"/>
        <v>1.2269866253770001E-17</v>
      </c>
      <c r="O173" s="3">
        <f t="shared" si="109"/>
        <v>1.8155629321528382E-155</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3.4194516713835887E-2</v>
      </c>
      <c r="C174" s="3">
        <f t="shared" si="110"/>
        <v>3.4194516712856934E-2</v>
      </c>
      <c r="D174" s="3">
        <f t="shared" si="110"/>
        <v>3.4194516703067404E-2</v>
      </c>
      <c r="E174" s="3">
        <f t="shared" si="110"/>
        <v>3.4194516605172073E-2</v>
      </c>
      <c r="F174" s="3">
        <f t="shared" si="110"/>
        <v>3.4194515626218815E-2</v>
      </c>
      <c r="G174" s="3">
        <f t="shared" si="110"/>
        <v>3.4194505836687733E-2</v>
      </c>
      <c r="H174" s="3">
        <f t="shared" si="110"/>
        <v>3.4194407941531085E-2</v>
      </c>
      <c r="I174" s="3">
        <f t="shared" si="110"/>
        <v>3.419342900537891E-2</v>
      </c>
      <c r="J174" s="3">
        <f t="shared" si="110"/>
        <v>3.4183641185128254E-2</v>
      </c>
      <c r="K174" s="3">
        <f t="shared" si="110"/>
        <v>3.4085916946594755E-2</v>
      </c>
      <c r="L174" s="3">
        <f t="shared" si="110"/>
        <v>3.3123909110320184E-2</v>
      </c>
      <c r="M174" s="3">
        <f t="shared" si="110"/>
        <v>2.4877550278300156E-2</v>
      </c>
      <c r="N174" s="3">
        <f t="shared" si="110"/>
        <v>1.4205871960566094E-3</v>
      </c>
      <c r="O174" s="3">
        <f t="shared" si="110"/>
        <v>5.2368571763273504E-16</v>
      </c>
      <c r="P174" s="3">
        <f t="shared" si="110"/>
        <v>2.4271636876313099E-140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2.2721576937743054E-2</v>
      </c>
      <c r="C175" s="3">
        <f t="shared" si="111"/>
        <v>2.2721576937684378E-2</v>
      </c>
      <c r="D175" s="3">
        <f t="shared" si="111"/>
        <v>2.2721576937097573E-2</v>
      </c>
      <c r="E175" s="3">
        <f t="shared" si="111"/>
        <v>2.2721576931229569E-2</v>
      </c>
      <c r="F175" s="3">
        <f t="shared" si="111"/>
        <v>2.2721576872549509E-2</v>
      </c>
      <c r="G175" s="3">
        <f t="shared" si="111"/>
        <v>2.2721576285748911E-2</v>
      </c>
      <c r="H175" s="3">
        <f t="shared" si="111"/>
        <v>2.2721570417743746E-2</v>
      </c>
      <c r="I175" s="3">
        <f t="shared" si="111"/>
        <v>2.2721511737775493E-2</v>
      </c>
      <c r="J175" s="3">
        <f t="shared" si="111"/>
        <v>2.2720924946427822E-2</v>
      </c>
      <c r="K175" s="3">
        <f t="shared" si="111"/>
        <v>2.2715057866362104E-2</v>
      </c>
      <c r="L175" s="3">
        <f t="shared" si="111"/>
        <v>2.2656470327222133E-2</v>
      </c>
      <c r="M175" s="3">
        <f t="shared" si="111"/>
        <v>2.2078842073543797E-2</v>
      </c>
      <c r="N175" s="3">
        <f t="shared" si="111"/>
        <v>1.7053624928035308E-2</v>
      </c>
      <c r="O175" s="3">
        <f t="shared" si="111"/>
        <v>1.2889048168213243E-3</v>
      </c>
      <c r="P175" s="3">
        <f t="shared" si="111"/>
        <v>7.8390285047244889E-15</v>
      </c>
      <c r="Q175" s="3">
        <f t="shared" si="111"/>
        <v>5.4284546382842814E-127</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2.5892610318391986E-2</v>
      </c>
      <c r="C176" s="3">
        <f t="shared" si="112"/>
        <v>2.5892610318385953E-2</v>
      </c>
      <c r="D176" s="3">
        <f t="shared" si="112"/>
        <v>2.589261031832563E-2</v>
      </c>
      <c r="E176" s="3">
        <f t="shared" si="112"/>
        <v>2.5892610317722411E-2</v>
      </c>
      <c r="F176" s="3">
        <f t="shared" si="112"/>
        <v>2.5892610311690233E-2</v>
      </c>
      <c r="G176" s="3">
        <f t="shared" si="112"/>
        <v>2.5892610251368398E-2</v>
      </c>
      <c r="H176" s="3">
        <f t="shared" si="112"/>
        <v>2.5892609648150103E-2</v>
      </c>
      <c r="I176" s="3">
        <f t="shared" si="112"/>
        <v>2.5892603615967902E-2</v>
      </c>
      <c r="J176" s="3">
        <f t="shared" si="112"/>
        <v>2.5892543294223195E-2</v>
      </c>
      <c r="K176" s="3">
        <f t="shared" si="112"/>
        <v>2.5891940084505273E-2</v>
      </c>
      <c r="L176" s="3">
        <f t="shared" si="112"/>
        <v>2.5885908760174423E-2</v>
      </c>
      <c r="M176" s="3">
        <f t="shared" si="112"/>
        <v>2.5825672735124105E-2</v>
      </c>
      <c r="N176" s="3">
        <f t="shared" si="112"/>
        <v>2.5230968162102716E-2</v>
      </c>
      <c r="O176" s="3">
        <f t="shared" si="112"/>
        <v>1.9987415384378315E-2</v>
      </c>
      <c r="P176" s="3">
        <f t="shared" si="112"/>
        <v>1.9452878059111219E-3</v>
      </c>
      <c r="Q176" s="3">
        <f t="shared" si="112"/>
        <v>1.4833926628804313E-13</v>
      </c>
      <c r="R176" s="3">
        <f t="shared" si="112"/>
        <v>9.8623122435168584E-115</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2.3275396535951787E-2</v>
      </c>
      <c r="C177" s="3">
        <f t="shared" si="113"/>
        <v>2.3275396535951301E-2</v>
      </c>
      <c r="D177" s="3">
        <f t="shared" si="113"/>
        <v>2.3275396535946409E-2</v>
      </c>
      <c r="E177" s="3">
        <f t="shared" si="113"/>
        <v>2.327539653589749E-2</v>
      </c>
      <c r="F177" s="3">
        <f t="shared" si="113"/>
        <v>2.3275396535408343E-2</v>
      </c>
      <c r="G177" s="3">
        <f t="shared" si="113"/>
        <v>2.3275396530516839E-2</v>
      </c>
      <c r="H177" s="3">
        <f t="shared" si="113"/>
        <v>2.3275396481601804E-2</v>
      </c>
      <c r="I177" s="3">
        <f t="shared" si="113"/>
        <v>2.3275395992451473E-2</v>
      </c>
      <c r="J177" s="3">
        <f t="shared" si="113"/>
        <v>2.3275391100948735E-2</v>
      </c>
      <c r="K177" s="3">
        <f t="shared" si="113"/>
        <v>2.3275342185977876E-2</v>
      </c>
      <c r="L177" s="3">
        <f t="shared" si="113"/>
        <v>2.3274853041923147E-2</v>
      </c>
      <c r="M177" s="3">
        <f t="shared" si="113"/>
        <v>2.3269962166719917E-2</v>
      </c>
      <c r="N177" s="3">
        <f t="shared" si="113"/>
        <v>2.3221109905152814E-2</v>
      </c>
      <c r="O177" s="3">
        <f t="shared" si="113"/>
        <v>2.2738192655790662E-2</v>
      </c>
      <c r="P177" s="3">
        <f t="shared" si="113"/>
        <v>1.8428314718223992E-2</v>
      </c>
      <c r="Q177" s="3">
        <f t="shared" si="113"/>
        <v>2.2531100625921142E-3</v>
      </c>
      <c r="R177" s="3">
        <f t="shared" si="113"/>
        <v>1.6817067749354156E-12</v>
      </c>
      <c r="S177" s="3">
        <f t="shared" si="113"/>
        <v>9.0246203285383063E-104</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2.7259427341223059E-2</v>
      </c>
      <c r="C178" s="3">
        <f t="shared" si="114"/>
        <v>2.7259427341223007E-2</v>
      </c>
      <c r="D178" s="3">
        <f t="shared" si="114"/>
        <v>2.7259427341222491E-2</v>
      </c>
      <c r="E178" s="3">
        <f t="shared" si="114"/>
        <v>2.7259427341217324E-2</v>
      </c>
      <c r="F178" s="3">
        <f t="shared" si="114"/>
        <v>2.7259427341165647E-2</v>
      </c>
      <c r="G178" s="3">
        <f t="shared" si="114"/>
        <v>2.7259427340648863E-2</v>
      </c>
      <c r="H178" s="3">
        <f t="shared" si="114"/>
        <v>2.7259427335481028E-2</v>
      </c>
      <c r="I178" s="3">
        <f t="shared" si="114"/>
        <v>2.7259427283802685E-2</v>
      </c>
      <c r="J178" s="3">
        <f t="shared" si="114"/>
        <v>2.7259426767019253E-2</v>
      </c>
      <c r="K178" s="3">
        <f t="shared" si="114"/>
        <v>2.7259421599185464E-2</v>
      </c>
      <c r="L178" s="3">
        <f t="shared" si="114"/>
        <v>2.7259369920901493E-2</v>
      </c>
      <c r="M178" s="3">
        <f t="shared" si="114"/>
        <v>2.7258853143450144E-2</v>
      </c>
      <c r="N178" s="3">
        <f t="shared" si="114"/>
        <v>2.7253685907738759E-2</v>
      </c>
      <c r="O178" s="3">
        <f t="shared" si="114"/>
        <v>2.7202067393061136E-2</v>
      </c>
      <c r="P178" s="3">
        <f t="shared" si="114"/>
        <v>2.6691228913157408E-2</v>
      </c>
      <c r="Q178" s="3">
        <f t="shared" si="114"/>
        <v>2.2081834325875179E-2</v>
      </c>
      <c r="R178" s="3">
        <f t="shared" si="114"/>
        <v>3.3166597408368641E-3</v>
      </c>
      <c r="S178" s="3">
        <f t="shared" si="114"/>
        <v>1.9380217149939092E-11</v>
      </c>
      <c r="T178" s="3">
        <f t="shared" si="114"/>
        <v>8.9936469772610938E-94</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2.1214287036784938E-2</v>
      </c>
      <c r="C179" s="3">
        <f t="shared" si="115"/>
        <v>2.1214287036784935E-2</v>
      </c>
      <c r="D179" s="3">
        <f t="shared" si="115"/>
        <v>2.1214287036784896E-2</v>
      </c>
      <c r="E179" s="3">
        <f t="shared" si="115"/>
        <v>2.1214287036784536E-2</v>
      </c>
      <c r="F179" s="3">
        <f t="shared" si="115"/>
        <v>2.1214287036780907E-2</v>
      </c>
      <c r="G179" s="3">
        <f t="shared" si="115"/>
        <v>2.1214287036744627E-2</v>
      </c>
      <c r="H179" s="3">
        <f t="shared" si="115"/>
        <v>2.121428703638183E-2</v>
      </c>
      <c r="I179" s="3">
        <f t="shared" si="115"/>
        <v>2.1214287032753829E-2</v>
      </c>
      <c r="J179" s="3">
        <f t="shared" si="115"/>
        <v>2.1214286996473864E-2</v>
      </c>
      <c r="K179" s="3">
        <f t="shared" si="115"/>
        <v>2.1214286633674192E-2</v>
      </c>
      <c r="L179" s="3">
        <f t="shared" si="115"/>
        <v>2.1214283005677806E-2</v>
      </c>
      <c r="M179" s="3">
        <f t="shared" si="115"/>
        <v>2.12142467257481E-2</v>
      </c>
      <c r="N179" s="3">
        <f t="shared" si="115"/>
        <v>2.121388392986347E-2</v>
      </c>
      <c r="O179" s="3">
        <f t="shared" si="115"/>
        <v>2.1210256312239564E-2</v>
      </c>
      <c r="P179" s="3">
        <f t="shared" si="115"/>
        <v>2.1174014236656241E-2</v>
      </c>
      <c r="Q179" s="3">
        <f t="shared" si="115"/>
        <v>2.0814982067163479E-2</v>
      </c>
      <c r="R179" s="3">
        <f t="shared" si="115"/>
        <v>1.7543023462521564E-2</v>
      </c>
      <c r="S179" s="3">
        <f t="shared" si="115"/>
        <v>3.1724039045285873E-3</v>
      </c>
      <c r="T179" s="3">
        <f t="shared" si="115"/>
        <v>1.1863935880460062E-10</v>
      </c>
      <c r="U179" s="3">
        <f t="shared" si="115"/>
        <v>6.3479272670750593E-85</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3.4718036830476549E-2</v>
      </c>
      <c r="C180" s="3">
        <f t="shared" si="116"/>
        <v>3.4718036830476549E-2</v>
      </c>
      <c r="D180" s="3">
        <f t="shared" si="116"/>
        <v>3.4718036830476542E-2</v>
      </c>
      <c r="E180" s="3">
        <f t="shared" si="116"/>
        <v>3.4718036830476494E-2</v>
      </c>
      <c r="F180" s="3">
        <f t="shared" si="116"/>
        <v>3.4718036830475953E-2</v>
      </c>
      <c r="G180" s="3">
        <f t="shared" si="116"/>
        <v>3.4718036830470596E-2</v>
      </c>
      <c r="H180" s="3">
        <f t="shared" si="116"/>
        <v>3.4718036830417041E-2</v>
      </c>
      <c r="I180" s="3">
        <f t="shared" si="116"/>
        <v>3.4718036829881435E-2</v>
      </c>
      <c r="J180" s="3">
        <f t="shared" si="116"/>
        <v>3.4718036824525442E-2</v>
      </c>
      <c r="K180" s="3">
        <f t="shared" si="116"/>
        <v>3.4718036770965487E-2</v>
      </c>
      <c r="L180" s="3">
        <f t="shared" si="116"/>
        <v>3.471803623536595E-2</v>
      </c>
      <c r="M180" s="3">
        <f t="shared" si="116"/>
        <v>3.471803087937099E-2</v>
      </c>
      <c r="N180" s="3">
        <f t="shared" si="116"/>
        <v>3.4717977319466839E-2</v>
      </c>
      <c r="O180" s="3">
        <f t="shared" si="116"/>
        <v>3.4717441724969836E-2</v>
      </c>
      <c r="P180" s="3">
        <f t="shared" si="116"/>
        <v>3.4712086234422852E-2</v>
      </c>
      <c r="Q180" s="3">
        <f t="shared" si="116"/>
        <v>3.4658576745333784E-2</v>
      </c>
      <c r="R180" s="3">
        <f t="shared" si="116"/>
        <v>3.4127997675308802E-2</v>
      </c>
      <c r="S180" s="3">
        <f t="shared" si="116"/>
        <v>2.9249042218905737E-2</v>
      </c>
      <c r="T180" s="3">
        <f t="shared" si="116"/>
        <v>6.2534554142675341E-3</v>
      </c>
      <c r="U180" s="3">
        <f t="shared" si="116"/>
        <v>1.2479699896461257E-9</v>
      </c>
      <c r="V180" s="3">
        <f t="shared" si="116"/>
        <v>1.2503885340931039E-76</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3.054172570036021E-2</v>
      </c>
      <c r="C181" s="3">
        <f t="shared" si="117"/>
        <v>3.054172570036021E-2</v>
      </c>
      <c r="D181" s="3">
        <f t="shared" si="117"/>
        <v>3.054172570036021E-2</v>
      </c>
      <c r="E181" s="3">
        <f t="shared" si="117"/>
        <v>3.0541725700360206E-2</v>
      </c>
      <c r="F181" s="3">
        <f t="shared" si="117"/>
        <v>3.0541725700360161E-2</v>
      </c>
      <c r="G181" s="3">
        <f t="shared" si="117"/>
        <v>3.0541725700359738E-2</v>
      </c>
      <c r="H181" s="3">
        <f t="shared" si="117"/>
        <v>3.0541725700355488E-2</v>
      </c>
      <c r="I181" s="3">
        <f t="shared" si="117"/>
        <v>3.0541725700312983E-2</v>
      </c>
      <c r="J181" s="3">
        <f t="shared" si="117"/>
        <v>3.0541725699887948E-2</v>
      </c>
      <c r="K181" s="3">
        <f t="shared" si="117"/>
        <v>3.0541725695637595E-2</v>
      </c>
      <c r="L181" s="3">
        <f t="shared" si="117"/>
        <v>3.0541725653134042E-2</v>
      </c>
      <c r="M181" s="3">
        <f t="shared" si="117"/>
        <v>3.0541725228098546E-2</v>
      </c>
      <c r="N181" s="3">
        <f t="shared" si="117"/>
        <v>3.0541720977743915E-2</v>
      </c>
      <c r="O181" s="3">
        <f t="shared" si="117"/>
        <v>3.0541678474230116E-2</v>
      </c>
      <c r="P181" s="3">
        <f t="shared" si="117"/>
        <v>3.054125344234539E-2</v>
      </c>
      <c r="Q181" s="3">
        <f t="shared" si="117"/>
        <v>3.05370034488061E-2</v>
      </c>
      <c r="R181" s="3">
        <f t="shared" si="117"/>
        <v>3.0494536027464079E-2</v>
      </c>
      <c r="S181" s="3">
        <f t="shared" si="117"/>
        <v>3.0073096539383726E-2</v>
      </c>
      <c r="T181" s="3">
        <f t="shared" si="117"/>
        <v>2.6166120260102056E-2</v>
      </c>
      <c r="U181" s="3">
        <f t="shared" si="117"/>
        <v>6.5065561132561789E-3</v>
      </c>
      <c r="V181" s="3">
        <f t="shared" si="117"/>
        <v>5.8812500446225585E-9</v>
      </c>
      <c r="W181" s="3">
        <f t="shared" si="117"/>
        <v>2.1411854783673834E-69</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4.0592217810354776E-2</v>
      </c>
      <c r="C182" s="3">
        <f t="shared" si="118"/>
        <v>4.0592217810354776E-2</v>
      </c>
      <c r="D182" s="3">
        <f t="shared" si="118"/>
        <v>4.0592217810354776E-2</v>
      </c>
      <c r="E182" s="3">
        <f t="shared" si="118"/>
        <v>4.0592217810354776E-2</v>
      </c>
      <c r="F182" s="3">
        <f t="shared" si="118"/>
        <v>4.0592217810354769E-2</v>
      </c>
      <c r="G182" s="3">
        <f t="shared" si="118"/>
        <v>4.0592217810354721E-2</v>
      </c>
      <c r="H182" s="3">
        <f t="shared" si="118"/>
        <v>4.0592217810354207E-2</v>
      </c>
      <c r="I182" s="3">
        <f t="shared" si="118"/>
        <v>4.0592217810349114E-2</v>
      </c>
      <c r="J182" s="3">
        <f t="shared" si="118"/>
        <v>4.0592217810298155E-2</v>
      </c>
      <c r="K182" s="3">
        <f t="shared" si="118"/>
        <v>4.0592217809788569E-2</v>
      </c>
      <c r="L182" s="3">
        <f t="shared" si="118"/>
        <v>4.0592217804692667E-2</v>
      </c>
      <c r="M182" s="3">
        <f t="shared" si="118"/>
        <v>4.0592217753733652E-2</v>
      </c>
      <c r="N182" s="3">
        <f t="shared" si="118"/>
        <v>4.0592217244143532E-2</v>
      </c>
      <c r="O182" s="3">
        <f t="shared" si="118"/>
        <v>4.0592212148242678E-2</v>
      </c>
      <c r="P182" s="3">
        <f t="shared" si="118"/>
        <v>4.0592161189269317E-2</v>
      </c>
      <c r="Q182" s="3">
        <f t="shared" si="118"/>
        <v>4.0591651603054245E-2</v>
      </c>
      <c r="R182" s="3">
        <f t="shared" si="118"/>
        <v>4.0586556092738937E-2</v>
      </c>
      <c r="S182" s="3">
        <f t="shared" si="118"/>
        <v>4.0535636156786126E-2</v>
      </c>
      <c r="T182" s="3">
        <f t="shared" si="118"/>
        <v>4.0029937237052053E-2</v>
      </c>
      <c r="U182" s="3">
        <f t="shared" si="118"/>
        <v>3.5307264390716436E-2</v>
      </c>
      <c r="V182" s="3">
        <f t="shared" si="118"/>
        <v>1.006133651825405E-2</v>
      </c>
      <c r="W182" s="3">
        <f t="shared" si="118"/>
        <v>3.5528079129345036E-8</v>
      </c>
      <c r="X182" s="3">
        <f t="shared" si="118"/>
        <v>1.0708589046387931E-62</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4.4579554777240793E-2</v>
      </c>
      <c r="C183" s="3">
        <f t="shared" si="119"/>
        <v>4.4579554777240793E-2</v>
      </c>
      <c r="D183" s="3">
        <f t="shared" si="119"/>
        <v>4.4579554777240793E-2</v>
      </c>
      <c r="E183" s="3">
        <f t="shared" si="119"/>
        <v>4.4579554777240793E-2</v>
      </c>
      <c r="F183" s="3">
        <f t="shared" si="119"/>
        <v>4.4579554777240793E-2</v>
      </c>
      <c r="G183" s="3">
        <f t="shared" si="119"/>
        <v>4.4579554777240786E-2</v>
      </c>
      <c r="H183" s="3">
        <f t="shared" si="119"/>
        <v>4.4579554777240737E-2</v>
      </c>
      <c r="I183" s="3">
        <f t="shared" si="119"/>
        <v>4.4579554777240231E-2</v>
      </c>
      <c r="J183" s="3">
        <f t="shared" si="119"/>
        <v>4.4579554777235186E-2</v>
      </c>
      <c r="K183" s="3">
        <f t="shared" si="119"/>
        <v>4.4579554777184699E-2</v>
      </c>
      <c r="L183" s="3">
        <f t="shared" si="119"/>
        <v>4.4579554776679853E-2</v>
      </c>
      <c r="M183" s="3">
        <f t="shared" si="119"/>
        <v>4.457955477163137E-2</v>
      </c>
      <c r="N183" s="3">
        <f t="shared" si="119"/>
        <v>4.4579554721146587E-2</v>
      </c>
      <c r="O183" s="3">
        <f t="shared" si="119"/>
        <v>4.4579554216298702E-2</v>
      </c>
      <c r="P183" s="3">
        <f t="shared" si="119"/>
        <v>4.4579549167820205E-2</v>
      </c>
      <c r="Q183" s="3">
        <f t="shared" si="119"/>
        <v>4.4579498683066716E-2</v>
      </c>
      <c r="R183" s="3">
        <f t="shared" si="119"/>
        <v>4.4578993838676202E-2</v>
      </c>
      <c r="S183" s="3">
        <f t="shared" si="119"/>
        <v>4.4573945709203935E-2</v>
      </c>
      <c r="T183" s="3">
        <f t="shared" si="119"/>
        <v>4.4523495844588819E-2</v>
      </c>
      <c r="U183" s="3">
        <f t="shared" si="119"/>
        <v>4.4022127079396525E-2</v>
      </c>
      <c r="V183" s="3">
        <f t="shared" si="119"/>
        <v>3.9308700812784807E-2</v>
      </c>
      <c r="W183" s="3">
        <f t="shared" si="119"/>
        <v>1.2666754728412357E-2</v>
      </c>
      <c r="X183" s="3">
        <f t="shared" si="119"/>
        <v>1.5290865592847829E-7</v>
      </c>
      <c r="Y183" s="3">
        <f t="shared" si="119"/>
        <v>1.0048452118928668E-56</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6.2079559793872717E-2</v>
      </c>
      <c r="C184" s="3">
        <f t="shared" si="120"/>
        <v>6.2079559793872717E-2</v>
      </c>
      <c r="D184" s="3">
        <f t="shared" si="120"/>
        <v>6.2079559793872717E-2</v>
      </c>
      <c r="E184" s="3">
        <f t="shared" si="120"/>
        <v>6.2079559793872717E-2</v>
      </c>
      <c r="F184" s="3">
        <f t="shared" si="120"/>
        <v>6.2079559793872717E-2</v>
      </c>
      <c r="G184" s="3">
        <f t="shared" si="120"/>
        <v>6.2079559793872717E-2</v>
      </c>
      <c r="H184" s="3">
        <f t="shared" si="120"/>
        <v>6.207955979387271E-2</v>
      </c>
      <c r="I184" s="3">
        <f t="shared" si="120"/>
        <v>6.2079559793872648E-2</v>
      </c>
      <c r="J184" s="3">
        <f t="shared" si="120"/>
        <v>6.2079559793872016E-2</v>
      </c>
      <c r="K184" s="3">
        <f t="shared" si="120"/>
        <v>6.2079559793865674E-2</v>
      </c>
      <c r="L184" s="3">
        <f t="shared" si="120"/>
        <v>6.2079559793802253E-2</v>
      </c>
      <c r="M184" s="3">
        <f t="shared" si="120"/>
        <v>6.2079559793168065E-2</v>
      </c>
      <c r="N184" s="3">
        <f t="shared" si="120"/>
        <v>6.2079559786826152E-2</v>
      </c>
      <c r="O184" s="3">
        <f t="shared" si="120"/>
        <v>6.2079559723407056E-2</v>
      </c>
      <c r="P184" s="3">
        <f t="shared" si="120"/>
        <v>6.207955908921612E-2</v>
      </c>
      <c r="Q184" s="3">
        <f t="shared" si="120"/>
        <v>6.2079552747307115E-2</v>
      </c>
      <c r="R184" s="3">
        <f t="shared" si="120"/>
        <v>6.2079489328252711E-2</v>
      </c>
      <c r="S184" s="3">
        <f t="shared" si="120"/>
        <v>6.2078855141271955E-2</v>
      </c>
      <c r="T184" s="3">
        <f t="shared" si="120"/>
        <v>6.2072513627780906E-2</v>
      </c>
      <c r="U184" s="3">
        <f t="shared" si="120"/>
        <v>6.2009134111052147E-2</v>
      </c>
      <c r="V184" s="3">
        <f t="shared" si="120"/>
        <v>6.1378887335557401E-2</v>
      </c>
      <c r="W184" s="3">
        <f t="shared" si="120"/>
        <v>5.5418205084895721E-2</v>
      </c>
      <c r="X184" s="3">
        <f t="shared" si="120"/>
        <v>1.9952021170811279E-2</v>
      </c>
      <c r="Y184" s="3">
        <f t="shared" si="120"/>
        <v>7.3001420590849839E-7</v>
      </c>
      <c r="Z184" s="3">
        <f t="shared" si="120"/>
        <v>3.1388853756170902E-51</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0.10578931784531295</v>
      </c>
      <c r="C185" s="3">
        <f t="shared" si="121"/>
        <v>0.10578931784531295</v>
      </c>
      <c r="D185" s="3">
        <f t="shared" si="121"/>
        <v>0.10578931784531295</v>
      </c>
      <c r="E185" s="3">
        <f t="shared" si="121"/>
        <v>0.10578931784531295</v>
      </c>
      <c r="F185" s="3">
        <f t="shared" si="121"/>
        <v>0.10578931784531295</v>
      </c>
      <c r="G185" s="3">
        <f t="shared" si="121"/>
        <v>0.10578931784531295</v>
      </c>
      <c r="H185" s="3">
        <f t="shared" si="121"/>
        <v>0.10578931784531295</v>
      </c>
      <c r="I185" s="3">
        <f t="shared" si="121"/>
        <v>0.10578931784531294</v>
      </c>
      <c r="J185" s="3">
        <f t="shared" si="121"/>
        <v>0.10578931784531284</v>
      </c>
      <c r="K185" s="3">
        <f t="shared" si="121"/>
        <v>0.10578931784531187</v>
      </c>
      <c r="L185" s="3">
        <f t="shared" si="121"/>
        <v>0.10578931784530213</v>
      </c>
      <c r="M185" s="3">
        <f t="shared" si="121"/>
        <v>0.10578931784520462</v>
      </c>
      <c r="N185" s="3">
        <f t="shared" si="121"/>
        <v>0.10578931784422972</v>
      </c>
      <c r="O185" s="3">
        <f t="shared" si="121"/>
        <v>0.10578931783448074</v>
      </c>
      <c r="P185" s="3">
        <f t="shared" si="121"/>
        <v>0.1057893177369908</v>
      </c>
      <c r="Q185" s="3">
        <f t="shared" si="121"/>
        <v>0.10578931676209138</v>
      </c>
      <c r="R185" s="3">
        <f t="shared" si="121"/>
        <v>0.10578930701309772</v>
      </c>
      <c r="S185" s="3">
        <f t="shared" si="121"/>
        <v>0.10578920952321054</v>
      </c>
      <c r="T185" s="3">
        <f t="shared" si="121"/>
        <v>0.10578823462928003</v>
      </c>
      <c r="U185" s="3">
        <f t="shared" si="121"/>
        <v>0.10577848618408538</v>
      </c>
      <c r="V185" s="3">
        <f t="shared" si="121"/>
        <v>0.10568105112634077</v>
      </c>
      <c r="W185" s="3">
        <f t="shared" si="121"/>
        <v>0.10471162316844354</v>
      </c>
      <c r="X185" s="3">
        <f t="shared" si="121"/>
        <v>9.5493226509300366E-2</v>
      </c>
      <c r="Y185" s="3">
        <f t="shared" si="121"/>
        <v>3.7997001344909014E-2</v>
      </c>
      <c r="Z185" s="3">
        <f t="shared" si="121"/>
        <v>3.7802184021682079E-6</v>
      </c>
      <c r="AA185" s="3">
        <f t="shared" si="121"/>
        <v>3.5908111822195538E-46</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8.5446045134986312E-2</v>
      </c>
      <c r="C186" s="3">
        <f t="shared" si="122"/>
        <v>8.5446045134986312E-2</v>
      </c>
      <c r="D186" s="3">
        <f t="shared" si="122"/>
        <v>8.5446045134986312E-2</v>
      </c>
      <c r="E186" s="3">
        <f t="shared" si="122"/>
        <v>8.5446045134986312E-2</v>
      </c>
      <c r="F186" s="3">
        <f t="shared" si="122"/>
        <v>8.5446045134986312E-2</v>
      </c>
      <c r="G186" s="3">
        <f t="shared" si="122"/>
        <v>8.5446045134986312E-2</v>
      </c>
      <c r="H186" s="3">
        <f t="shared" si="122"/>
        <v>8.5446045134986312E-2</v>
      </c>
      <c r="I186" s="3">
        <f t="shared" si="122"/>
        <v>8.5446045134986312E-2</v>
      </c>
      <c r="J186" s="3">
        <f t="shared" si="122"/>
        <v>8.5446045134986298E-2</v>
      </c>
      <c r="K186" s="3">
        <f t="shared" si="122"/>
        <v>8.5446045134986243E-2</v>
      </c>
      <c r="L186" s="3">
        <f t="shared" si="122"/>
        <v>8.5446045134985521E-2</v>
      </c>
      <c r="M186" s="3">
        <f t="shared" si="122"/>
        <v>8.5446045134978416E-2</v>
      </c>
      <c r="N186" s="3">
        <f t="shared" si="122"/>
        <v>8.5446045134907389E-2</v>
      </c>
      <c r="O186" s="3">
        <f t="shared" si="122"/>
        <v>8.5446045134197054E-2</v>
      </c>
      <c r="P186" s="3">
        <f t="shared" si="122"/>
        <v>8.544604512709382E-2</v>
      </c>
      <c r="Q186" s="3">
        <f t="shared" si="122"/>
        <v>8.5446045056061418E-2</v>
      </c>
      <c r="R186" s="3">
        <f t="shared" si="122"/>
        <v>8.5446044345737313E-2</v>
      </c>
      <c r="S186" s="3">
        <f t="shared" si="122"/>
        <v>8.5446037242496622E-2</v>
      </c>
      <c r="T186" s="3">
        <f t="shared" si="122"/>
        <v>8.5445966210122196E-2</v>
      </c>
      <c r="U186" s="3">
        <f t="shared" si="122"/>
        <v>8.544525588962576E-2</v>
      </c>
      <c r="V186" s="3">
        <f t="shared" si="122"/>
        <v>8.5438153009426199E-2</v>
      </c>
      <c r="W186" s="3">
        <f t="shared" si="122"/>
        <v>8.5367156673926095E-2</v>
      </c>
      <c r="X186" s="3">
        <f t="shared" si="122"/>
        <v>8.4660430004411244E-2</v>
      </c>
      <c r="Y186" s="3">
        <f t="shared" si="122"/>
        <v>7.7907093788177381E-2</v>
      </c>
      <c r="Z186" s="3">
        <f t="shared" si="122"/>
        <v>3.3926756608690489E-2</v>
      </c>
      <c r="AA186" s="3">
        <f t="shared" si="122"/>
        <v>8.3213872968961856E-6</v>
      </c>
      <c r="AB186" s="3">
        <f t="shared" si="122"/>
        <v>6.5573695492283111E-42</v>
      </c>
      <c r="AC186" s="3">
        <f t="shared" si="122"/>
        <v>0</v>
      </c>
      <c r="AD186" s="3">
        <f t="shared" si="122"/>
        <v>0</v>
      </c>
      <c r="AE186" s="3">
        <f t="shared" si="122"/>
        <v>0</v>
      </c>
      <c r="AF186" s="3">
        <f t="shared" si="122"/>
        <v>0</v>
      </c>
      <c r="AG186" s="3"/>
      <c r="AH186" s="3"/>
    </row>
    <row r="187" spans="2:34" x14ac:dyDescent="0.25">
      <c r="B187" s="3">
        <f t="shared" ref="B187:AF187" si="123">$C34*EXP(-B$168/$A34/EXP(-$C$126))</f>
        <v>5.8777528752493244E-2</v>
      </c>
      <c r="C187" s="3">
        <f t="shared" si="123"/>
        <v>5.8777528752493244E-2</v>
      </c>
      <c r="D187" s="3">
        <f t="shared" si="123"/>
        <v>5.8777528752493244E-2</v>
      </c>
      <c r="E187" s="3">
        <f t="shared" si="123"/>
        <v>5.8777528752493244E-2</v>
      </c>
      <c r="F187" s="3">
        <f t="shared" si="123"/>
        <v>5.8777528752493244E-2</v>
      </c>
      <c r="G187" s="3">
        <f t="shared" si="123"/>
        <v>5.8777528752493244E-2</v>
      </c>
      <c r="H187" s="3">
        <f t="shared" si="123"/>
        <v>5.8777528752493244E-2</v>
      </c>
      <c r="I187" s="3">
        <f t="shared" si="123"/>
        <v>5.8777528752493244E-2</v>
      </c>
      <c r="J187" s="3">
        <f t="shared" si="123"/>
        <v>5.8777528752493244E-2</v>
      </c>
      <c r="K187" s="3">
        <f t="shared" si="123"/>
        <v>5.8777528752493237E-2</v>
      </c>
      <c r="L187" s="3">
        <f t="shared" si="123"/>
        <v>5.8777528752493188E-2</v>
      </c>
      <c r="M187" s="3">
        <f t="shared" si="123"/>
        <v>5.8777528752492751E-2</v>
      </c>
      <c r="N187" s="3">
        <f t="shared" si="123"/>
        <v>5.8777528752488345E-2</v>
      </c>
      <c r="O187" s="3">
        <f t="shared" si="123"/>
        <v>5.8777528752444269E-2</v>
      </c>
      <c r="P187" s="3">
        <f t="shared" si="123"/>
        <v>5.877752875200349E-2</v>
      </c>
      <c r="Q187" s="3">
        <f t="shared" si="123"/>
        <v>5.8777528747595682E-2</v>
      </c>
      <c r="R187" s="3">
        <f t="shared" si="123"/>
        <v>5.8777528703517615E-2</v>
      </c>
      <c r="S187" s="3">
        <f t="shared" si="123"/>
        <v>5.8777528262736987E-2</v>
      </c>
      <c r="T187" s="3">
        <f t="shared" si="123"/>
        <v>5.8777523854930909E-2</v>
      </c>
      <c r="U187" s="3">
        <f t="shared" si="123"/>
        <v>5.8777479776888221E-2</v>
      </c>
      <c r="V187" s="3">
        <f t="shared" si="123"/>
        <v>5.8777038998279407E-2</v>
      </c>
      <c r="W187" s="3">
        <f t="shared" si="123"/>
        <v>5.8772631393986696E-2</v>
      </c>
      <c r="X187" s="3">
        <f t="shared" si="123"/>
        <v>5.8728573525560004E-2</v>
      </c>
      <c r="Y187" s="3">
        <f t="shared" si="123"/>
        <v>5.8289807258596206E-2</v>
      </c>
      <c r="Z187" s="3">
        <f t="shared" si="123"/>
        <v>5.4078456727328958E-2</v>
      </c>
      <c r="AA187" s="3">
        <f t="shared" si="123"/>
        <v>2.5547063657827294E-2</v>
      </c>
      <c r="AB187" s="3">
        <f t="shared" si="123"/>
        <v>1.41419076935455E-5</v>
      </c>
      <c r="AC187" s="3">
        <f t="shared" si="123"/>
        <v>3.8210091584693178E-38</v>
      </c>
      <c r="AD187" s="3">
        <f t="shared" si="123"/>
        <v>0</v>
      </c>
      <c r="AE187" s="3">
        <f t="shared" si="123"/>
        <v>0</v>
      </c>
      <c r="AF187" s="3">
        <f t="shared" si="123"/>
        <v>0</v>
      </c>
      <c r="AG187" s="3"/>
      <c r="AH187" s="3"/>
    </row>
    <row r="188" spans="2:34" x14ac:dyDescent="0.25">
      <c r="B188" s="3">
        <f t="shared" ref="B188:AF188" si="124">$C35*EXP(-B$168/$A35/EXP(-$C$126))</f>
        <v>3.044822143643108E-2</v>
      </c>
      <c r="C188" s="3">
        <f t="shared" si="124"/>
        <v>3.044822143643108E-2</v>
      </c>
      <c r="D188" s="3">
        <f t="shared" si="124"/>
        <v>3.044822143643108E-2</v>
      </c>
      <c r="E188" s="3">
        <f t="shared" si="124"/>
        <v>3.044822143643108E-2</v>
      </c>
      <c r="F188" s="3">
        <f t="shared" si="124"/>
        <v>3.044822143643108E-2</v>
      </c>
      <c r="G188" s="3">
        <f t="shared" si="124"/>
        <v>3.044822143643108E-2</v>
      </c>
      <c r="H188" s="3">
        <f t="shared" si="124"/>
        <v>3.044822143643108E-2</v>
      </c>
      <c r="I188" s="3">
        <f t="shared" si="124"/>
        <v>3.044822143643108E-2</v>
      </c>
      <c r="J188" s="3">
        <f t="shared" si="124"/>
        <v>3.044822143643108E-2</v>
      </c>
      <c r="K188" s="3">
        <f t="shared" si="124"/>
        <v>3.044822143643108E-2</v>
      </c>
      <c r="L188" s="3">
        <f t="shared" si="124"/>
        <v>3.0448221436431076E-2</v>
      </c>
      <c r="M188" s="3">
        <f t="shared" si="124"/>
        <v>3.0448221436431055E-2</v>
      </c>
      <c r="N188" s="3">
        <f t="shared" si="124"/>
        <v>3.0448221436430851E-2</v>
      </c>
      <c r="O188" s="3">
        <f t="shared" si="124"/>
        <v>3.044822143642879E-2</v>
      </c>
      <c r="P188" s="3">
        <f t="shared" si="124"/>
        <v>3.0448221436408195E-2</v>
      </c>
      <c r="Q188" s="3">
        <f t="shared" si="124"/>
        <v>3.0448221436202214E-2</v>
      </c>
      <c r="R188" s="3">
        <f t="shared" si="124"/>
        <v>3.0448221434142438E-2</v>
      </c>
      <c r="S188" s="3">
        <f t="shared" si="124"/>
        <v>3.0448221413544696E-2</v>
      </c>
      <c r="T188" s="3">
        <f t="shared" si="124"/>
        <v>3.0448221207567239E-2</v>
      </c>
      <c r="U188" s="3">
        <f t="shared" si="124"/>
        <v>3.0448219147792725E-2</v>
      </c>
      <c r="V188" s="3">
        <f t="shared" si="124"/>
        <v>3.0448198550055264E-2</v>
      </c>
      <c r="W188" s="3">
        <f t="shared" si="124"/>
        <v>3.0447992573447036E-2</v>
      </c>
      <c r="X188" s="3">
        <f t="shared" si="124"/>
        <v>3.0445932883999903E-2</v>
      </c>
      <c r="Y188" s="3">
        <f t="shared" si="124"/>
        <v>3.0425343651126903E-2</v>
      </c>
      <c r="Z188" s="3">
        <f t="shared" si="124"/>
        <v>3.022021556800385E-2</v>
      </c>
      <c r="AA188" s="3">
        <f t="shared" si="124"/>
        <v>2.8243480518368901E-2</v>
      </c>
      <c r="AB188" s="3">
        <f t="shared" si="124"/>
        <v>1.435901948422248E-2</v>
      </c>
      <c r="AC188" s="3">
        <f t="shared" si="124"/>
        <v>1.6564963514829231E-5</v>
      </c>
      <c r="AD188" s="3">
        <f t="shared" si="124"/>
        <v>6.9158803678381338E-35</v>
      </c>
      <c r="AE188" s="3">
        <f t="shared" si="124"/>
        <v>0</v>
      </c>
      <c r="AF188" s="3">
        <f t="shared" si="124"/>
        <v>0</v>
      </c>
      <c r="AG188" s="3"/>
      <c r="AH188" s="3"/>
    </row>
    <row r="189" spans="2:34" x14ac:dyDescent="0.25">
      <c r="B189" s="3">
        <f t="shared" ref="B189:AF189" si="125">$C36*EXP(-B$168/$A36/EXP(-$C$126))</f>
        <v>1.5917825428886163E-2</v>
      </c>
      <c r="C189" s="3">
        <f t="shared" si="125"/>
        <v>1.5917825428886163E-2</v>
      </c>
      <c r="D189" s="3">
        <f t="shared" si="125"/>
        <v>1.5917825428886163E-2</v>
      </c>
      <c r="E189" s="3">
        <f t="shared" si="125"/>
        <v>1.5917825428886163E-2</v>
      </c>
      <c r="F189" s="3">
        <f t="shared" si="125"/>
        <v>1.5917825428886163E-2</v>
      </c>
      <c r="G189" s="3">
        <f t="shared" si="125"/>
        <v>1.5917825428886163E-2</v>
      </c>
      <c r="H189" s="3">
        <f t="shared" si="125"/>
        <v>1.5917825428886163E-2</v>
      </c>
      <c r="I189" s="3">
        <f t="shared" si="125"/>
        <v>1.5917825428886163E-2</v>
      </c>
      <c r="J189" s="3">
        <f t="shared" si="125"/>
        <v>1.5917825428886163E-2</v>
      </c>
      <c r="K189" s="3">
        <f t="shared" si="125"/>
        <v>1.5917825428886163E-2</v>
      </c>
      <c r="L189" s="3">
        <f t="shared" si="125"/>
        <v>1.5917825428886163E-2</v>
      </c>
      <c r="M189" s="3">
        <f t="shared" si="125"/>
        <v>1.5917825428886159E-2</v>
      </c>
      <c r="N189" s="3">
        <f t="shared" si="125"/>
        <v>1.5917825428886152E-2</v>
      </c>
      <c r="O189" s="3">
        <f t="shared" si="125"/>
        <v>1.5917825428886055E-2</v>
      </c>
      <c r="P189" s="3">
        <f t="shared" si="125"/>
        <v>1.5917825428885084E-2</v>
      </c>
      <c r="Q189" s="3">
        <f t="shared" si="125"/>
        <v>1.5917825428875369E-2</v>
      </c>
      <c r="R189" s="3">
        <f t="shared" si="125"/>
        <v>1.5917825428778232E-2</v>
      </c>
      <c r="S189" s="3">
        <f t="shared" si="125"/>
        <v>1.5917825427806856E-2</v>
      </c>
      <c r="T189" s="3">
        <f t="shared" si="125"/>
        <v>1.5917825418093078E-2</v>
      </c>
      <c r="U189" s="3">
        <f t="shared" si="125"/>
        <v>1.5917825320955314E-2</v>
      </c>
      <c r="V189" s="3">
        <f t="shared" si="125"/>
        <v>1.5917824349577725E-2</v>
      </c>
      <c r="W189" s="3">
        <f t="shared" si="125"/>
        <v>1.5917814635805067E-2</v>
      </c>
      <c r="X189" s="3">
        <f t="shared" si="125"/>
        <v>1.5917717498404538E-2</v>
      </c>
      <c r="Y189" s="3">
        <f t="shared" si="125"/>
        <v>1.591674615700121E-2</v>
      </c>
      <c r="Z189" s="3">
        <f t="shared" si="125"/>
        <v>1.5907036002432002E-2</v>
      </c>
      <c r="AA189" s="3">
        <f t="shared" si="125"/>
        <v>1.5810259668388133E-2</v>
      </c>
      <c r="AB189" s="3">
        <f t="shared" si="125"/>
        <v>1.4874295027254986E-2</v>
      </c>
      <c r="AC189" s="3">
        <f t="shared" si="125"/>
        <v>8.0799798200958377E-3</v>
      </c>
      <c r="AD189" s="3">
        <f t="shared" si="125"/>
        <v>1.8077947627458436E-5</v>
      </c>
      <c r="AE189" s="3">
        <f t="shared" si="125"/>
        <v>5.6824758883589663E-32</v>
      </c>
      <c r="AF189" s="3">
        <f t="shared" si="125"/>
        <v>5.350845100392837E-297</v>
      </c>
      <c r="AG189" s="3"/>
      <c r="AH189" s="3"/>
    </row>
    <row r="190" spans="2:34" x14ac:dyDescent="0.25">
      <c r="B190" s="3">
        <f t="shared" ref="B190:AF190" si="126">$C37*EXP(-B$168/$A37/EXP(-$C$126))</f>
        <v>7.4710107179745602E-3</v>
      </c>
      <c r="C190" s="3">
        <f t="shared" si="126"/>
        <v>7.4710107179745602E-3</v>
      </c>
      <c r="D190" s="3">
        <f t="shared" si="126"/>
        <v>7.4710107179745602E-3</v>
      </c>
      <c r="E190" s="3">
        <f t="shared" si="126"/>
        <v>7.4710107179745602E-3</v>
      </c>
      <c r="F190" s="3">
        <f t="shared" si="126"/>
        <v>7.4710107179745602E-3</v>
      </c>
      <c r="G190" s="3">
        <f t="shared" si="126"/>
        <v>7.4710107179745602E-3</v>
      </c>
      <c r="H190" s="3">
        <f t="shared" si="126"/>
        <v>7.4710107179745602E-3</v>
      </c>
      <c r="I190" s="3">
        <f t="shared" si="126"/>
        <v>7.4710107179745602E-3</v>
      </c>
      <c r="J190" s="3">
        <f t="shared" si="126"/>
        <v>7.4710107179745602E-3</v>
      </c>
      <c r="K190" s="3">
        <f t="shared" si="126"/>
        <v>7.4710107179745602E-3</v>
      </c>
      <c r="L190" s="3">
        <f t="shared" si="126"/>
        <v>7.4710107179745602E-3</v>
      </c>
      <c r="M190" s="3">
        <f t="shared" si="126"/>
        <v>7.4710107179745602E-3</v>
      </c>
      <c r="N190" s="3">
        <f t="shared" si="126"/>
        <v>7.4710107179745593E-3</v>
      </c>
      <c r="O190" s="3">
        <f t="shared" si="126"/>
        <v>7.471010717974555E-3</v>
      </c>
      <c r="P190" s="3">
        <f t="shared" si="126"/>
        <v>7.4710107179745142E-3</v>
      </c>
      <c r="Q190" s="3">
        <f t="shared" si="126"/>
        <v>7.4710107179741031E-3</v>
      </c>
      <c r="R190" s="3">
        <f t="shared" si="126"/>
        <v>7.4710107179699909E-3</v>
      </c>
      <c r="S190" s="3">
        <f t="shared" si="126"/>
        <v>7.4710107179288632E-3</v>
      </c>
      <c r="T190" s="3">
        <f t="shared" si="126"/>
        <v>7.4710107175175906E-3</v>
      </c>
      <c r="U190" s="3">
        <f t="shared" si="126"/>
        <v>7.4710107134048588E-3</v>
      </c>
      <c r="V190" s="3">
        <f t="shared" si="126"/>
        <v>7.4710106722775489E-3</v>
      </c>
      <c r="W190" s="3">
        <f t="shared" si="126"/>
        <v>7.4710102610044578E-3</v>
      </c>
      <c r="X190" s="3">
        <f t="shared" si="126"/>
        <v>7.4710061482747931E-3</v>
      </c>
      <c r="Y190" s="3">
        <f t="shared" si="126"/>
        <v>7.4709650211026686E-3</v>
      </c>
      <c r="Z190" s="3">
        <f t="shared" si="126"/>
        <v>7.4705537618332844E-3</v>
      </c>
      <c r="AA190" s="3">
        <f t="shared" si="126"/>
        <v>7.4664424140715472E-3</v>
      </c>
      <c r="AB190" s="3">
        <f t="shared" si="126"/>
        <v>7.4254531764673792E-3</v>
      </c>
      <c r="AC190" s="3">
        <f t="shared" si="126"/>
        <v>7.0277354302051799E-3</v>
      </c>
      <c r="AD190" s="3">
        <f t="shared" si="126"/>
        <v>4.0526565432433947E-3</v>
      </c>
      <c r="AE190" s="3">
        <f t="shared" si="126"/>
        <v>1.6481007600975374E-5</v>
      </c>
      <c r="AF190" s="3">
        <f t="shared" si="126"/>
        <v>2.0390288081858996E-29</v>
      </c>
      <c r="AG190" s="3"/>
      <c r="AH190" s="3"/>
    </row>
    <row r="191" spans="2:34" x14ac:dyDescent="0.25">
      <c r="B191" s="3">
        <f t="shared" ref="B191:AF191" si="127">$C38*EXP(-B$168/$A38/EXP(-$C$126))</f>
        <v>1.4378472174592341E-3</v>
      </c>
      <c r="C191" s="3">
        <f t="shared" si="127"/>
        <v>1.4378472174592341E-3</v>
      </c>
      <c r="D191" s="3">
        <f t="shared" si="127"/>
        <v>1.4378472174592341E-3</v>
      </c>
      <c r="E191" s="3">
        <f t="shared" si="127"/>
        <v>1.4378472174592341E-3</v>
      </c>
      <c r="F191" s="3">
        <f t="shared" si="127"/>
        <v>1.4378472174592341E-3</v>
      </c>
      <c r="G191" s="3">
        <f t="shared" si="127"/>
        <v>1.4378472174592341E-3</v>
      </c>
      <c r="H191" s="3">
        <f t="shared" si="127"/>
        <v>1.4378472174592341E-3</v>
      </c>
      <c r="I191" s="3">
        <f t="shared" si="127"/>
        <v>1.4378472174592341E-3</v>
      </c>
      <c r="J191" s="3">
        <f t="shared" si="127"/>
        <v>1.4378472174592341E-3</v>
      </c>
      <c r="K191" s="3">
        <f t="shared" si="127"/>
        <v>1.4378472174592341E-3</v>
      </c>
      <c r="L191" s="3">
        <f t="shared" si="127"/>
        <v>1.4378472174592341E-3</v>
      </c>
      <c r="M191" s="3">
        <f t="shared" si="127"/>
        <v>1.4378472174592341E-3</v>
      </c>
      <c r="N191" s="3">
        <f t="shared" si="127"/>
        <v>1.4378472174592341E-3</v>
      </c>
      <c r="O191" s="3">
        <f t="shared" si="127"/>
        <v>1.4378472174592341E-3</v>
      </c>
      <c r="P191" s="3">
        <f t="shared" si="127"/>
        <v>1.4378472174592333E-3</v>
      </c>
      <c r="Q191" s="3">
        <f t="shared" si="127"/>
        <v>1.4378472174592261E-3</v>
      </c>
      <c r="R191" s="3">
        <f t="shared" si="127"/>
        <v>1.4378472174591548E-3</v>
      </c>
      <c r="S191" s="3">
        <f t="shared" si="127"/>
        <v>1.4378472174584407E-3</v>
      </c>
      <c r="T191" s="3">
        <f t="shared" si="127"/>
        <v>1.4378472174513006E-3</v>
      </c>
      <c r="U191" s="3">
        <f t="shared" si="127"/>
        <v>1.4378472173798985E-3</v>
      </c>
      <c r="V191" s="3">
        <f t="shared" si="127"/>
        <v>1.4378472166658787E-3</v>
      </c>
      <c r="W191" s="3">
        <f t="shared" si="127"/>
        <v>1.4378472095256804E-3</v>
      </c>
      <c r="X191" s="3">
        <f t="shared" si="127"/>
        <v>1.4378471381236979E-3</v>
      </c>
      <c r="Y191" s="3">
        <f t="shared" si="127"/>
        <v>1.4378464241040694E-3</v>
      </c>
      <c r="Z191" s="3">
        <f t="shared" si="127"/>
        <v>1.4378392839272862E-3</v>
      </c>
      <c r="AA191" s="3">
        <f t="shared" si="127"/>
        <v>1.4377678841095743E-3</v>
      </c>
      <c r="AB191" s="3">
        <f t="shared" si="127"/>
        <v>1.4370540809087702E-3</v>
      </c>
      <c r="AC191" s="3">
        <f t="shared" si="127"/>
        <v>1.429935510754996E-3</v>
      </c>
      <c r="AD191" s="3">
        <f t="shared" si="127"/>
        <v>1.360660705818427E-3</v>
      </c>
      <c r="AE191" s="3">
        <f t="shared" si="127"/>
        <v>8.2810185811208381E-4</v>
      </c>
      <c r="AF191" s="3">
        <f t="shared" si="127"/>
        <v>5.7732839680589312E-6</v>
      </c>
      <c r="AG191" s="3"/>
      <c r="AH191" s="3"/>
    </row>
    <row r="192" spans="2:34" x14ac:dyDescent="0.25">
      <c r="B192" s="3">
        <f t="shared" ref="B192:AF192" si="128">$C39*EXP(-B$168/$A39/EXP(-$C$126))</f>
        <v>4.7686363858368023E-3</v>
      </c>
      <c r="C192" s="3">
        <f t="shared" si="128"/>
        <v>4.7686363858368023E-3</v>
      </c>
      <c r="D192" s="3">
        <f t="shared" si="128"/>
        <v>4.7686363858368023E-3</v>
      </c>
      <c r="E192" s="3">
        <f t="shared" si="128"/>
        <v>4.7686363858368023E-3</v>
      </c>
      <c r="F192" s="3">
        <f t="shared" si="128"/>
        <v>4.7686363858368023E-3</v>
      </c>
      <c r="G192" s="3">
        <f t="shared" si="128"/>
        <v>4.7686363858368023E-3</v>
      </c>
      <c r="H192" s="3">
        <f t="shared" si="128"/>
        <v>4.7686363858368023E-3</v>
      </c>
      <c r="I192" s="3">
        <f t="shared" si="128"/>
        <v>4.7686363858368023E-3</v>
      </c>
      <c r="J192" s="3">
        <f t="shared" si="128"/>
        <v>4.7686363858368023E-3</v>
      </c>
      <c r="K192" s="3">
        <f t="shared" si="128"/>
        <v>4.7686363858368023E-3</v>
      </c>
      <c r="L192" s="3">
        <f t="shared" si="128"/>
        <v>4.7686363858368023E-3</v>
      </c>
      <c r="M192" s="3">
        <f t="shared" si="128"/>
        <v>4.7686363858368023E-3</v>
      </c>
      <c r="N192" s="3">
        <f t="shared" si="128"/>
        <v>4.7686363858368023E-3</v>
      </c>
      <c r="O192" s="3">
        <f t="shared" si="128"/>
        <v>4.7686363858368023E-3</v>
      </c>
      <c r="P192" s="3">
        <f t="shared" si="128"/>
        <v>4.7686363858368015E-3</v>
      </c>
      <c r="Q192" s="3">
        <f t="shared" si="128"/>
        <v>4.7686363858367945E-3</v>
      </c>
      <c r="R192" s="3">
        <f t="shared" si="128"/>
        <v>4.7686363858367295E-3</v>
      </c>
      <c r="S192" s="3">
        <f t="shared" si="128"/>
        <v>4.7686363858360746E-3</v>
      </c>
      <c r="T192" s="3">
        <f t="shared" si="128"/>
        <v>4.7686363858295252E-3</v>
      </c>
      <c r="U192" s="3">
        <f t="shared" si="128"/>
        <v>4.7686363857640307E-3</v>
      </c>
      <c r="V192" s="3">
        <f t="shared" si="128"/>
        <v>4.7686363851090858E-3</v>
      </c>
      <c r="W192" s="3">
        <f t="shared" si="128"/>
        <v>4.7686363785596391E-3</v>
      </c>
      <c r="X192" s="3">
        <f t="shared" si="128"/>
        <v>4.7686363130651733E-3</v>
      </c>
      <c r="Y192" s="3">
        <f t="shared" si="128"/>
        <v>4.7686356581205592E-3</v>
      </c>
      <c r="Z192" s="3">
        <f t="shared" si="128"/>
        <v>4.768629108679371E-3</v>
      </c>
      <c r="AA192" s="3">
        <f t="shared" si="128"/>
        <v>4.7685636147622185E-3</v>
      </c>
      <c r="AB192" s="3">
        <f t="shared" si="128"/>
        <v>4.7679087250619831E-3</v>
      </c>
      <c r="AC192" s="3">
        <f t="shared" si="128"/>
        <v>4.7613647726749515E-3</v>
      </c>
      <c r="AD192" s="3">
        <f t="shared" si="128"/>
        <v>4.6964172068181377E-3</v>
      </c>
      <c r="AE192" s="3">
        <f t="shared" si="128"/>
        <v>4.0937265683430868E-3</v>
      </c>
      <c r="AF192" s="3">
        <f t="shared" si="128"/>
        <v>1.0366697863402436E-3</v>
      </c>
      <c r="AG192" s="3"/>
      <c r="AH192" s="3"/>
    </row>
    <row r="193" spans="1:34" x14ac:dyDescent="0.25">
      <c r="B193" s="3">
        <f t="shared" ref="B193:AF193" si="129">$C40*EXP(-B$168/$A40/EXP(-$C$126))</f>
        <v>0</v>
      </c>
      <c r="C193" s="3">
        <f t="shared" si="129"/>
        <v>0</v>
      </c>
      <c r="D193" s="3">
        <f t="shared" si="129"/>
        <v>0</v>
      </c>
      <c r="E193" s="3">
        <f t="shared" si="129"/>
        <v>0</v>
      </c>
      <c r="F193" s="3">
        <f t="shared" si="129"/>
        <v>0</v>
      </c>
      <c r="G193" s="3">
        <f t="shared" si="129"/>
        <v>0</v>
      </c>
      <c r="H193" s="3">
        <f t="shared" si="129"/>
        <v>0</v>
      </c>
      <c r="I193" s="3">
        <f t="shared" si="129"/>
        <v>0</v>
      </c>
      <c r="J193" s="3">
        <f t="shared" si="129"/>
        <v>0</v>
      </c>
      <c r="K193" s="3">
        <f t="shared" si="129"/>
        <v>0</v>
      </c>
      <c r="L193" s="3">
        <f t="shared" si="129"/>
        <v>0</v>
      </c>
      <c r="M193" s="3">
        <f t="shared" si="129"/>
        <v>0</v>
      </c>
      <c r="N193" s="3">
        <f t="shared" si="129"/>
        <v>0</v>
      </c>
      <c r="O193" s="3">
        <f t="shared" si="129"/>
        <v>0</v>
      </c>
      <c r="P193" s="3">
        <f t="shared" si="129"/>
        <v>0</v>
      </c>
      <c r="Q193" s="3">
        <f t="shared" si="129"/>
        <v>0</v>
      </c>
      <c r="R193" s="3">
        <f t="shared" si="129"/>
        <v>0</v>
      </c>
      <c r="S193" s="3">
        <f t="shared" si="129"/>
        <v>0</v>
      </c>
      <c r="T193" s="3">
        <f t="shared" si="129"/>
        <v>0</v>
      </c>
      <c r="U193" s="3">
        <f t="shared" si="129"/>
        <v>0</v>
      </c>
      <c r="V193" s="3">
        <f t="shared" si="129"/>
        <v>0</v>
      </c>
      <c r="W193" s="3">
        <f t="shared" si="129"/>
        <v>0</v>
      </c>
      <c r="X193" s="3">
        <f t="shared" si="129"/>
        <v>0</v>
      </c>
      <c r="Y193" s="3">
        <f t="shared" si="129"/>
        <v>0</v>
      </c>
      <c r="Z193" s="3">
        <f t="shared" si="129"/>
        <v>0</v>
      </c>
      <c r="AA193" s="3">
        <f t="shared" si="129"/>
        <v>0</v>
      </c>
      <c r="AB193" s="3">
        <f t="shared" si="129"/>
        <v>0</v>
      </c>
      <c r="AC193" s="3">
        <f t="shared" si="129"/>
        <v>0</v>
      </c>
      <c r="AD193" s="3">
        <f t="shared" si="129"/>
        <v>0</v>
      </c>
      <c r="AE193" s="3">
        <f t="shared" si="129"/>
        <v>0</v>
      </c>
      <c r="AF193" s="3">
        <f t="shared" si="129"/>
        <v>0</v>
      </c>
      <c r="AG193" s="3"/>
      <c r="AH193" s="3"/>
    </row>
    <row r="194" spans="1:34" x14ac:dyDescent="0.25">
      <c r="B194" s="3">
        <f t="shared" ref="B194:AF194" si="130">$C41*EXP(-B$168/$A41/EXP(-$C$126))</f>
        <v>2.0950739363465548E-3</v>
      </c>
      <c r="C194" s="3">
        <f t="shared" si="130"/>
        <v>2.0950739363465548E-3</v>
      </c>
      <c r="D194" s="3">
        <f t="shared" si="130"/>
        <v>2.0950739363465548E-3</v>
      </c>
      <c r="E194" s="3">
        <f t="shared" si="130"/>
        <v>2.0950739363465548E-3</v>
      </c>
      <c r="F194" s="3">
        <f t="shared" si="130"/>
        <v>2.0950739363465548E-3</v>
      </c>
      <c r="G194" s="3">
        <f t="shared" si="130"/>
        <v>2.0950739363465548E-3</v>
      </c>
      <c r="H194" s="3">
        <f t="shared" si="130"/>
        <v>2.0950739363465548E-3</v>
      </c>
      <c r="I194" s="3">
        <f t="shared" si="130"/>
        <v>2.0950739363465548E-3</v>
      </c>
      <c r="J194" s="3">
        <f t="shared" si="130"/>
        <v>2.0950739363465548E-3</v>
      </c>
      <c r="K194" s="3">
        <f t="shared" si="130"/>
        <v>2.0950739363465548E-3</v>
      </c>
      <c r="L194" s="3">
        <f t="shared" si="130"/>
        <v>2.0950739363465548E-3</v>
      </c>
      <c r="M194" s="3">
        <f t="shared" si="130"/>
        <v>2.0950739363465548E-3</v>
      </c>
      <c r="N194" s="3">
        <f t="shared" si="130"/>
        <v>2.0950739363465548E-3</v>
      </c>
      <c r="O194" s="3">
        <f t="shared" si="130"/>
        <v>2.0950739363465548E-3</v>
      </c>
      <c r="P194" s="3">
        <f t="shared" si="130"/>
        <v>2.0950739363465548E-3</v>
      </c>
      <c r="Q194" s="3">
        <f t="shared" si="130"/>
        <v>2.0950739363465548E-3</v>
      </c>
      <c r="R194" s="3">
        <f t="shared" si="130"/>
        <v>2.0950739363465544E-3</v>
      </c>
      <c r="S194" s="3">
        <f t="shared" si="130"/>
        <v>2.0950739363465513E-3</v>
      </c>
      <c r="T194" s="3">
        <f t="shared" si="130"/>
        <v>2.0950739363465231E-3</v>
      </c>
      <c r="U194" s="3">
        <f t="shared" si="130"/>
        <v>2.0950739363462352E-3</v>
      </c>
      <c r="V194" s="3">
        <f t="shared" si="130"/>
        <v>2.0950739363433577E-3</v>
      </c>
      <c r="W194" s="3">
        <f t="shared" si="130"/>
        <v>2.095073936314583E-3</v>
      </c>
      <c r="X194" s="3">
        <f t="shared" si="130"/>
        <v>2.0950739360268366E-3</v>
      </c>
      <c r="Y194" s="3">
        <f t="shared" si="130"/>
        <v>2.0950739331493736E-3</v>
      </c>
      <c r="Z194" s="3">
        <f t="shared" si="130"/>
        <v>2.0950739043747433E-3</v>
      </c>
      <c r="AA194" s="3">
        <f t="shared" si="130"/>
        <v>2.0950736166284612E-3</v>
      </c>
      <c r="AB194" s="3">
        <f t="shared" si="130"/>
        <v>2.095070739167816E-3</v>
      </c>
      <c r="AC194" s="3">
        <f t="shared" si="130"/>
        <v>2.0950419647787215E-3</v>
      </c>
      <c r="AD194" s="3">
        <f t="shared" si="130"/>
        <v>2.0947542426227152E-3</v>
      </c>
      <c r="AE194" s="3">
        <f t="shared" si="130"/>
        <v>2.0918791934519537E-3</v>
      </c>
      <c r="AF194" s="3">
        <f t="shared" si="130"/>
        <v>2.0633448407678407E-3</v>
      </c>
      <c r="AG194" s="3"/>
      <c r="AH194" s="3"/>
    </row>
    <row r="195" spans="1:34" x14ac:dyDescent="0.25">
      <c r="B195" s="3">
        <f t="shared" ref="B195:AF195" si="131">$C42*EXP(-B$168/$A42/EXP(-$C$126))</f>
        <v>1.9210885084110967E-3</v>
      </c>
      <c r="C195" s="3">
        <f t="shared" si="131"/>
        <v>1.9210885084110967E-3</v>
      </c>
      <c r="D195" s="3">
        <f t="shared" si="131"/>
        <v>1.9210885084110967E-3</v>
      </c>
      <c r="E195" s="3">
        <f t="shared" si="131"/>
        <v>1.9210885084110967E-3</v>
      </c>
      <c r="F195" s="3">
        <f t="shared" si="131"/>
        <v>1.9210885084110967E-3</v>
      </c>
      <c r="G195" s="3">
        <f t="shared" si="131"/>
        <v>1.9210885084110967E-3</v>
      </c>
      <c r="H195" s="3">
        <f t="shared" si="131"/>
        <v>1.9210885084110967E-3</v>
      </c>
      <c r="I195" s="3">
        <f t="shared" si="131"/>
        <v>1.9210885084110967E-3</v>
      </c>
      <c r="J195" s="3">
        <f t="shared" si="131"/>
        <v>1.9210885084110967E-3</v>
      </c>
      <c r="K195" s="3">
        <f t="shared" si="131"/>
        <v>1.9210885084110967E-3</v>
      </c>
      <c r="L195" s="3">
        <f t="shared" si="131"/>
        <v>1.9210885084110967E-3</v>
      </c>
      <c r="M195" s="3">
        <f t="shared" si="131"/>
        <v>1.9210885084110967E-3</v>
      </c>
      <c r="N195" s="3">
        <f t="shared" si="131"/>
        <v>1.9210885084110967E-3</v>
      </c>
      <c r="O195" s="3">
        <f t="shared" si="131"/>
        <v>1.9210885084110967E-3</v>
      </c>
      <c r="P195" s="3">
        <f t="shared" si="131"/>
        <v>1.9210885084110967E-3</v>
      </c>
      <c r="Q195" s="3">
        <f t="shared" si="131"/>
        <v>1.9210885084110967E-3</v>
      </c>
      <c r="R195" s="3">
        <f t="shared" si="131"/>
        <v>1.9210885084110967E-3</v>
      </c>
      <c r="S195" s="3">
        <f t="shared" si="131"/>
        <v>1.9210885084110965E-3</v>
      </c>
      <c r="T195" s="3">
        <f t="shared" si="131"/>
        <v>1.9210885084110937E-3</v>
      </c>
      <c r="U195" s="3">
        <f t="shared" si="131"/>
        <v>1.9210885084110674E-3</v>
      </c>
      <c r="V195" s="3">
        <f t="shared" si="131"/>
        <v>1.9210885084108035E-3</v>
      </c>
      <c r="W195" s="3">
        <f t="shared" si="131"/>
        <v>1.921088508408165E-3</v>
      </c>
      <c r="X195" s="3">
        <f t="shared" si="131"/>
        <v>1.9210885083817801E-3</v>
      </c>
      <c r="Y195" s="3">
        <f t="shared" si="131"/>
        <v>1.9210885081179295E-3</v>
      </c>
      <c r="Z195" s="3">
        <f t="shared" si="131"/>
        <v>1.9210885054794255E-3</v>
      </c>
      <c r="AA195" s="3">
        <f t="shared" si="131"/>
        <v>1.9210884790943844E-3</v>
      </c>
      <c r="AB195" s="3">
        <f t="shared" si="131"/>
        <v>1.9210882152439943E-3</v>
      </c>
      <c r="AC195" s="3">
        <f t="shared" si="131"/>
        <v>1.9210855767420858E-3</v>
      </c>
      <c r="AD195" s="3">
        <f t="shared" si="131"/>
        <v>1.9210591919223111E-3</v>
      </c>
      <c r="AE195" s="3">
        <f t="shared" si="131"/>
        <v>1.9207953636545204E-3</v>
      </c>
      <c r="AF195" s="3">
        <f t="shared" si="131"/>
        <v>1.9181590729598359E-3</v>
      </c>
      <c r="AG195" s="3"/>
      <c r="AH195" s="3"/>
    </row>
    <row r="196" spans="1:34" x14ac:dyDescent="0.25">
      <c r="B196" s="3">
        <f t="shared" ref="B196:AF196" si="132">$C43*EXP(-B$168/$A43/EXP(-$C$126))</f>
        <v>0</v>
      </c>
      <c r="C196" s="3">
        <f t="shared" si="132"/>
        <v>0</v>
      </c>
      <c r="D196" s="3">
        <f t="shared" si="132"/>
        <v>0</v>
      </c>
      <c r="E196" s="3">
        <f t="shared" si="132"/>
        <v>0</v>
      </c>
      <c r="F196" s="3">
        <f t="shared" si="132"/>
        <v>0</v>
      </c>
      <c r="G196" s="3">
        <f t="shared" si="132"/>
        <v>0</v>
      </c>
      <c r="H196" s="3">
        <f t="shared" si="132"/>
        <v>0</v>
      </c>
      <c r="I196" s="3">
        <f t="shared" si="132"/>
        <v>0</v>
      </c>
      <c r="J196" s="3">
        <f t="shared" si="132"/>
        <v>0</v>
      </c>
      <c r="K196" s="3">
        <f t="shared" si="132"/>
        <v>0</v>
      </c>
      <c r="L196" s="3">
        <f t="shared" si="132"/>
        <v>0</v>
      </c>
      <c r="M196" s="3">
        <f t="shared" si="132"/>
        <v>0</v>
      </c>
      <c r="N196" s="3">
        <f t="shared" si="132"/>
        <v>0</v>
      </c>
      <c r="O196" s="3">
        <f t="shared" si="132"/>
        <v>0</v>
      </c>
      <c r="P196" s="3">
        <f t="shared" si="132"/>
        <v>0</v>
      </c>
      <c r="Q196" s="3">
        <f t="shared" si="132"/>
        <v>0</v>
      </c>
      <c r="R196" s="3">
        <f t="shared" si="132"/>
        <v>0</v>
      </c>
      <c r="S196" s="3">
        <f t="shared" si="132"/>
        <v>0</v>
      </c>
      <c r="T196" s="3">
        <f t="shared" si="132"/>
        <v>0</v>
      </c>
      <c r="U196" s="3">
        <f t="shared" si="132"/>
        <v>0</v>
      </c>
      <c r="V196" s="3">
        <f t="shared" si="132"/>
        <v>0</v>
      </c>
      <c r="W196" s="3">
        <f t="shared" si="132"/>
        <v>0</v>
      </c>
      <c r="X196" s="3">
        <f t="shared" si="132"/>
        <v>0</v>
      </c>
      <c r="Y196" s="3">
        <f t="shared" si="132"/>
        <v>0</v>
      </c>
      <c r="Z196" s="3">
        <f t="shared" si="132"/>
        <v>0</v>
      </c>
      <c r="AA196" s="3">
        <f t="shared" si="132"/>
        <v>0</v>
      </c>
      <c r="AB196" s="3">
        <f t="shared" si="132"/>
        <v>0</v>
      </c>
      <c r="AC196" s="3">
        <f t="shared" si="132"/>
        <v>0</v>
      </c>
      <c r="AD196" s="3">
        <f t="shared" si="132"/>
        <v>0</v>
      </c>
      <c r="AE196" s="3">
        <f t="shared" si="132"/>
        <v>0</v>
      </c>
      <c r="AF196" s="3">
        <f t="shared" si="132"/>
        <v>0</v>
      </c>
      <c r="AG196" s="3"/>
      <c r="AH196" s="3"/>
    </row>
    <row r="197" spans="1:34" x14ac:dyDescent="0.25">
      <c r="B197" s="3">
        <f t="shared" ref="B197:AF197" si="133">$C44*EXP(-B$168/$A44/EXP(-$C$126))</f>
        <v>4.6732387958302481E-4</v>
      </c>
      <c r="C197" s="3">
        <f t="shared" si="133"/>
        <v>4.6732387958302481E-4</v>
      </c>
      <c r="D197" s="3">
        <f t="shared" si="133"/>
        <v>4.6732387958302481E-4</v>
      </c>
      <c r="E197" s="3">
        <f t="shared" si="133"/>
        <v>4.6732387958302481E-4</v>
      </c>
      <c r="F197" s="3">
        <f t="shared" si="133"/>
        <v>4.6732387958302481E-4</v>
      </c>
      <c r="G197" s="3">
        <f t="shared" si="133"/>
        <v>4.6732387958302481E-4</v>
      </c>
      <c r="H197" s="3">
        <f t="shared" si="133"/>
        <v>4.6732387958302481E-4</v>
      </c>
      <c r="I197" s="3">
        <f t="shared" si="133"/>
        <v>4.6732387958302481E-4</v>
      </c>
      <c r="J197" s="3">
        <f t="shared" si="133"/>
        <v>4.6732387958302481E-4</v>
      </c>
      <c r="K197" s="3">
        <f t="shared" si="133"/>
        <v>4.6732387958302481E-4</v>
      </c>
      <c r="L197" s="3">
        <f t="shared" si="133"/>
        <v>4.6732387958302481E-4</v>
      </c>
      <c r="M197" s="3">
        <f t="shared" si="133"/>
        <v>4.6732387958302481E-4</v>
      </c>
      <c r="N197" s="3">
        <f t="shared" si="133"/>
        <v>4.6732387958302481E-4</v>
      </c>
      <c r="O197" s="3">
        <f t="shared" si="133"/>
        <v>4.6732387958302481E-4</v>
      </c>
      <c r="P197" s="3">
        <f t="shared" si="133"/>
        <v>4.6732387958302481E-4</v>
      </c>
      <c r="Q197" s="3">
        <f t="shared" si="133"/>
        <v>4.6732387958302481E-4</v>
      </c>
      <c r="R197" s="3">
        <f t="shared" si="133"/>
        <v>4.6732387958302481E-4</v>
      </c>
      <c r="S197" s="3">
        <f t="shared" si="133"/>
        <v>4.6732387958302481E-4</v>
      </c>
      <c r="T197" s="3">
        <f t="shared" si="133"/>
        <v>4.6732387958302481E-4</v>
      </c>
      <c r="U197" s="3">
        <f t="shared" si="133"/>
        <v>4.6732387958302475E-4</v>
      </c>
      <c r="V197" s="3">
        <f t="shared" si="133"/>
        <v>4.673238795830241E-4</v>
      </c>
      <c r="W197" s="3">
        <f t="shared" si="133"/>
        <v>4.6732387958301771E-4</v>
      </c>
      <c r="X197" s="3">
        <f t="shared" si="133"/>
        <v>4.6732387958295347E-4</v>
      </c>
      <c r="Y197" s="3">
        <f t="shared" si="133"/>
        <v>4.6732387958231167E-4</v>
      </c>
      <c r="Z197" s="3">
        <f t="shared" si="133"/>
        <v>4.6732387957589325E-4</v>
      </c>
      <c r="AA197" s="3">
        <f t="shared" si="133"/>
        <v>4.6732387951170897E-4</v>
      </c>
      <c r="AB197" s="3">
        <f t="shared" si="133"/>
        <v>4.6732387886986665E-4</v>
      </c>
      <c r="AC197" s="3">
        <f t="shared" si="133"/>
        <v>4.6732387245144308E-4</v>
      </c>
      <c r="AD197" s="3">
        <f t="shared" si="133"/>
        <v>4.6732380826721239E-4</v>
      </c>
      <c r="AE197" s="3">
        <f t="shared" si="133"/>
        <v>4.6732316642539062E-4</v>
      </c>
      <c r="AF197" s="3">
        <f t="shared" si="133"/>
        <v>4.6731674805565627E-4</v>
      </c>
      <c r="AG197" s="3"/>
      <c r="AH197" s="3"/>
    </row>
    <row r="198" spans="1:34" x14ac:dyDescent="0.25">
      <c r="B198" s="3">
        <f t="shared" ref="B198:AF198" si="134">$C45*EXP(-B$168/$A45/EXP(-$C$126))</f>
        <v>0</v>
      </c>
      <c r="C198" s="3">
        <f t="shared" si="134"/>
        <v>0</v>
      </c>
      <c r="D198" s="3">
        <f t="shared" si="134"/>
        <v>0</v>
      </c>
      <c r="E198" s="3">
        <f t="shared" si="134"/>
        <v>0</v>
      </c>
      <c r="F198" s="3">
        <f t="shared" si="134"/>
        <v>0</v>
      </c>
      <c r="G198" s="3">
        <f t="shared" si="134"/>
        <v>0</v>
      </c>
      <c r="H198" s="3">
        <f t="shared" si="134"/>
        <v>0</v>
      </c>
      <c r="I198" s="3">
        <f t="shared" si="134"/>
        <v>0</v>
      </c>
      <c r="J198" s="3">
        <f t="shared" si="134"/>
        <v>0</v>
      </c>
      <c r="K198" s="3">
        <f t="shared" si="134"/>
        <v>0</v>
      </c>
      <c r="L198" s="3">
        <f t="shared" si="134"/>
        <v>0</v>
      </c>
      <c r="M198" s="3">
        <f t="shared" si="134"/>
        <v>0</v>
      </c>
      <c r="N198" s="3">
        <f t="shared" si="134"/>
        <v>0</v>
      </c>
      <c r="O198" s="3">
        <f t="shared" si="134"/>
        <v>0</v>
      </c>
      <c r="P198" s="3">
        <f t="shared" si="134"/>
        <v>0</v>
      </c>
      <c r="Q198" s="3">
        <f t="shared" si="134"/>
        <v>0</v>
      </c>
      <c r="R198" s="3">
        <f t="shared" si="134"/>
        <v>0</v>
      </c>
      <c r="S198" s="3">
        <f t="shared" si="134"/>
        <v>0</v>
      </c>
      <c r="T198" s="3">
        <f t="shared" si="134"/>
        <v>0</v>
      </c>
      <c r="U198" s="3">
        <f t="shared" si="134"/>
        <v>0</v>
      </c>
      <c r="V198" s="3">
        <f t="shared" si="134"/>
        <v>0</v>
      </c>
      <c r="W198" s="3">
        <f t="shared" si="134"/>
        <v>0</v>
      </c>
      <c r="X198" s="3">
        <f t="shared" si="134"/>
        <v>0</v>
      </c>
      <c r="Y198" s="3">
        <f t="shared" si="134"/>
        <v>0</v>
      </c>
      <c r="Z198" s="3">
        <f t="shared" si="134"/>
        <v>0</v>
      </c>
      <c r="AA198" s="3">
        <f t="shared" si="134"/>
        <v>0</v>
      </c>
      <c r="AB198" s="3">
        <f t="shared" si="134"/>
        <v>0</v>
      </c>
      <c r="AC198" s="3">
        <f t="shared" si="134"/>
        <v>0</v>
      </c>
      <c r="AD198" s="3">
        <f t="shared" si="134"/>
        <v>0</v>
      </c>
      <c r="AE198" s="3">
        <f t="shared" si="134"/>
        <v>0</v>
      </c>
      <c r="AF198" s="3">
        <f t="shared" si="134"/>
        <v>0</v>
      </c>
      <c r="AG198" s="3"/>
      <c r="AH198" s="3"/>
    </row>
    <row r="199" spans="1:34" x14ac:dyDescent="0.25">
      <c r="B199" s="3">
        <f t="shared" ref="B199:AF199" si="135">$C46*EXP(-B$168/$A46/EXP(-$C$126))</f>
        <v>1.2351806616485092E-4</v>
      </c>
      <c r="C199" s="3">
        <f t="shared" si="135"/>
        <v>1.2351806616485092E-4</v>
      </c>
      <c r="D199" s="3">
        <f t="shared" si="135"/>
        <v>1.2351806616485092E-4</v>
      </c>
      <c r="E199" s="3">
        <f t="shared" si="135"/>
        <v>1.2351806616485092E-4</v>
      </c>
      <c r="F199" s="3">
        <f t="shared" si="135"/>
        <v>1.2351806616485092E-4</v>
      </c>
      <c r="G199" s="3">
        <f t="shared" si="135"/>
        <v>1.2351806616485092E-4</v>
      </c>
      <c r="H199" s="3">
        <f t="shared" si="135"/>
        <v>1.2351806616485092E-4</v>
      </c>
      <c r="I199" s="3">
        <f t="shared" si="135"/>
        <v>1.2351806616485092E-4</v>
      </c>
      <c r="J199" s="3">
        <f t="shared" si="135"/>
        <v>1.2351806616485092E-4</v>
      </c>
      <c r="K199" s="3">
        <f t="shared" si="135"/>
        <v>1.2351806616485092E-4</v>
      </c>
      <c r="L199" s="3">
        <f t="shared" si="135"/>
        <v>1.2351806616485092E-4</v>
      </c>
      <c r="M199" s="3">
        <f t="shared" si="135"/>
        <v>1.2351806616485092E-4</v>
      </c>
      <c r="N199" s="3">
        <f t="shared" si="135"/>
        <v>1.2351806616485092E-4</v>
      </c>
      <c r="O199" s="3">
        <f t="shared" si="135"/>
        <v>1.2351806616485092E-4</v>
      </c>
      <c r="P199" s="3">
        <f t="shared" si="135"/>
        <v>1.2351806616485092E-4</v>
      </c>
      <c r="Q199" s="3">
        <f t="shared" si="135"/>
        <v>1.2351806616485092E-4</v>
      </c>
      <c r="R199" s="3">
        <f t="shared" si="135"/>
        <v>1.2351806616485092E-4</v>
      </c>
      <c r="S199" s="3">
        <f t="shared" si="135"/>
        <v>1.2351806616485092E-4</v>
      </c>
      <c r="T199" s="3">
        <f t="shared" si="135"/>
        <v>1.2351806616485092E-4</v>
      </c>
      <c r="U199" s="3">
        <f t="shared" si="135"/>
        <v>1.2351806616485092E-4</v>
      </c>
      <c r="V199" s="3">
        <f t="shared" si="135"/>
        <v>1.2351806616485092E-4</v>
      </c>
      <c r="W199" s="3">
        <f t="shared" si="135"/>
        <v>1.2351806616485089E-4</v>
      </c>
      <c r="X199" s="3">
        <f t="shared" si="135"/>
        <v>1.2351806616485073E-4</v>
      </c>
      <c r="Y199" s="3">
        <f t="shared" si="135"/>
        <v>1.2351806616484905E-4</v>
      </c>
      <c r="Z199" s="3">
        <f t="shared" si="135"/>
        <v>1.2351806616483206E-4</v>
      </c>
      <c r="AA199" s="3">
        <f t="shared" si="135"/>
        <v>1.2351806616466243E-4</v>
      </c>
      <c r="AB199" s="3">
        <f t="shared" si="135"/>
        <v>1.2351806616296598E-4</v>
      </c>
      <c r="AC199" s="3">
        <f t="shared" si="135"/>
        <v>1.2351806614600147E-4</v>
      </c>
      <c r="AD199" s="3">
        <f t="shared" si="135"/>
        <v>1.2351806597635655E-4</v>
      </c>
      <c r="AE199" s="3">
        <f t="shared" si="135"/>
        <v>1.2351806427990725E-4</v>
      </c>
      <c r="AF199" s="3">
        <f t="shared" si="135"/>
        <v>1.2351804731541562E-4</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1.0347942973527732E-3</v>
      </c>
      <c r="C201" s="3">
        <f t="shared" si="137"/>
        <v>1.0347942973527732E-3</v>
      </c>
      <c r="D201" s="3">
        <f t="shared" si="137"/>
        <v>1.0347942973527732E-3</v>
      </c>
      <c r="E201" s="3">
        <f t="shared" si="137"/>
        <v>1.0347942973527732E-3</v>
      </c>
      <c r="F201" s="3">
        <f t="shared" si="137"/>
        <v>1.0347942973527732E-3</v>
      </c>
      <c r="G201" s="3">
        <f t="shared" si="137"/>
        <v>1.0347942973527732E-3</v>
      </c>
      <c r="H201" s="3">
        <f t="shared" si="137"/>
        <v>1.0347942973527732E-3</v>
      </c>
      <c r="I201" s="3">
        <f t="shared" si="137"/>
        <v>1.0347942973527732E-3</v>
      </c>
      <c r="J201" s="3">
        <f t="shared" si="137"/>
        <v>1.0347942973527732E-3</v>
      </c>
      <c r="K201" s="3">
        <f t="shared" si="137"/>
        <v>1.0347942973527732E-3</v>
      </c>
      <c r="L201" s="3">
        <f t="shared" si="137"/>
        <v>1.0347942973527732E-3</v>
      </c>
      <c r="M201" s="3">
        <f t="shared" si="137"/>
        <v>1.0347942973527732E-3</v>
      </c>
      <c r="N201" s="3">
        <f t="shared" si="137"/>
        <v>1.0347942973527732E-3</v>
      </c>
      <c r="O201" s="3">
        <f t="shared" si="137"/>
        <v>1.0347942973527732E-3</v>
      </c>
      <c r="P201" s="3">
        <f t="shared" si="137"/>
        <v>1.0347942973527732E-3</v>
      </c>
      <c r="Q201" s="3">
        <f t="shared" si="137"/>
        <v>1.0347942973527732E-3</v>
      </c>
      <c r="R201" s="3">
        <f t="shared" si="137"/>
        <v>1.0347942973527732E-3</v>
      </c>
      <c r="S201" s="3">
        <f t="shared" si="137"/>
        <v>1.0347942973527732E-3</v>
      </c>
      <c r="T201" s="3">
        <f t="shared" si="137"/>
        <v>1.0347942973527732E-3</v>
      </c>
      <c r="U201" s="3">
        <f t="shared" si="137"/>
        <v>1.0347942973527732E-3</v>
      </c>
      <c r="V201" s="3">
        <f t="shared" si="137"/>
        <v>1.0347942973527732E-3</v>
      </c>
      <c r="W201" s="3">
        <f t="shared" si="137"/>
        <v>1.0347942973527732E-3</v>
      </c>
      <c r="X201" s="3">
        <f t="shared" si="137"/>
        <v>1.0347942973527732E-3</v>
      </c>
      <c r="Y201" s="3">
        <f t="shared" si="137"/>
        <v>1.034794297352773E-3</v>
      </c>
      <c r="Z201" s="3">
        <f t="shared" si="137"/>
        <v>1.0347942973527717E-3</v>
      </c>
      <c r="AA201" s="3">
        <f t="shared" si="137"/>
        <v>1.0347942973527573E-3</v>
      </c>
      <c r="AB201" s="3">
        <f t="shared" si="137"/>
        <v>1.0347942973526153E-3</v>
      </c>
      <c r="AC201" s="3">
        <f t="shared" si="137"/>
        <v>1.0347942973511941E-3</v>
      </c>
      <c r="AD201" s="3">
        <f t="shared" si="137"/>
        <v>1.0347942973369818E-3</v>
      </c>
      <c r="AE201" s="3">
        <f t="shared" si="137"/>
        <v>1.0347942971948587E-3</v>
      </c>
      <c r="AF201" s="3">
        <f t="shared" si="137"/>
        <v>1.0347942957736286E-3</v>
      </c>
      <c r="AG201" s="3"/>
      <c r="AH201" s="3"/>
    </row>
    <row r="202" spans="1:34" x14ac:dyDescent="0.25">
      <c r="A202" s="79">
        <f>AVERAGE(B202:AF202)</f>
        <v>0.10245940488251248</v>
      </c>
      <c r="B202" s="80">
        <f>IF($A$64&lt;=B168,IF($B$64&gt;=B168,ABS((B170-B169)/B169),0),0)</f>
        <v>3.0735417399677801E-3</v>
      </c>
      <c r="C202" s="80">
        <f t="shared" ref="C202:AF202" si="138">IF($A$64&lt;=C168,IF($B$64&gt;=C168,ABS((C170-C169)/C169),0),0)</f>
        <v>2.7115663925757309E-2</v>
      </c>
      <c r="D202" s="80">
        <f t="shared" si="138"/>
        <v>1.6106930495936849E-2</v>
      </c>
      <c r="E202" s="80">
        <f t="shared" si="138"/>
        <v>0.11241072729982954</v>
      </c>
      <c r="F202" s="80">
        <f t="shared" si="138"/>
        <v>0.14622215056524918</v>
      </c>
      <c r="G202" s="80">
        <f t="shared" si="138"/>
        <v>0.12816173180244914</v>
      </c>
      <c r="H202" s="80">
        <f t="shared" si="138"/>
        <v>0.1075476130307159</v>
      </c>
      <c r="I202" s="80">
        <f t="shared" si="138"/>
        <v>8.2504550347535899E-2</v>
      </c>
      <c r="J202" s="80">
        <f t="shared" si="138"/>
        <v>6.0040026715399354E-2</v>
      </c>
      <c r="K202" s="80">
        <f t="shared" si="138"/>
        <v>5.1757771132438554E-2</v>
      </c>
      <c r="L202" s="80">
        <f t="shared" si="138"/>
        <v>7.1772861969587043E-2</v>
      </c>
      <c r="M202" s="80">
        <f t="shared" si="138"/>
        <v>6.981094191543899E-2</v>
      </c>
      <c r="N202" s="80">
        <f t="shared" si="138"/>
        <v>6.9826013123905878E-2</v>
      </c>
      <c r="O202" s="80">
        <f t="shared" si="138"/>
        <v>6.578815368682249E-2</v>
      </c>
      <c r="P202" s="80">
        <f t="shared" si="138"/>
        <v>6.7541808252384247E-2</v>
      </c>
      <c r="Q202" s="80">
        <f t="shared" si="138"/>
        <v>6.7520902602393323E-2</v>
      </c>
      <c r="R202" s="80">
        <f t="shared" si="138"/>
        <v>6.942388830069747E-2</v>
      </c>
      <c r="S202" s="80">
        <f t="shared" si="138"/>
        <v>6.7356091689636202E-2</v>
      </c>
      <c r="T202" s="80">
        <f t="shared" si="138"/>
        <v>6.0580349756758779E-2</v>
      </c>
      <c r="U202" s="80">
        <f t="shared" si="138"/>
        <v>1.5373301400619441E-2</v>
      </c>
      <c r="V202" s="80">
        <f t="shared" si="138"/>
        <v>0.16144193164675447</v>
      </c>
      <c r="W202" s="80">
        <f t="shared" si="138"/>
        <v>0.31905439946797665</v>
      </c>
      <c r="X202" s="80">
        <f t="shared" si="138"/>
        <v>0.41793984466718842</v>
      </c>
      <c r="Y202" s="80">
        <f t="shared" si="138"/>
        <v>0.37101392461640142</v>
      </c>
      <c r="Z202" s="80">
        <f t="shared" si="138"/>
        <v>0.2358044894740331</v>
      </c>
      <c r="AA202" s="80">
        <f t="shared" si="138"/>
        <v>0.12425081696744671</v>
      </c>
      <c r="AB202" s="80">
        <f t="shared" si="138"/>
        <v>5.3413499358632412E-2</v>
      </c>
      <c r="AC202" s="80">
        <f t="shared" si="138"/>
        <v>4.8351053460743892E-2</v>
      </c>
      <c r="AD202" s="80">
        <f t="shared" si="138"/>
        <v>3.4266407377406528E-2</v>
      </c>
      <c r="AE202" s="80">
        <f t="shared" si="138"/>
        <v>4.2720309404056148E-2</v>
      </c>
      <c r="AF202" s="80">
        <f t="shared" si="138"/>
        <v>8.0498551637234583E-3</v>
      </c>
    </row>
    <row r="203" spans="1:34" x14ac:dyDescent="0.25">
      <c r="B203" s="21">
        <f>(B170-B169)^2</f>
        <v>1220.640851400384</v>
      </c>
      <c r="C203" s="21">
        <f t="shared" ref="C203:AF203" si="139">(C170-C169)^2</f>
        <v>90083.383493739049</v>
      </c>
      <c r="D203" s="21">
        <f t="shared" si="139"/>
        <v>30741.972655456724</v>
      </c>
      <c r="E203" s="21">
        <f t="shared" si="139"/>
        <v>1447119.2262316239</v>
      </c>
      <c r="F203" s="21">
        <f t="shared" si="139"/>
        <v>2359368.1443160549</v>
      </c>
      <c r="G203" s="21">
        <f t="shared" si="139"/>
        <v>1738208.8450754927</v>
      </c>
      <c r="H203" s="21">
        <f t="shared" si="139"/>
        <v>1168068.7589719512</v>
      </c>
      <c r="I203" s="21">
        <f t="shared" si="139"/>
        <v>650106.01852675166</v>
      </c>
      <c r="J203" s="21">
        <f t="shared" si="139"/>
        <v>326532.13882970071</v>
      </c>
      <c r="K203" s="21">
        <f t="shared" si="139"/>
        <v>229454.30251706962</v>
      </c>
      <c r="L203" s="21">
        <f t="shared" si="139"/>
        <v>413890.09774509887</v>
      </c>
      <c r="M203" s="21">
        <f t="shared" si="139"/>
        <v>361674.48580859631</v>
      </c>
      <c r="N203" s="21">
        <f t="shared" si="139"/>
        <v>331722.24285765382</v>
      </c>
      <c r="O203" s="21">
        <f t="shared" si="139"/>
        <v>272331.68100788665</v>
      </c>
      <c r="P203" s="21">
        <f t="shared" si="139"/>
        <v>267065.61292362772</v>
      </c>
      <c r="Q203" s="21">
        <f t="shared" si="139"/>
        <v>247501.30365658898</v>
      </c>
      <c r="R203" s="21">
        <f t="shared" si="139"/>
        <v>241474.8535737255</v>
      </c>
      <c r="S203" s="21">
        <f t="shared" si="139"/>
        <v>208597.59775301436</v>
      </c>
      <c r="T203" s="21">
        <f t="shared" si="139"/>
        <v>148442.08541975383</v>
      </c>
      <c r="U203" s="21">
        <f t="shared" si="139"/>
        <v>7236.6171416222196</v>
      </c>
      <c r="V203" s="21">
        <f t="shared" si="139"/>
        <v>521297.9107921992</v>
      </c>
      <c r="W203" s="21">
        <f t="shared" si="139"/>
        <v>1290058.8059863851</v>
      </c>
      <c r="X203" s="21">
        <f t="shared" si="139"/>
        <v>1413082.5848911568</v>
      </c>
      <c r="Y203" s="21">
        <f t="shared" si="139"/>
        <v>689010.08595112595</v>
      </c>
      <c r="Z203" s="21">
        <f t="shared" si="139"/>
        <v>157803.0772172588</v>
      </c>
      <c r="AA203" s="21">
        <f t="shared" si="139"/>
        <v>22123.797488593431</v>
      </c>
      <c r="AB203" s="21">
        <f t="shared" si="139"/>
        <v>2013.6692815803917</v>
      </c>
      <c r="AC203" s="21">
        <f t="shared" si="139"/>
        <v>868.72312784719816</v>
      </c>
      <c r="AD203" s="21">
        <f t="shared" si="139"/>
        <v>287.12979671331402</v>
      </c>
      <c r="AE203" s="21">
        <f t="shared" si="139"/>
        <v>343.27210303626271</v>
      </c>
      <c r="AF203" s="21">
        <f t="shared" si="139"/>
        <v>10.58574912538813</v>
      </c>
      <c r="AG203" s="3"/>
      <c r="AH203" s="3"/>
    </row>
    <row r="204" spans="1:34" x14ac:dyDescent="0.25">
      <c r="A204" s="71">
        <f>SUM(B204:AF204)</f>
        <v>14637739.651741829</v>
      </c>
      <c r="B204" s="60">
        <f>IF($A$64&lt;=B168,IF($B$64&gt;=B168,ABS(B203),0),0)</f>
        <v>1220.640851400384</v>
      </c>
      <c r="C204" s="60">
        <f t="shared" ref="C204" si="140">IF($A$64&lt;=C168,IF($B$64&gt;=C168,ABS(C203),0),0)</f>
        <v>90083.383493739049</v>
      </c>
      <c r="D204" s="60">
        <f t="shared" ref="D204" si="141">IF($A$64&lt;=D168,IF($B$64&gt;=D168,ABS(D203),0),0)</f>
        <v>30741.972655456724</v>
      </c>
      <c r="E204" s="60">
        <f t="shared" ref="E204" si="142">IF($A$64&lt;=E168,IF($B$64&gt;=E168,ABS(E203),0),0)</f>
        <v>1447119.2262316239</v>
      </c>
      <c r="F204" s="60">
        <f t="shared" ref="F204" si="143">IF($A$64&lt;=F168,IF($B$64&gt;=F168,ABS(F203),0),0)</f>
        <v>2359368.1443160549</v>
      </c>
      <c r="G204" s="60">
        <f t="shared" ref="G204" si="144">IF($A$64&lt;=G168,IF($B$64&gt;=G168,ABS(G203),0),0)</f>
        <v>1738208.8450754927</v>
      </c>
      <c r="H204" s="60">
        <f t="shared" ref="H204" si="145">IF($A$64&lt;=H168,IF($B$64&gt;=H168,ABS(H203),0),0)</f>
        <v>1168068.7589719512</v>
      </c>
      <c r="I204" s="60">
        <f t="shared" ref="I204" si="146">IF($A$64&lt;=I168,IF($B$64&gt;=I168,ABS(I203),0),0)</f>
        <v>650106.01852675166</v>
      </c>
      <c r="J204" s="60">
        <f t="shared" ref="J204" si="147">IF($A$64&lt;=J168,IF($B$64&gt;=J168,ABS(J203),0),0)</f>
        <v>326532.13882970071</v>
      </c>
      <c r="K204" s="60">
        <f t="shared" ref="K204" si="148">IF($A$64&lt;=K168,IF($B$64&gt;=K168,ABS(K203),0),0)</f>
        <v>229454.30251706962</v>
      </c>
      <c r="L204" s="60">
        <f t="shared" ref="L204" si="149">IF($A$64&lt;=L168,IF($B$64&gt;=L168,ABS(L203),0),0)</f>
        <v>413890.09774509887</v>
      </c>
      <c r="M204" s="60">
        <f t="shared" ref="M204" si="150">IF($A$64&lt;=M168,IF($B$64&gt;=M168,ABS(M203),0),0)</f>
        <v>361674.48580859631</v>
      </c>
      <c r="N204" s="60">
        <f t="shared" ref="N204" si="151">IF($A$64&lt;=N168,IF($B$64&gt;=N168,ABS(N203),0),0)</f>
        <v>331722.24285765382</v>
      </c>
      <c r="O204" s="60">
        <f t="shared" ref="O204" si="152">IF($A$64&lt;=O168,IF($B$64&gt;=O168,ABS(O203),0),0)</f>
        <v>272331.68100788665</v>
      </c>
      <c r="P204" s="60">
        <f t="shared" ref="P204" si="153">IF($A$64&lt;=P168,IF($B$64&gt;=P168,ABS(P203),0),0)</f>
        <v>267065.61292362772</v>
      </c>
      <c r="Q204" s="60">
        <f t="shared" ref="Q204" si="154">IF($A$64&lt;=Q168,IF($B$64&gt;=Q168,ABS(Q203),0),0)</f>
        <v>247501.30365658898</v>
      </c>
      <c r="R204" s="60">
        <f t="shared" ref="R204" si="155">IF($A$64&lt;=R168,IF($B$64&gt;=R168,ABS(R203),0),0)</f>
        <v>241474.8535737255</v>
      </c>
      <c r="S204" s="60">
        <f t="shared" ref="S204" si="156">IF($A$64&lt;=S168,IF($B$64&gt;=S168,ABS(S203),0),0)</f>
        <v>208597.59775301436</v>
      </c>
      <c r="T204" s="60">
        <f t="shared" ref="T204" si="157">IF($A$64&lt;=T168,IF($B$64&gt;=T168,ABS(T203),0),0)</f>
        <v>148442.08541975383</v>
      </c>
      <c r="U204" s="60">
        <f t="shared" ref="U204" si="158">IF($A$64&lt;=U168,IF($B$64&gt;=U168,ABS(U203),0),0)</f>
        <v>7236.6171416222196</v>
      </c>
      <c r="V204" s="60">
        <f t="shared" ref="V204" si="159">IF($A$64&lt;=V168,IF($B$64&gt;=V168,ABS(V203),0),0)</f>
        <v>521297.9107921992</v>
      </c>
      <c r="W204" s="60">
        <f t="shared" ref="W204" si="160">IF($A$64&lt;=W168,IF($B$64&gt;=W168,ABS(W203),0),0)</f>
        <v>1290058.8059863851</v>
      </c>
      <c r="X204" s="60">
        <f t="shared" ref="X204" si="161">IF($A$64&lt;=X168,IF($B$64&gt;=X168,ABS(X203),0),0)</f>
        <v>1413082.5848911568</v>
      </c>
      <c r="Y204" s="60">
        <f t="shared" ref="Y204" si="162">IF($A$64&lt;=Y168,IF($B$64&gt;=Y168,ABS(Y203),0),0)</f>
        <v>689010.08595112595</v>
      </c>
      <c r="Z204" s="60">
        <f t="shared" ref="Z204" si="163">IF($A$64&lt;=Z168,IF($B$64&gt;=Z168,ABS(Z203),0),0)</f>
        <v>157803.0772172588</v>
      </c>
      <c r="AA204" s="60">
        <f t="shared" ref="AA204" si="164">IF($A$64&lt;=AA168,IF($B$64&gt;=AA168,ABS(AA203),0),0)</f>
        <v>22123.797488593431</v>
      </c>
      <c r="AB204" s="60">
        <f t="shared" ref="AB204" si="165">IF($A$64&lt;=AB168,IF($B$64&gt;=AB168,ABS(AB203),0),0)</f>
        <v>2013.6692815803917</v>
      </c>
      <c r="AC204" s="60">
        <f t="shared" ref="AC204" si="166">IF($A$64&lt;=AC168,IF($B$64&gt;=AC168,ABS(AC203),0),0)</f>
        <v>868.72312784719816</v>
      </c>
      <c r="AD204" s="60">
        <f t="shared" ref="AD204" si="167">IF($A$64&lt;=AD168,IF($B$64&gt;=AD168,ABS(AD203),0),0)</f>
        <v>287.12979671331402</v>
      </c>
      <c r="AE204" s="60">
        <f t="shared" ref="AE204" si="168">IF($A$64&lt;=AE168,IF($B$64&gt;=AE168,ABS(AE203),0),0)</f>
        <v>343.27210303626271</v>
      </c>
      <c r="AF204" s="60">
        <f t="shared" ref="AF204" si="169">IF($A$64&lt;=AF168,IF($B$64&gt;=AF168,ABS(AF203),0),0)</f>
        <v>10.58574912538813</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11009.313892134818</v>
      </c>
      <c r="C208" s="26">
        <f>INDEX(Comparison!$AM$3:$AS$33,G$14,$D$122)</f>
        <v>10796.668525667899</v>
      </c>
      <c r="D208" s="26">
        <f>INDEX(Comparison!$AM$3:$AS$33,H$14,$D$122)</f>
        <v>10610.07082701246</v>
      </c>
      <c r="E208" s="26">
        <f>INDEX(Comparison!$AM$3:$AS$33,I$14,$D$122)</f>
        <v>10413.892727978708</v>
      </c>
      <c r="F208" s="26">
        <f>INDEX(Comparison!$AM$3:$AS$33,J$14,$D$122)</f>
        <v>10194.452600653791</v>
      </c>
      <c r="G208" s="26">
        <f>INDEX(Comparison!$AM$3:$AS$33,K$14,$D$122)</f>
        <v>9957.7302884452874</v>
      </c>
      <c r="H208" s="26">
        <f>INDEX(Comparison!$AM$3:$AS$33,L$14,$D$122)</f>
        <v>9678.9506451169946</v>
      </c>
      <c r="I208" s="26">
        <f>INDEX(Comparison!$AM$3:$AS$33,M$14,$D$122)</f>
        <v>9429.10680786792</v>
      </c>
      <c r="J208" s="26">
        <f>INDEX(Comparison!$AM$3:$AS$33,N$14,$D$122)</f>
        <v>9166.8729911518094</v>
      </c>
      <c r="K208" s="26">
        <f>INDEX(Comparison!$AM$3:$AS$33,O$14,$D$122)</f>
        <v>8871.4120157080979</v>
      </c>
      <c r="L208" s="26">
        <f>INDEX(Comparison!$AM$3:$AS$33,P$14,$D$122)</f>
        <v>8521.038668453999</v>
      </c>
      <c r="M208" s="26">
        <f>INDEX(Comparison!$AM$3:$AS$33,Q$14,$D$122)</f>
        <v>8159.6492921187164</v>
      </c>
      <c r="N208" s="26">
        <f>INDEX(Comparison!$AM$3:$AS$33,R$14,$D$122)</f>
        <v>7853.7898979258625</v>
      </c>
      <c r="O208" s="26">
        <f>INDEX(Comparison!$AM$3:$AS$33,S$14,$D$122)</f>
        <v>7573.2536155058961</v>
      </c>
      <c r="P208" s="26">
        <f>INDEX(Comparison!$AM$3:$AS$33,T$14,$D$122)</f>
        <v>7293.8613287583112</v>
      </c>
      <c r="Q208" s="26">
        <f>INDEX(Comparison!$AM$3:$AS$33,U$14,$D$122)</f>
        <v>7004.3784649959834</v>
      </c>
      <c r="R208" s="26">
        <f>INDEX(Comparison!$AM$3:$AS$33,V$14,$D$122)</f>
        <v>6716.1281746734903</v>
      </c>
      <c r="S208" s="26">
        <f>INDEX(Comparison!$AM$3:$AS$33,W$14,$D$122)</f>
        <v>6317.4824905918776</v>
      </c>
      <c r="T208" s="26">
        <f>INDEX(Comparison!$AM$3:$AS$33,X$14,$D$122)</f>
        <v>5575.0877249610812</v>
      </c>
      <c r="U208" s="26">
        <f>INDEX(Comparison!$AM$3:$AS$33,Y$14,$D$122)</f>
        <v>4517.4360226770941</v>
      </c>
      <c r="V208" s="26">
        <f>INDEX(Comparison!$AM$3:$AS$33,Z$14,$D$122)</f>
        <v>3579.1976948167016</v>
      </c>
      <c r="W208" s="26">
        <f>INDEX(Comparison!$AM$3:$AS$33,AA$14,$D$122)</f>
        <v>2836.8024969308635</v>
      </c>
      <c r="X208" s="26">
        <f>INDEX(Comparison!$AM$3:$AS$33,AB$14,$D$122)</f>
        <v>2213.6861360404496</v>
      </c>
      <c r="Y208" s="26">
        <f>INDEX(Comparison!$AM$3:$AS$33,AC$14,$D$122)</f>
        <v>1650.6334197278006</v>
      </c>
      <c r="Z208" s="26">
        <f>INDEX(Comparison!$AM$3:$AS$33,AD$14,$D$122)</f>
        <v>1168.6567020451771</v>
      </c>
      <c r="AA208" s="26">
        <f>INDEX(Comparison!$AM$3:$AS$33,AE$14,$D$122)</f>
        <v>818.07631905971209</v>
      </c>
      <c r="AB208" s="26">
        <f>INDEX(Comparison!$AM$3:$AS$33,AF$14,$D$122)</f>
        <v>599.03104161742488</v>
      </c>
      <c r="AC208" s="26">
        <f>INDEX(Comparison!$AM$3:$AS$33,AG$14,$D$122)</f>
        <v>488.03069035934635</v>
      </c>
      <c r="AD208" s="26">
        <f>INDEX(Comparison!$AM$3:$AS$33,AH$14,$D$122)</f>
        <v>431.51308603872349</v>
      </c>
      <c r="AE208" s="26">
        <f>INDEX(Comparison!$AM$3:$AS$33,AI$14,$D$122)</f>
        <v>402.06033913876905</v>
      </c>
      <c r="AF208" s="26">
        <f>INDEX(Comparison!$AM$3:$AS$33,AJ$14,$D$122)</f>
        <v>386.49357349528668</v>
      </c>
      <c r="AG208" s="26"/>
      <c r="AH208" s="26"/>
    </row>
    <row r="209" spans="1:34" x14ac:dyDescent="0.25">
      <c r="A209" s="70" t="s">
        <v>22</v>
      </c>
      <c r="B209" s="27">
        <f>($C$17+SUM(B210:B240))*$B$51</f>
        <v>11357.306888258885</v>
      </c>
      <c r="C209" s="27">
        <f t="shared" ref="C209:AF209" si="170">($C$17+SUM(C210:C240))*$B$51</f>
        <v>10961.409220861522</v>
      </c>
      <c r="D209" s="27">
        <f t="shared" si="170"/>
        <v>9294.1157472084888</v>
      </c>
      <c r="E209" s="27">
        <f t="shared" si="170"/>
        <v>8968.7002337418853</v>
      </c>
      <c r="F209" s="27">
        <f t="shared" si="170"/>
        <v>8968.6728284147703</v>
      </c>
      <c r="G209" s="27">
        <f t="shared" si="170"/>
        <v>8968.3988857713666</v>
      </c>
      <c r="H209" s="27">
        <f t="shared" si="170"/>
        <v>8965.6661218821828</v>
      </c>
      <c r="I209" s="27">
        <f t="shared" si="170"/>
        <v>8938.9934786173835</v>
      </c>
      <c r="J209" s="27">
        <f t="shared" si="170"/>
        <v>8727.8246414396217</v>
      </c>
      <c r="K209" s="27">
        <f t="shared" si="170"/>
        <v>8286.5339799545036</v>
      </c>
      <c r="L209" s="27">
        <f t="shared" si="170"/>
        <v>7977.4960686437107</v>
      </c>
      <c r="M209" s="27">
        <f t="shared" si="170"/>
        <v>7642.4896302839143</v>
      </c>
      <c r="N209" s="27">
        <f t="shared" si="170"/>
        <v>7381.4199071197227</v>
      </c>
      <c r="O209" s="27">
        <f t="shared" si="170"/>
        <v>7104.7335989180192</v>
      </c>
      <c r="P209" s="27">
        <f t="shared" si="170"/>
        <v>6838.9490005894495</v>
      </c>
      <c r="Q209" s="27">
        <f t="shared" si="170"/>
        <v>6554.2364864841729</v>
      </c>
      <c r="R209" s="27">
        <f t="shared" si="170"/>
        <v>6287.8673222368197</v>
      </c>
      <c r="S209" s="27">
        <f t="shared" si="170"/>
        <v>5927.84667932096</v>
      </c>
      <c r="T209" s="27">
        <f t="shared" si="170"/>
        <v>5569.7893433150366</v>
      </c>
      <c r="U209" s="27">
        <f t="shared" si="170"/>
        <v>5132.3841583721305</v>
      </c>
      <c r="V209" s="27">
        <f t="shared" si="170"/>
        <v>4621.1942420890718</v>
      </c>
      <c r="W209" s="27">
        <f t="shared" si="170"/>
        <v>3925.7062027368602</v>
      </c>
      <c r="X209" s="27">
        <f t="shared" si="170"/>
        <v>2918.7580741257134</v>
      </c>
      <c r="Y209" s="27">
        <f t="shared" si="170"/>
        <v>1965.8984770975999</v>
      </c>
      <c r="Z209" s="27">
        <f t="shared" si="170"/>
        <v>1269.6098117047457</v>
      </c>
      <c r="AA209" s="27">
        <f t="shared" si="170"/>
        <v>846.08350560492272</v>
      </c>
      <c r="AB209" s="27">
        <f t="shared" si="170"/>
        <v>619.33491033288169</v>
      </c>
      <c r="AC209" s="27">
        <f t="shared" si="170"/>
        <v>502.53059314004105</v>
      </c>
      <c r="AD209" s="27">
        <f t="shared" si="170"/>
        <v>448.30127969699527</v>
      </c>
      <c r="AE209" s="27">
        <f t="shared" si="170"/>
        <v>402.69003323420554</v>
      </c>
      <c r="AF209" s="27">
        <f t="shared" si="170"/>
        <v>391.14113120443409</v>
      </c>
      <c r="AG209" s="27"/>
      <c r="AH209" s="27"/>
    </row>
    <row r="210" spans="1:34" x14ac:dyDescent="0.25">
      <c r="B210" s="3">
        <f t="shared" ref="B210:AF210" si="171">$C18*EXP(-B$207/$A18/EXP(-$D$126))</f>
        <v>0.20941845193538555</v>
      </c>
      <c r="C210" s="3">
        <f t="shared" si="171"/>
        <v>0.17470851919838576</v>
      </c>
      <c r="D210" s="3">
        <f t="shared" si="171"/>
        <v>2.8530242376972988E-2</v>
      </c>
      <c r="E210" s="3">
        <f t="shared" si="171"/>
        <v>3.84785985478192E-10</v>
      </c>
      <c r="F210" s="3">
        <f t="shared" si="171"/>
        <v>7.6622636858852813E-89</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4.9174999354114866E-2</v>
      </c>
      <c r="C211" s="3">
        <f t="shared" si="172"/>
        <v>4.9174997071453744E-2</v>
      </c>
      <c r="D211" s="3">
        <f t="shared" si="172"/>
        <v>4.9174974244848353E-2</v>
      </c>
      <c r="E211" s="3">
        <f t="shared" si="172"/>
        <v>4.9174745979377169E-2</v>
      </c>
      <c r="F211" s="3">
        <f t="shared" si="172"/>
        <v>4.9172463382941796E-2</v>
      </c>
      <c r="G211" s="3">
        <f t="shared" si="172"/>
        <v>4.9149643245230391E-2</v>
      </c>
      <c r="H211" s="3">
        <f t="shared" si="172"/>
        <v>4.8922023532857704E-2</v>
      </c>
      <c r="I211" s="3">
        <f t="shared" si="172"/>
        <v>4.6703006152243542E-2</v>
      </c>
      <c r="J211" s="3">
        <f t="shared" si="172"/>
        <v>2.9359528226258699E-2</v>
      </c>
      <c r="K211" s="3">
        <f t="shared" si="172"/>
        <v>2.8300326157862236E-4</v>
      </c>
      <c r="L211" s="3">
        <f t="shared" si="172"/>
        <v>1.9598151983957124E-24</v>
      </c>
      <c r="M211" s="3">
        <f t="shared" si="172"/>
        <v>4.9710934445844931E-226</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2.5308430884054441E-2</v>
      </c>
      <c r="C212" s="3">
        <f t="shared" si="173"/>
        <v>2.5308430778078105E-2</v>
      </c>
      <c r="D212" s="3">
        <f t="shared" si="173"/>
        <v>2.5308429718314769E-2</v>
      </c>
      <c r="E212" s="3">
        <f t="shared" si="173"/>
        <v>2.5308419120683882E-2</v>
      </c>
      <c r="F212" s="3">
        <f t="shared" si="173"/>
        <v>2.5308313144619066E-2</v>
      </c>
      <c r="G212" s="3">
        <f t="shared" si="173"/>
        <v>2.5307253408377528E-2</v>
      </c>
      <c r="H212" s="3">
        <f t="shared" si="173"/>
        <v>2.5296658486246938E-2</v>
      </c>
      <c r="I212" s="3">
        <f t="shared" si="173"/>
        <v>2.5190952915759089E-2</v>
      </c>
      <c r="J212" s="3">
        <f t="shared" si="173"/>
        <v>2.4157888986800692E-2</v>
      </c>
      <c r="K212" s="3">
        <f t="shared" si="173"/>
        <v>1.5892888322340988E-2</v>
      </c>
      <c r="L212" s="3">
        <f t="shared" si="173"/>
        <v>2.4134668397353778E-4</v>
      </c>
      <c r="M212" s="3">
        <f t="shared" si="173"/>
        <v>1.5740784774465708E-22</v>
      </c>
      <c r="N212" s="3">
        <f t="shared" si="173"/>
        <v>2.1921831109565991E-204</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3.419451671250949E-2</v>
      </c>
      <c r="C213" s="3">
        <f t="shared" si="174"/>
        <v>3.4194516699592933E-2</v>
      </c>
      <c r="D213" s="3">
        <f t="shared" si="174"/>
        <v>3.4194516570427366E-2</v>
      </c>
      <c r="E213" s="3">
        <f t="shared" si="174"/>
        <v>3.4194515278771771E-2</v>
      </c>
      <c r="F213" s="3">
        <f t="shared" si="174"/>
        <v>3.4194502362218451E-2</v>
      </c>
      <c r="G213" s="3">
        <f t="shared" si="174"/>
        <v>3.4194373196953648E-2</v>
      </c>
      <c r="H213" s="3">
        <f t="shared" si="174"/>
        <v>3.4193081571140024E-2</v>
      </c>
      <c r="I213" s="3">
        <f t="shared" si="174"/>
        <v>3.4180167996075393E-2</v>
      </c>
      <c r="J213" s="3">
        <f t="shared" si="174"/>
        <v>3.405130017797306E-2</v>
      </c>
      <c r="K213" s="3">
        <f t="shared" si="174"/>
        <v>3.2789044534485536E-2</v>
      </c>
      <c r="L213" s="3">
        <f t="shared" si="174"/>
        <v>2.2473948728325421E-2</v>
      </c>
      <c r="M213" s="3">
        <f t="shared" si="174"/>
        <v>5.1426341211945254E-4</v>
      </c>
      <c r="N213" s="3">
        <f t="shared" si="174"/>
        <v>2.0241749216195509E-20</v>
      </c>
      <c r="O213" s="3">
        <f t="shared" si="174"/>
        <v>1.8066422757408356E-184</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2.2721576937663551E-2</v>
      </c>
      <c r="C214" s="3">
        <f t="shared" si="175"/>
        <v>2.2721576936889309E-2</v>
      </c>
      <c r="D214" s="3">
        <f t="shared" si="175"/>
        <v>2.2721576929146912E-2</v>
      </c>
      <c r="E214" s="3">
        <f t="shared" si="175"/>
        <v>2.2721576851722963E-2</v>
      </c>
      <c r="F214" s="3">
        <f t="shared" si="175"/>
        <v>2.2721576077483468E-2</v>
      </c>
      <c r="G214" s="3">
        <f t="shared" si="175"/>
        <v>2.2721568335089957E-2</v>
      </c>
      <c r="H214" s="3">
        <f t="shared" si="175"/>
        <v>2.2721490911299921E-2</v>
      </c>
      <c r="I214" s="3">
        <f t="shared" si="175"/>
        <v>2.2720716687909655E-2</v>
      </c>
      <c r="J214" s="3">
        <f t="shared" si="175"/>
        <v>2.2712975904828667E-2</v>
      </c>
      <c r="K214" s="3">
        <f t="shared" si="175"/>
        <v>2.2635712973440025E-2</v>
      </c>
      <c r="L214" s="3">
        <f t="shared" si="175"/>
        <v>2.1877392568841872E-2</v>
      </c>
      <c r="M214" s="3">
        <f t="shared" si="175"/>
        <v>1.5559992210534803E-2</v>
      </c>
      <c r="N214" s="3">
        <f t="shared" si="175"/>
        <v>5.1540369643134879E-4</v>
      </c>
      <c r="O214" s="3">
        <f t="shared" si="175"/>
        <v>8.1946246549188807E-19</v>
      </c>
      <c r="P214" s="3">
        <f t="shared" si="175"/>
        <v>8.4594949733995583E-167</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2.5892610318383812E-2</v>
      </c>
      <c r="C215" s="3">
        <f t="shared" si="176"/>
        <v>2.5892610318304223E-2</v>
      </c>
      <c r="D215" s="3">
        <f t="shared" si="176"/>
        <v>2.5892610317508322E-2</v>
      </c>
      <c r="E215" s="3">
        <f t="shared" si="176"/>
        <v>2.5892610309549306E-2</v>
      </c>
      <c r="F215" s="3">
        <f t="shared" si="176"/>
        <v>2.5892610229959163E-2</v>
      </c>
      <c r="G215" s="3">
        <f t="shared" si="176"/>
        <v>2.5892609434057745E-2</v>
      </c>
      <c r="H215" s="3">
        <f t="shared" si="176"/>
        <v>2.5892601475044876E-2</v>
      </c>
      <c r="I215" s="3">
        <f t="shared" si="176"/>
        <v>2.5892521885050781E-2</v>
      </c>
      <c r="J215" s="3">
        <f t="shared" si="176"/>
        <v>2.5891725998565346E-2</v>
      </c>
      <c r="K215" s="3">
        <f t="shared" si="176"/>
        <v>2.5883768479108255E-2</v>
      </c>
      <c r="L215" s="3">
        <f t="shared" si="176"/>
        <v>2.5804327671377074E-2</v>
      </c>
      <c r="M215" s="3">
        <f t="shared" si="176"/>
        <v>2.5023206684861563E-2</v>
      </c>
      <c r="N215" s="3">
        <f t="shared" si="176"/>
        <v>1.8401240999439322E-2</v>
      </c>
      <c r="O215" s="3">
        <f t="shared" si="176"/>
        <v>8.5091977244204653E-4</v>
      </c>
      <c r="P215" s="3">
        <f t="shared" si="176"/>
        <v>3.8045529716194354E-17</v>
      </c>
      <c r="Q215" s="3">
        <f t="shared" si="176"/>
        <v>1.2146574969311093E-150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2.3275396535951124E-2</v>
      </c>
      <c r="C216" s="3">
        <f t="shared" si="177"/>
        <v>2.3275396535944671E-2</v>
      </c>
      <c r="D216" s="3">
        <f t="shared" si="177"/>
        <v>2.3275396535880132E-2</v>
      </c>
      <c r="E216" s="3">
        <f t="shared" si="177"/>
        <v>2.3275396535234735E-2</v>
      </c>
      <c r="F216" s="3">
        <f t="shared" si="177"/>
        <v>2.3275396528780763E-2</v>
      </c>
      <c r="G216" s="3">
        <f t="shared" si="177"/>
        <v>2.3275396464241031E-2</v>
      </c>
      <c r="H216" s="3">
        <f t="shared" si="177"/>
        <v>2.3275395818843761E-2</v>
      </c>
      <c r="I216" s="3">
        <f t="shared" si="177"/>
        <v>2.3275389364872029E-2</v>
      </c>
      <c r="J216" s="3">
        <f t="shared" si="177"/>
        <v>2.3275324825253119E-2</v>
      </c>
      <c r="K216" s="3">
        <f t="shared" si="177"/>
        <v>2.3274679438906754E-2</v>
      </c>
      <c r="L216" s="3">
        <f t="shared" si="177"/>
        <v>2.326822655961365E-2</v>
      </c>
      <c r="M216" s="3">
        <f t="shared" si="177"/>
        <v>2.3203796082838821E-2</v>
      </c>
      <c r="N216" s="3">
        <f t="shared" si="177"/>
        <v>2.2569222805738039E-2</v>
      </c>
      <c r="O216" s="3">
        <f t="shared" si="177"/>
        <v>1.7103785511046899E-2</v>
      </c>
      <c r="P216" s="3">
        <f t="shared" si="177"/>
        <v>1.0686823052678761E-3</v>
      </c>
      <c r="Q216" s="3">
        <f t="shared" si="177"/>
        <v>9.6919772966900389E-16</v>
      </c>
      <c r="R216" s="3">
        <f t="shared" si="177"/>
        <v>3.6479601327434921E-136</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2.725942734122299E-2</v>
      </c>
      <c r="C217" s="3">
        <f t="shared" si="178"/>
        <v>2.725942734122231E-2</v>
      </c>
      <c r="D217" s="3">
        <f t="shared" si="178"/>
        <v>2.7259427341215493E-2</v>
      </c>
      <c r="E217" s="3">
        <f t="shared" si="178"/>
        <v>2.7259427341147304E-2</v>
      </c>
      <c r="F217" s="3">
        <f t="shared" si="178"/>
        <v>2.7259427340465447E-2</v>
      </c>
      <c r="G217" s="3">
        <f t="shared" si="178"/>
        <v>2.7259427333646877E-2</v>
      </c>
      <c r="H217" s="3">
        <f t="shared" si="178"/>
        <v>2.7259427265461166E-2</v>
      </c>
      <c r="I217" s="3">
        <f t="shared" si="178"/>
        <v>2.7259426583604085E-2</v>
      </c>
      <c r="J217" s="3">
        <f t="shared" si="178"/>
        <v>2.7259419765034192E-2</v>
      </c>
      <c r="K217" s="3">
        <f t="shared" si="178"/>
        <v>2.7259351579429072E-2</v>
      </c>
      <c r="L217" s="3">
        <f t="shared" si="178"/>
        <v>2.7258669732758423E-2</v>
      </c>
      <c r="M217" s="3">
        <f t="shared" si="178"/>
        <v>2.7251852204019947E-2</v>
      </c>
      <c r="N217" s="3">
        <f t="shared" si="178"/>
        <v>2.7183770626685162E-2</v>
      </c>
      <c r="O217" s="3">
        <f t="shared" si="178"/>
        <v>2.6512239706528957E-2</v>
      </c>
      <c r="P217" s="3">
        <f t="shared" si="178"/>
        <v>2.0644939977729256E-2</v>
      </c>
      <c r="Q217" s="3">
        <f t="shared" si="178"/>
        <v>1.6923324934691891E-3</v>
      </c>
      <c r="R217" s="3">
        <f t="shared" si="178"/>
        <v>2.3184961501210105E-14</v>
      </c>
      <c r="S217" s="3">
        <f t="shared" si="178"/>
        <v>5.4002422008621946E-123</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2.1214287036784935E-2</v>
      </c>
      <c r="C218" s="3">
        <f t="shared" si="179"/>
        <v>2.1214287036784883E-2</v>
      </c>
      <c r="D218" s="3">
        <f t="shared" si="179"/>
        <v>2.1214287036784407E-2</v>
      </c>
      <c r="E218" s="3">
        <f t="shared" si="179"/>
        <v>2.1214287036779619E-2</v>
      </c>
      <c r="F218" s="3">
        <f t="shared" si="179"/>
        <v>2.1214287036731751E-2</v>
      </c>
      <c r="G218" s="3">
        <f t="shared" si="179"/>
        <v>2.1214287036253065E-2</v>
      </c>
      <c r="H218" s="3">
        <f t="shared" si="179"/>
        <v>2.1214287031466193E-2</v>
      </c>
      <c r="I218" s="3">
        <f t="shared" si="179"/>
        <v>2.1214286983597491E-2</v>
      </c>
      <c r="J218" s="3">
        <f t="shared" si="179"/>
        <v>2.121428650491046E-2</v>
      </c>
      <c r="K218" s="3">
        <f t="shared" si="179"/>
        <v>2.1214281718040753E-2</v>
      </c>
      <c r="L218" s="3">
        <f t="shared" si="179"/>
        <v>2.1214233849403095E-2</v>
      </c>
      <c r="M218" s="3">
        <f t="shared" si="179"/>
        <v>2.1213755168967157E-2</v>
      </c>
      <c r="N218" s="3">
        <f t="shared" si="179"/>
        <v>2.1208968958622607E-2</v>
      </c>
      <c r="O218" s="3">
        <f t="shared" si="179"/>
        <v>2.1161166207097869E-2</v>
      </c>
      <c r="P218" s="3">
        <f t="shared" si="179"/>
        <v>2.0689024629751106E-2</v>
      </c>
      <c r="Q218" s="3">
        <f t="shared" si="179"/>
        <v>1.6509890765023755E-2</v>
      </c>
      <c r="R218" s="3">
        <f t="shared" si="179"/>
        <v>1.7289643237255157E-3</v>
      </c>
      <c r="S218" s="3">
        <f t="shared" si="179"/>
        <v>2.7428644953307069E-13</v>
      </c>
      <c r="T218" s="3">
        <f t="shared" si="179"/>
        <v>2.7694119516709697E-111</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3.4718036830476549E-2</v>
      </c>
      <c r="C219" s="3">
        <f t="shared" si="180"/>
        <v>3.4718036830476542E-2</v>
      </c>
      <c r="D219" s="3">
        <f t="shared" si="180"/>
        <v>3.4718036830476473E-2</v>
      </c>
      <c r="E219" s="3">
        <f t="shared" si="180"/>
        <v>3.4718036830475765E-2</v>
      </c>
      <c r="F219" s="3">
        <f t="shared" si="180"/>
        <v>3.4718036830468695E-2</v>
      </c>
      <c r="G219" s="3">
        <f t="shared" si="180"/>
        <v>3.4718036830398029E-2</v>
      </c>
      <c r="H219" s="3">
        <f t="shared" si="180"/>
        <v>3.4718036829691344E-2</v>
      </c>
      <c r="I219" s="3">
        <f t="shared" si="180"/>
        <v>3.4718036822624511E-2</v>
      </c>
      <c r="J219" s="3">
        <f t="shared" si="180"/>
        <v>3.4718036751956158E-2</v>
      </c>
      <c r="K219" s="3">
        <f t="shared" si="180"/>
        <v>3.4718036045272627E-2</v>
      </c>
      <c r="L219" s="3">
        <f t="shared" si="180"/>
        <v>3.4718028978438099E-2</v>
      </c>
      <c r="M219" s="3">
        <f t="shared" si="180"/>
        <v>3.4717958310171944E-2</v>
      </c>
      <c r="N219" s="3">
        <f t="shared" si="180"/>
        <v>3.471725163542181E-2</v>
      </c>
      <c r="O219" s="3">
        <f t="shared" si="180"/>
        <v>3.4710185679001859E-2</v>
      </c>
      <c r="P219" s="3">
        <f t="shared" si="180"/>
        <v>3.4639605163389806E-2</v>
      </c>
      <c r="Q219" s="3">
        <f t="shared" si="180"/>
        <v>3.3941645654696304E-2</v>
      </c>
      <c r="R219" s="3">
        <f t="shared" si="180"/>
        <v>2.7690609553152522E-2</v>
      </c>
      <c r="S219" s="3">
        <f t="shared" si="180"/>
        <v>3.6168352261239135E-3</v>
      </c>
      <c r="T219" s="3">
        <f t="shared" si="180"/>
        <v>5.2274610151843935E-12</v>
      </c>
      <c r="U219" s="3">
        <f t="shared" si="180"/>
        <v>2.0792733669146584E-100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3.054172570036021E-2</v>
      </c>
      <c r="C220" s="3">
        <f t="shared" si="181"/>
        <v>3.054172570036021E-2</v>
      </c>
      <c r="D220" s="3">
        <f t="shared" si="181"/>
        <v>3.0541725700360203E-2</v>
      </c>
      <c r="E220" s="3">
        <f t="shared" si="181"/>
        <v>3.0541725700360147E-2</v>
      </c>
      <c r="F220" s="3">
        <f t="shared" si="181"/>
        <v>3.0541725700359585E-2</v>
      </c>
      <c r="G220" s="3">
        <f t="shared" si="181"/>
        <v>3.0541725700353978E-2</v>
      </c>
      <c r="H220" s="3">
        <f t="shared" si="181"/>
        <v>3.0541725700297898E-2</v>
      </c>
      <c r="I220" s="3">
        <f t="shared" si="181"/>
        <v>3.0541725699737097E-2</v>
      </c>
      <c r="J220" s="3">
        <f t="shared" si="181"/>
        <v>3.0541725694129069E-2</v>
      </c>
      <c r="K220" s="3">
        <f t="shared" si="181"/>
        <v>3.0541725638048814E-2</v>
      </c>
      <c r="L220" s="3">
        <f t="shared" si="181"/>
        <v>3.0541725077246271E-2</v>
      </c>
      <c r="M220" s="3">
        <f t="shared" si="181"/>
        <v>3.0541719469221396E-2</v>
      </c>
      <c r="N220" s="3">
        <f t="shared" si="181"/>
        <v>3.0541663389029285E-2</v>
      </c>
      <c r="O220" s="3">
        <f t="shared" si="181"/>
        <v>3.0541102592771707E-2</v>
      </c>
      <c r="P220" s="3">
        <f t="shared" si="181"/>
        <v>3.0535495196508604E-2</v>
      </c>
      <c r="Q220" s="3">
        <f t="shared" si="181"/>
        <v>3.0479477826690873E-2</v>
      </c>
      <c r="R220" s="3">
        <f t="shared" si="181"/>
        <v>2.9924925149455502E-2</v>
      </c>
      <c r="S220" s="3">
        <f t="shared" si="181"/>
        <v>2.4905116439257264E-2</v>
      </c>
      <c r="T220" s="3">
        <f t="shared" si="181"/>
        <v>3.9704854970241069E-3</v>
      </c>
      <c r="U220" s="3">
        <f t="shared" si="181"/>
        <v>4.2110848169935115E-11</v>
      </c>
      <c r="V220" s="3">
        <f t="shared" si="181"/>
        <v>7.583989736005571E-91</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4.0592217810354776E-2</v>
      </c>
      <c r="C221" s="3">
        <f t="shared" si="182"/>
        <v>4.0592217810354776E-2</v>
      </c>
      <c r="D221" s="3">
        <f t="shared" si="182"/>
        <v>4.0592217810354776E-2</v>
      </c>
      <c r="E221" s="3">
        <f t="shared" si="182"/>
        <v>4.0592217810354769E-2</v>
      </c>
      <c r="F221" s="3">
        <f t="shared" si="182"/>
        <v>4.05922178103547E-2</v>
      </c>
      <c r="G221" s="3">
        <f t="shared" si="182"/>
        <v>4.0592217810354027E-2</v>
      </c>
      <c r="H221" s="3">
        <f t="shared" si="182"/>
        <v>4.0592217810347303E-2</v>
      </c>
      <c r="I221" s="3">
        <f t="shared" si="182"/>
        <v>4.0592217810280072E-2</v>
      </c>
      <c r="J221" s="3">
        <f t="shared" si="182"/>
        <v>4.05922178096077E-2</v>
      </c>
      <c r="K221" s="3">
        <f t="shared" si="182"/>
        <v>4.0592217802884044E-2</v>
      </c>
      <c r="L221" s="3">
        <f t="shared" si="182"/>
        <v>4.0592217735647439E-2</v>
      </c>
      <c r="M221" s="3">
        <f t="shared" si="182"/>
        <v>4.0592217063281394E-2</v>
      </c>
      <c r="N221" s="3">
        <f t="shared" si="182"/>
        <v>4.0592210339621536E-2</v>
      </c>
      <c r="O221" s="3">
        <f t="shared" si="182"/>
        <v>4.0592143103084212E-2</v>
      </c>
      <c r="P221" s="3">
        <f t="shared" si="182"/>
        <v>4.059147074383633E-2</v>
      </c>
      <c r="Q221" s="3">
        <f t="shared" si="182"/>
        <v>4.0584747763851577E-2</v>
      </c>
      <c r="R221" s="3">
        <f t="shared" si="182"/>
        <v>4.0517579175890758E-2</v>
      </c>
      <c r="S221" s="3">
        <f t="shared" si="182"/>
        <v>3.9851977135977414E-2</v>
      </c>
      <c r="T221" s="3">
        <f t="shared" si="182"/>
        <v>3.3768650307998818E-2</v>
      </c>
      <c r="U221" s="3">
        <f t="shared" si="182"/>
        <v>6.4439476787494033E-3</v>
      </c>
      <c r="V221" s="3">
        <f t="shared" si="182"/>
        <v>4.1260551946870694E-10</v>
      </c>
      <c r="W221" s="3">
        <f t="shared" si="182"/>
        <v>4.7793112073163867E-82</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4.4579554777240793E-2</v>
      </c>
      <c r="C222" s="3">
        <f t="shared" si="183"/>
        <v>4.4579554777240793E-2</v>
      </c>
      <c r="D222" s="3">
        <f t="shared" si="183"/>
        <v>4.4579554777240793E-2</v>
      </c>
      <c r="E222" s="3">
        <f t="shared" si="183"/>
        <v>4.4579554777240793E-2</v>
      </c>
      <c r="F222" s="3">
        <f t="shared" si="183"/>
        <v>4.4579554777240786E-2</v>
      </c>
      <c r="G222" s="3">
        <f t="shared" si="183"/>
        <v>4.4579554777240717E-2</v>
      </c>
      <c r="H222" s="3">
        <f t="shared" si="183"/>
        <v>4.4579554777240051E-2</v>
      </c>
      <c r="I222" s="3">
        <f t="shared" si="183"/>
        <v>4.4579554777233396E-2</v>
      </c>
      <c r="J222" s="3">
        <f t="shared" si="183"/>
        <v>4.4579554777166783E-2</v>
      </c>
      <c r="K222" s="3">
        <f t="shared" si="183"/>
        <v>4.457955477650067E-2</v>
      </c>
      <c r="L222" s="3">
        <f t="shared" si="183"/>
        <v>4.4579554769839581E-2</v>
      </c>
      <c r="M222" s="3">
        <f t="shared" si="183"/>
        <v>4.4579554703228677E-2</v>
      </c>
      <c r="N222" s="3">
        <f t="shared" si="183"/>
        <v>4.4579554037119662E-2</v>
      </c>
      <c r="O222" s="3">
        <f t="shared" si="183"/>
        <v>4.4579547376030045E-2</v>
      </c>
      <c r="P222" s="3">
        <f t="shared" si="183"/>
        <v>4.4579480765188612E-2</v>
      </c>
      <c r="Q222" s="3">
        <f t="shared" si="183"/>
        <v>4.4578814662248403E-2</v>
      </c>
      <c r="R222" s="3">
        <f t="shared" si="183"/>
        <v>4.4572154180228842E-2</v>
      </c>
      <c r="S222" s="3">
        <f t="shared" si="183"/>
        <v>4.4505604068034062E-2</v>
      </c>
      <c r="T222" s="3">
        <f t="shared" si="183"/>
        <v>4.3845543621084775E-2</v>
      </c>
      <c r="U222" s="3">
        <f t="shared" si="183"/>
        <v>3.7760092496244915E-2</v>
      </c>
      <c r="V222" s="3">
        <f t="shared" si="183"/>
        <v>8.4743998861373532E-3</v>
      </c>
      <c r="W222" s="3">
        <f t="shared" si="183"/>
        <v>2.7470590385689636E-9</v>
      </c>
      <c r="X222" s="3">
        <f t="shared" si="183"/>
        <v>3.519317026470485E-74</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6.2079559793872717E-2</v>
      </c>
      <c r="C223" s="3">
        <f t="shared" si="184"/>
        <v>6.2079559793872717E-2</v>
      </c>
      <c r="D223" s="3">
        <f t="shared" si="184"/>
        <v>6.2079559793872717E-2</v>
      </c>
      <c r="E223" s="3">
        <f t="shared" si="184"/>
        <v>6.2079559793872717E-2</v>
      </c>
      <c r="F223" s="3">
        <f t="shared" si="184"/>
        <v>6.2079559793872717E-2</v>
      </c>
      <c r="G223" s="3">
        <f t="shared" si="184"/>
        <v>6.207955979387271E-2</v>
      </c>
      <c r="H223" s="3">
        <f t="shared" si="184"/>
        <v>6.2079559793872627E-2</v>
      </c>
      <c r="I223" s="3">
        <f t="shared" si="184"/>
        <v>6.2079559793871787E-2</v>
      </c>
      <c r="J223" s="3">
        <f t="shared" si="184"/>
        <v>6.2079559793863419E-2</v>
      </c>
      <c r="K223" s="3">
        <f t="shared" si="184"/>
        <v>6.2079559793779743E-2</v>
      </c>
      <c r="L223" s="3">
        <f t="shared" si="184"/>
        <v>6.2079559792942975E-2</v>
      </c>
      <c r="M223" s="3">
        <f t="shared" si="184"/>
        <v>6.20795597845753E-2</v>
      </c>
      <c r="N223" s="3">
        <f t="shared" si="184"/>
        <v>6.2079559700898547E-2</v>
      </c>
      <c r="O223" s="3">
        <f t="shared" si="184"/>
        <v>6.2079558864131044E-2</v>
      </c>
      <c r="P223" s="3">
        <f t="shared" si="184"/>
        <v>6.2079550496456637E-2</v>
      </c>
      <c r="Q223" s="3">
        <f t="shared" si="184"/>
        <v>6.2079466819774554E-2</v>
      </c>
      <c r="R223" s="3">
        <f t="shared" si="184"/>
        <v>6.2078630059157022E-2</v>
      </c>
      <c r="S223" s="3">
        <f t="shared" si="184"/>
        <v>6.2070263073278571E-2</v>
      </c>
      <c r="T223" s="3">
        <f t="shared" si="184"/>
        <v>6.1986655213260113E-2</v>
      </c>
      <c r="U223" s="3">
        <f t="shared" si="184"/>
        <v>6.1156745680739165E-2</v>
      </c>
      <c r="V223" s="3">
        <f t="shared" si="184"/>
        <v>5.3444868810308681E-2</v>
      </c>
      <c r="W223" s="3">
        <f t="shared" si="184"/>
        <v>1.3884252253071211E-2</v>
      </c>
      <c r="X223" s="3">
        <f t="shared" si="184"/>
        <v>1.9439598749637636E-8</v>
      </c>
      <c r="Y223" s="3">
        <f t="shared" si="184"/>
        <v>5.6277566072297153E-67</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0.10578931784531295</v>
      </c>
      <c r="C224" s="3">
        <f t="shared" si="185"/>
        <v>0.10578931784531295</v>
      </c>
      <c r="D224" s="3">
        <f t="shared" si="185"/>
        <v>0.10578931784531295</v>
      </c>
      <c r="E224" s="3">
        <f t="shared" si="185"/>
        <v>0.10578931784531295</v>
      </c>
      <c r="F224" s="3">
        <f t="shared" si="185"/>
        <v>0.10578931784531295</v>
      </c>
      <c r="G224" s="3">
        <f t="shared" si="185"/>
        <v>0.10578931784531295</v>
      </c>
      <c r="H224" s="3">
        <f t="shared" si="185"/>
        <v>0.10578931784531294</v>
      </c>
      <c r="I224" s="3">
        <f t="shared" si="185"/>
        <v>0.10578931784531281</v>
      </c>
      <c r="J224" s="3">
        <f t="shared" si="185"/>
        <v>0.10578931784531152</v>
      </c>
      <c r="K224" s="3">
        <f t="shared" si="185"/>
        <v>0.10578931784529866</v>
      </c>
      <c r="L224" s="3">
        <f t="shared" si="185"/>
        <v>0.10578931784517003</v>
      </c>
      <c r="M224" s="3">
        <f t="shared" si="185"/>
        <v>0.10578931784388372</v>
      </c>
      <c r="N224" s="3">
        <f t="shared" si="185"/>
        <v>0.10578931783102066</v>
      </c>
      <c r="O224" s="3">
        <f t="shared" si="185"/>
        <v>0.10578931770238996</v>
      </c>
      <c r="P224" s="3">
        <f t="shared" si="185"/>
        <v>0.10578931641608311</v>
      </c>
      <c r="Q224" s="3">
        <f t="shared" si="185"/>
        <v>0.1057893035530154</v>
      </c>
      <c r="R224" s="3">
        <f t="shared" si="185"/>
        <v>0.1057891749224243</v>
      </c>
      <c r="S224" s="3">
        <f t="shared" si="185"/>
        <v>0.10578788862511551</v>
      </c>
      <c r="T224" s="3">
        <f t="shared" si="185"/>
        <v>0.10577502651220562</v>
      </c>
      <c r="U224" s="3">
        <f t="shared" si="185"/>
        <v>0.10564649136222272</v>
      </c>
      <c r="V224" s="3">
        <f t="shared" si="185"/>
        <v>0.10436969921849791</v>
      </c>
      <c r="W224" s="3">
        <f t="shared" si="185"/>
        <v>9.2420426522213342E-2</v>
      </c>
      <c r="X224" s="3">
        <f t="shared" si="185"/>
        <v>2.7397020475300082E-2</v>
      </c>
      <c r="Y224" s="3">
        <f t="shared" si="185"/>
        <v>1.4356778255389015E-7</v>
      </c>
      <c r="Z224" s="3">
        <f t="shared" si="185"/>
        <v>2.2417830230526929E-60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8.5446045134986312E-2</v>
      </c>
      <c r="C225" s="3">
        <f t="shared" si="186"/>
        <v>8.5446045134986312E-2</v>
      </c>
      <c r="D225" s="3">
        <f t="shared" si="186"/>
        <v>8.5446045134986312E-2</v>
      </c>
      <c r="E225" s="3">
        <f t="shared" si="186"/>
        <v>8.5446045134986312E-2</v>
      </c>
      <c r="F225" s="3">
        <f t="shared" si="186"/>
        <v>8.5446045134986312E-2</v>
      </c>
      <c r="G225" s="3">
        <f t="shared" si="186"/>
        <v>8.5446045134986312E-2</v>
      </c>
      <c r="H225" s="3">
        <f t="shared" si="186"/>
        <v>8.5446045134986312E-2</v>
      </c>
      <c r="I225" s="3">
        <f t="shared" si="186"/>
        <v>8.5446045134986298E-2</v>
      </c>
      <c r="J225" s="3">
        <f t="shared" si="186"/>
        <v>8.5446045134986201E-2</v>
      </c>
      <c r="K225" s="3">
        <f t="shared" si="186"/>
        <v>8.5446045134985271E-2</v>
      </c>
      <c r="L225" s="3">
        <f t="shared" si="186"/>
        <v>8.544604513497589E-2</v>
      </c>
      <c r="M225" s="3">
        <f t="shared" si="186"/>
        <v>8.5446045134882173E-2</v>
      </c>
      <c r="N225" s="3">
        <f t="shared" si="186"/>
        <v>8.5446045133944964E-2</v>
      </c>
      <c r="O225" s="3">
        <f t="shared" si="186"/>
        <v>8.5446045124572753E-2</v>
      </c>
      <c r="P225" s="3">
        <f t="shared" si="186"/>
        <v>8.5446045030850806E-2</v>
      </c>
      <c r="Q225" s="3">
        <f t="shared" si="186"/>
        <v>8.5446044093631282E-2</v>
      </c>
      <c r="R225" s="3">
        <f t="shared" si="186"/>
        <v>8.5446034721436651E-2</v>
      </c>
      <c r="S225" s="3">
        <f t="shared" si="186"/>
        <v>8.5445940999546777E-2</v>
      </c>
      <c r="T225" s="3">
        <f t="shared" si="186"/>
        <v>8.5445003786302043E-2</v>
      </c>
      <c r="U225" s="3">
        <f t="shared" si="186"/>
        <v>8.5435632219226051E-2</v>
      </c>
      <c r="V225" s="3">
        <f t="shared" si="186"/>
        <v>8.5341973062662946E-2</v>
      </c>
      <c r="W225" s="3">
        <f t="shared" si="186"/>
        <v>8.4411010048334345E-2</v>
      </c>
      <c r="X225" s="3">
        <f t="shared" si="186"/>
        <v>7.5642047149045294E-2</v>
      </c>
      <c r="Y225" s="3">
        <f t="shared" si="186"/>
        <v>2.5258353854143472E-2</v>
      </c>
      <c r="Z225" s="3">
        <f t="shared" si="186"/>
        <v>4.3533414857494249E-7</v>
      </c>
      <c r="AA225" s="3">
        <f t="shared" si="186"/>
        <v>1.0069308784464801E-54</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5.8777528752493244E-2</v>
      </c>
      <c r="C226" s="3">
        <f t="shared" si="187"/>
        <v>5.8777528752493244E-2</v>
      </c>
      <c r="D226" s="3">
        <f t="shared" si="187"/>
        <v>5.8777528752493244E-2</v>
      </c>
      <c r="E226" s="3">
        <f t="shared" si="187"/>
        <v>5.8777528752493244E-2</v>
      </c>
      <c r="F226" s="3">
        <f t="shared" si="187"/>
        <v>5.8777528752493244E-2</v>
      </c>
      <c r="G226" s="3">
        <f t="shared" si="187"/>
        <v>5.8777528752493244E-2</v>
      </c>
      <c r="H226" s="3">
        <f t="shared" si="187"/>
        <v>5.8777528752493244E-2</v>
      </c>
      <c r="I226" s="3">
        <f t="shared" si="187"/>
        <v>5.8777528752493244E-2</v>
      </c>
      <c r="J226" s="3">
        <f t="shared" si="187"/>
        <v>5.8777528752493237E-2</v>
      </c>
      <c r="K226" s="3">
        <f t="shared" si="187"/>
        <v>5.8777528752493181E-2</v>
      </c>
      <c r="L226" s="3">
        <f t="shared" si="187"/>
        <v>5.8777528752492599E-2</v>
      </c>
      <c r="M226" s="3">
        <f t="shared" si="187"/>
        <v>5.8777528752486784E-2</v>
      </c>
      <c r="N226" s="3">
        <f t="shared" si="187"/>
        <v>5.8777528752428629E-2</v>
      </c>
      <c r="O226" s="3">
        <f t="shared" si="187"/>
        <v>5.8777528751847045E-2</v>
      </c>
      <c r="P226" s="3">
        <f t="shared" si="187"/>
        <v>5.8777528746031281E-2</v>
      </c>
      <c r="Q226" s="3">
        <f t="shared" si="187"/>
        <v>5.8777528687873566E-2</v>
      </c>
      <c r="R226" s="3">
        <f t="shared" si="187"/>
        <v>5.8777528106296502E-2</v>
      </c>
      <c r="S226" s="3">
        <f t="shared" si="187"/>
        <v>5.8777522290526144E-2</v>
      </c>
      <c r="T226" s="3">
        <f t="shared" si="187"/>
        <v>5.8777464132854222E-2</v>
      </c>
      <c r="U226" s="3">
        <f t="shared" si="187"/>
        <v>5.8776882559299908E-2</v>
      </c>
      <c r="V226" s="3">
        <f t="shared" si="187"/>
        <v>5.8771067140238185E-2</v>
      </c>
      <c r="W226" s="3">
        <f t="shared" si="187"/>
        <v>5.8712944586182259E-2</v>
      </c>
      <c r="X226" s="3">
        <f t="shared" si="187"/>
        <v>5.8134871150245182E-2</v>
      </c>
      <c r="Y226" s="3">
        <f t="shared" si="187"/>
        <v>5.2658106545480178E-2</v>
      </c>
      <c r="Z226" s="3">
        <f t="shared" si="187"/>
        <v>1.9577195851936558E-2</v>
      </c>
      <c r="AA226" s="3">
        <f t="shared" si="187"/>
        <v>9.8764973649012574E-7</v>
      </c>
      <c r="AB226" s="3">
        <f t="shared" si="187"/>
        <v>1.054696776189063E-49</v>
      </c>
      <c r="AC226" s="3">
        <f t="shared" si="187"/>
        <v>0</v>
      </c>
      <c r="AD226" s="3">
        <f t="shared" si="187"/>
        <v>0</v>
      </c>
      <c r="AE226" s="3">
        <f t="shared" si="187"/>
        <v>0</v>
      </c>
      <c r="AF226" s="3">
        <f t="shared" si="187"/>
        <v>0</v>
      </c>
      <c r="AG226" s="3"/>
      <c r="AH226" s="3"/>
    </row>
    <row r="227" spans="2:34" x14ac:dyDescent="0.25">
      <c r="B227" s="3">
        <f t="shared" ref="B227:AF227" si="188">$C35*EXP(-B$207/$A35/EXP(-$D$126))</f>
        <v>3.044822143643108E-2</v>
      </c>
      <c r="C227" s="3">
        <f t="shared" si="188"/>
        <v>3.044822143643108E-2</v>
      </c>
      <c r="D227" s="3">
        <f t="shared" si="188"/>
        <v>3.044822143643108E-2</v>
      </c>
      <c r="E227" s="3">
        <f t="shared" si="188"/>
        <v>3.044822143643108E-2</v>
      </c>
      <c r="F227" s="3">
        <f t="shared" si="188"/>
        <v>3.044822143643108E-2</v>
      </c>
      <c r="G227" s="3">
        <f t="shared" si="188"/>
        <v>3.044822143643108E-2</v>
      </c>
      <c r="H227" s="3">
        <f t="shared" si="188"/>
        <v>3.044822143643108E-2</v>
      </c>
      <c r="I227" s="3">
        <f t="shared" si="188"/>
        <v>3.044822143643108E-2</v>
      </c>
      <c r="J227" s="3">
        <f t="shared" si="188"/>
        <v>3.044822143643108E-2</v>
      </c>
      <c r="K227" s="3">
        <f t="shared" si="188"/>
        <v>3.0448221436431076E-2</v>
      </c>
      <c r="L227" s="3">
        <f t="shared" si="188"/>
        <v>3.0448221436431049E-2</v>
      </c>
      <c r="M227" s="3">
        <f t="shared" si="188"/>
        <v>3.0448221436430778E-2</v>
      </c>
      <c r="N227" s="3">
        <f t="shared" si="188"/>
        <v>3.0448221436428061E-2</v>
      </c>
      <c r="O227" s="3">
        <f t="shared" si="188"/>
        <v>3.0448221436400882E-2</v>
      </c>
      <c r="P227" s="3">
        <f t="shared" si="188"/>
        <v>3.0448221436129113E-2</v>
      </c>
      <c r="Q227" s="3">
        <f t="shared" si="188"/>
        <v>3.0448221433411391E-2</v>
      </c>
      <c r="R227" s="3">
        <f t="shared" si="188"/>
        <v>3.0448221406234207E-2</v>
      </c>
      <c r="S227" s="3">
        <f t="shared" si="188"/>
        <v>3.0448221134462355E-2</v>
      </c>
      <c r="T227" s="3">
        <f t="shared" si="188"/>
        <v>3.0448218416743989E-2</v>
      </c>
      <c r="U227" s="3">
        <f t="shared" si="188"/>
        <v>3.0448191239573635E-2</v>
      </c>
      <c r="V227" s="3">
        <f t="shared" si="188"/>
        <v>3.0447919469204273E-2</v>
      </c>
      <c r="W227" s="3">
        <f t="shared" si="188"/>
        <v>3.0445201898922313E-2</v>
      </c>
      <c r="X227" s="3">
        <f t="shared" si="188"/>
        <v>3.0418039532863306E-2</v>
      </c>
      <c r="Y227" s="3">
        <f t="shared" si="188"/>
        <v>3.0147745154349252E-2</v>
      </c>
      <c r="Z227" s="3">
        <f t="shared" si="188"/>
        <v>2.7573442457724515E-2</v>
      </c>
      <c r="AA227" s="3">
        <f t="shared" si="188"/>
        <v>1.1294123527841673E-2</v>
      </c>
      <c r="AB227" s="3">
        <f t="shared" si="188"/>
        <v>1.501301678404485E-6</v>
      </c>
      <c r="AC227" s="3">
        <f t="shared" si="188"/>
        <v>2.5859631791684731E-45</v>
      </c>
      <c r="AD227" s="3">
        <f t="shared" si="188"/>
        <v>0</v>
      </c>
      <c r="AE227" s="3">
        <f t="shared" si="188"/>
        <v>0</v>
      </c>
      <c r="AF227" s="3">
        <f t="shared" si="188"/>
        <v>0</v>
      </c>
      <c r="AG227" s="3"/>
      <c r="AH227" s="3"/>
    </row>
    <row r="228" spans="2:34" x14ac:dyDescent="0.25">
      <c r="B228" s="3">
        <f t="shared" ref="B228:AF228" si="189">$C36*EXP(-B$207/$A36/EXP(-$D$126))</f>
        <v>1.5917825428886163E-2</v>
      </c>
      <c r="C228" s="3">
        <f t="shared" si="189"/>
        <v>1.5917825428886163E-2</v>
      </c>
      <c r="D228" s="3">
        <f t="shared" si="189"/>
        <v>1.5917825428886163E-2</v>
      </c>
      <c r="E228" s="3">
        <f t="shared" si="189"/>
        <v>1.5917825428886163E-2</v>
      </c>
      <c r="F228" s="3">
        <f t="shared" si="189"/>
        <v>1.5917825428886163E-2</v>
      </c>
      <c r="G228" s="3">
        <f t="shared" si="189"/>
        <v>1.5917825428886163E-2</v>
      </c>
      <c r="H228" s="3">
        <f t="shared" si="189"/>
        <v>1.5917825428886163E-2</v>
      </c>
      <c r="I228" s="3">
        <f t="shared" si="189"/>
        <v>1.5917825428886163E-2</v>
      </c>
      <c r="J228" s="3">
        <f t="shared" si="189"/>
        <v>1.5917825428886163E-2</v>
      </c>
      <c r="K228" s="3">
        <f t="shared" si="189"/>
        <v>1.5917825428886163E-2</v>
      </c>
      <c r="L228" s="3">
        <f t="shared" si="189"/>
        <v>1.5917825428886159E-2</v>
      </c>
      <c r="M228" s="3">
        <f t="shared" si="189"/>
        <v>1.5917825428886149E-2</v>
      </c>
      <c r="N228" s="3">
        <f t="shared" si="189"/>
        <v>1.591782542888602E-2</v>
      </c>
      <c r="O228" s="3">
        <f t="shared" si="189"/>
        <v>1.5917825428884737E-2</v>
      </c>
      <c r="P228" s="3">
        <f t="shared" si="189"/>
        <v>1.5917825428871921E-2</v>
      </c>
      <c r="Q228" s="3">
        <f t="shared" si="189"/>
        <v>1.5917825428743756E-2</v>
      </c>
      <c r="R228" s="3">
        <f t="shared" si="189"/>
        <v>1.5917825427462097E-2</v>
      </c>
      <c r="S228" s="3">
        <f t="shared" si="189"/>
        <v>1.5917825414645495E-2</v>
      </c>
      <c r="T228" s="3">
        <f t="shared" si="189"/>
        <v>1.5917825286479483E-2</v>
      </c>
      <c r="U228" s="3">
        <f t="shared" si="189"/>
        <v>1.5917824004819423E-2</v>
      </c>
      <c r="V228" s="3">
        <f t="shared" si="189"/>
        <v>1.5917811188224485E-2</v>
      </c>
      <c r="W228" s="3">
        <f t="shared" si="189"/>
        <v>1.5917683022842688E-2</v>
      </c>
      <c r="X228" s="3">
        <f t="shared" si="189"/>
        <v>1.5916401425780526E-2</v>
      </c>
      <c r="Y228" s="3">
        <f t="shared" si="189"/>
        <v>1.5903591129049374E-2</v>
      </c>
      <c r="Z228" s="3">
        <f t="shared" si="189"/>
        <v>1.5776053864087786E-2</v>
      </c>
      <c r="AA228" s="3">
        <f t="shared" si="189"/>
        <v>1.4555601826653755E-2</v>
      </c>
      <c r="AB228" s="3">
        <f t="shared" si="189"/>
        <v>6.5065089390023813E-3</v>
      </c>
      <c r="AC228" s="3">
        <f t="shared" si="189"/>
        <v>2.0726533396947516E-6</v>
      </c>
      <c r="AD228" s="3">
        <f t="shared" si="189"/>
        <v>2.2300421306101975E-41</v>
      </c>
      <c r="AE228" s="3">
        <f t="shared" si="189"/>
        <v>0</v>
      </c>
      <c r="AF228" s="3">
        <f t="shared" si="189"/>
        <v>0</v>
      </c>
      <c r="AG228" s="3"/>
      <c r="AH228" s="3"/>
    </row>
    <row r="229" spans="2:34" x14ac:dyDescent="0.25">
      <c r="B229" s="3">
        <f t="shared" ref="B229:AF229" si="190">$C37*EXP(-B$207/$A37/EXP(-$D$126))</f>
        <v>7.4710107179745602E-3</v>
      </c>
      <c r="C229" s="3">
        <f t="shared" si="190"/>
        <v>7.4710107179745602E-3</v>
      </c>
      <c r="D229" s="3">
        <f t="shared" si="190"/>
        <v>7.4710107179745602E-3</v>
      </c>
      <c r="E229" s="3">
        <f t="shared" si="190"/>
        <v>7.4710107179745602E-3</v>
      </c>
      <c r="F229" s="3">
        <f t="shared" si="190"/>
        <v>7.4710107179745602E-3</v>
      </c>
      <c r="G229" s="3">
        <f t="shared" si="190"/>
        <v>7.4710107179745602E-3</v>
      </c>
      <c r="H229" s="3">
        <f t="shared" si="190"/>
        <v>7.4710107179745602E-3</v>
      </c>
      <c r="I229" s="3">
        <f t="shared" si="190"/>
        <v>7.4710107179745602E-3</v>
      </c>
      <c r="J229" s="3">
        <f t="shared" si="190"/>
        <v>7.4710107179745602E-3</v>
      </c>
      <c r="K229" s="3">
        <f t="shared" si="190"/>
        <v>7.4710107179745602E-3</v>
      </c>
      <c r="L229" s="3">
        <f t="shared" si="190"/>
        <v>7.4710107179745602E-3</v>
      </c>
      <c r="M229" s="3">
        <f t="shared" si="190"/>
        <v>7.4710107179745593E-3</v>
      </c>
      <c r="N229" s="3">
        <f t="shared" si="190"/>
        <v>7.4710107179745541E-3</v>
      </c>
      <c r="O229" s="3">
        <f t="shared" si="190"/>
        <v>7.4710107179744994E-3</v>
      </c>
      <c r="P229" s="3">
        <f t="shared" si="190"/>
        <v>7.4710107179739573E-3</v>
      </c>
      <c r="Q229" s="3">
        <f t="shared" si="190"/>
        <v>7.4710107179685311E-3</v>
      </c>
      <c r="R229" s="3">
        <f t="shared" si="190"/>
        <v>7.4710107179142664E-3</v>
      </c>
      <c r="S229" s="3">
        <f t="shared" si="190"/>
        <v>7.4710107173716223E-3</v>
      </c>
      <c r="T229" s="3">
        <f t="shared" si="190"/>
        <v>7.4710107119451818E-3</v>
      </c>
      <c r="U229" s="3">
        <f t="shared" si="190"/>
        <v>7.4710106576807711E-3</v>
      </c>
      <c r="V229" s="3">
        <f t="shared" si="190"/>
        <v>7.4710101150366956E-3</v>
      </c>
      <c r="W229" s="3">
        <f t="shared" si="190"/>
        <v>7.4710046885981037E-3</v>
      </c>
      <c r="X229" s="3">
        <f t="shared" si="190"/>
        <v>7.4709504244289638E-3</v>
      </c>
      <c r="Y229" s="3">
        <f t="shared" si="190"/>
        <v>7.4704078044146287E-3</v>
      </c>
      <c r="Z229" s="3">
        <f t="shared" si="190"/>
        <v>7.4649837713956033E-3</v>
      </c>
      <c r="AA229" s="3">
        <f t="shared" si="190"/>
        <v>7.4109595723673887E-3</v>
      </c>
      <c r="AB229" s="3">
        <f t="shared" si="190"/>
        <v>6.8917609730666275E-3</v>
      </c>
      <c r="AC229" s="3">
        <f t="shared" si="190"/>
        <v>3.3334030538483017E-3</v>
      </c>
      <c r="AD229" s="3">
        <f t="shared" si="190"/>
        <v>2.3359527530215995E-6</v>
      </c>
      <c r="AE229" s="3">
        <f t="shared" si="190"/>
        <v>6.6715433118920285E-38</v>
      </c>
      <c r="AF229" s="3">
        <f t="shared" si="190"/>
        <v>0</v>
      </c>
      <c r="AG229" s="3"/>
      <c r="AH229" s="3"/>
    </row>
    <row r="230" spans="2:34" x14ac:dyDescent="0.25">
      <c r="B230" s="3">
        <f t="shared" ref="B230:AF230" si="191">$C38*EXP(-B$207/$A38/EXP(-$D$126))</f>
        <v>1.4378472174592341E-3</v>
      </c>
      <c r="C230" s="3">
        <f t="shared" si="191"/>
        <v>1.4378472174592341E-3</v>
      </c>
      <c r="D230" s="3">
        <f t="shared" si="191"/>
        <v>1.4378472174592341E-3</v>
      </c>
      <c r="E230" s="3">
        <f t="shared" si="191"/>
        <v>1.4378472174592341E-3</v>
      </c>
      <c r="F230" s="3">
        <f t="shared" si="191"/>
        <v>1.4378472174592341E-3</v>
      </c>
      <c r="G230" s="3">
        <f t="shared" si="191"/>
        <v>1.4378472174592341E-3</v>
      </c>
      <c r="H230" s="3">
        <f t="shared" si="191"/>
        <v>1.4378472174592341E-3</v>
      </c>
      <c r="I230" s="3">
        <f t="shared" si="191"/>
        <v>1.4378472174592341E-3</v>
      </c>
      <c r="J230" s="3">
        <f t="shared" si="191"/>
        <v>1.4378472174592341E-3</v>
      </c>
      <c r="K230" s="3">
        <f t="shared" si="191"/>
        <v>1.4378472174592341E-3</v>
      </c>
      <c r="L230" s="3">
        <f t="shared" si="191"/>
        <v>1.4378472174592341E-3</v>
      </c>
      <c r="M230" s="3">
        <f t="shared" si="191"/>
        <v>1.4378472174592341E-3</v>
      </c>
      <c r="N230" s="3">
        <f t="shared" si="191"/>
        <v>1.4378472174592339E-3</v>
      </c>
      <c r="O230" s="3">
        <f t="shared" si="191"/>
        <v>1.437847217459233E-3</v>
      </c>
      <c r="P230" s="3">
        <f t="shared" si="191"/>
        <v>1.4378472174592235E-3</v>
      </c>
      <c r="Q230" s="3">
        <f t="shared" si="191"/>
        <v>1.4378472174591294E-3</v>
      </c>
      <c r="R230" s="3">
        <f t="shared" si="191"/>
        <v>1.4378472174581874E-3</v>
      </c>
      <c r="S230" s="3">
        <f t="shared" si="191"/>
        <v>1.4378472174487664E-3</v>
      </c>
      <c r="T230" s="3">
        <f t="shared" si="191"/>
        <v>1.4378472173545568E-3</v>
      </c>
      <c r="U230" s="3">
        <f t="shared" si="191"/>
        <v>1.437847216412461E-3</v>
      </c>
      <c r="V230" s="3">
        <f t="shared" si="191"/>
        <v>1.4378472069915033E-3</v>
      </c>
      <c r="W230" s="3">
        <f t="shared" si="191"/>
        <v>1.4378471127819291E-3</v>
      </c>
      <c r="X230" s="3">
        <f t="shared" si="191"/>
        <v>1.4378461706865268E-3</v>
      </c>
      <c r="Y230" s="3">
        <f t="shared" si="191"/>
        <v>1.4378367497664532E-3</v>
      </c>
      <c r="Z230" s="3">
        <f t="shared" si="191"/>
        <v>1.4377425439606295E-3</v>
      </c>
      <c r="AA230" s="3">
        <f t="shared" si="191"/>
        <v>1.436800825311182E-3</v>
      </c>
      <c r="AB230" s="3">
        <f t="shared" si="191"/>
        <v>1.4274174975573747E-3</v>
      </c>
      <c r="AC230" s="3">
        <f t="shared" si="191"/>
        <v>1.3368894295519957E-3</v>
      </c>
      <c r="AD230" s="3">
        <f t="shared" si="191"/>
        <v>6.9428890114541181E-4</v>
      </c>
      <c r="AE230" s="3">
        <f t="shared" si="191"/>
        <v>9.9080355317274896E-7</v>
      </c>
      <c r="AF230" s="3">
        <f t="shared" si="191"/>
        <v>3.471050097660642E-35</v>
      </c>
      <c r="AG230" s="3"/>
      <c r="AH230" s="3"/>
    </row>
    <row r="231" spans="2:34" x14ac:dyDescent="0.25">
      <c r="B231" s="3">
        <f t="shared" ref="B231:AF231" si="192">$C39*EXP(-B$207/$A39/EXP(-$D$126))</f>
        <v>4.7686363858368023E-3</v>
      </c>
      <c r="C231" s="3">
        <f t="shared" si="192"/>
        <v>4.7686363858368023E-3</v>
      </c>
      <c r="D231" s="3">
        <f t="shared" si="192"/>
        <v>4.7686363858368023E-3</v>
      </c>
      <c r="E231" s="3">
        <f t="shared" si="192"/>
        <v>4.7686363858368023E-3</v>
      </c>
      <c r="F231" s="3">
        <f t="shared" si="192"/>
        <v>4.7686363858368023E-3</v>
      </c>
      <c r="G231" s="3">
        <f t="shared" si="192"/>
        <v>4.7686363858368023E-3</v>
      </c>
      <c r="H231" s="3">
        <f t="shared" si="192"/>
        <v>4.7686363858368023E-3</v>
      </c>
      <c r="I231" s="3">
        <f t="shared" si="192"/>
        <v>4.7686363858368023E-3</v>
      </c>
      <c r="J231" s="3">
        <f t="shared" si="192"/>
        <v>4.7686363858368023E-3</v>
      </c>
      <c r="K231" s="3">
        <f t="shared" si="192"/>
        <v>4.7686363858368023E-3</v>
      </c>
      <c r="L231" s="3">
        <f t="shared" si="192"/>
        <v>4.7686363858368023E-3</v>
      </c>
      <c r="M231" s="3">
        <f t="shared" si="192"/>
        <v>4.7686363858368023E-3</v>
      </c>
      <c r="N231" s="3">
        <f t="shared" si="192"/>
        <v>4.7686363858368023E-3</v>
      </c>
      <c r="O231" s="3">
        <f t="shared" si="192"/>
        <v>4.7686363858368015E-3</v>
      </c>
      <c r="P231" s="3">
        <f t="shared" si="192"/>
        <v>4.7686363858367928E-3</v>
      </c>
      <c r="Q231" s="3">
        <f t="shared" si="192"/>
        <v>4.7686363858367069E-3</v>
      </c>
      <c r="R231" s="3">
        <f t="shared" si="192"/>
        <v>4.7686363858358422E-3</v>
      </c>
      <c r="S231" s="3">
        <f t="shared" si="192"/>
        <v>4.7686363858272006E-3</v>
      </c>
      <c r="T231" s="3">
        <f t="shared" si="192"/>
        <v>4.7686363857407854E-3</v>
      </c>
      <c r="U231" s="3">
        <f t="shared" si="192"/>
        <v>4.7686363848766346E-3</v>
      </c>
      <c r="V231" s="3">
        <f t="shared" si="192"/>
        <v>4.7686363762351304E-3</v>
      </c>
      <c r="W231" s="3">
        <f t="shared" si="192"/>
        <v>4.7686362898200808E-3</v>
      </c>
      <c r="X231" s="3">
        <f t="shared" si="192"/>
        <v>4.7686354256696734E-3</v>
      </c>
      <c r="Y231" s="3">
        <f t="shared" si="192"/>
        <v>4.7686267841742166E-3</v>
      </c>
      <c r="Z231" s="3">
        <f t="shared" si="192"/>
        <v>4.7685403700809242E-3</v>
      </c>
      <c r="AA231" s="3">
        <f t="shared" si="192"/>
        <v>4.7676763152701574E-3</v>
      </c>
      <c r="AB231" s="3">
        <f t="shared" si="192"/>
        <v>4.7590443736065698E-3</v>
      </c>
      <c r="AC231" s="3">
        <f t="shared" si="192"/>
        <v>4.6735798586476631E-3</v>
      </c>
      <c r="AD231" s="3">
        <f t="shared" si="192"/>
        <v>3.8989602344671305E-3</v>
      </c>
      <c r="AE231" s="3">
        <f t="shared" si="192"/>
        <v>6.3670782064847618E-4</v>
      </c>
      <c r="AF231" s="3">
        <f t="shared" si="192"/>
        <v>8.5872472793162666E-12</v>
      </c>
      <c r="AG231" s="3"/>
      <c r="AH231" s="3"/>
    </row>
    <row r="232" spans="2:34" x14ac:dyDescent="0.25">
      <c r="B232" s="3">
        <f t="shared" ref="B232:AF232" si="193">$C40*EXP(-B$207/$A40/EXP(-$D$126))</f>
        <v>0</v>
      </c>
      <c r="C232" s="3">
        <f t="shared" si="193"/>
        <v>0</v>
      </c>
      <c r="D232" s="3">
        <f t="shared" si="193"/>
        <v>0</v>
      </c>
      <c r="E232" s="3">
        <f t="shared" si="193"/>
        <v>0</v>
      </c>
      <c r="F232" s="3">
        <f t="shared" si="193"/>
        <v>0</v>
      </c>
      <c r="G232" s="3">
        <f t="shared" si="193"/>
        <v>0</v>
      </c>
      <c r="H232" s="3">
        <f t="shared" si="193"/>
        <v>0</v>
      </c>
      <c r="I232" s="3">
        <f t="shared" si="193"/>
        <v>0</v>
      </c>
      <c r="J232" s="3">
        <f t="shared" si="193"/>
        <v>0</v>
      </c>
      <c r="K232" s="3">
        <f t="shared" si="193"/>
        <v>0</v>
      </c>
      <c r="L232" s="3">
        <f t="shared" si="193"/>
        <v>0</v>
      </c>
      <c r="M232" s="3">
        <f t="shared" si="193"/>
        <v>0</v>
      </c>
      <c r="N232" s="3">
        <f t="shared" si="193"/>
        <v>0</v>
      </c>
      <c r="O232" s="3">
        <f t="shared" si="193"/>
        <v>0</v>
      </c>
      <c r="P232" s="3">
        <f t="shared" si="193"/>
        <v>0</v>
      </c>
      <c r="Q232" s="3">
        <f t="shared" si="193"/>
        <v>0</v>
      </c>
      <c r="R232" s="3">
        <f t="shared" si="193"/>
        <v>0</v>
      </c>
      <c r="S232" s="3">
        <f t="shared" si="193"/>
        <v>0</v>
      </c>
      <c r="T232" s="3">
        <f t="shared" si="193"/>
        <v>0</v>
      </c>
      <c r="U232" s="3">
        <f t="shared" si="193"/>
        <v>0</v>
      </c>
      <c r="V232" s="3">
        <f t="shared" si="193"/>
        <v>0</v>
      </c>
      <c r="W232" s="3">
        <f t="shared" si="193"/>
        <v>0</v>
      </c>
      <c r="X232" s="3">
        <f t="shared" si="193"/>
        <v>0</v>
      </c>
      <c r="Y232" s="3">
        <f t="shared" si="193"/>
        <v>0</v>
      </c>
      <c r="Z232" s="3">
        <f t="shared" si="193"/>
        <v>0</v>
      </c>
      <c r="AA232" s="3">
        <f t="shared" si="193"/>
        <v>0</v>
      </c>
      <c r="AB232" s="3">
        <f t="shared" si="193"/>
        <v>0</v>
      </c>
      <c r="AC232" s="3">
        <f t="shared" si="193"/>
        <v>0</v>
      </c>
      <c r="AD232" s="3">
        <f t="shared" si="193"/>
        <v>0</v>
      </c>
      <c r="AE232" s="3">
        <f t="shared" si="193"/>
        <v>0</v>
      </c>
      <c r="AF232" s="3">
        <f t="shared" si="193"/>
        <v>0</v>
      </c>
      <c r="AG232" s="3"/>
      <c r="AH232" s="3"/>
    </row>
    <row r="233" spans="2:34" x14ac:dyDescent="0.25">
      <c r="B233" s="3">
        <f t="shared" ref="B233:AF233" si="194">$C41*EXP(-B$207/$A41/EXP(-$D$126))</f>
        <v>2.0950739363465548E-3</v>
      </c>
      <c r="C233" s="3">
        <f t="shared" si="194"/>
        <v>2.0950739363465548E-3</v>
      </c>
      <c r="D233" s="3">
        <f t="shared" si="194"/>
        <v>2.0950739363465548E-3</v>
      </c>
      <c r="E233" s="3">
        <f t="shared" si="194"/>
        <v>2.0950739363465548E-3</v>
      </c>
      <c r="F233" s="3">
        <f t="shared" si="194"/>
        <v>2.0950739363465548E-3</v>
      </c>
      <c r="G233" s="3">
        <f t="shared" si="194"/>
        <v>2.0950739363465548E-3</v>
      </c>
      <c r="H233" s="3">
        <f t="shared" si="194"/>
        <v>2.0950739363465548E-3</v>
      </c>
      <c r="I233" s="3">
        <f t="shared" si="194"/>
        <v>2.0950739363465548E-3</v>
      </c>
      <c r="J233" s="3">
        <f t="shared" si="194"/>
        <v>2.0950739363465548E-3</v>
      </c>
      <c r="K233" s="3">
        <f t="shared" si="194"/>
        <v>2.0950739363465548E-3</v>
      </c>
      <c r="L233" s="3">
        <f t="shared" si="194"/>
        <v>2.0950739363465548E-3</v>
      </c>
      <c r="M233" s="3">
        <f t="shared" si="194"/>
        <v>2.0950739363465548E-3</v>
      </c>
      <c r="N233" s="3">
        <f t="shared" si="194"/>
        <v>2.0950739363465548E-3</v>
      </c>
      <c r="O233" s="3">
        <f t="shared" si="194"/>
        <v>2.0950739363465548E-3</v>
      </c>
      <c r="P233" s="3">
        <f t="shared" si="194"/>
        <v>2.0950739363465548E-3</v>
      </c>
      <c r="Q233" s="3">
        <f t="shared" si="194"/>
        <v>2.0950739363465544E-3</v>
      </c>
      <c r="R233" s="3">
        <f t="shared" si="194"/>
        <v>2.0950739363465505E-3</v>
      </c>
      <c r="S233" s="3">
        <f t="shared" si="194"/>
        <v>2.0950739363465127E-3</v>
      </c>
      <c r="T233" s="3">
        <f t="shared" si="194"/>
        <v>2.0950739363461328E-3</v>
      </c>
      <c r="U233" s="3">
        <f t="shared" si="194"/>
        <v>2.0950739363423364E-3</v>
      </c>
      <c r="V233" s="3">
        <f t="shared" si="194"/>
        <v>2.0950739363043707E-3</v>
      </c>
      <c r="W233" s="3">
        <f t="shared" si="194"/>
        <v>2.0950739359247108E-3</v>
      </c>
      <c r="X233" s="3">
        <f t="shared" si="194"/>
        <v>2.0950739321281132E-3</v>
      </c>
      <c r="Y233" s="3">
        <f t="shared" si="194"/>
        <v>2.0950738941621408E-3</v>
      </c>
      <c r="Z233" s="3">
        <f t="shared" si="194"/>
        <v>2.0950735145024543E-3</v>
      </c>
      <c r="AA233" s="3">
        <f t="shared" si="194"/>
        <v>2.0950697179093745E-3</v>
      </c>
      <c r="AB233" s="3">
        <f t="shared" si="194"/>
        <v>2.095031752356973E-3</v>
      </c>
      <c r="AC233" s="3">
        <f t="shared" si="194"/>
        <v>2.0946521346702509E-3</v>
      </c>
      <c r="AD233" s="3">
        <f t="shared" si="194"/>
        <v>2.0908597389964773E-3</v>
      </c>
      <c r="AE233" s="3">
        <f t="shared" si="194"/>
        <v>2.0533113785669191E-3</v>
      </c>
      <c r="AF233" s="3">
        <f t="shared" si="194"/>
        <v>1.7129865448213045E-3</v>
      </c>
      <c r="AG233" s="3"/>
      <c r="AH233" s="3"/>
    </row>
    <row r="234" spans="2:34" x14ac:dyDescent="0.25">
      <c r="B234" s="3">
        <f t="shared" ref="B234:AF234" si="195">$C42*EXP(-B$207/$A42/EXP(-$D$126))</f>
        <v>1.9210885084110967E-3</v>
      </c>
      <c r="C234" s="3">
        <f t="shared" si="195"/>
        <v>1.9210885084110967E-3</v>
      </c>
      <c r="D234" s="3">
        <f t="shared" si="195"/>
        <v>1.9210885084110967E-3</v>
      </c>
      <c r="E234" s="3">
        <f t="shared" si="195"/>
        <v>1.9210885084110967E-3</v>
      </c>
      <c r="F234" s="3">
        <f t="shared" si="195"/>
        <v>1.9210885084110967E-3</v>
      </c>
      <c r="G234" s="3">
        <f t="shared" si="195"/>
        <v>1.9210885084110967E-3</v>
      </c>
      <c r="H234" s="3">
        <f t="shared" si="195"/>
        <v>1.9210885084110967E-3</v>
      </c>
      <c r="I234" s="3">
        <f t="shared" si="195"/>
        <v>1.9210885084110967E-3</v>
      </c>
      <c r="J234" s="3">
        <f t="shared" si="195"/>
        <v>1.9210885084110967E-3</v>
      </c>
      <c r="K234" s="3">
        <f t="shared" si="195"/>
        <v>1.9210885084110967E-3</v>
      </c>
      <c r="L234" s="3">
        <f t="shared" si="195"/>
        <v>1.9210885084110967E-3</v>
      </c>
      <c r="M234" s="3">
        <f t="shared" si="195"/>
        <v>1.9210885084110967E-3</v>
      </c>
      <c r="N234" s="3">
        <f t="shared" si="195"/>
        <v>1.9210885084110967E-3</v>
      </c>
      <c r="O234" s="3">
        <f t="shared" si="195"/>
        <v>1.9210885084110967E-3</v>
      </c>
      <c r="P234" s="3">
        <f t="shared" si="195"/>
        <v>1.9210885084110967E-3</v>
      </c>
      <c r="Q234" s="3">
        <f t="shared" si="195"/>
        <v>1.9210885084110967E-3</v>
      </c>
      <c r="R234" s="3">
        <f t="shared" si="195"/>
        <v>1.9210885084110963E-3</v>
      </c>
      <c r="S234" s="3">
        <f t="shared" si="195"/>
        <v>1.9210885084110928E-3</v>
      </c>
      <c r="T234" s="3">
        <f t="shared" si="195"/>
        <v>1.9210885084110581E-3</v>
      </c>
      <c r="U234" s="3">
        <f t="shared" si="195"/>
        <v>1.9210885084107098E-3</v>
      </c>
      <c r="V234" s="3">
        <f t="shared" si="195"/>
        <v>1.9210885084072285E-3</v>
      </c>
      <c r="W234" s="3">
        <f t="shared" si="195"/>
        <v>1.9210885083724156E-3</v>
      </c>
      <c r="X234" s="3">
        <f t="shared" si="195"/>
        <v>1.9210885080242846E-3</v>
      </c>
      <c r="Y234" s="3">
        <f t="shared" si="195"/>
        <v>1.9210885045429758E-3</v>
      </c>
      <c r="Z234" s="3">
        <f t="shared" si="195"/>
        <v>1.9210884697298876E-3</v>
      </c>
      <c r="AA234" s="3">
        <f t="shared" si="195"/>
        <v>1.9210881215990423E-3</v>
      </c>
      <c r="AB234" s="3">
        <f t="shared" si="195"/>
        <v>1.9210846402940582E-3</v>
      </c>
      <c r="AC234" s="3">
        <f t="shared" si="195"/>
        <v>1.9210498275911893E-3</v>
      </c>
      <c r="AD234" s="3">
        <f t="shared" si="195"/>
        <v>1.9207017352575967E-3</v>
      </c>
      <c r="AE234" s="3">
        <f t="shared" si="195"/>
        <v>1.9172242791058874E-3</v>
      </c>
      <c r="AF234" s="3">
        <f t="shared" si="195"/>
        <v>1.8827941224992472E-3</v>
      </c>
      <c r="AG234" s="3"/>
      <c r="AH234" s="3"/>
    </row>
    <row r="235" spans="2:34" x14ac:dyDescent="0.25">
      <c r="B235" s="3">
        <f t="shared" ref="B235:AF235" si="196">$C43*EXP(-B$207/$A43/EXP(-$D$126))</f>
        <v>0</v>
      </c>
      <c r="C235" s="3">
        <f t="shared" si="196"/>
        <v>0</v>
      </c>
      <c r="D235" s="3">
        <f t="shared" si="196"/>
        <v>0</v>
      </c>
      <c r="E235" s="3">
        <f t="shared" si="196"/>
        <v>0</v>
      </c>
      <c r="F235" s="3">
        <f t="shared" si="196"/>
        <v>0</v>
      </c>
      <c r="G235" s="3">
        <f t="shared" si="196"/>
        <v>0</v>
      </c>
      <c r="H235" s="3">
        <f t="shared" si="196"/>
        <v>0</v>
      </c>
      <c r="I235" s="3">
        <f t="shared" si="196"/>
        <v>0</v>
      </c>
      <c r="J235" s="3">
        <f t="shared" si="196"/>
        <v>0</v>
      </c>
      <c r="K235" s="3">
        <f t="shared" si="196"/>
        <v>0</v>
      </c>
      <c r="L235" s="3">
        <f t="shared" si="196"/>
        <v>0</v>
      </c>
      <c r="M235" s="3">
        <f t="shared" si="196"/>
        <v>0</v>
      </c>
      <c r="N235" s="3">
        <f t="shared" si="196"/>
        <v>0</v>
      </c>
      <c r="O235" s="3">
        <f t="shared" si="196"/>
        <v>0</v>
      </c>
      <c r="P235" s="3">
        <f t="shared" si="196"/>
        <v>0</v>
      </c>
      <c r="Q235" s="3">
        <f t="shared" si="196"/>
        <v>0</v>
      </c>
      <c r="R235" s="3">
        <f t="shared" si="196"/>
        <v>0</v>
      </c>
      <c r="S235" s="3">
        <f t="shared" si="196"/>
        <v>0</v>
      </c>
      <c r="T235" s="3">
        <f t="shared" si="196"/>
        <v>0</v>
      </c>
      <c r="U235" s="3">
        <f t="shared" si="196"/>
        <v>0</v>
      </c>
      <c r="V235" s="3">
        <f t="shared" si="196"/>
        <v>0</v>
      </c>
      <c r="W235" s="3">
        <f t="shared" si="196"/>
        <v>0</v>
      </c>
      <c r="X235" s="3">
        <f t="shared" si="196"/>
        <v>0</v>
      </c>
      <c r="Y235" s="3">
        <f t="shared" si="196"/>
        <v>0</v>
      </c>
      <c r="Z235" s="3">
        <f t="shared" si="196"/>
        <v>0</v>
      </c>
      <c r="AA235" s="3">
        <f t="shared" si="196"/>
        <v>0</v>
      </c>
      <c r="AB235" s="3">
        <f t="shared" si="196"/>
        <v>0</v>
      </c>
      <c r="AC235" s="3">
        <f t="shared" si="196"/>
        <v>0</v>
      </c>
      <c r="AD235" s="3">
        <f t="shared" si="196"/>
        <v>0</v>
      </c>
      <c r="AE235" s="3">
        <f t="shared" si="196"/>
        <v>0</v>
      </c>
      <c r="AF235" s="3">
        <f t="shared" si="196"/>
        <v>0</v>
      </c>
      <c r="AG235" s="3"/>
      <c r="AH235" s="3"/>
    </row>
    <row r="236" spans="2:34" x14ac:dyDescent="0.25">
      <c r="B236" s="3">
        <f t="shared" ref="B236:AF236" si="197">$C44*EXP(-B$207/$A44/EXP(-$D$126))</f>
        <v>4.6732387958302481E-4</v>
      </c>
      <c r="C236" s="3">
        <f t="shared" si="197"/>
        <v>4.6732387958302481E-4</v>
      </c>
      <c r="D236" s="3">
        <f t="shared" si="197"/>
        <v>4.6732387958302481E-4</v>
      </c>
      <c r="E236" s="3">
        <f t="shared" si="197"/>
        <v>4.6732387958302481E-4</v>
      </c>
      <c r="F236" s="3">
        <f t="shared" si="197"/>
        <v>4.6732387958302481E-4</v>
      </c>
      <c r="G236" s="3">
        <f t="shared" si="197"/>
        <v>4.6732387958302481E-4</v>
      </c>
      <c r="H236" s="3">
        <f t="shared" si="197"/>
        <v>4.6732387958302481E-4</v>
      </c>
      <c r="I236" s="3">
        <f t="shared" si="197"/>
        <v>4.6732387958302481E-4</v>
      </c>
      <c r="J236" s="3">
        <f t="shared" si="197"/>
        <v>4.6732387958302481E-4</v>
      </c>
      <c r="K236" s="3">
        <f t="shared" si="197"/>
        <v>4.6732387958302481E-4</v>
      </c>
      <c r="L236" s="3">
        <f t="shared" si="197"/>
        <v>4.6732387958302481E-4</v>
      </c>
      <c r="M236" s="3">
        <f t="shared" si="197"/>
        <v>4.6732387958302481E-4</v>
      </c>
      <c r="N236" s="3">
        <f t="shared" si="197"/>
        <v>4.6732387958302481E-4</v>
      </c>
      <c r="O236" s="3">
        <f t="shared" si="197"/>
        <v>4.6732387958302481E-4</v>
      </c>
      <c r="P236" s="3">
        <f t="shared" si="197"/>
        <v>4.6732387958302481E-4</v>
      </c>
      <c r="Q236" s="3">
        <f t="shared" si="197"/>
        <v>4.6732387958302481E-4</v>
      </c>
      <c r="R236" s="3">
        <f t="shared" si="197"/>
        <v>4.6732387958302481E-4</v>
      </c>
      <c r="S236" s="3">
        <f t="shared" si="197"/>
        <v>4.6732387958302481E-4</v>
      </c>
      <c r="T236" s="3">
        <f t="shared" si="197"/>
        <v>4.673238795830247E-4</v>
      </c>
      <c r="U236" s="3">
        <f t="shared" si="197"/>
        <v>4.6732387958302389E-4</v>
      </c>
      <c r="V236" s="3">
        <f t="shared" si="197"/>
        <v>4.6732387958301543E-4</v>
      </c>
      <c r="W236" s="3">
        <f t="shared" si="197"/>
        <v>4.673238795829307E-4</v>
      </c>
      <c r="X236" s="3">
        <f t="shared" si="197"/>
        <v>4.6732387958208383E-4</v>
      </c>
      <c r="Y236" s="3">
        <f t="shared" si="197"/>
        <v>4.6732387957361523E-4</v>
      </c>
      <c r="Z236" s="3">
        <f t="shared" si="197"/>
        <v>4.6732387948892891E-4</v>
      </c>
      <c r="AA236" s="3">
        <f t="shared" si="197"/>
        <v>4.6732387864206591E-4</v>
      </c>
      <c r="AB236" s="3">
        <f t="shared" si="197"/>
        <v>4.6732387017343614E-4</v>
      </c>
      <c r="AC236" s="3">
        <f t="shared" si="197"/>
        <v>4.673237854871468E-4</v>
      </c>
      <c r="AD236" s="3">
        <f t="shared" si="197"/>
        <v>4.6732293862509746E-4</v>
      </c>
      <c r="AE236" s="3">
        <f t="shared" si="197"/>
        <v>4.673144700890086E-4</v>
      </c>
      <c r="AF236" s="3">
        <f t="shared" si="197"/>
        <v>4.6722979316804665E-4</v>
      </c>
      <c r="AG236" s="3"/>
      <c r="AH236" s="3"/>
    </row>
    <row r="237" spans="2:34" x14ac:dyDescent="0.25">
      <c r="B237" s="3">
        <f t="shared" ref="B237:AF237" si="198">$C45*EXP(-B$207/$A45/EXP(-$D$126))</f>
        <v>0</v>
      </c>
      <c r="C237" s="3">
        <f t="shared" si="198"/>
        <v>0</v>
      </c>
      <c r="D237" s="3">
        <f t="shared" si="198"/>
        <v>0</v>
      </c>
      <c r="E237" s="3">
        <f t="shared" si="198"/>
        <v>0</v>
      </c>
      <c r="F237" s="3">
        <f t="shared" si="198"/>
        <v>0</v>
      </c>
      <c r="G237" s="3">
        <f t="shared" si="198"/>
        <v>0</v>
      </c>
      <c r="H237" s="3">
        <f t="shared" si="198"/>
        <v>0</v>
      </c>
      <c r="I237" s="3">
        <f t="shared" si="198"/>
        <v>0</v>
      </c>
      <c r="J237" s="3">
        <f t="shared" si="198"/>
        <v>0</v>
      </c>
      <c r="K237" s="3">
        <f t="shared" si="198"/>
        <v>0</v>
      </c>
      <c r="L237" s="3">
        <f t="shared" si="198"/>
        <v>0</v>
      </c>
      <c r="M237" s="3">
        <f t="shared" si="198"/>
        <v>0</v>
      </c>
      <c r="N237" s="3">
        <f t="shared" si="198"/>
        <v>0</v>
      </c>
      <c r="O237" s="3">
        <f t="shared" si="198"/>
        <v>0</v>
      </c>
      <c r="P237" s="3">
        <f t="shared" si="198"/>
        <v>0</v>
      </c>
      <c r="Q237" s="3">
        <f t="shared" si="198"/>
        <v>0</v>
      </c>
      <c r="R237" s="3">
        <f t="shared" si="198"/>
        <v>0</v>
      </c>
      <c r="S237" s="3">
        <f t="shared" si="198"/>
        <v>0</v>
      </c>
      <c r="T237" s="3">
        <f t="shared" si="198"/>
        <v>0</v>
      </c>
      <c r="U237" s="3">
        <f t="shared" si="198"/>
        <v>0</v>
      </c>
      <c r="V237" s="3">
        <f t="shared" si="198"/>
        <v>0</v>
      </c>
      <c r="W237" s="3">
        <f t="shared" si="198"/>
        <v>0</v>
      </c>
      <c r="X237" s="3">
        <f t="shared" si="198"/>
        <v>0</v>
      </c>
      <c r="Y237" s="3">
        <f t="shared" si="198"/>
        <v>0</v>
      </c>
      <c r="Z237" s="3">
        <f t="shared" si="198"/>
        <v>0</v>
      </c>
      <c r="AA237" s="3">
        <f t="shared" si="198"/>
        <v>0</v>
      </c>
      <c r="AB237" s="3">
        <f t="shared" si="198"/>
        <v>0</v>
      </c>
      <c r="AC237" s="3">
        <f t="shared" si="198"/>
        <v>0</v>
      </c>
      <c r="AD237" s="3">
        <f t="shared" si="198"/>
        <v>0</v>
      </c>
      <c r="AE237" s="3">
        <f t="shared" si="198"/>
        <v>0</v>
      </c>
      <c r="AF237" s="3">
        <f t="shared" si="198"/>
        <v>0</v>
      </c>
      <c r="AG237" s="3"/>
      <c r="AH237" s="3"/>
    </row>
    <row r="238" spans="2:34" x14ac:dyDescent="0.25">
      <c r="B238" s="3">
        <f t="shared" ref="B238:AF238" si="199">$C46*EXP(-B$207/$A46/EXP(-$D$126))</f>
        <v>1.2351806616485092E-4</v>
      </c>
      <c r="C238" s="3">
        <f t="shared" si="199"/>
        <v>1.2351806616485092E-4</v>
      </c>
      <c r="D238" s="3">
        <f t="shared" si="199"/>
        <v>1.2351806616485092E-4</v>
      </c>
      <c r="E238" s="3">
        <f t="shared" si="199"/>
        <v>1.2351806616485092E-4</v>
      </c>
      <c r="F238" s="3">
        <f t="shared" si="199"/>
        <v>1.2351806616485092E-4</v>
      </c>
      <c r="G238" s="3">
        <f t="shared" si="199"/>
        <v>1.2351806616485092E-4</v>
      </c>
      <c r="H238" s="3">
        <f t="shared" si="199"/>
        <v>1.2351806616485092E-4</v>
      </c>
      <c r="I238" s="3">
        <f t="shared" si="199"/>
        <v>1.2351806616485092E-4</v>
      </c>
      <c r="J238" s="3">
        <f t="shared" si="199"/>
        <v>1.2351806616485092E-4</v>
      </c>
      <c r="K238" s="3">
        <f t="shared" si="199"/>
        <v>1.2351806616485092E-4</v>
      </c>
      <c r="L238" s="3">
        <f t="shared" si="199"/>
        <v>1.2351806616485092E-4</v>
      </c>
      <c r="M238" s="3">
        <f t="shared" si="199"/>
        <v>1.2351806616485092E-4</v>
      </c>
      <c r="N238" s="3">
        <f t="shared" si="199"/>
        <v>1.2351806616485092E-4</v>
      </c>
      <c r="O238" s="3">
        <f t="shared" si="199"/>
        <v>1.2351806616485092E-4</v>
      </c>
      <c r="P238" s="3">
        <f t="shared" si="199"/>
        <v>1.2351806616485092E-4</v>
      </c>
      <c r="Q238" s="3">
        <f t="shared" si="199"/>
        <v>1.2351806616485092E-4</v>
      </c>
      <c r="R238" s="3">
        <f t="shared" si="199"/>
        <v>1.2351806616485092E-4</v>
      </c>
      <c r="S238" s="3">
        <f t="shared" si="199"/>
        <v>1.2351806616485092E-4</v>
      </c>
      <c r="T238" s="3">
        <f t="shared" si="199"/>
        <v>1.2351806616485092E-4</v>
      </c>
      <c r="U238" s="3">
        <f t="shared" si="199"/>
        <v>1.2351806616485092E-4</v>
      </c>
      <c r="V238" s="3">
        <f t="shared" si="199"/>
        <v>1.2351806616485089E-4</v>
      </c>
      <c r="W238" s="3">
        <f t="shared" si="199"/>
        <v>1.2351806616485068E-4</v>
      </c>
      <c r="X238" s="3">
        <f t="shared" si="199"/>
        <v>1.2351806616484843E-4</v>
      </c>
      <c r="Y238" s="3">
        <f t="shared" si="199"/>
        <v>1.2351806616482604E-4</v>
      </c>
      <c r="Z238" s="3">
        <f t="shared" si="199"/>
        <v>1.235180661646022E-4</v>
      </c>
      <c r="AA238" s="3">
        <f t="shared" si="199"/>
        <v>1.235180661623639E-4</v>
      </c>
      <c r="AB238" s="3">
        <f t="shared" si="199"/>
        <v>1.2351806613998049E-4</v>
      </c>
      <c r="AC238" s="3">
        <f t="shared" si="199"/>
        <v>1.2351806591614671E-4</v>
      </c>
      <c r="AD238" s="3">
        <f t="shared" si="199"/>
        <v>1.2351806367780875E-4</v>
      </c>
      <c r="AE238" s="3">
        <f t="shared" si="199"/>
        <v>1.235180412944315E-4</v>
      </c>
      <c r="AF238" s="3">
        <f t="shared" si="199"/>
        <v>1.2351781746088221E-4</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1.0347942973527732E-3</v>
      </c>
      <c r="C240" s="3">
        <f t="shared" si="201"/>
        <v>1.0347942973527732E-3</v>
      </c>
      <c r="D240" s="3">
        <f t="shared" si="201"/>
        <v>1.0347942973527732E-3</v>
      </c>
      <c r="E240" s="3">
        <f t="shared" si="201"/>
        <v>1.0347942973527732E-3</v>
      </c>
      <c r="F240" s="3">
        <f t="shared" si="201"/>
        <v>1.0347942973527732E-3</v>
      </c>
      <c r="G240" s="3">
        <f t="shared" si="201"/>
        <v>1.0347942973527732E-3</v>
      </c>
      <c r="H240" s="3">
        <f t="shared" si="201"/>
        <v>1.0347942973527732E-3</v>
      </c>
      <c r="I240" s="3">
        <f t="shared" si="201"/>
        <v>1.0347942973527732E-3</v>
      </c>
      <c r="J240" s="3">
        <f t="shared" si="201"/>
        <v>1.0347942973527732E-3</v>
      </c>
      <c r="K240" s="3">
        <f t="shared" si="201"/>
        <v>1.0347942973527732E-3</v>
      </c>
      <c r="L240" s="3">
        <f t="shared" si="201"/>
        <v>1.0347942973527732E-3</v>
      </c>
      <c r="M240" s="3">
        <f t="shared" si="201"/>
        <v>1.0347942973527732E-3</v>
      </c>
      <c r="N240" s="3">
        <f t="shared" si="201"/>
        <v>1.0347942973527732E-3</v>
      </c>
      <c r="O240" s="3">
        <f t="shared" si="201"/>
        <v>1.0347942973527732E-3</v>
      </c>
      <c r="P240" s="3">
        <f t="shared" si="201"/>
        <v>1.0347942973527732E-3</v>
      </c>
      <c r="Q240" s="3">
        <f t="shared" si="201"/>
        <v>1.0347942973527732E-3</v>
      </c>
      <c r="R240" s="3">
        <f t="shared" si="201"/>
        <v>1.0347942973527732E-3</v>
      </c>
      <c r="S240" s="3">
        <f t="shared" si="201"/>
        <v>1.0347942973527732E-3</v>
      </c>
      <c r="T240" s="3">
        <f t="shared" si="201"/>
        <v>1.0347942973527732E-3</v>
      </c>
      <c r="U240" s="3">
        <f t="shared" si="201"/>
        <v>1.0347942973527732E-3</v>
      </c>
      <c r="V240" s="3">
        <f t="shared" si="201"/>
        <v>1.0347942973527732E-3</v>
      </c>
      <c r="W240" s="3">
        <f t="shared" si="201"/>
        <v>1.0347942973527732E-3</v>
      </c>
      <c r="X240" s="3">
        <f t="shared" si="201"/>
        <v>1.034794297352773E-3</v>
      </c>
      <c r="Y240" s="3">
        <f t="shared" si="201"/>
        <v>1.034794297352771E-3</v>
      </c>
      <c r="Z240" s="3">
        <f t="shared" si="201"/>
        <v>1.0347942973527524E-3</v>
      </c>
      <c r="AA240" s="3">
        <f t="shared" si="201"/>
        <v>1.0347942973525648E-3</v>
      </c>
      <c r="AB240" s="3">
        <f t="shared" si="201"/>
        <v>1.0347942973506895E-3</v>
      </c>
      <c r="AC240" s="3">
        <f t="shared" si="201"/>
        <v>1.0347942973319376E-3</v>
      </c>
      <c r="AD240" s="3">
        <f t="shared" si="201"/>
        <v>1.0347942971444168E-3</v>
      </c>
      <c r="AE240" s="3">
        <f t="shared" si="201"/>
        <v>1.0347942952692098E-3</v>
      </c>
      <c r="AF240" s="3">
        <f t="shared" si="201"/>
        <v>1.0347942765171405E-3</v>
      </c>
      <c r="AG240" s="3"/>
      <c r="AH240" s="3"/>
    </row>
    <row r="241" spans="1:34" x14ac:dyDescent="0.25">
      <c r="A241" s="79">
        <f>AVERAGE(B241:AF241)</f>
        <v>9.1235278537733971E-2</v>
      </c>
      <c r="B241" s="80">
        <f>IF($A$64&lt;=B207,IF($B$64&gt;=B207,ABS((B209-B208)/B208),0),0)</f>
        <v>3.1608963059239964E-2</v>
      </c>
      <c r="C241" s="80">
        <f t="shared" ref="C241:AF241" si="202">IF($A$64&lt;=C207,IF($B$64&gt;=C207,ABS((C209-C208)/C208),0),0)</f>
        <v>1.5258474852865005E-2</v>
      </c>
      <c r="D241" s="80">
        <f t="shared" si="202"/>
        <v>0.12402886854003331</v>
      </c>
      <c r="E241" s="80">
        <f t="shared" si="202"/>
        <v>0.13877543508337328</v>
      </c>
      <c r="F241" s="80">
        <f t="shared" si="202"/>
        <v>0.12023988145870713</v>
      </c>
      <c r="G241" s="80">
        <f t="shared" si="202"/>
        <v>9.9353102967843721E-2</v>
      </c>
      <c r="H241" s="80">
        <f t="shared" si="202"/>
        <v>7.369440648968098E-2</v>
      </c>
      <c r="I241" s="80">
        <f t="shared" si="202"/>
        <v>5.1978765246520668E-2</v>
      </c>
      <c r="J241" s="80">
        <f t="shared" si="202"/>
        <v>4.7895105575911513E-2</v>
      </c>
      <c r="K241" s="80">
        <f t="shared" si="202"/>
        <v>6.5928404037371338E-2</v>
      </c>
      <c r="L241" s="80">
        <f t="shared" si="202"/>
        <v>6.3788303393406035E-2</v>
      </c>
      <c r="M241" s="80">
        <f t="shared" si="202"/>
        <v>6.3380133547445344E-2</v>
      </c>
      <c r="N241" s="80">
        <f t="shared" si="202"/>
        <v>6.0145483511201372E-2</v>
      </c>
      <c r="O241" s="80">
        <f t="shared" si="202"/>
        <v>6.1865090009477985E-2</v>
      </c>
      <c r="P241" s="80">
        <f t="shared" si="202"/>
        <v>6.2369204412377394E-2</v>
      </c>
      <c r="Q241" s="80">
        <f t="shared" si="202"/>
        <v>6.4265798994353543E-2</v>
      </c>
      <c r="R241" s="80">
        <f t="shared" si="202"/>
        <v>6.3766033240944042E-2</v>
      </c>
      <c r="S241" s="80">
        <f t="shared" si="202"/>
        <v>6.1675803906250812E-2</v>
      </c>
      <c r="T241" s="80">
        <f t="shared" si="202"/>
        <v>9.5036740360558269E-4</v>
      </c>
      <c r="U241" s="80">
        <f t="shared" si="202"/>
        <v>0.13612769115225007</v>
      </c>
      <c r="V241" s="80">
        <f t="shared" si="202"/>
        <v>0.29112573155189547</v>
      </c>
      <c r="W241" s="80">
        <f t="shared" si="202"/>
        <v>0.38384896621604131</v>
      </c>
      <c r="X241" s="80">
        <f t="shared" si="202"/>
        <v>0.31850582908126429</v>
      </c>
      <c r="Y241" s="80">
        <f t="shared" si="202"/>
        <v>0.19099640998531844</v>
      </c>
      <c r="Z241" s="80">
        <f t="shared" si="202"/>
        <v>8.6383887999699316E-2</v>
      </c>
      <c r="AA241" s="80">
        <f t="shared" si="202"/>
        <v>3.4235420207984729E-2</v>
      </c>
      <c r="AB241" s="80">
        <f t="shared" si="202"/>
        <v>3.3894518488783117E-2</v>
      </c>
      <c r="AC241" s="80">
        <f t="shared" si="202"/>
        <v>2.9711047004068823E-2</v>
      </c>
      <c r="AD241" s="80">
        <f t="shared" si="202"/>
        <v>3.8905410290999212E-2</v>
      </c>
      <c r="AE241" s="80">
        <f t="shared" si="202"/>
        <v>1.5661681447747963E-3</v>
      </c>
      <c r="AF241" s="80">
        <f t="shared" si="202"/>
        <v>1.2024928816064994E-2</v>
      </c>
    </row>
    <row r="242" spans="1:34" x14ac:dyDescent="0.25">
      <c r="B242" s="21">
        <f>(B209-B208)^2</f>
        <v>121099.1253514048</v>
      </c>
      <c r="C242" s="21">
        <f t="shared" ref="C242:AF242" si="203">(C209-C208)^2</f>
        <v>27139.496652878115</v>
      </c>
      <c r="D242" s="21">
        <f t="shared" si="203"/>
        <v>1731737.7720618753</v>
      </c>
      <c r="E242" s="21">
        <f t="shared" si="203"/>
        <v>2088581.3453984477</v>
      </c>
      <c r="F242" s="21">
        <f t="shared" si="203"/>
        <v>1502536.0500303451</v>
      </c>
      <c r="G242" s="21">
        <f t="shared" si="203"/>
        <v>978776.62431674765</v>
      </c>
      <c r="H242" s="21">
        <f t="shared" si="203"/>
        <v>508774.81108631275</v>
      </c>
      <c r="I242" s="21">
        <f t="shared" si="203"/>
        <v>240211.07550904478</v>
      </c>
      <c r="J242" s="21">
        <f t="shared" si="203"/>
        <v>192763.45338499546</v>
      </c>
      <c r="K242" s="21">
        <f t="shared" si="203"/>
        <v>342082.31670698273</v>
      </c>
      <c r="L242" s="21">
        <f t="shared" si="203"/>
        <v>295438.5578085272</v>
      </c>
      <c r="M242" s="21">
        <f t="shared" si="203"/>
        <v>267454.11582908692</v>
      </c>
      <c r="N242" s="21">
        <f t="shared" si="203"/>
        <v>223133.40821419266</v>
      </c>
      <c r="O242" s="21">
        <f t="shared" si="203"/>
        <v>219511.00594350439</v>
      </c>
      <c r="P242" s="21">
        <f t="shared" si="203"/>
        <v>206945.2263200141</v>
      </c>
      <c r="Q242" s="21">
        <f t="shared" si="203"/>
        <v>202627.80081852729</v>
      </c>
      <c r="R242" s="21">
        <f t="shared" si="203"/>
        <v>183407.35772978372</v>
      </c>
      <c r="S242" s="21">
        <f t="shared" si="203"/>
        <v>151816.06542474616</v>
      </c>
      <c r="T242" s="21">
        <f t="shared" si="203"/>
        <v>28.072848067142473</v>
      </c>
      <c r="U242" s="21">
        <f t="shared" si="203"/>
        <v>378161.20959480089</v>
      </c>
      <c r="V242" s="21">
        <f t="shared" si="203"/>
        <v>1085756.8045275409</v>
      </c>
      <c r="W242" s="21">
        <f t="shared" si="203"/>
        <v>1185711.2805180326</v>
      </c>
      <c r="X242" s="21">
        <f t="shared" si="203"/>
        <v>497126.43787531008</v>
      </c>
      <c r="Y242" s="21">
        <f t="shared" si="203"/>
        <v>99392.056398382818</v>
      </c>
      <c r="Z242" s="21">
        <f t="shared" si="203"/>
        <v>10191.530349936873</v>
      </c>
      <c r="AA242" s="21">
        <f t="shared" si="203"/>
        <v>784.40249817822735</v>
      </c>
      <c r="AB242" s="21">
        <f t="shared" si="203"/>
        <v>412.24708481450597</v>
      </c>
      <c r="AC242" s="21">
        <f t="shared" si="203"/>
        <v>210.24718064959779</v>
      </c>
      <c r="AD242" s="21">
        <f t="shared" si="203"/>
        <v>281.84344630763678</v>
      </c>
      <c r="AE242" s="21">
        <f t="shared" si="203"/>
        <v>0.39651465382758105</v>
      </c>
      <c r="AF242" s="21">
        <f t="shared" si="203"/>
        <v>21.599792659855488</v>
      </c>
      <c r="AG242" s="3"/>
      <c r="AH242" s="3"/>
    </row>
    <row r="243" spans="1:34" x14ac:dyDescent="0.25">
      <c r="A243" s="71">
        <f>SUM(B243:AF243)</f>
        <v>12742113.737216748</v>
      </c>
      <c r="B243" s="60">
        <f>IF($A$64&lt;=B207,IF($B$64&gt;=B207,ABS(B242),0),0)</f>
        <v>121099.1253514048</v>
      </c>
      <c r="C243" s="60">
        <f t="shared" ref="C243" si="204">IF($A$64&lt;=C207,IF($B$64&gt;=C207,ABS(C242),0),0)</f>
        <v>27139.496652878115</v>
      </c>
      <c r="D243" s="60">
        <f t="shared" ref="D243" si="205">IF($A$64&lt;=D207,IF($B$64&gt;=D207,ABS(D242),0),0)</f>
        <v>1731737.7720618753</v>
      </c>
      <c r="E243" s="60">
        <f t="shared" ref="E243" si="206">IF($A$64&lt;=E207,IF($B$64&gt;=E207,ABS(E242),0),0)</f>
        <v>2088581.3453984477</v>
      </c>
      <c r="F243" s="60">
        <f t="shared" ref="F243" si="207">IF($A$64&lt;=F207,IF($B$64&gt;=F207,ABS(F242),0),0)</f>
        <v>1502536.0500303451</v>
      </c>
      <c r="G243" s="60">
        <f t="shared" ref="G243" si="208">IF($A$64&lt;=G207,IF($B$64&gt;=G207,ABS(G242),0),0)</f>
        <v>978776.62431674765</v>
      </c>
      <c r="H243" s="60">
        <f t="shared" ref="H243" si="209">IF($A$64&lt;=H207,IF($B$64&gt;=H207,ABS(H242),0),0)</f>
        <v>508774.81108631275</v>
      </c>
      <c r="I243" s="60">
        <f t="shared" ref="I243" si="210">IF($A$64&lt;=I207,IF($B$64&gt;=I207,ABS(I242),0),0)</f>
        <v>240211.07550904478</v>
      </c>
      <c r="J243" s="60">
        <f t="shared" ref="J243" si="211">IF($A$64&lt;=J207,IF($B$64&gt;=J207,ABS(J242),0),0)</f>
        <v>192763.45338499546</v>
      </c>
      <c r="K243" s="60">
        <f t="shared" ref="K243" si="212">IF($A$64&lt;=K207,IF($B$64&gt;=K207,ABS(K242),0),0)</f>
        <v>342082.31670698273</v>
      </c>
      <c r="L243" s="60">
        <f t="shared" ref="L243" si="213">IF($A$64&lt;=L207,IF($B$64&gt;=L207,ABS(L242),0),0)</f>
        <v>295438.5578085272</v>
      </c>
      <c r="M243" s="60">
        <f t="shared" ref="M243" si="214">IF($A$64&lt;=M207,IF($B$64&gt;=M207,ABS(M242),0),0)</f>
        <v>267454.11582908692</v>
      </c>
      <c r="N243" s="60">
        <f t="shared" ref="N243" si="215">IF($A$64&lt;=N207,IF($B$64&gt;=N207,ABS(N242),0),0)</f>
        <v>223133.40821419266</v>
      </c>
      <c r="O243" s="60">
        <f t="shared" ref="O243" si="216">IF($A$64&lt;=O207,IF($B$64&gt;=O207,ABS(O242),0),0)</f>
        <v>219511.00594350439</v>
      </c>
      <c r="P243" s="60">
        <f t="shared" ref="P243" si="217">IF($A$64&lt;=P207,IF($B$64&gt;=P207,ABS(P242),0),0)</f>
        <v>206945.2263200141</v>
      </c>
      <c r="Q243" s="60">
        <f t="shared" ref="Q243" si="218">IF($A$64&lt;=Q207,IF($B$64&gt;=Q207,ABS(Q242),0),0)</f>
        <v>202627.80081852729</v>
      </c>
      <c r="R243" s="60">
        <f t="shared" ref="R243" si="219">IF($A$64&lt;=R207,IF($B$64&gt;=R207,ABS(R242),0),0)</f>
        <v>183407.35772978372</v>
      </c>
      <c r="S243" s="60">
        <f t="shared" ref="S243" si="220">IF($A$64&lt;=S207,IF($B$64&gt;=S207,ABS(S242),0),0)</f>
        <v>151816.06542474616</v>
      </c>
      <c r="T243" s="60">
        <f t="shared" ref="T243" si="221">IF($A$64&lt;=T207,IF($B$64&gt;=T207,ABS(T242),0),0)</f>
        <v>28.072848067142473</v>
      </c>
      <c r="U243" s="60">
        <f t="shared" ref="U243" si="222">IF($A$64&lt;=U207,IF($B$64&gt;=U207,ABS(U242),0),0)</f>
        <v>378161.20959480089</v>
      </c>
      <c r="V243" s="60">
        <f t="shared" ref="V243" si="223">IF($A$64&lt;=V207,IF($B$64&gt;=V207,ABS(V242),0),0)</f>
        <v>1085756.8045275409</v>
      </c>
      <c r="W243" s="60">
        <f t="shared" ref="W243" si="224">IF($A$64&lt;=W207,IF($B$64&gt;=W207,ABS(W242),0),0)</f>
        <v>1185711.2805180326</v>
      </c>
      <c r="X243" s="60">
        <f t="shared" ref="X243" si="225">IF($A$64&lt;=X207,IF($B$64&gt;=X207,ABS(X242),0),0)</f>
        <v>497126.43787531008</v>
      </c>
      <c r="Y243" s="60">
        <f t="shared" ref="Y243" si="226">IF($A$64&lt;=Y207,IF($B$64&gt;=Y207,ABS(Y242),0),0)</f>
        <v>99392.056398382818</v>
      </c>
      <c r="Z243" s="60">
        <f t="shared" ref="Z243" si="227">IF($A$64&lt;=Z207,IF($B$64&gt;=Z207,ABS(Z242),0),0)</f>
        <v>10191.530349936873</v>
      </c>
      <c r="AA243" s="60">
        <f t="shared" ref="AA243" si="228">IF($A$64&lt;=AA207,IF($B$64&gt;=AA207,ABS(AA242),0),0)</f>
        <v>784.40249817822735</v>
      </c>
      <c r="AB243" s="60">
        <f t="shared" ref="AB243" si="229">IF($A$64&lt;=AB207,IF($B$64&gt;=AB207,ABS(AB242),0),0)</f>
        <v>412.24708481450597</v>
      </c>
      <c r="AC243" s="60">
        <f t="shared" ref="AC243" si="230">IF($A$64&lt;=AC207,IF($B$64&gt;=AC207,ABS(AC242),0),0)</f>
        <v>210.24718064959779</v>
      </c>
      <c r="AD243" s="60">
        <f t="shared" ref="AD243" si="231">IF($A$64&lt;=AD207,IF($B$64&gt;=AD207,ABS(AD242),0),0)</f>
        <v>281.84344630763678</v>
      </c>
      <c r="AE243" s="60">
        <f t="shared" ref="AE243" si="232">IF($A$64&lt;=AE207,IF($B$64&gt;=AE207,ABS(AE242),0),0)</f>
        <v>0.39651465382758105</v>
      </c>
      <c r="AF243" s="60">
        <f t="shared" ref="AF243" si="233">IF($A$64&lt;=AF207,IF($B$64&gt;=AF207,ABS(AF242),0),0)</f>
        <v>21.599792659855488</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10761.801351389528</v>
      </c>
      <c r="C247" s="26">
        <f>INDEX(Comparison!$AM$3:$AS$33,G$14,$E$122)</f>
        <v>10547.11616169445</v>
      </c>
      <c r="D247" s="26">
        <f>INDEX(Comparison!$AM$3:$AS$33,H$14,$E$122)</f>
        <v>10349.894568285434</v>
      </c>
      <c r="E247" s="26">
        <f>INDEX(Comparison!$AM$3:$AS$33,I$14,$E$122)</f>
        <v>10133.265997491257</v>
      </c>
      <c r="F247" s="26">
        <f>INDEX(Comparison!$AM$3:$AS$33,J$14,$E$122)</f>
        <v>9898.4994293430227</v>
      </c>
      <c r="G247" s="26">
        <f>INDEX(Comparison!$AM$3:$AS$33,K$14,$E$122)</f>
        <v>9623.1820365655622</v>
      </c>
      <c r="H247" s="26">
        <f>INDEX(Comparison!$AM$3:$AS$33,L$14,$E$122)</f>
        <v>9373.9337150399151</v>
      </c>
      <c r="I247" s="26">
        <f>INDEX(Comparison!$AM$3:$AS$33,M$14,$E$122)</f>
        <v>9114.1360760931802</v>
      </c>
      <c r="J247" s="26">
        <f>INDEX(Comparison!$AM$3:$AS$33,N$14,$E$122)</f>
        <v>8823.7573464712859</v>
      </c>
      <c r="K247" s="26">
        <f>INDEX(Comparison!$AM$3:$AS$33,O$14,$E$122)</f>
        <v>8477.9341078683501</v>
      </c>
      <c r="L247" s="26">
        <f>INDEX(Comparison!$AM$3:$AS$33,P$14,$E$122)</f>
        <v>8118.5828227804013</v>
      </c>
      <c r="M247" s="26">
        <f>INDEX(Comparison!$AM$3:$AS$33,Q$14,$E$122)</f>
        <v>7811.8955545814642</v>
      </c>
      <c r="N247" s="26">
        <f>INDEX(Comparison!$AM$3:$AS$33,R$14,$E$122)</f>
        <v>7534.5067060295696</v>
      </c>
      <c r="O247" s="26">
        <f>INDEX(Comparison!$AM$3:$AS$33,S$14,$E$122)</f>
        <v>7256.8628130889483</v>
      </c>
      <c r="P247" s="26">
        <f>INDEX(Comparison!$AM$3:$AS$33,T$14,$E$122)</f>
        <v>6971.3695334324493</v>
      </c>
      <c r="Q247" s="26">
        <f>INDEX(Comparison!$AM$3:$AS$33,U$14,$E$122)</f>
        <v>6688.5259415281262</v>
      </c>
      <c r="R247" s="26">
        <f>INDEX(Comparison!$AM$3:$AS$33,V$14,$E$122)</f>
        <v>6332.8599538611707</v>
      </c>
      <c r="S247" s="26">
        <f>INDEX(Comparison!$AM$3:$AS$33,W$14,$E$122)</f>
        <v>5707.8128215740962</v>
      </c>
      <c r="T247" s="26">
        <f>INDEX(Comparison!$AM$3:$AS$33,X$14,$E$122)</f>
        <v>4703.4024219609055</v>
      </c>
      <c r="U247" s="26">
        <f>INDEX(Comparison!$AM$3:$AS$33,Y$14,$E$122)</f>
        <v>3716.6695709784594</v>
      </c>
      <c r="V247" s="26">
        <f>INDEX(Comparison!$AM$3:$AS$33,Z$14,$E$122)</f>
        <v>2925.6425281910142</v>
      </c>
      <c r="W247" s="26">
        <f>INDEX(Comparison!$AM$3:$AS$33,AA$14,$E$122)</f>
        <v>2271.2592133629987</v>
      </c>
      <c r="X247" s="26">
        <f>INDEX(Comparison!$AM$3:$AS$33,AB$14,$E$122)</f>
        <v>1690.9117320692962</v>
      </c>
      <c r="Y247" s="26">
        <f>INDEX(Comparison!$AM$3:$AS$33,AC$14,$E$122)</f>
        <v>1194.4542594457305</v>
      </c>
      <c r="Z247" s="26">
        <f>INDEX(Comparison!$AM$3:$AS$33,AD$14,$E$122)</f>
        <v>834.8043301176574</v>
      </c>
      <c r="AA247" s="26">
        <f>INDEX(Comparison!$AM$3:$AS$33,AE$14,$E$122)</f>
        <v>607.40413984309237</v>
      </c>
      <c r="AB247" s="26">
        <f>INDEX(Comparison!$AM$3:$AS$33,AF$14,$E$122)</f>
        <v>493.01101666641495</v>
      </c>
      <c r="AC247" s="26">
        <f>INDEX(Comparison!$AM$3:$AS$33,AG$14,$E$122)</f>
        <v>433.7285115590953</v>
      </c>
      <c r="AD247" s="26">
        <f>INDEX(Comparison!$AM$3:$AS$33,AH$14,$E$122)</f>
        <v>403.76473002951963</v>
      </c>
      <c r="AE247" s="26">
        <f>INDEX(Comparison!$AM$3:$AS$33,AI$14,$E$122)</f>
        <v>387.64349199783766</v>
      </c>
      <c r="AF247" s="26">
        <f>INDEX(Comparison!$AM$3:$AS$33,AJ$14,$E$122)</f>
        <v>374.47481405228427</v>
      </c>
      <c r="AG247" s="26"/>
      <c r="AH247" s="26"/>
    </row>
    <row r="248" spans="1:34" x14ac:dyDescent="0.25">
      <c r="A248" s="70" t="s">
        <v>22</v>
      </c>
      <c r="B248" s="27">
        <f>($C$17+SUM(B249:B279))*$B$51</f>
        <v>11017.0231451614</v>
      </c>
      <c r="C248" s="27">
        <f t="shared" ref="C248:AF248" si="234">($C$17+SUM(C249:C279))*$B$51</f>
        <v>9397.2319984803526</v>
      </c>
      <c r="D248" s="27">
        <f t="shared" si="234"/>
        <v>8968.7007144133859</v>
      </c>
      <c r="E248" s="27">
        <f t="shared" si="234"/>
        <v>8968.6769905040619</v>
      </c>
      <c r="F248" s="27">
        <f t="shared" si="234"/>
        <v>8968.4404894933905</v>
      </c>
      <c r="G248" s="27">
        <f t="shared" si="234"/>
        <v>8966.0804460819509</v>
      </c>
      <c r="H248" s="27">
        <f t="shared" si="234"/>
        <v>8942.969423592298</v>
      </c>
      <c r="I248" s="27">
        <f t="shared" si="234"/>
        <v>8754.284831515808</v>
      </c>
      <c r="J248" s="27">
        <f t="shared" si="234"/>
        <v>8304.0448488910988</v>
      </c>
      <c r="K248" s="27">
        <f t="shared" si="234"/>
        <v>7996.5262889360056</v>
      </c>
      <c r="L248" s="27">
        <f t="shared" si="234"/>
        <v>7657.9232379318764</v>
      </c>
      <c r="M248" s="27">
        <f t="shared" si="234"/>
        <v>7396.6516595297871</v>
      </c>
      <c r="N248" s="27">
        <f t="shared" si="234"/>
        <v>7120.1485903679168</v>
      </c>
      <c r="O248" s="27">
        <f t="shared" si="234"/>
        <v>6855.3959818693775</v>
      </c>
      <c r="P248" s="27">
        <f t="shared" si="234"/>
        <v>6571.0334408853696</v>
      </c>
      <c r="Q248" s="27">
        <f t="shared" si="234"/>
        <v>6306.9300075566871</v>
      </c>
      <c r="R248" s="27">
        <f t="shared" si="234"/>
        <v>5952.1052575910708</v>
      </c>
      <c r="S248" s="27">
        <f t="shared" si="234"/>
        <v>5595.4767469720464</v>
      </c>
      <c r="T248" s="27">
        <f t="shared" si="234"/>
        <v>5164.9677094182271</v>
      </c>
      <c r="U248" s="27">
        <f t="shared" si="234"/>
        <v>4660.8047157098354</v>
      </c>
      <c r="V248" s="27">
        <f t="shared" si="234"/>
        <v>3983.0494216093821</v>
      </c>
      <c r="W248" s="27">
        <f t="shared" si="234"/>
        <v>2997.6901046984444</v>
      </c>
      <c r="X248" s="27">
        <f t="shared" si="234"/>
        <v>2027.7219771466614</v>
      </c>
      <c r="Y248" s="27">
        <f t="shared" si="234"/>
        <v>1310.3679417888879</v>
      </c>
      <c r="Z248" s="27">
        <f t="shared" si="234"/>
        <v>866.96703474356582</v>
      </c>
      <c r="AA248" s="27">
        <f t="shared" si="234"/>
        <v>629.9424450503451</v>
      </c>
      <c r="AB248" s="27">
        <f t="shared" si="234"/>
        <v>507.3223530210887</v>
      </c>
      <c r="AC248" s="27">
        <f t="shared" si="234"/>
        <v>450.43194341496303</v>
      </c>
      <c r="AD248" s="27">
        <f t="shared" si="234"/>
        <v>405.08113502895441</v>
      </c>
      <c r="AE248" s="27">
        <f t="shared" si="234"/>
        <v>391.74575873744789</v>
      </c>
      <c r="AF248" s="27">
        <f t="shared" si="234"/>
        <v>372.73709186632721</v>
      </c>
      <c r="AG248" s="27"/>
      <c r="AH248" s="27"/>
    </row>
    <row r="249" spans="1:34" x14ac:dyDescent="0.25">
      <c r="B249" s="3">
        <f t="shared" ref="B249:AF249" si="235">$C18*EXP(-B$246/$A18/EXP(-$E$126))</f>
        <v>0.17958441446070145</v>
      </c>
      <c r="C249" s="3">
        <f t="shared" si="235"/>
        <v>3.7570853735638884E-2</v>
      </c>
      <c r="D249" s="3">
        <f t="shared" si="235"/>
        <v>6.0349721741164633E-9</v>
      </c>
      <c r="E249" s="3">
        <f t="shared" si="235"/>
        <v>6.9010846415808752E-77</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4.9174997418187046E-2</v>
      </c>
      <c r="C250" s="3">
        <f t="shared" si="236"/>
        <v>4.9174977712179817E-2</v>
      </c>
      <c r="D250" s="3">
        <f t="shared" si="236"/>
        <v>4.9174780652541918E-2</v>
      </c>
      <c r="E250" s="3">
        <f t="shared" si="236"/>
        <v>4.9172810099594774E-2</v>
      </c>
      <c r="F250" s="3">
        <f t="shared" si="236"/>
        <v>4.9153108912667796E-2</v>
      </c>
      <c r="G250" s="3">
        <f t="shared" si="236"/>
        <v>4.8956530654653219E-2</v>
      </c>
      <c r="H250" s="3">
        <f t="shared" si="236"/>
        <v>4.7033473113734639E-2</v>
      </c>
      <c r="I250" s="3">
        <f t="shared" si="236"/>
        <v>3.1504399873783832E-2</v>
      </c>
      <c r="J250" s="3">
        <f t="shared" si="236"/>
        <v>5.7281294700320113E-4</v>
      </c>
      <c r="K250" s="3">
        <f t="shared" si="236"/>
        <v>2.2616686043753024E-21</v>
      </c>
      <c r="L250" s="3">
        <f t="shared" si="236"/>
        <v>2.0825258814321919E-195</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2.5308430794175774E-2</v>
      </c>
      <c r="C251" s="3">
        <f t="shared" si="237"/>
        <v>2.5308429879291463E-2</v>
      </c>
      <c r="D251" s="3">
        <f t="shared" si="237"/>
        <v>2.5308420730450167E-2</v>
      </c>
      <c r="E251" s="3">
        <f t="shared" si="237"/>
        <v>2.5308329242219124E-2</v>
      </c>
      <c r="F251" s="3">
        <f t="shared" si="237"/>
        <v>2.5307414378098327E-2</v>
      </c>
      <c r="G251" s="3">
        <f t="shared" si="237"/>
        <v>2.52982675556081E-2</v>
      </c>
      <c r="H251" s="3">
        <f t="shared" si="237"/>
        <v>2.52069809594587E-2</v>
      </c>
      <c r="I251" s="3">
        <f t="shared" si="237"/>
        <v>2.4312037270956696E-2</v>
      </c>
      <c r="J251" s="3">
        <f t="shared" si="237"/>
        <v>1.693661237732454E-2</v>
      </c>
      <c r="K251" s="3">
        <f t="shared" si="237"/>
        <v>4.5590935145124631E-4</v>
      </c>
      <c r="L251" s="3">
        <f t="shared" si="237"/>
        <v>9.1074757470316668E-20</v>
      </c>
      <c r="M251" s="3">
        <f t="shared" si="237"/>
        <v>9.2170778043799241E-177</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3.419451670155494E-2</v>
      </c>
      <c r="C252" s="3">
        <f t="shared" si="238"/>
        <v>3.419451659004745E-2</v>
      </c>
      <c r="D252" s="3">
        <f t="shared" si="238"/>
        <v>3.4194515474972598E-2</v>
      </c>
      <c r="E252" s="3">
        <f t="shared" si="238"/>
        <v>3.4194504324226063E-2</v>
      </c>
      <c r="F252" s="3">
        <f t="shared" si="238"/>
        <v>3.419439281696067E-2</v>
      </c>
      <c r="G252" s="3">
        <f t="shared" si="238"/>
        <v>3.4193277764305773E-2</v>
      </c>
      <c r="H252" s="3">
        <f t="shared" si="238"/>
        <v>3.418212923741637E-2</v>
      </c>
      <c r="I252" s="3">
        <f t="shared" si="238"/>
        <v>3.4070843693415717E-2</v>
      </c>
      <c r="J252" s="3">
        <f t="shared" si="238"/>
        <v>3.2977721850025038E-2</v>
      </c>
      <c r="K252" s="3">
        <f t="shared" si="238"/>
        <v>2.3801168340678937E-2</v>
      </c>
      <c r="L252" s="3">
        <f t="shared" si="238"/>
        <v>9.1279768485949477E-4</v>
      </c>
      <c r="M252" s="3">
        <f t="shared" si="238"/>
        <v>6.2825661307065579E-18</v>
      </c>
      <c r="N252" s="3">
        <f t="shared" si="238"/>
        <v>1.4988647865563922E-159</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2.2721576937006917E-2</v>
      </c>
      <c r="C253" s="3">
        <f t="shared" si="239"/>
        <v>2.2721576930322975E-2</v>
      </c>
      <c r="D253" s="3">
        <f t="shared" si="239"/>
        <v>2.2721576863483563E-2</v>
      </c>
      <c r="E253" s="3">
        <f t="shared" si="239"/>
        <v>2.2721576195089455E-2</v>
      </c>
      <c r="F253" s="3">
        <f t="shared" si="239"/>
        <v>2.2721569511149453E-2</v>
      </c>
      <c r="G253" s="3">
        <f t="shared" si="239"/>
        <v>2.2721502671857567E-2</v>
      </c>
      <c r="H253" s="3">
        <f t="shared" si="239"/>
        <v>2.2720834289752679E-2</v>
      </c>
      <c r="I253" s="3">
        <f t="shared" si="239"/>
        <v>2.2714151549980705E-2</v>
      </c>
      <c r="J253" s="3">
        <f t="shared" si="239"/>
        <v>2.264743216235952E-2</v>
      </c>
      <c r="K253" s="3">
        <f t="shared" si="239"/>
        <v>2.1990922655118622E-2</v>
      </c>
      <c r="L253" s="3">
        <f t="shared" si="239"/>
        <v>1.6386578670526702E-2</v>
      </c>
      <c r="M253" s="3">
        <f t="shared" si="239"/>
        <v>8.6484175591057479E-4</v>
      </c>
      <c r="N253" s="3">
        <f t="shared" si="239"/>
        <v>1.4501745367808121E-16</v>
      </c>
      <c r="O253" s="3">
        <f t="shared" si="239"/>
        <v>2.548335055503436E-144</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2.5892610318316311E-2</v>
      </c>
      <c r="C254" s="3">
        <f t="shared" si="240"/>
        <v>2.5892610317629218E-2</v>
      </c>
      <c r="D254" s="3">
        <f t="shared" si="240"/>
        <v>2.589261031075827E-2</v>
      </c>
      <c r="E254" s="3">
        <f t="shared" si="240"/>
        <v>2.5892610242048805E-2</v>
      </c>
      <c r="F254" s="3">
        <f t="shared" si="240"/>
        <v>2.5892609554954149E-2</v>
      </c>
      <c r="G254" s="3">
        <f t="shared" si="240"/>
        <v>2.589260268400859E-2</v>
      </c>
      <c r="H254" s="3">
        <f t="shared" si="240"/>
        <v>2.5892533974653291E-2</v>
      </c>
      <c r="I254" s="3">
        <f t="shared" si="240"/>
        <v>2.5891846891128306E-2</v>
      </c>
      <c r="J254" s="3">
        <f t="shared" si="240"/>
        <v>2.5884977058582195E-2</v>
      </c>
      <c r="K254" s="3">
        <f t="shared" si="240"/>
        <v>2.5816378905114443E-2</v>
      </c>
      <c r="L254" s="3">
        <f t="shared" si="240"/>
        <v>2.5140316910725904E-2</v>
      </c>
      <c r="M254" s="3">
        <f t="shared" si="240"/>
        <v>1.9280796108471259E-2</v>
      </c>
      <c r="N254" s="3">
        <f t="shared" si="240"/>
        <v>1.3572726661289557E-3</v>
      </c>
      <c r="O254" s="3">
        <f t="shared" si="240"/>
        <v>4.0559118955111453E-15</v>
      </c>
      <c r="P254" s="3">
        <f t="shared" si="240"/>
        <v>2.3030459719825678E-130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2.3275396535945649E-2</v>
      </c>
      <c r="C255" s="3">
        <f t="shared" si="241"/>
        <v>2.3275396535889937E-2</v>
      </c>
      <c r="D255" s="3">
        <f t="shared" si="241"/>
        <v>2.3275396535332768E-2</v>
      </c>
      <c r="E255" s="3">
        <f t="shared" si="241"/>
        <v>2.327539652976111E-2</v>
      </c>
      <c r="F255" s="3">
        <f t="shared" si="241"/>
        <v>2.3275396474044537E-2</v>
      </c>
      <c r="G255" s="3">
        <f t="shared" si="241"/>
        <v>2.3275395916878779E-2</v>
      </c>
      <c r="H255" s="3">
        <f t="shared" si="241"/>
        <v>2.3275390345221962E-2</v>
      </c>
      <c r="I255" s="3">
        <f t="shared" si="241"/>
        <v>2.3275334628727124E-2</v>
      </c>
      <c r="J255" s="3">
        <f t="shared" si="241"/>
        <v>2.3274777471114262E-2</v>
      </c>
      <c r="K255" s="3">
        <f t="shared" si="241"/>
        <v>2.3269206628471456E-2</v>
      </c>
      <c r="L255" s="3">
        <f t="shared" si="241"/>
        <v>2.3213571485699056E-2</v>
      </c>
      <c r="M255" s="3">
        <f t="shared" si="241"/>
        <v>2.26644839293626E-2</v>
      </c>
      <c r="N255" s="3">
        <f t="shared" si="241"/>
        <v>1.7839576824940518E-2</v>
      </c>
      <c r="O255" s="3">
        <f t="shared" si="241"/>
        <v>1.628439709395959E-3</v>
      </c>
      <c r="P255" s="3">
        <f t="shared" si="241"/>
        <v>6.540983337913605E-14</v>
      </c>
      <c r="Q255" s="3">
        <f t="shared" si="241"/>
        <v>7.1508329137260503E-118</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2.7259427341222414E-2</v>
      </c>
      <c r="C256" s="3">
        <f t="shared" si="242"/>
        <v>2.7259427341216527E-2</v>
      </c>
      <c r="D256" s="3">
        <f t="shared" si="242"/>
        <v>2.7259427341157664E-2</v>
      </c>
      <c r="E256" s="3">
        <f t="shared" si="242"/>
        <v>2.725942734056902E-2</v>
      </c>
      <c r="F256" s="3">
        <f t="shared" si="242"/>
        <v>2.7259427334682611E-2</v>
      </c>
      <c r="G256" s="3">
        <f t="shared" si="242"/>
        <v>2.7259427275818489E-2</v>
      </c>
      <c r="H256" s="3">
        <f t="shared" si="242"/>
        <v>2.7259426687177301E-2</v>
      </c>
      <c r="I256" s="3">
        <f t="shared" si="242"/>
        <v>2.7259420800766123E-2</v>
      </c>
      <c r="J256" s="3">
        <f t="shared" si="242"/>
        <v>2.7259361936724257E-2</v>
      </c>
      <c r="K256" s="3">
        <f t="shared" si="242"/>
        <v>2.7258773303296662E-2</v>
      </c>
      <c r="L256" s="3">
        <f t="shared" si="242"/>
        <v>2.7252887668071473E-2</v>
      </c>
      <c r="M256" s="3">
        <f t="shared" si="242"/>
        <v>2.7194101165075115E-2</v>
      </c>
      <c r="N256" s="3">
        <f t="shared" si="242"/>
        <v>2.6613165573430488E-2</v>
      </c>
      <c r="O256" s="3">
        <f t="shared" si="242"/>
        <v>2.1444444803541279E-2</v>
      </c>
      <c r="P256" s="3">
        <f t="shared" si="242"/>
        <v>2.4745573074328514E-3</v>
      </c>
      <c r="Q256" s="3">
        <f t="shared" si="242"/>
        <v>1.0359161575221473E-12</v>
      </c>
      <c r="R256" s="3">
        <f t="shared" si="242"/>
        <v>1.7123617456308552E-106</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2.1214287036784893E-2</v>
      </c>
      <c r="C257" s="3">
        <f t="shared" si="243"/>
        <v>2.121428703678448E-2</v>
      </c>
      <c r="D257" s="3">
        <f t="shared" si="243"/>
        <v>2.1214287036780344E-2</v>
      </c>
      <c r="E257" s="3">
        <f t="shared" si="243"/>
        <v>2.1214287036739023E-2</v>
      </c>
      <c r="F257" s="3">
        <f t="shared" si="243"/>
        <v>2.1214287036325774E-2</v>
      </c>
      <c r="G257" s="3">
        <f t="shared" si="243"/>
        <v>2.1214287032193312E-2</v>
      </c>
      <c r="H257" s="3">
        <f t="shared" si="243"/>
        <v>2.1214286990868685E-2</v>
      </c>
      <c r="I257" s="3">
        <f t="shared" si="243"/>
        <v>2.1214286577622407E-2</v>
      </c>
      <c r="J257" s="3">
        <f t="shared" si="243"/>
        <v>2.1214282445160066E-2</v>
      </c>
      <c r="K257" s="3">
        <f t="shared" si="243"/>
        <v>2.1214241120580946E-2</v>
      </c>
      <c r="L257" s="3">
        <f t="shared" si="243"/>
        <v>2.1213827879217158E-2</v>
      </c>
      <c r="M257" s="3">
        <f t="shared" si="243"/>
        <v>2.1209695908287276E-2</v>
      </c>
      <c r="N257" s="3">
        <f t="shared" si="243"/>
        <v>2.1168420437898284E-2</v>
      </c>
      <c r="O257" s="3">
        <f t="shared" si="243"/>
        <v>2.0760057905431478E-2</v>
      </c>
      <c r="P257" s="3">
        <f t="shared" si="243"/>
        <v>1.7085576567198429E-2</v>
      </c>
      <c r="Q257" s="3">
        <f t="shared" si="243"/>
        <v>2.435793256221056E-3</v>
      </c>
      <c r="R257" s="3">
        <f t="shared" si="243"/>
        <v>8.4478904032101693E-12</v>
      </c>
      <c r="S257" s="3">
        <f t="shared" si="243"/>
        <v>2.127290220798776E-96</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3.4718036830476542E-2</v>
      </c>
      <c r="C258" s="3">
        <f t="shared" si="244"/>
        <v>3.471803683047648E-2</v>
      </c>
      <c r="D258" s="3">
        <f t="shared" si="244"/>
        <v>3.4718036830475869E-2</v>
      </c>
      <c r="E258" s="3">
        <f t="shared" si="244"/>
        <v>3.471803683046977E-2</v>
      </c>
      <c r="F258" s="3">
        <f t="shared" si="244"/>
        <v>3.4718036830408763E-2</v>
      </c>
      <c r="G258" s="3">
        <f t="shared" si="244"/>
        <v>3.4718036829798689E-2</v>
      </c>
      <c r="H258" s="3">
        <f t="shared" si="244"/>
        <v>3.4718036823697951E-2</v>
      </c>
      <c r="I258" s="3">
        <f t="shared" si="244"/>
        <v>3.4718036762690585E-2</v>
      </c>
      <c r="J258" s="3">
        <f t="shared" si="244"/>
        <v>3.4718036152616948E-2</v>
      </c>
      <c r="K258" s="3">
        <f t="shared" si="244"/>
        <v>3.4718030051881128E-2</v>
      </c>
      <c r="L258" s="3">
        <f t="shared" si="244"/>
        <v>3.4717969044581881E-2</v>
      </c>
      <c r="M258" s="3">
        <f t="shared" si="244"/>
        <v>3.4717358977485617E-2</v>
      </c>
      <c r="N258" s="3">
        <f t="shared" si="244"/>
        <v>3.4711258896100106E-2</v>
      </c>
      <c r="O258" s="3">
        <f t="shared" si="244"/>
        <v>3.4650317001651366E-2</v>
      </c>
      <c r="P258" s="3">
        <f t="shared" si="244"/>
        <v>3.4046751869395944E-2</v>
      </c>
      <c r="Q258" s="3">
        <f t="shared" si="244"/>
        <v>2.8560145817917802E-2</v>
      </c>
      <c r="R258" s="3">
        <f t="shared" si="244"/>
        <v>4.9272859717873554E-3</v>
      </c>
      <c r="S258" s="3">
        <f t="shared" si="244"/>
        <v>1.1510157112955821E-10</v>
      </c>
      <c r="T258" s="3">
        <f t="shared" si="244"/>
        <v>5.5694983776691218E-87</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3.054172570036021E-2</v>
      </c>
      <c r="C259" s="3">
        <f t="shared" si="245"/>
        <v>3.0541725700360203E-2</v>
      </c>
      <c r="D259" s="3">
        <f t="shared" si="245"/>
        <v>3.0541725700360154E-2</v>
      </c>
      <c r="E259" s="3">
        <f t="shared" si="245"/>
        <v>3.0541725700359672E-2</v>
      </c>
      <c r="F259" s="3">
        <f t="shared" si="245"/>
        <v>3.0541725700354832E-2</v>
      </c>
      <c r="G259" s="3">
        <f t="shared" si="245"/>
        <v>3.0541725700306419E-2</v>
      </c>
      <c r="H259" s="3">
        <f t="shared" si="245"/>
        <v>3.0541725699822282E-2</v>
      </c>
      <c r="I259" s="3">
        <f t="shared" si="245"/>
        <v>3.0541725694980922E-2</v>
      </c>
      <c r="J259" s="3">
        <f t="shared" si="245"/>
        <v>3.0541725646567333E-2</v>
      </c>
      <c r="K259" s="3">
        <f t="shared" si="245"/>
        <v>3.0541725162431459E-2</v>
      </c>
      <c r="L259" s="3">
        <f t="shared" si="245"/>
        <v>3.0541720321073135E-2</v>
      </c>
      <c r="M259" s="3">
        <f t="shared" si="245"/>
        <v>3.054167190753208E-2</v>
      </c>
      <c r="N259" s="3">
        <f t="shared" si="245"/>
        <v>3.0541187776342404E-2</v>
      </c>
      <c r="O259" s="3">
        <f t="shared" si="245"/>
        <v>3.053634688650677E-2</v>
      </c>
      <c r="P259" s="3">
        <f t="shared" si="245"/>
        <v>3.0487980169519341E-2</v>
      </c>
      <c r="Q259" s="3">
        <f t="shared" si="245"/>
        <v>3.0008506501292706E-2</v>
      </c>
      <c r="R259" s="3">
        <f t="shared" si="245"/>
        <v>2.5609533263768837E-2</v>
      </c>
      <c r="S259" s="3">
        <f t="shared" si="245"/>
        <v>5.2477662661972423E-3</v>
      </c>
      <c r="T259" s="3">
        <f t="shared" si="245"/>
        <v>6.8501910383962279E-10</v>
      </c>
      <c r="U259" s="3">
        <f t="shared" si="245"/>
        <v>9.8397639813516361E-79</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4.0592217810354776E-2</v>
      </c>
      <c r="C260" s="3">
        <f t="shared" si="246"/>
        <v>4.0592217810354776E-2</v>
      </c>
      <c r="D260" s="3">
        <f t="shared" si="246"/>
        <v>4.0592217810354769E-2</v>
      </c>
      <c r="E260" s="3">
        <f t="shared" si="246"/>
        <v>4.0592217810354714E-2</v>
      </c>
      <c r="F260" s="3">
        <f t="shared" si="246"/>
        <v>4.0592217810354131E-2</v>
      </c>
      <c r="G260" s="3">
        <f t="shared" si="246"/>
        <v>4.059221781034833E-2</v>
      </c>
      <c r="H260" s="3">
        <f t="shared" si="246"/>
        <v>4.0592217810290279E-2</v>
      </c>
      <c r="I260" s="3">
        <f t="shared" si="246"/>
        <v>4.0592217809709834E-2</v>
      </c>
      <c r="J260" s="3">
        <f t="shared" si="246"/>
        <v>4.0592217803905359E-2</v>
      </c>
      <c r="K260" s="3">
        <f t="shared" si="246"/>
        <v>4.0592217745860588E-2</v>
      </c>
      <c r="L260" s="3">
        <f t="shared" si="246"/>
        <v>4.0592217165412933E-2</v>
      </c>
      <c r="M260" s="3">
        <f t="shared" si="246"/>
        <v>4.059221136093679E-2</v>
      </c>
      <c r="N260" s="3">
        <f t="shared" si="246"/>
        <v>4.0592153316221027E-2</v>
      </c>
      <c r="O260" s="3">
        <f t="shared" si="246"/>
        <v>4.0591572873628419E-2</v>
      </c>
      <c r="P260" s="3">
        <f t="shared" si="246"/>
        <v>4.0585768904181044E-2</v>
      </c>
      <c r="Q260" s="3">
        <f t="shared" si="246"/>
        <v>4.0527774833434907E-2</v>
      </c>
      <c r="R260" s="3">
        <f t="shared" si="246"/>
        <v>3.9952372452148006E-2</v>
      </c>
      <c r="S260" s="3">
        <f t="shared" si="246"/>
        <v>3.4629060959681789E-2</v>
      </c>
      <c r="T260" s="3">
        <f t="shared" si="246"/>
        <v>8.2874730072411296E-3</v>
      </c>
      <c r="U260" s="3">
        <f t="shared" si="246"/>
        <v>5.1078277929683699E-9</v>
      </c>
      <c r="V260" s="3">
        <f t="shared" si="246"/>
        <v>4.0399635504976962E-71</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4.4579554777240793E-2</v>
      </c>
      <c r="C261" s="3">
        <f t="shared" si="247"/>
        <v>4.4579554777240793E-2</v>
      </c>
      <c r="D261" s="3">
        <f t="shared" si="247"/>
        <v>4.4579554777240793E-2</v>
      </c>
      <c r="E261" s="3">
        <f t="shared" si="247"/>
        <v>4.4579554777240786E-2</v>
      </c>
      <c r="F261" s="3">
        <f t="shared" si="247"/>
        <v>4.4579554777240731E-2</v>
      </c>
      <c r="G261" s="3">
        <f t="shared" si="247"/>
        <v>4.4579554777240155E-2</v>
      </c>
      <c r="H261" s="3">
        <f t="shared" si="247"/>
        <v>4.4579554777234402E-2</v>
      </c>
      <c r="I261" s="3">
        <f t="shared" si="247"/>
        <v>4.45795547771769E-2</v>
      </c>
      <c r="J261" s="3">
        <f t="shared" si="247"/>
        <v>4.4579554776601853E-2</v>
      </c>
      <c r="K261" s="3">
        <f t="shared" si="247"/>
        <v>4.457955477085139E-2</v>
      </c>
      <c r="L261" s="3">
        <f t="shared" si="247"/>
        <v>4.4579554713346792E-2</v>
      </c>
      <c r="M261" s="3">
        <f t="shared" si="247"/>
        <v>4.4579554138300767E-2</v>
      </c>
      <c r="N261" s="3">
        <f t="shared" si="247"/>
        <v>4.4579548387840971E-2</v>
      </c>
      <c r="O261" s="3">
        <f t="shared" si="247"/>
        <v>4.4579490883283786E-2</v>
      </c>
      <c r="P261" s="3">
        <f t="shared" si="247"/>
        <v>4.4578915841791626E-2</v>
      </c>
      <c r="Q261" s="3">
        <f t="shared" si="247"/>
        <v>4.4573165834822119E-2</v>
      </c>
      <c r="R261" s="3">
        <f t="shared" si="247"/>
        <v>4.4515706540870482E-2</v>
      </c>
      <c r="S261" s="3">
        <f t="shared" si="247"/>
        <v>4.3945171781426422E-2</v>
      </c>
      <c r="T261" s="3">
        <f t="shared" si="247"/>
        <v>3.8626923853373567E-2</v>
      </c>
      <c r="U261" s="3">
        <f t="shared" si="247"/>
        <v>1.0633584665362971E-2</v>
      </c>
      <c r="V261" s="3">
        <f t="shared" si="247"/>
        <v>2.6581249497132456E-8</v>
      </c>
      <c r="W261" s="3">
        <f t="shared" si="247"/>
        <v>2.5324004219396516E-64</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6.2079559793872717E-2</v>
      </c>
      <c r="C262" s="3">
        <f t="shared" si="248"/>
        <v>6.2079559793872717E-2</v>
      </c>
      <c r="D262" s="3">
        <f t="shared" si="248"/>
        <v>6.2079559793872717E-2</v>
      </c>
      <c r="E262" s="3">
        <f t="shared" si="248"/>
        <v>6.2079559793872717E-2</v>
      </c>
      <c r="F262" s="3">
        <f t="shared" si="248"/>
        <v>6.207955979387271E-2</v>
      </c>
      <c r="G262" s="3">
        <f t="shared" si="248"/>
        <v>6.2079559793872634E-2</v>
      </c>
      <c r="H262" s="3">
        <f t="shared" si="248"/>
        <v>6.2079559793871919E-2</v>
      </c>
      <c r="I262" s="3">
        <f t="shared" si="248"/>
        <v>6.2079559793864689E-2</v>
      </c>
      <c r="J262" s="3">
        <f t="shared" si="248"/>
        <v>6.2079559793792448E-2</v>
      </c>
      <c r="K262" s="3">
        <f t="shared" si="248"/>
        <v>6.2079559793070074E-2</v>
      </c>
      <c r="L262" s="3">
        <f t="shared" si="248"/>
        <v>6.2079559785846339E-2</v>
      </c>
      <c r="M262" s="3">
        <f t="shared" si="248"/>
        <v>6.2079559713608942E-2</v>
      </c>
      <c r="N262" s="3">
        <f t="shared" si="248"/>
        <v>6.2079558991234955E-2</v>
      </c>
      <c r="O262" s="3">
        <f t="shared" si="248"/>
        <v>6.2079551767495599E-2</v>
      </c>
      <c r="P262" s="3">
        <f t="shared" si="248"/>
        <v>6.2079479530148224E-2</v>
      </c>
      <c r="Q262" s="3">
        <f t="shared" si="248"/>
        <v>6.2078757161297675E-2</v>
      </c>
      <c r="R262" s="3">
        <f t="shared" si="248"/>
        <v>6.207153393508525E-2</v>
      </c>
      <c r="S262" s="3">
        <f t="shared" si="248"/>
        <v>6.1999347882381178E-2</v>
      </c>
      <c r="T262" s="3">
        <f t="shared" si="248"/>
        <v>6.1282088464045877E-2</v>
      </c>
      <c r="U262" s="3">
        <f t="shared" si="248"/>
        <v>5.4550397066939191E-2</v>
      </c>
      <c r="V262" s="3">
        <f t="shared" si="248"/>
        <v>1.703889800020034E-2</v>
      </c>
      <c r="W262" s="3">
        <f t="shared" si="248"/>
        <v>1.5061817220531263E-7</v>
      </c>
      <c r="X262" s="3">
        <f t="shared" si="248"/>
        <v>4.3876913725968141E-58</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0.10578931784531295</v>
      </c>
      <c r="C263" s="3">
        <f t="shared" si="249"/>
        <v>0.10578931784531295</v>
      </c>
      <c r="D263" s="3">
        <f t="shared" si="249"/>
        <v>0.10578931784531295</v>
      </c>
      <c r="E263" s="3">
        <f t="shared" si="249"/>
        <v>0.10578931784531295</v>
      </c>
      <c r="F263" s="3">
        <f t="shared" si="249"/>
        <v>0.10578931784531295</v>
      </c>
      <c r="G263" s="3">
        <f t="shared" si="249"/>
        <v>0.10578931784531294</v>
      </c>
      <c r="H263" s="3">
        <f t="shared" si="249"/>
        <v>0.10578931784531283</v>
      </c>
      <c r="I263" s="3">
        <f t="shared" si="249"/>
        <v>0.10578931784531172</v>
      </c>
      <c r="J263" s="3">
        <f t="shared" si="249"/>
        <v>0.10578931784530061</v>
      </c>
      <c r="K263" s="3">
        <f t="shared" si="249"/>
        <v>0.10578931784518956</v>
      </c>
      <c r="L263" s="3">
        <f t="shared" si="249"/>
        <v>0.10578931784407911</v>
      </c>
      <c r="M263" s="3">
        <f t="shared" si="249"/>
        <v>0.10578931783297454</v>
      </c>
      <c r="N263" s="3">
        <f t="shared" si="249"/>
        <v>0.10578931772192882</v>
      </c>
      <c r="O263" s="3">
        <f t="shared" si="249"/>
        <v>0.10578931661147148</v>
      </c>
      <c r="P263" s="3">
        <f t="shared" si="249"/>
        <v>0.10578930550689883</v>
      </c>
      <c r="Q263" s="3">
        <f t="shared" si="249"/>
        <v>0.10578919446123643</v>
      </c>
      <c r="R263" s="3">
        <f t="shared" si="249"/>
        <v>0.10578808401102342</v>
      </c>
      <c r="S263" s="3">
        <f t="shared" si="249"/>
        <v>0.10577698014996403</v>
      </c>
      <c r="T263" s="3">
        <f t="shared" si="249"/>
        <v>0.10566600562154278</v>
      </c>
      <c r="U263" s="3">
        <f t="shared" si="249"/>
        <v>0.10456264373581362</v>
      </c>
      <c r="V263" s="3">
        <f t="shared" si="249"/>
        <v>9.4143253426870327E-2</v>
      </c>
      <c r="W263" s="3">
        <f t="shared" si="249"/>
        <v>3.2954572073719879E-2</v>
      </c>
      <c r="X263" s="3">
        <f t="shared" si="249"/>
        <v>9.1029134847858246E-7</v>
      </c>
      <c r="Y263" s="3">
        <f t="shared" si="249"/>
        <v>2.354115686693301E-52</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8.5446045134986312E-2</v>
      </c>
      <c r="C264" s="3">
        <f t="shared" si="250"/>
        <v>8.5446045134986312E-2</v>
      </c>
      <c r="D264" s="3">
        <f t="shared" si="250"/>
        <v>8.5446045134986312E-2</v>
      </c>
      <c r="E264" s="3">
        <f t="shared" si="250"/>
        <v>8.5446045134986312E-2</v>
      </c>
      <c r="F264" s="3">
        <f t="shared" si="250"/>
        <v>8.5446045134986312E-2</v>
      </c>
      <c r="G264" s="3">
        <f t="shared" si="250"/>
        <v>8.5446045134986312E-2</v>
      </c>
      <c r="H264" s="3">
        <f t="shared" si="250"/>
        <v>8.5446045134986298E-2</v>
      </c>
      <c r="I264" s="3">
        <f t="shared" si="250"/>
        <v>8.5446045134986229E-2</v>
      </c>
      <c r="J264" s="3">
        <f t="shared" si="250"/>
        <v>8.544604513498541E-2</v>
      </c>
      <c r="K264" s="3">
        <f t="shared" si="250"/>
        <v>8.5446045134977319E-2</v>
      </c>
      <c r="L264" s="3">
        <f t="shared" si="250"/>
        <v>8.5446045134896412E-2</v>
      </c>
      <c r="M264" s="3">
        <f t="shared" si="250"/>
        <v>8.5446045134087323E-2</v>
      </c>
      <c r="N264" s="3">
        <f t="shared" si="250"/>
        <v>8.5446045125996392E-2</v>
      </c>
      <c r="O264" s="3">
        <f t="shared" si="250"/>
        <v>8.5446045045087057E-2</v>
      </c>
      <c r="P264" s="3">
        <f t="shared" si="250"/>
        <v>8.5446044235993737E-2</v>
      </c>
      <c r="Q264" s="3">
        <f t="shared" si="250"/>
        <v>8.5446036145060952E-2</v>
      </c>
      <c r="R264" s="3">
        <f t="shared" si="250"/>
        <v>8.5445955235775306E-2</v>
      </c>
      <c r="S264" s="3">
        <f t="shared" si="250"/>
        <v>8.544514614713257E-2</v>
      </c>
      <c r="T264" s="3">
        <f t="shared" si="250"/>
        <v>8.5437055682062987E-2</v>
      </c>
      <c r="U264" s="3">
        <f t="shared" si="250"/>
        <v>8.535619315239E-2</v>
      </c>
      <c r="V264" s="3">
        <f t="shared" si="250"/>
        <v>8.4551765237926332E-2</v>
      </c>
      <c r="W264" s="3">
        <f t="shared" si="250"/>
        <v>7.6912883664901968E-2</v>
      </c>
      <c r="X264" s="3">
        <f t="shared" si="250"/>
        <v>2.9837556122371031E-2</v>
      </c>
      <c r="Y264" s="3">
        <f t="shared" si="250"/>
        <v>2.3035879224040291E-6</v>
      </c>
      <c r="Z264" s="3">
        <f t="shared" si="250"/>
        <v>1.7330864738060717E-47</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5.8777528752493244E-2</v>
      </c>
      <c r="C265" s="3">
        <f t="shared" si="251"/>
        <v>5.8777528752493244E-2</v>
      </c>
      <c r="D265" s="3">
        <f t="shared" si="251"/>
        <v>5.8777528752493244E-2</v>
      </c>
      <c r="E265" s="3">
        <f t="shared" si="251"/>
        <v>5.8777528752493244E-2</v>
      </c>
      <c r="F265" s="3">
        <f t="shared" si="251"/>
        <v>5.8777528752493244E-2</v>
      </c>
      <c r="G265" s="3">
        <f t="shared" si="251"/>
        <v>5.8777528752493244E-2</v>
      </c>
      <c r="H265" s="3">
        <f t="shared" si="251"/>
        <v>5.8777528752493244E-2</v>
      </c>
      <c r="I265" s="3">
        <f t="shared" si="251"/>
        <v>5.8777528752493237E-2</v>
      </c>
      <c r="J265" s="3">
        <f t="shared" si="251"/>
        <v>5.8777528752493188E-2</v>
      </c>
      <c r="K265" s="3">
        <f t="shared" si="251"/>
        <v>5.8777528752492689E-2</v>
      </c>
      <c r="L265" s="3">
        <f t="shared" si="251"/>
        <v>5.8777528752487665E-2</v>
      </c>
      <c r="M265" s="3">
        <f t="shared" si="251"/>
        <v>5.8777528752437455E-2</v>
      </c>
      <c r="N265" s="3">
        <f t="shared" si="251"/>
        <v>5.8777528751935391E-2</v>
      </c>
      <c r="O265" s="3">
        <f t="shared" si="251"/>
        <v>5.8777528746914685E-2</v>
      </c>
      <c r="P265" s="3">
        <f t="shared" si="251"/>
        <v>5.8777528696707652E-2</v>
      </c>
      <c r="Q265" s="3">
        <f t="shared" si="251"/>
        <v>5.8777528194637309E-2</v>
      </c>
      <c r="R265" s="3">
        <f t="shared" si="251"/>
        <v>5.8777523173934185E-2</v>
      </c>
      <c r="S265" s="3">
        <f t="shared" si="251"/>
        <v>5.877747296692646E-2</v>
      </c>
      <c r="T265" s="3">
        <f t="shared" si="251"/>
        <v>5.8776970899208004E-2</v>
      </c>
      <c r="U265" s="3">
        <f t="shared" si="251"/>
        <v>5.8771950457889362E-2</v>
      </c>
      <c r="V265" s="3">
        <f t="shared" si="251"/>
        <v>5.8721769623844913E-2</v>
      </c>
      <c r="W265" s="3">
        <f t="shared" si="251"/>
        <v>5.8222311762424143E-2</v>
      </c>
      <c r="X265" s="3">
        <f t="shared" si="251"/>
        <v>5.3455519067724791E-2</v>
      </c>
      <c r="Y265" s="3">
        <f t="shared" si="251"/>
        <v>2.275221100645379E-2</v>
      </c>
      <c r="Z265" s="3">
        <f t="shared" si="251"/>
        <v>4.4395010615478321E-6</v>
      </c>
      <c r="AA265" s="3">
        <f t="shared" si="251"/>
        <v>3.5517283206210856E-43</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3.044822143643108E-2</v>
      </c>
      <c r="C266" s="3">
        <f t="shared" si="252"/>
        <v>3.044822143643108E-2</v>
      </c>
      <c r="D266" s="3">
        <f t="shared" si="252"/>
        <v>3.044822143643108E-2</v>
      </c>
      <c r="E266" s="3">
        <f t="shared" si="252"/>
        <v>3.044822143643108E-2</v>
      </c>
      <c r="F266" s="3">
        <f t="shared" si="252"/>
        <v>3.044822143643108E-2</v>
      </c>
      <c r="G266" s="3">
        <f t="shared" si="252"/>
        <v>3.044822143643108E-2</v>
      </c>
      <c r="H266" s="3">
        <f t="shared" si="252"/>
        <v>3.044822143643108E-2</v>
      </c>
      <c r="I266" s="3">
        <f t="shared" si="252"/>
        <v>3.044822143643108E-2</v>
      </c>
      <c r="J266" s="3">
        <f t="shared" si="252"/>
        <v>3.0448221436431076E-2</v>
      </c>
      <c r="K266" s="3">
        <f t="shared" si="252"/>
        <v>3.0448221436431052E-2</v>
      </c>
      <c r="L266" s="3">
        <f t="shared" si="252"/>
        <v>3.044822143643082E-2</v>
      </c>
      <c r="M266" s="3">
        <f t="shared" si="252"/>
        <v>3.0448221436428474E-2</v>
      </c>
      <c r="N266" s="3">
        <f t="shared" si="252"/>
        <v>3.044822143640501E-2</v>
      </c>
      <c r="O266" s="3">
        <f t="shared" si="252"/>
        <v>3.0448221436170396E-2</v>
      </c>
      <c r="P266" s="3">
        <f t="shared" si="252"/>
        <v>3.044822143382421E-2</v>
      </c>
      <c r="Q266" s="3">
        <f t="shared" si="252"/>
        <v>3.0448221410362387E-2</v>
      </c>
      <c r="R266" s="3">
        <f t="shared" si="252"/>
        <v>3.0448221175744153E-2</v>
      </c>
      <c r="S266" s="3">
        <f t="shared" si="252"/>
        <v>3.0448218829561915E-2</v>
      </c>
      <c r="T266" s="3">
        <f t="shared" si="252"/>
        <v>3.0448195367749474E-2</v>
      </c>
      <c r="U266" s="3">
        <f t="shared" si="252"/>
        <v>3.0447960750619393E-2</v>
      </c>
      <c r="V266" s="3">
        <f t="shared" si="252"/>
        <v>3.0445614678746978E-2</v>
      </c>
      <c r="W266" s="3">
        <f t="shared" si="252"/>
        <v>3.0422163900030452E-2</v>
      </c>
      <c r="X266" s="3">
        <f t="shared" si="252"/>
        <v>3.0188647285536073E-2</v>
      </c>
      <c r="Y266" s="3">
        <f t="shared" si="252"/>
        <v>2.7949829847848193E-2</v>
      </c>
      <c r="Z266" s="3">
        <f t="shared" si="252"/>
        <v>1.2934043551820153E-2</v>
      </c>
      <c r="AA266" s="3">
        <f t="shared" si="252"/>
        <v>5.8248644761542788E-6</v>
      </c>
      <c r="AB266" s="3">
        <f t="shared" si="252"/>
        <v>1.9989452022796635E-39</v>
      </c>
      <c r="AC266" s="3">
        <f t="shared" si="252"/>
        <v>0</v>
      </c>
      <c r="AD266" s="3">
        <f t="shared" si="252"/>
        <v>0</v>
      </c>
      <c r="AE266" s="3">
        <f t="shared" si="252"/>
        <v>0</v>
      </c>
      <c r="AF266" s="3">
        <f t="shared" si="252"/>
        <v>0</v>
      </c>
      <c r="AG266" s="3"/>
      <c r="AH266" s="3"/>
    </row>
    <row r="267" spans="2:34" x14ac:dyDescent="0.25">
      <c r="B267" s="3">
        <f t="shared" ref="B267:AF267" si="253">$C36*EXP(-B$246/$A36/EXP(-$E$126))</f>
        <v>1.5917825428886163E-2</v>
      </c>
      <c r="C267" s="3">
        <f t="shared" si="253"/>
        <v>1.5917825428886163E-2</v>
      </c>
      <c r="D267" s="3">
        <f t="shared" si="253"/>
        <v>1.5917825428886163E-2</v>
      </c>
      <c r="E267" s="3">
        <f t="shared" si="253"/>
        <v>1.5917825428886163E-2</v>
      </c>
      <c r="F267" s="3">
        <f t="shared" si="253"/>
        <v>1.5917825428886163E-2</v>
      </c>
      <c r="G267" s="3">
        <f t="shared" si="253"/>
        <v>1.5917825428886163E-2</v>
      </c>
      <c r="H267" s="3">
        <f t="shared" si="253"/>
        <v>1.5917825428886163E-2</v>
      </c>
      <c r="I267" s="3">
        <f t="shared" si="253"/>
        <v>1.5917825428886163E-2</v>
      </c>
      <c r="J267" s="3">
        <f t="shared" si="253"/>
        <v>1.5917825428886163E-2</v>
      </c>
      <c r="K267" s="3">
        <f t="shared" si="253"/>
        <v>1.5917825428886159E-2</v>
      </c>
      <c r="L267" s="3">
        <f t="shared" si="253"/>
        <v>1.5917825428886149E-2</v>
      </c>
      <c r="M267" s="3">
        <f t="shared" si="253"/>
        <v>1.5917825428886038E-2</v>
      </c>
      <c r="N267" s="3">
        <f t="shared" si="253"/>
        <v>1.5917825428884931E-2</v>
      </c>
      <c r="O267" s="3">
        <f t="shared" si="253"/>
        <v>1.5917825428873867E-2</v>
      </c>
      <c r="P267" s="3">
        <f t="shared" si="253"/>
        <v>1.5917825428763226E-2</v>
      </c>
      <c r="Q267" s="3">
        <f t="shared" si="253"/>
        <v>1.5917825427656778E-2</v>
      </c>
      <c r="R267" s="3">
        <f t="shared" si="253"/>
        <v>1.591782541659232E-2</v>
      </c>
      <c r="S267" s="3">
        <f t="shared" si="253"/>
        <v>1.5917825305947736E-2</v>
      </c>
      <c r="T267" s="3">
        <f t="shared" si="253"/>
        <v>1.5917824199501936E-2</v>
      </c>
      <c r="U267" s="3">
        <f t="shared" si="253"/>
        <v>1.5917813135048191E-2</v>
      </c>
      <c r="V267" s="3">
        <f t="shared" si="253"/>
        <v>1.591770249093372E-2</v>
      </c>
      <c r="W267" s="3">
        <f t="shared" si="253"/>
        <v>1.5916596092087686E-2</v>
      </c>
      <c r="X267" s="3">
        <f t="shared" si="253"/>
        <v>1.5905536332408175E-2</v>
      </c>
      <c r="Y267" s="3">
        <f t="shared" si="253"/>
        <v>1.5795360528130499E-2</v>
      </c>
      <c r="Z267" s="3">
        <f t="shared" si="253"/>
        <v>1.4734716818529021E-2</v>
      </c>
      <c r="AA267" s="3">
        <f t="shared" si="253"/>
        <v>7.3529954936837113E-3</v>
      </c>
      <c r="AB267" s="3">
        <f t="shared" si="253"/>
        <v>7.0418920120061203E-6</v>
      </c>
      <c r="AC267" s="3">
        <f t="shared" si="253"/>
        <v>4.5702501455448394E-36</v>
      </c>
      <c r="AD267" s="3">
        <f t="shared" si="253"/>
        <v>0</v>
      </c>
      <c r="AE267" s="3">
        <f t="shared" si="253"/>
        <v>0</v>
      </c>
      <c r="AF267" s="3">
        <f t="shared" si="253"/>
        <v>0</v>
      </c>
      <c r="AG267" s="3"/>
      <c r="AH267" s="3"/>
    </row>
    <row r="268" spans="2:34" x14ac:dyDescent="0.25">
      <c r="B268" s="3">
        <f t="shared" ref="B268:AF268" si="254">$C37*EXP(-B$246/$A37/EXP(-$E$126))</f>
        <v>7.4710107179745602E-3</v>
      </c>
      <c r="C268" s="3">
        <f t="shared" si="254"/>
        <v>7.4710107179745602E-3</v>
      </c>
      <c r="D268" s="3">
        <f t="shared" si="254"/>
        <v>7.4710107179745602E-3</v>
      </c>
      <c r="E268" s="3">
        <f t="shared" si="254"/>
        <v>7.4710107179745602E-3</v>
      </c>
      <c r="F268" s="3">
        <f t="shared" si="254"/>
        <v>7.4710107179745602E-3</v>
      </c>
      <c r="G268" s="3">
        <f t="shared" si="254"/>
        <v>7.4710107179745602E-3</v>
      </c>
      <c r="H268" s="3">
        <f t="shared" si="254"/>
        <v>7.4710107179745602E-3</v>
      </c>
      <c r="I268" s="3">
        <f t="shared" si="254"/>
        <v>7.4710107179745602E-3</v>
      </c>
      <c r="J268" s="3">
        <f t="shared" si="254"/>
        <v>7.4710107179745602E-3</v>
      </c>
      <c r="K268" s="3">
        <f t="shared" si="254"/>
        <v>7.4710107179745602E-3</v>
      </c>
      <c r="L268" s="3">
        <f t="shared" si="254"/>
        <v>7.4710107179745593E-3</v>
      </c>
      <c r="M268" s="3">
        <f t="shared" si="254"/>
        <v>7.471010717974555E-3</v>
      </c>
      <c r="N268" s="3">
        <f t="shared" si="254"/>
        <v>7.4710107179745081E-3</v>
      </c>
      <c r="O268" s="3">
        <f t="shared" si="254"/>
        <v>7.4710107179740389E-3</v>
      </c>
      <c r="P268" s="3">
        <f t="shared" si="254"/>
        <v>7.4710107179693551E-3</v>
      </c>
      <c r="Q268" s="3">
        <f t="shared" si="254"/>
        <v>7.4710107179225089E-3</v>
      </c>
      <c r="R268" s="3">
        <f t="shared" si="254"/>
        <v>7.4710107174540494E-3</v>
      </c>
      <c r="S268" s="3">
        <f t="shared" si="254"/>
        <v>7.4710107127694504E-3</v>
      </c>
      <c r="T268" s="3">
        <f t="shared" si="254"/>
        <v>7.4710106659234667E-3</v>
      </c>
      <c r="U268" s="3">
        <f t="shared" si="254"/>
        <v>7.4710101974636341E-3</v>
      </c>
      <c r="V268" s="3">
        <f t="shared" si="254"/>
        <v>7.4710055128669288E-3</v>
      </c>
      <c r="W268" s="3">
        <f t="shared" si="254"/>
        <v>7.4709586670614362E-3</v>
      </c>
      <c r="X268" s="3">
        <f t="shared" si="254"/>
        <v>7.4704902251618742E-3</v>
      </c>
      <c r="Y268" s="3">
        <f t="shared" si="254"/>
        <v>7.465807421328418E-3</v>
      </c>
      <c r="Z268" s="3">
        <f t="shared" si="254"/>
        <v>7.4191405251143741E-3</v>
      </c>
      <c r="AA268" s="3">
        <f t="shared" si="254"/>
        <v>6.9682181072213585E-3</v>
      </c>
      <c r="AB268" s="3">
        <f t="shared" si="254"/>
        <v>3.7222292919969284E-3</v>
      </c>
      <c r="AC268" s="3">
        <f t="shared" si="254"/>
        <v>7.040718642840376E-6</v>
      </c>
      <c r="AD268" s="3">
        <f t="shared" si="254"/>
        <v>4.1281518243728888E-33</v>
      </c>
      <c r="AE268" s="3">
        <f t="shared" si="254"/>
        <v>1.9821767513093179E-305</v>
      </c>
      <c r="AF268" s="3">
        <f t="shared" si="254"/>
        <v>0</v>
      </c>
      <c r="AG268" s="3"/>
      <c r="AH268" s="3"/>
    </row>
    <row r="269" spans="2:34" x14ac:dyDescent="0.25">
      <c r="B269" s="3">
        <f t="shared" ref="B269:AF269" si="255">$C38*EXP(-B$246/$A38/EXP(-$E$126))</f>
        <v>1.4378472174592341E-3</v>
      </c>
      <c r="C269" s="3">
        <f t="shared" si="255"/>
        <v>1.4378472174592341E-3</v>
      </c>
      <c r="D269" s="3">
        <f t="shared" si="255"/>
        <v>1.4378472174592341E-3</v>
      </c>
      <c r="E269" s="3">
        <f t="shared" si="255"/>
        <v>1.4378472174592341E-3</v>
      </c>
      <c r="F269" s="3">
        <f t="shared" si="255"/>
        <v>1.4378472174592341E-3</v>
      </c>
      <c r="G269" s="3">
        <f t="shared" si="255"/>
        <v>1.4378472174592341E-3</v>
      </c>
      <c r="H269" s="3">
        <f t="shared" si="255"/>
        <v>1.4378472174592341E-3</v>
      </c>
      <c r="I269" s="3">
        <f t="shared" si="255"/>
        <v>1.4378472174592341E-3</v>
      </c>
      <c r="J269" s="3">
        <f t="shared" si="255"/>
        <v>1.4378472174592341E-3</v>
      </c>
      <c r="K269" s="3">
        <f t="shared" si="255"/>
        <v>1.4378472174592341E-3</v>
      </c>
      <c r="L269" s="3">
        <f t="shared" si="255"/>
        <v>1.4378472174592341E-3</v>
      </c>
      <c r="M269" s="3">
        <f t="shared" si="255"/>
        <v>1.4378472174592339E-3</v>
      </c>
      <c r="N269" s="3">
        <f t="shared" si="255"/>
        <v>1.4378472174592333E-3</v>
      </c>
      <c r="O269" s="3">
        <f t="shared" si="255"/>
        <v>1.437847217459225E-3</v>
      </c>
      <c r="P269" s="3">
        <f t="shared" si="255"/>
        <v>1.4378472174591437E-3</v>
      </c>
      <c r="Q269" s="3">
        <f t="shared" si="255"/>
        <v>1.4378472174583303E-3</v>
      </c>
      <c r="R269" s="3">
        <f t="shared" si="255"/>
        <v>1.4378472174501975E-3</v>
      </c>
      <c r="S269" s="3">
        <f t="shared" si="255"/>
        <v>1.4378472173688672E-3</v>
      </c>
      <c r="T269" s="3">
        <f t="shared" si="255"/>
        <v>1.4378472165555642E-3</v>
      </c>
      <c r="U269" s="3">
        <f t="shared" si="255"/>
        <v>1.4378472084225348E-3</v>
      </c>
      <c r="V269" s="3">
        <f t="shared" si="255"/>
        <v>1.4378471270922425E-3</v>
      </c>
      <c r="W269" s="3">
        <f t="shared" si="255"/>
        <v>1.4378463137895731E-3</v>
      </c>
      <c r="X269" s="3">
        <f t="shared" si="255"/>
        <v>1.437838180788182E-3</v>
      </c>
      <c r="Y269" s="3">
        <f t="shared" si="255"/>
        <v>1.437756853304411E-3</v>
      </c>
      <c r="Z269" s="3">
        <f t="shared" si="255"/>
        <v>1.4369438314277504E-3</v>
      </c>
      <c r="AA269" s="3">
        <f t="shared" si="255"/>
        <v>1.4288388559049062E-3</v>
      </c>
      <c r="AB269" s="3">
        <f t="shared" si="255"/>
        <v>1.350261384151775E-3</v>
      </c>
      <c r="AC269" s="3">
        <f t="shared" si="255"/>
        <v>7.669442638883222E-4</v>
      </c>
      <c r="AD269" s="3">
        <f t="shared" si="255"/>
        <v>2.6805466180587768E-6</v>
      </c>
      <c r="AE269" s="3">
        <f t="shared" si="255"/>
        <v>7.2915351508699733E-31</v>
      </c>
      <c r="AF269" s="3">
        <f t="shared" si="255"/>
        <v>1.617242202901869E-276</v>
      </c>
      <c r="AG269" s="3"/>
      <c r="AH269" s="3"/>
    </row>
    <row r="270" spans="2:34" x14ac:dyDescent="0.25">
      <c r="B270" s="3">
        <f t="shared" ref="B270:AF270" si="256">$C39*EXP(-B$246/$A39/EXP(-$E$126))</f>
        <v>4.7686363858368023E-3</v>
      </c>
      <c r="C270" s="3">
        <f t="shared" si="256"/>
        <v>4.7686363858368023E-3</v>
      </c>
      <c r="D270" s="3">
        <f t="shared" si="256"/>
        <v>4.7686363858368023E-3</v>
      </c>
      <c r="E270" s="3">
        <f t="shared" si="256"/>
        <v>4.7686363858368023E-3</v>
      </c>
      <c r="F270" s="3">
        <f t="shared" si="256"/>
        <v>4.7686363858368023E-3</v>
      </c>
      <c r="G270" s="3">
        <f t="shared" si="256"/>
        <v>4.7686363858368023E-3</v>
      </c>
      <c r="H270" s="3">
        <f t="shared" si="256"/>
        <v>4.7686363858368023E-3</v>
      </c>
      <c r="I270" s="3">
        <f t="shared" si="256"/>
        <v>4.7686363858368023E-3</v>
      </c>
      <c r="J270" s="3">
        <f t="shared" si="256"/>
        <v>4.7686363858368023E-3</v>
      </c>
      <c r="K270" s="3">
        <f t="shared" si="256"/>
        <v>4.7686363858368023E-3</v>
      </c>
      <c r="L270" s="3">
        <f t="shared" si="256"/>
        <v>4.7686363858368023E-3</v>
      </c>
      <c r="M270" s="3">
        <f t="shared" si="256"/>
        <v>4.7686363858368023E-3</v>
      </c>
      <c r="N270" s="3">
        <f t="shared" si="256"/>
        <v>4.7686363858368015E-3</v>
      </c>
      <c r="O270" s="3">
        <f t="shared" si="256"/>
        <v>4.7686363858367936E-3</v>
      </c>
      <c r="P270" s="3">
        <f t="shared" si="256"/>
        <v>4.7686363858367191E-3</v>
      </c>
      <c r="Q270" s="3">
        <f t="shared" si="256"/>
        <v>4.7686363858359731E-3</v>
      </c>
      <c r="R270" s="3">
        <f t="shared" si="256"/>
        <v>4.7686363858285129E-3</v>
      </c>
      <c r="S270" s="3">
        <f t="shared" si="256"/>
        <v>4.768636385753912E-3</v>
      </c>
      <c r="T270" s="3">
        <f t="shared" si="256"/>
        <v>4.7686363850078985E-3</v>
      </c>
      <c r="U270" s="3">
        <f t="shared" si="256"/>
        <v>4.7686363775477636E-3</v>
      </c>
      <c r="V270" s="3">
        <f t="shared" si="256"/>
        <v>4.7686363029464159E-3</v>
      </c>
      <c r="W270" s="3">
        <f t="shared" si="256"/>
        <v>4.7686355569330043E-3</v>
      </c>
      <c r="X270" s="3">
        <f t="shared" si="256"/>
        <v>4.7686280968053107E-3</v>
      </c>
      <c r="Y270" s="3">
        <f t="shared" si="256"/>
        <v>4.7685534961702586E-3</v>
      </c>
      <c r="Z270" s="3">
        <f t="shared" si="256"/>
        <v>4.7678075540047854E-3</v>
      </c>
      <c r="AA270" s="3">
        <f t="shared" si="256"/>
        <v>4.7603545471416406E-3</v>
      </c>
      <c r="AB270" s="3">
        <f t="shared" si="256"/>
        <v>4.6864622600548819E-3</v>
      </c>
      <c r="AC270" s="3">
        <f t="shared" si="256"/>
        <v>4.0077753158519608E-3</v>
      </c>
      <c r="AD270" s="3">
        <f t="shared" si="256"/>
        <v>8.3846663781688259E-4</v>
      </c>
      <c r="AE270" s="3">
        <f t="shared" si="256"/>
        <v>1.3468213588529542E-10</v>
      </c>
      <c r="AF270" s="3">
        <f t="shared" si="256"/>
        <v>1.5401111929556972E-78</v>
      </c>
      <c r="AG270" s="3"/>
      <c r="AH270" s="3"/>
    </row>
    <row r="271" spans="2:34" x14ac:dyDescent="0.25">
      <c r="B271" s="3">
        <f t="shared" ref="B271:AF271" si="257">$C40*EXP(-B$246/$A40/EXP(-$E$126))</f>
        <v>0</v>
      </c>
      <c r="C271" s="3">
        <f t="shared" si="257"/>
        <v>0</v>
      </c>
      <c r="D271" s="3">
        <f t="shared" si="257"/>
        <v>0</v>
      </c>
      <c r="E271" s="3">
        <f t="shared" si="257"/>
        <v>0</v>
      </c>
      <c r="F271" s="3">
        <f t="shared" si="257"/>
        <v>0</v>
      </c>
      <c r="G271" s="3">
        <f t="shared" si="257"/>
        <v>0</v>
      </c>
      <c r="H271" s="3">
        <f t="shared" si="257"/>
        <v>0</v>
      </c>
      <c r="I271" s="3">
        <f t="shared" si="257"/>
        <v>0</v>
      </c>
      <c r="J271" s="3">
        <f t="shared" si="257"/>
        <v>0</v>
      </c>
      <c r="K271" s="3">
        <f t="shared" si="257"/>
        <v>0</v>
      </c>
      <c r="L271" s="3">
        <f t="shared" si="257"/>
        <v>0</v>
      </c>
      <c r="M271" s="3">
        <f t="shared" si="257"/>
        <v>0</v>
      </c>
      <c r="N271" s="3">
        <f t="shared" si="257"/>
        <v>0</v>
      </c>
      <c r="O271" s="3">
        <f t="shared" si="257"/>
        <v>0</v>
      </c>
      <c r="P271" s="3">
        <f t="shared" si="257"/>
        <v>0</v>
      </c>
      <c r="Q271" s="3">
        <f t="shared" si="257"/>
        <v>0</v>
      </c>
      <c r="R271" s="3">
        <f t="shared" si="257"/>
        <v>0</v>
      </c>
      <c r="S271" s="3">
        <f t="shared" si="257"/>
        <v>0</v>
      </c>
      <c r="T271" s="3">
        <f t="shared" si="257"/>
        <v>0</v>
      </c>
      <c r="U271" s="3">
        <f t="shared" si="257"/>
        <v>0</v>
      </c>
      <c r="V271" s="3">
        <f t="shared" si="257"/>
        <v>0</v>
      </c>
      <c r="W271" s="3">
        <f t="shared" si="257"/>
        <v>0</v>
      </c>
      <c r="X271" s="3">
        <f t="shared" si="257"/>
        <v>0</v>
      </c>
      <c r="Y271" s="3">
        <f t="shared" si="257"/>
        <v>0</v>
      </c>
      <c r="Z271" s="3">
        <f t="shared" si="257"/>
        <v>0</v>
      </c>
      <c r="AA271" s="3">
        <f t="shared" si="257"/>
        <v>0</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2.0950739363465548E-3</v>
      </c>
      <c r="C272" s="3">
        <f t="shared" si="258"/>
        <v>2.0950739363465548E-3</v>
      </c>
      <c r="D272" s="3">
        <f t="shared" si="258"/>
        <v>2.0950739363465548E-3</v>
      </c>
      <c r="E272" s="3">
        <f t="shared" si="258"/>
        <v>2.0950739363465548E-3</v>
      </c>
      <c r="F272" s="3">
        <f t="shared" si="258"/>
        <v>2.0950739363465548E-3</v>
      </c>
      <c r="G272" s="3">
        <f t="shared" si="258"/>
        <v>2.0950739363465548E-3</v>
      </c>
      <c r="H272" s="3">
        <f t="shared" si="258"/>
        <v>2.0950739363465548E-3</v>
      </c>
      <c r="I272" s="3">
        <f t="shared" si="258"/>
        <v>2.0950739363465548E-3</v>
      </c>
      <c r="J272" s="3">
        <f t="shared" si="258"/>
        <v>2.0950739363465548E-3</v>
      </c>
      <c r="K272" s="3">
        <f t="shared" si="258"/>
        <v>2.0950739363465548E-3</v>
      </c>
      <c r="L272" s="3">
        <f t="shared" si="258"/>
        <v>2.0950739363465548E-3</v>
      </c>
      <c r="M272" s="3">
        <f t="shared" si="258"/>
        <v>2.0950739363465548E-3</v>
      </c>
      <c r="N272" s="3">
        <f t="shared" si="258"/>
        <v>2.0950739363465548E-3</v>
      </c>
      <c r="O272" s="3">
        <f t="shared" si="258"/>
        <v>2.0950739363465548E-3</v>
      </c>
      <c r="P272" s="3">
        <f t="shared" si="258"/>
        <v>2.0950739363465544E-3</v>
      </c>
      <c r="Q272" s="3">
        <f t="shared" si="258"/>
        <v>2.0950739363465509E-3</v>
      </c>
      <c r="R272" s="3">
        <f t="shared" si="258"/>
        <v>2.0950739363465184E-3</v>
      </c>
      <c r="S272" s="3">
        <f t="shared" si="258"/>
        <v>2.0950739363461905E-3</v>
      </c>
      <c r="T272" s="3">
        <f t="shared" si="258"/>
        <v>2.0950739363429132E-3</v>
      </c>
      <c r="U272" s="3">
        <f t="shared" si="258"/>
        <v>2.0950739363101373E-3</v>
      </c>
      <c r="V272" s="3">
        <f t="shared" si="258"/>
        <v>2.0950739359823804E-3</v>
      </c>
      <c r="W272" s="3">
        <f t="shared" si="258"/>
        <v>2.0950739327048116E-3</v>
      </c>
      <c r="X272" s="3">
        <f t="shared" si="258"/>
        <v>2.0950738999291237E-3</v>
      </c>
      <c r="Y272" s="3">
        <f t="shared" si="258"/>
        <v>2.0950735721722707E-3</v>
      </c>
      <c r="Z272" s="3">
        <f t="shared" si="258"/>
        <v>2.0950702946065623E-3</v>
      </c>
      <c r="AA272" s="3">
        <f t="shared" si="258"/>
        <v>2.0950375192314891E-3</v>
      </c>
      <c r="AB272" s="3">
        <f t="shared" si="258"/>
        <v>2.094709793680104E-3</v>
      </c>
      <c r="AC272" s="3">
        <f t="shared" si="258"/>
        <v>2.0914353564693402E-3</v>
      </c>
      <c r="AD272" s="3">
        <f t="shared" si="258"/>
        <v>2.0589711901444971E-3</v>
      </c>
      <c r="AE272" s="3">
        <f t="shared" si="258"/>
        <v>1.7607938470446175E-3</v>
      </c>
      <c r="AF272" s="3">
        <f t="shared" si="258"/>
        <v>3.683756649183097E-4</v>
      </c>
      <c r="AG272" s="3"/>
      <c r="AH272" s="3"/>
    </row>
    <row r="273" spans="1:34" x14ac:dyDescent="0.25">
      <c r="B273" s="3">
        <f t="shared" ref="B273:AF273" si="259">$C42*EXP(-B$246/$A42/EXP(-$E$126))</f>
        <v>1.9210885084110967E-3</v>
      </c>
      <c r="C273" s="3">
        <f t="shared" si="259"/>
        <v>1.9210885084110967E-3</v>
      </c>
      <c r="D273" s="3">
        <f t="shared" si="259"/>
        <v>1.9210885084110967E-3</v>
      </c>
      <c r="E273" s="3">
        <f t="shared" si="259"/>
        <v>1.9210885084110967E-3</v>
      </c>
      <c r="F273" s="3">
        <f t="shared" si="259"/>
        <v>1.9210885084110967E-3</v>
      </c>
      <c r="G273" s="3">
        <f t="shared" si="259"/>
        <v>1.9210885084110967E-3</v>
      </c>
      <c r="H273" s="3">
        <f t="shared" si="259"/>
        <v>1.9210885084110967E-3</v>
      </c>
      <c r="I273" s="3">
        <f t="shared" si="259"/>
        <v>1.9210885084110967E-3</v>
      </c>
      <c r="J273" s="3">
        <f t="shared" si="259"/>
        <v>1.9210885084110967E-3</v>
      </c>
      <c r="K273" s="3">
        <f t="shared" si="259"/>
        <v>1.9210885084110967E-3</v>
      </c>
      <c r="L273" s="3">
        <f t="shared" si="259"/>
        <v>1.9210885084110967E-3</v>
      </c>
      <c r="M273" s="3">
        <f t="shared" si="259"/>
        <v>1.9210885084110967E-3</v>
      </c>
      <c r="N273" s="3">
        <f t="shared" si="259"/>
        <v>1.9210885084110967E-3</v>
      </c>
      <c r="O273" s="3">
        <f t="shared" si="259"/>
        <v>1.9210885084110967E-3</v>
      </c>
      <c r="P273" s="3">
        <f t="shared" si="259"/>
        <v>1.9210885084110967E-3</v>
      </c>
      <c r="Q273" s="3">
        <f t="shared" si="259"/>
        <v>1.9210885084110963E-3</v>
      </c>
      <c r="R273" s="3">
        <f t="shared" si="259"/>
        <v>1.9210885084110932E-3</v>
      </c>
      <c r="S273" s="3">
        <f t="shared" si="259"/>
        <v>1.9210885084110633E-3</v>
      </c>
      <c r="T273" s="3">
        <f t="shared" si="259"/>
        <v>1.9210885084107628E-3</v>
      </c>
      <c r="U273" s="3">
        <f t="shared" si="259"/>
        <v>1.9210885084077573E-3</v>
      </c>
      <c r="V273" s="3">
        <f t="shared" si="259"/>
        <v>1.9210885083777035E-3</v>
      </c>
      <c r="W273" s="3">
        <f t="shared" si="259"/>
        <v>1.9210885080771652E-3</v>
      </c>
      <c r="X273" s="3">
        <f t="shared" si="259"/>
        <v>1.9210885050717822E-3</v>
      </c>
      <c r="Y273" s="3">
        <f t="shared" si="259"/>
        <v>1.9210884750179512E-3</v>
      </c>
      <c r="Z273" s="3">
        <f t="shared" si="259"/>
        <v>1.9210881744796682E-3</v>
      </c>
      <c r="AA273" s="3">
        <f t="shared" si="259"/>
        <v>1.9210851690994242E-3</v>
      </c>
      <c r="AB273" s="3">
        <f t="shared" si="259"/>
        <v>1.9210551155555758E-3</v>
      </c>
      <c r="AC273" s="3">
        <f t="shared" si="259"/>
        <v>1.9207546059746218E-3</v>
      </c>
      <c r="AD273" s="3">
        <f t="shared" si="259"/>
        <v>1.9177520944221747E-3</v>
      </c>
      <c r="AE273" s="3">
        <f t="shared" si="259"/>
        <v>1.8879839149895388E-3</v>
      </c>
      <c r="AF273" s="3">
        <f t="shared" si="259"/>
        <v>1.6145687111821549E-3</v>
      </c>
      <c r="AG273" s="3"/>
      <c r="AH273" s="3"/>
    </row>
    <row r="274" spans="1:34" x14ac:dyDescent="0.25">
      <c r="B274" s="3">
        <f t="shared" ref="B274:AF274" si="260">$C43*EXP(-B$246/$A43/EXP(-$E$126))</f>
        <v>0</v>
      </c>
      <c r="C274" s="3">
        <f t="shared" si="260"/>
        <v>0</v>
      </c>
      <c r="D274" s="3">
        <f t="shared" si="260"/>
        <v>0</v>
      </c>
      <c r="E274" s="3">
        <f t="shared" si="260"/>
        <v>0</v>
      </c>
      <c r="F274" s="3">
        <f t="shared" si="260"/>
        <v>0</v>
      </c>
      <c r="G274" s="3">
        <f t="shared" si="260"/>
        <v>0</v>
      </c>
      <c r="H274" s="3">
        <f t="shared" si="260"/>
        <v>0</v>
      </c>
      <c r="I274" s="3">
        <f t="shared" si="260"/>
        <v>0</v>
      </c>
      <c r="J274" s="3">
        <f t="shared" si="260"/>
        <v>0</v>
      </c>
      <c r="K274" s="3">
        <f t="shared" si="260"/>
        <v>0</v>
      </c>
      <c r="L274" s="3">
        <f t="shared" si="260"/>
        <v>0</v>
      </c>
      <c r="M274" s="3">
        <f t="shared" si="260"/>
        <v>0</v>
      </c>
      <c r="N274" s="3">
        <f t="shared" si="260"/>
        <v>0</v>
      </c>
      <c r="O274" s="3">
        <f t="shared" si="260"/>
        <v>0</v>
      </c>
      <c r="P274" s="3">
        <f t="shared" si="260"/>
        <v>0</v>
      </c>
      <c r="Q274" s="3">
        <f t="shared" si="260"/>
        <v>0</v>
      </c>
      <c r="R274" s="3">
        <f t="shared" si="260"/>
        <v>0</v>
      </c>
      <c r="S274" s="3">
        <f t="shared" si="260"/>
        <v>0</v>
      </c>
      <c r="T274" s="3">
        <f t="shared" si="260"/>
        <v>0</v>
      </c>
      <c r="U274" s="3">
        <f t="shared" si="260"/>
        <v>0</v>
      </c>
      <c r="V274" s="3">
        <f t="shared" si="260"/>
        <v>0</v>
      </c>
      <c r="W274" s="3">
        <f t="shared" si="260"/>
        <v>0</v>
      </c>
      <c r="X274" s="3">
        <f t="shared" si="260"/>
        <v>0</v>
      </c>
      <c r="Y274" s="3">
        <f t="shared" si="260"/>
        <v>0</v>
      </c>
      <c r="Z274" s="3">
        <f t="shared" si="260"/>
        <v>0</v>
      </c>
      <c r="AA274" s="3">
        <f t="shared" si="260"/>
        <v>0</v>
      </c>
      <c r="AB274" s="3">
        <f t="shared" si="260"/>
        <v>0</v>
      </c>
      <c r="AC274" s="3">
        <f t="shared" si="260"/>
        <v>0</v>
      </c>
      <c r="AD274" s="3">
        <f t="shared" si="260"/>
        <v>0</v>
      </c>
      <c r="AE274" s="3">
        <f t="shared" si="260"/>
        <v>0</v>
      </c>
      <c r="AF274" s="3">
        <f t="shared" si="260"/>
        <v>0</v>
      </c>
      <c r="AG274" s="3"/>
      <c r="AH274" s="3"/>
    </row>
    <row r="275" spans="1:34" x14ac:dyDescent="0.25">
      <c r="B275" s="3">
        <f t="shared" ref="B275:AF275" si="261">$C44*EXP(-B$246/$A44/EXP(-$E$126))</f>
        <v>4.6732387958302481E-4</v>
      </c>
      <c r="C275" s="3">
        <f t="shared" si="261"/>
        <v>4.6732387958302481E-4</v>
      </c>
      <c r="D275" s="3">
        <f t="shared" si="261"/>
        <v>4.6732387958302481E-4</v>
      </c>
      <c r="E275" s="3">
        <f t="shared" si="261"/>
        <v>4.6732387958302481E-4</v>
      </c>
      <c r="F275" s="3">
        <f t="shared" si="261"/>
        <v>4.6732387958302481E-4</v>
      </c>
      <c r="G275" s="3">
        <f t="shared" si="261"/>
        <v>4.6732387958302481E-4</v>
      </c>
      <c r="H275" s="3">
        <f t="shared" si="261"/>
        <v>4.6732387958302481E-4</v>
      </c>
      <c r="I275" s="3">
        <f t="shared" si="261"/>
        <v>4.6732387958302481E-4</v>
      </c>
      <c r="J275" s="3">
        <f t="shared" si="261"/>
        <v>4.6732387958302481E-4</v>
      </c>
      <c r="K275" s="3">
        <f t="shared" si="261"/>
        <v>4.6732387958302481E-4</v>
      </c>
      <c r="L275" s="3">
        <f t="shared" si="261"/>
        <v>4.6732387958302481E-4</v>
      </c>
      <c r="M275" s="3">
        <f t="shared" si="261"/>
        <v>4.6732387958302481E-4</v>
      </c>
      <c r="N275" s="3">
        <f t="shared" si="261"/>
        <v>4.6732387958302481E-4</v>
      </c>
      <c r="O275" s="3">
        <f t="shared" si="261"/>
        <v>4.6732387958302481E-4</v>
      </c>
      <c r="P275" s="3">
        <f t="shared" si="261"/>
        <v>4.6732387958302481E-4</v>
      </c>
      <c r="Q275" s="3">
        <f t="shared" si="261"/>
        <v>4.6732387958302481E-4</v>
      </c>
      <c r="R275" s="3">
        <f t="shared" si="261"/>
        <v>4.6732387958302481E-4</v>
      </c>
      <c r="S275" s="3">
        <f t="shared" si="261"/>
        <v>4.673238795830247E-4</v>
      </c>
      <c r="T275" s="3">
        <f t="shared" si="261"/>
        <v>4.6732387958302399E-4</v>
      </c>
      <c r="U275" s="3">
        <f t="shared" si="261"/>
        <v>4.6732387958301668E-4</v>
      </c>
      <c r="V275" s="3">
        <f t="shared" si="261"/>
        <v>4.6732387958294355E-4</v>
      </c>
      <c r="W275" s="3">
        <f t="shared" si="261"/>
        <v>4.6732387958221247E-4</v>
      </c>
      <c r="X275" s="3">
        <f t="shared" si="261"/>
        <v>4.6732387957490159E-4</v>
      </c>
      <c r="Y275" s="3">
        <f t="shared" si="261"/>
        <v>4.6732387950179269E-4</v>
      </c>
      <c r="Z275" s="3">
        <f t="shared" si="261"/>
        <v>4.6732387877070335E-4</v>
      </c>
      <c r="AA275" s="3">
        <f t="shared" si="261"/>
        <v>4.673238714598102E-4</v>
      </c>
      <c r="AB275" s="3">
        <f t="shared" si="261"/>
        <v>4.6732379835088482E-4</v>
      </c>
      <c r="AC275" s="3">
        <f t="shared" si="261"/>
        <v>4.6732306726226028E-4</v>
      </c>
      <c r="AD275" s="3">
        <f t="shared" si="261"/>
        <v>4.6731575643891974E-4</v>
      </c>
      <c r="AE275" s="3">
        <f t="shared" si="261"/>
        <v>4.6724265449561605E-4</v>
      </c>
      <c r="AF275" s="3">
        <f t="shared" si="261"/>
        <v>4.6651226370880998E-4</v>
      </c>
      <c r="AG275" s="3"/>
      <c r="AH275" s="3"/>
    </row>
    <row r="276" spans="1:34" x14ac:dyDescent="0.25">
      <c r="B276" s="3">
        <f t="shared" ref="B276:AF276" si="262">$C45*EXP(-B$246/$A45/EXP(-$E$126))</f>
        <v>0</v>
      </c>
      <c r="C276" s="3">
        <f t="shared" si="262"/>
        <v>0</v>
      </c>
      <c r="D276" s="3">
        <f t="shared" si="262"/>
        <v>0</v>
      </c>
      <c r="E276" s="3">
        <f t="shared" si="262"/>
        <v>0</v>
      </c>
      <c r="F276" s="3">
        <f t="shared" si="262"/>
        <v>0</v>
      </c>
      <c r="G276" s="3">
        <f t="shared" si="262"/>
        <v>0</v>
      </c>
      <c r="H276" s="3">
        <f t="shared" si="262"/>
        <v>0</v>
      </c>
      <c r="I276" s="3">
        <f t="shared" si="262"/>
        <v>0</v>
      </c>
      <c r="J276" s="3">
        <f t="shared" si="262"/>
        <v>0</v>
      </c>
      <c r="K276" s="3">
        <f t="shared" si="262"/>
        <v>0</v>
      </c>
      <c r="L276" s="3">
        <f t="shared" si="262"/>
        <v>0</v>
      </c>
      <c r="M276" s="3">
        <f t="shared" si="262"/>
        <v>0</v>
      </c>
      <c r="N276" s="3">
        <f t="shared" si="262"/>
        <v>0</v>
      </c>
      <c r="O276" s="3">
        <f t="shared" si="262"/>
        <v>0</v>
      </c>
      <c r="P276" s="3">
        <f t="shared" si="262"/>
        <v>0</v>
      </c>
      <c r="Q276" s="3">
        <f t="shared" si="262"/>
        <v>0</v>
      </c>
      <c r="R276" s="3">
        <f t="shared" si="262"/>
        <v>0</v>
      </c>
      <c r="S276" s="3">
        <f t="shared" si="262"/>
        <v>0</v>
      </c>
      <c r="T276" s="3">
        <f t="shared" si="262"/>
        <v>0</v>
      </c>
      <c r="U276" s="3">
        <f t="shared" si="262"/>
        <v>0</v>
      </c>
      <c r="V276" s="3">
        <f t="shared" si="262"/>
        <v>0</v>
      </c>
      <c r="W276" s="3">
        <f t="shared" si="262"/>
        <v>0</v>
      </c>
      <c r="X276" s="3">
        <f t="shared" si="262"/>
        <v>0</v>
      </c>
      <c r="Y276" s="3">
        <f t="shared" si="262"/>
        <v>0</v>
      </c>
      <c r="Z276" s="3">
        <f t="shared" si="262"/>
        <v>0</v>
      </c>
      <c r="AA276" s="3">
        <f t="shared" si="262"/>
        <v>0</v>
      </c>
      <c r="AB276" s="3">
        <f t="shared" si="262"/>
        <v>0</v>
      </c>
      <c r="AC276" s="3">
        <f t="shared" si="262"/>
        <v>0</v>
      </c>
      <c r="AD276" s="3">
        <f t="shared" si="262"/>
        <v>0</v>
      </c>
      <c r="AE276" s="3">
        <f t="shared" si="262"/>
        <v>0</v>
      </c>
      <c r="AF276" s="3">
        <f t="shared" si="262"/>
        <v>0</v>
      </c>
      <c r="AG276" s="3"/>
      <c r="AH276" s="3"/>
    </row>
    <row r="277" spans="1:34" x14ac:dyDescent="0.25">
      <c r="B277" s="3">
        <f t="shared" ref="B277:AF277" si="263">$C46*EXP(-B$246/$A46/EXP(-$E$126))</f>
        <v>1.2351806616485092E-4</v>
      </c>
      <c r="C277" s="3">
        <f t="shared" si="263"/>
        <v>1.2351806616485092E-4</v>
      </c>
      <c r="D277" s="3">
        <f t="shared" si="263"/>
        <v>1.2351806616485092E-4</v>
      </c>
      <c r="E277" s="3">
        <f t="shared" si="263"/>
        <v>1.2351806616485092E-4</v>
      </c>
      <c r="F277" s="3">
        <f t="shared" si="263"/>
        <v>1.2351806616485092E-4</v>
      </c>
      <c r="G277" s="3">
        <f t="shared" si="263"/>
        <v>1.2351806616485092E-4</v>
      </c>
      <c r="H277" s="3">
        <f t="shared" si="263"/>
        <v>1.2351806616485092E-4</v>
      </c>
      <c r="I277" s="3">
        <f t="shared" si="263"/>
        <v>1.2351806616485092E-4</v>
      </c>
      <c r="J277" s="3">
        <f t="shared" si="263"/>
        <v>1.2351806616485092E-4</v>
      </c>
      <c r="K277" s="3">
        <f t="shared" si="263"/>
        <v>1.2351806616485092E-4</v>
      </c>
      <c r="L277" s="3">
        <f t="shared" si="263"/>
        <v>1.2351806616485092E-4</v>
      </c>
      <c r="M277" s="3">
        <f t="shared" si="263"/>
        <v>1.2351806616485092E-4</v>
      </c>
      <c r="N277" s="3">
        <f t="shared" si="263"/>
        <v>1.2351806616485092E-4</v>
      </c>
      <c r="O277" s="3">
        <f t="shared" si="263"/>
        <v>1.2351806616485092E-4</v>
      </c>
      <c r="P277" s="3">
        <f t="shared" si="263"/>
        <v>1.2351806616485092E-4</v>
      </c>
      <c r="Q277" s="3">
        <f t="shared" si="263"/>
        <v>1.2351806616485092E-4</v>
      </c>
      <c r="R277" s="3">
        <f t="shared" si="263"/>
        <v>1.2351806616485092E-4</v>
      </c>
      <c r="S277" s="3">
        <f t="shared" si="263"/>
        <v>1.2351806616485092E-4</v>
      </c>
      <c r="T277" s="3">
        <f t="shared" si="263"/>
        <v>1.2351806616485092E-4</v>
      </c>
      <c r="U277" s="3">
        <f t="shared" si="263"/>
        <v>1.2351806616485089E-4</v>
      </c>
      <c r="V277" s="3">
        <f t="shared" si="263"/>
        <v>1.235180661648507E-4</v>
      </c>
      <c r="W277" s="3">
        <f t="shared" si="263"/>
        <v>1.2351806616484878E-4</v>
      </c>
      <c r="X277" s="3">
        <f t="shared" si="263"/>
        <v>1.2351806616482945E-4</v>
      </c>
      <c r="Y277" s="3">
        <f t="shared" si="263"/>
        <v>1.2351806616463622E-4</v>
      </c>
      <c r="Z277" s="3">
        <f t="shared" si="263"/>
        <v>1.2351806616270387E-4</v>
      </c>
      <c r="AA277" s="3">
        <f t="shared" si="263"/>
        <v>1.2351806614338052E-4</v>
      </c>
      <c r="AB277" s="3">
        <f t="shared" si="263"/>
        <v>1.2351806595014677E-4</v>
      </c>
      <c r="AC277" s="3">
        <f t="shared" si="263"/>
        <v>1.2351806401780942E-4</v>
      </c>
      <c r="AD277" s="3">
        <f t="shared" si="263"/>
        <v>1.2351804469443761E-4</v>
      </c>
      <c r="AE277" s="3">
        <f t="shared" si="263"/>
        <v>1.2351785146088581E-4</v>
      </c>
      <c r="AF277" s="3">
        <f t="shared" si="263"/>
        <v>1.2351591914199403E-4</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1.0347942973527732E-3</v>
      </c>
      <c r="C279" s="3">
        <f t="shared" si="265"/>
        <v>1.0347942973527732E-3</v>
      </c>
      <c r="D279" s="3">
        <f t="shared" si="265"/>
        <v>1.0347942973527732E-3</v>
      </c>
      <c r="E279" s="3">
        <f t="shared" si="265"/>
        <v>1.0347942973527732E-3</v>
      </c>
      <c r="F279" s="3">
        <f t="shared" si="265"/>
        <v>1.0347942973527732E-3</v>
      </c>
      <c r="G279" s="3">
        <f t="shared" si="265"/>
        <v>1.0347942973527732E-3</v>
      </c>
      <c r="H279" s="3">
        <f t="shared" si="265"/>
        <v>1.0347942973527732E-3</v>
      </c>
      <c r="I279" s="3">
        <f t="shared" si="265"/>
        <v>1.0347942973527732E-3</v>
      </c>
      <c r="J279" s="3">
        <f t="shared" si="265"/>
        <v>1.0347942973527732E-3</v>
      </c>
      <c r="K279" s="3">
        <f t="shared" si="265"/>
        <v>1.0347942973527732E-3</v>
      </c>
      <c r="L279" s="3">
        <f t="shared" si="265"/>
        <v>1.0347942973527732E-3</v>
      </c>
      <c r="M279" s="3">
        <f t="shared" si="265"/>
        <v>1.0347942973527732E-3</v>
      </c>
      <c r="N279" s="3">
        <f t="shared" si="265"/>
        <v>1.0347942973527732E-3</v>
      </c>
      <c r="O279" s="3">
        <f t="shared" si="265"/>
        <v>1.0347942973527732E-3</v>
      </c>
      <c r="P279" s="3">
        <f t="shared" si="265"/>
        <v>1.0347942973527732E-3</v>
      </c>
      <c r="Q279" s="3">
        <f t="shared" si="265"/>
        <v>1.0347942973527732E-3</v>
      </c>
      <c r="R279" s="3">
        <f t="shared" si="265"/>
        <v>1.0347942973527732E-3</v>
      </c>
      <c r="S279" s="3">
        <f t="shared" si="265"/>
        <v>1.0347942973527732E-3</v>
      </c>
      <c r="T279" s="3">
        <f t="shared" si="265"/>
        <v>1.0347942973527732E-3</v>
      </c>
      <c r="U279" s="3">
        <f t="shared" si="265"/>
        <v>1.0347942973527732E-3</v>
      </c>
      <c r="V279" s="3">
        <f t="shared" si="265"/>
        <v>1.0347942973527732E-3</v>
      </c>
      <c r="W279" s="3">
        <f t="shared" si="265"/>
        <v>1.034794297352773E-3</v>
      </c>
      <c r="X279" s="3">
        <f t="shared" si="265"/>
        <v>1.0347942973527714E-3</v>
      </c>
      <c r="Y279" s="3">
        <f t="shared" si="265"/>
        <v>1.0347942973527552E-3</v>
      </c>
      <c r="Z279" s="3">
        <f t="shared" si="265"/>
        <v>1.0347942973525932E-3</v>
      </c>
      <c r="AA279" s="3">
        <f t="shared" si="265"/>
        <v>1.0347942973509745E-3</v>
      </c>
      <c r="AB279" s="3">
        <f t="shared" si="265"/>
        <v>1.034794297334786E-3</v>
      </c>
      <c r="AC279" s="3">
        <f t="shared" si="265"/>
        <v>1.034794297172901E-3</v>
      </c>
      <c r="AD279" s="3">
        <f t="shared" si="265"/>
        <v>1.0347942955540514E-3</v>
      </c>
      <c r="AE279" s="3">
        <f t="shared" si="265"/>
        <v>1.0347942793655558E-3</v>
      </c>
      <c r="AF279" s="3">
        <f t="shared" si="265"/>
        <v>1.0347941174806139E-3</v>
      </c>
      <c r="AG279" s="3"/>
      <c r="AH279" s="3"/>
    </row>
    <row r="280" spans="1:34" x14ac:dyDescent="0.25">
      <c r="A280" s="79">
        <f>AVERAGE(B280:AF280)</f>
        <v>8.027912698838259E-2</v>
      </c>
      <c r="B280" s="80">
        <f>IF($D$61&lt;=B246,IF($E$61&gt;=B246,ABS((B248-B247)/B247),0),0)</f>
        <v>2.3715527302398964E-2</v>
      </c>
      <c r="C280" s="80">
        <f t="shared" ref="C280:AF280" si="266">IF($D$61&lt;=C246,IF($E$61&gt;=C246,ABS((C248-C247)/C247),0),0)</f>
        <v>0.10902356109343946</v>
      </c>
      <c r="D280" s="80">
        <f t="shared" si="266"/>
        <v>0.1334500409409346</v>
      </c>
      <c r="E280" s="80">
        <f t="shared" si="266"/>
        <v>0.11492731043234411</v>
      </c>
      <c r="F280" s="80">
        <f t="shared" si="266"/>
        <v>9.395958917697908E-2</v>
      </c>
      <c r="G280" s="80">
        <f t="shared" si="266"/>
        <v>6.8283192397982084E-2</v>
      </c>
      <c r="H280" s="80">
        <f t="shared" si="266"/>
        <v>4.5974753454482056E-2</v>
      </c>
      <c r="I280" s="80">
        <f t="shared" si="266"/>
        <v>3.9482759701303938E-2</v>
      </c>
      <c r="J280" s="80">
        <f t="shared" si="266"/>
        <v>5.8899228205547341E-2</v>
      </c>
      <c r="K280" s="80">
        <f t="shared" si="266"/>
        <v>5.6783623558191033E-2</v>
      </c>
      <c r="L280" s="80">
        <f t="shared" si="266"/>
        <v>5.6741378994857761E-2</v>
      </c>
      <c r="M280" s="80">
        <f t="shared" si="266"/>
        <v>5.3155331142151263E-2</v>
      </c>
      <c r="N280" s="80">
        <f t="shared" si="266"/>
        <v>5.4994723852333734E-2</v>
      </c>
      <c r="O280" s="80">
        <f t="shared" si="266"/>
        <v>5.5322367469240186E-2</v>
      </c>
      <c r="P280" s="80">
        <f t="shared" si="266"/>
        <v>5.7425745490494569E-2</v>
      </c>
      <c r="Q280" s="80">
        <f t="shared" si="266"/>
        <v>5.7052321738361375E-2</v>
      </c>
      <c r="R280" s="80">
        <f t="shared" si="266"/>
        <v>6.0123656459188268E-2</v>
      </c>
      <c r="S280" s="80">
        <f t="shared" si="266"/>
        <v>1.9681106951764036E-2</v>
      </c>
      <c r="T280" s="80">
        <f t="shared" si="266"/>
        <v>9.8134338941997107E-2</v>
      </c>
      <c r="U280" s="80">
        <f t="shared" si="266"/>
        <v>0.25402719469700413</v>
      </c>
      <c r="V280" s="80">
        <f t="shared" si="266"/>
        <v>0.36142723631796009</v>
      </c>
      <c r="W280" s="80">
        <f t="shared" si="266"/>
        <v>0.31983618913309197</v>
      </c>
      <c r="X280" s="80">
        <f t="shared" si="266"/>
        <v>0.19918854348782894</v>
      </c>
      <c r="Y280" s="80">
        <f t="shared" si="266"/>
        <v>9.7043215699984656E-2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65138.164016132163</v>
      </c>
      <c r="C281" s="21">
        <f t="shared" ref="C281:AF281" si="267">(C248-C247)^2</f>
        <v>1322233.5888105852</v>
      </c>
      <c r="D281" s="21">
        <f t="shared" si="267"/>
        <v>1907696.4619739198</v>
      </c>
      <c r="E281" s="21">
        <f t="shared" si="267"/>
        <v>1356267.5551954205</v>
      </c>
      <c r="F281" s="21">
        <f t="shared" si="267"/>
        <v>865009.63159422181</v>
      </c>
      <c r="G281" s="21">
        <f t="shared" si="267"/>
        <v>431782.50021609158</v>
      </c>
      <c r="H281" s="21">
        <f t="shared" si="267"/>
        <v>185730.2205029467</v>
      </c>
      <c r="I281" s="21">
        <f t="shared" si="267"/>
        <v>129492.91822388374</v>
      </c>
      <c r="J281" s="21">
        <f t="shared" si="267"/>
        <v>270101.08014103601</v>
      </c>
      <c r="K281" s="21">
        <f t="shared" si="267"/>
        <v>231753.48812919701</v>
      </c>
      <c r="L281" s="21">
        <f t="shared" si="267"/>
        <v>212207.25311281532</v>
      </c>
      <c r="M281" s="21">
        <f t="shared" si="267"/>
        <v>172427.49237768824</v>
      </c>
      <c r="N281" s="21">
        <f t="shared" si="267"/>
        <v>171692.64801467568</v>
      </c>
      <c r="O281" s="21">
        <f t="shared" si="267"/>
        <v>161175.61656948339</v>
      </c>
      <c r="P281" s="21">
        <f t="shared" si="267"/>
        <v>160268.98699586396</v>
      </c>
      <c r="Q281" s="21">
        <f t="shared" si="267"/>
        <v>145615.45682353489</v>
      </c>
      <c r="R281" s="21">
        <f t="shared" si="267"/>
        <v>144974.13873173602</v>
      </c>
      <c r="S281" s="21">
        <f t="shared" si="267"/>
        <v>12619.393656997308</v>
      </c>
      <c r="T281" s="21">
        <f t="shared" si="267"/>
        <v>213042.5145855599</v>
      </c>
      <c r="U281" s="21">
        <f t="shared" si="267"/>
        <v>891391.17151693616</v>
      </c>
      <c r="V281" s="21">
        <f t="shared" si="267"/>
        <v>1118109.3382486836</v>
      </c>
      <c r="W281" s="21">
        <f t="shared" si="267"/>
        <v>527701.83988641016</v>
      </c>
      <c r="X281" s="21">
        <f t="shared" si="267"/>
        <v>113441.14118907478</v>
      </c>
      <c r="Y281" s="21">
        <f t="shared" si="267"/>
        <v>13435.981754350414</v>
      </c>
      <c r="Z281" s="21">
        <f t="shared" si="267"/>
        <v>1034.4395688534307</v>
      </c>
      <c r="AA281" s="21">
        <f t="shared" si="267"/>
        <v>507.97520161527569</v>
      </c>
      <c r="AB281" s="21">
        <f t="shared" si="267"/>
        <v>204.81434825660671</v>
      </c>
      <c r="AC281" s="21">
        <f t="shared" si="267"/>
        <v>279.00463576361705</v>
      </c>
      <c r="AD281" s="21">
        <f t="shared" si="267"/>
        <v>1.7329221225368847</v>
      </c>
      <c r="AE281" s="21">
        <f t="shared" si="267"/>
        <v>16.828592402912342</v>
      </c>
      <c r="AF281" s="21">
        <f t="shared" si="267"/>
        <v>3.0196783955674116</v>
      </c>
      <c r="AG281" s="3"/>
      <c r="AH281" s="3"/>
    </row>
    <row r="282" spans="1:34" s="3" customFormat="1" x14ac:dyDescent="0.25">
      <c r="A282" s="71">
        <f>SUM(B282:AF282)</f>
        <v>10823308.582267243</v>
      </c>
      <c r="B282" s="21">
        <f>IF($D$61&lt;=B246,IF($E$61&gt;=B246,ABS(B281),0),0)</f>
        <v>65138.164016132163</v>
      </c>
      <c r="C282" s="21">
        <f t="shared" ref="C282:AF282" si="268">IF($D$61&lt;=C246,IF($E$61&gt;=C246,ABS(C281),0),0)</f>
        <v>1322233.5888105852</v>
      </c>
      <c r="D282" s="21">
        <f t="shared" si="268"/>
        <v>1907696.4619739198</v>
      </c>
      <c r="E282" s="21">
        <f t="shared" si="268"/>
        <v>1356267.5551954205</v>
      </c>
      <c r="F282" s="21">
        <f t="shared" si="268"/>
        <v>865009.63159422181</v>
      </c>
      <c r="G282" s="21">
        <f t="shared" si="268"/>
        <v>431782.50021609158</v>
      </c>
      <c r="H282" s="21">
        <f t="shared" si="268"/>
        <v>185730.2205029467</v>
      </c>
      <c r="I282" s="21">
        <f t="shared" si="268"/>
        <v>129492.91822388374</v>
      </c>
      <c r="J282" s="21">
        <f t="shared" si="268"/>
        <v>270101.08014103601</v>
      </c>
      <c r="K282" s="21">
        <f t="shared" si="268"/>
        <v>231753.48812919701</v>
      </c>
      <c r="L282" s="21">
        <f t="shared" si="268"/>
        <v>212207.25311281532</v>
      </c>
      <c r="M282" s="21">
        <f t="shared" si="268"/>
        <v>172427.49237768824</v>
      </c>
      <c r="N282" s="21">
        <f t="shared" si="268"/>
        <v>171692.64801467568</v>
      </c>
      <c r="O282" s="21">
        <f t="shared" si="268"/>
        <v>161175.61656948339</v>
      </c>
      <c r="P282" s="21">
        <f t="shared" si="268"/>
        <v>160268.98699586396</v>
      </c>
      <c r="Q282" s="21">
        <f t="shared" si="268"/>
        <v>145615.45682353489</v>
      </c>
      <c r="R282" s="21">
        <f t="shared" si="268"/>
        <v>144974.13873173602</v>
      </c>
      <c r="S282" s="21">
        <f t="shared" si="268"/>
        <v>12619.393656997308</v>
      </c>
      <c r="T282" s="21">
        <f t="shared" si="268"/>
        <v>213042.5145855599</v>
      </c>
      <c r="U282" s="21">
        <f t="shared" si="268"/>
        <v>891391.17151693616</v>
      </c>
      <c r="V282" s="21">
        <f t="shared" si="268"/>
        <v>1118109.3382486836</v>
      </c>
      <c r="W282" s="21">
        <f t="shared" si="268"/>
        <v>527701.83988641016</v>
      </c>
      <c r="X282" s="21">
        <f t="shared" si="268"/>
        <v>113441.14118907478</v>
      </c>
      <c r="Y282" s="21">
        <f t="shared" si="268"/>
        <v>13435.981754350414</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10455.125722169887</v>
      </c>
      <c r="C286" s="26">
        <f>INDEX(Comparison!$AM$3:$AS$33,G$14,$F$122)</f>
        <v>10216.758037955571</v>
      </c>
      <c r="D286" s="26">
        <f>INDEX(Comparison!$AM$3:$AS$33,H$14,$F$122)</f>
        <v>9990.8860283110862</v>
      </c>
      <c r="E286" s="26">
        <f>INDEX(Comparison!$AM$3:$AS$33,I$14,$F$122)</f>
        <v>9740.6929571272121</v>
      </c>
      <c r="F286" s="26">
        <f>INDEX(Comparison!$AM$3:$AS$33,J$14,$F$122)</f>
        <v>9486.1331326421696</v>
      </c>
      <c r="G286" s="26">
        <f>INDEX(Comparison!$AM$3:$AS$33,K$14,$F$122)</f>
        <v>9224.2999433670138</v>
      </c>
      <c r="H286" s="26">
        <f>INDEX(Comparison!$AM$3:$AS$33,L$14,$F$122)</f>
        <v>8983.6546151744242</v>
      </c>
      <c r="I286" s="26">
        <f>INDEX(Comparison!$AM$3:$AS$33,M$14,$F$122)</f>
        <v>8670.3934759322055</v>
      </c>
      <c r="J286" s="26">
        <f>INDEX(Comparison!$AM$3:$AS$33,N$14,$F$122)</f>
        <v>8318.7463719570296</v>
      </c>
      <c r="K286" s="26">
        <f>INDEX(Comparison!$AM$3:$AS$33,O$14,$F$122)</f>
        <v>7968.6744939632144</v>
      </c>
      <c r="L286" s="26">
        <f>INDEX(Comparison!$AM$3:$AS$33,P$14,$F$122)</f>
        <v>7682.4342615636733</v>
      </c>
      <c r="M286" s="26">
        <f>INDEX(Comparison!$AM$3:$AS$33,Q$14,$F$122)</f>
        <v>7403.9105678680935</v>
      </c>
      <c r="N286" s="26">
        <f>INDEX(Comparison!$AM$3:$AS$33,R$14,$F$122)</f>
        <v>7132.2476769922887</v>
      </c>
      <c r="O286" s="26">
        <f>INDEX(Comparison!$AM$3:$AS$33,S$14,$F$122)</f>
        <v>6844.7384968439528</v>
      </c>
      <c r="P286" s="26">
        <f>INDEX(Comparison!$AM$3:$AS$33,T$14,$F$122)</f>
        <v>6572.6294407257219</v>
      </c>
      <c r="Q286" s="26">
        <f>INDEX(Comparison!$AM$3:$AS$33,U$14,$F$122)</f>
        <v>6219.0027578185491</v>
      </c>
      <c r="R286" s="26">
        <f>INDEX(Comparison!$AM$3:$AS$33,V$14,$F$122)</f>
        <v>5690.6299745251627</v>
      </c>
      <c r="S286" s="26">
        <f>INDEX(Comparison!$AM$3:$AS$33,W$14,$F$122)</f>
        <v>4763.4711208275512</v>
      </c>
      <c r="T286" s="26">
        <f>INDEX(Comparison!$AM$3:$AS$33,X$14,$F$122)</f>
        <v>3748.4083561986595</v>
      </c>
      <c r="U286" s="26">
        <f>INDEX(Comparison!$AM$3:$AS$33,Y$14,$F$122)</f>
        <v>2899.8712503562774</v>
      </c>
      <c r="V286" s="26">
        <f>INDEX(Comparison!$AM$3:$AS$33,Z$14,$F$122)</f>
        <v>2207.9514817928284</v>
      </c>
      <c r="W286" s="26">
        <f>INDEX(Comparison!$AM$3:$AS$33,AA$14,$F$122)</f>
        <v>1604.1263924000411</v>
      </c>
      <c r="X286" s="26">
        <f>INDEX(Comparison!$AM$3:$AS$33,AB$14,$F$122)</f>
        <v>1123.4067588567204</v>
      </c>
      <c r="Y286" s="26">
        <f>INDEX(Comparison!$AM$3:$AS$33,AC$14,$F$122)</f>
        <v>780.76520754617513</v>
      </c>
      <c r="Z286" s="26">
        <f>INDEX(Comparison!$AM$3:$AS$33,AD$14,$F$122)</f>
        <v>582.0058323502866</v>
      </c>
      <c r="AA286" s="26">
        <f>INDEX(Comparison!$AM$3:$AS$33,AE$14,$F$122)</f>
        <v>477.43912435634792</v>
      </c>
      <c r="AB286" s="26">
        <f>INDEX(Comparison!$AM$3:$AS$33,AF$14,$F$122)</f>
        <v>428.31766172038903</v>
      </c>
      <c r="AC286" s="26">
        <f>INDEX(Comparison!$AM$3:$AS$33,AG$14,$F$122)</f>
        <v>398.6513774250231</v>
      </c>
      <c r="AD286" s="26">
        <f>INDEX(Comparison!$AM$3:$AS$33,AH$14,$F$122)</f>
        <v>385.25122525189607</v>
      </c>
      <c r="AE286" s="26">
        <f>INDEX(Comparison!$AM$3:$AS$33,AI$14,$F$122)</f>
        <v>372.90060316523403</v>
      </c>
      <c r="AF286" s="26">
        <f>INDEX(Comparison!$AM$3:$AS$33,AJ$14,$F$122)</f>
        <v>356.83813776395743</v>
      </c>
      <c r="AG286" s="26"/>
      <c r="AH286" s="26"/>
    </row>
    <row r="287" spans="1:34" x14ac:dyDescent="0.25">
      <c r="A287" s="70" t="s">
        <v>22</v>
      </c>
      <c r="B287" s="27">
        <f>($C$17+SUM(B288:B318))*$B$51</f>
        <v>9166.3292575374089</v>
      </c>
      <c r="C287" s="27">
        <f t="shared" ref="C287:AF287" si="269">($C$17+SUM(C288:C318))*$B$51</f>
        <v>8968.6994752757146</v>
      </c>
      <c r="D287" s="27">
        <f t="shared" si="269"/>
        <v>8968.6652877171618</v>
      </c>
      <c r="E287" s="27">
        <f t="shared" si="269"/>
        <v>8968.3235163209429</v>
      </c>
      <c r="F287" s="27">
        <f t="shared" si="269"/>
        <v>8964.9161691937261</v>
      </c>
      <c r="G287" s="27">
        <f t="shared" si="269"/>
        <v>8931.8575902436114</v>
      </c>
      <c r="H287" s="27">
        <f t="shared" si="269"/>
        <v>8684.0774329684373</v>
      </c>
      <c r="I287" s="27">
        <f t="shared" si="269"/>
        <v>8260.3378436278217</v>
      </c>
      <c r="J287" s="27">
        <f t="shared" si="269"/>
        <v>7947.7030802159597</v>
      </c>
      <c r="K287" s="27">
        <f t="shared" si="269"/>
        <v>7620.1823329889121</v>
      </c>
      <c r="L287" s="27">
        <f t="shared" si="269"/>
        <v>7358.6303671425267</v>
      </c>
      <c r="M287" s="27">
        <f t="shared" si="269"/>
        <v>7082.6114711135097</v>
      </c>
      <c r="N287" s="27">
        <f t="shared" si="269"/>
        <v>6815.0760197742966</v>
      </c>
      <c r="O287" s="27">
        <f t="shared" si="269"/>
        <v>6530.9314066337201</v>
      </c>
      <c r="P287" s="27">
        <f t="shared" si="269"/>
        <v>6259.5838350358445</v>
      </c>
      <c r="Q287" s="27">
        <f t="shared" si="269"/>
        <v>5893.8487785748002</v>
      </c>
      <c r="R287" s="27">
        <f t="shared" si="269"/>
        <v>5532.3029625842173</v>
      </c>
      <c r="S287" s="27">
        <f t="shared" si="269"/>
        <v>5085.1083657197951</v>
      </c>
      <c r="T287" s="27">
        <f t="shared" si="269"/>
        <v>4562.1174228388472</v>
      </c>
      <c r="U287" s="27">
        <f t="shared" si="269"/>
        <v>3838.8425826757079</v>
      </c>
      <c r="V287" s="27">
        <f t="shared" si="269"/>
        <v>2802.3410267514087</v>
      </c>
      <c r="W287" s="27">
        <f t="shared" si="269"/>
        <v>1873.8114250232318</v>
      </c>
      <c r="X287" s="27">
        <f t="shared" si="269"/>
        <v>1208.3293598837722</v>
      </c>
      <c r="Y287" s="27">
        <f t="shared" si="269"/>
        <v>814.20364932056111</v>
      </c>
      <c r="Z287" s="27">
        <f t="shared" si="269"/>
        <v>602.9569333615018</v>
      </c>
      <c r="AA287" s="27">
        <f t="shared" si="269"/>
        <v>495.08199840880076</v>
      </c>
      <c r="AB287" s="27">
        <f t="shared" si="269"/>
        <v>444.79520976732863</v>
      </c>
      <c r="AC287" s="27">
        <f t="shared" si="269"/>
        <v>399.70135460234582</v>
      </c>
      <c r="AD287" s="27">
        <f t="shared" si="269"/>
        <v>390.08353211600479</v>
      </c>
      <c r="AE287" s="27">
        <f t="shared" si="269"/>
        <v>369.0974359907454</v>
      </c>
      <c r="AF287" s="27">
        <f t="shared" si="269"/>
        <v>351.77328549645051</v>
      </c>
      <c r="AG287" s="27"/>
      <c r="AH287" s="27"/>
    </row>
    <row r="288" spans="1:34" x14ac:dyDescent="0.25">
      <c r="B288" s="3">
        <f t="shared" ref="B288:AF288" si="270">$C18*EXP(-B$285/$A18/EXP(-$F$126))</f>
        <v>1.7326695309315732E-2</v>
      </c>
      <c r="C288" s="3">
        <f t="shared" si="270"/>
        <v>2.6261650528477549E-12</v>
      </c>
      <c r="D288" s="3">
        <f t="shared" si="270"/>
        <v>1.6802922004880273E-110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4.9174967962824827E-2</v>
      </c>
      <c r="C289" s="3">
        <f t="shared" si="271"/>
        <v>4.917468315946967E-2</v>
      </c>
      <c r="D289" s="3">
        <f t="shared" si="271"/>
        <v>4.9171835216637719E-2</v>
      </c>
      <c r="E289" s="3">
        <f t="shared" si="271"/>
        <v>4.9143364858337306E-2</v>
      </c>
      <c r="F289" s="3">
        <f t="shared" si="271"/>
        <v>4.8859566336622577E-2</v>
      </c>
      <c r="G289" s="3">
        <f t="shared" si="271"/>
        <v>4.6110177462903183E-2</v>
      </c>
      <c r="H289" s="3">
        <f t="shared" si="271"/>
        <v>2.5838580476484095E-2</v>
      </c>
      <c r="I289" s="3">
        <f t="shared" si="271"/>
        <v>7.8883690475341735E-5</v>
      </c>
      <c r="J289" s="3">
        <f t="shared" si="271"/>
        <v>5.5484658481081059E-30</v>
      </c>
      <c r="K289" s="3">
        <f t="shared" si="271"/>
        <v>1.6444848845480691E-281</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2.5308429426661241E-2</v>
      </c>
      <c r="C290" s="3">
        <f t="shared" si="272"/>
        <v>2.5308416204149982E-2</v>
      </c>
      <c r="D290" s="3">
        <f t="shared" si="272"/>
        <v>2.5308283979417322E-2</v>
      </c>
      <c r="E290" s="3">
        <f t="shared" si="272"/>
        <v>2.5306961770084822E-2</v>
      </c>
      <c r="F290" s="3">
        <f t="shared" si="272"/>
        <v>2.5293743475436763E-2</v>
      </c>
      <c r="G290" s="3">
        <f t="shared" si="272"/>
        <v>2.5161939663359681E-2</v>
      </c>
      <c r="H290" s="3">
        <f t="shared" si="272"/>
        <v>2.3881092214047092E-2</v>
      </c>
      <c r="I290" s="3">
        <f t="shared" si="272"/>
        <v>1.416298761749275E-2</v>
      </c>
      <c r="J290" s="3">
        <f t="shared" si="272"/>
        <v>7.6236293621022522E-5</v>
      </c>
      <c r="K290" s="3">
        <f t="shared" si="272"/>
        <v>1.556792605338233E-27</v>
      </c>
      <c r="L290" s="3">
        <f t="shared" si="272"/>
        <v>1.963001448706448E-254</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3.4194516534880197E-2</v>
      </c>
      <c r="C291" s="3">
        <f t="shared" si="273"/>
        <v>3.4194514923300036E-2</v>
      </c>
      <c r="D291" s="3">
        <f t="shared" si="273"/>
        <v>3.4194498807502596E-2</v>
      </c>
      <c r="E291" s="3">
        <f t="shared" si="273"/>
        <v>3.4194337649945949E-2</v>
      </c>
      <c r="F291" s="3">
        <f t="shared" si="273"/>
        <v>3.4192726116153101E-2</v>
      </c>
      <c r="G291" s="3">
        <f t="shared" si="273"/>
        <v>3.4176614954853864E-2</v>
      </c>
      <c r="H291" s="3">
        <f t="shared" si="273"/>
        <v>3.4015920277382317E-2</v>
      </c>
      <c r="I291" s="3">
        <f t="shared" si="273"/>
        <v>3.2449949076376612E-2</v>
      </c>
      <c r="J291" s="3">
        <f t="shared" si="273"/>
        <v>2.0254986853889705E-2</v>
      </c>
      <c r="K291" s="3">
        <f t="shared" si="273"/>
        <v>1.8184921311409052E-4</v>
      </c>
      <c r="L291" s="3">
        <f t="shared" si="273"/>
        <v>6.1873691996261376E-25</v>
      </c>
      <c r="M291" s="3">
        <f t="shared" si="273"/>
        <v>1.2866252809414581E-229</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2.2721576927016159E-2</v>
      </c>
      <c r="C292" s="3">
        <f t="shared" si="274"/>
        <v>2.2721576830415407E-2</v>
      </c>
      <c r="D292" s="3">
        <f t="shared" si="274"/>
        <v>2.2721575864407893E-2</v>
      </c>
      <c r="E292" s="3">
        <f t="shared" si="274"/>
        <v>2.2721566204335023E-2</v>
      </c>
      <c r="F292" s="3">
        <f t="shared" si="274"/>
        <v>2.2721469603832214E-2</v>
      </c>
      <c r="G292" s="3">
        <f t="shared" si="274"/>
        <v>2.2720503621392114E-2</v>
      </c>
      <c r="H292" s="3">
        <f t="shared" si="274"/>
        <v>2.2710846055435219E-2</v>
      </c>
      <c r="I292" s="3">
        <f t="shared" si="274"/>
        <v>2.2614495885414379E-2</v>
      </c>
      <c r="J292" s="3">
        <f t="shared" si="274"/>
        <v>2.1673192430321165E-2</v>
      </c>
      <c r="K292" s="3">
        <f t="shared" si="274"/>
        <v>1.4167155031329561E-2</v>
      </c>
      <c r="L292" s="3">
        <f t="shared" si="274"/>
        <v>2.0178098639153167E-4</v>
      </c>
      <c r="M292" s="3">
        <f t="shared" si="274"/>
        <v>6.931962166300289E-23</v>
      </c>
      <c r="N292" s="3">
        <f t="shared" si="274"/>
        <v>1.5871413766424656E-207</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2.5892610317289285E-2</v>
      </c>
      <c r="C293" s="3">
        <f t="shared" si="275"/>
        <v>2.5892610307358937E-2</v>
      </c>
      <c r="D293" s="3">
        <f t="shared" si="275"/>
        <v>2.5892610208055455E-2</v>
      </c>
      <c r="E293" s="3">
        <f t="shared" si="275"/>
        <v>2.5892609215020668E-2</v>
      </c>
      <c r="F293" s="3">
        <f t="shared" si="275"/>
        <v>2.5892599284674907E-2</v>
      </c>
      <c r="G293" s="3">
        <f t="shared" si="275"/>
        <v>2.5892499981426727E-2</v>
      </c>
      <c r="H293" s="3">
        <f t="shared" si="275"/>
        <v>2.5891506969891329E-2</v>
      </c>
      <c r="I293" s="3">
        <f t="shared" si="275"/>
        <v>2.5881578948877996E-2</v>
      </c>
      <c r="J293" s="3">
        <f t="shared" si="275"/>
        <v>2.5782507875923597E-2</v>
      </c>
      <c r="K293" s="3">
        <f t="shared" si="275"/>
        <v>2.4812417113030373E-2</v>
      </c>
      <c r="L293" s="3">
        <f t="shared" si="275"/>
        <v>1.6908622013797857E-2</v>
      </c>
      <c r="M293" s="3">
        <f t="shared" si="275"/>
        <v>3.6517382448667939E-4</v>
      </c>
      <c r="N293" s="3">
        <f t="shared" si="275"/>
        <v>8.0614633092073008E-21</v>
      </c>
      <c r="O293" s="3">
        <f t="shared" si="275"/>
        <v>2.2159313375773841E-187</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2.3275396535862372E-2</v>
      </c>
      <c r="C294" s="3">
        <f t="shared" si="276"/>
        <v>2.3275396535057117E-2</v>
      </c>
      <c r="D294" s="3">
        <f t="shared" si="276"/>
        <v>2.3275396527004586E-2</v>
      </c>
      <c r="E294" s="3">
        <f t="shared" si="276"/>
        <v>2.3275396446479295E-2</v>
      </c>
      <c r="F294" s="3">
        <f t="shared" si="276"/>
        <v>2.3275395641226375E-2</v>
      </c>
      <c r="G294" s="3">
        <f t="shared" si="276"/>
        <v>2.3275387588698723E-2</v>
      </c>
      <c r="H294" s="3">
        <f t="shared" si="276"/>
        <v>2.3275307063575452E-2</v>
      </c>
      <c r="I294" s="3">
        <f t="shared" si="276"/>
        <v>2.327450182766503E-2</v>
      </c>
      <c r="J294" s="3">
        <f t="shared" si="276"/>
        <v>2.3266451000595025E-2</v>
      </c>
      <c r="K294" s="3">
        <f t="shared" si="276"/>
        <v>2.3186095737385559E-2</v>
      </c>
      <c r="L294" s="3">
        <f t="shared" si="276"/>
        <v>2.2397649791912073E-2</v>
      </c>
      <c r="M294" s="3">
        <f t="shared" si="276"/>
        <v>1.5847132885407615E-2</v>
      </c>
      <c r="N294" s="3">
        <f t="shared" si="276"/>
        <v>4.9823381426993961E-4</v>
      </c>
      <c r="O294" s="3">
        <f t="shared" si="276"/>
        <v>4.7017354821389648E-19</v>
      </c>
      <c r="P294" s="3">
        <f t="shared" si="276"/>
        <v>2.6333472054208008E-169</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2.7259427341213616E-2</v>
      </c>
      <c r="C295" s="3">
        <f t="shared" si="277"/>
        <v>2.7259427341128541E-2</v>
      </c>
      <c r="D295" s="3">
        <f t="shared" si="277"/>
        <v>2.7259427340277795E-2</v>
      </c>
      <c r="E295" s="3">
        <f t="shared" si="277"/>
        <v>2.725942733177036E-2</v>
      </c>
      <c r="F295" s="3">
        <f t="shared" si="277"/>
        <v>2.7259427246696031E-2</v>
      </c>
      <c r="G295" s="3">
        <f t="shared" si="277"/>
        <v>2.7259426395952729E-2</v>
      </c>
      <c r="H295" s="3">
        <f t="shared" si="277"/>
        <v>2.7259417888521171E-2</v>
      </c>
      <c r="I295" s="3">
        <f t="shared" si="277"/>
        <v>2.7259332814351594E-2</v>
      </c>
      <c r="J295" s="3">
        <f t="shared" si="277"/>
        <v>2.725848208725868E-2</v>
      </c>
      <c r="K295" s="3">
        <f t="shared" si="277"/>
        <v>2.7249976276445469E-2</v>
      </c>
      <c r="L295" s="3">
        <f t="shared" si="277"/>
        <v>2.7165064011440344E-2</v>
      </c>
      <c r="M295" s="3">
        <f t="shared" si="277"/>
        <v>2.633035866010135E-2</v>
      </c>
      <c r="N295" s="3">
        <f t="shared" si="277"/>
        <v>1.9271574427299251E-2</v>
      </c>
      <c r="O295" s="3">
        <f t="shared" si="277"/>
        <v>8.5020061264194148E-4</v>
      </c>
      <c r="P295" s="3">
        <f t="shared" si="277"/>
        <v>2.3744530313983255E-17</v>
      </c>
      <c r="Q295" s="3">
        <f t="shared" si="277"/>
        <v>6.8546499382186519E-153</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2.1214287036784275E-2</v>
      </c>
      <c r="C296" s="3">
        <f t="shared" si="278"/>
        <v>2.1214287036778301E-2</v>
      </c>
      <c r="D296" s="3">
        <f t="shared" si="278"/>
        <v>2.1214287036718578E-2</v>
      </c>
      <c r="E296" s="3">
        <f t="shared" si="278"/>
        <v>2.1214287036121326E-2</v>
      </c>
      <c r="F296" s="3">
        <f t="shared" si="278"/>
        <v>2.1214287030148816E-2</v>
      </c>
      <c r="G296" s="3">
        <f t="shared" si="278"/>
        <v>2.1214286970423723E-2</v>
      </c>
      <c r="H296" s="3">
        <f t="shared" si="278"/>
        <v>2.121428637317278E-2</v>
      </c>
      <c r="I296" s="3">
        <f t="shared" si="278"/>
        <v>2.1214280400664292E-2</v>
      </c>
      <c r="J296" s="3">
        <f t="shared" si="278"/>
        <v>2.1214220675671878E-2</v>
      </c>
      <c r="K296" s="3">
        <f t="shared" si="278"/>
        <v>2.1213623434995638E-2</v>
      </c>
      <c r="L296" s="3">
        <f t="shared" si="278"/>
        <v>2.1207651952926496E-2</v>
      </c>
      <c r="M296" s="3">
        <f t="shared" si="278"/>
        <v>2.114802950530955E-2</v>
      </c>
      <c r="N296" s="3">
        <f t="shared" si="278"/>
        <v>2.056094683464604E-2</v>
      </c>
      <c r="O296" s="3">
        <f t="shared" si="278"/>
        <v>1.5515834361823414E-2</v>
      </c>
      <c r="P296" s="3">
        <f t="shared" si="278"/>
        <v>9.2917042998428082E-4</v>
      </c>
      <c r="Q296" s="3">
        <f t="shared" si="278"/>
        <v>5.5118556681646603E-16</v>
      </c>
      <c r="R296" s="3">
        <f t="shared" si="278"/>
        <v>2.9738728840265805E-138</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3.4718036830476452E-2</v>
      </c>
      <c r="C297" s="3">
        <f t="shared" si="279"/>
        <v>3.4718036830475571E-2</v>
      </c>
      <c r="D297" s="3">
        <f t="shared" si="279"/>
        <v>3.4718036830466752E-2</v>
      </c>
      <c r="E297" s="3">
        <f t="shared" si="279"/>
        <v>3.4718036830378579E-2</v>
      </c>
      <c r="F297" s="3">
        <f t="shared" si="279"/>
        <v>3.4718036829496861E-2</v>
      </c>
      <c r="G297" s="3">
        <f t="shared" si="279"/>
        <v>3.4718036820679671E-2</v>
      </c>
      <c r="H297" s="3">
        <f t="shared" si="279"/>
        <v>3.4718036732507784E-2</v>
      </c>
      <c r="I297" s="3">
        <f t="shared" si="279"/>
        <v>3.4718035850788871E-2</v>
      </c>
      <c r="J297" s="3">
        <f t="shared" si="279"/>
        <v>3.4718027033601037E-2</v>
      </c>
      <c r="K297" s="3">
        <f t="shared" si="279"/>
        <v>3.4717938861845848E-2</v>
      </c>
      <c r="L297" s="3">
        <f t="shared" si="279"/>
        <v>3.4717057156609728E-2</v>
      </c>
      <c r="M297" s="3">
        <f t="shared" si="279"/>
        <v>3.4708241335714797E-2</v>
      </c>
      <c r="N297" s="3">
        <f t="shared" si="279"/>
        <v>3.4620206157749613E-2</v>
      </c>
      <c r="O297" s="3">
        <f t="shared" si="279"/>
        <v>3.3752042648784716E-2</v>
      </c>
      <c r="P297" s="3">
        <f t="shared" si="279"/>
        <v>2.6182081812331753E-2</v>
      </c>
      <c r="Q297" s="3">
        <f t="shared" si="279"/>
        <v>2.0655956959880215E-3</v>
      </c>
      <c r="R297" s="3">
        <f t="shared" si="279"/>
        <v>1.9295532313330194E-14</v>
      </c>
      <c r="S297" s="3">
        <f t="shared" si="279"/>
        <v>9.7627283550387058E-125</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3.0541725700360203E-2</v>
      </c>
      <c r="C298" s="3">
        <f t="shared" si="280"/>
        <v>3.0541725700360133E-2</v>
      </c>
      <c r="D298" s="3">
        <f t="shared" si="280"/>
        <v>3.0541725700359432E-2</v>
      </c>
      <c r="E298" s="3">
        <f t="shared" si="280"/>
        <v>3.0541725700352435E-2</v>
      </c>
      <c r="F298" s="3">
        <f t="shared" si="280"/>
        <v>3.0541725700282466E-2</v>
      </c>
      <c r="G298" s="3">
        <f t="shared" si="280"/>
        <v>3.0541725699582762E-2</v>
      </c>
      <c r="H298" s="3">
        <f t="shared" si="280"/>
        <v>3.0541725692585706E-2</v>
      </c>
      <c r="I298" s="3">
        <f t="shared" si="280"/>
        <v>3.0541725622615177E-2</v>
      </c>
      <c r="J298" s="3">
        <f t="shared" si="280"/>
        <v>3.0541724922909883E-2</v>
      </c>
      <c r="K298" s="3">
        <f t="shared" si="280"/>
        <v>3.0541717925857859E-2</v>
      </c>
      <c r="L298" s="3">
        <f t="shared" si="280"/>
        <v>3.0541647955425751E-2</v>
      </c>
      <c r="M298" s="3">
        <f t="shared" si="280"/>
        <v>3.0540948259921166E-2</v>
      </c>
      <c r="N298" s="3">
        <f t="shared" si="280"/>
        <v>3.0533952186448842E-2</v>
      </c>
      <c r="O298" s="3">
        <f t="shared" si="280"/>
        <v>3.0464079534396678E-2</v>
      </c>
      <c r="P298" s="3">
        <f t="shared" si="280"/>
        <v>2.9774087071887646E-2</v>
      </c>
      <c r="Q298" s="3">
        <f t="shared" si="280"/>
        <v>2.3677856794489929E-2</v>
      </c>
      <c r="R298" s="3">
        <f t="shared" si="280"/>
        <v>2.3954204039300948E-3</v>
      </c>
      <c r="S298" s="3">
        <f t="shared" si="280"/>
        <v>2.6901425497500031E-13</v>
      </c>
      <c r="T298" s="3">
        <f t="shared" si="280"/>
        <v>8.5844166052378131E-113</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4.0592217810354776E-2</v>
      </c>
      <c r="C299" s="3">
        <f t="shared" si="281"/>
        <v>4.0592217810354769E-2</v>
      </c>
      <c r="D299" s="3">
        <f t="shared" si="281"/>
        <v>4.0592217810354679E-2</v>
      </c>
      <c r="E299" s="3">
        <f t="shared" si="281"/>
        <v>4.0592217810353846E-2</v>
      </c>
      <c r="F299" s="3">
        <f t="shared" si="281"/>
        <v>4.0592217810345457E-2</v>
      </c>
      <c r="G299" s="3">
        <f t="shared" si="281"/>
        <v>4.0592217810261566E-2</v>
      </c>
      <c r="H299" s="3">
        <f t="shared" si="281"/>
        <v>4.0592217809422661E-2</v>
      </c>
      <c r="I299" s="3">
        <f t="shared" si="281"/>
        <v>4.0592217801033649E-2</v>
      </c>
      <c r="J299" s="3">
        <f t="shared" si="281"/>
        <v>4.0592217717143497E-2</v>
      </c>
      <c r="K299" s="3">
        <f t="shared" si="281"/>
        <v>4.0592216878242028E-2</v>
      </c>
      <c r="L299" s="3">
        <f t="shared" si="281"/>
        <v>4.0592208489228246E-2</v>
      </c>
      <c r="M299" s="3">
        <f t="shared" si="281"/>
        <v>4.0592124599185778E-2</v>
      </c>
      <c r="N299" s="3">
        <f t="shared" si="281"/>
        <v>4.0591285708296475E-2</v>
      </c>
      <c r="O299" s="3">
        <f t="shared" si="281"/>
        <v>4.0582897752868857E-2</v>
      </c>
      <c r="P299" s="3">
        <f t="shared" si="281"/>
        <v>4.0499113472264779E-2</v>
      </c>
      <c r="Q299" s="3">
        <f t="shared" si="281"/>
        <v>3.9670725582189065E-2</v>
      </c>
      <c r="R299" s="3">
        <f t="shared" si="281"/>
        <v>3.2263866825645665E-2</v>
      </c>
      <c r="S299" s="3">
        <f t="shared" si="281"/>
        <v>4.0848784839905526E-3</v>
      </c>
      <c r="T299" s="3">
        <f t="shared" si="281"/>
        <v>4.3232106344986665E-12</v>
      </c>
      <c r="U299" s="3">
        <f t="shared" si="281"/>
        <v>7.6221753293095923E-102</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4.4579554777240793E-2</v>
      </c>
      <c r="C300" s="3">
        <f t="shared" si="282"/>
        <v>4.4579554777240793E-2</v>
      </c>
      <c r="D300" s="3">
        <f t="shared" si="282"/>
        <v>4.4579554777240786E-2</v>
      </c>
      <c r="E300" s="3">
        <f t="shared" si="282"/>
        <v>4.4579554777240696E-2</v>
      </c>
      <c r="F300" s="3">
        <f t="shared" si="282"/>
        <v>4.457955477723987E-2</v>
      </c>
      <c r="G300" s="3">
        <f t="shared" si="282"/>
        <v>4.4579554777231557E-2</v>
      </c>
      <c r="H300" s="3">
        <f t="shared" si="282"/>
        <v>4.457955477714845E-2</v>
      </c>
      <c r="I300" s="3">
        <f t="shared" si="282"/>
        <v>4.4579554776317351E-2</v>
      </c>
      <c r="J300" s="3">
        <f t="shared" si="282"/>
        <v>4.4579554768006409E-2</v>
      </c>
      <c r="K300" s="3">
        <f t="shared" si="282"/>
        <v>4.4579554684896938E-2</v>
      </c>
      <c r="L300" s="3">
        <f t="shared" si="282"/>
        <v>4.4579553853802273E-2</v>
      </c>
      <c r="M300" s="3">
        <f t="shared" si="282"/>
        <v>4.4579545542856459E-2</v>
      </c>
      <c r="N300" s="3">
        <f t="shared" si="282"/>
        <v>4.4579462433483541E-2</v>
      </c>
      <c r="O300" s="3">
        <f t="shared" si="282"/>
        <v>4.457863134827602E-2</v>
      </c>
      <c r="P300" s="3">
        <f t="shared" si="282"/>
        <v>4.4570321348308878E-2</v>
      </c>
      <c r="Q300" s="3">
        <f t="shared" si="282"/>
        <v>4.4487306500696176E-2</v>
      </c>
      <c r="R300" s="3">
        <f t="shared" si="282"/>
        <v>4.3665614785213011E-2</v>
      </c>
      <c r="S300" s="3">
        <f t="shared" si="282"/>
        <v>3.6238836883732681E-2</v>
      </c>
      <c r="T300" s="3">
        <f t="shared" si="282"/>
        <v>5.6172138833848863E-3</v>
      </c>
      <c r="U300" s="3">
        <f t="shared" si="282"/>
        <v>4.4976749396798243E-11</v>
      </c>
      <c r="V300" s="3">
        <f t="shared" si="282"/>
        <v>4.8714595820944277E-92</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6.2079559793872717E-2</v>
      </c>
      <c r="C301" s="3">
        <f t="shared" si="283"/>
        <v>6.2079559793872717E-2</v>
      </c>
      <c r="D301" s="3">
        <f t="shared" si="283"/>
        <v>6.2079559793872717E-2</v>
      </c>
      <c r="E301" s="3">
        <f t="shared" si="283"/>
        <v>6.2079559793872703E-2</v>
      </c>
      <c r="F301" s="3">
        <f t="shared" si="283"/>
        <v>6.2079559793872599E-2</v>
      </c>
      <c r="G301" s="3">
        <f t="shared" si="283"/>
        <v>6.2079559793871558E-2</v>
      </c>
      <c r="H301" s="3">
        <f t="shared" si="283"/>
        <v>6.2079559793861115E-2</v>
      </c>
      <c r="I301" s="3">
        <f t="shared" si="283"/>
        <v>6.2079559793756713E-2</v>
      </c>
      <c r="J301" s="3">
        <f t="shared" si="283"/>
        <v>6.2079559792712694E-2</v>
      </c>
      <c r="K301" s="3">
        <f t="shared" si="283"/>
        <v>6.2079559782272462E-2</v>
      </c>
      <c r="L301" s="3">
        <f t="shared" si="283"/>
        <v>6.2079559677870183E-2</v>
      </c>
      <c r="M301" s="3">
        <f t="shared" si="283"/>
        <v>6.2079558633847363E-2</v>
      </c>
      <c r="N301" s="3">
        <f t="shared" si="283"/>
        <v>6.2079548193620201E-2</v>
      </c>
      <c r="O301" s="3">
        <f t="shared" si="283"/>
        <v>6.2079443791445116E-2</v>
      </c>
      <c r="P301" s="3">
        <f t="shared" si="283"/>
        <v>6.2078399779351048E-2</v>
      </c>
      <c r="Q301" s="3">
        <f t="shared" si="283"/>
        <v>6.2067960624025365E-2</v>
      </c>
      <c r="R301" s="3">
        <f t="shared" si="283"/>
        <v>6.1963665572214256E-2</v>
      </c>
      <c r="S301" s="3">
        <f t="shared" si="283"/>
        <v>6.0930305420069671E-2</v>
      </c>
      <c r="T301" s="3">
        <f t="shared" si="283"/>
        <v>5.1498655717639015E-2</v>
      </c>
      <c r="U301" s="3">
        <f t="shared" si="283"/>
        <v>9.581230069540524E-3</v>
      </c>
      <c r="V301" s="3">
        <f t="shared" si="283"/>
        <v>4.7607462048794071E-10</v>
      </c>
      <c r="W301" s="3">
        <f t="shared" si="283"/>
        <v>4.3672961284923456E-83</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0.10578931784531295</v>
      </c>
      <c r="C302" s="3">
        <f t="shared" si="284"/>
        <v>0.10578931784531295</v>
      </c>
      <c r="D302" s="3">
        <f t="shared" si="284"/>
        <v>0.10578931784531295</v>
      </c>
      <c r="E302" s="3">
        <f t="shared" si="284"/>
        <v>0.10578931784531295</v>
      </c>
      <c r="F302" s="3">
        <f t="shared" si="284"/>
        <v>0.10578931784531292</v>
      </c>
      <c r="G302" s="3">
        <f t="shared" si="284"/>
        <v>0.10578931784531277</v>
      </c>
      <c r="H302" s="3">
        <f t="shared" si="284"/>
        <v>0.10578931784531116</v>
      </c>
      <c r="I302" s="3">
        <f t="shared" si="284"/>
        <v>0.10578931784529512</v>
      </c>
      <c r="J302" s="3">
        <f t="shared" si="284"/>
        <v>0.10578931784513462</v>
      </c>
      <c r="K302" s="3">
        <f t="shared" si="284"/>
        <v>0.10578931784352973</v>
      </c>
      <c r="L302" s="3">
        <f t="shared" si="284"/>
        <v>0.10578931782748065</v>
      </c>
      <c r="M302" s="3">
        <f t="shared" si="284"/>
        <v>0.10578931766699</v>
      </c>
      <c r="N302" s="3">
        <f t="shared" si="284"/>
        <v>0.10578931606208337</v>
      </c>
      <c r="O302" s="3">
        <f t="shared" si="284"/>
        <v>0.10578930001301853</v>
      </c>
      <c r="P302" s="3">
        <f t="shared" si="284"/>
        <v>0.10578913952250402</v>
      </c>
      <c r="Q302" s="3">
        <f t="shared" si="284"/>
        <v>0.10578753463074993</v>
      </c>
      <c r="R302" s="3">
        <f t="shared" si="284"/>
        <v>0.10577148705224841</v>
      </c>
      <c r="S302" s="3">
        <f t="shared" si="284"/>
        <v>0.10561114509603313</v>
      </c>
      <c r="T302" s="3">
        <f t="shared" si="284"/>
        <v>0.10402103359710266</v>
      </c>
      <c r="U302" s="3">
        <f t="shared" si="284"/>
        <v>8.9378960127317386E-2</v>
      </c>
      <c r="V302" s="3">
        <f t="shared" si="284"/>
        <v>1.9605441445173403E-2</v>
      </c>
      <c r="W302" s="3">
        <f t="shared" si="284"/>
        <v>5.0558002246079349E-9</v>
      </c>
      <c r="X302" s="3">
        <f t="shared" si="284"/>
        <v>6.5754078867912098E-75</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8.5446045134986312E-2</v>
      </c>
      <c r="C303" s="3">
        <f t="shared" si="285"/>
        <v>8.5446045134986312E-2</v>
      </c>
      <c r="D303" s="3">
        <f t="shared" si="285"/>
        <v>8.5446045134986312E-2</v>
      </c>
      <c r="E303" s="3">
        <f t="shared" si="285"/>
        <v>8.5446045134986312E-2</v>
      </c>
      <c r="F303" s="3">
        <f t="shared" si="285"/>
        <v>8.5446045134986312E-2</v>
      </c>
      <c r="G303" s="3">
        <f t="shared" si="285"/>
        <v>8.5446045134986298E-2</v>
      </c>
      <c r="H303" s="3">
        <f t="shared" si="285"/>
        <v>8.5446045134986173E-2</v>
      </c>
      <c r="I303" s="3">
        <f t="shared" si="285"/>
        <v>8.5446045134985008E-2</v>
      </c>
      <c r="J303" s="3">
        <f t="shared" si="285"/>
        <v>8.5446045134973322E-2</v>
      </c>
      <c r="K303" s="3">
        <f t="shared" si="285"/>
        <v>8.5446045134856388E-2</v>
      </c>
      <c r="L303" s="3">
        <f t="shared" si="285"/>
        <v>8.5446045133687018E-2</v>
      </c>
      <c r="M303" s="3">
        <f t="shared" si="285"/>
        <v>8.5446045121993483E-2</v>
      </c>
      <c r="N303" s="3">
        <f t="shared" si="285"/>
        <v>8.5446045005057938E-2</v>
      </c>
      <c r="O303" s="3">
        <f t="shared" si="285"/>
        <v>8.5446043835702576E-2</v>
      </c>
      <c r="P303" s="3">
        <f t="shared" si="285"/>
        <v>8.5446032142149908E-2</v>
      </c>
      <c r="Q303" s="3">
        <f t="shared" si="285"/>
        <v>8.5445915206711229E-2</v>
      </c>
      <c r="R303" s="3">
        <f t="shared" si="285"/>
        <v>8.5444745861125979E-2</v>
      </c>
      <c r="S303" s="3">
        <f t="shared" si="285"/>
        <v>8.5433053285388263E-2</v>
      </c>
      <c r="T303" s="3">
        <f t="shared" si="285"/>
        <v>8.5316215494940284E-2</v>
      </c>
      <c r="U303" s="3">
        <f t="shared" si="285"/>
        <v>8.4156589903346513E-2</v>
      </c>
      <c r="V303" s="3">
        <f t="shared" si="285"/>
        <v>7.3392823499296503E-2</v>
      </c>
      <c r="W303" s="3">
        <f t="shared" si="285"/>
        <v>1.8677049156821585E-2</v>
      </c>
      <c r="X303" s="3">
        <f t="shared" si="285"/>
        <v>2.1274282512429376E-8</v>
      </c>
      <c r="Y303" s="3">
        <f t="shared" si="285"/>
        <v>7.8220668928749079E-68</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5.8777528752493244E-2</v>
      </c>
      <c r="C304" s="3">
        <f t="shared" si="286"/>
        <v>5.8777528752493244E-2</v>
      </c>
      <c r="D304" s="3">
        <f t="shared" si="286"/>
        <v>5.8777528752493244E-2</v>
      </c>
      <c r="E304" s="3">
        <f t="shared" si="286"/>
        <v>5.8777528752493244E-2</v>
      </c>
      <c r="F304" s="3">
        <f t="shared" si="286"/>
        <v>5.8777528752493244E-2</v>
      </c>
      <c r="G304" s="3">
        <f t="shared" si="286"/>
        <v>5.8777528752493244E-2</v>
      </c>
      <c r="H304" s="3">
        <f t="shared" si="286"/>
        <v>5.8777528752493237E-2</v>
      </c>
      <c r="I304" s="3">
        <f t="shared" si="286"/>
        <v>5.8777528752493167E-2</v>
      </c>
      <c r="J304" s="3">
        <f t="shared" si="286"/>
        <v>5.8777528752492432E-2</v>
      </c>
      <c r="K304" s="3">
        <f t="shared" si="286"/>
        <v>5.8777528752485181E-2</v>
      </c>
      <c r="L304" s="3">
        <f t="shared" si="286"/>
        <v>5.8777528752412621E-2</v>
      </c>
      <c r="M304" s="3">
        <f t="shared" si="286"/>
        <v>5.8777528751686993E-2</v>
      </c>
      <c r="N304" s="3">
        <f t="shared" si="286"/>
        <v>5.8777528744430742E-2</v>
      </c>
      <c r="O304" s="3">
        <f t="shared" si="286"/>
        <v>5.8777528671868202E-2</v>
      </c>
      <c r="P304" s="3">
        <f t="shared" si="286"/>
        <v>5.8777527946242837E-2</v>
      </c>
      <c r="Q304" s="3">
        <f t="shared" si="286"/>
        <v>5.8777520689989662E-2</v>
      </c>
      <c r="R304" s="3">
        <f t="shared" si="286"/>
        <v>5.8777448127507202E-2</v>
      </c>
      <c r="S304" s="3">
        <f t="shared" si="286"/>
        <v>5.8776722507609479E-2</v>
      </c>
      <c r="T304" s="3">
        <f t="shared" si="286"/>
        <v>5.8769466801300102E-2</v>
      </c>
      <c r="U304" s="3">
        <f t="shared" si="286"/>
        <v>5.8696958982497494E-2</v>
      </c>
      <c r="V304" s="3">
        <f t="shared" si="286"/>
        <v>5.7976782804080723E-2</v>
      </c>
      <c r="W304" s="3">
        <f t="shared" si="286"/>
        <v>5.1243551164161599E-2</v>
      </c>
      <c r="X304" s="3">
        <f t="shared" si="286"/>
        <v>1.4910433927728287E-2</v>
      </c>
      <c r="Y304" s="3">
        <f t="shared" si="286"/>
        <v>6.486358114039716E-8</v>
      </c>
      <c r="Z304" s="3">
        <f t="shared" si="286"/>
        <v>1.5743718720859327E-61</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3.044822143643108E-2</v>
      </c>
      <c r="C305" s="3">
        <f t="shared" si="287"/>
        <v>3.044822143643108E-2</v>
      </c>
      <c r="D305" s="3">
        <f t="shared" si="287"/>
        <v>3.044822143643108E-2</v>
      </c>
      <c r="E305" s="3">
        <f t="shared" si="287"/>
        <v>3.044822143643108E-2</v>
      </c>
      <c r="F305" s="3">
        <f t="shared" si="287"/>
        <v>3.044822143643108E-2</v>
      </c>
      <c r="G305" s="3">
        <f t="shared" si="287"/>
        <v>3.044822143643108E-2</v>
      </c>
      <c r="H305" s="3">
        <f t="shared" si="287"/>
        <v>3.044822143643108E-2</v>
      </c>
      <c r="I305" s="3">
        <f t="shared" si="287"/>
        <v>3.0448221436431076E-2</v>
      </c>
      <c r="J305" s="3">
        <f t="shared" si="287"/>
        <v>3.0448221436431042E-2</v>
      </c>
      <c r="K305" s="3">
        <f t="shared" si="287"/>
        <v>3.0448221436430705E-2</v>
      </c>
      <c r="L305" s="3">
        <f t="shared" si="287"/>
        <v>3.0448221436427312E-2</v>
      </c>
      <c r="M305" s="3">
        <f t="shared" si="287"/>
        <v>3.0448221436393405E-2</v>
      </c>
      <c r="N305" s="3">
        <f t="shared" si="287"/>
        <v>3.0448221436054319E-2</v>
      </c>
      <c r="O305" s="3">
        <f t="shared" si="287"/>
        <v>3.0448221432663462E-2</v>
      </c>
      <c r="P305" s="3">
        <f t="shared" si="287"/>
        <v>3.0448221398754874E-2</v>
      </c>
      <c r="Q305" s="3">
        <f t="shared" si="287"/>
        <v>3.0448221059669035E-2</v>
      </c>
      <c r="R305" s="3">
        <f t="shared" si="287"/>
        <v>3.044821766881084E-2</v>
      </c>
      <c r="S305" s="3">
        <f t="shared" si="287"/>
        <v>3.0448183760249669E-2</v>
      </c>
      <c r="T305" s="3">
        <f t="shared" si="287"/>
        <v>3.0447844676714877E-2</v>
      </c>
      <c r="U305" s="3">
        <f t="shared" si="287"/>
        <v>3.0444454049049583E-2</v>
      </c>
      <c r="V305" s="3">
        <f t="shared" si="287"/>
        <v>3.0410568532105428E-2</v>
      </c>
      <c r="W305" s="3">
        <f t="shared" si="287"/>
        <v>3.0073780804937538E-2</v>
      </c>
      <c r="X305" s="3">
        <f t="shared" si="287"/>
        <v>2.6904376734609131E-2</v>
      </c>
      <c r="Y305" s="3">
        <f t="shared" si="287"/>
        <v>8.8342969263896596E-3</v>
      </c>
      <c r="Z305" s="3">
        <f t="shared" si="287"/>
        <v>1.2872489799904284E-7</v>
      </c>
      <c r="AA305" s="3">
        <f t="shared" si="287"/>
        <v>5.5535181963826364E-56</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1.5917825428886163E-2</v>
      </c>
      <c r="C306" s="3">
        <f t="shared" si="288"/>
        <v>1.5917825428886163E-2</v>
      </c>
      <c r="D306" s="3">
        <f t="shared" si="288"/>
        <v>1.5917825428886163E-2</v>
      </c>
      <c r="E306" s="3">
        <f t="shared" si="288"/>
        <v>1.5917825428886163E-2</v>
      </c>
      <c r="F306" s="3">
        <f t="shared" si="288"/>
        <v>1.5917825428886163E-2</v>
      </c>
      <c r="G306" s="3">
        <f t="shared" si="288"/>
        <v>1.5917825428886163E-2</v>
      </c>
      <c r="H306" s="3">
        <f t="shared" si="288"/>
        <v>1.5917825428886163E-2</v>
      </c>
      <c r="I306" s="3">
        <f t="shared" si="288"/>
        <v>1.5917825428886163E-2</v>
      </c>
      <c r="J306" s="3">
        <f t="shared" si="288"/>
        <v>1.5917825428886159E-2</v>
      </c>
      <c r="K306" s="3">
        <f t="shared" si="288"/>
        <v>1.5917825428886145E-2</v>
      </c>
      <c r="L306" s="3">
        <f t="shared" si="288"/>
        <v>1.5917825428885986E-2</v>
      </c>
      <c r="M306" s="3">
        <f t="shared" si="288"/>
        <v>1.5917825428884386E-2</v>
      </c>
      <c r="N306" s="3">
        <f t="shared" si="288"/>
        <v>1.5917825428868396E-2</v>
      </c>
      <c r="O306" s="3">
        <f t="shared" si="288"/>
        <v>1.5917825428708482E-2</v>
      </c>
      <c r="P306" s="3">
        <f t="shared" si="288"/>
        <v>1.5917825427109376E-2</v>
      </c>
      <c r="Q306" s="3">
        <f t="shared" si="288"/>
        <v>1.5917825411118285E-2</v>
      </c>
      <c r="R306" s="3">
        <f t="shared" si="288"/>
        <v>1.5917825251207392E-2</v>
      </c>
      <c r="S306" s="3">
        <f t="shared" si="288"/>
        <v>1.5917823652098529E-2</v>
      </c>
      <c r="T306" s="3">
        <f t="shared" si="288"/>
        <v>1.5917807661018756E-2</v>
      </c>
      <c r="U306" s="3">
        <f t="shared" si="288"/>
        <v>1.5917647751104554E-2</v>
      </c>
      <c r="V306" s="3">
        <f t="shared" si="288"/>
        <v>1.5916048740314694E-2</v>
      </c>
      <c r="W306" s="3">
        <f t="shared" si="288"/>
        <v>1.5900067464348043E-2</v>
      </c>
      <c r="X306" s="3">
        <f t="shared" si="288"/>
        <v>1.5741134623822834E-2</v>
      </c>
      <c r="Y306" s="3">
        <f t="shared" si="288"/>
        <v>1.4236613488232826E-2</v>
      </c>
      <c r="Z306" s="3">
        <f t="shared" si="288"/>
        <v>5.2133070862077358E-3</v>
      </c>
      <c r="AA306" s="3">
        <f t="shared" si="288"/>
        <v>2.2603694952165864E-7</v>
      </c>
      <c r="AB306" s="3">
        <f t="shared" si="288"/>
        <v>5.3068979849830725E-51</v>
      </c>
      <c r="AC306" s="3">
        <f t="shared" si="288"/>
        <v>0</v>
      </c>
      <c r="AD306" s="3">
        <f t="shared" si="288"/>
        <v>0</v>
      </c>
      <c r="AE306" s="3">
        <f t="shared" si="288"/>
        <v>0</v>
      </c>
      <c r="AF306" s="3">
        <f t="shared" si="288"/>
        <v>0</v>
      </c>
      <c r="AG306" s="3"/>
      <c r="AH306" s="3"/>
    </row>
    <row r="307" spans="1:34" x14ac:dyDescent="0.25">
      <c r="B307" s="3">
        <f t="shared" ref="B307:AF307" si="289">$C37*EXP(-B$285/$A37/EXP(-$F$126))</f>
        <v>7.4710107179745602E-3</v>
      </c>
      <c r="C307" s="3">
        <f t="shared" si="289"/>
        <v>7.4710107179745602E-3</v>
      </c>
      <c r="D307" s="3">
        <f t="shared" si="289"/>
        <v>7.4710107179745602E-3</v>
      </c>
      <c r="E307" s="3">
        <f t="shared" si="289"/>
        <v>7.4710107179745602E-3</v>
      </c>
      <c r="F307" s="3">
        <f t="shared" si="289"/>
        <v>7.4710107179745602E-3</v>
      </c>
      <c r="G307" s="3">
        <f t="shared" si="289"/>
        <v>7.4710107179745602E-3</v>
      </c>
      <c r="H307" s="3">
        <f t="shared" si="289"/>
        <v>7.4710107179745602E-3</v>
      </c>
      <c r="I307" s="3">
        <f t="shared" si="289"/>
        <v>7.4710107179745602E-3</v>
      </c>
      <c r="J307" s="3">
        <f t="shared" si="289"/>
        <v>7.4710107179745602E-3</v>
      </c>
      <c r="K307" s="3">
        <f t="shared" si="289"/>
        <v>7.4710107179745593E-3</v>
      </c>
      <c r="L307" s="3">
        <f t="shared" si="289"/>
        <v>7.4710107179745524E-3</v>
      </c>
      <c r="M307" s="3">
        <f t="shared" si="289"/>
        <v>7.4710107179744847E-3</v>
      </c>
      <c r="N307" s="3">
        <f t="shared" si="289"/>
        <v>7.4710107179738082E-3</v>
      </c>
      <c r="O307" s="3">
        <f t="shared" si="289"/>
        <v>7.4710107179670367E-3</v>
      </c>
      <c r="P307" s="3">
        <f t="shared" si="289"/>
        <v>7.4710107178993321E-3</v>
      </c>
      <c r="Q307" s="3">
        <f t="shared" si="289"/>
        <v>7.4710107172222835E-3</v>
      </c>
      <c r="R307" s="3">
        <f t="shared" si="289"/>
        <v>7.4710107104517904E-3</v>
      </c>
      <c r="S307" s="3">
        <f t="shared" si="289"/>
        <v>7.4710106427468646E-3</v>
      </c>
      <c r="T307" s="3">
        <f t="shared" si="289"/>
        <v>7.4710099656976397E-3</v>
      </c>
      <c r="U307" s="3">
        <f t="shared" si="289"/>
        <v>7.4710031952087636E-3</v>
      </c>
      <c r="V307" s="3">
        <f t="shared" si="289"/>
        <v>7.4709354906574623E-3</v>
      </c>
      <c r="W307" s="3">
        <f t="shared" si="289"/>
        <v>7.4702584788893149E-3</v>
      </c>
      <c r="X307" s="3">
        <f t="shared" si="289"/>
        <v>7.4634917345630805E-3</v>
      </c>
      <c r="Y307" s="3">
        <f t="shared" si="289"/>
        <v>7.3961604984514118E-3</v>
      </c>
      <c r="Z307" s="3">
        <f t="shared" si="289"/>
        <v>6.7553683342172401E-3</v>
      </c>
      <c r="AA307" s="3">
        <f t="shared" si="289"/>
        <v>2.7294560308438898E-3</v>
      </c>
      <c r="AB307" s="3">
        <f t="shared" si="289"/>
        <v>3.1648037962376108E-7</v>
      </c>
      <c r="AC307" s="3">
        <f t="shared" si="289"/>
        <v>1.3901244231574976E-46</v>
      </c>
      <c r="AD307" s="3">
        <f t="shared" si="289"/>
        <v>0</v>
      </c>
      <c r="AE307" s="3">
        <f t="shared" si="289"/>
        <v>0</v>
      </c>
      <c r="AF307" s="3">
        <f t="shared" si="289"/>
        <v>0</v>
      </c>
      <c r="AG307" s="3"/>
      <c r="AH307" s="3"/>
    </row>
    <row r="308" spans="1:34" x14ac:dyDescent="0.25">
      <c r="B308" s="3">
        <f t="shared" ref="B308:AF308" si="290">$C38*EXP(-B$285/$A38/EXP(-$F$126))</f>
        <v>1.4378472174592341E-3</v>
      </c>
      <c r="C308" s="3">
        <f t="shared" si="290"/>
        <v>1.4378472174592341E-3</v>
      </c>
      <c r="D308" s="3">
        <f t="shared" si="290"/>
        <v>1.4378472174592341E-3</v>
      </c>
      <c r="E308" s="3">
        <f t="shared" si="290"/>
        <v>1.4378472174592341E-3</v>
      </c>
      <c r="F308" s="3">
        <f t="shared" si="290"/>
        <v>1.4378472174592341E-3</v>
      </c>
      <c r="G308" s="3">
        <f t="shared" si="290"/>
        <v>1.4378472174592341E-3</v>
      </c>
      <c r="H308" s="3">
        <f t="shared" si="290"/>
        <v>1.4378472174592341E-3</v>
      </c>
      <c r="I308" s="3">
        <f t="shared" si="290"/>
        <v>1.4378472174592341E-3</v>
      </c>
      <c r="J308" s="3">
        <f t="shared" si="290"/>
        <v>1.4378472174592341E-3</v>
      </c>
      <c r="K308" s="3">
        <f t="shared" si="290"/>
        <v>1.4378472174592341E-3</v>
      </c>
      <c r="L308" s="3">
        <f t="shared" si="290"/>
        <v>1.4378472174592339E-3</v>
      </c>
      <c r="M308" s="3">
        <f t="shared" si="290"/>
        <v>1.4378472174592328E-3</v>
      </c>
      <c r="N308" s="3">
        <f t="shared" si="290"/>
        <v>1.4378472174592211E-3</v>
      </c>
      <c r="O308" s="3">
        <f t="shared" si="290"/>
        <v>1.4378472174591036E-3</v>
      </c>
      <c r="P308" s="3">
        <f t="shared" si="290"/>
        <v>1.4378472174579281E-3</v>
      </c>
      <c r="Q308" s="3">
        <f t="shared" si="290"/>
        <v>1.4378472174461738E-3</v>
      </c>
      <c r="R308" s="3">
        <f t="shared" si="290"/>
        <v>1.4378472173286298E-3</v>
      </c>
      <c r="S308" s="3">
        <f t="shared" si="290"/>
        <v>1.4378472161531905E-3</v>
      </c>
      <c r="T308" s="3">
        <f t="shared" si="290"/>
        <v>1.4378472043987964E-3</v>
      </c>
      <c r="U308" s="3">
        <f t="shared" si="290"/>
        <v>1.4378470868548628E-3</v>
      </c>
      <c r="V308" s="3">
        <f t="shared" si="290"/>
        <v>1.4378459114160547E-3</v>
      </c>
      <c r="W308" s="3">
        <f t="shared" si="290"/>
        <v>1.4378341570808241E-3</v>
      </c>
      <c r="X308" s="3">
        <f t="shared" si="290"/>
        <v>1.4377166190134075E-3</v>
      </c>
      <c r="Y308" s="3">
        <f t="shared" si="290"/>
        <v>1.4365417666682789E-3</v>
      </c>
      <c r="Z308" s="3">
        <f t="shared" si="290"/>
        <v>1.424845916663596E-3</v>
      </c>
      <c r="AA308" s="3">
        <f t="shared" si="290"/>
        <v>1.3129988615297615E-3</v>
      </c>
      <c r="AB308" s="3">
        <f t="shared" si="290"/>
        <v>5.7973406948114885E-4</v>
      </c>
      <c r="AC308" s="3">
        <f t="shared" si="290"/>
        <v>1.6325765841370439E-7</v>
      </c>
      <c r="AD308" s="3">
        <f t="shared" si="290"/>
        <v>5.1206012744571428E-43</v>
      </c>
      <c r="AE308" s="3">
        <f t="shared" si="290"/>
        <v>0</v>
      </c>
      <c r="AF308" s="3">
        <f t="shared" si="290"/>
        <v>0</v>
      </c>
      <c r="AG308" s="3"/>
      <c r="AH308" s="3"/>
    </row>
    <row r="309" spans="1:34" x14ac:dyDescent="0.25">
      <c r="B309" s="3">
        <f t="shared" ref="B309:AF309" si="291">$C39*EXP(-B$285/$A39/EXP(-$F$126))</f>
        <v>4.7686363858368023E-3</v>
      </c>
      <c r="C309" s="3">
        <f t="shared" si="291"/>
        <v>4.7686363858368023E-3</v>
      </c>
      <c r="D309" s="3">
        <f t="shared" si="291"/>
        <v>4.7686363858368023E-3</v>
      </c>
      <c r="E309" s="3">
        <f t="shared" si="291"/>
        <v>4.7686363858368023E-3</v>
      </c>
      <c r="F309" s="3">
        <f t="shared" si="291"/>
        <v>4.7686363858368023E-3</v>
      </c>
      <c r="G309" s="3">
        <f t="shared" si="291"/>
        <v>4.7686363858368023E-3</v>
      </c>
      <c r="H309" s="3">
        <f t="shared" si="291"/>
        <v>4.7686363858368023E-3</v>
      </c>
      <c r="I309" s="3">
        <f t="shared" si="291"/>
        <v>4.7686363858368023E-3</v>
      </c>
      <c r="J309" s="3">
        <f t="shared" si="291"/>
        <v>4.7686363858368023E-3</v>
      </c>
      <c r="K309" s="3">
        <f t="shared" si="291"/>
        <v>4.7686363858368023E-3</v>
      </c>
      <c r="L309" s="3">
        <f t="shared" si="291"/>
        <v>4.7686363858368023E-3</v>
      </c>
      <c r="M309" s="3">
        <f t="shared" si="291"/>
        <v>4.7686363858368015E-3</v>
      </c>
      <c r="N309" s="3">
        <f t="shared" si="291"/>
        <v>4.7686363858367902E-3</v>
      </c>
      <c r="O309" s="3">
        <f t="shared" si="291"/>
        <v>4.7686363858366826E-3</v>
      </c>
      <c r="P309" s="3">
        <f t="shared" si="291"/>
        <v>4.7686363858356045E-3</v>
      </c>
      <c r="Q309" s="3">
        <f t="shared" si="291"/>
        <v>4.7686363858248223E-3</v>
      </c>
      <c r="R309" s="3">
        <f t="shared" si="291"/>
        <v>4.7686363857170032E-3</v>
      </c>
      <c r="S309" s="3">
        <f t="shared" si="291"/>
        <v>4.7686363846388153E-3</v>
      </c>
      <c r="T309" s="3">
        <f t="shared" si="291"/>
        <v>4.768636373856933E-3</v>
      </c>
      <c r="U309" s="3">
        <f t="shared" si="291"/>
        <v>4.7686362660381157E-3</v>
      </c>
      <c r="V309" s="3">
        <f t="shared" si="291"/>
        <v>4.7686351878500743E-3</v>
      </c>
      <c r="W309" s="3">
        <f t="shared" si="291"/>
        <v>4.7686244059830614E-3</v>
      </c>
      <c r="X309" s="3">
        <f t="shared" si="291"/>
        <v>4.7685165886536983E-3</v>
      </c>
      <c r="Y309" s="3">
        <f t="shared" si="291"/>
        <v>4.767438549425641E-3</v>
      </c>
      <c r="Z309" s="3">
        <f t="shared" si="291"/>
        <v>4.7566715524932079E-3</v>
      </c>
      <c r="AA309" s="3">
        <f t="shared" si="291"/>
        <v>4.6503299792925038E-3</v>
      </c>
      <c r="AB309" s="3">
        <f t="shared" si="291"/>
        <v>3.7092818421485454E-3</v>
      </c>
      <c r="AC309" s="3">
        <f t="shared" si="291"/>
        <v>3.8667888844641068E-4</v>
      </c>
      <c r="AD309" s="3">
        <f t="shared" si="291"/>
        <v>5.8607978346915316E-14</v>
      </c>
      <c r="AE309" s="3">
        <f t="shared" si="291"/>
        <v>3.7498986895703837E-112</v>
      </c>
      <c r="AF309" s="3">
        <f t="shared" si="291"/>
        <v>0</v>
      </c>
      <c r="AG309" s="3"/>
      <c r="AH309" s="3"/>
    </row>
    <row r="310" spans="1:34" x14ac:dyDescent="0.25">
      <c r="B310" s="3">
        <f t="shared" ref="B310:AF310" si="292">$C40*EXP(-B$285/$A40/EXP(-$F$126))</f>
        <v>0</v>
      </c>
      <c r="C310" s="3">
        <f t="shared" si="292"/>
        <v>0</v>
      </c>
      <c r="D310" s="3">
        <f t="shared" si="292"/>
        <v>0</v>
      </c>
      <c r="E310" s="3">
        <f t="shared" si="292"/>
        <v>0</v>
      </c>
      <c r="F310" s="3">
        <f t="shared" si="292"/>
        <v>0</v>
      </c>
      <c r="G310" s="3">
        <f t="shared" si="292"/>
        <v>0</v>
      </c>
      <c r="H310" s="3">
        <f t="shared" si="292"/>
        <v>0</v>
      </c>
      <c r="I310" s="3">
        <f t="shared" si="292"/>
        <v>0</v>
      </c>
      <c r="J310" s="3">
        <f t="shared" si="292"/>
        <v>0</v>
      </c>
      <c r="K310" s="3">
        <f t="shared" si="292"/>
        <v>0</v>
      </c>
      <c r="L310" s="3">
        <f t="shared" si="292"/>
        <v>0</v>
      </c>
      <c r="M310" s="3">
        <f t="shared" si="292"/>
        <v>0</v>
      </c>
      <c r="N310" s="3">
        <f t="shared" si="292"/>
        <v>0</v>
      </c>
      <c r="O310" s="3">
        <f t="shared" si="292"/>
        <v>0</v>
      </c>
      <c r="P310" s="3">
        <f t="shared" si="292"/>
        <v>0</v>
      </c>
      <c r="Q310" s="3">
        <f t="shared" si="292"/>
        <v>0</v>
      </c>
      <c r="R310" s="3">
        <f t="shared" si="292"/>
        <v>0</v>
      </c>
      <c r="S310" s="3">
        <f t="shared" si="292"/>
        <v>0</v>
      </c>
      <c r="T310" s="3">
        <f t="shared" si="292"/>
        <v>0</v>
      </c>
      <c r="U310" s="3">
        <f t="shared" si="292"/>
        <v>0</v>
      </c>
      <c r="V310" s="3">
        <f t="shared" si="292"/>
        <v>0</v>
      </c>
      <c r="W310" s="3">
        <f t="shared" si="292"/>
        <v>0</v>
      </c>
      <c r="X310" s="3">
        <f t="shared" si="292"/>
        <v>0</v>
      </c>
      <c r="Y310" s="3">
        <f t="shared" si="292"/>
        <v>0</v>
      </c>
      <c r="Z310" s="3">
        <f t="shared" si="292"/>
        <v>0</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2.0950739363465548E-3</v>
      </c>
      <c r="C311" s="3">
        <f t="shared" si="293"/>
        <v>2.0950739363465548E-3</v>
      </c>
      <c r="D311" s="3">
        <f t="shared" si="293"/>
        <v>2.0950739363465548E-3</v>
      </c>
      <c r="E311" s="3">
        <f t="shared" si="293"/>
        <v>2.0950739363465548E-3</v>
      </c>
      <c r="F311" s="3">
        <f t="shared" si="293"/>
        <v>2.0950739363465548E-3</v>
      </c>
      <c r="G311" s="3">
        <f t="shared" si="293"/>
        <v>2.0950739363465548E-3</v>
      </c>
      <c r="H311" s="3">
        <f t="shared" si="293"/>
        <v>2.0950739363465548E-3</v>
      </c>
      <c r="I311" s="3">
        <f t="shared" si="293"/>
        <v>2.0950739363465548E-3</v>
      </c>
      <c r="J311" s="3">
        <f t="shared" si="293"/>
        <v>2.0950739363465548E-3</v>
      </c>
      <c r="K311" s="3">
        <f t="shared" si="293"/>
        <v>2.0950739363465548E-3</v>
      </c>
      <c r="L311" s="3">
        <f t="shared" si="293"/>
        <v>2.0950739363465548E-3</v>
      </c>
      <c r="M311" s="3">
        <f t="shared" si="293"/>
        <v>2.0950739363465548E-3</v>
      </c>
      <c r="N311" s="3">
        <f t="shared" si="293"/>
        <v>2.0950739363465548E-3</v>
      </c>
      <c r="O311" s="3">
        <f t="shared" si="293"/>
        <v>2.0950739363465544E-3</v>
      </c>
      <c r="P311" s="3">
        <f t="shared" si="293"/>
        <v>2.0950739363465496E-3</v>
      </c>
      <c r="Q311" s="3">
        <f t="shared" si="293"/>
        <v>2.0950739363465023E-3</v>
      </c>
      <c r="R311" s="3">
        <f t="shared" si="293"/>
        <v>2.0950739363460283E-3</v>
      </c>
      <c r="S311" s="3">
        <f t="shared" si="293"/>
        <v>2.0950739363412916E-3</v>
      </c>
      <c r="T311" s="3">
        <f t="shared" si="293"/>
        <v>2.095073936293922E-3</v>
      </c>
      <c r="U311" s="3">
        <f t="shared" si="293"/>
        <v>2.0950739358202258E-3</v>
      </c>
      <c r="V311" s="3">
        <f t="shared" si="293"/>
        <v>2.0950739310832659E-3</v>
      </c>
      <c r="W311" s="3">
        <f t="shared" si="293"/>
        <v>2.0950738837136667E-3</v>
      </c>
      <c r="X311" s="3">
        <f t="shared" si="293"/>
        <v>2.0950734100177331E-3</v>
      </c>
      <c r="Y311" s="3">
        <f t="shared" si="293"/>
        <v>2.0950686730642864E-3</v>
      </c>
      <c r="Z311" s="3">
        <f t="shared" si="293"/>
        <v>2.0950213041188775E-3</v>
      </c>
      <c r="AA311" s="3">
        <f t="shared" si="293"/>
        <v>2.0945476735657557E-3</v>
      </c>
      <c r="AB311" s="3">
        <f t="shared" si="293"/>
        <v>2.0898172532064132E-3</v>
      </c>
      <c r="AC311" s="3">
        <f t="shared" si="293"/>
        <v>2.0430966730790212E-3</v>
      </c>
      <c r="AD311" s="3">
        <f t="shared" si="293"/>
        <v>1.6296523956261463E-3</v>
      </c>
      <c r="AE311" s="3">
        <f t="shared" si="293"/>
        <v>1.698852240706903E-4</v>
      </c>
      <c r="AF311" s="3">
        <f t="shared" si="293"/>
        <v>2.5749090088159157E-14</v>
      </c>
      <c r="AG311" s="3"/>
      <c r="AH311" s="3"/>
    </row>
    <row r="312" spans="1:34" x14ac:dyDescent="0.25">
      <c r="B312" s="3">
        <f t="shared" ref="B312:AF312" si="294">$C42*EXP(-B$285/$A42/EXP(-$F$126))</f>
        <v>1.9210885084110967E-3</v>
      </c>
      <c r="C312" s="3">
        <f t="shared" si="294"/>
        <v>1.9210885084110967E-3</v>
      </c>
      <c r="D312" s="3">
        <f t="shared" si="294"/>
        <v>1.9210885084110967E-3</v>
      </c>
      <c r="E312" s="3">
        <f t="shared" si="294"/>
        <v>1.9210885084110967E-3</v>
      </c>
      <c r="F312" s="3">
        <f t="shared" si="294"/>
        <v>1.9210885084110967E-3</v>
      </c>
      <c r="G312" s="3">
        <f t="shared" si="294"/>
        <v>1.9210885084110967E-3</v>
      </c>
      <c r="H312" s="3">
        <f t="shared" si="294"/>
        <v>1.9210885084110967E-3</v>
      </c>
      <c r="I312" s="3">
        <f t="shared" si="294"/>
        <v>1.9210885084110967E-3</v>
      </c>
      <c r="J312" s="3">
        <f t="shared" si="294"/>
        <v>1.9210885084110967E-3</v>
      </c>
      <c r="K312" s="3">
        <f t="shared" si="294"/>
        <v>1.9210885084110967E-3</v>
      </c>
      <c r="L312" s="3">
        <f t="shared" si="294"/>
        <v>1.9210885084110967E-3</v>
      </c>
      <c r="M312" s="3">
        <f t="shared" si="294"/>
        <v>1.9210885084110967E-3</v>
      </c>
      <c r="N312" s="3">
        <f t="shared" si="294"/>
        <v>1.9210885084110967E-3</v>
      </c>
      <c r="O312" s="3">
        <f t="shared" si="294"/>
        <v>1.9210885084110967E-3</v>
      </c>
      <c r="P312" s="3">
        <f t="shared" si="294"/>
        <v>1.9210885084110963E-3</v>
      </c>
      <c r="Q312" s="3">
        <f t="shared" si="294"/>
        <v>1.9210885084110917E-3</v>
      </c>
      <c r="R312" s="3">
        <f t="shared" si="294"/>
        <v>1.9210885084110486E-3</v>
      </c>
      <c r="S312" s="3">
        <f t="shared" si="294"/>
        <v>1.921088508410614E-3</v>
      </c>
      <c r="T312" s="3">
        <f t="shared" si="294"/>
        <v>1.9210885084062705E-3</v>
      </c>
      <c r="U312" s="3">
        <f t="shared" si="294"/>
        <v>1.9210885083628347E-3</v>
      </c>
      <c r="V312" s="3">
        <f t="shared" si="294"/>
        <v>1.9210885079284767E-3</v>
      </c>
      <c r="W312" s="3">
        <f t="shared" si="294"/>
        <v>1.9210885035848976E-3</v>
      </c>
      <c r="X312" s="3">
        <f t="shared" si="294"/>
        <v>1.9210884601491072E-3</v>
      </c>
      <c r="Y312" s="3">
        <f t="shared" si="294"/>
        <v>1.921088025791255E-3</v>
      </c>
      <c r="Z312" s="3">
        <f t="shared" si="294"/>
        <v>1.9210836822181364E-3</v>
      </c>
      <c r="AA312" s="3">
        <f t="shared" si="294"/>
        <v>1.9210402470270908E-3</v>
      </c>
      <c r="AB312" s="3">
        <f t="shared" si="294"/>
        <v>1.9206059491261671E-3</v>
      </c>
      <c r="AC312" s="3">
        <f t="shared" si="294"/>
        <v>1.9162683665546738E-3</v>
      </c>
      <c r="AD312" s="3">
        <f t="shared" si="294"/>
        <v>1.8734276972914457E-3</v>
      </c>
      <c r="AE312" s="3">
        <f t="shared" si="294"/>
        <v>1.4943179024036796E-3</v>
      </c>
      <c r="AF312" s="3">
        <f t="shared" si="294"/>
        <v>1.5577710459238993E-4</v>
      </c>
      <c r="AG312" s="3"/>
      <c r="AH312" s="3"/>
    </row>
    <row r="313" spans="1:34" x14ac:dyDescent="0.25">
      <c r="B313" s="3">
        <f t="shared" ref="B313:AF313" si="295">$C43*EXP(-B$285/$A43/EXP(-$F$126))</f>
        <v>0</v>
      </c>
      <c r="C313" s="3">
        <f t="shared" si="295"/>
        <v>0</v>
      </c>
      <c r="D313" s="3">
        <f t="shared" si="295"/>
        <v>0</v>
      </c>
      <c r="E313" s="3">
        <f t="shared" si="295"/>
        <v>0</v>
      </c>
      <c r="F313" s="3">
        <f t="shared" si="295"/>
        <v>0</v>
      </c>
      <c r="G313" s="3">
        <f t="shared" si="295"/>
        <v>0</v>
      </c>
      <c r="H313" s="3">
        <f t="shared" si="295"/>
        <v>0</v>
      </c>
      <c r="I313" s="3">
        <f t="shared" si="295"/>
        <v>0</v>
      </c>
      <c r="J313" s="3">
        <f t="shared" si="295"/>
        <v>0</v>
      </c>
      <c r="K313" s="3">
        <f t="shared" si="295"/>
        <v>0</v>
      </c>
      <c r="L313" s="3">
        <f t="shared" si="295"/>
        <v>0</v>
      </c>
      <c r="M313" s="3">
        <f t="shared" si="295"/>
        <v>0</v>
      </c>
      <c r="N313" s="3">
        <f t="shared" si="295"/>
        <v>0</v>
      </c>
      <c r="O313" s="3">
        <f t="shared" si="295"/>
        <v>0</v>
      </c>
      <c r="P313" s="3">
        <f t="shared" si="295"/>
        <v>0</v>
      </c>
      <c r="Q313" s="3">
        <f t="shared" si="295"/>
        <v>0</v>
      </c>
      <c r="R313" s="3">
        <f t="shared" si="295"/>
        <v>0</v>
      </c>
      <c r="S313" s="3">
        <f t="shared" si="295"/>
        <v>0</v>
      </c>
      <c r="T313" s="3">
        <f t="shared" si="295"/>
        <v>0</v>
      </c>
      <c r="U313" s="3">
        <f t="shared" si="295"/>
        <v>0</v>
      </c>
      <c r="V313" s="3">
        <f t="shared" si="295"/>
        <v>0</v>
      </c>
      <c r="W313" s="3">
        <f t="shared" si="295"/>
        <v>0</v>
      </c>
      <c r="X313" s="3">
        <f t="shared" si="295"/>
        <v>0</v>
      </c>
      <c r="Y313" s="3">
        <f t="shared" si="295"/>
        <v>0</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4.6732387958302481E-4</v>
      </c>
      <c r="C314" s="3">
        <f t="shared" si="296"/>
        <v>4.6732387958302481E-4</v>
      </c>
      <c r="D314" s="3">
        <f t="shared" si="296"/>
        <v>4.6732387958302481E-4</v>
      </c>
      <c r="E314" s="3">
        <f t="shared" si="296"/>
        <v>4.6732387958302481E-4</v>
      </c>
      <c r="F314" s="3">
        <f t="shared" si="296"/>
        <v>4.6732387958302481E-4</v>
      </c>
      <c r="G314" s="3">
        <f t="shared" si="296"/>
        <v>4.6732387958302481E-4</v>
      </c>
      <c r="H314" s="3">
        <f t="shared" si="296"/>
        <v>4.6732387958302481E-4</v>
      </c>
      <c r="I314" s="3">
        <f t="shared" si="296"/>
        <v>4.6732387958302481E-4</v>
      </c>
      <c r="J314" s="3">
        <f t="shared" si="296"/>
        <v>4.6732387958302481E-4</v>
      </c>
      <c r="K314" s="3">
        <f t="shared" si="296"/>
        <v>4.6732387958302481E-4</v>
      </c>
      <c r="L314" s="3">
        <f t="shared" si="296"/>
        <v>4.6732387958302481E-4</v>
      </c>
      <c r="M314" s="3">
        <f t="shared" si="296"/>
        <v>4.6732387958302481E-4</v>
      </c>
      <c r="N314" s="3">
        <f t="shared" si="296"/>
        <v>4.6732387958302481E-4</v>
      </c>
      <c r="O314" s="3">
        <f t="shared" si="296"/>
        <v>4.6732387958302481E-4</v>
      </c>
      <c r="P314" s="3">
        <f t="shared" si="296"/>
        <v>4.6732387958302481E-4</v>
      </c>
      <c r="Q314" s="3">
        <f t="shared" si="296"/>
        <v>4.6732387958302481E-4</v>
      </c>
      <c r="R314" s="3">
        <f t="shared" si="296"/>
        <v>4.673238795830247E-4</v>
      </c>
      <c r="S314" s="3">
        <f t="shared" si="296"/>
        <v>4.6732387958302362E-4</v>
      </c>
      <c r="T314" s="3">
        <f t="shared" si="296"/>
        <v>4.673238795830131E-4</v>
      </c>
      <c r="U314" s="3">
        <f t="shared" si="296"/>
        <v>4.6732387958290739E-4</v>
      </c>
      <c r="V314" s="3">
        <f t="shared" si="296"/>
        <v>4.6732387958185078E-4</v>
      </c>
      <c r="W314" s="3">
        <f t="shared" si="296"/>
        <v>4.6732387957128458E-4</v>
      </c>
      <c r="X314" s="3">
        <f t="shared" si="296"/>
        <v>4.6732387946562268E-4</v>
      </c>
      <c r="Y314" s="3">
        <f t="shared" si="296"/>
        <v>4.6732387840900391E-4</v>
      </c>
      <c r="Z314" s="3">
        <f t="shared" si="296"/>
        <v>4.6732386784281601E-4</v>
      </c>
      <c r="AA314" s="3">
        <f t="shared" si="296"/>
        <v>4.6732376218095004E-4</v>
      </c>
      <c r="AB314" s="3">
        <f t="shared" si="296"/>
        <v>4.6732270556360412E-4</v>
      </c>
      <c r="AC314" s="3">
        <f t="shared" si="296"/>
        <v>4.673121395215394E-4</v>
      </c>
      <c r="AD314" s="3">
        <f t="shared" si="296"/>
        <v>4.6720649223924824E-4</v>
      </c>
      <c r="AE314" s="3">
        <f t="shared" si="296"/>
        <v>4.6615133215347035E-4</v>
      </c>
      <c r="AF314" s="3">
        <f t="shared" si="296"/>
        <v>4.5572991342321954E-4</v>
      </c>
      <c r="AG314" s="3"/>
      <c r="AH314" s="3"/>
    </row>
    <row r="315" spans="1:34" x14ac:dyDescent="0.25">
      <c r="B315" s="3">
        <f t="shared" ref="B315:AF315" si="297">$C45*EXP(-B$285/$A45/EXP(-$F$126))</f>
        <v>0</v>
      </c>
      <c r="C315" s="3">
        <f t="shared" si="297"/>
        <v>0</v>
      </c>
      <c r="D315" s="3">
        <f t="shared" si="297"/>
        <v>0</v>
      </c>
      <c r="E315" s="3">
        <f t="shared" si="297"/>
        <v>0</v>
      </c>
      <c r="F315" s="3">
        <f t="shared" si="297"/>
        <v>0</v>
      </c>
      <c r="G315" s="3">
        <f t="shared" si="297"/>
        <v>0</v>
      </c>
      <c r="H315" s="3">
        <f t="shared" si="297"/>
        <v>0</v>
      </c>
      <c r="I315" s="3">
        <f t="shared" si="297"/>
        <v>0</v>
      </c>
      <c r="J315" s="3">
        <f t="shared" si="297"/>
        <v>0</v>
      </c>
      <c r="K315" s="3">
        <f t="shared" si="297"/>
        <v>0</v>
      </c>
      <c r="L315" s="3">
        <f t="shared" si="297"/>
        <v>0</v>
      </c>
      <c r="M315" s="3">
        <f t="shared" si="297"/>
        <v>0</v>
      </c>
      <c r="N315" s="3">
        <f t="shared" si="297"/>
        <v>0</v>
      </c>
      <c r="O315" s="3">
        <f t="shared" si="297"/>
        <v>0</v>
      </c>
      <c r="P315" s="3">
        <f t="shared" si="297"/>
        <v>0</v>
      </c>
      <c r="Q315" s="3">
        <f t="shared" si="297"/>
        <v>0</v>
      </c>
      <c r="R315" s="3">
        <f t="shared" si="297"/>
        <v>0</v>
      </c>
      <c r="S315" s="3">
        <f t="shared" si="297"/>
        <v>0</v>
      </c>
      <c r="T315" s="3">
        <f t="shared" si="297"/>
        <v>0</v>
      </c>
      <c r="U315" s="3">
        <f t="shared" si="297"/>
        <v>0</v>
      </c>
      <c r="V315" s="3">
        <f t="shared" si="297"/>
        <v>0</v>
      </c>
      <c r="W315" s="3">
        <f t="shared" si="297"/>
        <v>0</v>
      </c>
      <c r="X315" s="3">
        <f t="shared" si="297"/>
        <v>0</v>
      </c>
      <c r="Y315" s="3">
        <f t="shared" si="297"/>
        <v>0</v>
      </c>
      <c r="Z315" s="3">
        <f t="shared" si="297"/>
        <v>0</v>
      </c>
      <c r="AA315" s="3">
        <f t="shared" si="297"/>
        <v>0</v>
      </c>
      <c r="AB315" s="3">
        <f t="shared" si="297"/>
        <v>0</v>
      </c>
      <c r="AC315" s="3">
        <f t="shared" si="297"/>
        <v>0</v>
      </c>
      <c r="AD315" s="3">
        <f t="shared" si="297"/>
        <v>0</v>
      </c>
      <c r="AE315" s="3">
        <f t="shared" si="297"/>
        <v>0</v>
      </c>
      <c r="AF315" s="3">
        <f t="shared" si="297"/>
        <v>0</v>
      </c>
      <c r="AG315" s="3"/>
      <c r="AH315" s="3"/>
    </row>
    <row r="316" spans="1:34" x14ac:dyDescent="0.25">
      <c r="B316" s="3">
        <f t="shared" ref="B316:AF316" si="298">$C46*EXP(-B$285/$A46/EXP(-$F$126))</f>
        <v>1.2351806616485092E-4</v>
      </c>
      <c r="C316" s="3">
        <f t="shared" si="298"/>
        <v>1.2351806616485092E-4</v>
      </c>
      <c r="D316" s="3">
        <f t="shared" si="298"/>
        <v>1.2351806616485092E-4</v>
      </c>
      <c r="E316" s="3">
        <f t="shared" si="298"/>
        <v>1.2351806616485092E-4</v>
      </c>
      <c r="F316" s="3">
        <f t="shared" si="298"/>
        <v>1.2351806616485092E-4</v>
      </c>
      <c r="G316" s="3">
        <f t="shared" si="298"/>
        <v>1.2351806616485092E-4</v>
      </c>
      <c r="H316" s="3">
        <f t="shared" si="298"/>
        <v>1.2351806616485092E-4</v>
      </c>
      <c r="I316" s="3">
        <f t="shared" si="298"/>
        <v>1.2351806616485092E-4</v>
      </c>
      <c r="J316" s="3">
        <f t="shared" si="298"/>
        <v>1.2351806616485092E-4</v>
      </c>
      <c r="K316" s="3">
        <f t="shared" si="298"/>
        <v>1.2351806616485092E-4</v>
      </c>
      <c r="L316" s="3">
        <f t="shared" si="298"/>
        <v>1.2351806616485092E-4</v>
      </c>
      <c r="M316" s="3">
        <f t="shared" si="298"/>
        <v>1.2351806616485092E-4</v>
      </c>
      <c r="N316" s="3">
        <f t="shared" si="298"/>
        <v>1.2351806616485092E-4</v>
      </c>
      <c r="O316" s="3">
        <f t="shared" si="298"/>
        <v>1.2351806616485092E-4</v>
      </c>
      <c r="P316" s="3">
        <f t="shared" si="298"/>
        <v>1.2351806616485092E-4</v>
      </c>
      <c r="Q316" s="3">
        <f t="shared" si="298"/>
        <v>1.2351806616485092E-4</v>
      </c>
      <c r="R316" s="3">
        <f t="shared" si="298"/>
        <v>1.2351806616485092E-4</v>
      </c>
      <c r="S316" s="3">
        <f t="shared" si="298"/>
        <v>1.2351806616485092E-4</v>
      </c>
      <c r="T316" s="3">
        <f t="shared" si="298"/>
        <v>1.2351806616485089E-4</v>
      </c>
      <c r="U316" s="3">
        <f t="shared" si="298"/>
        <v>1.235180661648506E-4</v>
      </c>
      <c r="V316" s="3">
        <f t="shared" si="298"/>
        <v>1.2351806616484783E-4</v>
      </c>
      <c r="W316" s="3">
        <f t="shared" si="298"/>
        <v>1.2351806616481989E-4</v>
      </c>
      <c r="X316" s="3">
        <f t="shared" si="298"/>
        <v>1.2351806616454062E-4</v>
      </c>
      <c r="Y316" s="3">
        <f t="shared" si="298"/>
        <v>1.2351806616174788E-4</v>
      </c>
      <c r="Z316" s="3">
        <f t="shared" si="298"/>
        <v>1.2351806613382046E-4</v>
      </c>
      <c r="AA316" s="3">
        <f t="shared" si="298"/>
        <v>1.2351806585454624E-4</v>
      </c>
      <c r="AB316" s="3">
        <f t="shared" si="298"/>
        <v>1.2351806306180408E-4</v>
      </c>
      <c r="AC316" s="3">
        <f t="shared" si="298"/>
        <v>1.2351803513438602E-4</v>
      </c>
      <c r="AD316" s="3">
        <f t="shared" si="298"/>
        <v>1.2351775586055271E-4</v>
      </c>
      <c r="AE316" s="3">
        <f t="shared" si="298"/>
        <v>1.2351496315694851E-4</v>
      </c>
      <c r="AF316" s="3">
        <f t="shared" si="298"/>
        <v>1.2348703959349648E-4</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1.0347942973527732E-3</v>
      </c>
      <c r="C318" s="3">
        <f t="shared" si="300"/>
        <v>1.0347942973527732E-3</v>
      </c>
      <c r="D318" s="3">
        <f t="shared" si="300"/>
        <v>1.0347942973527732E-3</v>
      </c>
      <c r="E318" s="3">
        <f t="shared" si="300"/>
        <v>1.0347942973527732E-3</v>
      </c>
      <c r="F318" s="3">
        <f t="shared" si="300"/>
        <v>1.0347942973527732E-3</v>
      </c>
      <c r="G318" s="3">
        <f t="shared" si="300"/>
        <v>1.0347942973527732E-3</v>
      </c>
      <c r="H318" s="3">
        <f t="shared" si="300"/>
        <v>1.0347942973527732E-3</v>
      </c>
      <c r="I318" s="3">
        <f t="shared" si="300"/>
        <v>1.0347942973527732E-3</v>
      </c>
      <c r="J318" s="3">
        <f t="shared" si="300"/>
        <v>1.0347942973527732E-3</v>
      </c>
      <c r="K318" s="3">
        <f t="shared" si="300"/>
        <v>1.0347942973527732E-3</v>
      </c>
      <c r="L318" s="3">
        <f t="shared" si="300"/>
        <v>1.0347942973527732E-3</v>
      </c>
      <c r="M318" s="3">
        <f t="shared" si="300"/>
        <v>1.0347942973527732E-3</v>
      </c>
      <c r="N318" s="3">
        <f t="shared" si="300"/>
        <v>1.0347942973527732E-3</v>
      </c>
      <c r="O318" s="3">
        <f t="shared" si="300"/>
        <v>1.0347942973527732E-3</v>
      </c>
      <c r="P318" s="3">
        <f t="shared" si="300"/>
        <v>1.0347942973527732E-3</v>
      </c>
      <c r="Q318" s="3">
        <f t="shared" si="300"/>
        <v>1.0347942973527732E-3</v>
      </c>
      <c r="R318" s="3">
        <f t="shared" si="300"/>
        <v>1.0347942973527732E-3</v>
      </c>
      <c r="S318" s="3">
        <f t="shared" si="300"/>
        <v>1.0347942973527732E-3</v>
      </c>
      <c r="T318" s="3">
        <f t="shared" si="300"/>
        <v>1.0347942973527732E-3</v>
      </c>
      <c r="U318" s="3">
        <f t="shared" si="300"/>
        <v>1.0347942973527732E-3</v>
      </c>
      <c r="V318" s="3">
        <f t="shared" si="300"/>
        <v>1.034794297352773E-3</v>
      </c>
      <c r="W318" s="3">
        <f t="shared" si="300"/>
        <v>1.0347942973527706E-3</v>
      </c>
      <c r="X318" s="3">
        <f t="shared" si="300"/>
        <v>1.0347942973527471E-3</v>
      </c>
      <c r="Y318" s="3">
        <f t="shared" si="300"/>
        <v>1.0347942973525132E-3</v>
      </c>
      <c r="Z318" s="3">
        <f t="shared" si="300"/>
        <v>1.0347942973501735E-3</v>
      </c>
      <c r="AA318" s="3">
        <f t="shared" si="300"/>
        <v>1.0347942973267768E-3</v>
      </c>
      <c r="AB318" s="3">
        <f t="shared" si="300"/>
        <v>1.0347942970928099E-3</v>
      </c>
      <c r="AC318" s="3">
        <f t="shared" si="300"/>
        <v>1.0347942947531411E-3</v>
      </c>
      <c r="AD318" s="3">
        <f t="shared" si="300"/>
        <v>1.0347942713564533E-3</v>
      </c>
      <c r="AE318" s="3">
        <f t="shared" si="300"/>
        <v>1.0347940373896024E-3</v>
      </c>
      <c r="AF318" s="3">
        <f t="shared" si="300"/>
        <v>1.0347916977240048E-3</v>
      </c>
      <c r="AG318" s="3"/>
      <c r="AH318" s="3"/>
    </row>
    <row r="319" spans="1:34" x14ac:dyDescent="0.25">
      <c r="A319" s="79">
        <f>AVERAGE(B319:AF319)</f>
        <v>7.4238517838213267E-2</v>
      </c>
      <c r="B319" s="80">
        <f>IF($A$64&lt;=B285,IF($B$64&gt;=B285,ABS((B287-B286)/B286),0),0)</f>
        <v>0.12326934164929368</v>
      </c>
      <c r="C319" s="80">
        <f t="shared" ref="C319:AF319" si="301">IF($A$64&lt;=C285,IF($B$64&gt;=C285,ABS((C287-C286)/C286),0),0)</f>
        <v>0.12215798377951993</v>
      </c>
      <c r="D319" s="80">
        <f t="shared" si="301"/>
        <v>0.10231532395598011</v>
      </c>
      <c r="E319" s="80">
        <f t="shared" si="301"/>
        <v>7.9293069210351272E-2</v>
      </c>
      <c r="F319" s="80">
        <f t="shared" si="301"/>
        <v>5.4945145314787405E-2</v>
      </c>
      <c r="G319" s="80">
        <f t="shared" si="301"/>
        <v>3.170347396754928E-2</v>
      </c>
      <c r="H319" s="80">
        <f t="shared" si="301"/>
        <v>3.3346916710262506E-2</v>
      </c>
      <c r="I319" s="80">
        <f t="shared" si="301"/>
        <v>4.7293774318621258E-2</v>
      </c>
      <c r="J319" s="80">
        <f t="shared" si="301"/>
        <v>4.4603270150401275E-2</v>
      </c>
      <c r="K319" s="80">
        <f t="shared" si="301"/>
        <v>4.3732763992092749E-2</v>
      </c>
      <c r="L319" s="80">
        <f t="shared" si="301"/>
        <v>4.2148605949182572E-2</v>
      </c>
      <c r="M319" s="80">
        <f t="shared" si="301"/>
        <v>4.3395864092277893E-2</v>
      </c>
      <c r="N319" s="80">
        <f t="shared" si="301"/>
        <v>4.4470084548682592E-2</v>
      </c>
      <c r="O319" s="80">
        <f t="shared" si="301"/>
        <v>4.584646883952196E-2</v>
      </c>
      <c r="P319" s="80">
        <f t="shared" si="301"/>
        <v>4.7628671068867118E-2</v>
      </c>
      <c r="Q319" s="80">
        <f t="shared" si="301"/>
        <v>5.2283941960785313E-2</v>
      </c>
      <c r="R319" s="80">
        <f t="shared" si="301"/>
        <v>2.782240501486067E-2</v>
      </c>
      <c r="S319" s="80">
        <f t="shared" si="301"/>
        <v>6.7521611180958785E-2</v>
      </c>
      <c r="T319" s="80">
        <f t="shared" si="301"/>
        <v>0.21708122203243282</v>
      </c>
      <c r="U319" s="80">
        <f t="shared" si="301"/>
        <v>0.3237975934980109</v>
      </c>
      <c r="V319" s="80">
        <f t="shared" si="301"/>
        <v>0.26920407892112896</v>
      </c>
      <c r="W319" s="80">
        <f t="shared" si="301"/>
        <v>0.16811956582778789</v>
      </c>
      <c r="X319" s="80">
        <f t="shared" si="301"/>
        <v>7.5593813511925664E-2</v>
      </c>
      <c r="Y319" s="80">
        <f t="shared" si="301"/>
        <v>4.2827781580429096E-2</v>
      </c>
      <c r="Z319" s="80">
        <f t="shared" si="301"/>
        <v>3.5998094600889756E-2</v>
      </c>
      <c r="AA319" s="80">
        <f t="shared" si="301"/>
        <v>3.6953138426260738E-2</v>
      </c>
      <c r="AB319" s="80">
        <f t="shared" si="301"/>
        <v>3.8470391299661948E-2</v>
      </c>
      <c r="AC319" s="80">
        <f t="shared" si="301"/>
        <v>2.6338230262861503E-3</v>
      </c>
      <c r="AD319" s="80">
        <f t="shared" si="301"/>
        <v>1.2543261506693763E-2</v>
      </c>
      <c r="AE319" s="80">
        <f t="shared" si="301"/>
        <v>1.0198876435722561E-2</v>
      </c>
      <c r="AF319" s="80">
        <f t="shared" si="301"/>
        <v>1.4193696613385081E-2</v>
      </c>
    </row>
    <row r="320" spans="1:34" x14ac:dyDescent="0.25">
      <c r="B320" s="21">
        <f>(B287-B286)^2</f>
        <v>1660996.3272491742</v>
      </c>
      <c r="C320" s="21">
        <f t="shared" ref="C320:AF320" si="302">(C287-C286)^2</f>
        <v>1557650.1758785094</v>
      </c>
      <c r="D320" s="21">
        <f t="shared" si="302"/>
        <v>1044935.2425003912</v>
      </c>
      <c r="E320" s="21">
        <f t="shared" si="302"/>
        <v>596554.55309138913</v>
      </c>
      <c r="F320" s="21">
        <f t="shared" si="302"/>
        <v>271667.1229864161</v>
      </c>
      <c r="G320" s="21">
        <f t="shared" si="302"/>
        <v>85522.529900352805</v>
      </c>
      <c r="H320" s="21">
        <f t="shared" si="302"/>
        <v>89746.48809847908</v>
      </c>
      <c r="I320" s="21">
        <f t="shared" si="302"/>
        <v>168145.62158454803</v>
      </c>
      <c r="J320" s="21">
        <f t="shared" si="302"/>
        <v>137673.12434604869</v>
      </c>
      <c r="K320" s="21">
        <f t="shared" si="302"/>
        <v>121446.78626053907</v>
      </c>
      <c r="L320" s="21">
        <f t="shared" si="302"/>
        <v>104848.96204230109</v>
      </c>
      <c r="M320" s="21">
        <f t="shared" si="302"/>
        <v>103233.10957531144</v>
      </c>
      <c r="N320" s="21">
        <f t="shared" si="302"/>
        <v>100597.86014240749</v>
      </c>
      <c r="O320" s="21">
        <f t="shared" si="302"/>
        <v>98474.889866213111</v>
      </c>
      <c r="P320" s="21">
        <f t="shared" si="302"/>
        <v>97997.551241742229</v>
      </c>
      <c r="Q320" s="21">
        <f t="shared" si="302"/>
        <v>105725.11021804425</v>
      </c>
      <c r="R320" s="21">
        <f t="shared" si="302"/>
        <v>25067.442710148247</v>
      </c>
      <c r="S320" s="21">
        <f t="shared" si="302"/>
        <v>103450.51730187326</v>
      </c>
      <c r="T320" s="21">
        <f t="shared" si="302"/>
        <v>662122.44513244554</v>
      </c>
      <c r="U320" s="21">
        <f t="shared" si="302"/>
        <v>881667.16291772644</v>
      </c>
      <c r="V320" s="21">
        <f t="shared" si="302"/>
        <v>353298.93115606811</v>
      </c>
      <c r="W320" s="21">
        <f t="shared" si="302"/>
        <v>72730.016820971403</v>
      </c>
      <c r="X320" s="21">
        <f t="shared" si="302"/>
        <v>7211.8481651998145</v>
      </c>
      <c r="Y320" s="21">
        <f t="shared" si="302"/>
        <v>1118.1293882990012</v>
      </c>
      <c r="Z320" s="21">
        <f t="shared" si="302"/>
        <v>438.94863358214263</v>
      </c>
      <c r="AA320" s="21">
        <f t="shared" si="302"/>
        <v>311.27100483071365</v>
      </c>
      <c r="AB320" s="21">
        <f t="shared" si="302"/>
        <v>271.50958963920311</v>
      </c>
      <c r="AC320" s="21">
        <f t="shared" si="302"/>
        <v>1.1024520728985796</v>
      </c>
      <c r="AD320" s="21">
        <f t="shared" si="302"/>
        <v>23.351189628912213</v>
      </c>
      <c r="AE320" s="21">
        <f t="shared" si="302"/>
        <v>14.46408055710787</v>
      </c>
      <c r="AF320" s="21">
        <f t="shared" si="302"/>
        <v>25.652728491670004</v>
      </c>
      <c r="AG320" s="3"/>
      <c r="AH320" s="3"/>
    </row>
    <row r="321" spans="1:34" x14ac:dyDescent="0.25">
      <c r="A321" s="71">
        <f>SUM(B321:AF321)</f>
        <v>8452968.2482534014</v>
      </c>
      <c r="B321" s="60">
        <f>IF($A$64&lt;=B285,IF($B$64&gt;=B285,ABS(B320),0),0)</f>
        <v>1660996.3272491742</v>
      </c>
      <c r="C321" s="60">
        <f t="shared" ref="C321" si="303">IF($A$64&lt;=C285,IF($B$64&gt;=C285,ABS(C320),0),0)</f>
        <v>1557650.1758785094</v>
      </c>
      <c r="D321" s="60">
        <f t="shared" ref="D321" si="304">IF($A$64&lt;=D285,IF($B$64&gt;=D285,ABS(D320),0),0)</f>
        <v>1044935.2425003912</v>
      </c>
      <c r="E321" s="60">
        <f t="shared" ref="E321" si="305">IF($A$64&lt;=E285,IF($B$64&gt;=E285,ABS(E320),0),0)</f>
        <v>596554.55309138913</v>
      </c>
      <c r="F321" s="60">
        <f t="shared" ref="F321" si="306">IF($A$64&lt;=F285,IF($B$64&gt;=F285,ABS(F320),0),0)</f>
        <v>271667.1229864161</v>
      </c>
      <c r="G321" s="60">
        <f t="shared" ref="G321" si="307">IF($A$64&lt;=G285,IF($B$64&gt;=G285,ABS(G320),0),0)</f>
        <v>85522.529900352805</v>
      </c>
      <c r="H321" s="60">
        <f t="shared" ref="H321" si="308">IF($A$64&lt;=H285,IF($B$64&gt;=H285,ABS(H320),0),0)</f>
        <v>89746.48809847908</v>
      </c>
      <c r="I321" s="60">
        <f t="shared" ref="I321" si="309">IF($A$64&lt;=I285,IF($B$64&gt;=I285,ABS(I320),0),0)</f>
        <v>168145.62158454803</v>
      </c>
      <c r="J321" s="60">
        <f t="shared" ref="J321" si="310">IF($A$64&lt;=J285,IF($B$64&gt;=J285,ABS(J320),0),0)</f>
        <v>137673.12434604869</v>
      </c>
      <c r="K321" s="60">
        <f t="shared" ref="K321" si="311">IF($A$64&lt;=K285,IF($B$64&gt;=K285,ABS(K320),0),0)</f>
        <v>121446.78626053907</v>
      </c>
      <c r="L321" s="60">
        <f t="shared" ref="L321" si="312">IF($A$64&lt;=L285,IF($B$64&gt;=L285,ABS(L320),0),0)</f>
        <v>104848.96204230109</v>
      </c>
      <c r="M321" s="60">
        <f t="shared" ref="M321" si="313">IF($A$64&lt;=M285,IF($B$64&gt;=M285,ABS(M320),0),0)</f>
        <v>103233.10957531144</v>
      </c>
      <c r="N321" s="60">
        <f t="shared" ref="N321" si="314">IF($A$64&lt;=N285,IF($B$64&gt;=N285,ABS(N320),0),0)</f>
        <v>100597.86014240749</v>
      </c>
      <c r="O321" s="60">
        <f t="shared" ref="O321" si="315">IF($A$64&lt;=O285,IF($B$64&gt;=O285,ABS(O320),0),0)</f>
        <v>98474.889866213111</v>
      </c>
      <c r="P321" s="60">
        <f t="shared" ref="P321" si="316">IF($A$64&lt;=P285,IF($B$64&gt;=P285,ABS(P320),0),0)</f>
        <v>97997.551241742229</v>
      </c>
      <c r="Q321" s="60">
        <f t="shared" ref="Q321" si="317">IF($A$64&lt;=Q285,IF($B$64&gt;=Q285,ABS(Q320),0),0)</f>
        <v>105725.11021804425</v>
      </c>
      <c r="R321" s="60">
        <f t="shared" ref="R321" si="318">IF($A$64&lt;=R285,IF($B$64&gt;=R285,ABS(R320),0),0)</f>
        <v>25067.442710148247</v>
      </c>
      <c r="S321" s="60">
        <f t="shared" ref="S321" si="319">IF($A$64&lt;=S285,IF($B$64&gt;=S285,ABS(S320),0),0)</f>
        <v>103450.51730187326</v>
      </c>
      <c r="T321" s="60">
        <f t="shared" ref="T321" si="320">IF($A$64&lt;=T285,IF($B$64&gt;=T285,ABS(T320),0),0)</f>
        <v>662122.44513244554</v>
      </c>
      <c r="U321" s="60">
        <f t="shared" ref="U321" si="321">IF($A$64&lt;=U285,IF($B$64&gt;=U285,ABS(U320),0),0)</f>
        <v>881667.16291772644</v>
      </c>
      <c r="V321" s="60">
        <f t="shared" ref="V321" si="322">IF($A$64&lt;=V285,IF($B$64&gt;=V285,ABS(V320),0),0)</f>
        <v>353298.93115606811</v>
      </c>
      <c r="W321" s="60">
        <f t="shared" ref="W321" si="323">IF($A$64&lt;=W285,IF($B$64&gt;=W285,ABS(W320),0),0)</f>
        <v>72730.016820971403</v>
      </c>
      <c r="X321" s="60">
        <f t="shared" ref="X321" si="324">IF($A$64&lt;=X285,IF($B$64&gt;=X285,ABS(X320),0),0)</f>
        <v>7211.8481651998145</v>
      </c>
      <c r="Y321" s="60">
        <f t="shared" ref="Y321" si="325">IF($A$64&lt;=Y285,IF($B$64&gt;=Y285,ABS(Y320),0),0)</f>
        <v>1118.1293882990012</v>
      </c>
      <c r="Z321" s="60">
        <f t="shared" ref="Z321" si="326">IF($A$64&lt;=Z285,IF($B$64&gt;=Z285,ABS(Z320),0),0)</f>
        <v>438.94863358214263</v>
      </c>
      <c r="AA321" s="60">
        <f t="shared" ref="AA321" si="327">IF($A$64&lt;=AA285,IF($B$64&gt;=AA285,ABS(AA320),0),0)</f>
        <v>311.27100483071365</v>
      </c>
      <c r="AB321" s="60">
        <f t="shared" ref="AB321" si="328">IF($A$64&lt;=AB285,IF($B$64&gt;=AB285,ABS(AB320),0),0)</f>
        <v>271.50958963920311</v>
      </c>
      <c r="AC321" s="60">
        <f t="shared" ref="AC321" si="329">IF($A$64&lt;=AC285,IF($B$64&gt;=AC285,ABS(AC320),0),0)</f>
        <v>1.1024520728985796</v>
      </c>
      <c r="AD321" s="60">
        <f t="shared" ref="AD321" si="330">IF($A$64&lt;=AD285,IF($B$64&gt;=AD285,ABS(AD320),0),0)</f>
        <v>23.351189628912213</v>
      </c>
      <c r="AE321" s="60">
        <f t="shared" ref="AE321" si="331">IF($A$64&lt;=AE285,IF($B$64&gt;=AE285,ABS(AE320),0),0)</f>
        <v>14.46408055710787</v>
      </c>
      <c r="AF321" s="60">
        <f t="shared" ref="AF321" si="332">IF($A$64&lt;=AF285,IF($B$64&gt;=AF285,ABS(AF320),0),0)</f>
        <v>25.652728491670004</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9761.2866745763949</v>
      </c>
      <c r="C325" s="26">
        <f>INDEX(Comparison!$AM$3:$AS$33,G$14,$G$122)</f>
        <v>9457.0352890406648</v>
      </c>
      <c r="D325" s="26">
        <f>INDEX(Comparison!$AM$3:$AS$33,H$14,$G$122)</f>
        <v>9203.9756041421206</v>
      </c>
      <c r="E325" s="26">
        <f>INDEX(Comparison!$AM$3:$AS$33,I$14,$G$122)</f>
        <v>8950.159395690147</v>
      </c>
      <c r="F325" s="26">
        <f>INDEX(Comparison!$AM$3:$AS$33,J$14,$G$122)</f>
        <v>8675.2521191856285</v>
      </c>
      <c r="G325" s="26">
        <f>INDEX(Comparison!$AM$3:$AS$33,K$14,$G$122)</f>
        <v>8343.5058150850455</v>
      </c>
      <c r="H325" s="26">
        <f>INDEX(Comparison!$AM$3:$AS$33,L$14,$G$122)</f>
        <v>7990.5188430178014</v>
      </c>
      <c r="I325" s="26">
        <f>INDEX(Comparison!$AM$3:$AS$33,M$14,$G$122)</f>
        <v>7680.5790598342728</v>
      </c>
      <c r="J325" s="26">
        <f>INDEX(Comparison!$AM$3:$AS$33,N$14,$G$122)</f>
        <v>7412.8102086341796</v>
      </c>
      <c r="K325" s="26">
        <f>INDEX(Comparison!$AM$3:$AS$33,O$14,$G$122)</f>
        <v>7140.1987157287695</v>
      </c>
      <c r="L325" s="26">
        <f>INDEX(Comparison!$AM$3:$AS$33,P$14,$G$122)</f>
        <v>6866.3570711275343</v>
      </c>
      <c r="M325" s="26">
        <f>INDEX(Comparison!$AM$3:$AS$33,Q$14,$G$122)</f>
        <v>6590.7809918049779</v>
      </c>
      <c r="N325" s="26">
        <f>INDEX(Comparison!$AM$3:$AS$33,R$14,$G$122)</f>
        <v>6298.9484082003064</v>
      </c>
      <c r="O325" s="26">
        <f>INDEX(Comparison!$AM$3:$AS$33,S$14,$G$122)</f>
        <v>5945.6821100901007</v>
      </c>
      <c r="P325" s="26">
        <f>INDEX(Comparison!$AM$3:$AS$33,T$14,$G$122)</f>
        <v>5548.4424875147679</v>
      </c>
      <c r="Q325" s="26">
        <f>INDEX(Comparison!$AM$3:$AS$33,U$14,$G$122)</f>
        <v>4973.8956031837224</v>
      </c>
      <c r="R325" s="26">
        <f>INDEX(Comparison!$AM$3:$AS$33,V$14,$G$122)</f>
        <v>4041.6864062630743</v>
      </c>
      <c r="S325" s="26">
        <f>INDEX(Comparison!$AM$3:$AS$33,W$14,$G$122)</f>
        <v>2997.7303823547541</v>
      </c>
      <c r="T325" s="26">
        <f>INDEX(Comparison!$AM$3:$AS$33,X$14,$G$122)</f>
        <v>2118.9396419195423</v>
      </c>
      <c r="U325" s="26">
        <f>INDEX(Comparison!$AM$3:$AS$33,Y$14,$G$122)</f>
        <v>1431.9051140793895</v>
      </c>
      <c r="V325" s="26">
        <f>INDEX(Comparison!$AM$3:$AS$33,Z$14,$G$122)</f>
        <v>967.83847313448518</v>
      </c>
      <c r="W325" s="26">
        <f>INDEX(Comparison!$AM$3:$AS$33,AA$14,$G$122)</f>
        <v>675.63698437161315</v>
      </c>
      <c r="X325" s="26">
        <f>INDEX(Comparison!$AM$3:$AS$33,AB$14,$G$122)</f>
        <v>531.67099399258564</v>
      </c>
      <c r="Y325" s="26">
        <f>INDEX(Comparison!$AM$3:$AS$33,AC$14,$G$122)</f>
        <v>453.91977153237434</v>
      </c>
      <c r="Z325" s="26">
        <f>INDEX(Comparison!$AM$3:$AS$33,AD$14,$G$122)</f>
        <v>417.85505040960345</v>
      </c>
      <c r="AA325" s="26">
        <f>INDEX(Comparison!$AM$3:$AS$33,AE$14,$G$122)</f>
        <v>391.91620643386665</v>
      </c>
      <c r="AB325" s="26">
        <f>INDEX(Comparison!$AM$3:$AS$33,AF$14,$G$122)</f>
        <v>379.02694798430821</v>
      </c>
      <c r="AC325" s="26">
        <f>INDEX(Comparison!$AM$3:$AS$33,AG$14,$G$122)</f>
        <v>367.59357086994629</v>
      </c>
      <c r="AD325" s="26">
        <f>INDEX(Comparison!$AM$3:$AS$33,AH$14,$G$122)</f>
        <v>348.16027376363564</v>
      </c>
      <c r="AE325" s="26">
        <f>INDEX(Comparison!$AM$3:$AS$33,AI$14,$G$122)</f>
        <v>346.81429429478277</v>
      </c>
      <c r="AF325" s="26">
        <f>INDEX(Comparison!$AM$3:$AS$33,AJ$14,$G$122)</f>
        <v>343.74512434370951</v>
      </c>
      <c r="AG325" s="26"/>
      <c r="AH325" s="26"/>
    </row>
    <row r="326" spans="1:34" x14ac:dyDescent="0.25">
      <c r="A326" s="77" t="s">
        <v>22</v>
      </c>
      <c r="B326" s="27">
        <f>($C$17+SUM(B327:B357))*$B$51</f>
        <v>8968.5937277658049</v>
      </c>
      <c r="C326" s="27">
        <f t="shared" ref="C326:AF326" si="333">($C$17+SUM(C327:C357))*$B$51</f>
        <v>8967.6086843131798</v>
      </c>
      <c r="D326" s="27">
        <f t="shared" si="333"/>
        <v>8957.8440919576133</v>
      </c>
      <c r="E326" s="27">
        <f t="shared" si="333"/>
        <v>8868.2767035014713</v>
      </c>
      <c r="F326" s="27">
        <f t="shared" si="333"/>
        <v>8444.7540436008458</v>
      </c>
      <c r="G326" s="27">
        <f t="shared" si="333"/>
        <v>8114.6944779345749</v>
      </c>
      <c r="H326" s="27">
        <f t="shared" si="333"/>
        <v>7778.3294121596846</v>
      </c>
      <c r="I326" s="27">
        <f t="shared" si="333"/>
        <v>7498.917194286395</v>
      </c>
      <c r="J326" s="27">
        <f t="shared" si="333"/>
        <v>7229.8518481280862</v>
      </c>
      <c r="K326" s="27">
        <f t="shared" si="333"/>
        <v>6964.6668167825555</v>
      </c>
      <c r="L326" s="27">
        <f t="shared" si="333"/>
        <v>6688.2542555301616</v>
      </c>
      <c r="M326" s="27">
        <f t="shared" si="333"/>
        <v>6420.6238396764556</v>
      </c>
      <c r="N326" s="27">
        <f t="shared" si="333"/>
        <v>6107.7491709536071</v>
      </c>
      <c r="O326" s="27">
        <f t="shared" si="333"/>
        <v>5746.0959901405522</v>
      </c>
      <c r="P326" s="27">
        <f t="shared" si="333"/>
        <v>5354.0093992276406</v>
      </c>
      <c r="Q326" s="27">
        <f t="shared" si="333"/>
        <v>4877.4185800136138</v>
      </c>
      <c r="R326" s="27">
        <f t="shared" si="333"/>
        <v>4284.9801557314013</v>
      </c>
      <c r="S326" s="27">
        <f t="shared" si="333"/>
        <v>3426.4923049520862</v>
      </c>
      <c r="T326" s="27">
        <f t="shared" si="333"/>
        <v>2361.8221578391044</v>
      </c>
      <c r="U326" s="27">
        <f t="shared" si="333"/>
        <v>1531.5160725376443</v>
      </c>
      <c r="V326" s="27">
        <f t="shared" si="333"/>
        <v>983.37921417271423</v>
      </c>
      <c r="W326" s="27">
        <f t="shared" si="333"/>
        <v>690.79571939460982</v>
      </c>
      <c r="X326" s="27">
        <f t="shared" si="333"/>
        <v>536.90562189863851</v>
      </c>
      <c r="Y326" s="27">
        <f t="shared" si="333"/>
        <v>463.79777025685053</v>
      </c>
      <c r="Z326" s="27">
        <f t="shared" si="333"/>
        <v>423.29818515109997</v>
      </c>
      <c r="AA326" s="27">
        <f t="shared" si="333"/>
        <v>394.14716857095357</v>
      </c>
      <c r="AB326" s="27">
        <f t="shared" si="333"/>
        <v>382.08456746614041</v>
      </c>
      <c r="AC326" s="27">
        <f t="shared" si="333"/>
        <v>360.72501322378974</v>
      </c>
      <c r="AD326" s="27">
        <f t="shared" si="333"/>
        <v>349.77112988208484</v>
      </c>
      <c r="AE326" s="27">
        <f t="shared" si="333"/>
        <v>347.37065525230469</v>
      </c>
      <c r="AF326" s="27">
        <f t="shared" si="333"/>
        <v>344.69567940332854</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4.9165874042424021E-2</v>
      </c>
      <c r="C328" s="3">
        <f t="shared" si="335"/>
        <v>4.9083820122589647E-2</v>
      </c>
      <c r="D328" s="3">
        <f t="shared" si="335"/>
        <v>4.8270775119395766E-2</v>
      </c>
      <c r="E328" s="3">
        <f t="shared" si="335"/>
        <v>4.0845426991805996E-2</v>
      </c>
      <c r="F328" s="3">
        <f t="shared" si="335"/>
        <v>7.6866148132575529E-3</v>
      </c>
      <c r="G328" s="3">
        <f t="shared" si="335"/>
        <v>4.2820516271184377E-10</v>
      </c>
      <c r="H328" s="3">
        <f t="shared" si="335"/>
        <v>1.2325930228029227E-82</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2.5308007190537538E-2</v>
      </c>
      <c r="C329" s="3">
        <f t="shared" si="336"/>
        <v>2.5304194162103798E-2</v>
      </c>
      <c r="D329" s="3">
        <f t="shared" si="336"/>
        <v>2.5266095460414677E-2</v>
      </c>
      <c r="E329" s="3">
        <f t="shared" si="336"/>
        <v>2.488824917169882E-2</v>
      </c>
      <c r="F329" s="3">
        <f t="shared" si="336"/>
        <v>2.1407033103952856E-2</v>
      </c>
      <c r="G329" s="3">
        <f t="shared" si="336"/>
        <v>4.7443620802468545E-3</v>
      </c>
      <c r="H329" s="3">
        <f t="shared" si="336"/>
        <v>1.3564109297976953E-9</v>
      </c>
      <c r="I329" s="3">
        <f t="shared" si="336"/>
        <v>4.9490954022019258E-75</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3.419446507170882E-2</v>
      </c>
      <c r="C330" s="3">
        <f t="shared" si="337"/>
        <v>3.4194000295095853E-2</v>
      </c>
      <c r="D330" s="3">
        <f t="shared" si="337"/>
        <v>3.4189352876404573E-2</v>
      </c>
      <c r="E330" s="3">
        <f t="shared" si="337"/>
        <v>3.4142913415855652E-2</v>
      </c>
      <c r="F330" s="3">
        <f t="shared" si="337"/>
        <v>3.3681974045721014E-2</v>
      </c>
      <c r="G330" s="3">
        <f t="shared" si="337"/>
        <v>2.9401340946773439E-2</v>
      </c>
      <c r="H330" s="3">
        <f t="shared" si="337"/>
        <v>7.5520203725459242E-3</v>
      </c>
      <c r="I330" s="3">
        <f t="shared" si="337"/>
        <v>9.4411152286139297E-9</v>
      </c>
      <c r="J330" s="3">
        <f t="shared" si="337"/>
        <v>8.8028793963508185E-68</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2.2721573842227359E-2</v>
      </c>
      <c r="C331" s="3">
        <f t="shared" si="338"/>
        <v>2.2721545982546391E-2</v>
      </c>
      <c r="D331" s="3">
        <f t="shared" si="338"/>
        <v>2.2721267387615467E-2</v>
      </c>
      <c r="E331" s="3">
        <f t="shared" si="338"/>
        <v>2.271848162617528E-2</v>
      </c>
      <c r="F331" s="3">
        <f t="shared" si="338"/>
        <v>2.2690642790158946E-2</v>
      </c>
      <c r="G331" s="3">
        <f t="shared" si="338"/>
        <v>2.2414123777233456E-2</v>
      </c>
      <c r="H331" s="3">
        <f t="shared" si="338"/>
        <v>1.9827658741740695E-2</v>
      </c>
      <c r="I331" s="3">
        <f t="shared" si="338"/>
        <v>5.8179251840158068E-3</v>
      </c>
      <c r="J331" s="3">
        <f t="shared" si="338"/>
        <v>2.7525492454890036E-8</v>
      </c>
      <c r="K331" s="3">
        <f t="shared" si="338"/>
        <v>1.5466952532679339E-61</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2.5892610000179662E-2</v>
      </c>
      <c r="C332" s="3">
        <f t="shared" si="339"/>
        <v>2.5892607136262895E-2</v>
      </c>
      <c r="D332" s="3">
        <f t="shared" si="339"/>
        <v>2.5892578497112663E-2</v>
      </c>
      <c r="E332" s="3">
        <f t="shared" si="339"/>
        <v>2.5892292107352548E-2</v>
      </c>
      <c r="F332" s="3">
        <f t="shared" si="339"/>
        <v>2.5889428383967371E-2</v>
      </c>
      <c r="G332" s="3">
        <f t="shared" si="339"/>
        <v>2.5860808564584364E-2</v>
      </c>
      <c r="H332" s="3">
        <f t="shared" si="339"/>
        <v>2.5576344711835688E-2</v>
      </c>
      <c r="I332" s="3">
        <f t="shared" si="339"/>
        <v>2.2898247681107826E-2</v>
      </c>
      <c r="J332" s="3">
        <f t="shared" si="339"/>
        <v>7.576000051186498E-3</v>
      </c>
      <c r="K332" s="3">
        <f t="shared" si="339"/>
        <v>1.1907406273485606E-7</v>
      </c>
      <c r="L332" s="3">
        <f t="shared" si="339"/>
        <v>1.0954415253684015E-55</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2.3275396510147917E-2</v>
      </c>
      <c r="C333" s="3">
        <f t="shared" si="340"/>
        <v>2.3275396277912603E-2</v>
      </c>
      <c r="D333" s="3">
        <f t="shared" si="340"/>
        <v>2.3275393955559574E-2</v>
      </c>
      <c r="E333" s="3">
        <f t="shared" si="340"/>
        <v>2.3275370732042028E-2</v>
      </c>
      <c r="F333" s="3">
        <f t="shared" si="340"/>
        <v>2.3275138498141008E-2</v>
      </c>
      <c r="G333" s="3">
        <f t="shared" si="340"/>
        <v>2.3272816286570401E-2</v>
      </c>
      <c r="H333" s="3">
        <f t="shared" si="340"/>
        <v>2.3249606910118403E-2</v>
      </c>
      <c r="I333" s="3">
        <f t="shared" si="340"/>
        <v>2.3018782380512196E-2</v>
      </c>
      <c r="J333" s="3">
        <f t="shared" si="340"/>
        <v>2.0832897316404319E-2</v>
      </c>
      <c r="K333" s="3">
        <f t="shared" si="340"/>
        <v>7.6810914300537506E-3</v>
      </c>
      <c r="L333" s="3">
        <f t="shared" si="340"/>
        <v>3.5657882428238374E-7</v>
      </c>
      <c r="M333" s="3">
        <f t="shared" si="340"/>
        <v>1.6576074457459232E-50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2.7259427338496903E-2</v>
      </c>
      <c r="C334" s="3">
        <f t="shared" si="341"/>
        <v>2.7259427313961426E-2</v>
      </c>
      <c r="D334" s="3">
        <f t="shared" si="341"/>
        <v>2.7259427068606661E-2</v>
      </c>
      <c r="E334" s="3">
        <f t="shared" si="341"/>
        <v>2.725942461505915E-2</v>
      </c>
      <c r="F334" s="3">
        <f t="shared" si="341"/>
        <v>2.7259400079596201E-2</v>
      </c>
      <c r="G334" s="3">
        <f t="shared" si="341"/>
        <v>2.7259154726181272E-2</v>
      </c>
      <c r="H334" s="3">
        <f t="shared" si="341"/>
        <v>2.7256701313487987E-2</v>
      </c>
      <c r="I334" s="3">
        <f t="shared" si="341"/>
        <v>2.7232179328108733E-2</v>
      </c>
      <c r="J334" s="3">
        <f t="shared" si="341"/>
        <v>2.6988169595928906E-2</v>
      </c>
      <c r="K334" s="3">
        <f t="shared" si="341"/>
        <v>2.466514959867382E-2</v>
      </c>
      <c r="L334" s="3">
        <f t="shared" si="341"/>
        <v>1.0027368755098715E-2</v>
      </c>
      <c r="M334" s="3">
        <f t="shared" si="341"/>
        <v>1.236571722785567E-6</v>
      </c>
      <c r="N334" s="3">
        <f t="shared" si="341"/>
        <v>1.0058716277120954E-45</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2.1214287036593553E-2</v>
      </c>
      <c r="C335" s="3">
        <f t="shared" si="342"/>
        <v>2.1214287034871077E-2</v>
      </c>
      <c r="D335" s="3">
        <f t="shared" si="342"/>
        <v>2.1214287017646331E-2</v>
      </c>
      <c r="E335" s="3">
        <f t="shared" si="342"/>
        <v>2.1214286845398885E-2</v>
      </c>
      <c r="F335" s="3">
        <f t="shared" si="342"/>
        <v>2.1214285122924476E-2</v>
      </c>
      <c r="G335" s="3">
        <f t="shared" si="342"/>
        <v>2.1214267898188092E-2</v>
      </c>
      <c r="H335" s="3">
        <f t="shared" si="342"/>
        <v>2.1214095651593459E-2</v>
      </c>
      <c r="I335" s="3">
        <f t="shared" si="342"/>
        <v>2.1212373262564647E-2</v>
      </c>
      <c r="J335" s="3">
        <f t="shared" si="342"/>
        <v>2.119515706171967E-2</v>
      </c>
      <c r="K335" s="3">
        <f t="shared" si="342"/>
        <v>2.102376169254476E-2</v>
      </c>
      <c r="L335" s="3">
        <f t="shared" si="342"/>
        <v>1.9384217972766859E-2</v>
      </c>
      <c r="M335" s="3">
        <f t="shared" si="342"/>
        <v>8.6065061009073466E-3</v>
      </c>
      <c r="N335" s="3">
        <f t="shared" si="342"/>
        <v>2.5621989156951013E-6</v>
      </c>
      <c r="O335" s="3">
        <f t="shared" si="342"/>
        <v>1.4011107468732585E-41</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3.4718036830448294E-2</v>
      </c>
      <c r="C336" s="3">
        <f t="shared" si="343"/>
        <v>3.4718036830194011E-2</v>
      </c>
      <c r="D336" s="3">
        <f t="shared" si="343"/>
        <v>3.4718036827651129E-2</v>
      </c>
      <c r="E336" s="3">
        <f t="shared" si="343"/>
        <v>3.471803680222231E-2</v>
      </c>
      <c r="F336" s="3">
        <f t="shared" si="343"/>
        <v>3.4718036547934171E-2</v>
      </c>
      <c r="G336" s="3">
        <f t="shared" si="343"/>
        <v>3.4718034005052856E-2</v>
      </c>
      <c r="H336" s="3">
        <f t="shared" si="343"/>
        <v>3.4718008576250008E-2</v>
      </c>
      <c r="I336" s="3">
        <f t="shared" si="343"/>
        <v>3.4717754289245832E-2</v>
      </c>
      <c r="J336" s="3">
        <f t="shared" si="343"/>
        <v>3.4715211521638659E-2</v>
      </c>
      <c r="K336" s="3">
        <f t="shared" si="343"/>
        <v>3.4689794086251433E-2</v>
      </c>
      <c r="L336" s="3">
        <f t="shared" si="343"/>
        <v>3.4436641031004522E-2</v>
      </c>
      <c r="M336" s="3">
        <f t="shared" si="343"/>
        <v>3.2004525990592642E-2</v>
      </c>
      <c r="N336" s="3">
        <f t="shared" si="343"/>
        <v>1.5385710551675516E-2</v>
      </c>
      <c r="O336" s="3">
        <f t="shared" si="343"/>
        <v>1.0143297022566072E-5</v>
      </c>
      <c r="P336" s="3">
        <f t="shared" si="343"/>
        <v>1.5732400501610983E-37</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3.0541725700357968E-2</v>
      </c>
      <c r="C337" s="3">
        <f t="shared" si="344"/>
        <v>3.054172570033779E-2</v>
      </c>
      <c r="D337" s="3">
        <f t="shared" si="344"/>
        <v>3.0541725700135993E-2</v>
      </c>
      <c r="E337" s="3">
        <f t="shared" si="344"/>
        <v>3.0541725698118038E-2</v>
      </c>
      <c r="F337" s="3">
        <f t="shared" si="344"/>
        <v>3.0541725677938506E-2</v>
      </c>
      <c r="G337" s="3">
        <f t="shared" si="344"/>
        <v>3.0541725476143176E-2</v>
      </c>
      <c r="H337" s="3">
        <f t="shared" si="344"/>
        <v>3.0541723458189951E-2</v>
      </c>
      <c r="I337" s="3">
        <f t="shared" si="344"/>
        <v>3.0541703278665028E-2</v>
      </c>
      <c r="J337" s="3">
        <f t="shared" si="344"/>
        <v>3.0541501484149126E-2</v>
      </c>
      <c r="K337" s="3">
        <f t="shared" si="344"/>
        <v>3.0539483612319743E-2</v>
      </c>
      <c r="L337" s="3">
        <f t="shared" si="344"/>
        <v>3.0519312225197465E-2</v>
      </c>
      <c r="M337" s="3">
        <f t="shared" si="344"/>
        <v>3.0318329682066689E-2</v>
      </c>
      <c r="N337" s="3">
        <f t="shared" si="344"/>
        <v>2.8379880366462128E-2</v>
      </c>
      <c r="O337" s="3">
        <f t="shared" si="344"/>
        <v>1.4657619801481005E-2</v>
      </c>
      <c r="P337" s="3">
        <f t="shared" si="344"/>
        <v>1.979668048311208E-5</v>
      </c>
      <c r="Q337" s="3">
        <f t="shared" si="344"/>
        <v>3.9983571566634906E-34</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4.0592217810354506E-2</v>
      </c>
      <c r="C338" s="3">
        <f t="shared" si="345"/>
        <v>4.0592217810352084E-2</v>
      </c>
      <c r="D338" s="3">
        <f t="shared" si="345"/>
        <v>4.0592217810327895E-2</v>
      </c>
      <c r="E338" s="3">
        <f t="shared" si="345"/>
        <v>4.0592217810085957E-2</v>
      </c>
      <c r="F338" s="3">
        <f t="shared" si="345"/>
        <v>4.0592217807666559E-2</v>
      </c>
      <c r="G338" s="3">
        <f t="shared" si="345"/>
        <v>4.0592217783472599E-2</v>
      </c>
      <c r="H338" s="3">
        <f t="shared" si="345"/>
        <v>4.0592217541533034E-2</v>
      </c>
      <c r="I338" s="3">
        <f t="shared" si="345"/>
        <v>4.0592215122137378E-2</v>
      </c>
      <c r="J338" s="3">
        <f t="shared" si="345"/>
        <v>4.0592190928188783E-2</v>
      </c>
      <c r="K338" s="3">
        <f t="shared" si="345"/>
        <v>4.0591948989495946E-2</v>
      </c>
      <c r="L338" s="3">
        <f t="shared" si="345"/>
        <v>4.0589529681876693E-2</v>
      </c>
      <c r="M338" s="3">
        <f t="shared" si="345"/>
        <v>4.0565344534846712E-2</v>
      </c>
      <c r="N338" s="3">
        <f t="shared" si="345"/>
        <v>4.0324284234975818E-2</v>
      </c>
      <c r="O338" s="3">
        <f t="shared" si="345"/>
        <v>3.799108098586701E-2</v>
      </c>
      <c r="P338" s="3">
        <f t="shared" si="345"/>
        <v>2.0933000701210482E-2</v>
      </c>
      <c r="Q338" s="3">
        <f t="shared" si="345"/>
        <v>5.3992055042778543E-5</v>
      </c>
      <c r="R338" s="3">
        <f t="shared" si="345"/>
        <v>7.0358011512216237E-31</v>
      </c>
      <c r="S338" s="3">
        <f t="shared" si="345"/>
        <v>9.9346036540954997E-290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4.4579554777240765E-2</v>
      </c>
      <c r="C339" s="3">
        <f t="shared" si="346"/>
        <v>4.4579554777240522E-2</v>
      </c>
      <c r="D339" s="3">
        <f t="shared" si="346"/>
        <v>4.4579554777238128E-2</v>
      </c>
      <c r="E339" s="3">
        <f t="shared" si="346"/>
        <v>4.4579554777214161E-2</v>
      </c>
      <c r="F339" s="3">
        <f t="shared" si="346"/>
        <v>4.4579554776974478E-2</v>
      </c>
      <c r="G339" s="3">
        <f t="shared" si="346"/>
        <v>4.457955477457759E-2</v>
      </c>
      <c r="H339" s="3">
        <f t="shared" si="346"/>
        <v>4.4579554750608784E-2</v>
      </c>
      <c r="I339" s="3">
        <f t="shared" si="346"/>
        <v>4.4579554510920695E-2</v>
      </c>
      <c r="J339" s="3">
        <f t="shared" si="346"/>
        <v>4.4579552114039904E-2</v>
      </c>
      <c r="K339" s="3">
        <f t="shared" si="346"/>
        <v>4.4579528145239085E-2</v>
      </c>
      <c r="L339" s="3">
        <f t="shared" si="346"/>
        <v>4.4579288457939618E-2</v>
      </c>
      <c r="M339" s="3">
        <f t="shared" si="346"/>
        <v>4.4576891655822778E-2</v>
      </c>
      <c r="N339" s="3">
        <f t="shared" si="346"/>
        <v>4.4552930721025154E-2</v>
      </c>
      <c r="O339" s="3">
        <f t="shared" si="346"/>
        <v>4.4314028602415435E-2</v>
      </c>
      <c r="P339" s="3">
        <f t="shared" si="346"/>
        <v>4.1994343427252875E-2</v>
      </c>
      <c r="Q339" s="3">
        <f t="shared" si="346"/>
        <v>2.4529371135387289E-2</v>
      </c>
      <c r="R339" s="3">
        <f t="shared" si="346"/>
        <v>1.1340771530477481E-4</v>
      </c>
      <c r="S339" s="3">
        <f t="shared" si="346"/>
        <v>5.0606286721480164E-28</v>
      </c>
      <c r="T339" s="3">
        <f t="shared" si="346"/>
        <v>1.5842480322319799E-261</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6.2079559793872717E-2</v>
      </c>
      <c r="C340" s="3">
        <f t="shared" si="347"/>
        <v>6.2079559793872682E-2</v>
      </c>
      <c r="D340" s="3">
        <f t="shared" si="347"/>
        <v>6.2079559793872377E-2</v>
      </c>
      <c r="E340" s="3">
        <f t="shared" si="347"/>
        <v>6.2079559793869372E-2</v>
      </c>
      <c r="F340" s="3">
        <f t="shared" si="347"/>
        <v>6.2079559793839265E-2</v>
      </c>
      <c r="G340" s="3">
        <f t="shared" si="347"/>
        <v>6.2079559793538165E-2</v>
      </c>
      <c r="H340" s="3">
        <f t="shared" si="347"/>
        <v>6.2079559790527199E-2</v>
      </c>
      <c r="I340" s="3">
        <f t="shared" si="347"/>
        <v>6.2079559760417527E-2</v>
      </c>
      <c r="J340" s="3">
        <f t="shared" si="347"/>
        <v>6.2079559459320865E-2</v>
      </c>
      <c r="K340" s="3">
        <f t="shared" si="347"/>
        <v>6.2079556448354334E-2</v>
      </c>
      <c r="L340" s="3">
        <f t="shared" si="347"/>
        <v>6.2079526338696969E-2</v>
      </c>
      <c r="M340" s="3">
        <f t="shared" si="347"/>
        <v>6.2079225242926618E-2</v>
      </c>
      <c r="N340" s="3">
        <f t="shared" si="347"/>
        <v>6.2076214365541858E-2</v>
      </c>
      <c r="O340" s="3">
        <f t="shared" si="347"/>
        <v>6.204611362213442E-2</v>
      </c>
      <c r="P340" s="3">
        <f t="shared" si="347"/>
        <v>6.1745907792831976E-2</v>
      </c>
      <c r="Q340" s="3">
        <f t="shared" si="347"/>
        <v>5.8822589917815422E-2</v>
      </c>
      <c r="R340" s="3">
        <f t="shared" si="347"/>
        <v>3.6216273785783591E-2</v>
      </c>
      <c r="S340" s="3">
        <f t="shared" si="347"/>
        <v>2.8346535580256303E-4</v>
      </c>
      <c r="T340" s="3">
        <f t="shared" si="347"/>
        <v>2.4460325176741514E-25</v>
      </c>
      <c r="U340" s="3">
        <f t="shared" si="347"/>
        <v>5.5986665808875703E-236</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0.10578931784531295</v>
      </c>
      <c r="C341" s="3">
        <f t="shared" si="348"/>
        <v>0.10578931784531295</v>
      </c>
      <c r="D341" s="3">
        <f t="shared" si="348"/>
        <v>0.10578931784531291</v>
      </c>
      <c r="E341" s="3">
        <f t="shared" si="348"/>
        <v>0.10578931784531244</v>
      </c>
      <c r="F341" s="3">
        <f t="shared" si="348"/>
        <v>0.1057893178453078</v>
      </c>
      <c r="G341" s="3">
        <f t="shared" si="348"/>
        <v>0.10578931784526152</v>
      </c>
      <c r="H341" s="3">
        <f t="shared" si="348"/>
        <v>0.10578931784479867</v>
      </c>
      <c r="I341" s="3">
        <f t="shared" si="348"/>
        <v>0.10578931784017011</v>
      </c>
      <c r="J341" s="3">
        <f t="shared" si="348"/>
        <v>0.10578931779388454</v>
      </c>
      <c r="K341" s="3">
        <f t="shared" si="348"/>
        <v>0.10578931733102873</v>
      </c>
      <c r="L341" s="3">
        <f t="shared" si="348"/>
        <v>0.10578931270247073</v>
      </c>
      <c r="M341" s="3">
        <f t="shared" si="348"/>
        <v>0.10578926641690195</v>
      </c>
      <c r="N341" s="3">
        <f t="shared" si="348"/>
        <v>0.105788803562328</v>
      </c>
      <c r="O341" s="3">
        <f t="shared" si="348"/>
        <v>0.10578417512796782</v>
      </c>
      <c r="P341" s="3">
        <f t="shared" si="348"/>
        <v>0.10573790192049368</v>
      </c>
      <c r="Q341" s="3">
        <f t="shared" si="348"/>
        <v>0.10527628165785603</v>
      </c>
      <c r="R341" s="3">
        <f t="shared" si="348"/>
        <v>0.10076948125877636</v>
      </c>
      <c r="S341" s="3">
        <f t="shared" si="348"/>
        <v>6.5059972997982649E-2</v>
      </c>
      <c r="T341" s="3">
        <f t="shared" si="348"/>
        <v>8.1877097101393877E-4</v>
      </c>
      <c r="U341" s="3">
        <f t="shared" si="348"/>
        <v>8.159208214742866E-23</v>
      </c>
      <c r="V341" s="3">
        <f t="shared" si="348"/>
        <v>7.8795934391060644E-213</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8.5446045134986312E-2</v>
      </c>
      <c r="C342" s="3">
        <f t="shared" si="349"/>
        <v>8.5446045134986312E-2</v>
      </c>
      <c r="D342" s="3">
        <f t="shared" si="349"/>
        <v>8.5446045134986312E-2</v>
      </c>
      <c r="E342" s="3">
        <f t="shared" si="349"/>
        <v>8.544604513498627E-2</v>
      </c>
      <c r="F342" s="3">
        <f t="shared" si="349"/>
        <v>8.5446045134985937E-2</v>
      </c>
      <c r="G342" s="3">
        <f t="shared" si="349"/>
        <v>8.5446045134982565E-2</v>
      </c>
      <c r="H342" s="3">
        <f t="shared" si="349"/>
        <v>8.5446045134948842E-2</v>
      </c>
      <c r="I342" s="3">
        <f t="shared" si="349"/>
        <v>8.5446045134611598E-2</v>
      </c>
      <c r="J342" s="3">
        <f t="shared" si="349"/>
        <v>8.5446045131239171E-2</v>
      </c>
      <c r="K342" s="3">
        <f t="shared" si="349"/>
        <v>8.5446045097514911E-2</v>
      </c>
      <c r="L342" s="3">
        <f t="shared" si="349"/>
        <v>8.5446044760272288E-2</v>
      </c>
      <c r="M342" s="3">
        <f t="shared" si="349"/>
        <v>8.5446041387846117E-2</v>
      </c>
      <c r="N342" s="3">
        <f t="shared" si="349"/>
        <v>8.5446007663591714E-2</v>
      </c>
      <c r="O342" s="3">
        <f t="shared" si="349"/>
        <v>8.5445670421779835E-2</v>
      </c>
      <c r="P342" s="3">
        <f t="shared" si="349"/>
        <v>8.5442298076867276E-2</v>
      </c>
      <c r="Q342" s="3">
        <f t="shared" si="349"/>
        <v>8.5408581947305259E-2</v>
      </c>
      <c r="R342" s="3">
        <f t="shared" si="349"/>
        <v>8.5072151540256935E-2</v>
      </c>
      <c r="S342" s="3">
        <f t="shared" si="349"/>
        <v>8.1779880159967955E-2</v>
      </c>
      <c r="T342" s="3">
        <f t="shared" si="349"/>
        <v>5.5110836370307045E-2</v>
      </c>
      <c r="U342" s="3">
        <f t="shared" si="349"/>
        <v>1.0644918087133705E-3</v>
      </c>
      <c r="V342" s="3">
        <f t="shared" si="349"/>
        <v>7.6947682221127011E-21</v>
      </c>
      <c r="W342" s="3">
        <f t="shared" si="349"/>
        <v>2.9972828699444724E-192</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5.8777528752493244E-2</v>
      </c>
      <c r="C343" s="3">
        <f t="shared" si="350"/>
        <v>5.8777528752493244E-2</v>
      </c>
      <c r="D343" s="3">
        <f t="shared" si="350"/>
        <v>5.8777528752493244E-2</v>
      </c>
      <c r="E343" s="3">
        <f t="shared" si="350"/>
        <v>5.8777528752493244E-2</v>
      </c>
      <c r="F343" s="3">
        <f t="shared" si="350"/>
        <v>5.8777528752493216E-2</v>
      </c>
      <c r="G343" s="3">
        <f t="shared" si="350"/>
        <v>5.8777528752493008E-2</v>
      </c>
      <c r="H343" s="3">
        <f t="shared" si="350"/>
        <v>5.8777528752490919E-2</v>
      </c>
      <c r="I343" s="3">
        <f t="shared" si="350"/>
        <v>5.8777528752469992E-2</v>
      </c>
      <c r="J343" s="3">
        <f t="shared" si="350"/>
        <v>5.8777528752260721E-2</v>
      </c>
      <c r="K343" s="3">
        <f t="shared" si="350"/>
        <v>5.8777528750168014E-2</v>
      </c>
      <c r="L343" s="3">
        <f t="shared" si="350"/>
        <v>5.8777528729240948E-2</v>
      </c>
      <c r="M343" s="3">
        <f t="shared" si="350"/>
        <v>5.8777528519970257E-2</v>
      </c>
      <c r="N343" s="3">
        <f t="shared" si="350"/>
        <v>5.8777526427263388E-2</v>
      </c>
      <c r="O343" s="3">
        <f t="shared" si="350"/>
        <v>5.8777505500198814E-2</v>
      </c>
      <c r="P343" s="3">
        <f t="shared" si="350"/>
        <v>5.8777296229962937E-2</v>
      </c>
      <c r="Q343" s="3">
        <f t="shared" si="350"/>
        <v>5.8775203568583179E-2</v>
      </c>
      <c r="R343" s="3">
        <f t="shared" si="350"/>
        <v>5.8754281052150241E-2</v>
      </c>
      <c r="S343" s="3">
        <f t="shared" si="350"/>
        <v>5.8545465085037621E-2</v>
      </c>
      <c r="T343" s="3">
        <f t="shared" si="350"/>
        <v>5.6497691177742233E-2</v>
      </c>
      <c r="U343" s="3">
        <f t="shared" si="350"/>
        <v>3.957355815892253E-2</v>
      </c>
      <c r="V343" s="3">
        <f t="shared" si="350"/>
        <v>1.1249911395300506E-3</v>
      </c>
      <c r="W343" s="3">
        <f t="shared" si="350"/>
        <v>3.8778331236049491E-19</v>
      </c>
      <c r="X343" s="3">
        <f t="shared" si="350"/>
        <v>9.1830987870462688E-174</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3.044822143643108E-2</v>
      </c>
      <c r="C344" s="3">
        <f t="shared" si="351"/>
        <v>3.044822143643108E-2</v>
      </c>
      <c r="D344" s="3">
        <f t="shared" si="351"/>
        <v>3.044822143643108E-2</v>
      </c>
      <c r="E344" s="3">
        <f t="shared" si="351"/>
        <v>3.044822143643108E-2</v>
      </c>
      <c r="F344" s="3">
        <f t="shared" si="351"/>
        <v>3.044822143643108E-2</v>
      </c>
      <c r="G344" s="3">
        <f t="shared" si="351"/>
        <v>3.0448221436431069E-2</v>
      </c>
      <c r="H344" s="3">
        <f t="shared" si="351"/>
        <v>3.0448221436430972E-2</v>
      </c>
      <c r="I344" s="3">
        <f t="shared" si="351"/>
        <v>3.0448221436429994E-2</v>
      </c>
      <c r="J344" s="3">
        <f t="shared" si="351"/>
        <v>3.0448221436420213E-2</v>
      </c>
      <c r="K344" s="3">
        <f t="shared" si="351"/>
        <v>3.0448221436322424E-2</v>
      </c>
      <c r="L344" s="3">
        <f t="shared" si="351"/>
        <v>3.0448221435344498E-2</v>
      </c>
      <c r="M344" s="3">
        <f t="shared" si="351"/>
        <v>3.0448221425565244E-2</v>
      </c>
      <c r="N344" s="3">
        <f t="shared" si="351"/>
        <v>3.0448221327772734E-2</v>
      </c>
      <c r="O344" s="3">
        <f t="shared" si="351"/>
        <v>3.0448220349847621E-2</v>
      </c>
      <c r="P344" s="3">
        <f t="shared" si="351"/>
        <v>3.0448210570598239E-2</v>
      </c>
      <c r="Q344" s="3">
        <f t="shared" si="351"/>
        <v>3.0448112778277178E-2</v>
      </c>
      <c r="R344" s="3">
        <f t="shared" si="351"/>
        <v>3.0447134872341082E-2</v>
      </c>
      <c r="S344" s="3">
        <f t="shared" si="351"/>
        <v>3.0437357540227836E-2</v>
      </c>
      <c r="T344" s="3">
        <f t="shared" si="351"/>
        <v>3.0339756738786638E-2</v>
      </c>
      <c r="U344" s="3">
        <f t="shared" si="351"/>
        <v>2.9380797428598487E-2</v>
      </c>
      <c r="V344" s="3">
        <f t="shared" si="351"/>
        <v>2.1309753408129531E-2</v>
      </c>
      <c r="W344" s="3">
        <f t="shared" si="351"/>
        <v>8.5847346790042989E-4</v>
      </c>
      <c r="X344" s="3">
        <f t="shared" si="351"/>
        <v>9.6652125449878184E-18</v>
      </c>
      <c r="Y344" s="3">
        <f t="shared" si="351"/>
        <v>3.1626907231975141E-157</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1.5917825428886163E-2</v>
      </c>
      <c r="C345" s="3">
        <f t="shared" si="352"/>
        <v>1.5917825428886163E-2</v>
      </c>
      <c r="D345" s="3">
        <f t="shared" si="352"/>
        <v>1.5917825428886163E-2</v>
      </c>
      <c r="E345" s="3">
        <f t="shared" si="352"/>
        <v>1.5917825428886163E-2</v>
      </c>
      <c r="F345" s="3">
        <f t="shared" si="352"/>
        <v>1.5917825428886163E-2</v>
      </c>
      <c r="G345" s="3">
        <f t="shared" si="352"/>
        <v>1.5917825428886163E-2</v>
      </c>
      <c r="H345" s="3">
        <f t="shared" si="352"/>
        <v>1.5917825428886156E-2</v>
      </c>
      <c r="I345" s="3">
        <f t="shared" si="352"/>
        <v>1.5917825428886111E-2</v>
      </c>
      <c r="J345" s="3">
        <f t="shared" si="352"/>
        <v>1.5917825428885649E-2</v>
      </c>
      <c r="K345" s="3">
        <f t="shared" si="352"/>
        <v>1.5917825428881038E-2</v>
      </c>
      <c r="L345" s="3">
        <f t="shared" si="352"/>
        <v>1.5917825428834919E-2</v>
      </c>
      <c r="M345" s="3">
        <f t="shared" si="352"/>
        <v>1.5917825428373736E-2</v>
      </c>
      <c r="N345" s="3">
        <f t="shared" si="352"/>
        <v>1.5917825423761901E-2</v>
      </c>
      <c r="O345" s="3">
        <f t="shared" si="352"/>
        <v>1.5917825377643524E-2</v>
      </c>
      <c r="P345" s="3">
        <f t="shared" si="352"/>
        <v>1.591782491645977E-2</v>
      </c>
      <c r="Q345" s="3">
        <f t="shared" si="352"/>
        <v>1.5917820304622989E-2</v>
      </c>
      <c r="R345" s="3">
        <f t="shared" si="352"/>
        <v>1.5917774186328674E-2</v>
      </c>
      <c r="S345" s="3">
        <f t="shared" si="352"/>
        <v>1.5917313010734409E-2</v>
      </c>
      <c r="T345" s="3">
        <f t="shared" si="352"/>
        <v>1.5912701989602061E-2</v>
      </c>
      <c r="U345" s="3">
        <f t="shared" si="352"/>
        <v>1.5866665180598396E-2</v>
      </c>
      <c r="V345" s="3">
        <f t="shared" si="352"/>
        <v>1.5413559241850582E-2</v>
      </c>
      <c r="W345" s="3">
        <f t="shared" si="352"/>
        <v>1.1536543883033429E-2</v>
      </c>
      <c r="X345" s="3">
        <f t="shared" si="352"/>
        <v>6.3650758990044904E-4</v>
      </c>
      <c r="Y345" s="3">
        <f t="shared" si="352"/>
        <v>1.6637276312606306E-16</v>
      </c>
      <c r="Z345" s="3">
        <f t="shared" si="352"/>
        <v>2.4766729294743853E-142</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7.4710107179745602E-3</v>
      </c>
      <c r="C346" s="3">
        <f t="shared" si="353"/>
        <v>7.4710107179745602E-3</v>
      </c>
      <c r="D346" s="3">
        <f t="shared" si="353"/>
        <v>7.4710107179745602E-3</v>
      </c>
      <c r="E346" s="3">
        <f t="shared" si="353"/>
        <v>7.4710107179745602E-3</v>
      </c>
      <c r="F346" s="3">
        <f t="shared" si="353"/>
        <v>7.4710107179745602E-3</v>
      </c>
      <c r="G346" s="3">
        <f t="shared" si="353"/>
        <v>7.4710107179745602E-3</v>
      </c>
      <c r="H346" s="3">
        <f t="shared" si="353"/>
        <v>7.4710107179745602E-3</v>
      </c>
      <c r="I346" s="3">
        <f t="shared" si="353"/>
        <v>7.4710107179745576E-3</v>
      </c>
      <c r="J346" s="3">
        <f t="shared" si="353"/>
        <v>7.4710107179745385E-3</v>
      </c>
      <c r="K346" s="3">
        <f t="shared" si="353"/>
        <v>7.4710107179743425E-3</v>
      </c>
      <c r="L346" s="3">
        <f t="shared" si="353"/>
        <v>7.47101071797239E-3</v>
      </c>
      <c r="M346" s="3">
        <f t="shared" si="353"/>
        <v>7.471010717952864E-3</v>
      </c>
      <c r="N346" s="3">
        <f t="shared" si="353"/>
        <v>7.4710107177576026E-3</v>
      </c>
      <c r="O346" s="3">
        <f t="shared" si="353"/>
        <v>7.4710107158049901E-3</v>
      </c>
      <c r="P346" s="3">
        <f t="shared" si="353"/>
        <v>7.4710106962788585E-3</v>
      </c>
      <c r="Q346" s="3">
        <f t="shared" si="353"/>
        <v>7.4710105010175418E-3</v>
      </c>
      <c r="R346" s="3">
        <f t="shared" si="353"/>
        <v>7.4710085484046658E-3</v>
      </c>
      <c r="S346" s="3">
        <f t="shared" si="353"/>
        <v>7.470989022303965E-3</v>
      </c>
      <c r="T346" s="3">
        <f t="shared" si="353"/>
        <v>7.4707937641037541E-3</v>
      </c>
      <c r="U346" s="3">
        <f t="shared" si="353"/>
        <v>7.4688414627542728E-3</v>
      </c>
      <c r="V346" s="3">
        <f t="shared" si="353"/>
        <v>7.4493464874007516E-3</v>
      </c>
      <c r="W346" s="3">
        <f t="shared" si="353"/>
        <v>7.2571736228641175E-3</v>
      </c>
      <c r="X346" s="3">
        <f t="shared" si="353"/>
        <v>5.5880579204198493E-3</v>
      </c>
      <c r="Y346" s="3">
        <f t="shared" si="353"/>
        <v>4.0944422912120266E-4</v>
      </c>
      <c r="Z346" s="3">
        <f t="shared" si="353"/>
        <v>1.8261368007637833E-15</v>
      </c>
      <c r="AA346" s="3">
        <f t="shared" si="353"/>
        <v>5.6874664873019362E-129</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1.4378472174592341E-3</v>
      </c>
      <c r="C347" s="3">
        <f t="shared" si="354"/>
        <v>1.4378472174592341E-3</v>
      </c>
      <c r="D347" s="3">
        <f t="shared" si="354"/>
        <v>1.4378472174592341E-3</v>
      </c>
      <c r="E347" s="3">
        <f t="shared" si="354"/>
        <v>1.4378472174592341E-3</v>
      </c>
      <c r="F347" s="3">
        <f t="shared" si="354"/>
        <v>1.4378472174592341E-3</v>
      </c>
      <c r="G347" s="3">
        <f t="shared" si="354"/>
        <v>1.4378472174592341E-3</v>
      </c>
      <c r="H347" s="3">
        <f t="shared" si="354"/>
        <v>1.4378472174592341E-3</v>
      </c>
      <c r="I347" s="3">
        <f t="shared" si="354"/>
        <v>1.4378472174592341E-3</v>
      </c>
      <c r="J347" s="3">
        <f t="shared" si="354"/>
        <v>1.4378472174592339E-3</v>
      </c>
      <c r="K347" s="3">
        <f t="shared" si="354"/>
        <v>1.4378472174592302E-3</v>
      </c>
      <c r="L347" s="3">
        <f t="shared" si="354"/>
        <v>1.4378472174591964E-3</v>
      </c>
      <c r="M347" s="3">
        <f t="shared" si="354"/>
        <v>1.4378472174588575E-3</v>
      </c>
      <c r="N347" s="3">
        <f t="shared" si="354"/>
        <v>1.4378472174554674E-3</v>
      </c>
      <c r="O347" s="3">
        <f t="shared" si="354"/>
        <v>1.4378472174215676E-3</v>
      </c>
      <c r="P347" s="3">
        <f t="shared" si="354"/>
        <v>1.4378472170825706E-3</v>
      </c>
      <c r="Q347" s="3">
        <f t="shared" si="354"/>
        <v>1.4378472136925978E-3</v>
      </c>
      <c r="R347" s="3">
        <f t="shared" si="354"/>
        <v>1.4378471797928721E-3</v>
      </c>
      <c r="S347" s="3">
        <f t="shared" si="354"/>
        <v>1.4378468407956586E-3</v>
      </c>
      <c r="T347" s="3">
        <f t="shared" si="354"/>
        <v>1.4378434508279176E-3</v>
      </c>
      <c r="U347" s="3">
        <f t="shared" si="354"/>
        <v>1.4378095515900898E-3</v>
      </c>
      <c r="V347" s="3">
        <f t="shared" si="354"/>
        <v>1.4374706031659969E-3</v>
      </c>
      <c r="W347" s="3">
        <f t="shared" si="354"/>
        <v>1.4340855105117408E-3</v>
      </c>
      <c r="X347" s="3">
        <f t="shared" si="354"/>
        <v>1.4006699357248995E-3</v>
      </c>
      <c r="Y347" s="3">
        <f t="shared" si="354"/>
        <v>1.106479565773627E-3</v>
      </c>
      <c r="Z347" s="3">
        <f t="shared" si="354"/>
        <v>1.0471751003950987E-4</v>
      </c>
      <c r="AA347" s="3">
        <f t="shared" si="354"/>
        <v>6.036405399269648E-15</v>
      </c>
      <c r="AB347" s="3">
        <f t="shared" si="354"/>
        <v>2.4455092910821626E-117</v>
      </c>
      <c r="AC347" s="3">
        <f t="shared" si="354"/>
        <v>0</v>
      </c>
      <c r="AD347" s="3">
        <f t="shared" si="354"/>
        <v>0</v>
      </c>
      <c r="AE347" s="3">
        <f t="shared" si="354"/>
        <v>0</v>
      </c>
      <c r="AF347" s="3">
        <f t="shared" si="354"/>
        <v>0</v>
      </c>
      <c r="AG347" s="3"/>
      <c r="AH347" s="3"/>
    </row>
    <row r="348" spans="2:34" x14ac:dyDescent="0.25">
      <c r="B348" s="3">
        <f t="shared" ref="B348:AF348" si="355">$C39*EXP(-B$363/$A39/EXP(-$G$126))</f>
        <v>4.7686363858368023E-3</v>
      </c>
      <c r="C348" s="3">
        <f t="shared" si="355"/>
        <v>4.7686363858368023E-3</v>
      </c>
      <c r="D348" s="3">
        <f t="shared" si="355"/>
        <v>4.7686363858368023E-3</v>
      </c>
      <c r="E348" s="3">
        <f t="shared" si="355"/>
        <v>4.7686363858368023E-3</v>
      </c>
      <c r="F348" s="3">
        <f t="shared" si="355"/>
        <v>4.7686363858368023E-3</v>
      </c>
      <c r="G348" s="3">
        <f t="shared" si="355"/>
        <v>4.7686363858368023E-3</v>
      </c>
      <c r="H348" s="3">
        <f t="shared" si="355"/>
        <v>4.7686363858368023E-3</v>
      </c>
      <c r="I348" s="3">
        <f t="shared" si="355"/>
        <v>4.7686363858368023E-3</v>
      </c>
      <c r="J348" s="3">
        <f t="shared" si="355"/>
        <v>4.7686363858368015E-3</v>
      </c>
      <c r="K348" s="3">
        <f t="shared" si="355"/>
        <v>4.7686363858367989E-3</v>
      </c>
      <c r="L348" s="3">
        <f t="shared" si="355"/>
        <v>4.7686363858367676E-3</v>
      </c>
      <c r="M348" s="3">
        <f t="shared" si="355"/>
        <v>4.7686363858364562E-3</v>
      </c>
      <c r="N348" s="3">
        <f t="shared" si="355"/>
        <v>4.7686363858333476E-3</v>
      </c>
      <c r="O348" s="3">
        <f t="shared" si="355"/>
        <v>4.7686363858022527E-3</v>
      </c>
      <c r="P348" s="3">
        <f t="shared" si="355"/>
        <v>4.7686363854913026E-3</v>
      </c>
      <c r="Q348" s="3">
        <f t="shared" si="355"/>
        <v>4.768636382381803E-3</v>
      </c>
      <c r="R348" s="3">
        <f t="shared" si="355"/>
        <v>4.7686363512868058E-3</v>
      </c>
      <c r="S348" s="3">
        <f t="shared" si="355"/>
        <v>4.7686360403368482E-3</v>
      </c>
      <c r="T348" s="3">
        <f t="shared" si="355"/>
        <v>4.7686329308383821E-3</v>
      </c>
      <c r="U348" s="3">
        <f t="shared" si="355"/>
        <v>4.7686018359652483E-3</v>
      </c>
      <c r="V348" s="3">
        <f t="shared" si="355"/>
        <v>4.768290898385521E-3</v>
      </c>
      <c r="W348" s="3">
        <f t="shared" si="355"/>
        <v>4.7651826374810347E-3</v>
      </c>
      <c r="X348" s="3">
        <f t="shared" si="355"/>
        <v>4.7342112491959108E-3</v>
      </c>
      <c r="Y348" s="3">
        <f t="shared" si="355"/>
        <v>4.4353557194599328E-3</v>
      </c>
      <c r="Z348" s="3">
        <f t="shared" si="355"/>
        <v>2.3106634227029882E-3</v>
      </c>
      <c r="AA348" s="3">
        <f t="shared" si="355"/>
        <v>3.4026636534162166E-6</v>
      </c>
      <c r="AB348" s="3">
        <f t="shared" si="355"/>
        <v>1.631707638490833E-34</v>
      </c>
      <c r="AC348" s="3">
        <f t="shared" si="355"/>
        <v>0</v>
      </c>
      <c r="AD348" s="3">
        <f t="shared" si="355"/>
        <v>0</v>
      </c>
      <c r="AE348" s="3">
        <f t="shared" si="355"/>
        <v>0</v>
      </c>
      <c r="AF348" s="3">
        <f t="shared" si="355"/>
        <v>0</v>
      </c>
      <c r="AG348" s="3"/>
      <c r="AH348" s="3"/>
    </row>
    <row r="349" spans="2:34" x14ac:dyDescent="0.25">
      <c r="B349" s="3">
        <f t="shared" ref="B349:AF349" si="356">$C40*EXP(-B$363/$A40/EXP(-$G$126))</f>
        <v>0</v>
      </c>
      <c r="C349" s="3">
        <f t="shared" si="356"/>
        <v>0</v>
      </c>
      <c r="D349" s="3">
        <f t="shared" si="356"/>
        <v>0</v>
      </c>
      <c r="E349" s="3">
        <f t="shared" si="356"/>
        <v>0</v>
      </c>
      <c r="F349" s="3">
        <f t="shared" si="356"/>
        <v>0</v>
      </c>
      <c r="G349" s="3">
        <f t="shared" si="356"/>
        <v>0</v>
      </c>
      <c r="H349" s="3">
        <f t="shared" si="356"/>
        <v>0</v>
      </c>
      <c r="I349" s="3">
        <f t="shared" si="356"/>
        <v>0</v>
      </c>
      <c r="J349" s="3">
        <f t="shared" si="356"/>
        <v>0</v>
      </c>
      <c r="K349" s="3">
        <f t="shared" si="356"/>
        <v>0</v>
      </c>
      <c r="L349" s="3">
        <f t="shared" si="356"/>
        <v>0</v>
      </c>
      <c r="M349" s="3">
        <f t="shared" si="356"/>
        <v>0</v>
      </c>
      <c r="N349" s="3">
        <f t="shared" si="356"/>
        <v>0</v>
      </c>
      <c r="O349" s="3">
        <f t="shared" si="356"/>
        <v>0</v>
      </c>
      <c r="P349" s="3">
        <f t="shared" si="356"/>
        <v>0</v>
      </c>
      <c r="Q349" s="3">
        <f t="shared" si="356"/>
        <v>0</v>
      </c>
      <c r="R349" s="3">
        <f t="shared" si="356"/>
        <v>0</v>
      </c>
      <c r="S349" s="3">
        <f t="shared" si="356"/>
        <v>0</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2.0950739363465548E-3</v>
      </c>
      <c r="C350" s="3">
        <f t="shared" si="357"/>
        <v>2.0950739363465548E-3</v>
      </c>
      <c r="D350" s="3">
        <f t="shared" si="357"/>
        <v>2.0950739363465548E-3</v>
      </c>
      <c r="E350" s="3">
        <f t="shared" si="357"/>
        <v>2.0950739363465548E-3</v>
      </c>
      <c r="F350" s="3">
        <f t="shared" si="357"/>
        <v>2.0950739363465548E-3</v>
      </c>
      <c r="G350" s="3">
        <f t="shared" si="357"/>
        <v>2.0950739363465548E-3</v>
      </c>
      <c r="H350" s="3">
        <f t="shared" si="357"/>
        <v>2.0950739363465548E-3</v>
      </c>
      <c r="I350" s="3">
        <f t="shared" si="357"/>
        <v>2.0950739363465548E-3</v>
      </c>
      <c r="J350" s="3">
        <f t="shared" si="357"/>
        <v>2.0950739363465548E-3</v>
      </c>
      <c r="K350" s="3">
        <f t="shared" si="357"/>
        <v>2.0950739363465548E-3</v>
      </c>
      <c r="L350" s="3">
        <f t="shared" si="357"/>
        <v>2.0950739363465544E-3</v>
      </c>
      <c r="M350" s="3">
        <f t="shared" si="357"/>
        <v>2.0950739363465531E-3</v>
      </c>
      <c r="N350" s="3">
        <f t="shared" si="357"/>
        <v>2.0950739363465396E-3</v>
      </c>
      <c r="O350" s="3">
        <f t="shared" si="357"/>
        <v>2.095073936346403E-3</v>
      </c>
      <c r="P350" s="3">
        <f t="shared" si="357"/>
        <v>2.0950739363450369E-3</v>
      </c>
      <c r="Q350" s="3">
        <f t="shared" si="357"/>
        <v>2.0950739363313755E-3</v>
      </c>
      <c r="R350" s="3">
        <f t="shared" si="357"/>
        <v>2.0950739361947613E-3</v>
      </c>
      <c r="S350" s="3">
        <f t="shared" si="357"/>
        <v>2.0950739348286201E-3</v>
      </c>
      <c r="T350" s="3">
        <f t="shared" si="357"/>
        <v>2.0950739211672057E-3</v>
      </c>
      <c r="U350" s="3">
        <f t="shared" si="357"/>
        <v>2.0950737845530669E-3</v>
      </c>
      <c r="V350" s="3">
        <f t="shared" si="357"/>
        <v>2.0950724184121698E-3</v>
      </c>
      <c r="W350" s="3">
        <f t="shared" si="357"/>
        <v>2.0950587570521947E-3</v>
      </c>
      <c r="X350" s="3">
        <f t="shared" si="357"/>
        <v>2.0949221483518433E-3</v>
      </c>
      <c r="Y350" s="3">
        <f t="shared" si="357"/>
        <v>2.0935565511702894E-3</v>
      </c>
      <c r="Z350" s="3">
        <f t="shared" si="357"/>
        <v>2.0799494435784099E-3</v>
      </c>
      <c r="AA350" s="3">
        <f t="shared" si="357"/>
        <v>1.9486489248509754E-3</v>
      </c>
      <c r="AB350" s="3">
        <f t="shared" si="357"/>
        <v>1.0151771535679482E-3</v>
      </c>
      <c r="AC350" s="3">
        <f t="shared" si="357"/>
        <v>1.4949413957413933E-6</v>
      </c>
      <c r="AD350" s="3">
        <f t="shared" si="357"/>
        <v>7.168816971017265E-35</v>
      </c>
      <c r="AE350" s="3">
        <f t="shared" si="357"/>
        <v>0</v>
      </c>
      <c r="AF350" s="3">
        <f t="shared" si="357"/>
        <v>0</v>
      </c>
      <c r="AG350" s="3"/>
      <c r="AH350" s="3"/>
    </row>
    <row r="351" spans="2:34" x14ac:dyDescent="0.25">
      <c r="B351" s="3">
        <f t="shared" ref="B351:AF351" si="358">$C42*EXP(-B$363/$A42/EXP(-$G$126))</f>
        <v>1.9210885084110967E-3</v>
      </c>
      <c r="C351" s="3">
        <f t="shared" si="358"/>
        <v>1.9210885084110967E-3</v>
      </c>
      <c r="D351" s="3">
        <f t="shared" si="358"/>
        <v>1.9210885084110967E-3</v>
      </c>
      <c r="E351" s="3">
        <f t="shared" si="358"/>
        <v>1.9210885084110967E-3</v>
      </c>
      <c r="F351" s="3">
        <f t="shared" si="358"/>
        <v>1.9210885084110967E-3</v>
      </c>
      <c r="G351" s="3">
        <f t="shared" si="358"/>
        <v>1.9210885084110967E-3</v>
      </c>
      <c r="H351" s="3">
        <f t="shared" si="358"/>
        <v>1.9210885084110967E-3</v>
      </c>
      <c r="I351" s="3">
        <f t="shared" si="358"/>
        <v>1.9210885084110967E-3</v>
      </c>
      <c r="J351" s="3">
        <f t="shared" si="358"/>
        <v>1.9210885084110967E-3</v>
      </c>
      <c r="K351" s="3">
        <f t="shared" si="358"/>
        <v>1.9210885084110967E-3</v>
      </c>
      <c r="L351" s="3">
        <f t="shared" si="358"/>
        <v>1.9210885084110967E-3</v>
      </c>
      <c r="M351" s="3">
        <f t="shared" si="358"/>
        <v>1.9210885084110965E-3</v>
      </c>
      <c r="N351" s="3">
        <f t="shared" si="358"/>
        <v>1.9210885084110952E-3</v>
      </c>
      <c r="O351" s="3">
        <f t="shared" si="358"/>
        <v>1.9210885084110828E-3</v>
      </c>
      <c r="P351" s="3">
        <f t="shared" si="358"/>
        <v>1.9210885084109575E-3</v>
      </c>
      <c r="Q351" s="3">
        <f t="shared" si="358"/>
        <v>1.9210885084097048E-3</v>
      </c>
      <c r="R351" s="3">
        <f t="shared" si="358"/>
        <v>1.9210885083971779E-3</v>
      </c>
      <c r="S351" s="3">
        <f t="shared" si="358"/>
        <v>1.9210885082719088E-3</v>
      </c>
      <c r="T351" s="3">
        <f t="shared" si="358"/>
        <v>1.9210885070192188E-3</v>
      </c>
      <c r="U351" s="3">
        <f t="shared" si="358"/>
        <v>1.9210884944923167E-3</v>
      </c>
      <c r="V351" s="3">
        <f t="shared" si="358"/>
        <v>1.9210883692233E-3</v>
      </c>
      <c r="W351" s="3">
        <f t="shared" si="358"/>
        <v>1.921087116533582E-3</v>
      </c>
      <c r="X351" s="3">
        <f t="shared" si="358"/>
        <v>1.9210745896813301E-3</v>
      </c>
      <c r="Y351" s="3">
        <f t="shared" si="358"/>
        <v>1.92094932565134E-3</v>
      </c>
      <c r="Z351" s="3">
        <f t="shared" si="358"/>
        <v>1.9196971344961312E-3</v>
      </c>
      <c r="AA351" s="3">
        <f t="shared" si="358"/>
        <v>1.9072200292379474E-3</v>
      </c>
      <c r="AB351" s="3">
        <f t="shared" si="358"/>
        <v>1.7868233628961605E-3</v>
      </c>
      <c r="AC351" s="3">
        <f t="shared" si="358"/>
        <v>9.308717606032374E-4</v>
      </c>
      <c r="AD351" s="3">
        <f t="shared" si="358"/>
        <v>1.3707939783332692E-6</v>
      </c>
      <c r="AE351" s="3">
        <f t="shared" si="358"/>
        <v>6.5734825215474606E-35</v>
      </c>
      <c r="AF351" s="3">
        <f t="shared" si="358"/>
        <v>0</v>
      </c>
      <c r="AG351" s="3"/>
      <c r="AH351" s="3"/>
    </row>
    <row r="352" spans="2:34" x14ac:dyDescent="0.25">
      <c r="B352" s="3">
        <f t="shared" ref="B352:AF352" si="359">$C43*EXP(-B$363/$A43/EXP(-$G$126))</f>
        <v>0</v>
      </c>
      <c r="C352" s="3">
        <f t="shared" si="359"/>
        <v>0</v>
      </c>
      <c r="D352" s="3">
        <f t="shared" si="359"/>
        <v>0</v>
      </c>
      <c r="E352" s="3">
        <f t="shared" si="359"/>
        <v>0</v>
      </c>
      <c r="F352" s="3">
        <f t="shared" si="359"/>
        <v>0</v>
      </c>
      <c r="G352" s="3">
        <f t="shared" si="359"/>
        <v>0</v>
      </c>
      <c r="H352" s="3">
        <f t="shared" si="359"/>
        <v>0</v>
      </c>
      <c r="I352" s="3">
        <f t="shared" si="359"/>
        <v>0</v>
      </c>
      <c r="J352" s="3">
        <f t="shared" si="359"/>
        <v>0</v>
      </c>
      <c r="K352" s="3">
        <f t="shared" si="359"/>
        <v>0</v>
      </c>
      <c r="L352" s="3">
        <f t="shared" si="359"/>
        <v>0</v>
      </c>
      <c r="M352" s="3">
        <f t="shared" si="359"/>
        <v>0</v>
      </c>
      <c r="N352" s="3">
        <f t="shared" si="359"/>
        <v>0</v>
      </c>
      <c r="O352" s="3">
        <f t="shared" si="359"/>
        <v>0</v>
      </c>
      <c r="P352" s="3">
        <f t="shared" si="359"/>
        <v>0</v>
      </c>
      <c r="Q352" s="3">
        <f t="shared" si="359"/>
        <v>0</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4.6732387958302481E-4</v>
      </c>
      <c r="C353" s="3">
        <f t="shared" si="360"/>
        <v>4.6732387958302481E-4</v>
      </c>
      <c r="D353" s="3">
        <f t="shared" si="360"/>
        <v>4.6732387958302481E-4</v>
      </c>
      <c r="E353" s="3">
        <f t="shared" si="360"/>
        <v>4.6732387958302481E-4</v>
      </c>
      <c r="F353" s="3">
        <f t="shared" si="360"/>
        <v>4.6732387958302481E-4</v>
      </c>
      <c r="G353" s="3">
        <f t="shared" si="360"/>
        <v>4.6732387958302481E-4</v>
      </c>
      <c r="H353" s="3">
        <f t="shared" si="360"/>
        <v>4.6732387958302481E-4</v>
      </c>
      <c r="I353" s="3">
        <f t="shared" si="360"/>
        <v>4.6732387958302481E-4</v>
      </c>
      <c r="J353" s="3">
        <f t="shared" si="360"/>
        <v>4.6732387958302481E-4</v>
      </c>
      <c r="K353" s="3">
        <f t="shared" si="360"/>
        <v>4.6732387958302481E-4</v>
      </c>
      <c r="L353" s="3">
        <f t="shared" si="360"/>
        <v>4.6732387958302481E-4</v>
      </c>
      <c r="M353" s="3">
        <f t="shared" si="360"/>
        <v>4.6732387958302481E-4</v>
      </c>
      <c r="N353" s="3">
        <f t="shared" si="360"/>
        <v>4.6732387958302481E-4</v>
      </c>
      <c r="O353" s="3">
        <f t="shared" si="360"/>
        <v>4.6732387958302475E-4</v>
      </c>
      <c r="P353" s="3">
        <f t="shared" si="360"/>
        <v>4.6732387958302443E-4</v>
      </c>
      <c r="Q353" s="3">
        <f t="shared" si="360"/>
        <v>4.6732387958302145E-4</v>
      </c>
      <c r="R353" s="3">
        <f t="shared" si="360"/>
        <v>4.6732387958299093E-4</v>
      </c>
      <c r="S353" s="3">
        <f t="shared" si="360"/>
        <v>4.6732387958268621E-4</v>
      </c>
      <c r="T353" s="3">
        <f t="shared" si="360"/>
        <v>4.6732387957963895E-4</v>
      </c>
      <c r="U353" s="3">
        <f t="shared" si="360"/>
        <v>4.6732387954916599E-4</v>
      </c>
      <c r="V353" s="3">
        <f t="shared" si="360"/>
        <v>4.6732387924443666E-4</v>
      </c>
      <c r="W353" s="3">
        <f t="shared" si="360"/>
        <v>4.6732387619714317E-4</v>
      </c>
      <c r="X353" s="3">
        <f t="shared" si="360"/>
        <v>4.6732384572420943E-4</v>
      </c>
      <c r="Y353" s="3">
        <f t="shared" si="360"/>
        <v>4.6732354099498098E-4</v>
      </c>
      <c r="Z353" s="3">
        <f t="shared" si="360"/>
        <v>4.6732049371362577E-4</v>
      </c>
      <c r="AA353" s="3">
        <f t="shared" si="360"/>
        <v>4.6729002199292639E-4</v>
      </c>
      <c r="AB353" s="3">
        <f t="shared" si="360"/>
        <v>4.6698541404484399E-4</v>
      </c>
      <c r="AC353" s="3">
        <f t="shared" si="360"/>
        <v>4.6395023414048719E-4</v>
      </c>
      <c r="AD353" s="3">
        <f t="shared" si="360"/>
        <v>4.3466254804098412E-4</v>
      </c>
      <c r="AE353" s="3">
        <f t="shared" si="360"/>
        <v>2.2644381071186716E-4</v>
      </c>
      <c r="AF353" s="3">
        <f t="shared" si="360"/>
        <v>3.3345926398445155E-7</v>
      </c>
      <c r="AG353" s="3"/>
      <c r="AH353" s="3"/>
    </row>
    <row r="354" spans="1:34" x14ac:dyDescent="0.25">
      <c r="B354" s="3">
        <f t="shared" ref="B354:AF354" si="361">$C45*EXP(-B$363/$A45/EXP(-$G$126))</f>
        <v>0</v>
      </c>
      <c r="C354" s="3">
        <f t="shared" si="361"/>
        <v>0</v>
      </c>
      <c r="D354" s="3">
        <f t="shared" si="361"/>
        <v>0</v>
      </c>
      <c r="E354" s="3">
        <f t="shared" si="361"/>
        <v>0</v>
      </c>
      <c r="F354" s="3">
        <f t="shared" si="361"/>
        <v>0</v>
      </c>
      <c r="G354" s="3">
        <f t="shared" si="361"/>
        <v>0</v>
      </c>
      <c r="H354" s="3">
        <f t="shared" si="361"/>
        <v>0</v>
      </c>
      <c r="I354" s="3">
        <f t="shared" si="361"/>
        <v>0</v>
      </c>
      <c r="J354" s="3">
        <f t="shared" si="361"/>
        <v>0</v>
      </c>
      <c r="K354" s="3">
        <f t="shared" si="361"/>
        <v>0</v>
      </c>
      <c r="L354" s="3">
        <f t="shared" si="361"/>
        <v>0</v>
      </c>
      <c r="M354" s="3">
        <f t="shared" si="361"/>
        <v>0</v>
      </c>
      <c r="N354" s="3">
        <f t="shared" si="361"/>
        <v>0</v>
      </c>
      <c r="O354" s="3">
        <f t="shared" si="361"/>
        <v>0</v>
      </c>
      <c r="P354" s="3">
        <f t="shared" si="361"/>
        <v>0</v>
      </c>
      <c r="Q354" s="3">
        <f t="shared" si="361"/>
        <v>0</v>
      </c>
      <c r="R354" s="3">
        <f t="shared" si="361"/>
        <v>0</v>
      </c>
      <c r="S354" s="3">
        <f t="shared" si="361"/>
        <v>0</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1.2351806616485092E-4</v>
      </c>
      <c r="C355" s="3">
        <f t="shared" si="362"/>
        <v>1.2351806616485092E-4</v>
      </c>
      <c r="D355" s="3">
        <f t="shared" si="362"/>
        <v>1.2351806616485092E-4</v>
      </c>
      <c r="E355" s="3">
        <f t="shared" si="362"/>
        <v>1.2351806616485092E-4</v>
      </c>
      <c r="F355" s="3">
        <f t="shared" si="362"/>
        <v>1.2351806616485092E-4</v>
      </c>
      <c r="G355" s="3">
        <f t="shared" si="362"/>
        <v>1.2351806616485092E-4</v>
      </c>
      <c r="H355" s="3">
        <f t="shared" si="362"/>
        <v>1.2351806616485092E-4</v>
      </c>
      <c r="I355" s="3">
        <f t="shared" si="362"/>
        <v>1.2351806616485092E-4</v>
      </c>
      <c r="J355" s="3">
        <f t="shared" si="362"/>
        <v>1.2351806616485092E-4</v>
      </c>
      <c r="K355" s="3">
        <f t="shared" si="362"/>
        <v>1.2351806616485092E-4</v>
      </c>
      <c r="L355" s="3">
        <f t="shared" si="362"/>
        <v>1.2351806616485092E-4</v>
      </c>
      <c r="M355" s="3">
        <f t="shared" si="362"/>
        <v>1.2351806616485092E-4</v>
      </c>
      <c r="N355" s="3">
        <f t="shared" si="362"/>
        <v>1.2351806616485092E-4</v>
      </c>
      <c r="O355" s="3">
        <f t="shared" si="362"/>
        <v>1.2351806616485092E-4</v>
      </c>
      <c r="P355" s="3">
        <f t="shared" si="362"/>
        <v>1.2351806616485092E-4</v>
      </c>
      <c r="Q355" s="3">
        <f t="shared" si="362"/>
        <v>1.2351806616485089E-4</v>
      </c>
      <c r="R355" s="3">
        <f t="shared" si="362"/>
        <v>1.2351806616485081E-4</v>
      </c>
      <c r="S355" s="3">
        <f t="shared" si="362"/>
        <v>1.2351806616485003E-4</v>
      </c>
      <c r="T355" s="3">
        <f t="shared" si="362"/>
        <v>1.2351806616484198E-4</v>
      </c>
      <c r="U355" s="3">
        <f t="shared" si="362"/>
        <v>1.2351806616476142E-4</v>
      </c>
      <c r="V355" s="3">
        <f t="shared" si="362"/>
        <v>1.2351806616395602E-4</v>
      </c>
      <c r="W355" s="3">
        <f t="shared" si="362"/>
        <v>1.2351806615590173E-4</v>
      </c>
      <c r="X355" s="3">
        <f t="shared" si="362"/>
        <v>1.2351806607535892E-4</v>
      </c>
      <c r="Y355" s="3">
        <f t="shared" si="362"/>
        <v>1.2351806526993077E-4</v>
      </c>
      <c r="Z355" s="3">
        <f t="shared" si="362"/>
        <v>1.2351805721564976E-4</v>
      </c>
      <c r="AA355" s="3">
        <f t="shared" si="362"/>
        <v>1.2351797667286855E-4</v>
      </c>
      <c r="AB355" s="3">
        <f t="shared" si="362"/>
        <v>1.2351717124794485E-4</v>
      </c>
      <c r="AC355" s="3">
        <f t="shared" si="362"/>
        <v>1.2350911728755903E-4</v>
      </c>
      <c r="AD355" s="3">
        <f t="shared" si="362"/>
        <v>1.2342860656185174E-4</v>
      </c>
      <c r="AE355" s="3">
        <f t="shared" si="362"/>
        <v>1.2262638016464071E-4</v>
      </c>
      <c r="AF355" s="3">
        <f t="shared" si="362"/>
        <v>1.1488537118242987E-4</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1.0347942973527732E-3</v>
      </c>
      <c r="C357" s="3">
        <f t="shared" si="364"/>
        <v>1.0347942973527732E-3</v>
      </c>
      <c r="D357" s="3">
        <f t="shared" si="364"/>
        <v>1.0347942973527732E-3</v>
      </c>
      <c r="E357" s="3">
        <f t="shared" si="364"/>
        <v>1.0347942973527732E-3</v>
      </c>
      <c r="F357" s="3">
        <f t="shared" si="364"/>
        <v>1.0347942973527732E-3</v>
      </c>
      <c r="G357" s="3">
        <f t="shared" si="364"/>
        <v>1.0347942973527732E-3</v>
      </c>
      <c r="H357" s="3">
        <f t="shared" si="364"/>
        <v>1.0347942973527732E-3</v>
      </c>
      <c r="I357" s="3">
        <f t="shared" si="364"/>
        <v>1.0347942973527732E-3</v>
      </c>
      <c r="J357" s="3">
        <f t="shared" si="364"/>
        <v>1.0347942973527732E-3</v>
      </c>
      <c r="K357" s="3">
        <f t="shared" si="364"/>
        <v>1.0347942973527732E-3</v>
      </c>
      <c r="L357" s="3">
        <f t="shared" si="364"/>
        <v>1.0347942973527732E-3</v>
      </c>
      <c r="M357" s="3">
        <f t="shared" si="364"/>
        <v>1.0347942973527732E-3</v>
      </c>
      <c r="N357" s="3">
        <f t="shared" si="364"/>
        <v>1.0347942973527732E-3</v>
      </c>
      <c r="O357" s="3">
        <f t="shared" si="364"/>
        <v>1.0347942973527732E-3</v>
      </c>
      <c r="P357" s="3">
        <f t="shared" si="364"/>
        <v>1.0347942973527732E-3</v>
      </c>
      <c r="Q357" s="3">
        <f t="shared" si="364"/>
        <v>1.0347942973527732E-3</v>
      </c>
      <c r="R357" s="3">
        <f t="shared" si="364"/>
        <v>1.0347942973527732E-3</v>
      </c>
      <c r="S357" s="3">
        <f t="shared" si="364"/>
        <v>1.034794297352773E-3</v>
      </c>
      <c r="T357" s="3">
        <f t="shared" si="364"/>
        <v>1.0347942973527723E-3</v>
      </c>
      <c r="U357" s="3">
        <f t="shared" si="364"/>
        <v>1.0347942973527658E-3</v>
      </c>
      <c r="V357" s="3">
        <f t="shared" si="364"/>
        <v>1.0347942973526981E-3</v>
      </c>
      <c r="W357" s="3">
        <f t="shared" si="364"/>
        <v>1.0347942973520233E-3</v>
      </c>
      <c r="X357" s="3">
        <f t="shared" si="364"/>
        <v>1.0347942973452759E-3</v>
      </c>
      <c r="Y357" s="3">
        <f t="shared" si="364"/>
        <v>1.0347942972777997E-3</v>
      </c>
      <c r="Z357" s="3">
        <f t="shared" si="364"/>
        <v>1.034794296603038E-3</v>
      </c>
      <c r="AA357" s="3">
        <f t="shared" si="364"/>
        <v>1.0347942898554226E-3</v>
      </c>
      <c r="AB357" s="3">
        <f t="shared" si="364"/>
        <v>1.0347942223792686E-3</v>
      </c>
      <c r="AC357" s="3">
        <f t="shared" si="364"/>
        <v>1.0347935476179698E-3</v>
      </c>
      <c r="AD357" s="3">
        <f t="shared" si="364"/>
        <v>1.034786800029185E-3</v>
      </c>
      <c r="AE357" s="3">
        <f t="shared" si="364"/>
        <v>1.0347193265612374E-3</v>
      </c>
      <c r="AF357" s="3">
        <f t="shared" si="364"/>
        <v>1.0340448338135412E-3</v>
      </c>
      <c r="AG357" s="3"/>
      <c r="AH357" s="3"/>
    </row>
    <row r="358" spans="1:34" x14ac:dyDescent="0.25">
      <c r="A358" s="79">
        <f>AVERAGE(B358:AF358)</f>
        <v>3.2400558910147502E-2</v>
      </c>
      <c r="B358" s="80">
        <f>IF($A$64&lt;=B324,IF($B$64&gt;=B324,ABS((B326-B325)/B325),0),0)</f>
        <v>8.1207833888864864E-2</v>
      </c>
      <c r="C358" s="80">
        <f t="shared" ref="C358:AF358" si="365">IF($A$64&lt;=C324,IF($B$64&gt;=C324,ABS((C326-C325)/C325),0),0)</f>
        <v>5.175264655030521E-2</v>
      </c>
      <c r="D358" s="80">
        <f t="shared" si="365"/>
        <v>2.6741869249820617E-2</v>
      </c>
      <c r="E358" s="80">
        <f t="shared" si="365"/>
        <v>9.1487412199726236E-3</v>
      </c>
      <c r="F358" s="80">
        <f t="shared" si="365"/>
        <v>2.6569611167268338E-2</v>
      </c>
      <c r="G358" s="80">
        <f t="shared" si="365"/>
        <v>2.742388418268733E-2</v>
      </c>
      <c r="H358" s="80">
        <f t="shared" si="365"/>
        <v>2.6555150551147266E-2</v>
      </c>
      <c r="I358" s="80">
        <f t="shared" si="365"/>
        <v>2.3652105411932002E-2</v>
      </c>
      <c r="J358" s="80">
        <f t="shared" si="365"/>
        <v>2.4681376611125155E-2</v>
      </c>
      <c r="K358" s="80">
        <f t="shared" si="365"/>
        <v>2.4583615377474565E-2</v>
      </c>
      <c r="L358" s="80">
        <f t="shared" si="365"/>
        <v>2.5938472723226171E-2</v>
      </c>
      <c r="M358" s="80">
        <f t="shared" si="365"/>
        <v>2.5817449000368371E-2</v>
      </c>
      <c r="N358" s="80">
        <f t="shared" si="365"/>
        <v>3.0354151972063464E-2</v>
      </c>
      <c r="O358" s="80">
        <f t="shared" si="365"/>
        <v>3.3568246040406612E-2</v>
      </c>
      <c r="P358" s="80">
        <f t="shared" si="365"/>
        <v>3.5042823048926801E-2</v>
      </c>
      <c r="Q358" s="80">
        <f t="shared" si="365"/>
        <v>1.9396672320254372E-2</v>
      </c>
      <c r="R358" s="80">
        <f t="shared" si="365"/>
        <v>6.0196097621852677E-2</v>
      </c>
      <c r="S358" s="80">
        <f t="shared" si="365"/>
        <v>0.14302884779802458</v>
      </c>
      <c r="T358" s="80">
        <f t="shared" si="365"/>
        <v>0.11462455612918519</v>
      </c>
      <c r="U358" s="80">
        <f t="shared" si="365"/>
        <v>6.9565334657176209E-2</v>
      </c>
      <c r="V358" s="80">
        <f t="shared" si="365"/>
        <v>1.6057163947924183E-2</v>
      </c>
      <c r="W358" s="80">
        <f t="shared" si="365"/>
        <v>2.2436212601794271E-2</v>
      </c>
      <c r="X358" s="80">
        <f t="shared" si="365"/>
        <v>9.8456149859585482E-3</v>
      </c>
      <c r="Y358" s="80">
        <f t="shared" si="365"/>
        <v>2.1761552027419608E-2</v>
      </c>
      <c r="Z358" s="80">
        <f t="shared" si="365"/>
        <v>1.3026370594685586E-2</v>
      </c>
      <c r="AA358" s="80">
        <f t="shared" si="365"/>
        <v>5.6924467538276707E-3</v>
      </c>
      <c r="AB358" s="80">
        <f t="shared" si="365"/>
        <v>8.0670239889085432E-3</v>
      </c>
      <c r="AC358" s="80">
        <f t="shared" si="365"/>
        <v>1.8685195254915448E-2</v>
      </c>
      <c r="AD358" s="80">
        <f t="shared" si="365"/>
        <v>4.6267660035871705E-3</v>
      </c>
      <c r="AE358" s="80">
        <f t="shared" si="365"/>
        <v>1.6042042288171251E-3</v>
      </c>
      <c r="AF358" s="80">
        <f t="shared" si="365"/>
        <v>2.7652903046519375E-3</v>
      </c>
    </row>
    <row r="359" spans="1:34" x14ac:dyDescent="0.25">
      <c r="B359" s="21">
        <f>(B326-B325)^2</f>
        <v>628362.10792325682</v>
      </c>
      <c r="C359" s="21">
        <f t="shared" ref="C359:AF359" si="366">(C326-C325)^2</f>
        <v>239538.40141507387</v>
      </c>
      <c r="D359" s="21">
        <f t="shared" si="366"/>
        <v>60580.721290232264</v>
      </c>
      <c r="E359" s="21">
        <f t="shared" si="366"/>
        <v>6704.7752800654152</v>
      </c>
      <c r="F359" s="21">
        <f t="shared" si="366"/>
        <v>53129.362848288234</v>
      </c>
      <c r="G359" s="21">
        <f t="shared" si="366"/>
        <v>52354.628008586296</v>
      </c>
      <c r="H359" s="21">
        <f t="shared" si="366"/>
        <v>45024.354567891525</v>
      </c>
      <c r="I359" s="21">
        <f t="shared" si="366"/>
        <v>33001.033394335238</v>
      </c>
      <c r="J359" s="21">
        <f t="shared" si="366"/>
        <v>33473.761679077645</v>
      </c>
      <c r="K359" s="21">
        <f t="shared" si="366"/>
        <v>30811.447547663854</v>
      </c>
      <c r="L359" s="21">
        <f t="shared" si="366"/>
        <v>31720.612923711738</v>
      </c>
      <c r="M359" s="21">
        <f t="shared" si="366"/>
        <v>28953.456420489078</v>
      </c>
      <c r="N359" s="21">
        <f t="shared" si="366"/>
        <v>36557.148323719623</v>
      </c>
      <c r="O359" s="21">
        <f t="shared" si="366"/>
        <v>39834.619276515543</v>
      </c>
      <c r="P359" s="21">
        <f t="shared" si="366"/>
        <v>37804.225820869819</v>
      </c>
      <c r="Q359" s="21">
        <f t="shared" si="366"/>
        <v>9307.8159997656767</v>
      </c>
      <c r="R359" s="21">
        <f t="shared" si="366"/>
        <v>59191.848530357041</v>
      </c>
      <c r="S359" s="21">
        <f t="shared" si="366"/>
        <v>183836.78626936066</v>
      </c>
      <c r="T359" s="21">
        <f t="shared" si="366"/>
        <v>58991.916539416357</v>
      </c>
      <c r="U359" s="21">
        <f t="shared" si="366"/>
        <v>9922.3430449721636</v>
      </c>
      <c r="V359" s="21">
        <f t="shared" si="366"/>
        <v>241.51463201729632</v>
      </c>
      <c r="W359" s="21">
        <f t="shared" si="366"/>
        <v>229.78724749742574</v>
      </c>
      <c r="X359" s="21">
        <f t="shared" si="366"/>
        <v>27.401329314827546</v>
      </c>
      <c r="Y359" s="21">
        <f t="shared" si="366"/>
        <v>97.574858800753148</v>
      </c>
      <c r="Z359" s="21">
        <f t="shared" si="366"/>
        <v>29.627715814086404</v>
      </c>
      <c r="AA359" s="21">
        <f t="shared" si="366"/>
        <v>4.9771920571154347</v>
      </c>
      <c r="AB359" s="21">
        <f t="shared" si="366"/>
        <v>9.3490368956798431</v>
      </c>
      <c r="AC359" s="21">
        <f t="shared" si="366"/>
        <v>47.177084138575552</v>
      </c>
      <c r="AD359" s="21">
        <f t="shared" si="366"/>
        <v>2.5948574343451969</v>
      </c>
      <c r="AE359" s="21">
        <f t="shared" si="366"/>
        <v>0.30953751505470489</v>
      </c>
      <c r="AF359" s="21">
        <f t="shared" si="366"/>
        <v>0.9035549213673465</v>
      </c>
      <c r="AG359" s="3"/>
      <c r="AH359" s="3"/>
    </row>
    <row r="360" spans="1:34" x14ac:dyDescent="0.25">
      <c r="A360" s="71">
        <f>SUM(B360:AF360)</f>
        <v>1679792.5841500557</v>
      </c>
      <c r="B360" s="60">
        <f>IF($A$64&lt;=B324,IF($B$64&gt;=B324,ABS(B359),0),0)</f>
        <v>628362.10792325682</v>
      </c>
      <c r="C360" s="60">
        <f t="shared" ref="C360:AF360" si="367">IF($A$64&lt;=C324,IF($B$64&gt;=C324,ABS(C359),0),0)</f>
        <v>239538.40141507387</v>
      </c>
      <c r="D360" s="60">
        <f t="shared" si="367"/>
        <v>60580.721290232264</v>
      </c>
      <c r="E360" s="60">
        <f t="shared" si="367"/>
        <v>6704.7752800654152</v>
      </c>
      <c r="F360" s="60">
        <f t="shared" si="367"/>
        <v>53129.362848288234</v>
      </c>
      <c r="G360" s="60">
        <f t="shared" si="367"/>
        <v>52354.628008586296</v>
      </c>
      <c r="H360" s="60">
        <f t="shared" si="367"/>
        <v>45024.354567891525</v>
      </c>
      <c r="I360" s="60">
        <f t="shared" si="367"/>
        <v>33001.033394335238</v>
      </c>
      <c r="J360" s="60">
        <f t="shared" si="367"/>
        <v>33473.761679077645</v>
      </c>
      <c r="K360" s="60">
        <f t="shared" si="367"/>
        <v>30811.447547663854</v>
      </c>
      <c r="L360" s="60">
        <f t="shared" si="367"/>
        <v>31720.612923711738</v>
      </c>
      <c r="M360" s="60">
        <f t="shared" si="367"/>
        <v>28953.456420489078</v>
      </c>
      <c r="N360" s="60">
        <f t="shared" si="367"/>
        <v>36557.148323719623</v>
      </c>
      <c r="O360" s="60">
        <f t="shared" si="367"/>
        <v>39834.619276515543</v>
      </c>
      <c r="P360" s="60">
        <f t="shared" si="367"/>
        <v>37804.225820869819</v>
      </c>
      <c r="Q360" s="60">
        <f t="shared" si="367"/>
        <v>9307.8159997656767</v>
      </c>
      <c r="R360" s="60">
        <f t="shared" si="367"/>
        <v>59191.848530357041</v>
      </c>
      <c r="S360" s="60">
        <f t="shared" si="367"/>
        <v>183836.78626936066</v>
      </c>
      <c r="T360" s="60">
        <f t="shared" si="367"/>
        <v>58991.916539416357</v>
      </c>
      <c r="U360" s="60">
        <f t="shared" si="367"/>
        <v>9922.3430449721636</v>
      </c>
      <c r="V360" s="60">
        <f t="shared" si="367"/>
        <v>241.51463201729632</v>
      </c>
      <c r="W360" s="60">
        <f t="shared" si="367"/>
        <v>229.78724749742574</v>
      </c>
      <c r="X360" s="60">
        <f t="shared" si="367"/>
        <v>27.401329314827546</v>
      </c>
      <c r="Y360" s="60">
        <f t="shared" si="367"/>
        <v>97.574858800753148</v>
      </c>
      <c r="Z360" s="60">
        <f t="shared" si="367"/>
        <v>29.627715814086404</v>
      </c>
      <c r="AA360" s="60">
        <f t="shared" si="367"/>
        <v>4.9771920571154347</v>
      </c>
      <c r="AB360" s="60">
        <f t="shared" si="367"/>
        <v>9.3490368956798431</v>
      </c>
      <c r="AC360" s="60">
        <f t="shared" si="367"/>
        <v>47.177084138575552</v>
      </c>
      <c r="AD360" s="60">
        <f t="shared" si="367"/>
        <v>2.5948574343451969</v>
      </c>
      <c r="AE360" s="60">
        <f t="shared" si="367"/>
        <v>0.30953751505470489</v>
      </c>
      <c r="AF360" s="60">
        <f t="shared" si="367"/>
        <v>0.9035549213673465</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9039.8670430819093</v>
      </c>
      <c r="C364" s="26">
        <f>INDEX(Comparison!$AM$3:$AS$33,G$14,$H$122)</f>
        <v>8723.1350121775959</v>
      </c>
      <c r="D364" s="26">
        <f>INDEX(Comparison!$AM$3:$AS$33,H$14,$H$122)</f>
        <v>8412.4411255307823</v>
      </c>
      <c r="E364" s="26">
        <f>INDEX(Comparison!$AM$3:$AS$33,I$14,$H$122)</f>
        <v>8064.2181617455262</v>
      </c>
      <c r="F364" s="26">
        <f>INDEX(Comparison!$AM$3:$AS$33,J$14,$H$122)</f>
        <v>7728.4680221740073</v>
      </c>
      <c r="G364" s="26">
        <f>INDEX(Comparison!$AM$3:$AS$33,K$14,$H$122)</f>
        <v>7458.8734765357476</v>
      </c>
      <c r="H364" s="26">
        <f>INDEX(Comparison!$AM$3:$AS$33,L$14,$H$122)</f>
        <v>7186.4338001487413</v>
      </c>
      <c r="I364" s="26">
        <f>INDEX(Comparison!$AM$3:$AS$33,M$14,$H$122)</f>
        <v>6923.3670228065112</v>
      </c>
      <c r="J364" s="26">
        <f>INDEX(Comparison!$AM$3:$AS$33,N$14,$H$122)</f>
        <v>6642.6199774647403</v>
      </c>
      <c r="K364" s="26">
        <f>INDEX(Comparison!$AM$3:$AS$33,O$14,$H$122)</f>
        <v>6381.2467017614817</v>
      </c>
      <c r="L364" s="26">
        <f>INDEX(Comparison!$AM$3:$AS$33,P$14,$H$122)</f>
        <v>6048.4964574924006</v>
      </c>
      <c r="M364" s="26">
        <f>INDEX(Comparison!$AM$3:$AS$33,Q$14,$H$122)</f>
        <v>5696.5517580815231</v>
      </c>
      <c r="N364" s="26">
        <f>INDEX(Comparison!$AM$3:$AS$33,R$14,$H$122)</f>
        <v>5284.0344872686346</v>
      </c>
      <c r="O364" s="26">
        <f>INDEX(Comparison!$AM$3:$AS$33,S$14,$H$122)</f>
        <v>4808.4059861038604</v>
      </c>
      <c r="P364" s="26">
        <f>INDEX(Comparison!$AM$3:$AS$33,T$14,$H$122)</f>
        <v>4180.5720256158129</v>
      </c>
      <c r="Q364" s="26">
        <f>INDEX(Comparison!$AM$3:$AS$33,U$14,$H$122)</f>
        <v>3284.9966289927738</v>
      </c>
      <c r="R364" s="26">
        <f>INDEX(Comparison!$AM$3:$AS$33,V$14,$H$122)</f>
        <v>2245.2955925232422</v>
      </c>
      <c r="S364" s="26">
        <f>INDEX(Comparison!$AM$3:$AS$33,W$14,$H$122)</f>
        <v>1455.0382053123094</v>
      </c>
      <c r="T364" s="26">
        <f>INDEX(Comparison!$AM$3:$AS$33,X$14,$H$122)</f>
        <v>939.75400333325899</v>
      </c>
      <c r="U364" s="26">
        <f>INDEX(Comparison!$AM$3:$AS$33,Y$14,$H$122)</f>
        <v>667.66248335298053</v>
      </c>
      <c r="V364" s="26">
        <f>INDEX(Comparison!$AM$3:$AS$33,Z$14,$H$122)</f>
        <v>524.73653922891083</v>
      </c>
      <c r="W364" s="26">
        <f>INDEX(Comparison!$AM$3:$AS$33,AA$14,$H$122)</f>
        <v>458.1071148045329</v>
      </c>
      <c r="X364" s="26">
        <f>INDEX(Comparison!$AM$3:$AS$33,AB$14,$H$122)</f>
        <v>416.14335450856197</v>
      </c>
      <c r="Y364" s="26">
        <f>INDEX(Comparison!$AM$3:$AS$33,AC$14,$H$122)</f>
        <v>393.17885286775953</v>
      </c>
      <c r="Z364" s="26">
        <f>INDEX(Comparison!$AM$3:$AS$33,AD$14,$H$122)</f>
        <v>379.36405724647841</v>
      </c>
      <c r="AA364" s="26">
        <f>INDEX(Comparison!$AM$3:$AS$33,AE$14,$H$122)</f>
        <v>357.29334618358928</v>
      </c>
      <c r="AB364" s="26">
        <f>INDEX(Comparison!$AM$3:$AS$33,AF$14,$H$122)</f>
        <v>350.56361233759071</v>
      </c>
      <c r="AC364" s="26">
        <f>INDEX(Comparison!$AM$3:$AS$33,AG$14,$H$122)</f>
        <v>345.69227327199394</v>
      </c>
      <c r="AD364" s="26">
        <f>INDEX(Comparison!$AM$3:$AS$33,AH$14,$H$122)</f>
        <v>345.40832820533547</v>
      </c>
      <c r="AE364" s="26">
        <f>INDEX(Comparison!$AM$3:$AS$33,AI$14,$H$122)</f>
        <v>343.52176757284224</v>
      </c>
      <c r="AF364" s="26">
        <f>INDEX(Comparison!$AM$3:$AS$33,AJ$14,$H$122)</f>
        <v>342.36979608181048</v>
      </c>
      <c r="AG364" s="26"/>
      <c r="AH364" s="26"/>
    </row>
    <row r="365" spans="1:34" x14ac:dyDescent="0.25">
      <c r="A365" s="70" t="s">
        <v>22</v>
      </c>
      <c r="B365" s="27">
        <f>($C$17+SUM(B366:B396))*$B$51</f>
        <v>8953.6413814836324</v>
      </c>
      <c r="C365" s="27">
        <f t="shared" ref="C365:AF365" si="368">($C$17+SUM(C366:C396))*$B$51</f>
        <v>8833.4996201582944</v>
      </c>
      <c r="D365" s="27">
        <f t="shared" si="368"/>
        <v>8381.5280263571076</v>
      </c>
      <c r="E365" s="27">
        <f t="shared" si="368"/>
        <v>8067.8780279382418</v>
      </c>
      <c r="F365" s="27">
        <f t="shared" si="368"/>
        <v>7726.5717707266167</v>
      </c>
      <c r="G365" s="27">
        <f t="shared" si="368"/>
        <v>7457.9211018606893</v>
      </c>
      <c r="H365" s="27">
        <f t="shared" si="368"/>
        <v>7185.4243690357689</v>
      </c>
      <c r="I365" s="27">
        <f t="shared" si="368"/>
        <v>6922.0030261013017</v>
      </c>
      <c r="J365" s="27">
        <f t="shared" si="368"/>
        <v>6642.1289468489376</v>
      </c>
      <c r="K365" s="27">
        <f t="shared" si="368"/>
        <v>6378.7969026292949</v>
      </c>
      <c r="L365" s="27">
        <f t="shared" si="368"/>
        <v>6049.3006246178566</v>
      </c>
      <c r="M365" s="27">
        <f t="shared" si="368"/>
        <v>5691.7383652178141</v>
      </c>
      <c r="N365" s="27">
        <f t="shared" si="368"/>
        <v>5286.4134469492519</v>
      </c>
      <c r="O365" s="27">
        <f t="shared" si="368"/>
        <v>4801.9779343790224</v>
      </c>
      <c r="P365" s="27">
        <f t="shared" si="368"/>
        <v>4181.7204823832808</v>
      </c>
      <c r="Q365" s="27">
        <f t="shared" si="368"/>
        <v>3277.9728004940357</v>
      </c>
      <c r="R365" s="27">
        <f t="shared" si="368"/>
        <v>2244.215599639625</v>
      </c>
      <c r="S365" s="27">
        <f t="shared" si="368"/>
        <v>1451.8498553287088</v>
      </c>
      <c r="T365" s="27">
        <f t="shared" si="368"/>
        <v>939.25110546607368</v>
      </c>
      <c r="U365" s="27">
        <f t="shared" si="368"/>
        <v>666.86083777531542</v>
      </c>
      <c r="V365" s="27">
        <f t="shared" si="368"/>
        <v>524.53044442200758</v>
      </c>
      <c r="W365" s="27">
        <f t="shared" si="368"/>
        <v>457.97003442531684</v>
      </c>
      <c r="X365" s="27">
        <f t="shared" si="368"/>
        <v>415.94468231068305</v>
      </c>
      <c r="Y365" s="27">
        <f t="shared" si="368"/>
        <v>393.42672047803057</v>
      </c>
      <c r="Z365" s="27">
        <f t="shared" si="368"/>
        <v>378.65092729406803</v>
      </c>
      <c r="AA365" s="27">
        <f t="shared" si="368"/>
        <v>358.06986827911362</v>
      </c>
      <c r="AB365" s="27">
        <f t="shared" si="368"/>
        <v>349.61721401390184</v>
      </c>
      <c r="AC365" s="27">
        <f t="shared" si="368"/>
        <v>346.7280298274614</v>
      </c>
      <c r="AD365" s="27">
        <f t="shared" si="368"/>
        <v>344.6520746339782</v>
      </c>
      <c r="AE365" s="27">
        <f t="shared" si="368"/>
        <v>343.78557355698086</v>
      </c>
      <c r="AF365" s="27">
        <f t="shared" si="368"/>
        <v>342.25795668222486</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4.7921033135262026E-2</v>
      </c>
      <c r="C367" s="3">
        <f t="shared" si="370"/>
        <v>3.7980654002909835E-2</v>
      </c>
      <c r="D367" s="3">
        <f t="shared" si="370"/>
        <v>3.7147115940586849E-3</v>
      </c>
      <c r="E367" s="3">
        <f t="shared" si="370"/>
        <v>2.9754436281190167E-13</v>
      </c>
      <c r="F367" s="3">
        <f t="shared" si="370"/>
        <v>3.2345806225567158E-114</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2.5249526934248159E-2</v>
      </c>
      <c r="C368" s="3">
        <f t="shared" si="371"/>
        <v>2.4725522451489471E-2</v>
      </c>
      <c r="D368" s="3">
        <f t="shared" si="371"/>
        <v>2.0047849334769486E-2</v>
      </c>
      <c r="E368" s="3">
        <f t="shared" si="371"/>
        <v>2.4620162648567906E-3</v>
      </c>
      <c r="F368" s="3">
        <f t="shared" si="371"/>
        <v>1.9209771388012833E-12</v>
      </c>
      <c r="G368" s="3">
        <f t="shared" si="371"/>
        <v>1.6063307896113028E-103</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3.4187329797585896E-2</v>
      </c>
      <c r="C369" s="3">
        <f t="shared" si="372"/>
        <v>3.4122715486022769E-2</v>
      </c>
      <c r="D369" s="3">
        <f t="shared" si="372"/>
        <v>3.3483251114746669E-2</v>
      </c>
      <c r="E369" s="3">
        <f t="shared" si="372"/>
        <v>2.7712006305190214E-2</v>
      </c>
      <c r="F369" s="3">
        <f t="shared" si="372"/>
        <v>4.1789912436505077E-3</v>
      </c>
      <c r="G369" s="3">
        <f t="shared" si="372"/>
        <v>2.5415951976090284E-11</v>
      </c>
      <c r="H369" s="3">
        <f t="shared" si="372"/>
        <v>1.7597686711964237E-93</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2.2721146101033745E-2</v>
      </c>
      <c r="C370" s="3">
        <f t="shared" si="373"/>
        <v>2.2717268938192963E-2</v>
      </c>
      <c r="D370" s="3">
        <f t="shared" si="373"/>
        <v>2.2678533679360631E-2</v>
      </c>
      <c r="E370" s="3">
        <f t="shared" si="373"/>
        <v>2.2294795188339395E-2</v>
      </c>
      <c r="F370" s="3">
        <f t="shared" si="373"/>
        <v>1.8797004569644744E-2</v>
      </c>
      <c r="G370" s="3">
        <f t="shared" si="373"/>
        <v>3.4114597100113448E-3</v>
      </c>
      <c r="H370" s="3">
        <f t="shared" si="373"/>
        <v>1.3226844321689881E-10</v>
      </c>
      <c r="I370" s="3">
        <f t="shared" si="373"/>
        <v>1.0153509894480761E-84</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2.5892566028930156E-2</v>
      </c>
      <c r="C371" s="3">
        <f t="shared" si="374"/>
        <v>2.5892167427176718E-2</v>
      </c>
      <c r="D371" s="3">
        <f t="shared" si="374"/>
        <v>2.5888181747120719E-2</v>
      </c>
      <c r="E371" s="3">
        <f t="shared" si="374"/>
        <v>2.5848358675183456E-2</v>
      </c>
      <c r="F371" s="3">
        <f t="shared" si="374"/>
        <v>2.5453481685149867E-2</v>
      </c>
      <c r="G371" s="3">
        <f t="shared" si="374"/>
        <v>2.1821743405576681E-2</v>
      </c>
      <c r="H371" s="3">
        <f t="shared" si="374"/>
        <v>4.6807121048516613E-3</v>
      </c>
      <c r="I371" s="3">
        <f t="shared" si="374"/>
        <v>9.6502103895583536E-10</v>
      </c>
      <c r="J371" s="3">
        <f t="shared" si="374"/>
        <v>1.3390145613643841E-76</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2.3275392944512037E-2</v>
      </c>
      <c r="C372" s="3">
        <f t="shared" si="375"/>
        <v>2.3275360621578717E-2</v>
      </c>
      <c r="D372" s="3">
        <f t="shared" si="375"/>
        <v>2.3275037394714312E-2</v>
      </c>
      <c r="E372" s="3">
        <f t="shared" si="375"/>
        <v>2.3271805372937295E-2</v>
      </c>
      <c r="F372" s="3">
        <f t="shared" si="375"/>
        <v>2.3239509829189268E-2</v>
      </c>
      <c r="G372" s="3">
        <f t="shared" si="375"/>
        <v>2.2919009162735759E-2</v>
      </c>
      <c r="H372" s="3">
        <f t="shared" si="375"/>
        <v>1.9947321358440386E-2</v>
      </c>
      <c r="I372" s="3">
        <f t="shared" si="375"/>
        <v>4.974758992220228E-3</v>
      </c>
      <c r="J372" s="3">
        <f t="shared" si="375"/>
        <v>4.6307001386249594E-9</v>
      </c>
      <c r="K372" s="3">
        <f t="shared" si="375"/>
        <v>2.2614802188979516E-69</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2.7259426961790283E-2</v>
      </c>
      <c r="C373" s="3">
        <f t="shared" si="376"/>
        <v>2.7259423546895461E-2</v>
      </c>
      <c r="D373" s="3">
        <f t="shared" si="376"/>
        <v>2.725938939797078E-2</v>
      </c>
      <c r="E373" s="3">
        <f t="shared" si="376"/>
        <v>2.7259047911076823E-2</v>
      </c>
      <c r="F373" s="3">
        <f t="shared" si="376"/>
        <v>2.725563327741367E-2</v>
      </c>
      <c r="G373" s="3">
        <f t="shared" si="376"/>
        <v>2.722151045751817E-2</v>
      </c>
      <c r="H373" s="3">
        <f t="shared" si="376"/>
        <v>2.6882623068274353E-2</v>
      </c>
      <c r="I373" s="3">
        <f t="shared" si="376"/>
        <v>2.3717334255660118E-2</v>
      </c>
      <c r="J373" s="3">
        <f t="shared" si="376"/>
        <v>6.7765428724002501E-3</v>
      </c>
      <c r="K373" s="3">
        <f t="shared" si="376"/>
        <v>2.4571481946306777E-8</v>
      </c>
      <c r="L373" s="3">
        <f t="shared" si="376"/>
        <v>9.6530143175615088E-63</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2.1214287010147454E-2</v>
      </c>
      <c r="C374" s="3">
        <f t="shared" si="377"/>
        <v>2.1214286770410123E-2</v>
      </c>
      <c r="D374" s="3">
        <f t="shared" si="377"/>
        <v>2.1214284373036966E-2</v>
      </c>
      <c r="E374" s="3">
        <f t="shared" si="377"/>
        <v>2.121426039932027E-2</v>
      </c>
      <c r="F374" s="3">
        <f t="shared" si="377"/>
        <v>2.1214020663643363E-2</v>
      </c>
      <c r="G374" s="3">
        <f t="shared" si="377"/>
        <v>2.1211623455874015E-2</v>
      </c>
      <c r="H374" s="3">
        <f t="shared" si="377"/>
        <v>2.1187666271922836E-2</v>
      </c>
      <c r="I374" s="3">
        <f t="shared" si="377"/>
        <v>2.0949577597938102E-2</v>
      </c>
      <c r="J374" s="3">
        <f t="shared" si="377"/>
        <v>1.8710988919229579E-2</v>
      </c>
      <c r="K374" s="3">
        <f t="shared" si="377"/>
        <v>6.0438189963901235E-3</v>
      </c>
      <c r="L374" s="3">
        <f t="shared" si="377"/>
        <v>7.4723727380242398E-8</v>
      </c>
      <c r="M374" s="3">
        <f t="shared" si="377"/>
        <v>6.236333137571238E-57</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3.471803682654407E-2</v>
      </c>
      <c r="C375" s="3">
        <f t="shared" si="378"/>
        <v>3.4718036791151756E-2</v>
      </c>
      <c r="D375" s="3">
        <f t="shared" si="378"/>
        <v>3.4718036437228601E-2</v>
      </c>
      <c r="E375" s="3">
        <f t="shared" si="378"/>
        <v>3.4718032897997256E-2</v>
      </c>
      <c r="F375" s="3">
        <f t="shared" si="378"/>
        <v>3.471799750570366E-2</v>
      </c>
      <c r="G375" s="3">
        <f t="shared" si="378"/>
        <v>3.471764358475208E-2</v>
      </c>
      <c r="H375" s="3">
        <f t="shared" si="378"/>
        <v>3.4714104573666256E-2</v>
      </c>
      <c r="I375" s="3">
        <f t="shared" si="378"/>
        <v>3.4678734298323445E-2</v>
      </c>
      <c r="J375" s="3">
        <f t="shared" si="378"/>
        <v>3.432700763511725E-2</v>
      </c>
      <c r="K375" s="3">
        <f t="shared" si="378"/>
        <v>3.1000095398753001E-2</v>
      </c>
      <c r="L375" s="3">
        <f t="shared" si="378"/>
        <v>1.1184945372824301E-2</v>
      </c>
      <c r="M375" s="3">
        <f t="shared" si="378"/>
        <v>4.1815975978985998E-7</v>
      </c>
      <c r="N375" s="3">
        <f t="shared" si="378"/>
        <v>2.2306217896115942E-51</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3.054172570004814E-2</v>
      </c>
      <c r="C376" s="3">
        <f t="shared" si="379"/>
        <v>3.0541725697239511E-2</v>
      </c>
      <c r="D376" s="3">
        <f t="shared" si="379"/>
        <v>3.0541725669153249E-2</v>
      </c>
      <c r="E376" s="3">
        <f t="shared" si="379"/>
        <v>3.0541725388290603E-2</v>
      </c>
      <c r="F376" s="3">
        <f t="shared" si="379"/>
        <v>3.0541722579664306E-2</v>
      </c>
      <c r="G376" s="3">
        <f t="shared" si="379"/>
        <v>3.0541694493415535E-2</v>
      </c>
      <c r="H376" s="3">
        <f t="shared" si="379"/>
        <v>3.0541413632348385E-2</v>
      </c>
      <c r="I376" s="3">
        <f t="shared" si="379"/>
        <v>3.0538605163726664E-2</v>
      </c>
      <c r="J376" s="3">
        <f t="shared" si="379"/>
        <v>3.0510534677658546E-2</v>
      </c>
      <c r="K376" s="3">
        <f t="shared" si="379"/>
        <v>3.0231245012103163E-2</v>
      </c>
      <c r="L376" s="3">
        <f t="shared" si="379"/>
        <v>2.7575168786891743E-2</v>
      </c>
      <c r="M376" s="3">
        <f t="shared" si="379"/>
        <v>1.0993592702270467E-2</v>
      </c>
      <c r="N376" s="3">
        <f t="shared" si="379"/>
        <v>1.1152038952842685E-6</v>
      </c>
      <c r="O376" s="3">
        <f t="shared" si="379"/>
        <v>1.2867691067410468E-46</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4.0592217810317362E-2</v>
      </c>
      <c r="C377" s="3">
        <f t="shared" si="380"/>
        <v>4.0592217809980624E-2</v>
      </c>
      <c r="D377" s="3">
        <f t="shared" si="380"/>
        <v>4.0592217806613262E-2</v>
      </c>
      <c r="E377" s="3">
        <f t="shared" si="380"/>
        <v>4.059221777293965E-2</v>
      </c>
      <c r="F377" s="3">
        <f t="shared" si="380"/>
        <v>4.0592217436203469E-2</v>
      </c>
      <c r="G377" s="3">
        <f t="shared" si="380"/>
        <v>4.0592214068841836E-2</v>
      </c>
      <c r="H377" s="3">
        <f t="shared" si="380"/>
        <v>4.0592180395240887E-2</v>
      </c>
      <c r="I377" s="3">
        <f t="shared" si="380"/>
        <v>4.0591843660767811E-2</v>
      </c>
      <c r="J377" s="3">
        <f t="shared" si="380"/>
        <v>4.05884764696701E-2</v>
      </c>
      <c r="K377" s="3">
        <f t="shared" si="380"/>
        <v>4.0554819917283706E-2</v>
      </c>
      <c r="L377" s="3">
        <f t="shared" si="380"/>
        <v>4.0219785548824306E-2</v>
      </c>
      <c r="M377" s="3">
        <f t="shared" si="380"/>
        <v>3.7017960196409079E-2</v>
      </c>
      <c r="N377" s="3">
        <f t="shared" si="380"/>
        <v>1.6148783756875857E-2</v>
      </c>
      <c r="O377" s="3">
        <f t="shared" si="380"/>
        <v>4.0310034395534906E-6</v>
      </c>
      <c r="P377" s="3">
        <f t="shared" si="380"/>
        <v>3.7857040981018143E-42</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4.4579554777237088E-2</v>
      </c>
      <c r="C378" s="3">
        <f t="shared" si="381"/>
        <v>4.4579554777203725E-2</v>
      </c>
      <c r="D378" s="3">
        <f t="shared" si="381"/>
        <v>4.4579554776870124E-2</v>
      </c>
      <c r="E378" s="3">
        <f t="shared" si="381"/>
        <v>4.4579554773534098E-2</v>
      </c>
      <c r="F378" s="3">
        <f t="shared" si="381"/>
        <v>4.4579554740173846E-2</v>
      </c>
      <c r="G378" s="3">
        <f t="shared" si="381"/>
        <v>4.4579554406571333E-2</v>
      </c>
      <c r="H378" s="3">
        <f t="shared" si="381"/>
        <v>4.4579551070546314E-2</v>
      </c>
      <c r="I378" s="3">
        <f t="shared" si="381"/>
        <v>4.4579517710309879E-2</v>
      </c>
      <c r="J378" s="3">
        <f t="shared" si="381"/>
        <v>4.4579184109318569E-2</v>
      </c>
      <c r="K378" s="3">
        <f t="shared" si="381"/>
        <v>4.4575848236705989E-2</v>
      </c>
      <c r="L378" s="3">
        <f t="shared" si="381"/>
        <v>4.4542503236833161E-2</v>
      </c>
      <c r="M378" s="3">
        <f t="shared" si="381"/>
        <v>4.4210422070438155E-2</v>
      </c>
      <c r="N378" s="3">
        <f t="shared" si="381"/>
        <v>4.1022778256646221E-2</v>
      </c>
      <c r="O378" s="3">
        <f t="shared" si="381"/>
        <v>1.9410161721008675E-2</v>
      </c>
      <c r="P378" s="3">
        <f t="shared" si="381"/>
        <v>1.0916162630930843E-5</v>
      </c>
      <c r="Q378" s="3">
        <f t="shared" si="381"/>
        <v>3.4552416905124617E-38</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6.2079559793872245E-2</v>
      </c>
      <c r="C379" s="3">
        <f t="shared" si="382"/>
        <v>6.2079559793868061E-2</v>
      </c>
      <c r="D379" s="3">
        <f t="shared" si="382"/>
        <v>6.207955979382615E-2</v>
      </c>
      <c r="E379" s="3">
        <f t="shared" si="382"/>
        <v>6.2079559793407076E-2</v>
      </c>
      <c r="F379" s="3">
        <f t="shared" si="382"/>
        <v>6.2079559789216358E-2</v>
      </c>
      <c r="G379" s="3">
        <f t="shared" si="382"/>
        <v>6.2079559747309145E-2</v>
      </c>
      <c r="H379" s="3">
        <f t="shared" si="382"/>
        <v>6.2079559328236986E-2</v>
      </c>
      <c r="I379" s="3">
        <f t="shared" si="382"/>
        <v>6.2079555137515549E-2</v>
      </c>
      <c r="J379" s="3">
        <f t="shared" si="382"/>
        <v>6.2079513230316762E-2</v>
      </c>
      <c r="K379" s="3">
        <f t="shared" si="382"/>
        <v>6.2079094159884746E-2</v>
      </c>
      <c r="L379" s="3">
        <f t="shared" si="382"/>
        <v>6.2074903611153941E-2</v>
      </c>
      <c r="M379" s="3">
        <f t="shared" si="382"/>
        <v>6.2033013678886945E-2</v>
      </c>
      <c r="N379" s="3">
        <f t="shared" si="382"/>
        <v>6.1615665982135165E-2</v>
      </c>
      <c r="O379" s="3">
        <f t="shared" si="382"/>
        <v>5.7593545082037838E-2</v>
      </c>
      <c r="P379" s="3">
        <f t="shared" si="382"/>
        <v>2.9322463793271421E-2</v>
      </c>
      <c r="Q379" s="3">
        <f t="shared" si="382"/>
        <v>3.431365092819414E-5</v>
      </c>
      <c r="R379" s="3">
        <f t="shared" si="382"/>
        <v>1.6524625689125695E-34</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0.10578931784531288</v>
      </c>
      <c r="C380" s="3">
        <f t="shared" si="383"/>
        <v>0.10578931784531223</v>
      </c>
      <c r="D380" s="3">
        <f t="shared" si="383"/>
        <v>0.10578931784530581</v>
      </c>
      <c r="E380" s="3">
        <f t="shared" si="383"/>
        <v>0.10578931784524138</v>
      </c>
      <c r="F380" s="3">
        <f t="shared" si="383"/>
        <v>0.10578931784459716</v>
      </c>
      <c r="G380" s="3">
        <f t="shared" si="383"/>
        <v>0.10578931783815505</v>
      </c>
      <c r="H380" s="3">
        <f t="shared" si="383"/>
        <v>0.10578931777373388</v>
      </c>
      <c r="I380" s="3">
        <f t="shared" si="383"/>
        <v>0.10578931712952221</v>
      </c>
      <c r="J380" s="3">
        <f t="shared" si="383"/>
        <v>0.10578931068740571</v>
      </c>
      <c r="K380" s="3">
        <f t="shared" si="383"/>
        <v>0.10578924626626231</v>
      </c>
      <c r="L380" s="3">
        <f t="shared" si="383"/>
        <v>0.10578860205698602</v>
      </c>
      <c r="M380" s="3">
        <f t="shared" si="383"/>
        <v>0.10578216017998117</v>
      </c>
      <c r="N380" s="3">
        <f t="shared" si="383"/>
        <v>0.10571776298088577</v>
      </c>
      <c r="O380" s="3">
        <f t="shared" si="383"/>
        <v>0.10507594323290043</v>
      </c>
      <c r="P380" s="3">
        <f t="shared" si="383"/>
        <v>9.8868198718773573E-2</v>
      </c>
      <c r="Q380" s="3">
        <f t="shared" si="383"/>
        <v>5.3776169963612064E-2</v>
      </c>
      <c r="R380" s="3">
        <f t="shared" si="383"/>
        <v>1.2187716040660915E-4</v>
      </c>
      <c r="S380" s="3">
        <f t="shared" si="383"/>
        <v>4.357595571074043E-31</v>
      </c>
      <c r="T380" s="3">
        <f t="shared" si="383"/>
        <v>1.4876229107218407E-295</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8.5446045134986298E-2</v>
      </c>
      <c r="C381" s="3">
        <f t="shared" si="384"/>
        <v>8.544604513498627E-2</v>
      </c>
      <c r="D381" s="3">
        <f t="shared" si="384"/>
        <v>8.5446045134985785E-2</v>
      </c>
      <c r="E381" s="3">
        <f t="shared" si="384"/>
        <v>8.5446045134981094E-2</v>
      </c>
      <c r="F381" s="3">
        <f t="shared" si="384"/>
        <v>8.5446045134934159E-2</v>
      </c>
      <c r="G381" s="3">
        <f t="shared" si="384"/>
        <v>8.5446045134464771E-2</v>
      </c>
      <c r="H381" s="3">
        <f t="shared" si="384"/>
        <v>8.544604512977097E-2</v>
      </c>
      <c r="I381" s="3">
        <f t="shared" si="384"/>
        <v>8.5446045082832892E-2</v>
      </c>
      <c r="J381" s="3">
        <f t="shared" si="384"/>
        <v>8.544604461345208E-2</v>
      </c>
      <c r="K381" s="3">
        <f t="shared" si="384"/>
        <v>8.544603991964414E-2</v>
      </c>
      <c r="L381" s="3">
        <f t="shared" si="384"/>
        <v>8.5445992981578803E-2</v>
      </c>
      <c r="M381" s="3">
        <f t="shared" si="384"/>
        <v>8.5445523602343754E-2</v>
      </c>
      <c r="N381" s="3">
        <f t="shared" si="384"/>
        <v>8.5440829951804798E-2</v>
      </c>
      <c r="O381" s="3">
        <f t="shared" si="384"/>
        <v>8.5393907624687376E-2</v>
      </c>
      <c r="P381" s="3">
        <f t="shared" si="384"/>
        <v>8.4926099303198388E-2</v>
      </c>
      <c r="Q381" s="3">
        <f t="shared" si="384"/>
        <v>8.0386676911010452E-2</v>
      </c>
      <c r="R381" s="3">
        <f t="shared" si="384"/>
        <v>4.6410159623786029E-2</v>
      </c>
      <c r="S381" s="3">
        <f t="shared" si="384"/>
        <v>1.9094264108293296E-4</v>
      </c>
      <c r="T381" s="3">
        <f t="shared" si="384"/>
        <v>2.6533928678704904E-28</v>
      </c>
      <c r="U381" s="3">
        <f t="shared" si="384"/>
        <v>7.1250493784321934E-267</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5.8777528752493244E-2</v>
      </c>
      <c r="C382" s="3">
        <f t="shared" si="385"/>
        <v>5.8777528752493244E-2</v>
      </c>
      <c r="D382" s="3">
        <f t="shared" si="385"/>
        <v>5.8777528752493209E-2</v>
      </c>
      <c r="E382" s="3">
        <f t="shared" si="385"/>
        <v>5.8777528752492918E-2</v>
      </c>
      <c r="F382" s="3">
        <f t="shared" si="385"/>
        <v>5.877752875249001E-2</v>
      </c>
      <c r="G382" s="3">
        <f t="shared" si="385"/>
        <v>5.8777528752460881E-2</v>
      </c>
      <c r="H382" s="3">
        <f t="shared" si="385"/>
        <v>5.8777528752169614E-2</v>
      </c>
      <c r="I382" s="3">
        <f t="shared" si="385"/>
        <v>5.8777528749256944E-2</v>
      </c>
      <c r="J382" s="3">
        <f t="shared" si="385"/>
        <v>5.8777528720130243E-2</v>
      </c>
      <c r="K382" s="3">
        <f t="shared" si="385"/>
        <v>5.8777528428863253E-2</v>
      </c>
      <c r="L382" s="3">
        <f t="shared" si="385"/>
        <v>5.877752551619337E-2</v>
      </c>
      <c r="M382" s="3">
        <f t="shared" si="385"/>
        <v>5.8777496389502491E-2</v>
      </c>
      <c r="N382" s="3">
        <f t="shared" si="385"/>
        <v>5.8777205123387612E-2</v>
      </c>
      <c r="O382" s="3">
        <f t="shared" si="385"/>
        <v>5.8774292541621288E-2</v>
      </c>
      <c r="P382" s="3">
        <f t="shared" si="385"/>
        <v>5.8745174660758355E-2</v>
      </c>
      <c r="Q382" s="3">
        <f t="shared" si="385"/>
        <v>5.8454788078866983E-2</v>
      </c>
      <c r="R382" s="3">
        <f t="shared" si="385"/>
        <v>5.5628711436115821E-2</v>
      </c>
      <c r="S382" s="3">
        <f t="shared" si="385"/>
        <v>3.3891289924193338E-2</v>
      </c>
      <c r="T382" s="3">
        <f t="shared" si="385"/>
        <v>2.3876962829252649E-4</v>
      </c>
      <c r="U382" s="3">
        <f t="shared" si="385"/>
        <v>7.1926500353672152E-26</v>
      </c>
      <c r="V382" s="3">
        <f t="shared" si="385"/>
        <v>4.4257552677193245E-241</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3.044822143643108E-2</v>
      </c>
      <c r="C383" s="3">
        <f t="shared" si="386"/>
        <v>3.044822143643108E-2</v>
      </c>
      <c r="D383" s="3">
        <f t="shared" si="386"/>
        <v>3.044822143643108E-2</v>
      </c>
      <c r="E383" s="3">
        <f t="shared" si="386"/>
        <v>3.0448221436431066E-2</v>
      </c>
      <c r="F383" s="3">
        <f t="shared" si="386"/>
        <v>3.0448221436430927E-2</v>
      </c>
      <c r="G383" s="3">
        <f t="shared" si="386"/>
        <v>3.0448221436429567E-2</v>
      </c>
      <c r="H383" s="3">
        <f t="shared" si="386"/>
        <v>3.0448221436415956E-2</v>
      </c>
      <c r="I383" s="3">
        <f t="shared" si="386"/>
        <v>3.0448221436279847E-2</v>
      </c>
      <c r="J383" s="3">
        <f t="shared" si="386"/>
        <v>3.0448221434918751E-2</v>
      </c>
      <c r="K383" s="3">
        <f t="shared" si="386"/>
        <v>3.0448221421307799E-2</v>
      </c>
      <c r="L383" s="3">
        <f t="shared" si="386"/>
        <v>3.044822128519829E-2</v>
      </c>
      <c r="M383" s="3">
        <f t="shared" si="386"/>
        <v>3.0448219924103209E-2</v>
      </c>
      <c r="N383" s="3">
        <f t="shared" si="386"/>
        <v>3.0448206313155764E-2</v>
      </c>
      <c r="O383" s="3">
        <f t="shared" si="386"/>
        <v>3.0448070204015923E-2</v>
      </c>
      <c r="P383" s="3">
        <f t="shared" si="386"/>
        <v>3.0446709146080914E-2</v>
      </c>
      <c r="Q383" s="3">
        <f t="shared" si="386"/>
        <v>3.0433101912514842E-2</v>
      </c>
      <c r="R383" s="3">
        <f t="shared" si="386"/>
        <v>3.0297363602533361E-2</v>
      </c>
      <c r="S383" s="3">
        <f t="shared" si="386"/>
        <v>2.8972837145111185E-2</v>
      </c>
      <c r="T383" s="3">
        <f t="shared" si="386"/>
        <v>1.8529038694767394E-2</v>
      </c>
      <c r="U383" s="3">
        <f t="shared" si="386"/>
        <v>2.1206623117420016E-4</v>
      </c>
      <c r="V383" s="3">
        <f t="shared" si="386"/>
        <v>8.1782017020868648E-24</v>
      </c>
      <c r="W383" s="3">
        <f t="shared" si="386"/>
        <v>5.9500526781444981E-218</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1.5917825428886163E-2</v>
      </c>
      <c r="C384" s="3">
        <f t="shared" si="387"/>
        <v>1.5917825428886163E-2</v>
      </c>
      <c r="D384" s="3">
        <f t="shared" si="387"/>
        <v>1.5917825428886163E-2</v>
      </c>
      <c r="E384" s="3">
        <f t="shared" si="387"/>
        <v>1.5917825428886163E-2</v>
      </c>
      <c r="F384" s="3">
        <f t="shared" si="387"/>
        <v>1.5917825428886156E-2</v>
      </c>
      <c r="G384" s="3">
        <f t="shared" si="387"/>
        <v>1.5917825428886093E-2</v>
      </c>
      <c r="H384" s="3">
        <f t="shared" si="387"/>
        <v>1.5917825428885448E-2</v>
      </c>
      <c r="I384" s="3">
        <f t="shared" si="387"/>
        <v>1.591782542887903E-2</v>
      </c>
      <c r="J384" s="3">
        <f t="shared" si="387"/>
        <v>1.5917825428814841E-2</v>
      </c>
      <c r="K384" s="3">
        <f t="shared" si="387"/>
        <v>1.5917825428172959E-2</v>
      </c>
      <c r="L384" s="3">
        <f t="shared" si="387"/>
        <v>1.5917825421754114E-2</v>
      </c>
      <c r="M384" s="3">
        <f t="shared" si="387"/>
        <v>1.5917825357565665E-2</v>
      </c>
      <c r="N384" s="3">
        <f t="shared" si="387"/>
        <v>1.5917824715681202E-2</v>
      </c>
      <c r="O384" s="3">
        <f t="shared" si="387"/>
        <v>1.5917818296837988E-2</v>
      </c>
      <c r="P384" s="3">
        <f t="shared" si="387"/>
        <v>1.5917754108548204E-2</v>
      </c>
      <c r="Q384" s="3">
        <f t="shared" si="387"/>
        <v>1.5917112239886309E-2</v>
      </c>
      <c r="R384" s="3">
        <f t="shared" si="387"/>
        <v>1.5910694976646846E-2</v>
      </c>
      <c r="S384" s="3">
        <f t="shared" si="387"/>
        <v>1.5846664470059838E-2</v>
      </c>
      <c r="T384" s="3">
        <f t="shared" si="387"/>
        <v>1.5220362198158184E-2</v>
      </c>
      <c r="U384" s="3">
        <f t="shared" si="387"/>
        <v>1.0169421239412042E-2</v>
      </c>
      <c r="V384" s="3">
        <f t="shared" si="387"/>
        <v>1.8030540011062482E-4</v>
      </c>
      <c r="W384" s="3">
        <f t="shared" si="387"/>
        <v>5.5352049021207192E-22</v>
      </c>
      <c r="X384" s="3">
        <f t="shared" si="387"/>
        <v>4.1151283460642595E-197</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7.4710107179745602E-3</v>
      </c>
      <c r="C385" s="3">
        <f t="shared" si="388"/>
        <v>7.4710107179745602E-3</v>
      </c>
      <c r="D385" s="3">
        <f t="shared" si="388"/>
        <v>7.4710107179745602E-3</v>
      </c>
      <c r="E385" s="3">
        <f t="shared" si="388"/>
        <v>7.4710107179745602E-3</v>
      </c>
      <c r="F385" s="3">
        <f t="shared" si="388"/>
        <v>7.4710107179745602E-3</v>
      </c>
      <c r="G385" s="3">
        <f t="shared" si="388"/>
        <v>7.4710107179745567E-3</v>
      </c>
      <c r="H385" s="3">
        <f t="shared" si="388"/>
        <v>7.4710107179745307E-3</v>
      </c>
      <c r="I385" s="3">
        <f t="shared" si="388"/>
        <v>7.4710107179742583E-3</v>
      </c>
      <c r="J385" s="3">
        <f t="shared" si="388"/>
        <v>7.47101071797154E-3</v>
      </c>
      <c r="K385" s="3">
        <f t="shared" si="388"/>
        <v>7.4710107179443638E-3</v>
      </c>
      <c r="L385" s="3">
        <f t="shared" si="388"/>
        <v>7.4710107176725951E-3</v>
      </c>
      <c r="M385" s="3">
        <f t="shared" si="388"/>
        <v>7.4710107149549105E-3</v>
      </c>
      <c r="N385" s="3">
        <f t="shared" si="388"/>
        <v>7.4710106877780621E-3</v>
      </c>
      <c r="O385" s="3">
        <f t="shared" si="388"/>
        <v>7.4710104160095872E-3</v>
      </c>
      <c r="P385" s="3">
        <f t="shared" si="388"/>
        <v>7.4710076983253767E-3</v>
      </c>
      <c r="Q385" s="3">
        <f t="shared" si="388"/>
        <v>7.4709805215376433E-3</v>
      </c>
      <c r="R385" s="3">
        <f t="shared" si="388"/>
        <v>7.4707087590975092E-3</v>
      </c>
      <c r="S385" s="3">
        <f t="shared" si="388"/>
        <v>7.4679916783426219E-3</v>
      </c>
      <c r="T385" s="3">
        <f t="shared" si="388"/>
        <v>7.4408751623394574E-3</v>
      </c>
      <c r="U385" s="3">
        <f t="shared" si="388"/>
        <v>7.1750667899880549E-3</v>
      </c>
      <c r="V385" s="3">
        <f t="shared" si="388"/>
        <v>4.9870674951298342E-3</v>
      </c>
      <c r="W385" s="3">
        <f t="shared" si="388"/>
        <v>1.3123153993003627E-4</v>
      </c>
      <c r="X385" s="3">
        <f t="shared" si="388"/>
        <v>2.0891422664812436E-20</v>
      </c>
      <c r="Y385" s="3">
        <f t="shared" si="388"/>
        <v>2.1840668181711082E-178</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1.4378472174592341E-3</v>
      </c>
      <c r="C386" s="3">
        <f t="shared" si="389"/>
        <v>1.4378472174592341E-3</v>
      </c>
      <c r="D386" s="3">
        <f t="shared" si="389"/>
        <v>1.4378472174592341E-3</v>
      </c>
      <c r="E386" s="3">
        <f t="shared" si="389"/>
        <v>1.4378472174592341E-3</v>
      </c>
      <c r="F386" s="3">
        <f t="shared" si="389"/>
        <v>1.4378472174592341E-3</v>
      </c>
      <c r="G386" s="3">
        <f t="shared" si="389"/>
        <v>1.4378472174592341E-3</v>
      </c>
      <c r="H386" s="3">
        <f t="shared" si="389"/>
        <v>1.4378472174592337E-3</v>
      </c>
      <c r="I386" s="3">
        <f t="shared" si="389"/>
        <v>1.4378472174592289E-3</v>
      </c>
      <c r="J386" s="3">
        <f t="shared" si="389"/>
        <v>1.4378472174591819E-3</v>
      </c>
      <c r="K386" s="3">
        <f t="shared" si="389"/>
        <v>1.4378472174587098E-3</v>
      </c>
      <c r="L386" s="3">
        <f t="shared" si="389"/>
        <v>1.4378472174539916E-3</v>
      </c>
      <c r="M386" s="3">
        <f t="shared" si="389"/>
        <v>1.4378472174068093E-3</v>
      </c>
      <c r="N386" s="3">
        <f t="shared" si="389"/>
        <v>1.4378472169349864E-3</v>
      </c>
      <c r="O386" s="3">
        <f t="shared" si="389"/>
        <v>1.4378472122167569E-3</v>
      </c>
      <c r="P386" s="3">
        <f t="shared" si="389"/>
        <v>1.437847165034463E-3</v>
      </c>
      <c r="Q386" s="3">
        <f t="shared" si="389"/>
        <v>1.4378466932116088E-3</v>
      </c>
      <c r="R386" s="3">
        <f t="shared" si="389"/>
        <v>1.4378419749915827E-3</v>
      </c>
      <c r="S386" s="3">
        <f t="shared" si="389"/>
        <v>1.4377947936428557E-3</v>
      </c>
      <c r="T386" s="3">
        <f t="shared" si="389"/>
        <v>1.43732306529869E-3</v>
      </c>
      <c r="U386" s="3">
        <f t="shared" si="389"/>
        <v>1.4326142858390241E-3</v>
      </c>
      <c r="V386" s="3">
        <f t="shared" si="389"/>
        <v>1.3863666544343546E-3</v>
      </c>
      <c r="W386" s="3">
        <f t="shared" si="389"/>
        <v>9.9854207210127422E-4</v>
      </c>
      <c r="X386" s="3">
        <f t="shared" si="389"/>
        <v>3.7518805900733614E-5</v>
      </c>
      <c r="Y386" s="3">
        <f t="shared" si="389"/>
        <v>2.1041437477972315E-19</v>
      </c>
      <c r="Z386" s="3">
        <f t="shared" si="389"/>
        <v>6.4764853597042656E-162</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4.7686363858368023E-3</v>
      </c>
      <c r="C387" s="3">
        <f t="shared" si="390"/>
        <v>4.7686363858368023E-3</v>
      </c>
      <c r="D387" s="3">
        <f t="shared" si="390"/>
        <v>4.7686363858368023E-3</v>
      </c>
      <c r="E387" s="3">
        <f t="shared" si="390"/>
        <v>4.7686363858368023E-3</v>
      </c>
      <c r="F387" s="3">
        <f t="shared" si="390"/>
        <v>4.7686363858368023E-3</v>
      </c>
      <c r="G387" s="3">
        <f t="shared" si="390"/>
        <v>4.7686363858368023E-3</v>
      </c>
      <c r="H387" s="3">
        <f t="shared" si="390"/>
        <v>4.7686363858368015E-3</v>
      </c>
      <c r="I387" s="3">
        <f t="shared" si="390"/>
        <v>4.768636385836798E-3</v>
      </c>
      <c r="J387" s="3">
        <f t="shared" si="390"/>
        <v>4.7686363858367537E-3</v>
      </c>
      <c r="K387" s="3">
        <f t="shared" si="390"/>
        <v>4.7686363858363218E-3</v>
      </c>
      <c r="L387" s="3">
        <f t="shared" si="390"/>
        <v>4.7686363858319937E-3</v>
      </c>
      <c r="M387" s="3">
        <f t="shared" si="390"/>
        <v>4.7686363857887149E-3</v>
      </c>
      <c r="N387" s="3">
        <f t="shared" si="390"/>
        <v>4.7686363853559292E-3</v>
      </c>
      <c r="O387" s="3">
        <f t="shared" si="390"/>
        <v>4.7686363810280673E-3</v>
      </c>
      <c r="P387" s="3">
        <f t="shared" si="390"/>
        <v>4.7686363377494488E-3</v>
      </c>
      <c r="Q387" s="3">
        <f t="shared" si="390"/>
        <v>4.7686359049632877E-3</v>
      </c>
      <c r="R387" s="3">
        <f t="shared" si="390"/>
        <v>4.7686315771038375E-3</v>
      </c>
      <c r="S387" s="3">
        <f t="shared" si="390"/>
        <v>4.768588298725368E-3</v>
      </c>
      <c r="T387" s="3">
        <f t="shared" si="390"/>
        <v>4.7681555365429217E-3</v>
      </c>
      <c r="U387" s="3">
        <f t="shared" si="390"/>
        <v>4.7638300742185759E-3</v>
      </c>
      <c r="V387" s="3">
        <f t="shared" si="390"/>
        <v>4.7207906775827259E-3</v>
      </c>
      <c r="W387" s="3">
        <f t="shared" si="390"/>
        <v>4.311213852120196E-3</v>
      </c>
      <c r="X387" s="3">
        <f t="shared" si="390"/>
        <v>1.7395935387155463E-3</v>
      </c>
      <c r="Y387" s="3">
        <f t="shared" si="390"/>
        <v>1.9903524380404707E-7</v>
      </c>
      <c r="Z387" s="3">
        <f t="shared" si="390"/>
        <v>7.6515950440331188E-47</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0</v>
      </c>
      <c r="C388" s="3">
        <f t="shared" si="391"/>
        <v>0</v>
      </c>
      <c r="D388" s="3">
        <f t="shared" si="391"/>
        <v>0</v>
      </c>
      <c r="E388" s="3">
        <f t="shared" si="391"/>
        <v>0</v>
      </c>
      <c r="F388" s="3">
        <f t="shared" si="391"/>
        <v>0</v>
      </c>
      <c r="G388" s="3">
        <f t="shared" si="391"/>
        <v>0</v>
      </c>
      <c r="H388" s="3">
        <f t="shared" si="391"/>
        <v>0</v>
      </c>
      <c r="I388" s="3">
        <f t="shared" si="391"/>
        <v>0</v>
      </c>
      <c r="J388" s="3">
        <f t="shared" si="391"/>
        <v>0</v>
      </c>
      <c r="K388" s="3">
        <f t="shared" si="391"/>
        <v>0</v>
      </c>
      <c r="L388" s="3">
        <f t="shared" si="391"/>
        <v>0</v>
      </c>
      <c r="M388" s="3">
        <f t="shared" si="391"/>
        <v>0</v>
      </c>
      <c r="N388" s="3">
        <f t="shared" si="391"/>
        <v>0</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2.0950739363465548E-3</v>
      </c>
      <c r="C389" s="3">
        <f t="shared" si="392"/>
        <v>2.0950739363465548E-3</v>
      </c>
      <c r="D389" s="3">
        <f t="shared" si="392"/>
        <v>2.0950739363465548E-3</v>
      </c>
      <c r="E389" s="3">
        <f t="shared" si="392"/>
        <v>2.0950739363465548E-3</v>
      </c>
      <c r="F389" s="3">
        <f t="shared" si="392"/>
        <v>2.0950739363465548E-3</v>
      </c>
      <c r="G389" s="3">
        <f t="shared" si="392"/>
        <v>2.0950739363465548E-3</v>
      </c>
      <c r="H389" s="3">
        <f t="shared" si="392"/>
        <v>2.0950739363465548E-3</v>
      </c>
      <c r="I389" s="3">
        <f t="shared" si="392"/>
        <v>2.0950739363465548E-3</v>
      </c>
      <c r="J389" s="3">
        <f t="shared" si="392"/>
        <v>2.0950739363465544E-3</v>
      </c>
      <c r="K389" s="3">
        <f t="shared" si="392"/>
        <v>2.0950739363465526E-3</v>
      </c>
      <c r="L389" s="3">
        <f t="shared" si="392"/>
        <v>2.0950739363465335E-3</v>
      </c>
      <c r="M389" s="3">
        <f t="shared" si="392"/>
        <v>2.0950739363463436E-3</v>
      </c>
      <c r="N389" s="3">
        <f t="shared" si="392"/>
        <v>2.0950739363444419E-3</v>
      </c>
      <c r="O389" s="3">
        <f t="shared" si="392"/>
        <v>2.095073936325428E-3</v>
      </c>
      <c r="P389" s="3">
        <f t="shared" si="392"/>
        <v>2.0950739361352859E-3</v>
      </c>
      <c r="Q389" s="3">
        <f t="shared" si="392"/>
        <v>2.0950739342338637E-3</v>
      </c>
      <c r="R389" s="3">
        <f t="shared" si="392"/>
        <v>2.0950739152196429E-3</v>
      </c>
      <c r="S389" s="3">
        <f t="shared" si="392"/>
        <v>2.0950737250774441E-3</v>
      </c>
      <c r="T389" s="3">
        <f t="shared" si="392"/>
        <v>2.0950718236564091E-3</v>
      </c>
      <c r="U389" s="3">
        <f t="shared" si="392"/>
        <v>2.0950528095409673E-3</v>
      </c>
      <c r="V389" s="3">
        <f t="shared" si="392"/>
        <v>2.0948626778773808E-3</v>
      </c>
      <c r="W389" s="3">
        <f t="shared" si="392"/>
        <v>2.0929623100059067E-3</v>
      </c>
      <c r="X389" s="3">
        <f t="shared" si="392"/>
        <v>2.0740531899069905E-3</v>
      </c>
      <c r="Y389" s="3">
        <f t="shared" si="392"/>
        <v>1.8941078842622341E-3</v>
      </c>
      <c r="Z389" s="3">
        <f t="shared" si="392"/>
        <v>7.6428076873809715E-4</v>
      </c>
      <c r="AA389" s="3">
        <f t="shared" si="392"/>
        <v>8.7445029976859301E-8</v>
      </c>
      <c r="AB389" s="3">
        <f t="shared" si="392"/>
        <v>3.3616858261293475E-47</v>
      </c>
      <c r="AC389" s="3">
        <f t="shared" si="392"/>
        <v>0</v>
      </c>
      <c r="AD389" s="3">
        <f t="shared" si="392"/>
        <v>0</v>
      </c>
      <c r="AE389" s="3">
        <f t="shared" si="392"/>
        <v>0</v>
      </c>
      <c r="AF389" s="3">
        <f t="shared" si="392"/>
        <v>0</v>
      </c>
      <c r="AG389" s="3"/>
      <c r="AH389" s="3"/>
    </row>
    <row r="390" spans="1:34" x14ac:dyDescent="0.25">
      <c r="B390" s="3">
        <f t="shared" ref="B390:AF390" si="393">$C42*EXP(-B$363/$A42/EXP(-$H$126))</f>
        <v>1.9210885084110967E-3</v>
      </c>
      <c r="C390" s="3">
        <f t="shared" si="393"/>
        <v>1.9210885084110967E-3</v>
      </c>
      <c r="D390" s="3">
        <f t="shared" si="393"/>
        <v>1.9210885084110967E-3</v>
      </c>
      <c r="E390" s="3">
        <f t="shared" si="393"/>
        <v>1.9210885084110967E-3</v>
      </c>
      <c r="F390" s="3">
        <f t="shared" si="393"/>
        <v>1.9210885084110967E-3</v>
      </c>
      <c r="G390" s="3">
        <f t="shared" si="393"/>
        <v>1.9210885084110967E-3</v>
      </c>
      <c r="H390" s="3">
        <f t="shared" si="393"/>
        <v>1.9210885084110967E-3</v>
      </c>
      <c r="I390" s="3">
        <f t="shared" si="393"/>
        <v>1.9210885084110967E-3</v>
      </c>
      <c r="J390" s="3">
        <f t="shared" si="393"/>
        <v>1.9210885084110967E-3</v>
      </c>
      <c r="K390" s="3">
        <f t="shared" si="393"/>
        <v>1.9210885084110965E-3</v>
      </c>
      <c r="L390" s="3">
        <f t="shared" si="393"/>
        <v>1.9210885084110947E-3</v>
      </c>
      <c r="M390" s="3">
        <f t="shared" si="393"/>
        <v>1.9210885084110772E-3</v>
      </c>
      <c r="N390" s="3">
        <f t="shared" si="393"/>
        <v>1.9210885084109031E-3</v>
      </c>
      <c r="O390" s="3">
        <f t="shared" si="393"/>
        <v>1.9210885084091594E-3</v>
      </c>
      <c r="P390" s="3">
        <f t="shared" si="393"/>
        <v>1.9210885083917244E-3</v>
      </c>
      <c r="Q390" s="3">
        <f t="shared" si="393"/>
        <v>1.9210885082173723E-3</v>
      </c>
      <c r="R390" s="3">
        <f t="shared" si="393"/>
        <v>1.921088506473854E-3</v>
      </c>
      <c r="S390" s="3">
        <f t="shared" si="393"/>
        <v>1.9210884890386692E-3</v>
      </c>
      <c r="T390" s="3">
        <f t="shared" si="393"/>
        <v>1.9210883146868307E-3</v>
      </c>
      <c r="U390" s="3">
        <f t="shared" si="393"/>
        <v>1.9210865711693169E-3</v>
      </c>
      <c r="V390" s="3">
        <f t="shared" si="393"/>
        <v>1.9210691360812093E-3</v>
      </c>
      <c r="W390" s="3">
        <f t="shared" si="393"/>
        <v>1.9208947939027951E-3</v>
      </c>
      <c r="X390" s="3">
        <f t="shared" si="393"/>
        <v>1.919152242092901E-3</v>
      </c>
      <c r="Y390" s="3">
        <f t="shared" si="393"/>
        <v>1.9018134299889522E-3</v>
      </c>
      <c r="Z390" s="3">
        <f t="shared" si="393"/>
        <v>1.736811683358717E-3</v>
      </c>
      <c r="AA390" s="3">
        <f t="shared" si="393"/>
        <v>7.0081106759541491E-4</v>
      </c>
      <c r="AB390" s="3">
        <f t="shared" si="393"/>
        <v>8.0183156924358023E-8</v>
      </c>
      <c r="AC390" s="3">
        <f t="shared" si="393"/>
        <v>3.0825146060130706E-47</v>
      </c>
      <c r="AD390" s="3">
        <f t="shared" si="393"/>
        <v>0</v>
      </c>
      <c r="AE390" s="3">
        <f t="shared" si="393"/>
        <v>0</v>
      </c>
      <c r="AF390" s="3">
        <f t="shared" si="393"/>
        <v>0</v>
      </c>
      <c r="AG390" s="3"/>
      <c r="AH390" s="3"/>
    </row>
    <row r="391" spans="1:34" x14ac:dyDescent="0.25">
      <c r="B391" s="3">
        <f t="shared" ref="B391:AF391" si="394">$C43*EXP(-B$363/$A43/EXP(-$H$126))</f>
        <v>0</v>
      </c>
      <c r="C391" s="3">
        <f t="shared" si="394"/>
        <v>0</v>
      </c>
      <c r="D391" s="3">
        <f t="shared" si="394"/>
        <v>0</v>
      </c>
      <c r="E391" s="3">
        <f t="shared" si="394"/>
        <v>0</v>
      </c>
      <c r="F391" s="3">
        <f t="shared" si="394"/>
        <v>0</v>
      </c>
      <c r="G391" s="3">
        <f t="shared" si="394"/>
        <v>0</v>
      </c>
      <c r="H391" s="3">
        <f t="shared" si="394"/>
        <v>0</v>
      </c>
      <c r="I391" s="3">
        <f t="shared" si="394"/>
        <v>0</v>
      </c>
      <c r="J391" s="3">
        <f t="shared" si="394"/>
        <v>0</v>
      </c>
      <c r="K391" s="3">
        <f t="shared" si="394"/>
        <v>0</v>
      </c>
      <c r="L391" s="3">
        <f t="shared" si="394"/>
        <v>0</v>
      </c>
      <c r="M391" s="3">
        <f t="shared" si="394"/>
        <v>0</v>
      </c>
      <c r="N391" s="3">
        <f t="shared" si="394"/>
        <v>0</v>
      </c>
      <c r="O391" s="3">
        <f t="shared" si="394"/>
        <v>0</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4.6732387958302481E-4</v>
      </c>
      <c r="C392" s="3">
        <f t="shared" si="395"/>
        <v>4.6732387958302481E-4</v>
      </c>
      <c r="D392" s="3">
        <f t="shared" si="395"/>
        <v>4.6732387958302481E-4</v>
      </c>
      <c r="E392" s="3">
        <f t="shared" si="395"/>
        <v>4.6732387958302481E-4</v>
      </c>
      <c r="F392" s="3">
        <f t="shared" si="395"/>
        <v>4.6732387958302481E-4</v>
      </c>
      <c r="G392" s="3">
        <f t="shared" si="395"/>
        <v>4.6732387958302481E-4</v>
      </c>
      <c r="H392" s="3">
        <f t="shared" si="395"/>
        <v>4.6732387958302481E-4</v>
      </c>
      <c r="I392" s="3">
        <f t="shared" si="395"/>
        <v>4.6732387958302481E-4</v>
      </c>
      <c r="J392" s="3">
        <f t="shared" si="395"/>
        <v>4.6732387958302481E-4</v>
      </c>
      <c r="K392" s="3">
        <f t="shared" si="395"/>
        <v>4.6732387958302481E-4</v>
      </c>
      <c r="L392" s="3">
        <f t="shared" si="395"/>
        <v>4.6732387958302481E-4</v>
      </c>
      <c r="M392" s="3">
        <f t="shared" si="395"/>
        <v>4.6732387958302475E-4</v>
      </c>
      <c r="N392" s="3">
        <f t="shared" si="395"/>
        <v>4.6732387958302432E-4</v>
      </c>
      <c r="O392" s="3">
        <f t="shared" si="395"/>
        <v>4.6732387958302009E-4</v>
      </c>
      <c r="P392" s="3">
        <f t="shared" si="395"/>
        <v>4.673238795829777E-4</v>
      </c>
      <c r="Q392" s="3">
        <f t="shared" si="395"/>
        <v>4.6732387958255356E-4</v>
      </c>
      <c r="R392" s="3">
        <f t="shared" si="395"/>
        <v>4.6732387957831227E-4</v>
      </c>
      <c r="S392" s="3">
        <f t="shared" si="395"/>
        <v>4.6732387953589947E-4</v>
      </c>
      <c r="T392" s="3">
        <f t="shared" si="395"/>
        <v>4.6732387911177124E-4</v>
      </c>
      <c r="U392" s="3">
        <f t="shared" si="395"/>
        <v>4.6732387487048922E-4</v>
      </c>
      <c r="V392" s="3">
        <f t="shared" si="395"/>
        <v>4.6732383245767106E-4</v>
      </c>
      <c r="W392" s="3">
        <f t="shared" si="395"/>
        <v>4.6732340832970139E-4</v>
      </c>
      <c r="X392" s="3">
        <f t="shared" si="395"/>
        <v>4.6731916707117547E-4</v>
      </c>
      <c r="Y392" s="3">
        <f t="shared" si="395"/>
        <v>4.6727675660292542E-4</v>
      </c>
      <c r="Z392" s="3">
        <f t="shared" si="395"/>
        <v>4.6685286355031033E-4</v>
      </c>
      <c r="AA392" s="3">
        <f t="shared" si="395"/>
        <v>4.6263502511949273E-4</v>
      </c>
      <c r="AB392" s="3">
        <f t="shared" si="395"/>
        <v>4.2249670976566618E-4</v>
      </c>
      <c r="AC392" s="3">
        <f t="shared" si="395"/>
        <v>1.7047925982040558E-4</v>
      </c>
      <c r="AD392" s="3">
        <f t="shared" si="395"/>
        <v>1.9505350121581634E-8</v>
      </c>
      <c r="AE392" s="3">
        <f t="shared" si="395"/>
        <v>7.498523249950677E-48</v>
      </c>
      <c r="AF392" s="3">
        <f t="shared" si="395"/>
        <v>0</v>
      </c>
      <c r="AG392" s="3"/>
      <c r="AH392" s="3"/>
    </row>
    <row r="393" spans="1:34" x14ac:dyDescent="0.25">
      <c r="B393" s="3">
        <f t="shared" ref="B393:AF393" si="396">$C45*EXP(-B$363/$A45/EXP(-$H$126))</f>
        <v>0</v>
      </c>
      <c r="C393" s="3">
        <f t="shared" si="396"/>
        <v>0</v>
      </c>
      <c r="D393" s="3">
        <f t="shared" si="396"/>
        <v>0</v>
      </c>
      <c r="E393" s="3">
        <f t="shared" si="396"/>
        <v>0</v>
      </c>
      <c r="F393" s="3">
        <f t="shared" si="396"/>
        <v>0</v>
      </c>
      <c r="G393" s="3">
        <f t="shared" si="396"/>
        <v>0</v>
      </c>
      <c r="H393" s="3">
        <f t="shared" si="396"/>
        <v>0</v>
      </c>
      <c r="I393" s="3">
        <f t="shared" si="396"/>
        <v>0</v>
      </c>
      <c r="J393" s="3">
        <f t="shared" si="396"/>
        <v>0</v>
      </c>
      <c r="K393" s="3">
        <f t="shared" si="396"/>
        <v>0</v>
      </c>
      <c r="L393" s="3">
        <f t="shared" si="396"/>
        <v>0</v>
      </c>
      <c r="M393" s="3">
        <f t="shared" si="396"/>
        <v>0</v>
      </c>
      <c r="N393" s="3">
        <f t="shared" si="396"/>
        <v>0</v>
      </c>
      <c r="O393" s="3">
        <f t="shared" si="396"/>
        <v>0</v>
      </c>
      <c r="P393" s="3">
        <f t="shared" si="396"/>
        <v>0</v>
      </c>
      <c r="Q393" s="3">
        <f t="shared" si="396"/>
        <v>0</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1.2351806616485092E-4</v>
      </c>
      <c r="C394" s="3">
        <f t="shared" si="397"/>
        <v>1.2351806616485092E-4</v>
      </c>
      <c r="D394" s="3">
        <f t="shared" si="397"/>
        <v>1.2351806616485092E-4</v>
      </c>
      <c r="E394" s="3">
        <f t="shared" si="397"/>
        <v>1.2351806616485092E-4</v>
      </c>
      <c r="F394" s="3">
        <f t="shared" si="397"/>
        <v>1.2351806616485092E-4</v>
      </c>
      <c r="G394" s="3">
        <f t="shared" si="397"/>
        <v>1.2351806616485092E-4</v>
      </c>
      <c r="H394" s="3">
        <f t="shared" si="397"/>
        <v>1.2351806616485092E-4</v>
      </c>
      <c r="I394" s="3">
        <f t="shared" si="397"/>
        <v>1.2351806616485092E-4</v>
      </c>
      <c r="J394" s="3">
        <f t="shared" si="397"/>
        <v>1.2351806616485092E-4</v>
      </c>
      <c r="K394" s="3">
        <f t="shared" si="397"/>
        <v>1.2351806616485092E-4</v>
      </c>
      <c r="L394" s="3">
        <f t="shared" si="397"/>
        <v>1.2351806616485092E-4</v>
      </c>
      <c r="M394" s="3">
        <f t="shared" si="397"/>
        <v>1.2351806616485092E-4</v>
      </c>
      <c r="N394" s="3">
        <f t="shared" si="397"/>
        <v>1.2351806616485092E-4</v>
      </c>
      <c r="O394" s="3">
        <f t="shared" si="397"/>
        <v>1.2351806616485089E-4</v>
      </c>
      <c r="P394" s="3">
        <f t="shared" si="397"/>
        <v>1.2351806616485078E-4</v>
      </c>
      <c r="Q394" s="3">
        <f t="shared" si="397"/>
        <v>1.2351806616484967E-4</v>
      </c>
      <c r="R394" s="3">
        <f t="shared" si="397"/>
        <v>1.2351806616483848E-4</v>
      </c>
      <c r="S394" s="3">
        <f t="shared" si="397"/>
        <v>1.2351806616472637E-4</v>
      </c>
      <c r="T394" s="3">
        <f t="shared" si="397"/>
        <v>1.2351806616360536E-4</v>
      </c>
      <c r="U394" s="3">
        <f t="shared" si="397"/>
        <v>1.2351806615239525E-4</v>
      </c>
      <c r="V394" s="3">
        <f t="shared" si="397"/>
        <v>1.235180660402942E-4</v>
      </c>
      <c r="W394" s="3">
        <f t="shared" si="397"/>
        <v>1.2351806491928374E-4</v>
      </c>
      <c r="X394" s="3">
        <f t="shared" si="397"/>
        <v>1.2351805370917977E-4</v>
      </c>
      <c r="Y394" s="3">
        <f t="shared" si="397"/>
        <v>1.2351794160819605E-4</v>
      </c>
      <c r="Z394" s="3">
        <f t="shared" si="397"/>
        <v>1.2351682060395442E-4</v>
      </c>
      <c r="AA394" s="3">
        <f t="shared" si="397"/>
        <v>1.2350561112108342E-4</v>
      </c>
      <c r="AB394" s="3">
        <f t="shared" si="397"/>
        <v>1.2339357222812883E-4</v>
      </c>
      <c r="AC394" s="3">
        <f t="shared" si="397"/>
        <v>1.2227875813637895E-4</v>
      </c>
      <c r="AD394" s="3">
        <f t="shared" si="397"/>
        <v>1.1166982649769775E-4</v>
      </c>
      <c r="AE394" s="3">
        <f t="shared" si="397"/>
        <v>4.5059260641720815E-5</v>
      </c>
      <c r="AF394" s="3">
        <f t="shared" si="397"/>
        <v>5.1554462165207494E-9</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1.0347942973527732E-3</v>
      </c>
      <c r="C396" s="3">
        <f t="shared" si="399"/>
        <v>1.0347942973527732E-3</v>
      </c>
      <c r="D396" s="3">
        <f t="shared" si="399"/>
        <v>1.0347942973527732E-3</v>
      </c>
      <c r="E396" s="3">
        <f t="shared" si="399"/>
        <v>1.0347942973527732E-3</v>
      </c>
      <c r="F396" s="3">
        <f t="shared" si="399"/>
        <v>1.0347942973527732E-3</v>
      </c>
      <c r="G396" s="3">
        <f t="shared" si="399"/>
        <v>1.0347942973527732E-3</v>
      </c>
      <c r="H396" s="3">
        <f t="shared" si="399"/>
        <v>1.0347942973527732E-3</v>
      </c>
      <c r="I396" s="3">
        <f t="shared" si="399"/>
        <v>1.0347942973527732E-3</v>
      </c>
      <c r="J396" s="3">
        <f t="shared" si="399"/>
        <v>1.0347942973527732E-3</v>
      </c>
      <c r="K396" s="3">
        <f t="shared" si="399"/>
        <v>1.0347942973527732E-3</v>
      </c>
      <c r="L396" s="3">
        <f t="shared" si="399"/>
        <v>1.0347942973527732E-3</v>
      </c>
      <c r="M396" s="3">
        <f t="shared" si="399"/>
        <v>1.0347942973527732E-3</v>
      </c>
      <c r="N396" s="3">
        <f t="shared" si="399"/>
        <v>1.0347942973527732E-3</v>
      </c>
      <c r="O396" s="3">
        <f t="shared" si="399"/>
        <v>1.0347942973527732E-3</v>
      </c>
      <c r="P396" s="3">
        <f t="shared" si="399"/>
        <v>1.0347942973527732E-3</v>
      </c>
      <c r="Q396" s="3">
        <f t="shared" si="399"/>
        <v>1.034794297352773E-3</v>
      </c>
      <c r="R396" s="3">
        <f t="shared" si="399"/>
        <v>1.0347942973527721E-3</v>
      </c>
      <c r="S396" s="3">
        <f t="shared" si="399"/>
        <v>1.0347942973527628E-3</v>
      </c>
      <c r="T396" s="3">
        <f t="shared" si="399"/>
        <v>1.0347942973526689E-3</v>
      </c>
      <c r="U396" s="3">
        <f t="shared" si="399"/>
        <v>1.0347942973517297E-3</v>
      </c>
      <c r="V396" s="3">
        <f t="shared" si="399"/>
        <v>1.0347942973423382E-3</v>
      </c>
      <c r="W396" s="3">
        <f t="shared" si="399"/>
        <v>1.0347942972484237E-3</v>
      </c>
      <c r="X396" s="3">
        <f t="shared" si="399"/>
        <v>1.0347942963092774E-3</v>
      </c>
      <c r="Y396" s="3">
        <f t="shared" si="399"/>
        <v>1.0347942869178154E-3</v>
      </c>
      <c r="Z396" s="3">
        <f t="shared" si="399"/>
        <v>1.0347941930032001E-3</v>
      </c>
      <c r="AA396" s="3">
        <f t="shared" si="399"/>
        <v>1.0347932538575166E-3</v>
      </c>
      <c r="AB396" s="3">
        <f t="shared" si="399"/>
        <v>1.0347838624475587E-3</v>
      </c>
      <c r="AC396" s="3">
        <f t="shared" si="399"/>
        <v>1.03468995303567E-3</v>
      </c>
      <c r="AD396" s="3">
        <f t="shared" si="399"/>
        <v>1.0337513275283988E-3</v>
      </c>
      <c r="AE396" s="3">
        <f t="shared" si="399"/>
        <v>1.0244117766386393E-3</v>
      </c>
      <c r="AF396" s="3">
        <f t="shared" si="399"/>
        <v>9.355335881956543E-4</v>
      </c>
      <c r="AG396" s="3"/>
      <c r="AH396" s="3"/>
    </row>
    <row r="397" spans="1:34" x14ac:dyDescent="0.25">
      <c r="A397" s="79">
        <f>AVERAGE(B397:AF397)</f>
        <v>1.6743856712329911E-3</v>
      </c>
      <c r="B397" s="80">
        <f>IF($A$64&lt;=B363,IF($B$64&gt;=B363,ABS((B365-B364)/B364),0),0)</f>
        <v>9.5383771893265048E-3</v>
      </c>
      <c r="C397" s="80">
        <f t="shared" ref="C397:AF397" si="400">IF($A$64&lt;=C363,IF($B$64&gt;=C363,ABS((C365-C364)/C364),0),0)</f>
        <v>1.2651943117540691E-2</v>
      </c>
      <c r="D397" s="80">
        <f t="shared" si="400"/>
        <v>3.6746883232094238E-3</v>
      </c>
      <c r="E397" s="80">
        <f t="shared" si="400"/>
        <v>4.538401763579442E-4</v>
      </c>
      <c r="F397" s="80">
        <f t="shared" si="400"/>
        <v>2.4535929267611252E-4</v>
      </c>
      <c r="G397" s="80">
        <f t="shared" si="400"/>
        <v>1.2768344684412536E-4</v>
      </c>
      <c r="H397" s="80">
        <f t="shared" si="400"/>
        <v>1.4046342609480193E-4</v>
      </c>
      <c r="I397" s="80">
        <f t="shared" si="400"/>
        <v>1.9701349079375848E-4</v>
      </c>
      <c r="J397" s="80">
        <f t="shared" si="400"/>
        <v>7.3921226484197918E-5</v>
      </c>
      <c r="K397" s="80">
        <f t="shared" si="400"/>
        <v>3.8390603696776218E-4</v>
      </c>
      <c r="L397" s="80">
        <f t="shared" si="400"/>
        <v>1.3295322748512061E-4</v>
      </c>
      <c r="M397" s="80">
        <f t="shared" si="400"/>
        <v>8.449660545750907E-4</v>
      </c>
      <c r="N397" s="80">
        <f t="shared" si="400"/>
        <v>4.5021653177116283E-4</v>
      </c>
      <c r="O397" s="80">
        <f t="shared" si="400"/>
        <v>1.3368363119534636E-3</v>
      </c>
      <c r="P397" s="80">
        <f t="shared" si="400"/>
        <v>2.7471282887387495E-4</v>
      </c>
      <c r="Q397" s="80">
        <f t="shared" si="400"/>
        <v>2.1381539441310527E-3</v>
      </c>
      <c r="R397" s="80">
        <f t="shared" si="400"/>
        <v>4.8100254025064258E-4</v>
      </c>
      <c r="S397" s="80">
        <f t="shared" si="400"/>
        <v>2.1912482929726416E-3</v>
      </c>
      <c r="T397" s="80">
        <f t="shared" si="400"/>
        <v>5.3513777584512359E-4</v>
      </c>
      <c r="U397" s="80">
        <f t="shared" si="400"/>
        <v>1.2006748883646619E-3</v>
      </c>
      <c r="V397" s="80">
        <f t="shared" si="400"/>
        <v>3.9275863504017447E-4</v>
      </c>
      <c r="W397" s="80">
        <f t="shared" si="400"/>
        <v>2.9923215507043303E-4</v>
      </c>
      <c r="X397" s="80">
        <f t="shared" si="400"/>
        <v>4.7741288122584439E-4</v>
      </c>
      <c r="Y397" s="80">
        <f t="shared" si="400"/>
        <v>6.3041948584760413E-4</v>
      </c>
      <c r="Z397" s="80">
        <f t="shared" si="400"/>
        <v>1.879803684056059E-3</v>
      </c>
      <c r="AA397" s="80">
        <f t="shared" si="400"/>
        <v>2.173346086118657E-3</v>
      </c>
      <c r="AB397" s="80">
        <f t="shared" si="400"/>
        <v>2.6996479109117916E-3</v>
      </c>
      <c r="AC397" s="80">
        <f t="shared" si="400"/>
        <v>2.9961808103605341E-3</v>
      </c>
      <c r="AD397" s="80">
        <f t="shared" si="400"/>
        <v>2.1894479941655938E-3</v>
      </c>
      <c r="AE397" s="80">
        <f t="shared" si="400"/>
        <v>7.6794546675325055E-4</v>
      </c>
      <c r="AF397" s="80">
        <f t="shared" si="400"/>
        <v>3.2666257615462984E-4</v>
      </c>
    </row>
    <row r="398" spans="1:34" x14ac:dyDescent="0.25">
      <c r="B398" s="21">
        <f>(B365-B364)^2</f>
        <v>7434.8647180605685</v>
      </c>
      <c r="C398" s="21">
        <f t="shared" ref="C398:AF398" si="401">(C365-C364)^2</f>
        <v>12180.346694733273</v>
      </c>
      <c r="D398" s="21">
        <f t="shared" si="401"/>
        <v>955.61970052144795</v>
      </c>
      <c r="E398" s="21">
        <f t="shared" si="401"/>
        <v>13.394620548582042</v>
      </c>
      <c r="F398" s="21">
        <f t="shared" si="401"/>
        <v>3.5957695517308261</v>
      </c>
      <c r="G398" s="21">
        <f t="shared" si="401"/>
        <v>0.907017521692419</v>
      </c>
      <c r="H398" s="21">
        <f t="shared" si="401"/>
        <v>1.0189511718366562</v>
      </c>
      <c r="I398" s="21">
        <f t="shared" si="401"/>
        <v>1.8604870118223762</v>
      </c>
      <c r="J398" s="21">
        <f t="shared" si="401"/>
        <v>0.2411110656555088</v>
      </c>
      <c r="K398" s="21">
        <f t="shared" si="401"/>
        <v>6.0015157880634629</v>
      </c>
      <c r="L398" s="21">
        <f t="shared" si="401"/>
        <v>0.64668476566405875</v>
      </c>
      <c r="M398" s="21">
        <f t="shared" si="401"/>
        <v>23.16875086040416</v>
      </c>
      <c r="N398" s="21">
        <f t="shared" si="401"/>
        <v>5.6594491620027636</v>
      </c>
      <c r="O398" s="21">
        <f t="shared" si="401"/>
        <v>41.319848977193324</v>
      </c>
      <c r="P398" s="21">
        <f t="shared" si="401"/>
        <v>1.3189529467428309</v>
      </c>
      <c r="Q398" s="21">
        <f t="shared" si="401"/>
        <v>49.334166779685681</v>
      </c>
      <c r="R398" s="21">
        <f t="shared" si="401"/>
        <v>1.1663846286639055</v>
      </c>
      <c r="S398" s="21">
        <f t="shared" si="401"/>
        <v>10.16557561792578</v>
      </c>
      <c r="T398" s="21">
        <f t="shared" si="401"/>
        <v>0.25290626481953477</v>
      </c>
      <c r="U398" s="21">
        <f t="shared" si="401"/>
        <v>0.64263563219003239</v>
      </c>
      <c r="V398" s="21">
        <f t="shared" si="401"/>
        <v>4.2475069432488723E-2</v>
      </c>
      <c r="W398" s="21">
        <f t="shared" si="401"/>
        <v>1.8791030366018441E-2</v>
      </c>
      <c r="X398" s="21">
        <f t="shared" si="401"/>
        <v>3.9470642210040957E-2</v>
      </c>
      <c r="Y398" s="21">
        <f t="shared" si="401"/>
        <v>6.1438352221478039E-2</v>
      </c>
      <c r="Z398" s="21">
        <f t="shared" si="401"/>
        <v>0.50855432902483622</v>
      </c>
      <c r="AA398" s="21">
        <f t="shared" si="401"/>
        <v>0.60298656483751556</v>
      </c>
      <c r="AB398" s="21">
        <f t="shared" si="401"/>
        <v>0.89566978708109934</v>
      </c>
      <c r="AC398" s="21">
        <f t="shared" si="401"/>
        <v>1.0727916421938133</v>
      </c>
      <c r="AD398" s="21">
        <f t="shared" si="401"/>
        <v>0.57191946419061468</v>
      </c>
      <c r="AE398" s="21">
        <f t="shared" si="401"/>
        <v>6.9593597267350038E-2</v>
      </c>
      <c r="AF398" s="21">
        <f t="shared" si="401"/>
        <v>1.2508051299671868E-2</v>
      </c>
      <c r="AG398" s="3"/>
      <c r="AH398" s="3"/>
    </row>
    <row r="399" spans="1:34" x14ac:dyDescent="0.25">
      <c r="A399" s="71">
        <f>SUM(B399:AF399)</f>
        <v>20735.422140140083</v>
      </c>
      <c r="B399" s="60">
        <f>IF($A$64&lt;=B363,IF($B$64&gt;=B363,ABS(B398),0),0)</f>
        <v>7434.8647180605685</v>
      </c>
      <c r="C399" s="60">
        <f t="shared" ref="C399" si="402">IF($A$64&lt;=C363,IF($B$64&gt;=C363,ABS(C398),0),0)</f>
        <v>12180.346694733273</v>
      </c>
      <c r="D399" s="60">
        <f t="shared" ref="D399" si="403">IF($A$64&lt;=D363,IF($B$64&gt;=D363,ABS(D398),0),0)</f>
        <v>955.61970052144795</v>
      </c>
      <c r="E399" s="60">
        <f t="shared" ref="E399" si="404">IF($A$64&lt;=E363,IF($B$64&gt;=E363,ABS(E398),0),0)</f>
        <v>13.394620548582042</v>
      </c>
      <c r="F399" s="60">
        <f t="shared" ref="F399" si="405">IF($A$64&lt;=F363,IF($B$64&gt;=F363,ABS(F398),0),0)</f>
        <v>3.5957695517308261</v>
      </c>
      <c r="G399" s="60">
        <f t="shared" ref="G399" si="406">IF($A$64&lt;=G363,IF($B$64&gt;=G363,ABS(G398),0),0)</f>
        <v>0.907017521692419</v>
      </c>
      <c r="H399" s="60">
        <f t="shared" ref="H399" si="407">IF($A$64&lt;=H363,IF($B$64&gt;=H363,ABS(H398),0),0)</f>
        <v>1.0189511718366562</v>
      </c>
      <c r="I399" s="60">
        <f t="shared" ref="I399" si="408">IF($A$64&lt;=I363,IF($B$64&gt;=I363,ABS(I398),0),0)</f>
        <v>1.8604870118223762</v>
      </c>
      <c r="J399" s="60">
        <f t="shared" ref="J399" si="409">IF($A$64&lt;=J363,IF($B$64&gt;=J363,ABS(J398),0),0)</f>
        <v>0.2411110656555088</v>
      </c>
      <c r="K399" s="60">
        <f t="shared" ref="K399" si="410">IF($A$64&lt;=K363,IF($B$64&gt;=K363,ABS(K398),0),0)</f>
        <v>6.0015157880634629</v>
      </c>
      <c r="L399" s="60">
        <f t="shared" ref="L399" si="411">IF($A$64&lt;=L363,IF($B$64&gt;=L363,ABS(L398),0),0)</f>
        <v>0.64668476566405875</v>
      </c>
      <c r="M399" s="60">
        <f t="shared" ref="M399" si="412">IF($A$64&lt;=M363,IF($B$64&gt;=M363,ABS(M398),0),0)</f>
        <v>23.16875086040416</v>
      </c>
      <c r="N399" s="60">
        <f t="shared" ref="N399" si="413">IF($A$64&lt;=N363,IF($B$64&gt;=N363,ABS(N398),0),0)</f>
        <v>5.6594491620027636</v>
      </c>
      <c r="O399" s="60">
        <f t="shared" ref="O399" si="414">IF($A$64&lt;=O363,IF($B$64&gt;=O363,ABS(O398),0),0)</f>
        <v>41.319848977193324</v>
      </c>
      <c r="P399" s="60">
        <f t="shared" ref="P399" si="415">IF($A$64&lt;=P363,IF($B$64&gt;=P363,ABS(P398),0),0)</f>
        <v>1.3189529467428309</v>
      </c>
      <c r="Q399" s="60">
        <f t="shared" ref="Q399" si="416">IF($A$64&lt;=Q363,IF($B$64&gt;=Q363,ABS(Q398),0),0)</f>
        <v>49.334166779685681</v>
      </c>
      <c r="R399" s="60">
        <f t="shared" ref="R399" si="417">IF($A$64&lt;=R363,IF($B$64&gt;=R363,ABS(R398),0),0)</f>
        <v>1.1663846286639055</v>
      </c>
      <c r="S399" s="60">
        <f t="shared" ref="S399" si="418">IF($A$64&lt;=S363,IF($B$64&gt;=S363,ABS(S398),0),0)</f>
        <v>10.16557561792578</v>
      </c>
      <c r="T399" s="60">
        <f t="shared" ref="T399" si="419">IF($A$64&lt;=T363,IF($B$64&gt;=T363,ABS(T398),0),0)</f>
        <v>0.25290626481953477</v>
      </c>
      <c r="U399" s="60">
        <f t="shared" ref="U399" si="420">IF($A$64&lt;=U363,IF($B$64&gt;=U363,ABS(U398),0),0)</f>
        <v>0.64263563219003239</v>
      </c>
      <c r="V399" s="60">
        <f t="shared" ref="V399" si="421">IF($A$64&lt;=V363,IF($B$64&gt;=V363,ABS(V398),0),0)</f>
        <v>4.2475069432488723E-2</v>
      </c>
      <c r="W399" s="60">
        <f t="shared" ref="W399" si="422">IF($A$64&lt;=W363,IF($B$64&gt;=W363,ABS(W398),0),0)</f>
        <v>1.8791030366018441E-2</v>
      </c>
      <c r="X399" s="60">
        <f t="shared" ref="X399" si="423">IF($A$64&lt;=X363,IF($B$64&gt;=X363,ABS(X398),0),0)</f>
        <v>3.9470642210040957E-2</v>
      </c>
      <c r="Y399" s="60">
        <f t="shared" ref="Y399" si="424">IF($A$64&lt;=Y363,IF($B$64&gt;=Y363,ABS(Y398),0),0)</f>
        <v>6.1438352221478039E-2</v>
      </c>
      <c r="Z399" s="60">
        <f t="shared" ref="Z399" si="425">IF($A$64&lt;=Z363,IF($B$64&gt;=Z363,ABS(Z398),0),0)</f>
        <v>0.50855432902483622</v>
      </c>
      <c r="AA399" s="60">
        <f t="shared" ref="AA399" si="426">IF($A$64&lt;=AA363,IF($B$64&gt;=AA363,ABS(AA398),0),0)</f>
        <v>0.60298656483751556</v>
      </c>
      <c r="AB399" s="60">
        <f t="shared" ref="AB399" si="427">IF($A$64&lt;=AB363,IF($B$64&gt;=AB363,ABS(AB398),0),0)</f>
        <v>0.89566978708109934</v>
      </c>
      <c r="AC399" s="60">
        <f t="shared" ref="AC399" si="428">IF($A$64&lt;=AC363,IF($B$64&gt;=AC363,ABS(AC398),0),0)</f>
        <v>1.0727916421938133</v>
      </c>
      <c r="AD399" s="60">
        <f t="shared" ref="AD399" si="429">IF($A$64&lt;=AD363,IF($B$64&gt;=AD363,ABS(AD398),0),0)</f>
        <v>0.57191946419061468</v>
      </c>
      <c r="AE399" s="60">
        <f t="shared" ref="AE399" si="430">IF($A$64&lt;=AE363,IF($B$64&gt;=AE363,ABS(AE398),0),0)</f>
        <v>6.9593597267350038E-2</v>
      </c>
      <c r="AF399" s="60">
        <f t="shared" ref="AF399" si="431">IF($A$64&lt;=AF363,IF($B$64&gt;=AF363,ABS(AF398),0),0)</f>
        <v>1.2508051299671868E-2</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162</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-21.521805240547501</v>
      </c>
      <c r="C403" s="107">
        <f t="shared" ref="C403:H403" si="432">IF(C125=$B$2,0,C126)</f>
        <v>-17.998000048659822</v>
      </c>
      <c r="D403" s="107">
        <f t="shared" si="432"/>
        <v>-15.418218765754489</v>
      </c>
      <c r="E403" s="107">
        <f t="shared" si="432"/>
        <v>-13.262636946083704</v>
      </c>
      <c r="F403" s="107">
        <f t="shared" si="432"/>
        <v>-10.591758215841974</v>
      </c>
      <c r="G403" s="107">
        <f t="shared" si="432"/>
        <v>-4.9274082148613809</v>
      </c>
      <c r="H403" s="107">
        <f t="shared" si="432"/>
        <v>0</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4.4998573190371015E-25</v>
      </c>
      <c r="C404" s="3">
        <f t="shared" ref="C404:H419" si="433">$A404/EXP(-C$403)</f>
        <v>1.5260469441906595E-23</v>
      </c>
      <c r="D404" s="3">
        <f t="shared" si="433"/>
        <v>2.0135047999772153E-22</v>
      </c>
      <c r="E404" s="3">
        <f t="shared" si="433"/>
        <v>1.7382408774855702E-21</v>
      </c>
      <c r="F404" s="3">
        <f t="shared" si="433"/>
        <v>2.5122210670388878E-20</v>
      </c>
      <c r="G404" s="3">
        <f t="shared" si="433"/>
        <v>7.2452571176443726E-18</v>
      </c>
      <c r="H404" s="3">
        <f t="shared" si="433"/>
        <v>1.0000000000000001E-15</v>
      </c>
      <c r="I404" s="109">
        <f>Comparison!AL3</f>
        <v>1.0000000000000001E-15</v>
      </c>
      <c r="J404" s="3">
        <f>Comparison!AM3</f>
        <v>11605.327404987251</v>
      </c>
      <c r="K404" s="3">
        <f>Comparison!AN3</f>
        <v>11367.234905429283</v>
      </c>
      <c r="L404" s="3">
        <f>Comparison!AO3</f>
        <v>11009.313892134818</v>
      </c>
      <c r="M404" s="3">
        <f>Comparison!AP3</f>
        <v>10761.801351389528</v>
      </c>
      <c r="N404" s="3">
        <f>Comparison!AQ3</f>
        <v>10455.125722169887</v>
      </c>
      <c r="O404" s="3">
        <f>Comparison!AR3</f>
        <v>9761.2866745763949</v>
      </c>
      <c r="P404" s="3">
        <f>Comparison!AS3</f>
        <v>9039.8670430819093</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4.499857319037101E-24</v>
      </c>
      <c r="C405" s="3">
        <f t="shared" si="433"/>
        <v>1.5260469441906594E-22</v>
      </c>
      <c r="D405" s="3">
        <f t="shared" si="433"/>
        <v>2.0135047999772151E-21</v>
      </c>
      <c r="E405" s="3">
        <f t="shared" si="433"/>
        <v>1.7382408774855702E-20</v>
      </c>
      <c r="F405" s="3">
        <f t="shared" si="433"/>
        <v>2.5122210670388874E-19</v>
      </c>
      <c r="G405" s="3">
        <f t="shared" si="433"/>
        <v>7.2452571176443729E-17</v>
      </c>
      <c r="H405" s="3">
        <f t="shared" si="433"/>
        <v>1E-14</v>
      </c>
      <c r="I405" s="109">
        <f>Comparison!AL4</f>
        <v>1E-14</v>
      </c>
      <c r="J405" s="3">
        <f>Comparison!AM4</f>
        <v>11525.315889809444</v>
      </c>
      <c r="K405" s="3">
        <f>Comparison!AN4</f>
        <v>11068.839809245561</v>
      </c>
      <c r="L405" s="3">
        <f>Comparison!AO4</f>
        <v>10796.668525667899</v>
      </c>
      <c r="M405" s="3">
        <f>Comparison!AP4</f>
        <v>10547.11616169445</v>
      </c>
      <c r="N405" s="3">
        <f>Comparison!AQ4</f>
        <v>10216.758037955571</v>
      </c>
      <c r="O405" s="3">
        <f>Comparison!AR4</f>
        <v>9457.0352890406648</v>
      </c>
      <c r="P405" s="3">
        <f>Comparison!AS4</f>
        <v>8723.1350121775959</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4.4998573190371014E-23</v>
      </c>
      <c r="C406" s="3">
        <f t="shared" si="433"/>
        <v>1.5260469441906594E-21</v>
      </c>
      <c r="D406" s="3">
        <f t="shared" si="433"/>
        <v>2.0135047999772151E-20</v>
      </c>
      <c r="E406" s="3">
        <f t="shared" si="433"/>
        <v>1.7382408774855703E-19</v>
      </c>
      <c r="F406" s="3">
        <f t="shared" si="433"/>
        <v>2.5122210670388875E-18</v>
      </c>
      <c r="G406" s="3">
        <f t="shared" si="433"/>
        <v>7.2452571176443734E-16</v>
      </c>
      <c r="H406" s="3">
        <f t="shared" si="433"/>
        <v>1E-13</v>
      </c>
      <c r="I406" s="109">
        <f>Comparison!AL5</f>
        <v>1E-13</v>
      </c>
      <c r="J406" s="3">
        <f>Comparison!AM5</f>
        <v>11262.989267632682</v>
      </c>
      <c r="K406" s="3">
        <f>Comparison!AN5</f>
        <v>10885.617784934777</v>
      </c>
      <c r="L406" s="3">
        <f>Comparison!AO5</f>
        <v>10610.07082701246</v>
      </c>
      <c r="M406" s="3">
        <f>Comparison!AP5</f>
        <v>10349.894568285434</v>
      </c>
      <c r="N406" s="3">
        <f>Comparison!AQ5</f>
        <v>9990.8860283110862</v>
      </c>
      <c r="O406" s="3">
        <f>Comparison!AR5</f>
        <v>9203.9756041421206</v>
      </c>
      <c r="P406" s="3">
        <f>Comparison!AS5</f>
        <v>8412.4411255307823</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4.4998573190371006E-22</v>
      </c>
      <c r="C407" s="3">
        <f t="shared" si="433"/>
        <v>1.5260469441906594E-20</v>
      </c>
      <c r="D407" s="3">
        <f t="shared" si="433"/>
        <v>2.0135047999772153E-19</v>
      </c>
      <c r="E407" s="3">
        <f t="shared" si="433"/>
        <v>1.7382408774855701E-18</v>
      </c>
      <c r="F407" s="3">
        <f t="shared" si="433"/>
        <v>2.5122210670388873E-17</v>
      </c>
      <c r="G407" s="3">
        <f t="shared" si="433"/>
        <v>7.2452571176443724E-15</v>
      </c>
      <c r="H407" s="3">
        <f t="shared" si="433"/>
        <v>9.9999999999999998E-13</v>
      </c>
      <c r="I407" s="109">
        <f>Comparison!AL6</f>
        <v>9.9999999999999998E-13</v>
      </c>
      <c r="J407" s="3">
        <f>Comparison!AM6</f>
        <v>11072.566067439215</v>
      </c>
      <c r="K407" s="3">
        <f>Comparison!AN6</f>
        <v>10701.493672903915</v>
      </c>
      <c r="L407" s="3">
        <f>Comparison!AO6</f>
        <v>10413.892727978708</v>
      </c>
      <c r="M407" s="3">
        <f>Comparison!AP6</f>
        <v>10133.265997491257</v>
      </c>
      <c r="N407" s="3">
        <f>Comparison!AQ6</f>
        <v>9740.6929571272121</v>
      </c>
      <c r="O407" s="3">
        <f>Comparison!AR6</f>
        <v>8950.159395690147</v>
      </c>
      <c r="P407" s="3">
        <f>Comparison!AS6</f>
        <v>8064.2181617455262</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4.4998573190371006E-21</v>
      </c>
      <c r="C408" s="3">
        <f t="shared" si="433"/>
        <v>1.5260469441906593E-19</v>
      </c>
      <c r="D408" s="3">
        <f t="shared" si="433"/>
        <v>2.013504799977215E-18</v>
      </c>
      <c r="E408" s="3">
        <f t="shared" si="433"/>
        <v>1.73824087748557E-17</v>
      </c>
      <c r="F408" s="3">
        <f t="shared" si="433"/>
        <v>2.5122210670388876E-16</v>
      </c>
      <c r="G408" s="3">
        <f t="shared" si="433"/>
        <v>7.2452571176443718E-14</v>
      </c>
      <c r="H408" s="3">
        <f t="shared" si="433"/>
        <v>9.9999999999999994E-12</v>
      </c>
      <c r="I408" s="109">
        <f>Comparison!AL7</f>
        <v>9.9999999999999994E-12</v>
      </c>
      <c r="J408" s="3">
        <f>Comparison!AM7</f>
        <v>10893.827462738938</v>
      </c>
      <c r="K408" s="3">
        <f>Comparison!AN7</f>
        <v>10504.725025316387</v>
      </c>
      <c r="L408" s="3">
        <f>Comparison!AO7</f>
        <v>10194.452600653791</v>
      </c>
      <c r="M408" s="3">
        <f>Comparison!AP7</f>
        <v>9898.4994293430227</v>
      </c>
      <c r="N408" s="3">
        <f>Comparison!AQ7</f>
        <v>9486.1331326421696</v>
      </c>
      <c r="O408" s="3">
        <f>Comparison!AR7</f>
        <v>8675.2521191856285</v>
      </c>
      <c r="P408" s="3">
        <f>Comparison!AS7</f>
        <v>7728.4680221740073</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4.4998573190371015E-20</v>
      </c>
      <c r="C409" s="3">
        <f t="shared" si="433"/>
        <v>1.5260469441906594E-18</v>
      </c>
      <c r="D409" s="3">
        <f t="shared" si="433"/>
        <v>2.0135047999772152E-17</v>
      </c>
      <c r="E409" s="3">
        <f t="shared" si="433"/>
        <v>1.7382408774855702E-16</v>
      </c>
      <c r="F409" s="3">
        <f t="shared" si="433"/>
        <v>2.5122210670388878E-15</v>
      </c>
      <c r="G409" s="3">
        <f t="shared" si="433"/>
        <v>7.2452571176443731E-13</v>
      </c>
      <c r="H409" s="3">
        <f t="shared" si="433"/>
        <v>1E-10</v>
      </c>
      <c r="I409" s="109">
        <f>Comparison!AL8</f>
        <v>1E-10</v>
      </c>
      <c r="J409" s="3">
        <f>Comparison!AM8</f>
        <v>10697.933159313619</v>
      </c>
      <c r="K409" s="3">
        <f>Comparison!AN8</f>
        <v>10287.091684462941</v>
      </c>
      <c r="L409" s="3">
        <f>Comparison!AO8</f>
        <v>9957.7302884452874</v>
      </c>
      <c r="M409" s="3">
        <f>Comparison!AP8</f>
        <v>9623.1820365655622</v>
      </c>
      <c r="N409" s="3">
        <f>Comparison!AQ8</f>
        <v>9224.2999433670138</v>
      </c>
      <c r="O409" s="3">
        <f>Comparison!AR8</f>
        <v>8343.5058150850455</v>
      </c>
      <c r="P409" s="3">
        <f>Comparison!AS8</f>
        <v>7458.8734765357476</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4.4998573190371017E-19</v>
      </c>
      <c r="C410" s="3">
        <f t="shared" si="433"/>
        <v>1.5260469441906596E-17</v>
      </c>
      <c r="D410" s="3">
        <f t="shared" si="433"/>
        <v>2.0135047999772154E-16</v>
      </c>
      <c r="E410" s="3">
        <f t="shared" si="433"/>
        <v>1.7382408774855704E-15</v>
      </c>
      <c r="F410" s="3">
        <f t="shared" si="433"/>
        <v>2.5122210670388876E-14</v>
      </c>
      <c r="G410" s="3">
        <f t="shared" si="433"/>
        <v>7.2452571176443729E-12</v>
      </c>
      <c r="H410" s="3">
        <f t="shared" si="433"/>
        <v>1.0000000000000001E-9</v>
      </c>
      <c r="I410" s="109">
        <f>Comparison!AL9</f>
        <v>1.0000000000000001E-9</v>
      </c>
      <c r="J410" s="3">
        <f>Comparison!AM9</f>
        <v>10491.083669953241</v>
      </c>
      <c r="K410" s="3">
        <f>Comparison!AN9</f>
        <v>10049.244860118473</v>
      </c>
      <c r="L410" s="3">
        <f>Comparison!AO9</f>
        <v>9678.9506451169946</v>
      </c>
      <c r="M410" s="3">
        <f>Comparison!AP9</f>
        <v>9373.9337150399151</v>
      </c>
      <c r="N410" s="3">
        <f>Comparison!AQ9</f>
        <v>8983.6546151744242</v>
      </c>
      <c r="O410" s="3">
        <f>Comparison!AR9</f>
        <v>7990.5188430178014</v>
      </c>
      <c r="P410" s="3">
        <f>Comparison!AS9</f>
        <v>7186.4338001487413</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4.4998573190371012E-18</v>
      </c>
      <c r="C411" s="3">
        <f t="shared" si="433"/>
        <v>1.5260469441906594E-16</v>
      </c>
      <c r="D411" s="3">
        <f t="shared" si="433"/>
        <v>2.0135047999772153E-15</v>
      </c>
      <c r="E411" s="3">
        <f t="shared" si="433"/>
        <v>1.7382408774855702E-14</v>
      </c>
      <c r="F411" s="3">
        <f t="shared" si="433"/>
        <v>2.5122210670388877E-13</v>
      </c>
      <c r="G411" s="3">
        <f t="shared" si="433"/>
        <v>7.2452571176443735E-11</v>
      </c>
      <c r="H411" s="3">
        <f t="shared" si="433"/>
        <v>1E-8</v>
      </c>
      <c r="I411" s="109">
        <f>Comparison!AL10</f>
        <v>1E-8</v>
      </c>
      <c r="J411" s="3">
        <f>Comparison!AM10</f>
        <v>10253.530794540358</v>
      </c>
      <c r="K411" s="3">
        <f>Comparison!AN10</f>
        <v>9772.6915503667024</v>
      </c>
      <c r="L411" s="3">
        <f>Comparison!AO10</f>
        <v>9429.10680786792</v>
      </c>
      <c r="M411" s="3">
        <f>Comparison!AP10</f>
        <v>9114.1360760931802</v>
      </c>
      <c r="N411" s="3">
        <f>Comparison!AQ10</f>
        <v>8670.3934759322055</v>
      </c>
      <c r="O411" s="3">
        <f>Comparison!AR10</f>
        <v>7680.5790598342728</v>
      </c>
      <c r="P411" s="3">
        <f>Comparison!AS10</f>
        <v>6923.3670228065112</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4.4998573190371007E-17</v>
      </c>
      <c r="C412" s="3">
        <f t="shared" si="433"/>
        <v>1.5260469441906593E-15</v>
      </c>
      <c r="D412" s="3">
        <f t="shared" si="433"/>
        <v>2.013504799977215E-14</v>
      </c>
      <c r="E412" s="3">
        <f t="shared" si="433"/>
        <v>1.7382408774855702E-13</v>
      </c>
      <c r="F412" s="3">
        <f t="shared" si="433"/>
        <v>2.5122210670388872E-12</v>
      </c>
      <c r="G412" s="3">
        <f t="shared" si="433"/>
        <v>7.2452571176443725E-10</v>
      </c>
      <c r="H412" s="3">
        <f t="shared" si="433"/>
        <v>9.9999999999999995E-8</v>
      </c>
      <c r="I412" s="109">
        <f>Comparison!AL11</f>
        <v>9.9999999999999995E-8</v>
      </c>
      <c r="J412" s="3">
        <f>Comparison!AM11</f>
        <v>9990.0957619753135</v>
      </c>
      <c r="K412" s="3">
        <f>Comparison!AN11</f>
        <v>9517.4825603824975</v>
      </c>
      <c r="L412" s="3">
        <f>Comparison!AO11</f>
        <v>9166.8729911518094</v>
      </c>
      <c r="M412" s="3">
        <f>Comparison!AP11</f>
        <v>8823.7573464712859</v>
      </c>
      <c r="N412" s="3">
        <f>Comparison!AQ11</f>
        <v>8318.7463719570296</v>
      </c>
      <c r="O412" s="3">
        <f>Comparison!AR11</f>
        <v>7412.8102086341796</v>
      </c>
      <c r="P412" s="3">
        <f>Comparison!AS11</f>
        <v>6642.6199774647403</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4.4998573190371012E-16</v>
      </c>
      <c r="C413" s="3">
        <f t="shared" si="433"/>
        <v>1.5260469441906592E-14</v>
      </c>
      <c r="D413" s="3">
        <f t="shared" si="433"/>
        <v>2.013504799977215E-13</v>
      </c>
      <c r="E413" s="3">
        <f t="shared" si="433"/>
        <v>1.7382408774855701E-12</v>
      </c>
      <c r="F413" s="3">
        <f t="shared" si="433"/>
        <v>2.5122210670388872E-11</v>
      </c>
      <c r="G413" s="3">
        <f t="shared" si="433"/>
        <v>7.2452571176443727E-9</v>
      </c>
      <c r="H413" s="3">
        <f t="shared" si="433"/>
        <v>9.9999999999999995E-7</v>
      </c>
      <c r="I413" s="109">
        <f>Comparison!AL12</f>
        <v>9.9999999999999995E-7</v>
      </c>
      <c r="J413" s="3">
        <f>Comparison!AM12</f>
        <v>9721.0109842535821</v>
      </c>
      <c r="K413" s="3">
        <f>Comparison!AN12</f>
        <v>9254.9171850971579</v>
      </c>
      <c r="L413" s="3">
        <f>Comparison!AO12</f>
        <v>8871.4120157080979</v>
      </c>
      <c r="M413" s="3">
        <f>Comparison!AP12</f>
        <v>8477.9341078683501</v>
      </c>
      <c r="N413" s="3">
        <f>Comparison!AQ12</f>
        <v>7968.6744939632144</v>
      </c>
      <c r="O413" s="3">
        <f>Comparison!AR12</f>
        <v>7140.1987157287695</v>
      </c>
      <c r="P413" s="3">
        <f>Comparison!AS12</f>
        <v>6381.2467017614817</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4.4998573190371016E-15</v>
      </c>
      <c r="C414" s="3">
        <f t="shared" si="433"/>
        <v>1.5260469441906596E-13</v>
      </c>
      <c r="D414" s="3">
        <f t="shared" si="433"/>
        <v>2.0135047999772152E-12</v>
      </c>
      <c r="E414" s="3">
        <f t="shared" si="433"/>
        <v>1.7382408774855703E-11</v>
      </c>
      <c r="F414" s="3">
        <f t="shared" si="433"/>
        <v>2.5122210670388877E-10</v>
      </c>
      <c r="G414" s="3">
        <f t="shared" si="433"/>
        <v>7.2452571176443738E-8</v>
      </c>
      <c r="H414" s="3">
        <f t="shared" si="433"/>
        <v>1.0000000000000001E-5</v>
      </c>
      <c r="I414" s="109">
        <f>Comparison!AL13</f>
        <v>1.0000000000000001E-5</v>
      </c>
      <c r="J414" s="3">
        <f>Comparison!AM13</f>
        <v>9457.2689514888043</v>
      </c>
      <c r="K414" s="3">
        <f>Comparison!AN13</f>
        <v>8963.5955807199589</v>
      </c>
      <c r="L414" s="3">
        <f>Comparison!AO13</f>
        <v>8521.038668453999</v>
      </c>
      <c r="M414" s="3">
        <f>Comparison!AP13</f>
        <v>8118.5828227804013</v>
      </c>
      <c r="N414" s="3">
        <f>Comparison!AQ13</f>
        <v>7682.4342615636733</v>
      </c>
      <c r="O414" s="3">
        <f>Comparison!AR13</f>
        <v>6866.3570711275343</v>
      </c>
      <c r="P414" s="3">
        <f>Comparison!AS13</f>
        <v>6048.4964574924006</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4.4998573190371014E-14</v>
      </c>
      <c r="C415" s="3">
        <f t="shared" si="433"/>
        <v>1.5260469441906595E-12</v>
      </c>
      <c r="D415" s="3">
        <f t="shared" si="433"/>
        <v>2.0135047999772153E-11</v>
      </c>
      <c r="E415" s="3">
        <f t="shared" si="433"/>
        <v>1.7382408774855703E-10</v>
      </c>
      <c r="F415" s="3">
        <f t="shared" si="433"/>
        <v>2.5122210670388876E-9</v>
      </c>
      <c r="G415" s="3">
        <f t="shared" si="433"/>
        <v>7.2452571176443728E-7</v>
      </c>
      <c r="H415" s="3">
        <f t="shared" si="433"/>
        <v>1E-4</v>
      </c>
      <c r="I415" s="109">
        <f>Comparison!AL14</f>
        <v>1E-4</v>
      </c>
      <c r="J415" s="3">
        <f>Comparison!AM14</f>
        <v>9196.9082117763955</v>
      </c>
      <c r="K415" s="3">
        <f>Comparison!AN14</f>
        <v>8614.6063850970258</v>
      </c>
      <c r="L415" s="3">
        <f>Comparison!AO14</f>
        <v>8159.6492921187164</v>
      </c>
      <c r="M415" s="3">
        <f>Comparison!AP14</f>
        <v>7811.8955545814642</v>
      </c>
      <c r="N415" s="3">
        <f>Comparison!AQ14</f>
        <v>7403.9105678680935</v>
      </c>
      <c r="O415" s="3">
        <f>Comparison!AR14</f>
        <v>6590.7809918049779</v>
      </c>
      <c r="P415" s="3">
        <f>Comparison!AS14</f>
        <v>5696.5517580815231</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4.4998573190371012E-13</v>
      </c>
      <c r="C416" s="3">
        <f t="shared" si="433"/>
        <v>1.5260469441906595E-11</v>
      </c>
      <c r="D416" s="3">
        <f t="shared" si="433"/>
        <v>2.0135047999772153E-10</v>
      </c>
      <c r="E416" s="3">
        <f t="shared" si="433"/>
        <v>1.7382408774855703E-9</v>
      </c>
      <c r="F416" s="3">
        <f t="shared" si="433"/>
        <v>2.5122210670388874E-8</v>
      </c>
      <c r="G416" s="3">
        <f t="shared" si="433"/>
        <v>7.2452571176443728E-6</v>
      </c>
      <c r="H416" s="3">
        <f t="shared" si="433"/>
        <v>1E-3</v>
      </c>
      <c r="I416" s="109">
        <f>Comparison!AL15</f>
        <v>1E-3</v>
      </c>
      <c r="J416" s="3">
        <f>Comparison!AM15</f>
        <v>8853.3090866661241</v>
      </c>
      <c r="K416" s="3">
        <f>Comparison!AN15</f>
        <v>8248.4064055257641</v>
      </c>
      <c r="L416" s="3">
        <f>Comparison!AO15</f>
        <v>7853.7898979258625</v>
      </c>
      <c r="M416" s="3">
        <f>Comparison!AP15</f>
        <v>7534.5067060295696</v>
      </c>
      <c r="N416" s="3">
        <f>Comparison!AQ15</f>
        <v>7132.2476769922887</v>
      </c>
      <c r="O416" s="3">
        <f>Comparison!AR15</f>
        <v>6298.9484082003064</v>
      </c>
      <c r="P416" s="3">
        <f>Comparison!AS15</f>
        <v>5284.0344872686346</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4.4998573190371012E-12</v>
      </c>
      <c r="C417" s="3">
        <f t="shared" si="433"/>
        <v>1.5260469441906594E-10</v>
      </c>
      <c r="D417" s="3">
        <f t="shared" si="433"/>
        <v>2.0135047999772153E-9</v>
      </c>
      <c r="E417" s="3">
        <f t="shared" si="433"/>
        <v>1.7382408774855702E-8</v>
      </c>
      <c r="F417" s="3">
        <f t="shared" si="433"/>
        <v>2.5122210670388873E-7</v>
      </c>
      <c r="G417" s="3">
        <f t="shared" si="433"/>
        <v>7.2452571176443724E-5</v>
      </c>
      <c r="H417" s="3">
        <f t="shared" si="433"/>
        <v>0.01</v>
      </c>
      <c r="I417" s="109">
        <f>Comparison!AL16</f>
        <v>0.01</v>
      </c>
      <c r="J417" s="3">
        <f>Comparison!AM16</f>
        <v>8479.914716286281</v>
      </c>
      <c r="K417" s="3">
        <f>Comparison!AN16</f>
        <v>7932.3411730217404</v>
      </c>
      <c r="L417" s="3">
        <f>Comparison!AO16</f>
        <v>7573.2536155058961</v>
      </c>
      <c r="M417" s="3">
        <f>Comparison!AP16</f>
        <v>7256.8628130889483</v>
      </c>
      <c r="N417" s="3">
        <f>Comparison!AQ16</f>
        <v>6844.7384968439528</v>
      </c>
      <c r="O417" s="3">
        <f>Comparison!AR16</f>
        <v>5945.6821100901007</v>
      </c>
      <c r="P417" s="3">
        <f>Comparison!AS16</f>
        <v>4808.4059861038604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4.4998573190371013E-11</v>
      </c>
      <c r="C418" s="3">
        <f t="shared" si="433"/>
        <v>1.5260469441906595E-9</v>
      </c>
      <c r="D418" s="3">
        <f t="shared" si="433"/>
        <v>2.0135047999772151E-8</v>
      </c>
      <c r="E418" s="3">
        <f t="shared" si="433"/>
        <v>1.7382408774855704E-7</v>
      </c>
      <c r="F418" s="3">
        <f t="shared" si="433"/>
        <v>2.5122210670388874E-6</v>
      </c>
      <c r="G418" s="3">
        <f t="shared" si="433"/>
        <v>7.2452571176443727E-4</v>
      </c>
      <c r="H418" s="3">
        <f t="shared" si="433"/>
        <v>0.1</v>
      </c>
      <c r="I418" s="109">
        <f>Comparison!AL17</f>
        <v>0.1</v>
      </c>
      <c r="J418" s="3">
        <f>Comparison!AM17</f>
        <v>8128.965640404419</v>
      </c>
      <c r="K418" s="3">
        <f>Comparison!AN17</f>
        <v>7651.3188875674869</v>
      </c>
      <c r="L418" s="3">
        <f>Comparison!AO17</f>
        <v>7293.8613287583112</v>
      </c>
      <c r="M418" s="3">
        <f>Comparison!AP17</f>
        <v>6971.3695334324493</v>
      </c>
      <c r="N418" s="3">
        <f>Comparison!AQ17</f>
        <v>6572.6294407257219</v>
      </c>
      <c r="O418" s="3">
        <f>Comparison!AR17</f>
        <v>5548.4424875147679</v>
      </c>
      <c r="P418" s="3">
        <f>Comparison!AS17</f>
        <v>4180.5720256158129</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4.4998573190371013E-10</v>
      </c>
      <c r="C419" s="3">
        <f t="shared" si="433"/>
        <v>1.5260469441906594E-8</v>
      </c>
      <c r="D419" s="3">
        <f t="shared" si="433"/>
        <v>2.0135047999772151E-7</v>
      </c>
      <c r="E419" s="3">
        <f t="shared" si="433"/>
        <v>1.7382408774855702E-6</v>
      </c>
      <c r="F419" s="3">
        <f t="shared" si="433"/>
        <v>2.5122210670388873E-5</v>
      </c>
      <c r="G419" s="3">
        <f t="shared" si="433"/>
        <v>7.2452571176443731E-3</v>
      </c>
      <c r="H419" s="3">
        <f t="shared" si="433"/>
        <v>1</v>
      </c>
      <c r="I419" s="109">
        <f>Comparison!AL18</f>
        <v>1</v>
      </c>
      <c r="J419" s="3">
        <f>Comparison!AM18</f>
        <v>7846.4940246078413</v>
      </c>
      <c r="K419" s="3">
        <f>Comparison!AN18</f>
        <v>7368.015082756323</v>
      </c>
      <c r="L419" s="3">
        <f>Comparison!AO18</f>
        <v>7004.3784649959834</v>
      </c>
      <c r="M419" s="3">
        <f>Comparison!AP18</f>
        <v>6688.5259415281262</v>
      </c>
      <c r="N419" s="3">
        <f>Comparison!AQ18</f>
        <v>6219.0027578185491</v>
      </c>
      <c r="O419" s="3">
        <f>Comparison!AR18</f>
        <v>4973.8956031837224</v>
      </c>
      <c r="P419" s="3">
        <f>Comparison!AS18</f>
        <v>3284.9966289927738</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4.4998573190371008E-9</v>
      </c>
      <c r="C420" s="3">
        <f t="shared" si="434"/>
        <v>1.5260469441906593E-7</v>
      </c>
      <c r="D420" s="3">
        <f t="shared" si="434"/>
        <v>2.0135047999772151E-6</v>
      </c>
      <c r="E420" s="3">
        <f t="shared" si="434"/>
        <v>1.7382408774855701E-5</v>
      </c>
      <c r="F420" s="3">
        <f t="shared" si="434"/>
        <v>2.5122210670388873E-4</v>
      </c>
      <c r="G420" s="3">
        <f t="shared" si="434"/>
        <v>7.2452571176443728E-2</v>
      </c>
      <c r="H420" s="3">
        <f t="shared" si="434"/>
        <v>10</v>
      </c>
      <c r="I420" s="109">
        <f>Comparison!AL19</f>
        <v>10</v>
      </c>
      <c r="J420" s="3">
        <f>Comparison!AM19</f>
        <v>7554.3574872186746</v>
      </c>
      <c r="K420" s="3">
        <f>Comparison!AN19</f>
        <v>7078.2683200185556</v>
      </c>
      <c r="L420" s="3">
        <f>Comparison!AO19</f>
        <v>6716.1281746734903</v>
      </c>
      <c r="M420" s="3">
        <f>Comparison!AP19</f>
        <v>6332.8599538611707</v>
      </c>
      <c r="N420" s="3">
        <f>Comparison!AQ19</f>
        <v>5690.6299745251627</v>
      </c>
      <c r="O420" s="3">
        <f>Comparison!AR19</f>
        <v>4041.6864062630743</v>
      </c>
      <c r="P420" s="3">
        <f>Comparison!AS19</f>
        <v>2245.2955925232422</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4.499857319037101E-8</v>
      </c>
      <c r="C421" s="3">
        <f t="shared" si="434"/>
        <v>1.5260469441906594E-6</v>
      </c>
      <c r="D421" s="3">
        <f t="shared" si="434"/>
        <v>2.0135047999772152E-5</v>
      </c>
      <c r="E421" s="3">
        <f t="shared" si="434"/>
        <v>1.7382408774855703E-4</v>
      </c>
      <c r="F421" s="3">
        <f t="shared" si="434"/>
        <v>2.5122210670388873E-3</v>
      </c>
      <c r="G421" s="3">
        <f t="shared" si="434"/>
        <v>0.72452571176443725</v>
      </c>
      <c r="H421" s="3">
        <f t="shared" si="434"/>
        <v>100</v>
      </c>
      <c r="I421" s="109">
        <f>Comparison!AL20</f>
        <v>100</v>
      </c>
      <c r="J421" s="3">
        <f>Comparison!AM20</f>
        <v>7271.4639946770558</v>
      </c>
      <c r="K421" s="3">
        <f>Comparison!AN20</f>
        <v>6780.7506129740432</v>
      </c>
      <c r="L421" s="3">
        <f>Comparison!AO20</f>
        <v>6317.4824905918776</v>
      </c>
      <c r="M421" s="3">
        <f>Comparison!AP20</f>
        <v>5707.8128215740962</v>
      </c>
      <c r="N421" s="3">
        <f>Comparison!AQ20</f>
        <v>4763.4711208275512</v>
      </c>
      <c r="O421" s="3">
        <f>Comparison!AR20</f>
        <v>2997.7303823547541</v>
      </c>
      <c r="P421" s="3">
        <f>Comparison!AS20</f>
        <v>1455.0382053123094</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4.4998573190371014E-7</v>
      </c>
      <c r="C422" s="3">
        <f t="shared" si="434"/>
        <v>1.5260469441906595E-5</v>
      </c>
      <c r="D422" s="3">
        <f t="shared" si="434"/>
        <v>2.0135047999772152E-4</v>
      </c>
      <c r="E422" s="3">
        <f t="shared" si="434"/>
        <v>1.7382408774855702E-3</v>
      </c>
      <c r="F422" s="3">
        <f t="shared" si="434"/>
        <v>2.5122210670388875E-2</v>
      </c>
      <c r="G422" s="3">
        <f t="shared" si="434"/>
        <v>7.245257117644373</v>
      </c>
      <c r="H422" s="3">
        <f t="shared" si="434"/>
        <v>1000</v>
      </c>
      <c r="I422" s="109">
        <f>Comparison!AL21</f>
        <v>1000</v>
      </c>
      <c r="J422" s="3">
        <f>Comparison!AM21</f>
        <v>6968.3337174677063</v>
      </c>
      <c r="K422" s="3">
        <f>Comparison!AN21</f>
        <v>6359.8481605512916</v>
      </c>
      <c r="L422" s="3">
        <f>Comparison!AO21</f>
        <v>5575.0877249610812</v>
      </c>
      <c r="M422" s="3">
        <f>Comparison!AP21</f>
        <v>4703.4024219609055</v>
      </c>
      <c r="N422" s="3">
        <f>Comparison!AQ21</f>
        <v>3748.4083561986595</v>
      </c>
      <c r="O422" s="3">
        <f>Comparison!AR21</f>
        <v>2118.9396419195423</v>
      </c>
      <c r="P422" s="3">
        <f>Comparison!AS21</f>
        <v>939.75400333325899</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4.4998573190371015E-6</v>
      </c>
      <c r="C423" s="3">
        <f t="shared" si="434"/>
        <v>1.5260469441906593E-4</v>
      </c>
      <c r="D423" s="3">
        <f t="shared" si="434"/>
        <v>2.0135047999772153E-3</v>
      </c>
      <c r="E423" s="3">
        <f t="shared" si="434"/>
        <v>1.7382408774855702E-2</v>
      </c>
      <c r="F423" s="3">
        <f t="shared" si="434"/>
        <v>0.25122210670388873</v>
      </c>
      <c r="G423" s="3">
        <f t="shared" si="434"/>
        <v>72.452571176443726</v>
      </c>
      <c r="H423" s="3">
        <f t="shared" si="434"/>
        <v>10000</v>
      </c>
      <c r="I423" s="109">
        <f>Comparison!AL22</f>
        <v>10000</v>
      </c>
      <c r="J423" s="3">
        <f>Comparison!AM22</f>
        <v>6660.7873102364538</v>
      </c>
      <c r="K423" s="3">
        <f>Comparison!AN22</f>
        <v>5533.5094566127227</v>
      </c>
      <c r="L423" s="3">
        <f>Comparison!AO22</f>
        <v>4517.4360226770941</v>
      </c>
      <c r="M423" s="3">
        <f>Comparison!AP22</f>
        <v>3716.6695709784594</v>
      </c>
      <c r="N423" s="3">
        <f>Comparison!AQ22</f>
        <v>2899.8712503562774</v>
      </c>
      <c r="O423" s="3">
        <f>Comparison!AR22</f>
        <v>1431.9051140793895</v>
      </c>
      <c r="P423" s="3">
        <f>Comparison!AS22</f>
        <v>667.66248335298053</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4.4998573190371013E-5</v>
      </c>
      <c r="C424" s="3">
        <f t="shared" si="434"/>
        <v>1.5260469441906593E-3</v>
      </c>
      <c r="D424" s="3">
        <f t="shared" si="434"/>
        <v>2.0135047999772154E-2</v>
      </c>
      <c r="E424" s="3">
        <f t="shared" si="434"/>
        <v>0.17382408774855701</v>
      </c>
      <c r="F424" s="3">
        <f t="shared" si="434"/>
        <v>2.5122210670388876</v>
      </c>
      <c r="G424" s="3">
        <f t="shared" si="434"/>
        <v>724.52571176443723</v>
      </c>
      <c r="H424" s="3">
        <f t="shared" si="434"/>
        <v>100000</v>
      </c>
      <c r="I424" s="109">
        <f>Comparison!AL23</f>
        <v>100000</v>
      </c>
      <c r="J424" s="3">
        <f>Comparison!AM23</f>
        <v>6120.1247453486039</v>
      </c>
      <c r="K424" s="3">
        <f>Comparison!AN23</f>
        <v>4472.2559132167689</v>
      </c>
      <c r="L424" s="3">
        <f>Comparison!AO23</f>
        <v>3579.1976948167016</v>
      </c>
      <c r="M424" s="3">
        <f>Comparison!AP23</f>
        <v>2925.6425281910142</v>
      </c>
      <c r="N424" s="3">
        <f>Comparison!AQ23</f>
        <v>2207.9514817928284</v>
      </c>
      <c r="O424" s="3">
        <f>Comparison!AR23</f>
        <v>967.83847313448518</v>
      </c>
      <c r="P424" s="3">
        <f>Comparison!AS23</f>
        <v>524.73653922891083</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4.4998573190371013E-4</v>
      </c>
      <c r="C425" s="3">
        <f t="shared" si="434"/>
        <v>1.5260469441906593E-2</v>
      </c>
      <c r="D425" s="3">
        <f t="shared" si="434"/>
        <v>0.20135047999772152</v>
      </c>
      <c r="E425" s="3">
        <f t="shared" si="434"/>
        <v>1.7382408774855702</v>
      </c>
      <c r="F425" s="3">
        <f t="shared" si="434"/>
        <v>25.122210670388874</v>
      </c>
      <c r="G425" s="3">
        <f t="shared" si="434"/>
        <v>7245.2571176443726</v>
      </c>
      <c r="H425" s="3">
        <f t="shared" si="434"/>
        <v>1000000</v>
      </c>
      <c r="I425" s="109">
        <f>Comparison!AL24</f>
        <v>1000000</v>
      </c>
      <c r="J425" s="3">
        <f>Comparison!AM24</f>
        <v>5179.772775385416</v>
      </c>
      <c r="K425" s="3">
        <f>Comparison!AN24</f>
        <v>3559.9181790033126</v>
      </c>
      <c r="L425" s="3">
        <f>Comparison!AO24</f>
        <v>2836.8024969308635</v>
      </c>
      <c r="M425" s="3">
        <f>Comparison!AP24</f>
        <v>2271.2592133629987</v>
      </c>
      <c r="N425" s="3">
        <f>Comparison!AQ24</f>
        <v>1604.1263924000411</v>
      </c>
      <c r="O425" s="3">
        <f>Comparison!AR24</f>
        <v>675.63698437161315</v>
      </c>
      <c r="P425" s="3">
        <f>Comparison!AS24</f>
        <v>458.1071148045329</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4.4998573190371009E-3</v>
      </c>
      <c r="C426" s="3">
        <f t="shared" si="434"/>
        <v>0.15260469441906593</v>
      </c>
      <c r="D426" s="3">
        <f t="shared" si="434"/>
        <v>2.0135047999772153</v>
      </c>
      <c r="E426" s="3">
        <f t="shared" si="434"/>
        <v>17.382408774855701</v>
      </c>
      <c r="F426" s="3">
        <f t="shared" si="434"/>
        <v>251.22210670388876</v>
      </c>
      <c r="G426" s="3">
        <f t="shared" si="434"/>
        <v>72452.571176443729</v>
      </c>
      <c r="H426" s="3">
        <f t="shared" si="434"/>
        <v>10000000</v>
      </c>
      <c r="I426" s="109">
        <f>Comparison!AL25</f>
        <v>10000000</v>
      </c>
      <c r="J426" s="3">
        <f>Comparison!AM25</f>
        <v>4110.4480491252179</v>
      </c>
      <c r="K426" s="3">
        <f>Comparison!AN25</f>
        <v>2844.2645935941323</v>
      </c>
      <c r="L426" s="3">
        <f>Comparison!AO25</f>
        <v>2213.6861360404496</v>
      </c>
      <c r="M426" s="3">
        <f>Comparison!AP25</f>
        <v>1690.9117320692962</v>
      </c>
      <c r="N426" s="3">
        <f>Comparison!AQ25</f>
        <v>1123.4067588567204</v>
      </c>
      <c r="O426" s="3">
        <f>Comparison!AR25</f>
        <v>531.67099399258564</v>
      </c>
      <c r="P426" s="3">
        <f>Comparison!AS25</f>
        <v>416.14335450856197</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4.4998573190371011E-2</v>
      </c>
      <c r="C427" s="3">
        <f t="shared" si="434"/>
        <v>1.5260469441906594</v>
      </c>
      <c r="D427" s="3">
        <f t="shared" si="434"/>
        <v>20.135047999772151</v>
      </c>
      <c r="E427" s="3">
        <f t="shared" si="434"/>
        <v>173.82408774855702</v>
      </c>
      <c r="F427" s="3">
        <f t="shared" si="434"/>
        <v>2512.2210670388877</v>
      </c>
      <c r="G427" s="3">
        <f t="shared" si="434"/>
        <v>724525.71176443726</v>
      </c>
      <c r="H427" s="3">
        <f t="shared" si="434"/>
        <v>100000000</v>
      </c>
      <c r="I427" s="109">
        <f>Comparison!AL26</f>
        <v>100000000</v>
      </c>
      <c r="J427" s="3">
        <f>Comparison!AM26</f>
        <v>3245.0810486621449</v>
      </c>
      <c r="K427" s="3">
        <f>Comparison!AN26</f>
        <v>2237.2915384432267</v>
      </c>
      <c r="L427" s="3">
        <f>Comparison!AO26</f>
        <v>1650.6334197278006</v>
      </c>
      <c r="M427" s="3">
        <f>Comparison!AP26</f>
        <v>1194.4542594457305</v>
      </c>
      <c r="N427" s="3">
        <f>Comparison!AQ26</f>
        <v>780.76520754617513</v>
      </c>
      <c r="O427" s="3">
        <f>Comparison!AR26</f>
        <v>453.91977153237434</v>
      </c>
      <c r="P427" s="3">
        <f>Comparison!AS26</f>
        <v>393.17885286775953</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0.44998573190371011</v>
      </c>
      <c r="C428" s="3">
        <f t="shared" si="434"/>
        <v>15.260469441906594</v>
      </c>
      <c r="D428" s="3">
        <f t="shared" si="434"/>
        <v>201.35047999772152</v>
      </c>
      <c r="E428" s="3">
        <f t="shared" si="434"/>
        <v>1738.2408774855703</v>
      </c>
      <c r="F428" s="3">
        <f t="shared" si="434"/>
        <v>25122.210670388875</v>
      </c>
      <c r="G428" s="3">
        <f t="shared" si="434"/>
        <v>7245257.1176443724</v>
      </c>
      <c r="H428" s="3">
        <f t="shared" si="434"/>
        <v>1000000000</v>
      </c>
      <c r="I428" s="109">
        <f>Comparison!AL27</f>
        <v>1000000000</v>
      </c>
      <c r="J428" s="3">
        <f>Comparison!AM27</f>
        <v>2543.9226414929772</v>
      </c>
      <c r="K428" s="3">
        <f>Comparison!AN27</f>
        <v>1684.6343995836892</v>
      </c>
      <c r="L428" s="3">
        <f>Comparison!AO27</f>
        <v>1168.6567020451771</v>
      </c>
      <c r="M428" s="3">
        <f>Comparison!AP27</f>
        <v>834.8043301176574</v>
      </c>
      <c r="N428" s="3">
        <f>Comparison!AQ27</f>
        <v>582.0058323502866</v>
      </c>
      <c r="O428" s="3">
        <f>Comparison!AR27</f>
        <v>417.85505040960345</v>
      </c>
      <c r="P428" s="3">
        <f>Comparison!AS27</f>
        <v>379.36405724647841</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4.4998573190371012</v>
      </c>
      <c r="C429" s="3">
        <f t="shared" si="434"/>
        <v>152.60469441906594</v>
      </c>
      <c r="D429" s="3">
        <f t="shared" si="434"/>
        <v>2013.5047999772153</v>
      </c>
      <c r="E429" s="3">
        <f t="shared" si="434"/>
        <v>17382.408774855703</v>
      </c>
      <c r="F429" s="3">
        <f t="shared" si="434"/>
        <v>251222.10670388874</v>
      </c>
      <c r="G429" s="3">
        <f t="shared" si="434"/>
        <v>72452571.176443726</v>
      </c>
      <c r="H429" s="3">
        <f t="shared" si="434"/>
        <v>10000000000</v>
      </c>
      <c r="I429" s="109">
        <f>Comparison!AL28</f>
        <v>10000000000</v>
      </c>
      <c r="J429" s="3">
        <f>Comparison!AM28</f>
        <v>1944.565914995268</v>
      </c>
      <c r="K429" s="3">
        <f>Comparison!AN28</f>
        <v>1197.1004230306633</v>
      </c>
      <c r="L429" s="3">
        <f>Comparison!AO28</f>
        <v>818.07631905971209</v>
      </c>
      <c r="M429" s="3">
        <f>Comparison!AP28</f>
        <v>607.40413984309237</v>
      </c>
      <c r="N429" s="3">
        <f>Comparison!AQ28</f>
        <v>477.43912435634792</v>
      </c>
      <c r="O429" s="3">
        <f>Comparison!AR28</f>
        <v>391.91620643386665</v>
      </c>
      <c r="P429" s="3">
        <f>Comparison!AS28</f>
        <v>357.29334618358928</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44.998573190371012</v>
      </c>
      <c r="C430" s="3">
        <f t="shared" si="434"/>
        <v>1526.0469441906594</v>
      </c>
      <c r="D430" s="3">
        <f t="shared" si="434"/>
        <v>20135.047999772152</v>
      </c>
      <c r="E430" s="3">
        <f t="shared" si="434"/>
        <v>173824.08774855701</v>
      </c>
      <c r="F430" s="3">
        <f t="shared" si="434"/>
        <v>2512221.0670388876</v>
      </c>
      <c r="G430" s="3">
        <f t="shared" si="434"/>
        <v>724525711.76443732</v>
      </c>
      <c r="H430" s="3">
        <f t="shared" si="434"/>
        <v>100000000000</v>
      </c>
      <c r="I430" s="109">
        <f>Comparison!AL29</f>
        <v>100000000000</v>
      </c>
      <c r="J430" s="3">
        <f>Comparison!AM29</f>
        <v>1396.8383179282553</v>
      </c>
      <c r="K430" s="3">
        <f>Comparison!AN29</f>
        <v>840.12332203849121</v>
      </c>
      <c r="L430" s="3">
        <f>Comparison!AO29</f>
        <v>599.03104161742488</v>
      </c>
      <c r="M430" s="3">
        <f>Comparison!AP29</f>
        <v>493.01101666641495</v>
      </c>
      <c r="N430" s="3">
        <f>Comparison!AQ29</f>
        <v>428.31766172038903</v>
      </c>
      <c r="O430" s="3">
        <f>Comparison!AR29</f>
        <v>379.02694798430821</v>
      </c>
      <c r="P430" s="3">
        <f>Comparison!AS29</f>
        <v>350.56361233759071</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449.98573190371013</v>
      </c>
      <c r="C431" s="3">
        <f t="shared" si="434"/>
        <v>15260.469441906595</v>
      </c>
      <c r="D431" s="3">
        <f t="shared" si="434"/>
        <v>201350.47999772153</v>
      </c>
      <c r="E431" s="3">
        <f t="shared" si="434"/>
        <v>1738240.8774855703</v>
      </c>
      <c r="F431" s="3">
        <f t="shared" si="434"/>
        <v>25122210.670388874</v>
      </c>
      <c r="G431" s="3">
        <f t="shared" si="434"/>
        <v>7245257117.6443729</v>
      </c>
      <c r="H431" s="3">
        <f t="shared" si="434"/>
        <v>1000000000000</v>
      </c>
      <c r="I431" s="109">
        <f>Comparison!AL30</f>
        <v>1000000000000</v>
      </c>
      <c r="J431" s="3">
        <f>Comparison!AM30</f>
        <v>982.12621210790121</v>
      </c>
      <c r="K431" s="3">
        <f>Comparison!AN30</f>
        <v>609.58567269963044</v>
      </c>
      <c r="L431" s="3">
        <f>Comparison!AO30</f>
        <v>488.03069035934635</v>
      </c>
      <c r="M431" s="3">
        <f>Comparison!AP30</f>
        <v>433.7285115590953</v>
      </c>
      <c r="N431" s="3">
        <f>Comparison!AQ30</f>
        <v>398.6513774250231</v>
      </c>
      <c r="O431" s="3">
        <f>Comparison!AR30</f>
        <v>367.59357086994629</v>
      </c>
      <c r="P431" s="3">
        <f>Comparison!AS30</f>
        <v>345.69227327199394</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4499.8573190371008</v>
      </c>
      <c r="C432" s="3">
        <f t="shared" si="434"/>
        <v>152604.69441906593</v>
      </c>
      <c r="D432" s="3">
        <f t="shared" si="434"/>
        <v>2013504.7999772152</v>
      </c>
      <c r="E432" s="3">
        <f t="shared" si="434"/>
        <v>17382408.774855703</v>
      </c>
      <c r="F432" s="3">
        <f t="shared" si="434"/>
        <v>251222106.70388874</v>
      </c>
      <c r="G432" s="3">
        <f t="shared" si="434"/>
        <v>72452571176.443726</v>
      </c>
      <c r="H432" s="3">
        <f t="shared" si="434"/>
        <v>10000000000000</v>
      </c>
      <c r="I432" s="109">
        <f>Comparison!AL31</f>
        <v>10000000000000</v>
      </c>
      <c r="J432" s="3">
        <f>Comparison!AM31</f>
        <v>689.03519551617785</v>
      </c>
      <c r="K432" s="3">
        <f>Comparison!AN31</f>
        <v>494.5048529689002</v>
      </c>
      <c r="L432" s="3">
        <f>Comparison!AO31</f>
        <v>431.51308603872349</v>
      </c>
      <c r="M432" s="3">
        <f>Comparison!AP31</f>
        <v>403.76473002951963</v>
      </c>
      <c r="N432" s="3">
        <f>Comparison!AQ31</f>
        <v>385.25122525189607</v>
      </c>
      <c r="O432" s="3">
        <f>Comparison!AR31</f>
        <v>348.16027376363564</v>
      </c>
      <c r="P432" s="3">
        <f>Comparison!AS31</f>
        <v>345.40832820533547</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44998.573190371011</v>
      </c>
      <c r="C433" s="3">
        <f t="shared" si="434"/>
        <v>1526046.9441906593</v>
      </c>
      <c r="D433" s="3">
        <f t="shared" si="434"/>
        <v>20135047.999772154</v>
      </c>
      <c r="E433" s="3">
        <f t="shared" si="434"/>
        <v>173824087.74855703</v>
      </c>
      <c r="F433" s="3">
        <f t="shared" si="434"/>
        <v>2512221067.0388875</v>
      </c>
      <c r="G433" s="3">
        <f t="shared" si="434"/>
        <v>724525711764.43726</v>
      </c>
      <c r="H433" s="3">
        <f t="shared" si="434"/>
        <v>100000000000000</v>
      </c>
      <c r="I433" s="109">
        <f>Comparison!AL32</f>
        <v>100000000000000</v>
      </c>
      <c r="J433" s="3">
        <f>Comparison!AM32</f>
        <v>537.03681449352746</v>
      </c>
      <c r="K433" s="3">
        <f>Comparison!AN32</f>
        <v>433.69545003412065</v>
      </c>
      <c r="L433" s="3">
        <f>Comparison!AO32</f>
        <v>402.06033913876905</v>
      </c>
      <c r="M433" s="3">
        <f>Comparison!AP32</f>
        <v>387.64349199783766</v>
      </c>
      <c r="N433" s="3">
        <f>Comparison!AQ32</f>
        <v>372.90060316523403</v>
      </c>
      <c r="O433" s="3">
        <f>Comparison!AR32</f>
        <v>346.81429429478277</v>
      </c>
      <c r="P433" s="3">
        <f>Comparison!AS32</f>
        <v>343.52176757284224</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449985.73190371011</v>
      </c>
      <c r="C434" s="3">
        <f t="shared" si="434"/>
        <v>15260469.441906594</v>
      </c>
      <c r="D434" s="3">
        <f t="shared" si="434"/>
        <v>201350479.99772152</v>
      </c>
      <c r="E434" s="3">
        <f t="shared" si="434"/>
        <v>1738240877.4855702</v>
      </c>
      <c r="F434" s="3">
        <f t="shared" si="434"/>
        <v>25122210670.388874</v>
      </c>
      <c r="G434" s="3">
        <f t="shared" si="434"/>
        <v>7245257117644.373</v>
      </c>
      <c r="H434" s="3">
        <f t="shared" si="434"/>
        <v>1000000000000000</v>
      </c>
      <c r="I434" s="109">
        <f>Comparison!AL33</f>
        <v>1000000000000000</v>
      </c>
      <c r="J434" s="3">
        <f>Comparison!AM33</f>
        <v>452.34025000519932</v>
      </c>
      <c r="K434" s="3">
        <f>Comparison!AN33</f>
        <v>404.17805740514621</v>
      </c>
      <c r="L434" s="3">
        <f>Comparison!AO33</f>
        <v>386.49357349528668</v>
      </c>
      <c r="M434" s="3">
        <f>Comparison!AP33</f>
        <v>374.47481405228427</v>
      </c>
      <c r="N434" s="3">
        <f>Comparison!AQ33</f>
        <v>356.83813776395743</v>
      </c>
      <c r="O434" s="3">
        <f>Comparison!AR33</f>
        <v>343.74512434370951</v>
      </c>
      <c r="P434" s="3">
        <f>Comparison!AS33</f>
        <v>342.36979608181048</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-21.521805240547501</v>
      </c>
      <c r="M1" s="54">
        <v>1</v>
      </c>
      <c r="N1" s="56">
        <f>INDEX($H$217:$P$217,1,Q1)</f>
        <v>0.14179479631188399</v>
      </c>
      <c r="O1" s="11"/>
      <c r="P1" s="55">
        <v>1</v>
      </c>
      <c r="Q1" s="11">
        <v>2</v>
      </c>
    </row>
    <row r="2" spans="1:17" x14ac:dyDescent="0.25">
      <c r="A2" s="11">
        <f>'Mastercurve bestimmen'!M119</f>
        <v>0</v>
      </c>
      <c r="B2" s="11">
        <f>'Mastercurve bestimmen'!N119</f>
        <v>-17.998000048659822</v>
      </c>
      <c r="M2" s="54">
        <v>2</v>
      </c>
      <c r="N2" s="56">
        <f t="shared" ref="N2:N9" si="0">INDEX($H$217:$P$217,1,Q2)</f>
        <v>-1.0899863123856419E-4</v>
      </c>
      <c r="O2" s="11"/>
      <c r="P2" s="55">
        <v>2</v>
      </c>
      <c r="Q2" s="11">
        <f>Q1+1</f>
        <v>3</v>
      </c>
    </row>
    <row r="3" spans="1:17" x14ac:dyDescent="0.25">
      <c r="A3" s="11">
        <f>'Mastercurve bestimmen'!M120</f>
        <v>25</v>
      </c>
      <c r="B3" s="11">
        <f>'Mastercurve bestimmen'!N120</f>
        <v>-15.418218765754489</v>
      </c>
      <c r="M3" s="54">
        <v>3</v>
      </c>
      <c r="N3" s="56">
        <f t="shared" si="0"/>
        <v>-1.2738401982057976E-5</v>
      </c>
      <c r="O3" s="11"/>
      <c r="P3" s="55">
        <v>3</v>
      </c>
      <c r="Q3" s="11">
        <f t="shared" ref="Q3:Q8" si="1">Q2+1</f>
        <v>4</v>
      </c>
    </row>
    <row r="4" spans="1:17" x14ac:dyDescent="0.25">
      <c r="A4" s="11">
        <f>'Mastercurve bestimmen'!M121</f>
        <v>50</v>
      </c>
      <c r="B4" s="11">
        <f>'Mastercurve bestimmen'!N121</f>
        <v>-13.262636946083704</v>
      </c>
      <c r="M4" s="54">
        <v>4</v>
      </c>
      <c r="N4" s="56">
        <f t="shared" si="0"/>
        <v>-4.6327007023861663E-7</v>
      </c>
      <c r="O4" s="11"/>
      <c r="P4" s="55">
        <v>4</v>
      </c>
      <c r="Q4" s="11">
        <f t="shared" si="1"/>
        <v>5</v>
      </c>
    </row>
    <row r="5" spans="1:17" x14ac:dyDescent="0.25">
      <c r="A5" s="11">
        <f>'Mastercurve bestimmen'!M122</f>
        <v>80</v>
      </c>
      <c r="B5" s="11">
        <f>'Mastercurve bestimmen'!N122</f>
        <v>-10.591758215841974</v>
      </c>
      <c r="M5" s="54">
        <v>5</v>
      </c>
      <c r="N5" s="56">
        <f t="shared" si="0"/>
        <v>-8.1859903442646794E-9</v>
      </c>
      <c r="O5" s="11"/>
      <c r="P5" s="55">
        <v>5</v>
      </c>
      <c r="Q5" s="11">
        <f t="shared" si="1"/>
        <v>6</v>
      </c>
    </row>
    <row r="6" spans="1:17" x14ac:dyDescent="0.25">
      <c r="A6" s="11">
        <f>'Mastercurve bestimmen'!M123</f>
        <v>125</v>
      </c>
      <c r="B6" s="11">
        <f>'Mastercurve bestimmen'!N123</f>
        <v>-4.9274082148613809</v>
      </c>
      <c r="M6" s="54">
        <v>6</v>
      </c>
      <c r="N6" s="56">
        <f t="shared" si="0"/>
        <v>-6.7605770943289849E-11</v>
      </c>
      <c r="O6" s="11"/>
      <c r="P6" s="55">
        <v>6</v>
      </c>
      <c r="Q6" s="11">
        <f t="shared" si="1"/>
        <v>7</v>
      </c>
    </row>
    <row r="7" spans="1:17" x14ac:dyDescent="0.25">
      <c r="A7" s="11">
        <f>'Mastercurve bestimmen'!M124</f>
        <v>160</v>
      </c>
      <c r="B7" s="11">
        <f>'Mastercurve bestimmen'!N124</f>
        <v>0</v>
      </c>
      <c r="M7" s="54">
        <v>7</v>
      </c>
      <c r="N7" s="56">
        <f t="shared" si="0"/>
        <v>-2.5907976925974234E-13</v>
      </c>
      <c r="O7" s="11"/>
      <c r="P7" s="55">
        <v>7</v>
      </c>
      <c r="Q7" s="11">
        <f t="shared" si="1"/>
        <v>8</v>
      </c>
    </row>
    <row r="8" spans="1:17" x14ac:dyDescent="0.25">
      <c r="A8" s="11"/>
      <c r="B8" s="11"/>
      <c r="M8" s="54">
        <v>8</v>
      </c>
      <c r="N8" s="56">
        <f t="shared" si="0"/>
        <v>-3.7439507748505535E-16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135</v>
      </c>
      <c r="H12">
        <v>8</v>
      </c>
      <c r="I12" t="s">
        <v>136</v>
      </c>
    </row>
    <row r="13" spans="1:17" x14ac:dyDescent="0.25">
      <c r="A13" s="11"/>
      <c r="B13" s="11"/>
    </row>
    <row r="14" spans="1:17" x14ac:dyDescent="0.25">
      <c r="A14" s="11" t="s">
        <v>132</v>
      </c>
      <c r="B14" s="11" t="s">
        <v>133</v>
      </c>
      <c r="E14" s="11" t="s">
        <v>132</v>
      </c>
      <c r="F14" s="11" t="s">
        <v>134</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-21.521805240547501</v>
      </c>
      <c r="E15" s="11">
        <f>A15-'Mastercurve bestimmen'!$B$2</f>
        <v>-200</v>
      </c>
      <c r="F15" s="11">
        <f>B15</f>
        <v>-21.521805240547501</v>
      </c>
      <c r="G15" s="11"/>
      <c r="H15" s="11">
        <f>IF($H$12&gt;=H$14,$E15^H$14,0)</f>
        <v>2.56E+18</v>
      </c>
      <c r="I15" s="11">
        <f t="shared" ref="I15:O30" si="3">IF($H$12&gt;=I$14,$E15^I$14,0)</f>
        <v>-1.28E+16</v>
      </c>
      <c r="J15" s="11">
        <f t="shared" si="3"/>
        <v>64000000000000</v>
      </c>
      <c r="K15" s="11">
        <f t="shared" si="3"/>
        <v>-320000000000</v>
      </c>
      <c r="L15" s="11">
        <f t="shared" si="3"/>
        <v>1600000000</v>
      </c>
      <c r="M15" s="11">
        <f t="shared" si="3"/>
        <v>-8000000</v>
      </c>
      <c r="N15" s="11">
        <f t="shared" si="3"/>
        <v>40000</v>
      </c>
      <c r="O15" s="11">
        <f t="shared" si="3"/>
        <v>-200</v>
      </c>
      <c r="P15" s="11">
        <v>0</v>
      </c>
    </row>
    <row r="16" spans="1:17" x14ac:dyDescent="0.25">
      <c r="A16" s="11">
        <f>A15+1</f>
        <v>-39</v>
      </c>
      <c r="B16" s="11">
        <v>-21.460492380066679</v>
      </c>
      <c r="E16" s="11">
        <f>A16-'Mastercurve bestimmen'!$B$2</f>
        <v>-199</v>
      </c>
      <c r="F16" s="11">
        <f t="shared" ref="F16:F79" si="4">B16</f>
        <v>-21.460492380066679</v>
      </c>
      <c r="G16" s="11"/>
      <c r="H16" s="11">
        <f t="shared" ref="H16:O47" si="5">IF($H$12&gt;=H$14,$E16^H$14,0)</f>
        <v>2.4593741915531182E+18</v>
      </c>
      <c r="I16" s="11">
        <f t="shared" si="3"/>
        <v>-1.23586642791614E+16</v>
      </c>
      <c r="J16" s="11">
        <f t="shared" si="3"/>
        <v>62103840598801</v>
      </c>
      <c r="K16" s="11">
        <f t="shared" si="3"/>
        <v>-312079600999</v>
      </c>
      <c r="L16" s="11">
        <f t="shared" si="3"/>
        <v>1568239201</v>
      </c>
      <c r="M16" s="11">
        <f t="shared" si="3"/>
        <v>-7880599</v>
      </c>
      <c r="N16" s="11">
        <f t="shared" si="3"/>
        <v>39601</v>
      </c>
      <c r="O16" s="11">
        <f t="shared" si="3"/>
        <v>-199</v>
      </c>
      <c r="P16" s="11">
        <f>P15</f>
        <v>0</v>
      </c>
    </row>
    <row r="17" spans="1:16" x14ac:dyDescent="0.25">
      <c r="A17" s="11">
        <f t="shared" ref="A17:A80" si="6">A16+1</f>
        <v>-38</v>
      </c>
      <c r="B17" s="11">
        <v>-21.399079023265717</v>
      </c>
      <c r="E17" s="11">
        <f>A17-'Mastercurve bestimmen'!$B$2</f>
        <v>-198</v>
      </c>
      <c r="F17" s="11">
        <f t="shared" si="4"/>
        <v>-21.399079023265717</v>
      </c>
      <c r="G17" s="11"/>
      <c r="H17" s="11">
        <f t="shared" si="5"/>
        <v>2.3622264177354752E+18</v>
      </c>
      <c r="I17" s="11">
        <f t="shared" si="3"/>
        <v>-1.1930436453209472E+16</v>
      </c>
      <c r="J17" s="11">
        <f t="shared" si="3"/>
        <v>60254729561664</v>
      </c>
      <c r="K17" s="11">
        <f t="shared" si="3"/>
        <v>-304316815968</v>
      </c>
      <c r="L17" s="11">
        <f t="shared" si="3"/>
        <v>1536953616</v>
      </c>
      <c r="M17" s="11">
        <f t="shared" si="3"/>
        <v>-7762392</v>
      </c>
      <c r="N17" s="11">
        <f t="shared" si="3"/>
        <v>39204</v>
      </c>
      <c r="O17" s="11">
        <f t="shared" si="3"/>
        <v>-198</v>
      </c>
      <c r="P17" s="11">
        <f t="shared" ref="P17:P80" si="7">P16</f>
        <v>0</v>
      </c>
    </row>
    <row r="18" spans="1:16" x14ac:dyDescent="0.25">
      <c r="A18" s="11">
        <f t="shared" si="6"/>
        <v>-37</v>
      </c>
      <c r="B18" s="11">
        <v>-21.337464673824485</v>
      </c>
      <c r="E18" s="11">
        <f>A18-'Mastercurve bestimmen'!$B$2</f>
        <v>-197</v>
      </c>
      <c r="F18" s="11">
        <f t="shared" si="4"/>
        <v>-21.337464673824485</v>
      </c>
      <c r="G18" s="11"/>
      <c r="H18" s="11">
        <f t="shared" si="5"/>
        <v>2.2684531239489874E+18</v>
      </c>
      <c r="I18" s="11">
        <f t="shared" si="3"/>
        <v>-1.1514990476898412E+16</v>
      </c>
      <c r="J18" s="11">
        <f t="shared" si="3"/>
        <v>58451728309129</v>
      </c>
      <c r="K18" s="11">
        <f t="shared" si="3"/>
        <v>-296709280757</v>
      </c>
      <c r="L18" s="11">
        <f t="shared" si="3"/>
        <v>1506138481</v>
      </c>
      <c r="M18" s="11">
        <f t="shared" si="3"/>
        <v>-7645373</v>
      </c>
      <c r="N18" s="11">
        <f t="shared" si="3"/>
        <v>38809</v>
      </c>
      <c r="O18" s="11">
        <f t="shared" si="3"/>
        <v>-197</v>
      </c>
      <c r="P18" s="11">
        <f t="shared" si="7"/>
        <v>0</v>
      </c>
    </row>
    <row r="19" spans="1:16" x14ac:dyDescent="0.25">
      <c r="A19" s="11">
        <f t="shared" si="6"/>
        <v>-36</v>
      </c>
      <c r="B19" s="11">
        <v>-21.275548835422843</v>
      </c>
      <c r="E19" s="11">
        <f>A19-'Mastercurve bestimmen'!$B$2</f>
        <v>-196</v>
      </c>
      <c r="F19" s="11">
        <f t="shared" si="4"/>
        <v>-21.275548835422843</v>
      </c>
      <c r="G19" s="11"/>
      <c r="H19" s="11">
        <f t="shared" si="5"/>
        <v>2.1779533378093711E+18</v>
      </c>
      <c r="I19" s="11">
        <f t="shared" si="3"/>
        <v>-1.1112006825558016E+16</v>
      </c>
      <c r="J19" s="11">
        <f t="shared" si="3"/>
        <v>56693912375296</v>
      </c>
      <c r="K19" s="11">
        <f t="shared" si="3"/>
        <v>-289254654976</v>
      </c>
      <c r="L19" s="11">
        <f t="shared" si="3"/>
        <v>1475789056</v>
      </c>
      <c r="M19" s="11">
        <f t="shared" si="3"/>
        <v>-7529536</v>
      </c>
      <c r="N19" s="11">
        <f t="shared" si="3"/>
        <v>38416</v>
      </c>
      <c r="O19" s="11">
        <f t="shared" si="3"/>
        <v>-196</v>
      </c>
      <c r="P19" s="11">
        <f t="shared" si="7"/>
        <v>0</v>
      </c>
    </row>
    <row r="20" spans="1:16" x14ac:dyDescent="0.25">
      <c r="A20" s="11">
        <f t="shared" si="6"/>
        <v>-35</v>
      </c>
      <c r="B20" s="11">
        <v>-21.213231011740657</v>
      </c>
      <c r="E20" s="11">
        <f>A20-'Mastercurve bestimmen'!$B$2</f>
        <v>-195</v>
      </c>
      <c r="F20" s="11">
        <f t="shared" si="4"/>
        <v>-21.213231011740657</v>
      </c>
      <c r="G20" s="11"/>
      <c r="H20" s="11">
        <f t="shared" si="5"/>
        <v>2.0906286173753907E+18</v>
      </c>
      <c r="I20" s="11">
        <f t="shared" si="3"/>
        <v>-1.0721172396796876E+16</v>
      </c>
      <c r="J20" s="11">
        <f t="shared" si="3"/>
        <v>54980371265625</v>
      </c>
      <c r="K20" s="11">
        <f t="shared" si="3"/>
        <v>-281950621875</v>
      </c>
      <c r="L20" s="11">
        <f t="shared" si="3"/>
        <v>1445900625</v>
      </c>
      <c r="M20" s="11">
        <f t="shared" si="3"/>
        <v>-7414875</v>
      </c>
      <c r="N20" s="11">
        <f t="shared" si="3"/>
        <v>38025</v>
      </c>
      <c r="O20" s="11">
        <f t="shared" si="3"/>
        <v>-195</v>
      </c>
      <c r="P20" s="11">
        <f t="shared" si="7"/>
        <v>0</v>
      </c>
    </row>
    <row r="21" spans="1:16" x14ac:dyDescent="0.25">
      <c r="A21" s="11">
        <f t="shared" si="6"/>
        <v>-34</v>
      </c>
      <c r="B21" s="11">
        <v>-21.150410706457784</v>
      </c>
      <c r="E21" s="11">
        <f>A21-'Mastercurve bestimmen'!$B$2</f>
        <v>-194</v>
      </c>
      <c r="F21" s="11">
        <f t="shared" si="4"/>
        <v>-21.150410706457784</v>
      </c>
      <c r="G21" s="11"/>
      <c r="H21" s="11">
        <f t="shared" si="5"/>
        <v>2.006383000160502E+18</v>
      </c>
      <c r="I21" s="11">
        <f t="shared" si="3"/>
        <v>-1.0342180413198464E+16</v>
      </c>
      <c r="J21" s="11">
        <f t="shared" si="3"/>
        <v>53310208315456</v>
      </c>
      <c r="K21" s="11">
        <f t="shared" si="3"/>
        <v>-274794888224</v>
      </c>
      <c r="L21" s="11">
        <f t="shared" si="3"/>
        <v>1416468496</v>
      </c>
      <c r="M21" s="11">
        <f t="shared" si="3"/>
        <v>-7301384</v>
      </c>
      <c r="N21" s="11">
        <f t="shared" si="3"/>
        <v>37636</v>
      </c>
      <c r="O21" s="11">
        <f t="shared" si="3"/>
        <v>-194</v>
      </c>
      <c r="P21" s="11">
        <f t="shared" si="7"/>
        <v>0</v>
      </c>
    </row>
    <row r="22" spans="1:16" x14ac:dyDescent="0.25">
      <c r="A22" s="11">
        <f t="shared" si="6"/>
        <v>-33</v>
      </c>
      <c r="B22">
        <v>-21.086987423254094</v>
      </c>
      <c r="E22" s="11">
        <f>A22-'Mastercurve bestimmen'!$B$2</f>
        <v>-193</v>
      </c>
      <c r="F22" s="11">
        <f t="shared" si="4"/>
        <v>-21.086987423254094</v>
      </c>
      <c r="G22" s="11"/>
      <c r="H22" s="11">
        <f t="shared" si="5"/>
        <v>1.925122952918976E+18</v>
      </c>
      <c r="I22" s="11">
        <f t="shared" si="3"/>
        <v>-9974730326005056</v>
      </c>
      <c r="J22" s="11">
        <f t="shared" si="3"/>
        <v>51682540549249</v>
      </c>
      <c r="K22" s="11">
        <f t="shared" si="3"/>
        <v>-267785184193</v>
      </c>
      <c r="L22" s="11">
        <f t="shared" si="3"/>
        <v>1387488001</v>
      </c>
      <c r="M22" s="11">
        <f t="shared" si="3"/>
        <v>-7189057</v>
      </c>
      <c r="N22" s="11">
        <f t="shared" si="3"/>
        <v>37249</v>
      </c>
      <c r="O22" s="11">
        <f t="shared" si="3"/>
        <v>-193</v>
      </c>
      <c r="P22" s="11">
        <f t="shared" si="7"/>
        <v>0</v>
      </c>
    </row>
    <row r="23" spans="1:16" x14ac:dyDescent="0.25">
      <c r="A23" s="11">
        <f t="shared" si="6"/>
        <v>-32</v>
      </c>
      <c r="B23">
        <v>-21.02286066580945</v>
      </c>
      <c r="E23" s="11">
        <f>A23-'Mastercurve bestimmen'!$B$2</f>
        <v>-192</v>
      </c>
      <c r="F23" s="11">
        <f t="shared" si="4"/>
        <v>-21.02286066580945</v>
      </c>
      <c r="G23" s="11"/>
      <c r="H23" s="11">
        <f t="shared" si="5"/>
        <v>1.846757322198614E+18</v>
      </c>
      <c r="I23" s="11">
        <f t="shared" si="3"/>
        <v>-9618527719784448</v>
      </c>
      <c r="J23" s="11">
        <f t="shared" si="3"/>
        <v>50096498540544</v>
      </c>
      <c r="K23" s="11">
        <f t="shared" si="3"/>
        <v>-260919263232</v>
      </c>
      <c r="L23" s="11">
        <f t="shared" si="3"/>
        <v>1358954496</v>
      </c>
      <c r="M23" s="11">
        <f t="shared" si="3"/>
        <v>-7077888</v>
      </c>
      <c r="N23" s="11">
        <f t="shared" si="3"/>
        <v>36864</v>
      </c>
      <c r="O23" s="11">
        <f t="shared" si="3"/>
        <v>-192</v>
      </c>
      <c r="P23" s="11">
        <f t="shared" si="7"/>
        <v>0</v>
      </c>
    </row>
    <row r="24" spans="1:16" x14ac:dyDescent="0.25">
      <c r="A24" s="11">
        <f t="shared" si="6"/>
        <v>-31</v>
      </c>
      <c r="B24">
        <v>-20.957929937803712</v>
      </c>
      <c r="E24" s="11">
        <f>A24-'Mastercurve bestimmen'!$B$2</f>
        <v>-191</v>
      </c>
      <c r="F24" s="11">
        <f t="shared" si="4"/>
        <v>-20.957929937803712</v>
      </c>
      <c r="G24" s="11"/>
      <c r="H24" s="11">
        <f t="shared" si="5"/>
        <v>1.7711972856522163E+18</v>
      </c>
      <c r="I24" s="11">
        <f t="shared" si="3"/>
        <v>-9273284218074432</v>
      </c>
      <c r="J24" s="11">
        <f t="shared" si="3"/>
        <v>48551226272641</v>
      </c>
      <c r="K24" s="11">
        <f t="shared" si="3"/>
        <v>-254194901951</v>
      </c>
      <c r="L24" s="11">
        <f t="shared" si="3"/>
        <v>1330863361</v>
      </c>
      <c r="M24" s="11">
        <f t="shared" si="3"/>
        <v>-6967871</v>
      </c>
      <c r="N24" s="11">
        <f t="shared" si="3"/>
        <v>36481</v>
      </c>
      <c r="O24" s="11">
        <f t="shared" si="3"/>
        <v>-191</v>
      </c>
      <c r="P24" s="11">
        <f t="shared" si="7"/>
        <v>0</v>
      </c>
    </row>
    <row r="25" spans="1:16" x14ac:dyDescent="0.25">
      <c r="A25" s="11">
        <f t="shared" si="6"/>
        <v>-30</v>
      </c>
      <c r="B25">
        <v>-20.892094742916747</v>
      </c>
      <c r="E25" s="11">
        <f>A25-'Mastercurve bestimmen'!$B$2</f>
        <v>-190</v>
      </c>
      <c r="F25" s="11">
        <f t="shared" si="4"/>
        <v>-20.892094742916747</v>
      </c>
      <c r="G25" s="11"/>
      <c r="H25" s="11">
        <f t="shared" si="5"/>
        <v>1.6983563041E+18</v>
      </c>
      <c r="I25" s="11">
        <f t="shared" si="3"/>
        <v>-8938717390000000</v>
      </c>
      <c r="J25" s="11">
        <f t="shared" si="3"/>
        <v>47045881000000</v>
      </c>
      <c r="K25" s="11">
        <f t="shared" si="3"/>
        <v>-247609900000</v>
      </c>
      <c r="L25" s="11">
        <f t="shared" si="3"/>
        <v>1303210000</v>
      </c>
      <c r="M25" s="11">
        <f t="shared" si="3"/>
        <v>-6859000</v>
      </c>
      <c r="N25" s="11">
        <f t="shared" si="3"/>
        <v>36100</v>
      </c>
      <c r="O25" s="11">
        <f t="shared" si="3"/>
        <v>-190</v>
      </c>
      <c r="P25" s="11">
        <f t="shared" si="7"/>
        <v>0</v>
      </c>
    </row>
    <row r="26" spans="1:16" x14ac:dyDescent="0.25">
      <c r="A26" s="11">
        <f t="shared" si="6"/>
        <v>-29</v>
      </c>
      <c r="B26">
        <v>-20.825254584828421</v>
      </c>
      <c r="E26" s="11">
        <f>A26-'Mastercurve bestimmen'!$B$2</f>
        <v>-189</v>
      </c>
      <c r="F26" s="11">
        <f t="shared" si="4"/>
        <v>-20.825254584828421</v>
      </c>
      <c r="G26" s="11"/>
      <c r="H26" s="11">
        <f t="shared" si="5"/>
        <v>1.6281500743352054E+18</v>
      </c>
      <c r="I26" s="11">
        <f t="shared" si="3"/>
        <v>-8614550657858229</v>
      </c>
      <c r="J26" s="11">
        <f t="shared" si="3"/>
        <v>45579633110361</v>
      </c>
      <c r="K26" s="11">
        <f t="shared" si="3"/>
        <v>-241162079949</v>
      </c>
      <c r="L26" s="11">
        <f t="shared" si="3"/>
        <v>1275989841</v>
      </c>
      <c r="M26" s="11">
        <f t="shared" si="3"/>
        <v>-6751269</v>
      </c>
      <c r="N26" s="11">
        <f t="shared" si="3"/>
        <v>35721</v>
      </c>
      <c r="O26" s="11">
        <f t="shared" si="3"/>
        <v>-189</v>
      </c>
      <c r="P26" s="11">
        <f t="shared" si="7"/>
        <v>0</v>
      </c>
    </row>
    <row r="27" spans="1:16" x14ac:dyDescent="0.25">
      <c r="A27" s="11">
        <f t="shared" si="6"/>
        <v>-28</v>
      </c>
      <c r="B27">
        <v>-20.757308967218592</v>
      </c>
      <c r="E27" s="11">
        <f>A27-'Mastercurve bestimmen'!$B$2</f>
        <v>-188</v>
      </c>
      <c r="F27" s="11">
        <f t="shared" si="4"/>
        <v>-20.757308967218592</v>
      </c>
      <c r="G27" s="11"/>
      <c r="H27" s="11">
        <f t="shared" si="5"/>
        <v>1.5604964826651689E+18</v>
      </c>
      <c r="I27" s="11">
        <f t="shared" si="3"/>
        <v>-8300513205665792</v>
      </c>
      <c r="J27" s="11">
        <f t="shared" si="3"/>
        <v>44151665987584</v>
      </c>
      <c r="K27" s="11">
        <f t="shared" si="3"/>
        <v>-234849287168</v>
      </c>
      <c r="L27" s="11">
        <f t="shared" si="3"/>
        <v>1249198336</v>
      </c>
      <c r="M27" s="11">
        <f t="shared" si="3"/>
        <v>-6644672</v>
      </c>
      <c r="N27" s="11">
        <f t="shared" si="3"/>
        <v>35344</v>
      </c>
      <c r="O27" s="11">
        <f t="shared" si="3"/>
        <v>-188</v>
      </c>
      <c r="P27" s="11">
        <f t="shared" si="7"/>
        <v>0</v>
      </c>
    </row>
    <row r="28" spans="1:16" x14ac:dyDescent="0.25">
      <c r="A28" s="11">
        <f t="shared" si="6"/>
        <v>-27</v>
      </c>
      <c r="B28">
        <v>-20.688157393767121</v>
      </c>
      <c r="E28" s="11">
        <f>A28-'Mastercurve bestimmen'!$B$2</f>
        <v>-187</v>
      </c>
      <c r="F28" s="11">
        <f t="shared" si="4"/>
        <v>-20.688157393767121</v>
      </c>
      <c r="G28" s="11"/>
      <c r="H28" s="11">
        <f t="shared" si="5"/>
        <v>1.4953155591801836E+18</v>
      </c>
      <c r="I28" s="11">
        <f t="shared" si="3"/>
        <v>-7996339888664083</v>
      </c>
      <c r="J28" s="11">
        <f t="shared" si="3"/>
        <v>42761175875209</v>
      </c>
      <c r="K28" s="11">
        <f t="shared" si="3"/>
        <v>-228669389707</v>
      </c>
      <c r="L28" s="11">
        <f t="shared" si="3"/>
        <v>1222830961</v>
      </c>
      <c r="M28" s="11">
        <f t="shared" si="3"/>
        <v>-6539203</v>
      </c>
      <c r="N28" s="11">
        <f t="shared" si="3"/>
        <v>34969</v>
      </c>
      <c r="O28" s="11">
        <f t="shared" si="3"/>
        <v>-187</v>
      </c>
      <c r="P28" s="11">
        <f t="shared" si="7"/>
        <v>0</v>
      </c>
    </row>
    <row r="29" spans="1:16" x14ac:dyDescent="0.25">
      <c r="A29" s="11">
        <f t="shared" si="6"/>
        <v>-26</v>
      </c>
      <c r="B29">
        <v>-20.617699368153879</v>
      </c>
      <c r="E29" s="11">
        <f>A29-'Mastercurve bestimmen'!$B$2</f>
        <v>-186</v>
      </c>
      <c r="F29" s="11">
        <f t="shared" si="4"/>
        <v>-20.617699368153879</v>
      </c>
      <c r="G29" s="11"/>
      <c r="H29" s="11">
        <f t="shared" si="5"/>
        <v>1.4325294327425027E+18</v>
      </c>
      <c r="I29" s="11">
        <f t="shared" si="3"/>
        <v>-7701771143776896</v>
      </c>
      <c r="J29" s="11">
        <f t="shared" si="3"/>
        <v>41407371740736</v>
      </c>
      <c r="K29" s="11">
        <f t="shared" si="3"/>
        <v>-222620278176</v>
      </c>
      <c r="L29" s="11">
        <f t="shared" si="3"/>
        <v>1196883216</v>
      </c>
      <c r="M29" s="11">
        <f t="shared" si="3"/>
        <v>-6434856</v>
      </c>
      <c r="N29" s="11">
        <f t="shared" si="3"/>
        <v>34596</v>
      </c>
      <c r="O29" s="11">
        <f t="shared" si="3"/>
        <v>-186</v>
      </c>
      <c r="P29" s="11">
        <f t="shared" si="7"/>
        <v>0</v>
      </c>
    </row>
    <row r="30" spans="1:16" x14ac:dyDescent="0.25">
      <c r="A30" s="11">
        <f t="shared" si="6"/>
        <v>-25</v>
      </c>
      <c r="B30">
        <v>-20.545834394058726</v>
      </c>
      <c r="E30" s="11">
        <f>A30-'Mastercurve bestimmen'!$B$2</f>
        <v>-185</v>
      </c>
      <c r="F30" s="11">
        <f t="shared" si="4"/>
        <v>-20.545834394058726</v>
      </c>
      <c r="G30" s="11"/>
      <c r="H30" s="11">
        <f t="shared" si="5"/>
        <v>1.3720622866878907E+18</v>
      </c>
      <c r="I30" s="11">
        <f t="shared" si="3"/>
        <v>-7416552901015625</v>
      </c>
      <c r="J30" s="11">
        <f t="shared" si="3"/>
        <v>40089475140625</v>
      </c>
      <c r="K30" s="11">
        <f t="shared" si="3"/>
        <v>-216699865625</v>
      </c>
      <c r="L30" s="11">
        <f t="shared" si="3"/>
        <v>1171350625</v>
      </c>
      <c r="M30" s="11">
        <f t="shared" si="3"/>
        <v>-6331625</v>
      </c>
      <c r="N30" s="11">
        <f t="shared" si="3"/>
        <v>34225</v>
      </c>
      <c r="O30" s="11">
        <f t="shared" si="3"/>
        <v>-185</v>
      </c>
      <c r="P30" s="11">
        <f t="shared" si="7"/>
        <v>0</v>
      </c>
    </row>
    <row r="31" spans="1:16" x14ac:dyDescent="0.25">
      <c r="A31" s="11">
        <f t="shared" si="6"/>
        <v>-24</v>
      </c>
      <c r="B31">
        <v>-20.472461975161526</v>
      </c>
      <c r="E31" s="11">
        <f>A31-'Mastercurve bestimmen'!$B$2</f>
        <v>-184</v>
      </c>
      <c r="F31" s="11">
        <f t="shared" si="4"/>
        <v>-20.472461975161526</v>
      </c>
      <c r="G31" s="11"/>
      <c r="H31" s="11">
        <f t="shared" si="5"/>
        <v>1.3138403152321577E+18</v>
      </c>
      <c r="I31" s="11">
        <f t="shared" si="5"/>
        <v>-7140436495826944</v>
      </c>
      <c r="J31" s="11">
        <f t="shared" si="5"/>
        <v>38806720086016</v>
      </c>
      <c r="K31" s="11">
        <f t="shared" si="5"/>
        <v>-210906087424</v>
      </c>
      <c r="L31" s="11">
        <f t="shared" si="5"/>
        <v>1146228736</v>
      </c>
      <c r="M31" s="11">
        <f t="shared" si="5"/>
        <v>-6229504</v>
      </c>
      <c r="N31" s="11">
        <f t="shared" si="5"/>
        <v>33856</v>
      </c>
      <c r="O31" s="11">
        <f t="shared" si="5"/>
        <v>-184</v>
      </c>
      <c r="P31" s="11">
        <f t="shared" si="7"/>
        <v>0</v>
      </c>
    </row>
    <row r="32" spans="1:16" x14ac:dyDescent="0.25">
      <c r="A32" s="11">
        <f t="shared" si="6"/>
        <v>-23</v>
      </c>
      <c r="B32">
        <v>-20.397481615142144</v>
      </c>
      <c r="E32" s="11">
        <f>A32-'Mastercurve bestimmen'!$B$2</f>
        <v>-183</v>
      </c>
      <c r="F32" s="11">
        <f t="shared" si="4"/>
        <v>-20.397481615142144</v>
      </c>
      <c r="G32" s="11"/>
      <c r="H32" s="11">
        <f t="shared" si="5"/>
        <v>1.2577916805751606E+18</v>
      </c>
      <c r="I32" s="11">
        <f t="shared" si="5"/>
        <v>-6873178582377927</v>
      </c>
      <c r="J32" s="11">
        <f t="shared" si="5"/>
        <v>37558352909169</v>
      </c>
      <c r="K32" s="11">
        <f t="shared" si="5"/>
        <v>-205236901143</v>
      </c>
      <c r="L32" s="11">
        <f t="shared" si="5"/>
        <v>1121513121</v>
      </c>
      <c r="M32" s="11">
        <f t="shared" si="5"/>
        <v>-6128487</v>
      </c>
      <c r="N32" s="11">
        <f t="shared" si="5"/>
        <v>33489</v>
      </c>
      <c r="O32" s="11">
        <f t="shared" si="5"/>
        <v>-183</v>
      </c>
      <c r="P32" s="11">
        <f t="shared" si="7"/>
        <v>0</v>
      </c>
    </row>
    <row r="33" spans="1:16" x14ac:dyDescent="0.25">
      <c r="A33" s="11">
        <f t="shared" si="6"/>
        <v>-22</v>
      </c>
      <c r="B33">
        <v>-20.320792817680442</v>
      </c>
      <c r="E33" s="11">
        <f>A33-'Mastercurve bestimmen'!$B$2</f>
        <v>-182</v>
      </c>
      <c r="F33" s="11">
        <f t="shared" si="4"/>
        <v>-20.320792817680442</v>
      </c>
      <c r="G33" s="11"/>
      <c r="H33" s="11">
        <f t="shared" si="5"/>
        <v>1.2038464706947894E+18</v>
      </c>
      <c r="I33" s="11">
        <f t="shared" si="5"/>
        <v>-6614541047773568</v>
      </c>
      <c r="J33" s="11">
        <f t="shared" si="5"/>
        <v>36343632130624</v>
      </c>
      <c r="K33" s="11">
        <f t="shared" si="5"/>
        <v>-199690286432</v>
      </c>
      <c r="L33" s="11">
        <f t="shared" si="5"/>
        <v>1097199376</v>
      </c>
      <c r="M33" s="11">
        <f t="shared" si="5"/>
        <v>-6028568</v>
      </c>
      <c r="N33" s="11">
        <f t="shared" si="5"/>
        <v>33124</v>
      </c>
      <c r="O33" s="11">
        <f t="shared" si="5"/>
        <v>-182</v>
      </c>
      <c r="P33" s="11">
        <f t="shared" si="7"/>
        <v>0</v>
      </c>
    </row>
    <row r="34" spans="1:16" x14ac:dyDescent="0.25">
      <c r="A34" s="11">
        <f t="shared" si="6"/>
        <v>-21</v>
      </c>
      <c r="B34">
        <v>-20.242295086456281</v>
      </c>
      <c r="E34" s="11">
        <f>A34-'Mastercurve bestimmen'!$B$2</f>
        <v>-181</v>
      </c>
      <c r="F34" s="11">
        <f t="shared" si="4"/>
        <v>-20.242295086456281</v>
      </c>
      <c r="G34" s="11"/>
      <c r="H34" s="11">
        <f t="shared" si="5"/>
        <v>1.1519366578235007E+18</v>
      </c>
      <c r="I34" s="11">
        <f t="shared" si="5"/>
        <v>-6364290927201661</v>
      </c>
      <c r="J34" s="11">
        <f t="shared" si="5"/>
        <v>35161828327081</v>
      </c>
      <c r="K34" s="11">
        <f t="shared" si="5"/>
        <v>-194264244901</v>
      </c>
      <c r="L34" s="11">
        <f t="shared" si="5"/>
        <v>1073283121</v>
      </c>
      <c r="M34" s="11">
        <f t="shared" si="5"/>
        <v>-5929741</v>
      </c>
      <c r="N34" s="11">
        <f t="shared" si="5"/>
        <v>32761</v>
      </c>
      <c r="O34" s="11">
        <f t="shared" si="5"/>
        <v>-181</v>
      </c>
      <c r="P34" s="11">
        <f t="shared" si="7"/>
        <v>0</v>
      </c>
    </row>
    <row r="35" spans="1:16" x14ac:dyDescent="0.25">
      <c r="A35" s="11">
        <f t="shared" si="6"/>
        <v>-20</v>
      </c>
      <c r="B35">
        <v>-20.161887925149529</v>
      </c>
      <c r="E35" s="11">
        <f>A35-'Mastercurve bestimmen'!$B$2</f>
        <v>-180</v>
      </c>
      <c r="F35" s="11">
        <f t="shared" si="4"/>
        <v>-20.161887925149529</v>
      </c>
      <c r="G35" s="11"/>
      <c r="H35" s="11">
        <f t="shared" si="5"/>
        <v>1.1019960576E+18</v>
      </c>
      <c r="I35" s="11">
        <f t="shared" si="5"/>
        <v>-6122200320000000</v>
      </c>
      <c r="J35" s="11">
        <f t="shared" si="5"/>
        <v>34012224000000</v>
      </c>
      <c r="K35" s="11">
        <f t="shared" si="5"/>
        <v>-188956800000</v>
      </c>
      <c r="L35" s="11">
        <f t="shared" si="5"/>
        <v>1049760000</v>
      </c>
      <c r="M35" s="11">
        <f t="shared" si="5"/>
        <v>-5832000</v>
      </c>
      <c r="N35" s="11">
        <f t="shared" si="5"/>
        <v>32400</v>
      </c>
      <c r="O35" s="11">
        <f t="shared" si="5"/>
        <v>-180</v>
      </c>
      <c r="P35" s="11">
        <f t="shared" si="7"/>
        <v>0</v>
      </c>
    </row>
    <row r="36" spans="1:16" x14ac:dyDescent="0.25">
      <c r="A36" s="11">
        <f t="shared" si="6"/>
        <v>-19</v>
      </c>
      <c r="B36">
        <v>-20.079470837440045</v>
      </c>
      <c r="E36" s="11">
        <f>A36-'Mastercurve bestimmen'!$B$2</f>
        <v>-179</v>
      </c>
      <c r="F36" s="11">
        <f t="shared" si="4"/>
        <v>-20.079470837440045</v>
      </c>
      <c r="G36" s="11"/>
      <c r="H36" s="11">
        <f t="shared" si="5"/>
        <v>1.0539602888887137E+18</v>
      </c>
      <c r="I36" s="11">
        <f t="shared" si="5"/>
        <v>-5888046306640859</v>
      </c>
      <c r="J36" s="11">
        <f t="shared" si="5"/>
        <v>32894113444921</v>
      </c>
      <c r="K36" s="11">
        <f t="shared" si="5"/>
        <v>-183765996899</v>
      </c>
      <c r="L36" s="11">
        <f t="shared" si="5"/>
        <v>1026625681</v>
      </c>
      <c r="M36" s="11">
        <f t="shared" si="5"/>
        <v>-5735339</v>
      </c>
      <c r="N36" s="11">
        <f t="shared" si="5"/>
        <v>32041</v>
      </c>
      <c r="O36" s="11">
        <f t="shared" si="5"/>
        <v>-179</v>
      </c>
      <c r="P36" s="11">
        <f t="shared" si="7"/>
        <v>0</v>
      </c>
    </row>
    <row r="37" spans="1:16" x14ac:dyDescent="0.25">
      <c r="A37" s="11">
        <f t="shared" si="6"/>
        <v>-18</v>
      </c>
      <c r="B37">
        <v>-19.994943327007697</v>
      </c>
      <c r="E37" s="11">
        <f>A37-'Mastercurve bestimmen'!$B$2</f>
        <v>-178</v>
      </c>
      <c r="F37" s="11">
        <f t="shared" si="4"/>
        <v>-19.994943327007697</v>
      </c>
      <c r="G37" s="11"/>
      <c r="H37" s="11">
        <f t="shared" si="5"/>
        <v>1.0077667342597327E+18</v>
      </c>
      <c r="I37" s="11">
        <f t="shared" si="5"/>
        <v>-5661610866627712</v>
      </c>
      <c r="J37" s="11">
        <f t="shared" si="5"/>
        <v>31806802621504</v>
      </c>
      <c r="K37" s="11">
        <f t="shared" si="5"/>
        <v>-178689902368</v>
      </c>
      <c r="L37" s="11">
        <f t="shared" si="5"/>
        <v>1003875856</v>
      </c>
      <c r="M37" s="11">
        <f t="shared" si="5"/>
        <v>-5639752</v>
      </c>
      <c r="N37" s="11">
        <f t="shared" si="5"/>
        <v>31684</v>
      </c>
      <c r="O37" s="11">
        <f t="shared" si="5"/>
        <v>-178</v>
      </c>
      <c r="P37" s="11">
        <f t="shared" si="7"/>
        <v>0</v>
      </c>
    </row>
    <row r="38" spans="1:16" x14ac:dyDescent="0.25">
      <c r="A38" s="11">
        <f t="shared" si="6"/>
        <v>-17</v>
      </c>
      <c r="B38">
        <v>-19.90820489753235</v>
      </c>
      <c r="E38" s="11">
        <f>A38-'Mastercurve bestimmen'!$B$2</f>
        <v>-177</v>
      </c>
      <c r="F38" s="11">
        <f t="shared" si="4"/>
        <v>-19.90820489753235</v>
      </c>
      <c r="G38" s="11"/>
      <c r="H38" s="11">
        <f t="shared" si="5"/>
        <v>9.6335450112195008E+17</v>
      </c>
      <c r="I38" s="11">
        <f t="shared" si="5"/>
        <v>-5442680797299153</v>
      </c>
      <c r="J38" s="11">
        <f t="shared" si="5"/>
        <v>30749609024289</v>
      </c>
      <c r="K38" s="11">
        <f t="shared" si="5"/>
        <v>-173726604657</v>
      </c>
      <c r="L38" s="11">
        <f t="shared" si="5"/>
        <v>981506241</v>
      </c>
      <c r="M38" s="11">
        <f t="shared" si="5"/>
        <v>-5545233</v>
      </c>
      <c r="N38" s="11">
        <f t="shared" si="5"/>
        <v>31329</v>
      </c>
      <c r="O38" s="11">
        <f t="shared" si="5"/>
        <v>-177</v>
      </c>
      <c r="P38" s="11">
        <f t="shared" si="7"/>
        <v>0</v>
      </c>
    </row>
    <row r="39" spans="1:16" x14ac:dyDescent="0.25">
      <c r="A39" s="11">
        <f t="shared" si="6"/>
        <v>-16</v>
      </c>
      <c r="B39">
        <v>-19.819155052693858</v>
      </c>
      <c r="E39" s="11">
        <f>A39-'Mastercurve bestimmen'!$B$2</f>
        <v>-176</v>
      </c>
      <c r="F39" s="11">
        <f t="shared" si="4"/>
        <v>-19.819155052693858</v>
      </c>
      <c r="G39" s="11"/>
      <c r="H39" s="11">
        <f t="shared" si="5"/>
        <v>9.2066438350215578E+17</v>
      </c>
      <c r="I39" s="11">
        <f t="shared" si="5"/>
        <v>-5231047633534976</v>
      </c>
      <c r="J39" s="11">
        <f t="shared" si="5"/>
        <v>29721861554176</v>
      </c>
      <c r="K39" s="11">
        <f t="shared" si="5"/>
        <v>-168874213376</v>
      </c>
      <c r="L39" s="11">
        <f t="shared" si="5"/>
        <v>959512576</v>
      </c>
      <c r="M39" s="11">
        <f t="shared" si="5"/>
        <v>-5451776</v>
      </c>
      <c r="N39" s="11">
        <f t="shared" si="5"/>
        <v>30976</v>
      </c>
      <c r="O39" s="11">
        <f t="shared" si="5"/>
        <v>-176</v>
      </c>
      <c r="P39" s="11">
        <f t="shared" si="7"/>
        <v>0</v>
      </c>
    </row>
    <row r="40" spans="1:16" x14ac:dyDescent="0.25">
      <c r="A40" s="11">
        <f t="shared" si="6"/>
        <v>-15</v>
      </c>
      <c r="B40">
        <v>-19.727693296172099</v>
      </c>
      <c r="E40" s="11">
        <f>A40-'Mastercurve bestimmen'!$B$2</f>
        <v>-175</v>
      </c>
      <c r="F40" s="11">
        <f t="shared" si="4"/>
        <v>-19.727693296172099</v>
      </c>
      <c r="G40" s="11"/>
      <c r="H40" s="11">
        <f t="shared" si="5"/>
        <v>8.7963882446289062E+17</v>
      </c>
      <c r="I40" s="11">
        <f t="shared" si="5"/>
        <v>-5026507568359375</v>
      </c>
      <c r="J40" s="11">
        <f t="shared" si="5"/>
        <v>28722900390625</v>
      </c>
      <c r="K40" s="11">
        <f t="shared" si="5"/>
        <v>-164130859375</v>
      </c>
      <c r="L40" s="11">
        <f t="shared" si="5"/>
        <v>937890625</v>
      </c>
      <c r="M40" s="11">
        <f t="shared" si="5"/>
        <v>-5359375</v>
      </c>
      <c r="N40" s="11">
        <f t="shared" si="5"/>
        <v>30625</v>
      </c>
      <c r="O40" s="11">
        <f t="shared" si="5"/>
        <v>-175</v>
      </c>
      <c r="P40" s="11">
        <f t="shared" si="7"/>
        <v>0</v>
      </c>
    </row>
    <row r="41" spans="1:16" x14ac:dyDescent="0.25">
      <c r="A41" s="11">
        <f t="shared" si="6"/>
        <v>-14</v>
      </c>
      <c r="B41">
        <v>-19.633719131646924</v>
      </c>
      <c r="E41" s="11">
        <f>A41-'Mastercurve bestimmen'!$B$2</f>
        <v>-174</v>
      </c>
      <c r="F41" s="11">
        <f t="shared" si="4"/>
        <v>-19.633719131646924</v>
      </c>
      <c r="G41" s="11"/>
      <c r="H41" s="11">
        <f t="shared" si="5"/>
        <v>8.4022187915190298E+17</v>
      </c>
      <c r="I41" s="11">
        <f t="shared" si="5"/>
        <v>-4828861374436224</v>
      </c>
      <c r="J41" s="11">
        <f t="shared" si="5"/>
        <v>27752076864576</v>
      </c>
      <c r="K41" s="11">
        <f t="shared" si="5"/>
        <v>-159494694624</v>
      </c>
      <c r="L41" s="11">
        <f t="shared" si="5"/>
        <v>916636176</v>
      </c>
      <c r="M41" s="11">
        <f t="shared" si="5"/>
        <v>-5268024</v>
      </c>
      <c r="N41" s="11">
        <f t="shared" si="5"/>
        <v>30276</v>
      </c>
      <c r="O41" s="11">
        <f t="shared" si="5"/>
        <v>-174</v>
      </c>
      <c r="P41" s="11">
        <f t="shared" si="7"/>
        <v>0</v>
      </c>
    </row>
    <row r="42" spans="1:16" x14ac:dyDescent="0.25">
      <c r="A42" s="11">
        <f t="shared" si="6"/>
        <v>-13</v>
      </c>
      <c r="B42">
        <v>-19.5371320627982</v>
      </c>
      <c r="E42" s="11">
        <f>A42-'Mastercurve bestimmen'!$B$2</f>
        <v>-173</v>
      </c>
      <c r="F42" s="11">
        <f t="shared" si="4"/>
        <v>-19.5371320627982</v>
      </c>
      <c r="G42" s="11"/>
      <c r="H42" s="11">
        <f t="shared" si="5"/>
        <v>8.0235917847609165E+17</v>
      </c>
      <c r="I42" s="11">
        <f t="shared" si="5"/>
        <v>-4637914326451397</v>
      </c>
      <c r="J42" s="11">
        <f t="shared" si="5"/>
        <v>26808753332089</v>
      </c>
      <c r="K42" s="11">
        <f t="shared" si="5"/>
        <v>-154963892093</v>
      </c>
      <c r="L42" s="11">
        <f t="shared" si="5"/>
        <v>895745041</v>
      </c>
      <c r="M42" s="11">
        <f t="shared" si="5"/>
        <v>-5177717</v>
      </c>
      <c r="N42" s="11">
        <f t="shared" si="5"/>
        <v>29929</v>
      </c>
      <c r="O42" s="11">
        <f t="shared" si="5"/>
        <v>-173</v>
      </c>
      <c r="P42" s="11">
        <f t="shared" si="7"/>
        <v>0</v>
      </c>
    </row>
    <row r="43" spans="1:16" x14ac:dyDescent="0.25">
      <c r="A43" s="11">
        <f t="shared" si="6"/>
        <v>-12</v>
      </c>
      <c r="B43">
        <v>-19.437831593305791</v>
      </c>
      <c r="E43" s="11">
        <f>A43-'Mastercurve bestimmen'!$B$2</f>
        <v>-172</v>
      </c>
      <c r="F43" s="11">
        <f t="shared" si="4"/>
        <v>-19.437831593305791</v>
      </c>
      <c r="G43" s="11"/>
      <c r="H43" s="11">
        <f t="shared" si="5"/>
        <v>7.6599789339285914E+17</v>
      </c>
      <c r="I43" s="11">
        <f t="shared" si="5"/>
        <v>-4453476124377088</v>
      </c>
      <c r="J43" s="11">
        <f t="shared" si="5"/>
        <v>25892303048704</v>
      </c>
      <c r="K43" s="11">
        <f t="shared" si="5"/>
        <v>-150536645632</v>
      </c>
      <c r="L43" s="11">
        <f t="shared" si="5"/>
        <v>875213056</v>
      </c>
      <c r="M43" s="11">
        <f t="shared" si="5"/>
        <v>-5088448</v>
      </c>
      <c r="N43" s="11">
        <f t="shared" si="5"/>
        <v>29584</v>
      </c>
      <c r="O43" s="11">
        <f t="shared" si="5"/>
        <v>-172</v>
      </c>
      <c r="P43" s="11">
        <f t="shared" si="7"/>
        <v>0</v>
      </c>
    </row>
    <row r="44" spans="1:16" x14ac:dyDescent="0.25">
      <c r="A44" s="11">
        <f t="shared" si="6"/>
        <v>-11</v>
      </c>
      <c r="B44">
        <v>-19.33571722684956</v>
      </c>
      <c r="E44" s="11">
        <f>A44-'Mastercurve bestimmen'!$B$2</f>
        <v>-171</v>
      </c>
      <c r="F44" s="11">
        <f t="shared" si="4"/>
        <v>-19.33571722684956</v>
      </c>
      <c r="G44" s="11"/>
      <c r="H44" s="11">
        <f t="shared" si="5"/>
        <v>7.3108669981183859E+17</v>
      </c>
      <c r="I44" s="11">
        <f t="shared" si="5"/>
        <v>-4275360817613091</v>
      </c>
      <c r="J44" s="11">
        <f t="shared" si="5"/>
        <v>25002110044521</v>
      </c>
      <c r="K44" s="11">
        <f t="shared" si="5"/>
        <v>-146211169851</v>
      </c>
      <c r="L44" s="11">
        <f t="shared" si="5"/>
        <v>855036081</v>
      </c>
      <c r="M44" s="11">
        <f t="shared" si="5"/>
        <v>-5000211</v>
      </c>
      <c r="N44" s="11">
        <f t="shared" si="5"/>
        <v>29241</v>
      </c>
      <c r="O44" s="11">
        <f t="shared" si="5"/>
        <v>-171</v>
      </c>
      <c r="P44" s="11">
        <f t="shared" si="7"/>
        <v>0</v>
      </c>
    </row>
    <row r="45" spans="1:16" x14ac:dyDescent="0.25">
      <c r="A45" s="11">
        <f t="shared" si="6"/>
        <v>-10</v>
      </c>
      <c r="B45">
        <v>-19.230688467109374</v>
      </c>
      <c r="E45" s="11">
        <f>A45-'Mastercurve bestimmen'!$B$2</f>
        <v>-170</v>
      </c>
      <c r="F45" s="11">
        <f t="shared" si="4"/>
        <v>-19.230688467109374</v>
      </c>
      <c r="G45" s="11"/>
      <c r="H45" s="11">
        <f t="shared" si="5"/>
        <v>6.975757441E+17</v>
      </c>
      <c r="I45" s="11">
        <f t="shared" si="5"/>
        <v>-4103386730000000</v>
      </c>
      <c r="J45" s="11">
        <f t="shared" si="5"/>
        <v>24137569000000</v>
      </c>
      <c r="K45" s="11">
        <f t="shared" si="5"/>
        <v>-141985700000</v>
      </c>
      <c r="L45" s="11">
        <f t="shared" si="5"/>
        <v>835210000</v>
      </c>
      <c r="M45" s="11">
        <f t="shared" si="5"/>
        <v>-4913000</v>
      </c>
      <c r="N45" s="11">
        <f t="shared" si="5"/>
        <v>28900</v>
      </c>
      <c r="O45" s="11">
        <f t="shared" si="5"/>
        <v>-170</v>
      </c>
      <c r="P45" s="11">
        <f t="shared" si="7"/>
        <v>0</v>
      </c>
    </row>
    <row r="46" spans="1:16" x14ac:dyDescent="0.25">
      <c r="A46" s="11">
        <f t="shared" si="6"/>
        <v>-9</v>
      </c>
      <c r="B46">
        <v>-19.122644817765092</v>
      </c>
      <c r="E46" s="11">
        <f>A46-'Mastercurve bestimmen'!$B$2</f>
        <v>-169</v>
      </c>
      <c r="F46" s="11">
        <f t="shared" si="4"/>
        <v>-19.122644817765092</v>
      </c>
      <c r="G46" s="11"/>
      <c r="H46" s="11">
        <f t="shared" si="5"/>
        <v>6.654166091831799E+17</v>
      </c>
      <c r="I46" s="11">
        <f t="shared" si="5"/>
        <v>-3937376385699289</v>
      </c>
      <c r="J46" s="11">
        <f t="shared" si="5"/>
        <v>23298085122481</v>
      </c>
      <c r="K46" s="11">
        <f t="shared" si="5"/>
        <v>-137858491849</v>
      </c>
      <c r="L46" s="11">
        <f t="shared" si="5"/>
        <v>815730721</v>
      </c>
      <c r="M46" s="11">
        <f t="shared" si="5"/>
        <v>-4826809</v>
      </c>
      <c r="N46" s="11">
        <f t="shared" si="5"/>
        <v>28561</v>
      </c>
      <c r="O46" s="11">
        <f t="shared" si="5"/>
        <v>-169</v>
      </c>
      <c r="P46" s="11">
        <f t="shared" si="7"/>
        <v>0</v>
      </c>
    </row>
    <row r="47" spans="1:16" x14ac:dyDescent="0.25">
      <c r="A47" s="11">
        <f t="shared" si="6"/>
        <v>-8</v>
      </c>
      <c r="B47">
        <v>-19.011485782496582</v>
      </c>
      <c r="E47" s="11">
        <f>A47-'Mastercurve bestimmen'!$B$2</f>
        <v>-168</v>
      </c>
      <c r="F47" s="11">
        <f t="shared" si="4"/>
        <v>-19.011485782496582</v>
      </c>
      <c r="G47" s="11"/>
      <c r="H47" s="11">
        <f t="shared" si="5"/>
        <v>6.3456228123711898E+17</v>
      </c>
      <c r="I47" s="11">
        <f t="shared" si="5"/>
        <v>-3777156435935232</v>
      </c>
      <c r="J47" s="11">
        <f t="shared" si="5"/>
        <v>22483074023424</v>
      </c>
      <c r="K47" s="11">
        <f t="shared" si="5"/>
        <v>-133827821568</v>
      </c>
      <c r="L47" s="11">
        <f t="shared" si="5"/>
        <v>796594176</v>
      </c>
      <c r="M47" s="11">
        <f t="shared" si="5"/>
        <v>-4741632</v>
      </c>
      <c r="N47" s="11">
        <f t="shared" si="5"/>
        <v>28224</v>
      </c>
      <c r="O47" s="11">
        <f t="shared" si="5"/>
        <v>-168</v>
      </c>
      <c r="P47" s="11">
        <f t="shared" si="7"/>
        <v>0</v>
      </c>
    </row>
    <row r="48" spans="1:16" x14ac:dyDescent="0.25">
      <c r="A48" s="11">
        <f t="shared" si="6"/>
        <v>-7</v>
      </c>
      <c r="B48">
        <v>-18.897110864983706</v>
      </c>
      <c r="E48" s="11">
        <f>A48-'Mastercurve bestimmen'!$B$2</f>
        <v>-167</v>
      </c>
      <c r="F48" s="11">
        <f t="shared" si="4"/>
        <v>-18.897110864983706</v>
      </c>
      <c r="G48" s="11"/>
      <c r="H48" s="11">
        <f t="shared" ref="H48:O79" si="8">IF($H$12&gt;=H$14,$E48^H$14,0)</f>
        <v>6.049671169611351E+17</v>
      </c>
      <c r="I48" s="11">
        <f t="shared" si="8"/>
        <v>-3622557586593623</v>
      </c>
      <c r="J48" s="11">
        <f t="shared" si="8"/>
        <v>21691961596369</v>
      </c>
      <c r="K48" s="11">
        <f t="shared" si="8"/>
        <v>-129891985607</v>
      </c>
      <c r="L48" s="11">
        <f t="shared" si="8"/>
        <v>777796321</v>
      </c>
      <c r="M48" s="11">
        <f t="shared" si="8"/>
        <v>-4657463</v>
      </c>
      <c r="N48" s="11">
        <f t="shared" si="8"/>
        <v>27889</v>
      </c>
      <c r="O48" s="11">
        <f t="shared" si="8"/>
        <v>-167</v>
      </c>
      <c r="P48" s="11">
        <f t="shared" si="7"/>
        <v>0</v>
      </c>
    </row>
    <row r="49" spans="1:16" x14ac:dyDescent="0.25">
      <c r="A49" s="11">
        <f t="shared" si="6"/>
        <v>-6</v>
      </c>
      <c r="B49">
        <v>-18.779419568906324</v>
      </c>
      <c r="E49" s="11">
        <f>A49-'Mastercurve bestimmen'!$B$2</f>
        <v>-166</v>
      </c>
      <c r="F49" s="11">
        <f t="shared" si="4"/>
        <v>-18.779419568906324</v>
      </c>
      <c r="G49" s="11"/>
      <c r="H49" s="11">
        <f t="shared" si="8"/>
        <v>5.765868114275945E+17</v>
      </c>
      <c r="I49" s="11">
        <f t="shared" si="8"/>
        <v>-3473414526672256</v>
      </c>
      <c r="J49" s="11">
        <f t="shared" si="8"/>
        <v>20924183895616</v>
      </c>
      <c r="K49" s="11">
        <f t="shared" si="8"/>
        <v>-126049300576</v>
      </c>
      <c r="L49" s="11">
        <f t="shared" si="8"/>
        <v>759333136</v>
      </c>
      <c r="M49" s="11">
        <f t="shared" si="8"/>
        <v>-4574296</v>
      </c>
      <c r="N49" s="11">
        <f t="shared" si="8"/>
        <v>27556</v>
      </c>
      <c r="O49" s="11">
        <f t="shared" si="8"/>
        <v>-166</v>
      </c>
      <c r="P49" s="11">
        <f t="shared" si="7"/>
        <v>0</v>
      </c>
    </row>
    <row r="50" spans="1:16" x14ac:dyDescent="0.25">
      <c r="A50" s="11">
        <f t="shared" si="6"/>
        <v>-5</v>
      </c>
      <c r="B50">
        <v>-18.658311397944303</v>
      </c>
      <c r="E50" s="11">
        <f>A50-'Mastercurve bestimmen'!$B$2</f>
        <v>-165</v>
      </c>
      <c r="F50" s="11">
        <f t="shared" si="4"/>
        <v>-18.658311397944303</v>
      </c>
      <c r="G50" s="11"/>
      <c r="H50" s="11">
        <f t="shared" si="8"/>
        <v>5.4937836650039066E+17</v>
      </c>
      <c r="I50" s="11">
        <f t="shared" si="8"/>
        <v>-3329565857578125</v>
      </c>
      <c r="J50" s="11">
        <f t="shared" si="8"/>
        <v>20179187015625</v>
      </c>
      <c r="K50" s="11">
        <f t="shared" si="8"/>
        <v>-122298103125</v>
      </c>
      <c r="L50" s="11">
        <f t="shared" si="8"/>
        <v>741200625</v>
      </c>
      <c r="M50" s="11">
        <f t="shared" si="8"/>
        <v>-4492125</v>
      </c>
      <c r="N50" s="11">
        <f t="shared" si="8"/>
        <v>27225</v>
      </c>
      <c r="O50" s="11">
        <f t="shared" si="8"/>
        <v>-165</v>
      </c>
      <c r="P50" s="11">
        <f t="shared" si="7"/>
        <v>0</v>
      </c>
    </row>
    <row r="51" spans="1:16" x14ac:dyDescent="0.25">
      <c r="A51" s="11">
        <f t="shared" si="6"/>
        <v>-4</v>
      </c>
      <c r="B51">
        <v>-18.533685855777502</v>
      </c>
      <c r="E51" s="11">
        <f>A51-'Mastercurve bestimmen'!$B$2</f>
        <v>-164</v>
      </c>
      <c r="F51" s="11">
        <f t="shared" si="4"/>
        <v>-18.533685855777502</v>
      </c>
      <c r="G51" s="11"/>
      <c r="H51" s="11">
        <f t="shared" si="8"/>
        <v>5.2330005981567386E+17</v>
      </c>
      <c r="I51" s="11">
        <f t="shared" si="8"/>
        <v>-3190854023266304</v>
      </c>
      <c r="J51" s="11">
        <f t="shared" si="8"/>
        <v>19456426971136</v>
      </c>
      <c r="K51" s="11">
        <f t="shared" si="8"/>
        <v>-118636749824</v>
      </c>
      <c r="L51" s="11">
        <f t="shared" si="8"/>
        <v>723394816</v>
      </c>
      <c r="M51" s="11">
        <f t="shared" si="8"/>
        <v>-4410944</v>
      </c>
      <c r="N51" s="11">
        <f t="shared" si="8"/>
        <v>26896</v>
      </c>
      <c r="O51" s="11">
        <f t="shared" si="8"/>
        <v>-164</v>
      </c>
      <c r="P51" s="11">
        <f t="shared" si="7"/>
        <v>0</v>
      </c>
    </row>
    <row r="52" spans="1:16" x14ac:dyDescent="0.25">
      <c r="A52" s="11">
        <f t="shared" si="6"/>
        <v>-3</v>
      </c>
      <c r="B52">
        <v>-18.405442446085793</v>
      </c>
      <c r="E52" s="11">
        <f>A52-'Mastercurve bestimmen'!$B$2</f>
        <v>-163</v>
      </c>
      <c r="F52" s="11">
        <f t="shared" si="4"/>
        <v>-18.405442446085793</v>
      </c>
      <c r="G52" s="11"/>
      <c r="H52" s="11">
        <f t="shared" si="8"/>
        <v>4.9831141431812115E+17</v>
      </c>
      <c r="I52" s="11">
        <f t="shared" si="8"/>
        <v>-3057125241215467</v>
      </c>
      <c r="J52" s="11">
        <f t="shared" si="8"/>
        <v>18755369578009</v>
      </c>
      <c r="K52" s="11">
        <f t="shared" si="8"/>
        <v>-115063617043</v>
      </c>
      <c r="L52" s="11">
        <f t="shared" si="8"/>
        <v>705911761</v>
      </c>
      <c r="M52" s="11">
        <f t="shared" si="8"/>
        <v>-4330747</v>
      </c>
      <c r="N52" s="11">
        <f t="shared" si="8"/>
        <v>26569</v>
      </c>
      <c r="O52" s="11">
        <f t="shared" si="8"/>
        <v>-163</v>
      </c>
      <c r="P52" s="11">
        <f t="shared" si="7"/>
        <v>0</v>
      </c>
    </row>
    <row r="53" spans="1:16" x14ac:dyDescent="0.25">
      <c r="A53" s="11">
        <f t="shared" si="6"/>
        <v>-2</v>
      </c>
      <c r="B53">
        <v>-18.273480672549034</v>
      </c>
      <c r="E53" s="11">
        <f>A53-'Mastercurve bestimmen'!$B$2</f>
        <v>-162</v>
      </c>
      <c r="F53" s="11">
        <f t="shared" si="4"/>
        <v>-18.273480672549034</v>
      </c>
      <c r="G53" s="11"/>
      <c r="H53" s="11">
        <f t="shared" si="8"/>
        <v>4.743731683460713E+17</v>
      </c>
      <c r="I53" s="11">
        <f t="shared" si="8"/>
        <v>-2928229434235008</v>
      </c>
      <c r="J53" s="11">
        <f t="shared" si="8"/>
        <v>18075490334784</v>
      </c>
      <c r="K53" s="11">
        <f t="shared" si="8"/>
        <v>-111577100832</v>
      </c>
      <c r="L53" s="11">
        <f t="shared" si="8"/>
        <v>688747536</v>
      </c>
      <c r="M53" s="11">
        <f t="shared" si="8"/>
        <v>-4251528</v>
      </c>
      <c r="N53" s="11">
        <f t="shared" si="8"/>
        <v>26244</v>
      </c>
      <c r="O53" s="11">
        <f t="shared" si="8"/>
        <v>-162</v>
      </c>
      <c r="P53" s="11">
        <f t="shared" si="7"/>
        <v>0</v>
      </c>
    </row>
    <row r="54" spans="1:16" x14ac:dyDescent="0.25">
      <c r="A54" s="11">
        <f t="shared" si="6"/>
        <v>-1</v>
      </c>
      <c r="B54">
        <v>-18.137700038847086</v>
      </c>
      <c r="E54" s="11">
        <f>A54-'Mastercurve bestimmen'!$B$2</f>
        <v>-161</v>
      </c>
      <c r="F54" s="11">
        <f t="shared" si="4"/>
        <v>-18.137700038847086</v>
      </c>
      <c r="G54" s="11"/>
      <c r="H54" s="11">
        <f t="shared" si="8"/>
        <v>4.5144724625889408E+17</v>
      </c>
      <c r="I54" s="11">
        <f t="shared" si="8"/>
        <v>-2804020163098721</v>
      </c>
      <c r="J54" s="11">
        <f t="shared" si="8"/>
        <v>17416274304961</v>
      </c>
      <c r="K54" s="11">
        <f t="shared" si="8"/>
        <v>-108175616801</v>
      </c>
      <c r="L54" s="11">
        <f t="shared" si="8"/>
        <v>671898241</v>
      </c>
      <c r="M54" s="11">
        <f t="shared" si="8"/>
        <v>-4173281</v>
      </c>
      <c r="N54" s="11">
        <f t="shared" si="8"/>
        <v>25921</v>
      </c>
      <c r="O54" s="11">
        <f t="shared" si="8"/>
        <v>-161</v>
      </c>
      <c r="P54" s="11">
        <f t="shared" si="7"/>
        <v>0</v>
      </c>
    </row>
    <row r="55" spans="1:16" x14ac:dyDescent="0.25">
      <c r="A55" s="11">
        <f t="shared" si="6"/>
        <v>0</v>
      </c>
      <c r="B55">
        <v>-17.998000048659822</v>
      </c>
      <c r="E55" s="11">
        <f>A55-'Mastercurve bestimmen'!$B$2</f>
        <v>-160</v>
      </c>
      <c r="F55" s="11">
        <f t="shared" si="4"/>
        <v>-17.998000048659822</v>
      </c>
      <c r="G55" s="11"/>
      <c r="H55" s="11">
        <f t="shared" si="8"/>
        <v>4.294967296E+17</v>
      </c>
      <c r="I55" s="11">
        <f t="shared" si="8"/>
        <v>-2684354560000000</v>
      </c>
      <c r="J55" s="11">
        <f t="shared" si="8"/>
        <v>16777216000000</v>
      </c>
      <c r="K55" s="11">
        <f t="shared" si="8"/>
        <v>-104857600000</v>
      </c>
      <c r="L55" s="11">
        <f t="shared" si="8"/>
        <v>655360000</v>
      </c>
      <c r="M55" s="11">
        <f t="shared" si="8"/>
        <v>-4096000</v>
      </c>
      <c r="N55" s="11">
        <f t="shared" si="8"/>
        <v>25600</v>
      </c>
      <c r="O55" s="11">
        <f t="shared" si="8"/>
        <v>-160</v>
      </c>
      <c r="P55" s="11">
        <f t="shared" si="7"/>
        <v>0</v>
      </c>
    </row>
    <row r="56" spans="1:16" x14ac:dyDescent="0.25">
      <c r="A56" s="11">
        <f t="shared" si="6"/>
        <v>1</v>
      </c>
      <c r="B56">
        <v>-17.91764516831288</v>
      </c>
      <c r="E56" s="11">
        <f>A56-'Mastercurve bestimmen'!$B$2</f>
        <v>-159</v>
      </c>
      <c r="F56" s="11">
        <f t="shared" si="4"/>
        <v>-17.91764516831288</v>
      </c>
      <c r="G56" s="11"/>
      <c r="H56" s="11">
        <f t="shared" si="8"/>
        <v>4.0848582878893952E+17</v>
      </c>
      <c r="I56" s="11">
        <f t="shared" si="8"/>
        <v>-2569093262823519</v>
      </c>
      <c r="J56" s="11">
        <f t="shared" si="8"/>
        <v>16157819263041</v>
      </c>
      <c r="K56" s="11">
        <f t="shared" si="8"/>
        <v>-101621504799</v>
      </c>
      <c r="L56" s="11">
        <f t="shared" si="8"/>
        <v>639128961</v>
      </c>
      <c r="M56" s="11">
        <f t="shared" si="8"/>
        <v>-4019679</v>
      </c>
      <c r="N56" s="11">
        <f t="shared" si="8"/>
        <v>25281</v>
      </c>
      <c r="O56" s="11">
        <f t="shared" si="8"/>
        <v>-159</v>
      </c>
      <c r="P56" s="11">
        <f t="shared" si="7"/>
        <v>0</v>
      </c>
    </row>
    <row r="57" spans="1:16" x14ac:dyDescent="0.25">
      <c r="A57" s="11">
        <f t="shared" si="6"/>
        <v>2</v>
      </c>
      <c r="B57">
        <v>-17.833514683840257</v>
      </c>
      <c r="E57" s="11">
        <f>A57-'Mastercurve bestimmen'!$B$2</f>
        <v>-158</v>
      </c>
      <c r="F57" s="11">
        <f t="shared" si="4"/>
        <v>-17.833514683840257</v>
      </c>
      <c r="G57" s="11"/>
      <c r="H57" s="11">
        <f t="shared" si="8"/>
        <v>3.8837985533607962E+17</v>
      </c>
      <c r="I57" s="11">
        <f t="shared" si="8"/>
        <v>-2458100350228352</v>
      </c>
      <c r="J57" s="11">
        <f t="shared" si="8"/>
        <v>15557597153344</v>
      </c>
      <c r="K57" s="11">
        <f t="shared" si="8"/>
        <v>-98465804768</v>
      </c>
      <c r="L57" s="11">
        <f t="shared" si="8"/>
        <v>623201296</v>
      </c>
      <c r="M57" s="11">
        <f t="shared" si="8"/>
        <v>-3944312</v>
      </c>
      <c r="N57" s="11">
        <f t="shared" si="8"/>
        <v>24964</v>
      </c>
      <c r="O57" s="11">
        <f t="shared" si="8"/>
        <v>-158</v>
      </c>
      <c r="P57" s="11">
        <f t="shared" si="7"/>
        <v>0</v>
      </c>
    </row>
    <row r="58" spans="1:16" x14ac:dyDescent="0.25">
      <c r="A58" s="11">
        <f t="shared" si="6"/>
        <v>3</v>
      </c>
      <c r="B58">
        <v>-17.745852843921703</v>
      </c>
      <c r="E58" s="11">
        <f>A58-'Mastercurve bestimmen'!$B$2</f>
        <v>-157</v>
      </c>
      <c r="F58" s="11">
        <f t="shared" si="4"/>
        <v>-17.745852843921703</v>
      </c>
      <c r="G58" s="11"/>
      <c r="H58" s="11">
        <f t="shared" si="8"/>
        <v>3.6914519457338643E+17</v>
      </c>
      <c r="I58" s="11">
        <f t="shared" si="8"/>
        <v>-2351243277537493</v>
      </c>
      <c r="J58" s="11">
        <f t="shared" si="8"/>
        <v>14976071831449</v>
      </c>
      <c r="K58" s="11">
        <f t="shared" si="8"/>
        <v>-95388992557</v>
      </c>
      <c r="L58" s="11">
        <f t="shared" si="8"/>
        <v>607573201</v>
      </c>
      <c r="M58" s="11">
        <f t="shared" si="8"/>
        <v>-3869893</v>
      </c>
      <c r="N58" s="11">
        <f t="shared" si="8"/>
        <v>24649</v>
      </c>
      <c r="O58" s="11">
        <f t="shared" si="8"/>
        <v>-157</v>
      </c>
      <c r="P58" s="11">
        <f t="shared" si="7"/>
        <v>0</v>
      </c>
    </row>
    <row r="59" spans="1:16" x14ac:dyDescent="0.25">
      <c r="A59" s="11">
        <f t="shared" si="6"/>
        <v>4</v>
      </c>
      <c r="B59">
        <v>-17.654903897237016</v>
      </c>
      <c r="E59" s="11">
        <f>A59-'Mastercurve bestimmen'!$B$2</f>
        <v>-156</v>
      </c>
      <c r="F59" s="11">
        <f t="shared" si="4"/>
        <v>-17.654903897237016</v>
      </c>
      <c r="G59" s="11"/>
      <c r="H59" s="11">
        <f t="shared" si="8"/>
        <v>3.5074927889488282E+17</v>
      </c>
      <c r="I59" s="11">
        <f t="shared" si="8"/>
        <v>-2248392813428736</v>
      </c>
      <c r="J59" s="11">
        <f t="shared" si="8"/>
        <v>14412774445056</v>
      </c>
      <c r="K59" s="11">
        <f t="shared" si="8"/>
        <v>-92389579776</v>
      </c>
      <c r="L59" s="11">
        <f t="shared" si="8"/>
        <v>592240896</v>
      </c>
      <c r="M59" s="11">
        <f t="shared" si="8"/>
        <v>-3796416</v>
      </c>
      <c r="N59" s="11">
        <f t="shared" si="8"/>
        <v>24336</v>
      </c>
      <c r="O59" s="11">
        <f t="shared" si="8"/>
        <v>-156</v>
      </c>
      <c r="P59" s="11">
        <f t="shared" si="7"/>
        <v>0</v>
      </c>
    </row>
    <row r="60" spans="1:16" x14ac:dyDescent="0.25">
      <c r="A60" s="11">
        <f t="shared" si="6"/>
        <v>5</v>
      </c>
      <c r="B60">
        <v>-17.560912092465955</v>
      </c>
      <c r="E60" s="11">
        <f>A60-'Mastercurve bestimmen'!$B$2</f>
        <v>-155</v>
      </c>
      <c r="F60" s="11">
        <f t="shared" si="4"/>
        <v>-17.560912092465955</v>
      </c>
      <c r="G60" s="11"/>
      <c r="H60" s="11">
        <f t="shared" si="8"/>
        <v>3.3316056150039066E+17</v>
      </c>
      <c r="I60" s="11">
        <f t="shared" si="8"/>
        <v>-2149422977421875</v>
      </c>
      <c r="J60" s="11">
        <f t="shared" si="8"/>
        <v>13867245015625</v>
      </c>
      <c r="K60" s="11">
        <f t="shared" si="8"/>
        <v>-89466096875</v>
      </c>
      <c r="L60" s="11">
        <f t="shared" si="8"/>
        <v>577200625</v>
      </c>
      <c r="M60" s="11">
        <f t="shared" si="8"/>
        <v>-3723875</v>
      </c>
      <c r="N60" s="11">
        <f t="shared" si="8"/>
        <v>24025</v>
      </c>
      <c r="O60" s="11">
        <f t="shared" si="8"/>
        <v>-155</v>
      </c>
      <c r="P60" s="11">
        <f t="shared" si="7"/>
        <v>0</v>
      </c>
    </row>
    <row r="61" spans="1:16" x14ac:dyDescent="0.25">
      <c r="A61" s="11">
        <f t="shared" si="6"/>
        <v>6</v>
      </c>
      <c r="B61">
        <v>-17.464121678288294</v>
      </c>
      <c r="E61" s="11">
        <f>A61-'Mastercurve bestimmen'!$B$2</f>
        <v>-154</v>
      </c>
      <c r="F61" s="11">
        <f t="shared" si="4"/>
        <v>-17.464121678288294</v>
      </c>
      <c r="G61" s="11"/>
      <c r="H61" s="11">
        <f t="shared" si="8"/>
        <v>3.1634849063620634E+17</v>
      </c>
      <c r="I61" s="11">
        <f t="shared" si="8"/>
        <v>-2054210978157184</v>
      </c>
      <c r="J61" s="11">
        <f t="shared" si="8"/>
        <v>13339032325696</v>
      </c>
      <c r="K61" s="11">
        <f t="shared" si="8"/>
        <v>-86617093024</v>
      </c>
      <c r="L61" s="11">
        <f t="shared" si="8"/>
        <v>562448656</v>
      </c>
      <c r="M61" s="11">
        <f t="shared" si="8"/>
        <v>-3652264</v>
      </c>
      <c r="N61" s="11">
        <f t="shared" si="8"/>
        <v>23716</v>
      </c>
      <c r="O61" s="11">
        <f t="shared" si="8"/>
        <v>-154</v>
      </c>
      <c r="P61" s="11">
        <f t="shared" si="7"/>
        <v>0</v>
      </c>
    </row>
    <row r="62" spans="1:16" x14ac:dyDescent="0.25">
      <c r="A62" s="11">
        <f t="shared" si="6"/>
        <v>7</v>
      </c>
      <c r="B62">
        <v>-17.364776903383799</v>
      </c>
      <c r="E62" s="11">
        <f>A62-'Mastercurve bestimmen'!$B$2</f>
        <v>-153</v>
      </c>
      <c r="F62" s="11">
        <f t="shared" si="4"/>
        <v>-17.364776903383799</v>
      </c>
      <c r="G62" s="11"/>
      <c r="H62" s="11">
        <f t="shared" si="8"/>
        <v>3.0028348432640096E+17</v>
      </c>
      <c r="I62" s="11">
        <f t="shared" si="8"/>
        <v>-1962637152460137</v>
      </c>
      <c r="J62" s="11">
        <f t="shared" si="8"/>
        <v>12827693806929</v>
      </c>
      <c r="K62" s="11">
        <f t="shared" si="8"/>
        <v>-83841135993</v>
      </c>
      <c r="L62" s="11">
        <f t="shared" si="8"/>
        <v>547981281</v>
      </c>
      <c r="M62" s="11">
        <f t="shared" si="8"/>
        <v>-3581577</v>
      </c>
      <c r="N62" s="11">
        <f t="shared" si="8"/>
        <v>23409</v>
      </c>
      <c r="O62" s="11">
        <f t="shared" si="8"/>
        <v>-153</v>
      </c>
      <c r="P62" s="11">
        <f t="shared" si="7"/>
        <v>0</v>
      </c>
    </row>
    <row r="63" spans="1:16" x14ac:dyDescent="0.25">
      <c r="A63" s="11">
        <f t="shared" si="6"/>
        <v>8</v>
      </c>
      <c r="B63">
        <v>-17.263122016432245</v>
      </c>
      <c r="E63" s="11">
        <f>A63-'Mastercurve bestimmen'!$B$2</f>
        <v>-152</v>
      </c>
      <c r="F63" s="11">
        <f t="shared" si="4"/>
        <v>-17.263122016432245</v>
      </c>
      <c r="G63" s="11"/>
      <c r="H63" s="11">
        <f t="shared" si="8"/>
        <v>2.8493690558847386E+17</v>
      </c>
      <c r="I63" s="11">
        <f t="shared" si="8"/>
        <v>-1874584905187328</v>
      </c>
      <c r="J63" s="11">
        <f t="shared" si="8"/>
        <v>12332795428864</v>
      </c>
      <c r="K63" s="11">
        <f t="shared" si="8"/>
        <v>-81136812032</v>
      </c>
      <c r="L63" s="11">
        <f t="shared" si="8"/>
        <v>533794816</v>
      </c>
      <c r="M63" s="11">
        <f t="shared" si="8"/>
        <v>-3511808</v>
      </c>
      <c r="N63" s="11">
        <f t="shared" si="8"/>
        <v>23104</v>
      </c>
      <c r="O63" s="11">
        <f t="shared" si="8"/>
        <v>-152</v>
      </c>
      <c r="P63" s="11">
        <f t="shared" si="7"/>
        <v>0</v>
      </c>
    </row>
    <row r="64" spans="1:16" x14ac:dyDescent="0.25">
      <c r="A64" s="11">
        <f t="shared" si="6"/>
        <v>9</v>
      </c>
      <c r="B64">
        <v>-17.159401266113406</v>
      </c>
      <c r="E64" s="11">
        <f>A64-'Mastercurve bestimmen'!$B$2</f>
        <v>-151</v>
      </c>
      <c r="F64" s="11">
        <f t="shared" si="4"/>
        <v>-17.159401266113406</v>
      </c>
      <c r="G64" s="11"/>
      <c r="H64" s="11">
        <f t="shared" si="8"/>
        <v>2.702810381271312E+17</v>
      </c>
      <c r="I64" s="11">
        <f t="shared" si="8"/>
        <v>-1789940649848551</v>
      </c>
      <c r="J64" s="11">
        <f t="shared" si="8"/>
        <v>11853911588401</v>
      </c>
      <c r="K64" s="11">
        <f t="shared" si="8"/>
        <v>-78502725751</v>
      </c>
      <c r="L64" s="11">
        <f t="shared" si="8"/>
        <v>519885601</v>
      </c>
      <c r="M64" s="11">
        <f t="shared" si="8"/>
        <v>-3442951</v>
      </c>
      <c r="N64" s="11">
        <f t="shared" si="8"/>
        <v>22801</v>
      </c>
      <c r="O64" s="11">
        <f t="shared" si="8"/>
        <v>-151</v>
      </c>
      <c r="P64" s="11">
        <f t="shared" si="7"/>
        <v>0</v>
      </c>
    </row>
    <row r="65" spans="1:16" x14ac:dyDescent="0.25">
      <c r="A65" s="11">
        <f t="shared" si="6"/>
        <v>10</v>
      </c>
      <c r="B65">
        <v>-17.053858901107056</v>
      </c>
      <c r="E65" s="11">
        <f>A65-'Mastercurve bestimmen'!$B$2</f>
        <v>-150</v>
      </c>
      <c r="F65" s="11">
        <f t="shared" si="4"/>
        <v>-17.053858901107056</v>
      </c>
      <c r="G65" s="11"/>
      <c r="H65" s="11">
        <f t="shared" si="8"/>
        <v>2.562890625E+17</v>
      </c>
      <c r="I65" s="11">
        <f t="shared" si="8"/>
        <v>-1708593750000000</v>
      </c>
      <c r="J65" s="11">
        <f t="shared" si="8"/>
        <v>11390625000000</v>
      </c>
      <c r="K65" s="11">
        <f t="shared" si="8"/>
        <v>-75937500000</v>
      </c>
      <c r="L65" s="11">
        <f t="shared" si="8"/>
        <v>506250000</v>
      </c>
      <c r="M65" s="11">
        <f t="shared" si="8"/>
        <v>-3375000</v>
      </c>
      <c r="N65" s="11">
        <f t="shared" si="8"/>
        <v>22500</v>
      </c>
      <c r="O65" s="11">
        <f t="shared" si="8"/>
        <v>-150</v>
      </c>
      <c r="P65" s="11">
        <f t="shared" si="7"/>
        <v>0</v>
      </c>
    </row>
    <row r="66" spans="1:16" x14ac:dyDescent="0.25">
      <c r="A66" s="11">
        <f t="shared" si="6"/>
        <v>11</v>
      </c>
      <c r="B66">
        <v>-16.946739170092954</v>
      </c>
      <c r="E66" s="11">
        <f>A66-'Mastercurve bestimmen'!$B$2</f>
        <v>-149</v>
      </c>
      <c r="F66" s="11">
        <f t="shared" si="4"/>
        <v>-16.946739170092954</v>
      </c>
      <c r="G66" s="11"/>
      <c r="H66" s="11">
        <f t="shared" si="8"/>
        <v>2.429350327491288E+17</v>
      </c>
      <c r="I66" s="11">
        <f t="shared" si="8"/>
        <v>-1630436461403549</v>
      </c>
      <c r="J66" s="11">
        <f t="shared" si="8"/>
        <v>10942526586601</v>
      </c>
      <c r="K66" s="11">
        <f t="shared" si="8"/>
        <v>-73439775749</v>
      </c>
      <c r="L66" s="11">
        <f t="shared" si="8"/>
        <v>492884401</v>
      </c>
      <c r="M66" s="11">
        <f t="shared" si="8"/>
        <v>-3307949</v>
      </c>
      <c r="N66" s="11">
        <f t="shared" si="8"/>
        <v>22201</v>
      </c>
      <c r="O66" s="11">
        <f t="shared" si="8"/>
        <v>-149</v>
      </c>
      <c r="P66" s="11">
        <f t="shared" si="7"/>
        <v>0</v>
      </c>
    </row>
    <row r="67" spans="1:16" x14ac:dyDescent="0.25">
      <c r="A67" s="11">
        <f t="shared" si="6"/>
        <v>12</v>
      </c>
      <c r="B67">
        <v>-16.838286321750886</v>
      </c>
      <c r="E67" s="11">
        <f>A67-'Mastercurve bestimmen'!$B$2</f>
        <v>-148</v>
      </c>
      <c r="F67" s="11">
        <f t="shared" si="4"/>
        <v>-16.838286321750886</v>
      </c>
      <c r="G67" s="11"/>
      <c r="H67" s="11">
        <f t="shared" si="8"/>
        <v>2.3019385349216666E+17</v>
      </c>
      <c r="I67" s="11">
        <f t="shared" si="8"/>
        <v>-1555363874947072</v>
      </c>
      <c r="J67" s="11">
        <f t="shared" si="8"/>
        <v>10509215371264</v>
      </c>
      <c r="K67" s="11">
        <f t="shared" si="8"/>
        <v>-71008211968</v>
      </c>
      <c r="L67" s="11">
        <f t="shared" si="8"/>
        <v>479785216</v>
      </c>
      <c r="M67" s="11">
        <f t="shared" si="8"/>
        <v>-3241792</v>
      </c>
      <c r="N67" s="11">
        <f t="shared" si="8"/>
        <v>21904</v>
      </c>
      <c r="O67" s="11">
        <f t="shared" si="8"/>
        <v>-148</v>
      </c>
      <c r="P67" s="11">
        <f t="shared" si="7"/>
        <v>0</v>
      </c>
    </row>
    <row r="68" spans="1:16" x14ac:dyDescent="0.25">
      <c r="A68" s="11">
        <f t="shared" si="6"/>
        <v>13</v>
      </c>
      <c r="B68">
        <v>-16.728744604760614</v>
      </c>
      <c r="E68" s="11">
        <f>A68-'Mastercurve bestimmen'!$B$2</f>
        <v>-147</v>
      </c>
      <c r="F68" s="11">
        <f t="shared" si="4"/>
        <v>-16.728744604760614</v>
      </c>
      <c r="G68" s="11"/>
      <c r="H68" s="11">
        <f t="shared" si="8"/>
        <v>2.1804125746715216E+17</v>
      </c>
      <c r="I68" s="11">
        <f t="shared" si="8"/>
        <v>-1483273860320763</v>
      </c>
      <c r="J68" s="11">
        <f t="shared" si="8"/>
        <v>10090298369529</v>
      </c>
      <c r="K68" s="11">
        <f t="shared" si="8"/>
        <v>-68641485507</v>
      </c>
      <c r="L68" s="11">
        <f t="shared" si="8"/>
        <v>466948881</v>
      </c>
      <c r="M68" s="11">
        <f t="shared" si="8"/>
        <v>-3176523</v>
      </c>
      <c r="N68" s="11">
        <f t="shared" si="8"/>
        <v>21609</v>
      </c>
      <c r="O68" s="11">
        <f t="shared" si="8"/>
        <v>-147</v>
      </c>
      <c r="P68" s="11">
        <f t="shared" si="7"/>
        <v>0</v>
      </c>
    </row>
    <row r="69" spans="1:16" x14ac:dyDescent="0.25">
      <c r="A69" s="11">
        <f t="shared" si="6"/>
        <v>14</v>
      </c>
      <c r="B69">
        <v>-16.618358267801909</v>
      </c>
      <c r="E69" s="11">
        <f>A69-'Mastercurve bestimmen'!$B$2</f>
        <v>-146</v>
      </c>
      <c r="F69" s="11">
        <f t="shared" si="4"/>
        <v>-16.618358267801909</v>
      </c>
      <c r="G69" s="11"/>
      <c r="H69" s="11">
        <f t="shared" si="8"/>
        <v>2.0645378352488474E+17</v>
      </c>
      <c r="I69" s="11">
        <f t="shared" si="8"/>
        <v>-1414067010444416</v>
      </c>
      <c r="J69" s="11">
        <f t="shared" si="8"/>
        <v>9685390482496</v>
      </c>
      <c r="K69" s="11">
        <f t="shared" si="8"/>
        <v>-66338290976</v>
      </c>
      <c r="L69" s="11">
        <f t="shared" si="8"/>
        <v>454371856</v>
      </c>
      <c r="M69" s="11">
        <f t="shared" si="8"/>
        <v>-3112136</v>
      </c>
      <c r="N69" s="11">
        <f t="shared" si="8"/>
        <v>21316</v>
      </c>
      <c r="O69" s="11">
        <f t="shared" si="8"/>
        <v>-146</v>
      </c>
      <c r="P69" s="11">
        <f t="shared" si="7"/>
        <v>0</v>
      </c>
    </row>
    <row r="70" spans="1:16" x14ac:dyDescent="0.25">
      <c r="A70" s="11">
        <f t="shared" si="6"/>
        <v>15</v>
      </c>
      <c r="B70">
        <v>-16.507371559554549</v>
      </c>
      <c r="E70" s="11">
        <f>A70-'Mastercurve bestimmen'!$B$2</f>
        <v>-145</v>
      </c>
      <c r="F70" s="11">
        <f t="shared" si="4"/>
        <v>-16.507371559554549</v>
      </c>
      <c r="G70" s="11"/>
      <c r="H70" s="11">
        <f t="shared" si="8"/>
        <v>1.9540875506289062E+17</v>
      </c>
      <c r="I70" s="11">
        <f t="shared" si="8"/>
        <v>-1347646586640625</v>
      </c>
      <c r="J70" s="11">
        <f t="shared" si="8"/>
        <v>9294114390625</v>
      </c>
      <c r="K70" s="11">
        <f t="shared" si="8"/>
        <v>-64097340625</v>
      </c>
      <c r="L70" s="11">
        <f t="shared" si="8"/>
        <v>442050625</v>
      </c>
      <c r="M70" s="11">
        <f t="shared" si="8"/>
        <v>-3048625</v>
      </c>
      <c r="N70" s="11">
        <f t="shared" si="8"/>
        <v>21025</v>
      </c>
      <c r="O70" s="11">
        <f t="shared" si="8"/>
        <v>-145</v>
      </c>
      <c r="P70" s="11">
        <f t="shared" si="7"/>
        <v>0</v>
      </c>
    </row>
    <row r="71" spans="1:16" x14ac:dyDescent="0.25">
      <c r="A71" s="11">
        <f t="shared" si="6"/>
        <v>16</v>
      </c>
      <c r="B71">
        <v>-16.396028728698305</v>
      </c>
      <c r="E71" s="11">
        <f>A71-'Mastercurve bestimmen'!$B$2</f>
        <v>-144</v>
      </c>
      <c r="F71" s="11">
        <f t="shared" si="4"/>
        <v>-16.396028728698305</v>
      </c>
      <c r="G71" s="11"/>
      <c r="H71" s="11">
        <f t="shared" si="8"/>
        <v>1.8488425889503642E+17</v>
      </c>
      <c r="I71" s="11">
        <f t="shared" si="8"/>
        <v>-1283918464548864</v>
      </c>
      <c r="J71" s="11">
        <f t="shared" si="8"/>
        <v>8916100448256</v>
      </c>
      <c r="K71" s="11">
        <f t="shared" si="8"/>
        <v>-61917364224</v>
      </c>
      <c r="L71" s="11">
        <f t="shared" si="8"/>
        <v>429981696</v>
      </c>
      <c r="M71" s="11">
        <f t="shared" si="8"/>
        <v>-2985984</v>
      </c>
      <c r="N71" s="11">
        <f t="shared" si="8"/>
        <v>20736</v>
      </c>
      <c r="O71" s="11">
        <f t="shared" si="8"/>
        <v>-144</v>
      </c>
      <c r="P71" s="11">
        <f t="shared" si="7"/>
        <v>0</v>
      </c>
    </row>
    <row r="72" spans="1:16" x14ac:dyDescent="0.25">
      <c r="A72" s="11">
        <f t="shared" si="6"/>
        <v>17</v>
      </c>
      <c r="B72">
        <v>-16.284574023912946</v>
      </c>
      <c r="E72" s="11">
        <f>A72-'Mastercurve bestimmen'!$B$2</f>
        <v>-143</v>
      </c>
      <c r="F72" s="11">
        <f t="shared" si="4"/>
        <v>-16.284574023912946</v>
      </c>
      <c r="G72" s="11"/>
      <c r="H72" s="11">
        <f t="shared" si="8"/>
        <v>1.748591245508832E+17</v>
      </c>
      <c r="I72" s="11">
        <f t="shared" si="8"/>
        <v>-1222791080775407</v>
      </c>
      <c r="J72" s="11">
        <f t="shared" si="8"/>
        <v>8550986578849</v>
      </c>
      <c r="K72" s="11">
        <f t="shared" si="8"/>
        <v>-59797108943</v>
      </c>
      <c r="L72" s="11">
        <f t="shared" si="8"/>
        <v>418161601</v>
      </c>
      <c r="M72" s="11">
        <f t="shared" si="8"/>
        <v>-2924207</v>
      </c>
      <c r="N72" s="11">
        <f t="shared" si="8"/>
        <v>20449</v>
      </c>
      <c r="O72" s="11">
        <f t="shared" si="8"/>
        <v>-143</v>
      </c>
      <c r="P72" s="11">
        <f t="shared" si="7"/>
        <v>0</v>
      </c>
    </row>
    <row r="73" spans="1:16" x14ac:dyDescent="0.25">
      <c r="A73" s="11">
        <f t="shared" si="6"/>
        <v>18</v>
      </c>
      <c r="B73">
        <v>-16.173251693878239</v>
      </c>
      <c r="E73" s="11">
        <f>A73-'Mastercurve bestimmen'!$B$2</f>
        <v>-142</v>
      </c>
      <c r="F73" s="11">
        <f t="shared" si="4"/>
        <v>-16.173251693878239</v>
      </c>
      <c r="G73" s="11"/>
      <c r="H73" s="11">
        <f t="shared" si="8"/>
        <v>1.6531290399891482E+17</v>
      </c>
      <c r="I73" s="11">
        <f t="shared" si="8"/>
        <v>-1164175380274048</v>
      </c>
      <c r="J73" s="11">
        <f t="shared" si="8"/>
        <v>8198418170944</v>
      </c>
      <c r="K73" s="11">
        <f t="shared" si="8"/>
        <v>-57735339232</v>
      </c>
      <c r="L73" s="11">
        <f t="shared" si="8"/>
        <v>406586896</v>
      </c>
      <c r="M73" s="11">
        <f t="shared" si="8"/>
        <v>-2863288</v>
      </c>
      <c r="N73" s="11">
        <f t="shared" si="8"/>
        <v>20164</v>
      </c>
      <c r="O73" s="11">
        <f t="shared" si="8"/>
        <v>-142</v>
      </c>
      <c r="P73" s="11">
        <f t="shared" si="7"/>
        <v>0</v>
      </c>
    </row>
    <row r="74" spans="1:16" x14ac:dyDescent="0.25">
      <c r="A74" s="11">
        <f t="shared" si="6"/>
        <v>19</v>
      </c>
      <c r="B74">
        <v>-16.062305987273962</v>
      </c>
      <c r="E74" s="11">
        <f>A74-'Mastercurve bestimmen'!$B$2</f>
        <v>-141</v>
      </c>
      <c r="F74" s="11">
        <f t="shared" si="4"/>
        <v>-16.062305987273962</v>
      </c>
      <c r="G74" s="11"/>
      <c r="H74" s="11">
        <f t="shared" si="8"/>
        <v>1.5622585178781392E+17</v>
      </c>
      <c r="I74" s="11">
        <f t="shared" si="8"/>
        <v>-1107984764452581</v>
      </c>
      <c r="J74" s="11">
        <f t="shared" si="8"/>
        <v>7858047974841</v>
      </c>
      <c r="K74" s="11">
        <f t="shared" si="8"/>
        <v>-55730836701</v>
      </c>
      <c r="L74" s="11">
        <f t="shared" si="8"/>
        <v>395254161</v>
      </c>
      <c r="M74" s="11">
        <f t="shared" si="8"/>
        <v>-2803221</v>
      </c>
      <c r="N74" s="11">
        <f t="shared" si="8"/>
        <v>19881</v>
      </c>
      <c r="O74" s="11">
        <f t="shared" si="8"/>
        <v>-141</v>
      </c>
      <c r="P74" s="11">
        <f t="shared" si="7"/>
        <v>0</v>
      </c>
    </row>
    <row r="75" spans="1:16" x14ac:dyDescent="0.25">
      <c r="A75" s="11">
        <f t="shared" si="6"/>
        <v>20</v>
      </c>
      <c r="B75">
        <v>-15.951981152779886</v>
      </c>
      <c r="E75" s="11">
        <f>A75-'Mastercurve bestimmen'!$B$2</f>
        <v>-140</v>
      </c>
      <c r="F75" s="11">
        <f t="shared" si="4"/>
        <v>-15.951981152779886</v>
      </c>
      <c r="G75" s="11"/>
      <c r="H75" s="11">
        <f t="shared" si="8"/>
        <v>1.475789056E+17</v>
      </c>
      <c r="I75" s="11">
        <f t="shared" si="8"/>
        <v>-1054135040000000</v>
      </c>
      <c r="J75" s="11">
        <f t="shared" si="8"/>
        <v>7529536000000</v>
      </c>
      <c r="K75" s="11">
        <f t="shared" si="8"/>
        <v>-53782400000</v>
      </c>
      <c r="L75" s="11">
        <f t="shared" si="8"/>
        <v>384160000</v>
      </c>
      <c r="M75" s="11">
        <f t="shared" si="8"/>
        <v>-2744000</v>
      </c>
      <c r="N75" s="11">
        <f t="shared" si="8"/>
        <v>19600</v>
      </c>
      <c r="O75" s="11">
        <f t="shared" si="8"/>
        <v>-140</v>
      </c>
      <c r="P75" s="11">
        <f t="shared" si="7"/>
        <v>0</v>
      </c>
    </row>
    <row r="76" spans="1:16" x14ac:dyDescent="0.25">
      <c r="A76" s="11">
        <f t="shared" si="6"/>
        <v>21</v>
      </c>
      <c r="B76">
        <v>-15.842521439075778</v>
      </c>
      <c r="E76" s="11">
        <f>A76-'Mastercurve bestimmen'!$B$2</f>
        <v>-139</v>
      </c>
      <c r="F76" s="11">
        <f t="shared" si="4"/>
        <v>-15.842521439075778</v>
      </c>
      <c r="G76" s="11"/>
      <c r="H76" s="11">
        <f t="shared" si="8"/>
        <v>1.3935366721168368E+17</v>
      </c>
      <c r="I76" s="11">
        <f t="shared" si="8"/>
        <v>-1002544368429379</v>
      </c>
      <c r="J76" s="11">
        <f t="shared" si="8"/>
        <v>7212549413161</v>
      </c>
      <c r="K76" s="11">
        <f t="shared" si="8"/>
        <v>-51888844699</v>
      </c>
      <c r="L76" s="11">
        <f t="shared" si="8"/>
        <v>373301041</v>
      </c>
      <c r="M76" s="11">
        <f t="shared" si="8"/>
        <v>-2685619</v>
      </c>
      <c r="N76" s="11">
        <f t="shared" si="8"/>
        <v>19321</v>
      </c>
      <c r="O76" s="11">
        <f t="shared" si="8"/>
        <v>-139</v>
      </c>
      <c r="P76" s="11">
        <f t="shared" si="7"/>
        <v>0</v>
      </c>
    </row>
    <row r="77" spans="1:16" x14ac:dyDescent="0.25">
      <c r="A77" s="11">
        <f t="shared" si="6"/>
        <v>22</v>
      </c>
      <c r="B77">
        <v>-15.734171094841415</v>
      </c>
      <c r="E77" s="11">
        <f>A77-'Mastercurve bestimmen'!$B$2</f>
        <v>-138</v>
      </c>
      <c r="F77" s="11">
        <f t="shared" si="4"/>
        <v>-15.734171094841415</v>
      </c>
      <c r="G77" s="11"/>
      <c r="H77" s="11">
        <f t="shared" si="8"/>
        <v>1.315323838537321E+17</v>
      </c>
      <c r="I77" s="11">
        <f t="shared" si="8"/>
        <v>-953133216331392</v>
      </c>
      <c r="J77" s="11">
        <f t="shared" si="8"/>
        <v>6906762437184</v>
      </c>
      <c r="K77" s="11">
        <f t="shared" si="8"/>
        <v>-50049003168</v>
      </c>
      <c r="L77" s="11">
        <f t="shared" si="8"/>
        <v>362673936</v>
      </c>
      <c r="M77" s="11">
        <f t="shared" si="8"/>
        <v>-2628072</v>
      </c>
      <c r="N77" s="11">
        <f t="shared" si="8"/>
        <v>19044</v>
      </c>
      <c r="O77" s="11">
        <f t="shared" si="8"/>
        <v>-138</v>
      </c>
      <c r="P77" s="11">
        <f t="shared" si="7"/>
        <v>0</v>
      </c>
    </row>
    <row r="78" spans="1:16" x14ac:dyDescent="0.25">
      <c r="A78" s="11">
        <f t="shared" si="6"/>
        <v>23</v>
      </c>
      <c r="B78">
        <v>-15.627174368756563</v>
      </c>
      <c r="E78" s="11">
        <f>A78-'Mastercurve bestimmen'!$B$2</f>
        <v>-137</v>
      </c>
      <c r="F78" s="11">
        <f t="shared" si="4"/>
        <v>-15.627174368756563</v>
      </c>
      <c r="G78" s="11"/>
      <c r="H78" s="11">
        <f t="shared" si="8"/>
        <v>1.2409792996768032E+17</v>
      </c>
      <c r="I78" s="11">
        <f t="shared" si="8"/>
        <v>-905824306333433</v>
      </c>
      <c r="J78" s="11">
        <f t="shared" si="8"/>
        <v>6611856250609</v>
      </c>
      <c r="K78" s="11">
        <f t="shared" si="8"/>
        <v>-48261724457</v>
      </c>
      <c r="L78" s="11">
        <f t="shared" si="8"/>
        <v>352275361</v>
      </c>
      <c r="M78" s="11">
        <f t="shared" si="8"/>
        <v>-2571353</v>
      </c>
      <c r="N78" s="11">
        <f t="shared" si="8"/>
        <v>18769</v>
      </c>
      <c r="O78" s="11">
        <f t="shared" si="8"/>
        <v>-137</v>
      </c>
      <c r="P78" s="11">
        <f t="shared" si="7"/>
        <v>0</v>
      </c>
    </row>
    <row r="79" spans="1:16" x14ac:dyDescent="0.25">
      <c r="A79" s="11">
        <f t="shared" si="6"/>
        <v>24</v>
      </c>
      <c r="B79">
        <v>-15.521775509500996</v>
      </c>
      <c r="E79" s="11">
        <f>A79-'Mastercurve bestimmen'!$B$2</f>
        <v>-136</v>
      </c>
      <c r="F79" s="11">
        <f t="shared" si="4"/>
        <v>-15.521775509500996</v>
      </c>
      <c r="G79" s="11"/>
      <c r="H79" s="11">
        <f t="shared" si="8"/>
        <v>1.1703378935126426E+17</v>
      </c>
      <c r="I79" s="11">
        <f t="shared" si="8"/>
        <v>-860542568759296</v>
      </c>
      <c r="J79" s="11">
        <f t="shared" si="8"/>
        <v>6327518887936</v>
      </c>
      <c r="K79" s="11">
        <f t="shared" si="8"/>
        <v>-46525874176</v>
      </c>
      <c r="L79" s="11">
        <f t="shared" si="8"/>
        <v>342102016</v>
      </c>
      <c r="M79" s="11">
        <f t="shared" si="8"/>
        <v>-2515456</v>
      </c>
      <c r="N79" s="11">
        <f t="shared" si="8"/>
        <v>18496</v>
      </c>
      <c r="O79" s="11">
        <f t="shared" ref="I79:O116" si="9">IF($H$12&gt;=O$14,$E79^O$14,0)</f>
        <v>-136</v>
      </c>
      <c r="P79" s="11">
        <f t="shared" si="7"/>
        <v>0</v>
      </c>
    </row>
    <row r="80" spans="1:16" x14ac:dyDescent="0.25">
      <c r="A80" s="11">
        <f t="shared" si="6"/>
        <v>25</v>
      </c>
      <c r="B80">
        <v>-15.418218765754489</v>
      </c>
      <c r="E80" s="11">
        <f>A80-'Mastercurve bestimmen'!$B$2</f>
        <v>-135</v>
      </c>
      <c r="F80" s="11">
        <f t="shared" ref="F80:F143" si="10">B80</f>
        <v>-15.418218765754489</v>
      </c>
      <c r="G80" s="11"/>
      <c r="H80" s="11">
        <f t="shared" ref="H80:H143" si="11">IF($H$12&gt;=H$14,$E80^H$14,0)</f>
        <v>1.1032403768789062E+17</v>
      </c>
      <c r="I80" s="11">
        <f t="shared" si="9"/>
        <v>-817215093984375</v>
      </c>
      <c r="J80" s="11">
        <f t="shared" si="9"/>
        <v>6053445140625</v>
      </c>
      <c r="K80" s="11">
        <f t="shared" si="9"/>
        <v>-44840334375</v>
      </c>
      <c r="L80" s="11">
        <f t="shared" si="9"/>
        <v>332150625</v>
      </c>
      <c r="M80" s="11">
        <f t="shared" si="9"/>
        <v>-2460375</v>
      </c>
      <c r="N80" s="11">
        <f t="shared" si="9"/>
        <v>18225</v>
      </c>
      <c r="O80" s="11">
        <f t="shared" si="9"/>
        <v>-135</v>
      </c>
      <c r="P80" s="11">
        <f t="shared" si="7"/>
        <v>0</v>
      </c>
    </row>
    <row r="81" spans="1:16" x14ac:dyDescent="0.25">
      <c r="A81" s="11">
        <f t="shared" ref="A81:A144" si="12">A80+1</f>
        <v>26</v>
      </c>
      <c r="B81">
        <v>-15.316692080394901</v>
      </c>
      <c r="E81" s="11">
        <f>A81-'Mastercurve bestimmen'!$B$2</f>
        <v>-134</v>
      </c>
      <c r="F81" s="11">
        <f t="shared" si="10"/>
        <v>-15.316692080394901</v>
      </c>
      <c r="G81" s="11"/>
      <c r="H81" s="11">
        <f t="shared" si="11"/>
        <v>1.039533254545001E+17</v>
      </c>
      <c r="I81" s="11">
        <f t="shared" si="9"/>
        <v>-775771085481344</v>
      </c>
      <c r="J81" s="11">
        <f t="shared" si="9"/>
        <v>5789336458816</v>
      </c>
      <c r="K81" s="11">
        <f t="shared" si="9"/>
        <v>-43204003424</v>
      </c>
      <c r="L81" s="11">
        <f t="shared" si="9"/>
        <v>322417936</v>
      </c>
      <c r="M81" s="11">
        <f t="shared" si="9"/>
        <v>-2406104</v>
      </c>
      <c r="N81" s="11">
        <f t="shared" si="9"/>
        <v>17956</v>
      </c>
      <c r="O81" s="11">
        <f t="shared" si="9"/>
        <v>-134</v>
      </c>
      <c r="P81" s="11">
        <f t="shared" ref="P81:P144" si="13">P80</f>
        <v>0</v>
      </c>
    </row>
    <row r="82" spans="1:16" x14ac:dyDescent="0.25">
      <c r="A82" s="11">
        <f t="shared" si="12"/>
        <v>27</v>
      </c>
      <c r="B82">
        <v>-15.217158173092477</v>
      </c>
      <c r="E82" s="11">
        <f>A82-'Mastercurve bestimmen'!$B$2</f>
        <v>-133</v>
      </c>
      <c r="F82" s="11">
        <f t="shared" si="10"/>
        <v>-15.217158173092477</v>
      </c>
      <c r="G82" s="11"/>
      <c r="H82" s="11">
        <f t="shared" si="11"/>
        <v>9.790686120231984E+16</v>
      </c>
      <c r="I82" s="11">
        <f t="shared" si="9"/>
        <v>-736141813551277</v>
      </c>
      <c r="J82" s="11">
        <f t="shared" si="9"/>
        <v>5534900853769</v>
      </c>
      <c r="K82" s="11">
        <f t="shared" si="9"/>
        <v>-41615795893</v>
      </c>
      <c r="L82" s="11">
        <f t="shared" si="9"/>
        <v>312900721</v>
      </c>
      <c r="M82" s="11">
        <f t="shared" si="9"/>
        <v>-2352637</v>
      </c>
      <c r="N82" s="11">
        <f t="shared" si="9"/>
        <v>17689</v>
      </c>
      <c r="O82" s="11">
        <f t="shared" si="9"/>
        <v>-133</v>
      </c>
      <c r="P82" s="11">
        <f t="shared" si="13"/>
        <v>0</v>
      </c>
    </row>
    <row r="83" spans="1:16" x14ac:dyDescent="0.25">
      <c r="A83" s="11">
        <f t="shared" si="12"/>
        <v>28</v>
      </c>
      <c r="B83">
        <v>-15.11952345771555</v>
      </c>
      <c r="E83" s="11">
        <f>A83-'Mastercurve bestimmen'!$B$2</f>
        <v>-132</v>
      </c>
      <c r="F83" s="11">
        <f t="shared" si="10"/>
        <v>-15.11952345771555</v>
      </c>
      <c r="G83" s="11"/>
      <c r="H83" s="11">
        <f t="shared" si="11"/>
        <v>9.2170395205042176E+16</v>
      </c>
      <c r="I83" s="11">
        <f t="shared" si="9"/>
        <v>-698260569735168</v>
      </c>
      <c r="J83" s="11">
        <f t="shared" si="9"/>
        <v>5289852801024</v>
      </c>
      <c r="K83" s="11">
        <f t="shared" si="9"/>
        <v>-40074642432</v>
      </c>
      <c r="L83" s="11">
        <f t="shared" si="9"/>
        <v>303595776</v>
      </c>
      <c r="M83" s="11">
        <f t="shared" si="9"/>
        <v>-2299968</v>
      </c>
      <c r="N83" s="11">
        <f t="shared" si="9"/>
        <v>17424</v>
      </c>
      <c r="O83" s="11">
        <f t="shared" si="9"/>
        <v>-132</v>
      </c>
      <c r="P83" s="11">
        <f t="shared" si="13"/>
        <v>0</v>
      </c>
    </row>
    <row r="84" spans="1:16" x14ac:dyDescent="0.25">
      <c r="A84" s="11">
        <f t="shared" si="12"/>
        <v>29</v>
      </c>
      <c r="B84">
        <v>-15.023694348132455</v>
      </c>
      <c r="E84" s="11">
        <f>A84-'Mastercurve bestimmen'!$B$2</f>
        <v>-131</v>
      </c>
      <c r="F84" s="11">
        <f t="shared" si="10"/>
        <v>-15.023694348132455</v>
      </c>
      <c r="G84" s="11"/>
      <c r="H84" s="11">
        <f t="shared" si="11"/>
        <v>8.673020346900624E+16</v>
      </c>
      <c r="I84" s="11">
        <f t="shared" si="9"/>
        <v>-662062621900811</v>
      </c>
      <c r="J84" s="11">
        <f t="shared" si="9"/>
        <v>5053913144281</v>
      </c>
      <c r="K84" s="11">
        <f t="shared" si="9"/>
        <v>-38579489651</v>
      </c>
      <c r="L84" s="11">
        <f t="shared" si="9"/>
        <v>294499921</v>
      </c>
      <c r="M84" s="11">
        <f t="shared" si="9"/>
        <v>-2248091</v>
      </c>
      <c r="N84" s="11">
        <f t="shared" si="9"/>
        <v>17161</v>
      </c>
      <c r="O84" s="11">
        <f t="shared" si="9"/>
        <v>-131</v>
      </c>
      <c r="P84" s="11">
        <f t="shared" si="13"/>
        <v>0</v>
      </c>
    </row>
    <row r="85" spans="1:16" x14ac:dyDescent="0.25">
      <c r="A85" s="11">
        <f t="shared" si="12"/>
        <v>30</v>
      </c>
      <c r="B85">
        <v>-14.92957725821153</v>
      </c>
      <c r="E85" s="11">
        <f>A85-'Mastercurve bestimmen'!$B$2</f>
        <v>-130</v>
      </c>
      <c r="F85" s="11">
        <f t="shared" si="10"/>
        <v>-14.92957725821153</v>
      </c>
      <c r="G85" s="11"/>
      <c r="H85" s="11">
        <f t="shared" si="11"/>
        <v>8.15730721E+16</v>
      </c>
      <c r="I85" s="11">
        <f t="shared" si="9"/>
        <v>-627485170000000</v>
      </c>
      <c r="J85" s="11">
        <f t="shared" si="9"/>
        <v>4826809000000</v>
      </c>
      <c r="K85" s="11">
        <f t="shared" si="9"/>
        <v>-37129300000</v>
      </c>
      <c r="L85" s="11">
        <f t="shared" si="9"/>
        <v>285610000</v>
      </c>
      <c r="M85" s="11">
        <f t="shared" si="9"/>
        <v>-2197000</v>
      </c>
      <c r="N85" s="11">
        <f t="shared" si="9"/>
        <v>16900</v>
      </c>
      <c r="O85" s="11">
        <f t="shared" si="9"/>
        <v>-130</v>
      </c>
      <c r="P85" s="11">
        <f t="shared" si="13"/>
        <v>0</v>
      </c>
    </row>
    <row r="86" spans="1:16" x14ac:dyDescent="0.25">
      <c r="A86" s="11">
        <f t="shared" si="12"/>
        <v>31</v>
      </c>
      <c r="B86">
        <v>-14.837078601821107</v>
      </c>
      <c r="E86" s="11">
        <f>A86-'Mastercurve bestimmen'!$B$2</f>
        <v>-129</v>
      </c>
      <c r="F86" s="11">
        <f t="shared" si="10"/>
        <v>-14.837078601821107</v>
      </c>
      <c r="G86" s="11"/>
      <c r="H86" s="11">
        <f t="shared" si="11"/>
        <v>7.668628202134016E+16</v>
      </c>
      <c r="I86" s="11">
        <f t="shared" si="9"/>
        <v>-594467302491009</v>
      </c>
      <c r="J86" s="11">
        <f t="shared" si="9"/>
        <v>4608273662721</v>
      </c>
      <c r="K86" s="11">
        <f t="shared" si="9"/>
        <v>-35723051649</v>
      </c>
      <c r="L86" s="11">
        <f t="shared" si="9"/>
        <v>276922881</v>
      </c>
      <c r="M86" s="11">
        <f t="shared" si="9"/>
        <v>-2146689</v>
      </c>
      <c r="N86" s="11">
        <f t="shared" si="9"/>
        <v>16641</v>
      </c>
      <c r="O86" s="11">
        <f t="shared" si="9"/>
        <v>-129</v>
      </c>
      <c r="P86" s="11">
        <f t="shared" si="13"/>
        <v>0</v>
      </c>
    </row>
    <row r="87" spans="1:16" x14ac:dyDescent="0.25">
      <c r="A87" s="11">
        <f t="shared" si="12"/>
        <v>32</v>
      </c>
      <c r="B87">
        <v>-14.746104792829518</v>
      </c>
      <c r="E87" s="11">
        <f>A87-'Mastercurve bestimmen'!$B$2</f>
        <v>-128</v>
      </c>
      <c r="F87" s="11">
        <f t="shared" si="10"/>
        <v>-14.746104792829518</v>
      </c>
      <c r="G87" s="11"/>
      <c r="H87" s="11">
        <f t="shared" si="11"/>
        <v>7.2057594037927936E+16</v>
      </c>
      <c r="I87" s="11">
        <f t="shared" si="9"/>
        <v>-562949953421312</v>
      </c>
      <c r="J87" s="11">
        <f t="shared" si="9"/>
        <v>4398046511104</v>
      </c>
      <c r="K87" s="11">
        <f t="shared" si="9"/>
        <v>-34359738368</v>
      </c>
      <c r="L87" s="11">
        <f t="shared" si="9"/>
        <v>268435456</v>
      </c>
      <c r="M87" s="11">
        <f t="shared" si="9"/>
        <v>-2097152</v>
      </c>
      <c r="N87" s="11">
        <f t="shared" si="9"/>
        <v>16384</v>
      </c>
      <c r="O87" s="11">
        <f t="shared" si="9"/>
        <v>-128</v>
      </c>
      <c r="P87" s="11">
        <f t="shared" si="13"/>
        <v>0</v>
      </c>
    </row>
    <row r="88" spans="1:16" x14ac:dyDescent="0.25">
      <c r="A88" s="11">
        <f t="shared" si="12"/>
        <v>33</v>
      </c>
      <c r="B88">
        <v>-14.656562245105103</v>
      </c>
      <c r="E88" s="11">
        <f>A88-'Mastercurve bestimmen'!$B$2</f>
        <v>-127</v>
      </c>
      <c r="F88" s="11">
        <f t="shared" si="10"/>
        <v>-14.656562245105103</v>
      </c>
      <c r="G88" s="11"/>
      <c r="H88" s="11">
        <f t="shared" si="11"/>
        <v>6.767523424101888E+16</v>
      </c>
      <c r="I88" s="11">
        <f t="shared" si="9"/>
        <v>-532875860165503</v>
      </c>
      <c r="J88" s="11">
        <f t="shared" si="9"/>
        <v>4195872914689</v>
      </c>
      <c r="K88" s="11">
        <f t="shared" si="9"/>
        <v>-33038369407</v>
      </c>
      <c r="L88" s="11">
        <f t="shared" si="9"/>
        <v>260144641</v>
      </c>
      <c r="M88" s="11">
        <f t="shared" si="9"/>
        <v>-2048383</v>
      </c>
      <c r="N88" s="11">
        <f t="shared" si="9"/>
        <v>16129</v>
      </c>
      <c r="O88" s="11">
        <f t="shared" si="9"/>
        <v>-127</v>
      </c>
      <c r="P88" s="11">
        <f t="shared" si="13"/>
        <v>0</v>
      </c>
    </row>
    <row r="89" spans="1:16" x14ac:dyDescent="0.25">
      <c r="A89" s="11">
        <f t="shared" si="12"/>
        <v>34</v>
      </c>
      <c r="B89">
        <v>-14.568357372516193</v>
      </c>
      <c r="E89" s="11">
        <f>A89-'Mastercurve bestimmen'!$B$2</f>
        <v>-126</v>
      </c>
      <c r="F89" s="11">
        <f t="shared" si="10"/>
        <v>-14.568357372516193</v>
      </c>
      <c r="G89" s="11"/>
      <c r="H89" s="11">
        <f t="shared" si="11"/>
        <v>6.3527879748485376E+16</v>
      </c>
      <c r="I89" s="11">
        <f t="shared" si="9"/>
        <v>-504189521813376</v>
      </c>
      <c r="J89" s="11">
        <f t="shared" si="9"/>
        <v>4001504141376</v>
      </c>
      <c r="K89" s="11">
        <f t="shared" si="9"/>
        <v>-31757969376</v>
      </c>
      <c r="L89" s="11">
        <f t="shared" si="9"/>
        <v>252047376</v>
      </c>
      <c r="M89" s="11">
        <f t="shared" si="9"/>
        <v>-2000376</v>
      </c>
      <c r="N89" s="11">
        <f t="shared" si="9"/>
        <v>15876</v>
      </c>
      <c r="O89" s="11">
        <f t="shared" si="9"/>
        <v>-126</v>
      </c>
      <c r="P89" s="11">
        <f t="shared" si="13"/>
        <v>0</v>
      </c>
    </row>
    <row r="90" spans="1:16" x14ac:dyDescent="0.25">
      <c r="A90" s="11">
        <f t="shared" si="12"/>
        <v>35</v>
      </c>
      <c r="B90">
        <v>-14.481396588931123</v>
      </c>
      <c r="E90" s="11">
        <f>A90-'Mastercurve bestimmen'!$B$2</f>
        <v>-125</v>
      </c>
      <c r="F90" s="11">
        <f t="shared" si="10"/>
        <v>-14.481396588931123</v>
      </c>
      <c r="G90" s="11"/>
      <c r="H90" s="11">
        <f t="shared" si="11"/>
        <v>5.9604644775390624E+16</v>
      </c>
      <c r="I90" s="11">
        <f t="shared" si="9"/>
        <v>-476837158203125</v>
      </c>
      <c r="J90" s="11">
        <f t="shared" si="9"/>
        <v>3814697265625</v>
      </c>
      <c r="K90" s="11">
        <f t="shared" si="9"/>
        <v>-30517578125</v>
      </c>
      <c r="L90" s="11">
        <f t="shared" si="9"/>
        <v>244140625</v>
      </c>
      <c r="M90" s="11">
        <f t="shared" si="9"/>
        <v>-1953125</v>
      </c>
      <c r="N90" s="11">
        <f t="shared" si="9"/>
        <v>15625</v>
      </c>
      <c r="O90" s="11">
        <f t="shared" si="9"/>
        <v>-125</v>
      </c>
      <c r="P90" s="11">
        <f t="shared" si="13"/>
        <v>0</v>
      </c>
    </row>
    <row r="91" spans="1:16" x14ac:dyDescent="0.25">
      <c r="A91" s="11">
        <f t="shared" si="12"/>
        <v>36</v>
      </c>
      <c r="B91">
        <v>-14.395586308218235</v>
      </c>
      <c r="E91" s="11">
        <f>A91-'Mastercurve bestimmen'!$B$2</f>
        <v>-124</v>
      </c>
      <c r="F91" s="11">
        <f t="shared" si="10"/>
        <v>-14.395586308218235</v>
      </c>
      <c r="G91" s="11"/>
      <c r="H91" s="11">
        <f t="shared" si="11"/>
        <v>5.5895067029733376E+16</v>
      </c>
      <c r="I91" s="11">
        <f t="shared" si="9"/>
        <v>-450766669594624</v>
      </c>
      <c r="J91" s="11">
        <f t="shared" si="9"/>
        <v>3635215077376</v>
      </c>
      <c r="K91" s="11">
        <f t="shared" si="9"/>
        <v>-29316250624</v>
      </c>
      <c r="L91" s="11">
        <f t="shared" si="9"/>
        <v>236421376</v>
      </c>
      <c r="M91" s="11">
        <f t="shared" si="9"/>
        <v>-1906624</v>
      </c>
      <c r="N91" s="11">
        <f t="shared" si="9"/>
        <v>15376</v>
      </c>
      <c r="O91" s="11">
        <f t="shared" si="9"/>
        <v>-124</v>
      </c>
      <c r="P91" s="11">
        <f t="shared" si="13"/>
        <v>0</v>
      </c>
    </row>
    <row r="92" spans="1:16" x14ac:dyDescent="0.25">
      <c r="A92" s="11">
        <f t="shared" si="12"/>
        <v>37</v>
      </c>
      <c r="B92">
        <v>-14.310832944245851</v>
      </c>
      <c r="E92" s="11">
        <f>A92-'Mastercurve bestimmen'!$B$2</f>
        <v>-123</v>
      </c>
      <c r="F92" s="11">
        <f t="shared" si="10"/>
        <v>-14.310832944245851</v>
      </c>
      <c r="G92" s="11"/>
      <c r="H92" s="11">
        <f t="shared" si="11"/>
        <v>5.238909442826288E+16</v>
      </c>
      <c r="I92" s="11">
        <f t="shared" si="9"/>
        <v>-425927596977747</v>
      </c>
      <c r="J92" s="11">
        <f t="shared" si="9"/>
        <v>3462825991689</v>
      </c>
      <c r="K92" s="11">
        <f t="shared" si="9"/>
        <v>-28153056843</v>
      </c>
      <c r="L92" s="11">
        <f t="shared" si="9"/>
        <v>228886641</v>
      </c>
      <c r="M92" s="11">
        <f t="shared" si="9"/>
        <v>-1860867</v>
      </c>
      <c r="N92" s="11">
        <f t="shared" si="9"/>
        <v>15129</v>
      </c>
      <c r="O92" s="11">
        <f t="shared" si="9"/>
        <v>-123</v>
      </c>
      <c r="P92" s="11">
        <f t="shared" si="13"/>
        <v>0</v>
      </c>
    </row>
    <row r="93" spans="1:16" x14ac:dyDescent="0.25">
      <c r="A93" s="11">
        <f t="shared" si="12"/>
        <v>38</v>
      </c>
      <c r="B93">
        <v>-14.227042910882314</v>
      </c>
      <c r="E93" s="11">
        <f>A93-'Mastercurve bestimmen'!$B$2</f>
        <v>-122</v>
      </c>
      <c r="F93" s="11">
        <f t="shared" si="10"/>
        <v>-14.227042910882314</v>
      </c>
      <c r="G93" s="11"/>
      <c r="H93" s="11">
        <f t="shared" si="11"/>
        <v>4.9077072127303936E+16</v>
      </c>
      <c r="I93" s="11">
        <f t="shared" si="9"/>
        <v>-402271083010688</v>
      </c>
      <c r="J93" s="11">
        <f t="shared" si="9"/>
        <v>3297303959104</v>
      </c>
      <c r="K93" s="11">
        <f t="shared" si="9"/>
        <v>-27027081632</v>
      </c>
      <c r="L93" s="11">
        <f t="shared" si="9"/>
        <v>221533456</v>
      </c>
      <c r="M93" s="11">
        <f t="shared" si="9"/>
        <v>-1815848</v>
      </c>
      <c r="N93" s="11">
        <f t="shared" si="9"/>
        <v>14884</v>
      </c>
      <c r="O93" s="11">
        <f t="shared" si="9"/>
        <v>-122</v>
      </c>
      <c r="P93" s="11">
        <f t="shared" si="13"/>
        <v>0</v>
      </c>
    </row>
    <row r="94" spans="1:16" x14ac:dyDescent="0.25">
      <c r="A94" s="11">
        <f t="shared" si="12"/>
        <v>39</v>
      </c>
      <c r="B94">
        <v>-14.14412262199596</v>
      </c>
      <c r="E94" s="11">
        <f>A94-'Mastercurve bestimmen'!$B$2</f>
        <v>-121</v>
      </c>
      <c r="F94" s="11">
        <f t="shared" si="10"/>
        <v>-14.14412262199596</v>
      </c>
      <c r="G94" s="11"/>
      <c r="H94" s="11">
        <f t="shared" si="11"/>
        <v>4.594972986357216E+16</v>
      </c>
      <c r="I94" s="11">
        <f t="shared" si="9"/>
        <v>-379749833583241</v>
      </c>
      <c r="J94" s="11">
        <f t="shared" si="9"/>
        <v>3138428376721</v>
      </c>
      <c r="K94" s="11">
        <f t="shared" si="9"/>
        <v>-25937424601</v>
      </c>
      <c r="L94" s="11">
        <f t="shared" si="9"/>
        <v>214358881</v>
      </c>
      <c r="M94" s="11">
        <f t="shared" si="9"/>
        <v>-1771561</v>
      </c>
      <c r="N94" s="11">
        <f t="shared" si="9"/>
        <v>14641</v>
      </c>
      <c r="O94" s="11">
        <f t="shared" si="9"/>
        <v>-121</v>
      </c>
      <c r="P94" s="11">
        <f t="shared" si="13"/>
        <v>0</v>
      </c>
    </row>
    <row r="95" spans="1:16" x14ac:dyDescent="0.25">
      <c r="A95" s="11">
        <f t="shared" si="12"/>
        <v>40</v>
      </c>
      <c r="B95">
        <v>-14.061978491455118</v>
      </c>
      <c r="E95" s="11">
        <f>A95-'Mastercurve bestimmen'!$B$2</f>
        <v>-120</v>
      </c>
      <c r="F95" s="11">
        <f t="shared" si="10"/>
        <v>-14.061978491455118</v>
      </c>
      <c r="G95" s="11"/>
      <c r="H95" s="11">
        <f t="shared" si="11"/>
        <v>4.29981696E+16</v>
      </c>
      <c r="I95" s="11">
        <f t="shared" si="9"/>
        <v>-358318080000000</v>
      </c>
      <c r="J95" s="11">
        <f t="shared" si="9"/>
        <v>2985984000000</v>
      </c>
      <c r="K95" s="11">
        <f t="shared" si="9"/>
        <v>-24883200000</v>
      </c>
      <c r="L95" s="11">
        <f t="shared" si="9"/>
        <v>207360000</v>
      </c>
      <c r="M95" s="11">
        <f t="shared" si="9"/>
        <v>-1728000</v>
      </c>
      <c r="N95" s="11">
        <f t="shared" si="9"/>
        <v>14400</v>
      </c>
      <c r="O95" s="11">
        <f t="shared" si="9"/>
        <v>-120</v>
      </c>
      <c r="P95" s="11">
        <f t="shared" si="13"/>
        <v>0</v>
      </c>
    </row>
    <row r="96" spans="1:16" x14ac:dyDescent="0.25">
      <c r="A96" s="11">
        <f t="shared" si="12"/>
        <v>41</v>
      </c>
      <c r="B96">
        <v>-13.980516933128129</v>
      </c>
      <c r="E96" s="11">
        <f>A96-'Mastercurve bestimmen'!$B$2</f>
        <v>-119</v>
      </c>
      <c r="F96" s="11">
        <f t="shared" si="10"/>
        <v>-13.980516933128129</v>
      </c>
      <c r="G96" s="11"/>
      <c r="H96" s="11">
        <f t="shared" si="11"/>
        <v>4.021385347163424E+16</v>
      </c>
      <c r="I96" s="11">
        <f t="shared" si="9"/>
        <v>-337931541778439</v>
      </c>
      <c r="J96" s="11">
        <f t="shared" si="9"/>
        <v>2839760855281</v>
      </c>
      <c r="K96" s="11">
        <f t="shared" si="9"/>
        <v>-23863536599</v>
      </c>
      <c r="L96" s="11">
        <f t="shared" si="9"/>
        <v>200533921</v>
      </c>
      <c r="M96" s="11">
        <f t="shared" si="9"/>
        <v>-1685159</v>
      </c>
      <c r="N96" s="11">
        <f t="shared" si="9"/>
        <v>14161</v>
      </c>
      <c r="O96" s="11">
        <f t="shared" si="9"/>
        <v>-119</v>
      </c>
      <c r="P96" s="11">
        <f t="shared" si="13"/>
        <v>0</v>
      </c>
    </row>
    <row r="97" spans="1:16" x14ac:dyDescent="0.25">
      <c r="A97" s="11">
        <f t="shared" si="12"/>
        <v>42</v>
      </c>
      <c r="B97">
        <v>-13.899644360883322</v>
      </c>
      <c r="E97" s="11">
        <f>A97-'Mastercurve bestimmen'!$B$2</f>
        <v>-118</v>
      </c>
      <c r="F97" s="11">
        <f t="shared" si="10"/>
        <v>-13.899644360883322</v>
      </c>
      <c r="G97" s="11"/>
      <c r="H97" s="11">
        <f t="shared" si="11"/>
        <v>3.7588592026706176E+16</v>
      </c>
      <c r="I97" s="11">
        <f t="shared" si="9"/>
        <v>-318547390056832</v>
      </c>
      <c r="J97" s="11">
        <f t="shared" si="9"/>
        <v>2699554153024</v>
      </c>
      <c r="K97" s="11">
        <f t="shared" si="9"/>
        <v>-22877577568</v>
      </c>
      <c r="L97" s="11">
        <f t="shared" si="9"/>
        <v>193877776</v>
      </c>
      <c r="M97" s="11">
        <f t="shared" si="9"/>
        <v>-1643032</v>
      </c>
      <c r="N97" s="11">
        <f t="shared" si="9"/>
        <v>13924</v>
      </c>
      <c r="O97" s="11">
        <f t="shared" si="9"/>
        <v>-118</v>
      </c>
      <c r="P97" s="11">
        <f t="shared" si="13"/>
        <v>0</v>
      </c>
    </row>
    <row r="98" spans="1:16" x14ac:dyDescent="0.25">
      <c r="A98" s="11">
        <f t="shared" si="12"/>
        <v>43</v>
      </c>
      <c r="B98">
        <v>-13.819267188589038</v>
      </c>
      <c r="E98" s="11">
        <f>A98-'Mastercurve bestimmen'!$B$2</f>
        <v>-117</v>
      </c>
      <c r="F98" s="11">
        <f t="shared" si="10"/>
        <v>-13.819267188589038</v>
      </c>
      <c r="G98" s="11"/>
      <c r="H98" s="11">
        <f t="shared" si="11"/>
        <v>3.511453275801584E+16</v>
      </c>
      <c r="I98" s="11">
        <f t="shared" si="9"/>
        <v>-300124211606973</v>
      </c>
      <c r="J98" s="11">
        <f t="shared" si="9"/>
        <v>2565164201769</v>
      </c>
      <c r="K98" s="11">
        <f t="shared" si="9"/>
        <v>-21924480357</v>
      </c>
      <c r="L98" s="11">
        <f t="shared" si="9"/>
        <v>187388721</v>
      </c>
      <c r="M98" s="11">
        <f t="shared" si="9"/>
        <v>-1601613</v>
      </c>
      <c r="N98" s="11">
        <f t="shared" si="9"/>
        <v>13689</v>
      </c>
      <c r="O98" s="11">
        <f t="shared" si="9"/>
        <v>-117</v>
      </c>
      <c r="P98" s="11">
        <f t="shared" si="13"/>
        <v>0</v>
      </c>
    </row>
    <row r="99" spans="1:16" x14ac:dyDescent="0.25">
      <c r="A99" s="11">
        <f t="shared" si="12"/>
        <v>44</v>
      </c>
      <c r="B99">
        <v>-13.739291830113604</v>
      </c>
      <c r="E99" s="11">
        <f>A99-'Mastercurve bestimmen'!$B$2</f>
        <v>-116</v>
      </c>
      <c r="F99" s="11">
        <f t="shared" si="10"/>
        <v>-13.739291830113604</v>
      </c>
      <c r="G99" s="11"/>
      <c r="H99" s="11">
        <f t="shared" si="11"/>
        <v>3.2784148919812096E+16</v>
      </c>
      <c r="I99" s="11">
        <f t="shared" si="9"/>
        <v>-282621973446656</v>
      </c>
      <c r="J99" s="11">
        <f t="shared" si="9"/>
        <v>2436396322816</v>
      </c>
      <c r="K99" s="11">
        <f t="shared" si="9"/>
        <v>-21003416576</v>
      </c>
      <c r="L99" s="11">
        <f t="shared" si="9"/>
        <v>181063936</v>
      </c>
      <c r="M99" s="11">
        <f t="shared" si="9"/>
        <v>-1560896</v>
      </c>
      <c r="N99" s="11">
        <f t="shared" si="9"/>
        <v>13456</v>
      </c>
      <c r="O99" s="11">
        <f t="shared" si="9"/>
        <v>-116</v>
      </c>
      <c r="P99" s="11">
        <f t="shared" si="13"/>
        <v>0</v>
      </c>
    </row>
    <row r="100" spans="1:16" x14ac:dyDescent="0.25">
      <c r="A100" s="11">
        <f t="shared" si="12"/>
        <v>45</v>
      </c>
      <c r="B100">
        <v>-13.659624699325363</v>
      </c>
      <c r="E100" s="11">
        <f>A100-'Mastercurve bestimmen'!$B$2</f>
        <v>-115</v>
      </c>
      <c r="F100" s="11">
        <f t="shared" si="10"/>
        <v>-13.659624699325363</v>
      </c>
      <c r="G100" s="11"/>
      <c r="H100" s="11">
        <f t="shared" si="11"/>
        <v>3.0590228625390624E+16</v>
      </c>
      <c r="I100" s="11">
        <f t="shared" si="9"/>
        <v>-266001988046875</v>
      </c>
      <c r="J100" s="11">
        <f t="shared" si="9"/>
        <v>2313060765625</v>
      </c>
      <c r="K100" s="11">
        <f t="shared" si="9"/>
        <v>-20113571875</v>
      </c>
      <c r="L100" s="11">
        <f t="shared" si="9"/>
        <v>174900625</v>
      </c>
      <c r="M100" s="11">
        <f t="shared" si="9"/>
        <v>-1520875</v>
      </c>
      <c r="N100" s="11">
        <f t="shared" si="9"/>
        <v>13225</v>
      </c>
      <c r="O100" s="11">
        <f t="shared" si="9"/>
        <v>-115</v>
      </c>
      <c r="P100" s="11">
        <f t="shared" si="13"/>
        <v>0</v>
      </c>
    </row>
    <row r="101" spans="1:16" x14ac:dyDescent="0.25">
      <c r="A101" s="11">
        <f t="shared" si="12"/>
        <v>46</v>
      </c>
      <c r="B101">
        <v>-13.580172210092645</v>
      </c>
      <c r="E101" s="11">
        <f>A101-'Mastercurve bestimmen'!$B$2</f>
        <v>-114</v>
      </c>
      <c r="F101" s="11">
        <f t="shared" si="10"/>
        <v>-13.580172210092645</v>
      </c>
      <c r="G101" s="11"/>
      <c r="H101" s="11">
        <f t="shared" si="11"/>
        <v>2.8525864220672256E+16</v>
      </c>
      <c r="I101" s="11">
        <f t="shared" si="9"/>
        <v>-250226879128704</v>
      </c>
      <c r="J101" s="11">
        <f t="shared" si="9"/>
        <v>2194972623936</v>
      </c>
      <c r="K101" s="11">
        <f t="shared" si="9"/>
        <v>-19254145824</v>
      </c>
      <c r="L101" s="11">
        <f t="shared" si="9"/>
        <v>168896016</v>
      </c>
      <c r="M101" s="11">
        <f t="shared" si="9"/>
        <v>-1481544</v>
      </c>
      <c r="N101" s="11">
        <f t="shared" si="9"/>
        <v>12996</v>
      </c>
      <c r="O101" s="11">
        <f t="shared" si="9"/>
        <v>-114</v>
      </c>
      <c r="P101" s="11">
        <f t="shared" si="13"/>
        <v>0</v>
      </c>
    </row>
    <row r="102" spans="1:16" x14ac:dyDescent="0.25">
      <c r="A102" s="11">
        <f t="shared" si="12"/>
        <v>47</v>
      </c>
      <c r="B102">
        <v>-13.500840776283784</v>
      </c>
      <c r="E102" s="11">
        <f>A102-'Mastercurve bestimmen'!$B$2</f>
        <v>-113</v>
      </c>
      <c r="F102" s="11">
        <f t="shared" si="10"/>
        <v>-13.500840776283784</v>
      </c>
      <c r="G102" s="11"/>
      <c r="H102" s="11">
        <f t="shared" si="11"/>
        <v>2.658444192906432E+16</v>
      </c>
      <c r="I102" s="11">
        <f t="shared" si="9"/>
        <v>-235260548044817</v>
      </c>
      <c r="J102" s="11">
        <f t="shared" si="9"/>
        <v>2081951752609</v>
      </c>
      <c r="K102" s="11">
        <f t="shared" si="9"/>
        <v>-18424351793</v>
      </c>
      <c r="L102" s="11">
        <f t="shared" si="9"/>
        <v>163047361</v>
      </c>
      <c r="M102" s="11">
        <f t="shared" si="9"/>
        <v>-1442897</v>
      </c>
      <c r="N102" s="11">
        <f t="shared" si="9"/>
        <v>12769</v>
      </c>
      <c r="O102" s="11">
        <f t="shared" si="9"/>
        <v>-113</v>
      </c>
      <c r="P102" s="11">
        <f t="shared" si="13"/>
        <v>0</v>
      </c>
    </row>
    <row r="103" spans="1:16" x14ac:dyDescent="0.25">
      <c r="A103" s="11">
        <f t="shared" si="12"/>
        <v>48</v>
      </c>
      <c r="B103">
        <v>-13.421536811767119</v>
      </c>
      <c r="E103" s="11">
        <f>A103-'Mastercurve bestimmen'!$B$2</f>
        <v>-112</v>
      </c>
      <c r="F103" s="11">
        <f t="shared" si="10"/>
        <v>-13.421536811767119</v>
      </c>
      <c r="G103" s="11"/>
      <c r="H103" s="11">
        <f t="shared" si="11"/>
        <v>2.4759631762948096E+16</v>
      </c>
      <c r="I103" s="11">
        <f t="shared" si="9"/>
        <v>-221068140740608</v>
      </c>
      <c r="J103" s="11">
        <f t="shared" si="9"/>
        <v>1973822685184</v>
      </c>
      <c r="K103" s="11">
        <f t="shared" si="9"/>
        <v>-17623416832</v>
      </c>
      <c r="L103" s="11">
        <f t="shared" si="9"/>
        <v>157351936</v>
      </c>
      <c r="M103" s="11">
        <f t="shared" si="9"/>
        <v>-1404928</v>
      </c>
      <c r="N103" s="11">
        <f t="shared" si="9"/>
        <v>12544</v>
      </c>
      <c r="O103" s="11">
        <f t="shared" si="9"/>
        <v>-112</v>
      </c>
      <c r="P103" s="11">
        <f t="shared" si="13"/>
        <v>0</v>
      </c>
    </row>
    <row r="104" spans="1:16" x14ac:dyDescent="0.25">
      <c r="A104" s="11">
        <f t="shared" si="12"/>
        <v>49</v>
      </c>
      <c r="B104">
        <v>-13.34216673041098</v>
      </c>
      <c r="E104" s="11">
        <f>A104-'Mastercurve bestimmen'!$B$2</f>
        <v>-111</v>
      </c>
      <c r="F104" s="11">
        <f t="shared" si="10"/>
        <v>-13.34216673041098</v>
      </c>
      <c r="G104" s="11"/>
      <c r="H104" s="11">
        <f t="shared" si="11"/>
        <v>2.304537769717568E+16</v>
      </c>
      <c r="I104" s="11">
        <f t="shared" si="9"/>
        <v>-207616015289871</v>
      </c>
      <c r="J104" s="11">
        <f t="shared" si="9"/>
        <v>1870414552161</v>
      </c>
      <c r="K104" s="11">
        <f t="shared" si="9"/>
        <v>-16850581551</v>
      </c>
      <c r="L104" s="11">
        <f t="shared" si="9"/>
        <v>151807041</v>
      </c>
      <c r="M104" s="11">
        <f t="shared" si="9"/>
        <v>-1367631</v>
      </c>
      <c r="N104" s="11">
        <f t="shared" si="9"/>
        <v>12321</v>
      </c>
      <c r="O104" s="11">
        <f t="shared" si="9"/>
        <v>-111</v>
      </c>
      <c r="P104" s="11">
        <f t="shared" si="13"/>
        <v>0</v>
      </c>
    </row>
    <row r="105" spans="1:16" x14ac:dyDescent="0.25">
      <c r="A105" s="11">
        <f t="shared" si="12"/>
        <v>50</v>
      </c>
      <c r="B105">
        <v>-13.262636946083706</v>
      </c>
      <c r="E105" s="11">
        <f>A105-'Mastercurve bestimmen'!$B$2</f>
        <v>-110</v>
      </c>
      <c r="F105" s="11">
        <f t="shared" si="10"/>
        <v>-13.262636946083706</v>
      </c>
      <c r="G105" s="11"/>
      <c r="H105" s="11">
        <f t="shared" si="11"/>
        <v>2.14358881E+16</v>
      </c>
      <c r="I105" s="11">
        <f t="shared" si="9"/>
        <v>-194871710000000</v>
      </c>
      <c r="J105" s="11">
        <f t="shared" si="9"/>
        <v>1771561000000</v>
      </c>
      <c r="K105" s="11">
        <f t="shared" si="9"/>
        <v>-16105100000</v>
      </c>
      <c r="L105" s="11">
        <f t="shared" si="9"/>
        <v>146410000</v>
      </c>
      <c r="M105" s="11">
        <f t="shared" si="9"/>
        <v>-1331000</v>
      </c>
      <c r="N105" s="11">
        <f t="shared" si="9"/>
        <v>12100</v>
      </c>
      <c r="O105" s="11">
        <f t="shared" si="9"/>
        <v>-110</v>
      </c>
      <c r="P105" s="11">
        <f t="shared" si="13"/>
        <v>0</v>
      </c>
    </row>
    <row r="106" spans="1:16" x14ac:dyDescent="0.25">
      <c r="A106" s="11">
        <f t="shared" si="12"/>
        <v>51</v>
      </c>
      <c r="B106">
        <v>-13.182863260205265</v>
      </c>
      <c r="E106" s="11">
        <f>A106-'Mastercurve bestimmen'!$B$2</f>
        <v>-109</v>
      </c>
      <c r="F106" s="11">
        <f t="shared" si="10"/>
        <v>-13.182863260205265</v>
      </c>
      <c r="G106" s="11"/>
      <c r="H106" s="11">
        <f t="shared" si="11"/>
        <v>1.992562641690192E+16</v>
      </c>
      <c r="I106" s="11">
        <f t="shared" si="9"/>
        <v>-182803912081669</v>
      </c>
      <c r="J106" s="11">
        <f t="shared" si="9"/>
        <v>1677100110841</v>
      </c>
      <c r="K106" s="11">
        <f t="shared" si="9"/>
        <v>-15386239549</v>
      </c>
      <c r="L106" s="11">
        <f t="shared" si="9"/>
        <v>141158161</v>
      </c>
      <c r="M106" s="11">
        <f t="shared" si="9"/>
        <v>-1295029</v>
      </c>
      <c r="N106" s="11">
        <f t="shared" si="9"/>
        <v>11881</v>
      </c>
      <c r="O106" s="11">
        <f t="shared" si="9"/>
        <v>-109</v>
      </c>
      <c r="P106" s="11">
        <f t="shared" si="13"/>
        <v>0</v>
      </c>
    </row>
    <row r="107" spans="1:16" x14ac:dyDescent="0.25">
      <c r="A107" s="11">
        <f t="shared" si="12"/>
        <v>52</v>
      </c>
      <c r="B107">
        <v>-13.102799024402184</v>
      </c>
      <c r="E107" s="11">
        <f>A107-'Mastercurve bestimmen'!$B$2</f>
        <v>-108</v>
      </c>
      <c r="F107" s="11">
        <f t="shared" si="10"/>
        <v>-13.102799024402184</v>
      </c>
      <c r="G107" s="11"/>
      <c r="H107" s="11">
        <f t="shared" si="11"/>
        <v>1.8509302102818816E+16</v>
      </c>
      <c r="I107" s="11">
        <f t="shared" si="9"/>
        <v>-171382426877952</v>
      </c>
      <c r="J107" s="11">
        <f t="shared" si="9"/>
        <v>1586874322944</v>
      </c>
      <c r="K107" s="11">
        <f t="shared" si="9"/>
        <v>-14693280768</v>
      </c>
      <c r="L107" s="11">
        <f t="shared" si="9"/>
        <v>136048896</v>
      </c>
      <c r="M107" s="11">
        <f t="shared" si="9"/>
        <v>-1259712</v>
      </c>
      <c r="N107" s="11">
        <f t="shared" si="9"/>
        <v>11664</v>
      </c>
      <c r="O107" s="11">
        <f t="shared" si="9"/>
        <v>-108</v>
      </c>
      <c r="P107" s="11">
        <f t="shared" si="13"/>
        <v>0</v>
      </c>
    </row>
    <row r="108" spans="1:16" x14ac:dyDescent="0.25">
      <c r="A108" s="11">
        <f t="shared" si="12"/>
        <v>53</v>
      </c>
      <c r="B108">
        <v>-13.02240697785262</v>
      </c>
      <c r="E108" s="11">
        <f>A108-'Mastercurve bestimmen'!$B$2</f>
        <v>-107</v>
      </c>
      <c r="F108" s="11">
        <f t="shared" si="10"/>
        <v>-13.02240697785262</v>
      </c>
      <c r="G108" s="11"/>
      <c r="H108" s="11">
        <f t="shared" si="11"/>
        <v>1.71818617983192E+16</v>
      </c>
      <c r="I108" s="11">
        <f t="shared" si="9"/>
        <v>-160578147647843</v>
      </c>
      <c r="J108" s="11">
        <f t="shared" si="9"/>
        <v>1500730351849</v>
      </c>
      <c r="K108" s="11">
        <f t="shared" si="9"/>
        <v>-14025517307</v>
      </c>
      <c r="L108" s="11">
        <f t="shared" si="9"/>
        <v>131079601</v>
      </c>
      <c r="M108" s="11">
        <f t="shared" si="9"/>
        <v>-1225043</v>
      </c>
      <c r="N108" s="11">
        <f t="shared" si="9"/>
        <v>11449</v>
      </c>
      <c r="O108" s="11">
        <f t="shared" si="9"/>
        <v>-107</v>
      </c>
      <c r="P108" s="11">
        <f t="shared" si="13"/>
        <v>0</v>
      </c>
    </row>
    <row r="109" spans="1:16" x14ac:dyDescent="0.25">
      <c r="A109" s="11">
        <f t="shared" si="12"/>
        <v>54</v>
      </c>
      <c r="B109">
        <v>-12.941649859734735</v>
      </c>
      <c r="E109" s="11">
        <f>A109-'Mastercurve bestimmen'!$B$2</f>
        <v>-106</v>
      </c>
      <c r="F109" s="11">
        <f t="shared" si="10"/>
        <v>-12.941649859734735</v>
      </c>
      <c r="G109" s="11"/>
      <c r="H109" s="11">
        <f t="shared" si="11"/>
        <v>1.5938480745308416E+16</v>
      </c>
      <c r="I109" s="11">
        <f t="shared" si="9"/>
        <v>-150363025899136</v>
      </c>
      <c r="J109" s="11">
        <f t="shared" si="9"/>
        <v>1418519112256</v>
      </c>
      <c r="K109" s="11">
        <f t="shared" si="9"/>
        <v>-13382255776</v>
      </c>
      <c r="L109" s="11">
        <f t="shared" si="9"/>
        <v>126247696</v>
      </c>
      <c r="M109" s="11">
        <f t="shared" si="9"/>
        <v>-1191016</v>
      </c>
      <c r="N109" s="11">
        <f t="shared" si="9"/>
        <v>11236</v>
      </c>
      <c r="O109" s="11">
        <f t="shared" si="9"/>
        <v>-106</v>
      </c>
      <c r="P109" s="11">
        <f t="shared" si="13"/>
        <v>0</v>
      </c>
    </row>
    <row r="110" spans="1:16" x14ac:dyDescent="0.25">
      <c r="A110" s="11">
        <f t="shared" si="12"/>
        <v>55</v>
      </c>
      <c r="B110">
        <v>-12.86049040922669</v>
      </c>
      <c r="E110" s="11">
        <f>A110-'Mastercurve bestimmen'!$B$2</f>
        <v>-105</v>
      </c>
      <c r="F110" s="11">
        <f t="shared" si="10"/>
        <v>-12.86049040922669</v>
      </c>
      <c r="G110" s="11"/>
      <c r="H110" s="11">
        <f t="shared" si="11"/>
        <v>1.4774554437890624E+16</v>
      </c>
      <c r="I110" s="11">
        <f t="shared" si="9"/>
        <v>-140710042265625</v>
      </c>
      <c r="J110" s="11">
        <f t="shared" si="9"/>
        <v>1340095640625</v>
      </c>
      <c r="K110" s="11">
        <f t="shared" si="9"/>
        <v>-12762815625</v>
      </c>
      <c r="L110" s="11">
        <f t="shared" si="9"/>
        <v>121550625</v>
      </c>
      <c r="M110" s="11">
        <f t="shared" si="9"/>
        <v>-1157625</v>
      </c>
      <c r="N110" s="11">
        <f t="shared" si="9"/>
        <v>11025</v>
      </c>
      <c r="O110" s="11">
        <f t="shared" si="9"/>
        <v>-105</v>
      </c>
      <c r="P110" s="11">
        <f t="shared" si="13"/>
        <v>0</v>
      </c>
    </row>
    <row r="111" spans="1:16" x14ac:dyDescent="0.25">
      <c r="A111" s="11">
        <f t="shared" si="12"/>
        <v>56</v>
      </c>
      <c r="B111">
        <v>-12.778891365506645</v>
      </c>
      <c r="E111" s="11">
        <f>A111-'Mastercurve bestimmen'!$B$2</f>
        <v>-104</v>
      </c>
      <c r="F111" s="11">
        <f t="shared" si="10"/>
        <v>-12.778891365506645</v>
      </c>
      <c r="G111" s="11"/>
      <c r="H111" s="11">
        <f t="shared" si="11"/>
        <v>1.3685690504052736E+16</v>
      </c>
      <c r="I111" s="11">
        <f t="shared" si="9"/>
        <v>-131593177923584</v>
      </c>
      <c r="J111" s="11">
        <f t="shared" si="9"/>
        <v>1265319018496</v>
      </c>
      <c r="K111" s="11">
        <f t="shared" si="9"/>
        <v>-12166529024</v>
      </c>
      <c r="L111" s="11">
        <f t="shared" si="9"/>
        <v>116985856</v>
      </c>
      <c r="M111" s="11">
        <f t="shared" si="9"/>
        <v>-1124864</v>
      </c>
      <c r="N111" s="11">
        <f t="shared" si="9"/>
        <v>10816</v>
      </c>
      <c r="O111" s="11">
        <f t="shared" si="9"/>
        <v>-104</v>
      </c>
      <c r="P111" s="11">
        <f t="shared" si="13"/>
        <v>0</v>
      </c>
    </row>
    <row r="112" spans="1:16" x14ac:dyDescent="0.25">
      <c r="A112" s="11">
        <f t="shared" si="12"/>
        <v>57</v>
      </c>
      <c r="B112">
        <v>-12.696815467752758</v>
      </c>
      <c r="E112" s="11">
        <f>A112-'Mastercurve bestimmen'!$B$2</f>
        <v>-103</v>
      </c>
      <c r="F112" s="11">
        <f t="shared" si="10"/>
        <v>-12.696815467752758</v>
      </c>
      <c r="G112" s="11"/>
      <c r="H112" s="11">
        <f t="shared" si="11"/>
        <v>1.266770081387616E+16</v>
      </c>
      <c r="I112" s="11">
        <f t="shared" si="9"/>
        <v>-122987386542487</v>
      </c>
      <c r="J112" s="11">
        <f t="shared" si="9"/>
        <v>1194052296529</v>
      </c>
      <c r="K112" s="11">
        <f t="shared" si="9"/>
        <v>-11592740743</v>
      </c>
      <c r="L112" s="11">
        <f t="shared" si="9"/>
        <v>112550881</v>
      </c>
      <c r="M112" s="11">
        <f t="shared" si="9"/>
        <v>-1092727</v>
      </c>
      <c r="N112" s="11">
        <f t="shared" si="9"/>
        <v>10609</v>
      </c>
      <c r="O112" s="11">
        <f t="shared" si="9"/>
        <v>-103</v>
      </c>
      <c r="P112" s="11">
        <f t="shared" si="13"/>
        <v>0</v>
      </c>
    </row>
    <row r="113" spans="1:16" x14ac:dyDescent="0.25">
      <c r="A113" s="11">
        <f t="shared" si="12"/>
        <v>58</v>
      </c>
      <c r="B113">
        <v>-12.614225455143192</v>
      </c>
      <c r="E113" s="11">
        <f>A113-'Mastercurve bestimmen'!$B$2</f>
        <v>-102</v>
      </c>
      <c r="F113" s="11">
        <f t="shared" si="10"/>
        <v>-12.614225455143192</v>
      </c>
      <c r="G113" s="11"/>
      <c r="H113" s="11">
        <f t="shared" si="11"/>
        <v>1.1716593810022656E+16</v>
      </c>
      <c r="I113" s="11">
        <f t="shared" si="9"/>
        <v>-114868566764928</v>
      </c>
      <c r="J113" s="11">
        <f t="shared" si="9"/>
        <v>1126162419264</v>
      </c>
      <c r="K113" s="11">
        <f t="shared" si="9"/>
        <v>-11040808032</v>
      </c>
      <c r="L113" s="11">
        <f t="shared" si="9"/>
        <v>108243216</v>
      </c>
      <c r="M113" s="11">
        <f t="shared" si="9"/>
        <v>-1061208</v>
      </c>
      <c r="N113" s="11">
        <f t="shared" si="9"/>
        <v>10404</v>
      </c>
      <c r="O113" s="11">
        <f t="shared" si="9"/>
        <v>-102</v>
      </c>
      <c r="P113" s="11">
        <f t="shared" si="13"/>
        <v>0</v>
      </c>
    </row>
    <row r="114" spans="1:16" x14ac:dyDescent="0.25">
      <c r="A114" s="11">
        <f t="shared" si="12"/>
        <v>59</v>
      </c>
      <c r="B114">
        <v>-12.531084066856105</v>
      </c>
      <c r="E114" s="11">
        <f>A114-'Mastercurve bestimmen'!$B$2</f>
        <v>-101</v>
      </c>
      <c r="F114" s="11">
        <f t="shared" si="10"/>
        <v>-12.531084066856105</v>
      </c>
      <c r="G114" s="11"/>
      <c r="H114" s="11">
        <f t="shared" si="11"/>
        <v>1.08285670562808E+16</v>
      </c>
      <c r="I114" s="11">
        <f t="shared" si="9"/>
        <v>-107213535210701</v>
      </c>
      <c r="J114" s="11">
        <f t="shared" si="9"/>
        <v>1061520150601</v>
      </c>
      <c r="K114" s="11">
        <f t="shared" si="9"/>
        <v>-10510100501</v>
      </c>
      <c r="L114" s="11">
        <f t="shared" si="9"/>
        <v>104060401</v>
      </c>
      <c r="M114" s="11">
        <f t="shared" si="9"/>
        <v>-1030301</v>
      </c>
      <c r="N114" s="11">
        <f t="shared" si="9"/>
        <v>10201</v>
      </c>
      <c r="O114" s="11">
        <f t="shared" si="9"/>
        <v>-101</v>
      </c>
      <c r="P114" s="11">
        <f t="shared" si="13"/>
        <v>0</v>
      </c>
    </row>
    <row r="115" spans="1:16" x14ac:dyDescent="0.25">
      <c r="A115" s="11">
        <f t="shared" si="12"/>
        <v>60</v>
      </c>
      <c r="B115">
        <v>-12.447354042069659</v>
      </c>
      <c r="E115" s="11">
        <f>A115-'Mastercurve bestimmen'!$B$2</f>
        <v>-100</v>
      </c>
      <c r="F115" s="11">
        <f t="shared" si="10"/>
        <v>-12.447354042069659</v>
      </c>
      <c r="G115" s="11"/>
      <c r="H115" s="11">
        <f t="shared" si="11"/>
        <v>1E+16</v>
      </c>
      <c r="I115" s="11">
        <f t="shared" si="9"/>
        <v>-100000000000000</v>
      </c>
      <c r="J115" s="11">
        <f t="shared" si="9"/>
        <v>1000000000000</v>
      </c>
      <c r="K115" s="11">
        <f t="shared" si="9"/>
        <v>-10000000000</v>
      </c>
      <c r="L115" s="11">
        <f t="shared" si="9"/>
        <v>100000000</v>
      </c>
      <c r="M115" s="11">
        <f t="shared" si="9"/>
        <v>-1000000</v>
      </c>
      <c r="N115" s="11">
        <f t="shared" si="9"/>
        <v>10000</v>
      </c>
      <c r="O115" s="11">
        <f t="shared" si="9"/>
        <v>-100</v>
      </c>
      <c r="P115" s="11">
        <f t="shared" si="13"/>
        <v>0</v>
      </c>
    </row>
    <row r="116" spans="1:16" x14ac:dyDescent="0.25">
      <c r="A116" s="11">
        <f t="shared" si="12"/>
        <v>61</v>
      </c>
      <c r="B116">
        <v>-12.362998119962011</v>
      </c>
      <c r="E116" s="11">
        <f>A116-'Mastercurve bestimmen'!$B$2</f>
        <v>-99</v>
      </c>
      <c r="F116" s="11">
        <f t="shared" si="10"/>
        <v>-12.362998119962011</v>
      </c>
      <c r="G116" s="11"/>
      <c r="H116" s="11">
        <f t="shared" si="11"/>
        <v>9227446944279200</v>
      </c>
      <c r="I116" s="11">
        <f t="shared" si="9"/>
        <v>-93206534790699</v>
      </c>
      <c r="J116" s="11">
        <f t="shared" si="9"/>
        <v>941480149401</v>
      </c>
      <c r="K116" s="11">
        <f t="shared" ref="I116:O152" si="14">IF($H$12&gt;=K$14,$E116^K$14,0)</f>
        <v>-9509900499</v>
      </c>
      <c r="L116" s="11">
        <f t="shared" si="14"/>
        <v>96059601</v>
      </c>
      <c r="M116" s="11">
        <f t="shared" si="14"/>
        <v>-970299</v>
      </c>
      <c r="N116" s="11">
        <f t="shared" si="14"/>
        <v>9801</v>
      </c>
      <c r="O116" s="11">
        <f t="shared" si="14"/>
        <v>-99</v>
      </c>
      <c r="P116" s="11">
        <f t="shared" si="13"/>
        <v>0</v>
      </c>
    </row>
    <row r="117" spans="1:16" x14ac:dyDescent="0.25">
      <c r="A117" s="11">
        <f t="shared" si="12"/>
        <v>62</v>
      </c>
      <c r="B117">
        <v>-12.277979039711326</v>
      </c>
      <c r="E117" s="11">
        <f>A117-'Mastercurve bestimmen'!$B$2</f>
        <v>-98</v>
      </c>
      <c r="F117" s="11">
        <f t="shared" si="10"/>
        <v>-12.277979039711326</v>
      </c>
      <c r="G117" s="11"/>
      <c r="H117" s="11">
        <f t="shared" si="11"/>
        <v>8507630225817856</v>
      </c>
      <c r="I117" s="11">
        <f t="shared" si="14"/>
        <v>-86812553324672</v>
      </c>
      <c r="J117" s="11">
        <f t="shared" si="14"/>
        <v>885842380864</v>
      </c>
      <c r="K117" s="11">
        <f t="shared" si="14"/>
        <v>-9039207968</v>
      </c>
      <c r="L117" s="11">
        <f t="shared" si="14"/>
        <v>92236816</v>
      </c>
      <c r="M117" s="11">
        <f t="shared" si="14"/>
        <v>-941192</v>
      </c>
      <c r="N117" s="11">
        <f t="shared" si="14"/>
        <v>9604</v>
      </c>
      <c r="O117" s="11">
        <f t="shared" si="14"/>
        <v>-98</v>
      </c>
      <c r="P117" s="11">
        <f t="shared" si="13"/>
        <v>0</v>
      </c>
    </row>
    <row r="118" spans="1:16" x14ac:dyDescent="0.25">
      <c r="A118" s="11">
        <f t="shared" si="12"/>
        <v>63</v>
      </c>
      <c r="B118">
        <v>-12.192259540495762</v>
      </c>
      <c r="E118" s="11">
        <f>A118-'Mastercurve bestimmen'!$B$2</f>
        <v>-97</v>
      </c>
      <c r="F118" s="11">
        <f t="shared" si="10"/>
        <v>-12.192259540495762</v>
      </c>
      <c r="G118" s="11"/>
      <c r="H118" s="11">
        <f t="shared" si="11"/>
        <v>7837433594376961</v>
      </c>
      <c r="I118" s="11">
        <f t="shared" si="14"/>
        <v>-80798284478113</v>
      </c>
      <c r="J118" s="11">
        <f t="shared" si="14"/>
        <v>832972004929</v>
      </c>
      <c r="K118" s="11">
        <f t="shared" si="14"/>
        <v>-8587340257</v>
      </c>
      <c r="L118" s="11">
        <f t="shared" si="14"/>
        <v>88529281</v>
      </c>
      <c r="M118" s="11">
        <f t="shared" si="14"/>
        <v>-912673</v>
      </c>
      <c r="N118" s="11">
        <f t="shared" si="14"/>
        <v>9409</v>
      </c>
      <c r="O118" s="11">
        <f t="shared" si="14"/>
        <v>-97</v>
      </c>
      <c r="P118" s="11">
        <f t="shared" si="13"/>
        <v>0</v>
      </c>
    </row>
    <row r="119" spans="1:16" x14ac:dyDescent="0.25">
      <c r="A119" s="11">
        <f t="shared" si="12"/>
        <v>64</v>
      </c>
      <c r="B119">
        <v>-12.105802361493478</v>
      </c>
      <c r="E119" s="11">
        <f>A119-'Mastercurve bestimmen'!$B$2</f>
        <v>-96</v>
      </c>
      <c r="F119" s="11">
        <f t="shared" si="10"/>
        <v>-12.105802361493478</v>
      </c>
      <c r="G119" s="11"/>
      <c r="H119" s="11">
        <f t="shared" si="11"/>
        <v>7213895789838336</v>
      </c>
      <c r="I119" s="11">
        <f t="shared" si="14"/>
        <v>-75144747810816</v>
      </c>
      <c r="J119" s="11">
        <f t="shared" si="14"/>
        <v>782757789696</v>
      </c>
      <c r="K119" s="11">
        <f t="shared" si="14"/>
        <v>-8153726976</v>
      </c>
      <c r="L119" s="11">
        <f t="shared" si="14"/>
        <v>84934656</v>
      </c>
      <c r="M119" s="11">
        <f t="shared" si="14"/>
        <v>-884736</v>
      </c>
      <c r="N119" s="11">
        <f t="shared" si="14"/>
        <v>9216</v>
      </c>
      <c r="O119" s="11">
        <f t="shared" si="14"/>
        <v>-96</v>
      </c>
      <c r="P119" s="11">
        <f t="shared" si="13"/>
        <v>0</v>
      </c>
    </row>
    <row r="120" spans="1:16" x14ac:dyDescent="0.25">
      <c r="A120" s="11">
        <f t="shared" si="12"/>
        <v>65</v>
      </c>
      <c r="B120">
        <v>-12.018570241882637</v>
      </c>
      <c r="E120" s="11">
        <f>A120-'Mastercurve bestimmen'!$B$2</f>
        <v>-95</v>
      </c>
      <c r="F120" s="11">
        <f t="shared" si="10"/>
        <v>-12.018570241882637</v>
      </c>
      <c r="G120" s="11"/>
      <c r="H120" s="11">
        <f t="shared" si="11"/>
        <v>6634204312890625</v>
      </c>
      <c r="I120" s="11">
        <f t="shared" si="14"/>
        <v>-69833729609375</v>
      </c>
      <c r="J120" s="11">
        <f t="shared" si="14"/>
        <v>735091890625</v>
      </c>
      <c r="K120" s="11">
        <f t="shared" si="14"/>
        <v>-7737809375</v>
      </c>
      <c r="L120" s="11">
        <f t="shared" si="14"/>
        <v>81450625</v>
      </c>
      <c r="M120" s="11">
        <f t="shared" si="14"/>
        <v>-857375</v>
      </c>
      <c r="N120" s="11">
        <f t="shared" si="14"/>
        <v>9025</v>
      </c>
      <c r="O120" s="11">
        <f t="shared" si="14"/>
        <v>-95</v>
      </c>
      <c r="P120" s="11">
        <f t="shared" si="13"/>
        <v>0</v>
      </c>
    </row>
    <row r="121" spans="1:16" x14ac:dyDescent="0.25">
      <c r="A121" s="11">
        <f t="shared" si="12"/>
        <v>66</v>
      </c>
      <c r="B121">
        <v>-11.930525920841397</v>
      </c>
      <c r="E121" s="11">
        <f>A121-'Mastercurve bestimmen'!$B$2</f>
        <v>-94</v>
      </c>
      <c r="F121" s="11">
        <f t="shared" si="10"/>
        <v>-11.930525920841397</v>
      </c>
      <c r="G121" s="11"/>
      <c r="H121" s="11">
        <f t="shared" si="11"/>
        <v>6095689385410816</v>
      </c>
      <c r="I121" s="11">
        <f t="shared" si="14"/>
        <v>-64847759419264</v>
      </c>
      <c r="J121" s="11">
        <f t="shared" si="14"/>
        <v>689869781056</v>
      </c>
      <c r="K121" s="11">
        <f t="shared" si="14"/>
        <v>-7339040224</v>
      </c>
      <c r="L121" s="11">
        <f t="shared" si="14"/>
        <v>78074896</v>
      </c>
      <c r="M121" s="11">
        <f t="shared" si="14"/>
        <v>-830584</v>
      </c>
      <c r="N121" s="11">
        <f t="shared" si="14"/>
        <v>8836</v>
      </c>
      <c r="O121" s="11">
        <f t="shared" si="14"/>
        <v>-94</v>
      </c>
      <c r="P121" s="11">
        <f t="shared" si="13"/>
        <v>0</v>
      </c>
    </row>
    <row r="122" spans="1:16" x14ac:dyDescent="0.25">
      <c r="A122" s="11">
        <f t="shared" si="12"/>
        <v>67</v>
      </c>
      <c r="B122">
        <v>-11.841632137547919</v>
      </c>
      <c r="E122" s="11">
        <f>A122-'Mastercurve bestimmen'!$B$2</f>
        <v>-93</v>
      </c>
      <c r="F122" s="11">
        <f t="shared" si="10"/>
        <v>-11.841632137547919</v>
      </c>
      <c r="G122" s="11"/>
      <c r="H122" s="11">
        <f t="shared" si="11"/>
        <v>5595818096650401</v>
      </c>
      <c r="I122" s="11">
        <f t="shared" si="14"/>
        <v>-60170087060757</v>
      </c>
      <c r="J122" s="11">
        <f t="shared" si="14"/>
        <v>646990183449</v>
      </c>
      <c r="K122" s="11">
        <f t="shared" si="14"/>
        <v>-6956883693</v>
      </c>
      <c r="L122" s="11">
        <f t="shared" si="14"/>
        <v>74805201</v>
      </c>
      <c r="M122" s="11">
        <f t="shared" si="14"/>
        <v>-804357</v>
      </c>
      <c r="N122" s="11">
        <f t="shared" si="14"/>
        <v>8649</v>
      </c>
      <c r="O122" s="11">
        <f t="shared" si="14"/>
        <v>-93</v>
      </c>
      <c r="P122" s="11">
        <f t="shared" si="13"/>
        <v>0</v>
      </c>
    </row>
    <row r="123" spans="1:16" x14ac:dyDescent="0.25">
      <c r="A123" s="11">
        <f t="shared" si="12"/>
        <v>68</v>
      </c>
      <c r="B123">
        <v>-11.751851631180365</v>
      </c>
      <c r="E123" s="11">
        <f>A123-'Mastercurve bestimmen'!$B$2</f>
        <v>-92</v>
      </c>
      <c r="F123" s="11">
        <f t="shared" si="10"/>
        <v>-11.751851631180365</v>
      </c>
      <c r="G123" s="11"/>
      <c r="H123" s="11">
        <f t="shared" si="11"/>
        <v>5132188731375616</v>
      </c>
      <c r="I123" s="11">
        <f t="shared" si="14"/>
        <v>-55784660123648</v>
      </c>
      <c r="J123" s="11">
        <f t="shared" si="14"/>
        <v>606355001344</v>
      </c>
      <c r="K123" s="11">
        <f t="shared" si="14"/>
        <v>-6590815232</v>
      </c>
      <c r="L123" s="11">
        <f t="shared" si="14"/>
        <v>71639296</v>
      </c>
      <c r="M123" s="11">
        <f t="shared" si="14"/>
        <v>-778688</v>
      </c>
      <c r="N123" s="11">
        <f t="shared" si="14"/>
        <v>8464</v>
      </c>
      <c r="O123" s="11">
        <f t="shared" si="14"/>
        <v>-92</v>
      </c>
      <c r="P123" s="11">
        <f t="shared" si="13"/>
        <v>0</v>
      </c>
    </row>
    <row r="124" spans="1:16" x14ac:dyDescent="0.25">
      <c r="A124" s="11">
        <f t="shared" si="12"/>
        <v>69</v>
      </c>
      <c r="B124">
        <v>-11.661147140916892</v>
      </c>
      <c r="E124" s="11">
        <f>A124-'Mastercurve bestimmen'!$B$2</f>
        <v>-91</v>
      </c>
      <c r="F124" s="11">
        <f t="shared" si="10"/>
        <v>-11.661147140916892</v>
      </c>
      <c r="G124" s="11"/>
      <c r="H124" s="11">
        <f t="shared" si="11"/>
        <v>4702525276151521</v>
      </c>
      <c r="I124" s="11">
        <f t="shared" si="14"/>
        <v>-51676101935731</v>
      </c>
      <c r="J124" s="11">
        <f t="shared" si="14"/>
        <v>567869252041</v>
      </c>
      <c r="K124" s="11">
        <f t="shared" si="14"/>
        <v>-6240321451</v>
      </c>
      <c r="L124" s="11">
        <f t="shared" si="14"/>
        <v>68574961</v>
      </c>
      <c r="M124" s="11">
        <f t="shared" si="14"/>
        <v>-753571</v>
      </c>
      <c r="N124" s="11">
        <f t="shared" si="14"/>
        <v>8281</v>
      </c>
      <c r="O124" s="11">
        <f t="shared" si="14"/>
        <v>-91</v>
      </c>
      <c r="P124" s="11">
        <f t="shared" si="13"/>
        <v>0</v>
      </c>
    </row>
    <row r="125" spans="1:16" x14ac:dyDescent="0.25">
      <c r="A125" s="11">
        <f t="shared" si="12"/>
        <v>70</v>
      </c>
      <c r="B125">
        <v>-11.569481405935662</v>
      </c>
      <c r="E125" s="11">
        <f>A125-'Mastercurve bestimmen'!$B$2</f>
        <v>-90</v>
      </c>
      <c r="F125" s="11">
        <f t="shared" si="10"/>
        <v>-11.569481405935662</v>
      </c>
      <c r="G125" s="11"/>
      <c r="H125" s="11">
        <f t="shared" si="11"/>
        <v>4304672100000000</v>
      </c>
      <c r="I125" s="11">
        <f t="shared" si="14"/>
        <v>-47829690000000</v>
      </c>
      <c r="J125" s="11">
        <f t="shared" si="14"/>
        <v>531441000000</v>
      </c>
      <c r="K125" s="11">
        <f t="shared" si="14"/>
        <v>-5904900000</v>
      </c>
      <c r="L125" s="11">
        <f t="shared" si="14"/>
        <v>65610000</v>
      </c>
      <c r="M125" s="11">
        <f t="shared" si="14"/>
        <v>-729000</v>
      </c>
      <c r="N125" s="11">
        <f t="shared" si="14"/>
        <v>8100</v>
      </c>
      <c r="O125" s="11">
        <f t="shared" si="14"/>
        <v>-90</v>
      </c>
      <c r="P125" s="11">
        <f t="shared" si="13"/>
        <v>0</v>
      </c>
    </row>
    <row r="126" spans="1:16" x14ac:dyDescent="0.25">
      <c r="A126" s="11">
        <f t="shared" si="12"/>
        <v>71</v>
      </c>
      <c r="B126">
        <v>-11.476817165414834</v>
      </c>
      <c r="E126" s="11">
        <f>A126-'Mastercurve bestimmen'!$B$2</f>
        <v>-89</v>
      </c>
      <c r="F126" s="11">
        <f t="shared" si="10"/>
        <v>-11.476817165414834</v>
      </c>
      <c r="G126" s="11"/>
      <c r="H126" s="11">
        <f t="shared" si="11"/>
        <v>3936588805702081</v>
      </c>
      <c r="I126" s="11">
        <f t="shared" si="14"/>
        <v>-44231334895529</v>
      </c>
      <c r="J126" s="11">
        <f t="shared" si="14"/>
        <v>496981290961</v>
      </c>
      <c r="K126" s="11">
        <f t="shared" si="14"/>
        <v>-5584059449</v>
      </c>
      <c r="L126" s="11">
        <f t="shared" si="14"/>
        <v>62742241</v>
      </c>
      <c r="M126" s="11">
        <f t="shared" si="14"/>
        <v>-704969</v>
      </c>
      <c r="N126" s="11">
        <f t="shared" si="14"/>
        <v>7921</v>
      </c>
      <c r="O126" s="11">
        <f t="shared" si="14"/>
        <v>-89</v>
      </c>
      <c r="P126" s="11">
        <f t="shared" si="13"/>
        <v>0</v>
      </c>
    </row>
    <row r="127" spans="1:16" x14ac:dyDescent="0.25">
      <c r="A127" s="11">
        <f t="shared" si="12"/>
        <v>72</v>
      </c>
      <c r="B127">
        <v>-11.383117158532571</v>
      </c>
      <c r="E127" s="11">
        <f>A127-'Mastercurve bestimmen'!$B$2</f>
        <v>-88</v>
      </c>
      <c r="F127" s="11">
        <f t="shared" si="10"/>
        <v>-11.383117158532571</v>
      </c>
      <c r="G127" s="11"/>
      <c r="H127" s="11">
        <f t="shared" si="11"/>
        <v>3596345248055296</v>
      </c>
      <c r="I127" s="11">
        <f t="shared" si="14"/>
        <v>-40867559636992</v>
      </c>
      <c r="J127" s="11">
        <f t="shared" si="14"/>
        <v>464404086784</v>
      </c>
      <c r="K127" s="11">
        <f t="shared" si="14"/>
        <v>-5277319168</v>
      </c>
      <c r="L127" s="11">
        <f t="shared" si="14"/>
        <v>59969536</v>
      </c>
      <c r="M127" s="11">
        <f t="shared" si="14"/>
        <v>-681472</v>
      </c>
      <c r="N127" s="11">
        <f t="shared" si="14"/>
        <v>7744</v>
      </c>
      <c r="O127" s="11">
        <f t="shared" si="14"/>
        <v>-88</v>
      </c>
      <c r="P127" s="11">
        <f t="shared" si="13"/>
        <v>0</v>
      </c>
    </row>
    <row r="128" spans="1:16" x14ac:dyDescent="0.25">
      <c r="A128" s="11">
        <f t="shared" si="12"/>
        <v>73</v>
      </c>
      <c r="B128">
        <v>-11.288344124467031</v>
      </c>
      <c r="E128" s="11">
        <f>A128-'Mastercurve bestimmen'!$B$2</f>
        <v>-87</v>
      </c>
      <c r="F128" s="11">
        <f t="shared" si="10"/>
        <v>-11.288344124467031</v>
      </c>
      <c r="G128" s="11"/>
      <c r="H128" s="11">
        <f t="shared" si="11"/>
        <v>3282116715437121</v>
      </c>
      <c r="I128" s="11">
        <f t="shared" si="14"/>
        <v>-37725479487783</v>
      </c>
      <c r="J128" s="11">
        <f t="shared" si="14"/>
        <v>433626201009</v>
      </c>
      <c r="K128" s="11">
        <f t="shared" si="14"/>
        <v>-4984209207</v>
      </c>
      <c r="L128" s="11">
        <f t="shared" si="14"/>
        <v>57289761</v>
      </c>
      <c r="M128" s="11">
        <f t="shared" si="14"/>
        <v>-658503</v>
      </c>
      <c r="N128" s="11">
        <f t="shared" si="14"/>
        <v>7569</v>
      </c>
      <c r="O128" s="11">
        <f t="shared" si="14"/>
        <v>-87</v>
      </c>
      <c r="P128" s="11">
        <f t="shared" si="13"/>
        <v>0</v>
      </c>
    </row>
    <row r="129" spans="1:16" x14ac:dyDescent="0.25">
      <c r="A129" s="11">
        <f t="shared" si="12"/>
        <v>74</v>
      </c>
      <c r="B129">
        <v>-11.192460802396376</v>
      </c>
      <c r="E129" s="11">
        <f>A129-'Mastercurve bestimmen'!$B$2</f>
        <v>-86</v>
      </c>
      <c r="F129" s="11">
        <f t="shared" si="10"/>
        <v>-11.192460802396376</v>
      </c>
      <c r="G129" s="11"/>
      <c r="H129" s="11">
        <f t="shared" si="11"/>
        <v>2992179271065856</v>
      </c>
      <c r="I129" s="11">
        <f t="shared" si="14"/>
        <v>-34792782221696</v>
      </c>
      <c r="J129" s="11">
        <f t="shared" si="14"/>
        <v>404567235136</v>
      </c>
      <c r="K129" s="11">
        <f t="shared" si="14"/>
        <v>-4704270176</v>
      </c>
      <c r="L129" s="11">
        <f t="shared" si="14"/>
        <v>54700816</v>
      </c>
      <c r="M129" s="11">
        <f t="shared" si="14"/>
        <v>-636056</v>
      </c>
      <c r="N129" s="11">
        <f t="shared" si="14"/>
        <v>7396</v>
      </c>
      <c r="O129" s="11">
        <f t="shared" si="14"/>
        <v>-86</v>
      </c>
      <c r="P129" s="11">
        <f t="shared" si="13"/>
        <v>0</v>
      </c>
    </row>
    <row r="130" spans="1:16" x14ac:dyDescent="0.25">
      <c r="A130" s="11">
        <f t="shared" si="12"/>
        <v>75</v>
      </c>
      <c r="B130">
        <v>-11.095429931498764</v>
      </c>
      <c r="E130" s="11">
        <f>A130-'Mastercurve bestimmen'!$B$2</f>
        <v>-85</v>
      </c>
      <c r="F130" s="11">
        <f t="shared" si="10"/>
        <v>-11.095429931498764</v>
      </c>
      <c r="G130" s="11"/>
      <c r="H130" s="11">
        <f t="shared" si="11"/>
        <v>2724905250390625</v>
      </c>
      <c r="I130" s="11">
        <f t="shared" si="14"/>
        <v>-32057708828125</v>
      </c>
      <c r="J130" s="11">
        <f t="shared" si="14"/>
        <v>377149515625</v>
      </c>
      <c r="K130" s="11">
        <f t="shared" si="14"/>
        <v>-4437053125</v>
      </c>
      <c r="L130" s="11">
        <f t="shared" si="14"/>
        <v>52200625</v>
      </c>
      <c r="M130" s="11">
        <f t="shared" si="14"/>
        <v>-614125</v>
      </c>
      <c r="N130" s="11">
        <f t="shared" si="14"/>
        <v>7225</v>
      </c>
      <c r="O130" s="11">
        <f t="shared" si="14"/>
        <v>-85</v>
      </c>
      <c r="P130" s="11">
        <f t="shared" si="13"/>
        <v>0</v>
      </c>
    </row>
    <row r="131" spans="1:16" x14ac:dyDescent="0.25">
      <c r="A131" s="11">
        <f t="shared" si="12"/>
        <v>76</v>
      </c>
      <c r="B131">
        <v>-10.997214250952355</v>
      </c>
      <c r="E131" s="11">
        <f>A131-'Mastercurve bestimmen'!$B$2</f>
        <v>-84</v>
      </c>
      <c r="F131" s="11">
        <f t="shared" si="10"/>
        <v>-10.997214250952355</v>
      </c>
      <c r="G131" s="11"/>
      <c r="H131" s="11">
        <f t="shared" si="11"/>
        <v>2478758911082496</v>
      </c>
      <c r="I131" s="11">
        <f t="shared" si="14"/>
        <v>-29509034655744</v>
      </c>
      <c r="J131" s="11">
        <f t="shared" si="14"/>
        <v>351298031616</v>
      </c>
      <c r="K131" s="11">
        <f t="shared" si="14"/>
        <v>-4182119424</v>
      </c>
      <c r="L131" s="11">
        <f t="shared" si="14"/>
        <v>49787136</v>
      </c>
      <c r="M131" s="11">
        <f t="shared" si="14"/>
        <v>-592704</v>
      </c>
      <c r="N131" s="11">
        <f t="shared" si="14"/>
        <v>7056</v>
      </c>
      <c r="O131" s="11">
        <f t="shared" si="14"/>
        <v>-84</v>
      </c>
      <c r="P131" s="11">
        <f t="shared" si="13"/>
        <v>0</v>
      </c>
    </row>
    <row r="132" spans="1:16" x14ac:dyDescent="0.25">
      <c r="A132" s="11">
        <f t="shared" si="12"/>
        <v>77</v>
      </c>
      <c r="B132">
        <v>-10.897776499935311</v>
      </c>
      <c r="E132" s="11">
        <f>A132-'Mastercurve bestimmen'!$B$2</f>
        <v>-83</v>
      </c>
      <c r="F132" s="11">
        <f t="shared" si="10"/>
        <v>-10.897776499935311</v>
      </c>
      <c r="G132" s="11"/>
      <c r="H132" s="11">
        <f t="shared" si="11"/>
        <v>2252292232139041</v>
      </c>
      <c r="I132" s="11">
        <f t="shared" si="14"/>
        <v>-27136050989627</v>
      </c>
      <c r="J132" s="11">
        <f t="shared" si="14"/>
        <v>326940373369</v>
      </c>
      <c r="K132" s="11">
        <f t="shared" si="14"/>
        <v>-3939040643</v>
      </c>
      <c r="L132" s="11">
        <f t="shared" si="14"/>
        <v>47458321</v>
      </c>
      <c r="M132" s="11">
        <f t="shared" si="14"/>
        <v>-571787</v>
      </c>
      <c r="N132" s="11">
        <f t="shared" si="14"/>
        <v>6889</v>
      </c>
      <c r="O132" s="11">
        <f t="shared" si="14"/>
        <v>-83</v>
      </c>
      <c r="P132" s="11">
        <f t="shared" si="13"/>
        <v>0</v>
      </c>
    </row>
    <row r="133" spans="1:16" x14ac:dyDescent="0.25">
      <c r="A133" s="11">
        <f t="shared" si="12"/>
        <v>78</v>
      </c>
      <c r="B133">
        <v>-10.797079417625794</v>
      </c>
      <c r="E133" s="11">
        <f>A133-'Mastercurve bestimmen'!$B$2</f>
        <v>-82</v>
      </c>
      <c r="F133" s="11">
        <f t="shared" si="10"/>
        <v>-10.797079417625794</v>
      </c>
      <c r="G133" s="11"/>
      <c r="H133" s="11">
        <f t="shared" si="11"/>
        <v>2044140858654976</v>
      </c>
      <c r="I133" s="11">
        <f t="shared" si="14"/>
        <v>-24928547056768</v>
      </c>
      <c r="J133" s="11">
        <f t="shared" si="14"/>
        <v>304006671424</v>
      </c>
      <c r="K133" s="11">
        <f t="shared" si="14"/>
        <v>-3707398432</v>
      </c>
      <c r="L133" s="11">
        <f t="shared" si="14"/>
        <v>45212176</v>
      </c>
      <c r="M133" s="11">
        <f t="shared" si="14"/>
        <v>-551368</v>
      </c>
      <c r="N133" s="11">
        <f t="shared" si="14"/>
        <v>6724</v>
      </c>
      <c r="O133" s="11">
        <f t="shared" si="14"/>
        <v>-82</v>
      </c>
      <c r="P133" s="11">
        <f t="shared" si="13"/>
        <v>0</v>
      </c>
    </row>
    <row r="134" spans="1:16" x14ac:dyDescent="0.25">
      <c r="A134" s="11">
        <f t="shared" si="12"/>
        <v>79</v>
      </c>
      <c r="B134">
        <v>-10.695085743201961</v>
      </c>
      <c r="E134" s="11">
        <f>A134-'Mastercurve bestimmen'!$B$2</f>
        <v>-81</v>
      </c>
      <c r="F134" s="11">
        <f t="shared" si="10"/>
        <v>-10.695085743201961</v>
      </c>
      <c r="G134" s="11"/>
      <c r="H134" s="11">
        <f t="shared" si="11"/>
        <v>1853020188851841</v>
      </c>
      <c r="I134" s="11">
        <f t="shared" si="14"/>
        <v>-22876792454961</v>
      </c>
      <c r="J134" s="11">
        <f t="shared" si="14"/>
        <v>282429536481</v>
      </c>
      <c r="K134" s="11">
        <f t="shared" si="14"/>
        <v>-3486784401</v>
      </c>
      <c r="L134" s="11">
        <f t="shared" si="14"/>
        <v>43046721</v>
      </c>
      <c r="M134" s="11">
        <f t="shared" si="14"/>
        <v>-531441</v>
      </c>
      <c r="N134" s="11">
        <f t="shared" si="14"/>
        <v>6561</v>
      </c>
      <c r="O134" s="11">
        <f t="shared" si="14"/>
        <v>-81</v>
      </c>
      <c r="P134" s="11">
        <f t="shared" si="13"/>
        <v>0</v>
      </c>
    </row>
    <row r="135" spans="1:16" x14ac:dyDescent="0.25">
      <c r="A135" s="11">
        <f t="shared" si="12"/>
        <v>80</v>
      </c>
      <c r="B135">
        <v>-10.591758215841974</v>
      </c>
      <c r="E135" s="11">
        <f>A135-'Mastercurve bestimmen'!$B$2</f>
        <v>-80</v>
      </c>
      <c r="F135" s="11">
        <f t="shared" si="10"/>
        <v>-10.591758215841974</v>
      </c>
      <c r="G135" s="11"/>
      <c r="H135" s="11">
        <f t="shared" si="11"/>
        <v>1677721600000000</v>
      </c>
      <c r="I135" s="11">
        <f t="shared" si="14"/>
        <v>-20971520000000</v>
      </c>
      <c r="J135" s="11">
        <f t="shared" si="14"/>
        <v>262144000000</v>
      </c>
      <c r="K135" s="11">
        <f t="shared" si="14"/>
        <v>-3276800000</v>
      </c>
      <c r="L135" s="11">
        <f t="shared" si="14"/>
        <v>40960000</v>
      </c>
      <c r="M135" s="11">
        <f t="shared" si="14"/>
        <v>-512000</v>
      </c>
      <c r="N135" s="11">
        <f t="shared" si="14"/>
        <v>6400</v>
      </c>
      <c r="O135" s="11">
        <f t="shared" si="14"/>
        <v>-80</v>
      </c>
      <c r="P135" s="11">
        <f t="shared" si="13"/>
        <v>0</v>
      </c>
    </row>
    <row r="136" spans="1:16" x14ac:dyDescent="0.25">
      <c r="A136" s="11">
        <f t="shared" si="12"/>
        <v>81</v>
      </c>
      <c r="B136">
        <v>-10.487070220658097</v>
      </c>
      <c r="E136" s="11">
        <f>A136-'Mastercurve bestimmen'!$B$2</f>
        <v>-79</v>
      </c>
      <c r="F136" s="11">
        <f t="shared" si="10"/>
        <v>-10.487070220658097</v>
      </c>
      <c r="G136" s="11"/>
      <c r="H136" s="11">
        <f t="shared" si="11"/>
        <v>1517108809906561</v>
      </c>
      <c r="I136" s="11">
        <f t="shared" si="14"/>
        <v>-19203908986159</v>
      </c>
      <c r="J136" s="11">
        <f t="shared" si="14"/>
        <v>243087455521</v>
      </c>
      <c r="K136" s="11">
        <f t="shared" si="14"/>
        <v>-3077056399</v>
      </c>
      <c r="L136" s="11">
        <f t="shared" si="14"/>
        <v>38950081</v>
      </c>
      <c r="M136" s="11">
        <f t="shared" si="14"/>
        <v>-493039</v>
      </c>
      <c r="N136" s="11">
        <f t="shared" si="14"/>
        <v>6241</v>
      </c>
      <c r="O136" s="11">
        <f t="shared" si="14"/>
        <v>-79</v>
      </c>
      <c r="P136" s="11">
        <f t="shared" si="13"/>
        <v>0</v>
      </c>
    </row>
    <row r="137" spans="1:16" x14ac:dyDescent="0.25">
      <c r="A137" s="11">
        <f t="shared" si="12"/>
        <v>82</v>
      </c>
      <c r="B137">
        <v>-10.381037726499011</v>
      </c>
      <c r="E137" s="11">
        <f>A137-'Mastercurve bestimmen'!$B$2</f>
        <v>-78</v>
      </c>
      <c r="F137" s="11">
        <f t="shared" si="10"/>
        <v>-10.381037726499011</v>
      </c>
      <c r="G137" s="11"/>
      <c r="H137" s="11">
        <f t="shared" si="11"/>
        <v>1370114370683136</v>
      </c>
      <c r="I137" s="11">
        <f t="shared" si="14"/>
        <v>-17565568854912</v>
      </c>
      <c r="J137" s="11">
        <f t="shared" si="14"/>
        <v>225199600704</v>
      </c>
      <c r="K137" s="11">
        <f t="shared" si="14"/>
        <v>-2887174368</v>
      </c>
      <c r="L137" s="11">
        <f t="shared" si="14"/>
        <v>37015056</v>
      </c>
      <c r="M137" s="11">
        <f t="shared" si="14"/>
        <v>-474552</v>
      </c>
      <c r="N137" s="11">
        <f t="shared" si="14"/>
        <v>6084</v>
      </c>
      <c r="O137" s="11">
        <f t="shared" si="14"/>
        <v>-78</v>
      </c>
      <c r="P137" s="11">
        <f t="shared" si="13"/>
        <v>0</v>
      </c>
    </row>
    <row r="138" spans="1:16" x14ac:dyDescent="0.25">
      <c r="A138" s="11">
        <f t="shared" si="12"/>
        <v>83</v>
      </c>
      <c r="B138">
        <v>-10.273687348147508</v>
      </c>
      <c r="E138" s="11">
        <f>A138-'Mastercurve bestimmen'!$B$2</f>
        <v>-77</v>
      </c>
      <c r="F138" s="11">
        <f t="shared" si="10"/>
        <v>-10.273687348147508</v>
      </c>
      <c r="G138" s="11"/>
      <c r="H138" s="11">
        <f t="shared" si="11"/>
        <v>1235736291547681</v>
      </c>
      <c r="I138" s="11">
        <f t="shared" si="14"/>
        <v>-16048523266853</v>
      </c>
      <c r="J138" s="11">
        <f t="shared" si="14"/>
        <v>208422380089</v>
      </c>
      <c r="K138" s="11">
        <f t="shared" si="14"/>
        <v>-2706784157</v>
      </c>
      <c r="L138" s="11">
        <f t="shared" si="14"/>
        <v>35153041</v>
      </c>
      <c r="M138" s="11">
        <f t="shared" si="14"/>
        <v>-456533</v>
      </c>
      <c r="N138" s="11">
        <f t="shared" si="14"/>
        <v>5929</v>
      </c>
      <c r="O138" s="11">
        <f t="shared" si="14"/>
        <v>-77</v>
      </c>
      <c r="P138" s="11">
        <f t="shared" si="13"/>
        <v>0</v>
      </c>
    </row>
    <row r="139" spans="1:16" x14ac:dyDescent="0.25">
      <c r="A139" s="11">
        <f t="shared" si="12"/>
        <v>84</v>
      </c>
      <c r="B139">
        <v>-10.16504570038637</v>
      </c>
      <c r="E139" s="11">
        <f>A139-'Mastercurve bestimmen'!$B$2</f>
        <v>-76</v>
      </c>
      <c r="F139" s="11">
        <f t="shared" si="10"/>
        <v>-10.16504570038637</v>
      </c>
      <c r="G139" s="11"/>
      <c r="H139" s="11">
        <f t="shared" si="11"/>
        <v>1113034787454976</v>
      </c>
      <c r="I139" s="11">
        <f t="shared" si="14"/>
        <v>-14645194571776</v>
      </c>
      <c r="J139" s="11">
        <f t="shared" si="14"/>
        <v>192699928576</v>
      </c>
      <c r="K139" s="11">
        <f t="shared" si="14"/>
        <v>-2535525376</v>
      </c>
      <c r="L139" s="11">
        <f t="shared" si="14"/>
        <v>33362176</v>
      </c>
      <c r="M139" s="11">
        <f t="shared" si="14"/>
        <v>-438976</v>
      </c>
      <c r="N139" s="11">
        <f t="shared" si="14"/>
        <v>5776</v>
      </c>
      <c r="O139" s="11">
        <f t="shared" si="14"/>
        <v>-76</v>
      </c>
      <c r="P139" s="11">
        <f t="shared" si="13"/>
        <v>0</v>
      </c>
    </row>
    <row r="140" spans="1:16" x14ac:dyDescent="0.25">
      <c r="A140" s="11">
        <f t="shared" si="12"/>
        <v>85</v>
      </c>
      <c r="B140">
        <v>-10.055139397998389</v>
      </c>
      <c r="E140" s="11">
        <f>A140-'Mastercurve bestimmen'!$B$2</f>
        <v>-75</v>
      </c>
      <c r="F140" s="11">
        <f t="shared" si="10"/>
        <v>-10.055139397998389</v>
      </c>
      <c r="G140" s="11"/>
      <c r="H140" s="11">
        <f t="shared" si="11"/>
        <v>1001129150390625</v>
      </c>
      <c r="I140" s="11">
        <f t="shared" si="14"/>
        <v>-13348388671875</v>
      </c>
      <c r="J140" s="11">
        <f t="shared" si="14"/>
        <v>177978515625</v>
      </c>
      <c r="K140" s="11">
        <f t="shared" si="14"/>
        <v>-2373046875</v>
      </c>
      <c r="L140" s="11">
        <f t="shared" si="14"/>
        <v>31640625</v>
      </c>
      <c r="M140" s="11">
        <f t="shared" si="14"/>
        <v>-421875</v>
      </c>
      <c r="N140" s="11">
        <f t="shared" si="14"/>
        <v>5625</v>
      </c>
      <c r="O140" s="11">
        <f t="shared" si="14"/>
        <v>-75</v>
      </c>
      <c r="P140" s="11">
        <f t="shared" si="13"/>
        <v>0</v>
      </c>
    </row>
    <row r="141" spans="1:16" x14ac:dyDescent="0.25">
      <c r="A141" s="11">
        <f t="shared" si="12"/>
        <v>86</v>
      </c>
      <c r="B141">
        <v>-9.9439950557663437</v>
      </c>
      <c r="E141" s="11">
        <f>A141-'Mastercurve bestimmen'!$B$2</f>
        <v>-74</v>
      </c>
      <c r="F141" s="11">
        <f t="shared" si="10"/>
        <v>-9.9439950557663437</v>
      </c>
      <c r="G141" s="11"/>
      <c r="H141" s="11">
        <f t="shared" si="11"/>
        <v>899194740203776</v>
      </c>
      <c r="I141" s="11">
        <f t="shared" si="14"/>
        <v>-12151280273024</v>
      </c>
      <c r="J141" s="11">
        <f t="shared" si="14"/>
        <v>164206490176</v>
      </c>
      <c r="K141" s="11">
        <f t="shared" si="14"/>
        <v>-2219006624</v>
      </c>
      <c r="L141" s="11">
        <f t="shared" si="14"/>
        <v>29986576</v>
      </c>
      <c r="M141" s="11">
        <f t="shared" si="14"/>
        <v>-405224</v>
      </c>
      <c r="N141" s="11">
        <f t="shared" si="14"/>
        <v>5476</v>
      </c>
      <c r="O141" s="11">
        <f t="shared" si="14"/>
        <v>-74</v>
      </c>
      <c r="P141" s="11">
        <f t="shared" si="13"/>
        <v>0</v>
      </c>
    </row>
    <row r="142" spans="1:16" x14ac:dyDescent="0.25">
      <c r="A142" s="11">
        <f t="shared" si="12"/>
        <v>87</v>
      </c>
      <c r="B142">
        <v>-9.8316392884730313</v>
      </c>
      <c r="E142" s="11">
        <f>A142-'Mastercurve bestimmen'!$B$2</f>
        <v>-73</v>
      </c>
      <c r="F142" s="11">
        <f t="shared" si="10"/>
        <v>-9.8316392884730313</v>
      </c>
      <c r="G142" s="11"/>
      <c r="H142" s="11">
        <f t="shared" si="11"/>
        <v>806460091894081</v>
      </c>
      <c r="I142" s="11">
        <f t="shared" si="14"/>
        <v>-11047398519097</v>
      </c>
      <c r="J142" s="11">
        <f t="shared" si="14"/>
        <v>151334226289</v>
      </c>
      <c r="K142" s="11">
        <f t="shared" si="14"/>
        <v>-2073071593</v>
      </c>
      <c r="L142" s="11">
        <f t="shared" si="14"/>
        <v>28398241</v>
      </c>
      <c r="M142" s="11">
        <f t="shared" si="14"/>
        <v>-389017</v>
      </c>
      <c r="N142" s="11">
        <f t="shared" si="14"/>
        <v>5329</v>
      </c>
      <c r="O142" s="11">
        <f t="shared" si="14"/>
        <v>-73</v>
      </c>
      <c r="P142" s="11">
        <f t="shared" si="13"/>
        <v>0</v>
      </c>
    </row>
    <row r="143" spans="1:16" x14ac:dyDescent="0.25">
      <c r="A143" s="11">
        <f t="shared" si="12"/>
        <v>88</v>
      </c>
      <c r="B143">
        <v>-9.7180987109012325</v>
      </c>
      <c r="E143" s="11">
        <f>A143-'Mastercurve bestimmen'!$B$2</f>
        <v>-72</v>
      </c>
      <c r="F143" s="11">
        <f t="shared" si="10"/>
        <v>-9.7180987109012325</v>
      </c>
      <c r="G143" s="11"/>
      <c r="H143" s="11">
        <f t="shared" si="11"/>
        <v>722204136308736</v>
      </c>
      <c r="I143" s="11">
        <f t="shared" si="14"/>
        <v>-10030613004288</v>
      </c>
      <c r="J143" s="11">
        <f t="shared" si="14"/>
        <v>139314069504</v>
      </c>
      <c r="K143" s="11">
        <f t="shared" si="14"/>
        <v>-1934917632</v>
      </c>
      <c r="L143" s="11">
        <f t="shared" si="14"/>
        <v>26873856</v>
      </c>
      <c r="M143" s="11">
        <f t="shared" si="14"/>
        <v>-373248</v>
      </c>
      <c r="N143" s="11">
        <f t="shared" si="14"/>
        <v>5184</v>
      </c>
      <c r="O143" s="11">
        <f t="shared" si="14"/>
        <v>-72</v>
      </c>
      <c r="P143" s="11">
        <f t="shared" si="13"/>
        <v>0</v>
      </c>
    </row>
    <row r="144" spans="1:16" x14ac:dyDescent="0.25">
      <c r="A144" s="11">
        <f t="shared" si="12"/>
        <v>89</v>
      </c>
      <c r="B144">
        <v>-9.6033999378337356</v>
      </c>
      <c r="E144" s="11">
        <f>A144-'Mastercurve bestimmen'!$B$2</f>
        <v>-71</v>
      </c>
      <c r="F144" s="11">
        <f t="shared" ref="F144:F207" si="15">B144</f>
        <v>-9.6033999378337356</v>
      </c>
      <c r="G144" s="11"/>
      <c r="H144" s="11">
        <f t="shared" ref="H144:H207" si="16">IF($H$12&gt;=H$14,$E144^H$14,0)</f>
        <v>645753531245761</v>
      </c>
      <c r="I144" s="11">
        <f t="shared" si="14"/>
        <v>-9095120158391</v>
      </c>
      <c r="J144" s="11">
        <f t="shared" si="14"/>
        <v>128100283921</v>
      </c>
      <c r="K144" s="11">
        <f t="shared" si="14"/>
        <v>-1804229351</v>
      </c>
      <c r="L144" s="11">
        <f t="shared" si="14"/>
        <v>25411681</v>
      </c>
      <c r="M144" s="11">
        <f t="shared" si="14"/>
        <v>-357911</v>
      </c>
      <c r="N144" s="11">
        <f t="shared" si="14"/>
        <v>5041</v>
      </c>
      <c r="O144" s="11">
        <f t="shared" si="14"/>
        <v>-71</v>
      </c>
      <c r="P144" s="11">
        <f t="shared" si="13"/>
        <v>0</v>
      </c>
    </row>
    <row r="145" spans="1:16" x14ac:dyDescent="0.25">
      <c r="A145" s="11">
        <f t="shared" ref="A145:A208" si="17">A144+1</f>
        <v>90</v>
      </c>
      <c r="B145">
        <v>-9.4875695840533307</v>
      </c>
      <c r="E145" s="11">
        <f>A145-'Mastercurve bestimmen'!$B$2</f>
        <v>-70</v>
      </c>
      <c r="F145" s="11">
        <f t="shared" si="15"/>
        <v>-9.4875695840533307</v>
      </c>
      <c r="G145" s="11"/>
      <c r="H145" s="11">
        <f t="shared" si="16"/>
        <v>576480100000000</v>
      </c>
      <c r="I145" s="11">
        <f t="shared" si="14"/>
        <v>-8235430000000</v>
      </c>
      <c r="J145" s="11">
        <f t="shared" si="14"/>
        <v>117649000000</v>
      </c>
      <c r="K145" s="11">
        <f t="shared" si="14"/>
        <v>-1680700000</v>
      </c>
      <c r="L145" s="11">
        <f t="shared" si="14"/>
        <v>24010000</v>
      </c>
      <c r="M145" s="11">
        <f t="shared" si="14"/>
        <v>-343000</v>
      </c>
      <c r="N145" s="11">
        <f t="shared" si="14"/>
        <v>4900</v>
      </c>
      <c r="O145" s="11">
        <f t="shared" si="14"/>
        <v>-70</v>
      </c>
      <c r="P145" s="11">
        <f t="shared" ref="P145:P208" si="18">P144</f>
        <v>0</v>
      </c>
    </row>
    <row r="146" spans="1:16" x14ac:dyDescent="0.25">
      <c r="A146" s="11">
        <f t="shared" si="17"/>
        <v>91</v>
      </c>
      <c r="B146">
        <v>-9.3706342643428009</v>
      </c>
      <c r="E146" s="11">
        <f>A146-'Mastercurve bestimmen'!$B$2</f>
        <v>-69</v>
      </c>
      <c r="F146" s="11">
        <f t="shared" si="15"/>
        <v>-9.3706342643428009</v>
      </c>
      <c r="G146" s="11"/>
      <c r="H146" s="11">
        <f t="shared" si="16"/>
        <v>513798374428641</v>
      </c>
      <c r="I146" s="11">
        <f t="shared" si="14"/>
        <v>-7446353252589</v>
      </c>
      <c r="J146" s="11">
        <f t="shared" si="14"/>
        <v>107918163081</v>
      </c>
      <c r="K146" s="11">
        <f t="shared" si="14"/>
        <v>-1564031349</v>
      </c>
      <c r="L146" s="11">
        <f t="shared" si="14"/>
        <v>22667121</v>
      </c>
      <c r="M146" s="11">
        <f t="shared" si="14"/>
        <v>-328509</v>
      </c>
      <c r="N146" s="11">
        <f t="shared" si="14"/>
        <v>4761</v>
      </c>
      <c r="O146" s="11">
        <f t="shared" si="14"/>
        <v>-69</v>
      </c>
      <c r="P146" s="11">
        <f t="shared" si="18"/>
        <v>0</v>
      </c>
    </row>
    <row r="147" spans="1:16" x14ac:dyDescent="0.25">
      <c r="A147" s="11">
        <f t="shared" si="17"/>
        <v>92</v>
      </c>
      <c r="B147">
        <v>-9.2526205934849344</v>
      </c>
      <c r="E147" s="11">
        <f>A147-'Mastercurve bestimmen'!$B$2</f>
        <v>-68</v>
      </c>
      <c r="F147" s="11">
        <f t="shared" si="15"/>
        <v>-9.2526205934849344</v>
      </c>
      <c r="G147" s="11"/>
      <c r="H147" s="11">
        <f t="shared" si="16"/>
        <v>457163239653376</v>
      </c>
      <c r="I147" s="11">
        <f t="shared" si="14"/>
        <v>-6722988818432</v>
      </c>
      <c r="J147" s="11">
        <f t="shared" si="14"/>
        <v>98867482624</v>
      </c>
      <c r="K147" s="11">
        <f t="shared" si="14"/>
        <v>-1453933568</v>
      </c>
      <c r="L147" s="11">
        <f t="shared" si="14"/>
        <v>21381376</v>
      </c>
      <c r="M147" s="11">
        <f t="shared" si="14"/>
        <v>-314432</v>
      </c>
      <c r="N147" s="11">
        <f t="shared" si="14"/>
        <v>4624</v>
      </c>
      <c r="O147" s="11">
        <f t="shared" si="14"/>
        <v>-68</v>
      </c>
      <c r="P147" s="11">
        <f t="shared" si="18"/>
        <v>0</v>
      </c>
    </row>
    <row r="148" spans="1:16" x14ac:dyDescent="0.25">
      <c r="A148" s="11">
        <f t="shared" si="17"/>
        <v>93</v>
      </c>
      <c r="B148">
        <v>-9.1335551862625213</v>
      </c>
      <c r="E148" s="11">
        <f>A148-'Mastercurve bestimmen'!$B$2</f>
        <v>-67</v>
      </c>
      <c r="F148" s="11">
        <f t="shared" si="15"/>
        <v>-9.1335551862625213</v>
      </c>
      <c r="G148" s="11"/>
      <c r="H148" s="11">
        <f t="shared" si="16"/>
        <v>406067677556641</v>
      </c>
      <c r="I148" s="11">
        <f t="shared" si="14"/>
        <v>-6060711605323</v>
      </c>
      <c r="J148" s="11">
        <f t="shared" si="14"/>
        <v>90458382169</v>
      </c>
      <c r="K148" s="11">
        <f t="shared" si="14"/>
        <v>-1350125107</v>
      </c>
      <c r="L148" s="11">
        <f t="shared" si="14"/>
        <v>20151121</v>
      </c>
      <c r="M148" s="11">
        <f t="shared" si="14"/>
        <v>-300763</v>
      </c>
      <c r="N148" s="11">
        <f t="shared" si="14"/>
        <v>4489</v>
      </c>
      <c r="O148" s="11">
        <f t="shared" si="14"/>
        <v>-67</v>
      </c>
      <c r="P148" s="11">
        <f t="shared" si="18"/>
        <v>0</v>
      </c>
    </row>
    <row r="149" spans="1:16" x14ac:dyDescent="0.25">
      <c r="A149" s="11">
        <f t="shared" si="17"/>
        <v>94</v>
      </c>
      <c r="B149">
        <v>-9.0134646574583428</v>
      </c>
      <c r="E149" s="11">
        <f>A149-'Mastercurve bestimmen'!$B$2</f>
        <v>-66</v>
      </c>
      <c r="F149" s="11">
        <f t="shared" si="15"/>
        <v>-9.0134646574583428</v>
      </c>
      <c r="G149" s="11"/>
      <c r="H149" s="11">
        <f t="shared" si="16"/>
        <v>360040606269696</v>
      </c>
      <c r="I149" s="11">
        <f t="shared" si="14"/>
        <v>-5455160701056</v>
      </c>
      <c r="J149" s="11">
        <f t="shared" si="14"/>
        <v>82653950016</v>
      </c>
      <c r="K149" s="11">
        <f t="shared" si="14"/>
        <v>-1252332576</v>
      </c>
      <c r="L149" s="11">
        <f t="shared" si="14"/>
        <v>18974736</v>
      </c>
      <c r="M149" s="11">
        <f t="shared" si="14"/>
        <v>-287496</v>
      </c>
      <c r="N149" s="11">
        <f t="shared" si="14"/>
        <v>4356</v>
      </c>
      <c r="O149" s="11">
        <f t="shared" si="14"/>
        <v>-66</v>
      </c>
      <c r="P149" s="11">
        <f t="shared" si="18"/>
        <v>0</v>
      </c>
    </row>
    <row r="150" spans="1:16" x14ac:dyDescent="0.25">
      <c r="A150" s="11">
        <f t="shared" si="17"/>
        <v>95</v>
      </c>
      <c r="B150">
        <v>-8.8923756218551908</v>
      </c>
      <c r="E150" s="11">
        <f>A150-'Mastercurve bestimmen'!$B$2</f>
        <v>-65</v>
      </c>
      <c r="F150" s="11">
        <f t="shared" si="15"/>
        <v>-8.8923756218551908</v>
      </c>
      <c r="G150" s="11"/>
      <c r="H150" s="11">
        <f t="shared" si="16"/>
        <v>318644812890625</v>
      </c>
      <c r="I150" s="11">
        <f t="shared" si="14"/>
        <v>-4902227890625</v>
      </c>
      <c r="J150" s="11">
        <f t="shared" si="14"/>
        <v>75418890625</v>
      </c>
      <c r="K150" s="11">
        <f t="shared" si="14"/>
        <v>-1160290625</v>
      </c>
      <c r="L150" s="11">
        <f t="shared" si="14"/>
        <v>17850625</v>
      </c>
      <c r="M150" s="11">
        <f t="shared" si="14"/>
        <v>-274625</v>
      </c>
      <c r="N150" s="11">
        <f t="shared" si="14"/>
        <v>4225</v>
      </c>
      <c r="O150" s="11">
        <f t="shared" si="14"/>
        <v>-65</v>
      </c>
      <c r="P150" s="11">
        <f t="shared" si="18"/>
        <v>0</v>
      </c>
    </row>
    <row r="151" spans="1:16" x14ac:dyDescent="0.25">
      <c r="A151" s="11">
        <f t="shared" si="17"/>
        <v>96</v>
      </c>
      <c r="B151">
        <v>-8.7703146942358536</v>
      </c>
      <c r="E151" s="11">
        <f>A151-'Mastercurve bestimmen'!$B$2</f>
        <v>-64</v>
      </c>
      <c r="F151" s="11">
        <f t="shared" si="15"/>
        <v>-8.7703146942358536</v>
      </c>
      <c r="G151" s="11"/>
      <c r="H151" s="11">
        <f t="shared" si="16"/>
        <v>281474976710656</v>
      </c>
      <c r="I151" s="11">
        <f t="shared" si="14"/>
        <v>-4398046511104</v>
      </c>
      <c r="J151" s="11">
        <f t="shared" si="14"/>
        <v>68719476736</v>
      </c>
      <c r="K151" s="11">
        <f t="shared" si="14"/>
        <v>-1073741824</v>
      </c>
      <c r="L151" s="11">
        <f t="shared" si="14"/>
        <v>16777216</v>
      </c>
      <c r="M151" s="11">
        <f t="shared" si="14"/>
        <v>-262144</v>
      </c>
      <c r="N151" s="11">
        <f t="shared" si="14"/>
        <v>4096</v>
      </c>
      <c r="O151" s="11">
        <f t="shared" si="14"/>
        <v>-64</v>
      </c>
      <c r="P151" s="11">
        <f t="shared" si="18"/>
        <v>0</v>
      </c>
    </row>
    <row r="152" spans="1:16" x14ac:dyDescent="0.25">
      <c r="A152" s="11">
        <f t="shared" si="17"/>
        <v>97</v>
      </c>
      <c r="B152">
        <v>-8.6473084893831142</v>
      </c>
      <c r="E152" s="11">
        <f>A152-'Mastercurve bestimmen'!$B$2</f>
        <v>-63</v>
      </c>
      <c r="F152" s="11">
        <f t="shared" si="15"/>
        <v>-8.6473084893831142</v>
      </c>
      <c r="G152" s="11"/>
      <c r="H152" s="11">
        <f t="shared" si="16"/>
        <v>248155780267521</v>
      </c>
      <c r="I152" s="11">
        <f t="shared" si="14"/>
        <v>-3938980639167</v>
      </c>
      <c r="J152" s="11">
        <f t="shared" si="14"/>
        <v>62523502209</v>
      </c>
      <c r="K152" s="11">
        <f t="shared" si="14"/>
        <v>-992436543</v>
      </c>
      <c r="L152" s="11">
        <f t="shared" si="14"/>
        <v>15752961</v>
      </c>
      <c r="M152" s="11">
        <f t="shared" si="14"/>
        <v>-250047</v>
      </c>
      <c r="N152" s="11">
        <f t="shared" ref="I152:O189" si="19">IF($H$12&gt;=N$14,$E152^N$14,0)</f>
        <v>3969</v>
      </c>
      <c r="O152" s="11">
        <f t="shared" si="19"/>
        <v>-63</v>
      </c>
      <c r="P152" s="11">
        <f t="shared" si="18"/>
        <v>0</v>
      </c>
    </row>
    <row r="153" spans="1:16" x14ac:dyDescent="0.25">
      <c r="A153" s="11">
        <f t="shared" si="17"/>
        <v>98</v>
      </c>
      <c r="B153">
        <v>-8.5233836220797592</v>
      </c>
      <c r="E153" s="11">
        <f>A153-'Mastercurve bestimmen'!$B$2</f>
        <v>-62</v>
      </c>
      <c r="F153" s="11">
        <f t="shared" si="15"/>
        <v>-8.5233836220797592</v>
      </c>
      <c r="G153" s="11"/>
      <c r="H153" s="11">
        <f t="shared" si="16"/>
        <v>218340105584896</v>
      </c>
      <c r="I153" s="11">
        <f t="shared" si="19"/>
        <v>-3521614606208</v>
      </c>
      <c r="J153" s="11">
        <f t="shared" si="19"/>
        <v>56800235584</v>
      </c>
      <c r="K153" s="11">
        <f t="shared" si="19"/>
        <v>-916132832</v>
      </c>
      <c r="L153" s="11">
        <f t="shared" si="19"/>
        <v>14776336</v>
      </c>
      <c r="M153" s="11">
        <f t="shared" si="19"/>
        <v>-238328</v>
      </c>
      <c r="N153" s="11">
        <f t="shared" si="19"/>
        <v>3844</v>
      </c>
      <c r="O153" s="11">
        <f t="shared" si="19"/>
        <v>-62</v>
      </c>
      <c r="P153" s="11">
        <f t="shared" si="18"/>
        <v>0</v>
      </c>
    </row>
    <row r="154" spans="1:16" x14ac:dyDescent="0.25">
      <c r="A154" s="11">
        <f t="shared" si="17"/>
        <v>99</v>
      </c>
      <c r="B154">
        <v>-8.3985667071085803</v>
      </c>
      <c r="E154" s="11">
        <f>A154-'Mastercurve bestimmen'!$B$2</f>
        <v>-61</v>
      </c>
      <c r="F154" s="11">
        <f t="shared" si="15"/>
        <v>-8.3985667071085803</v>
      </c>
      <c r="G154" s="11"/>
      <c r="H154" s="11">
        <f t="shared" si="16"/>
        <v>191707312997281</v>
      </c>
      <c r="I154" s="11">
        <f t="shared" si="19"/>
        <v>-3142742836021</v>
      </c>
      <c r="J154" s="11">
        <f t="shared" si="19"/>
        <v>51520374361</v>
      </c>
      <c r="K154" s="11">
        <f t="shared" si="19"/>
        <v>-844596301</v>
      </c>
      <c r="L154" s="11">
        <f t="shared" si="19"/>
        <v>13845841</v>
      </c>
      <c r="M154" s="11">
        <f t="shared" si="19"/>
        <v>-226981</v>
      </c>
      <c r="N154" s="11">
        <f t="shared" si="19"/>
        <v>3721</v>
      </c>
      <c r="O154" s="11">
        <f t="shared" si="19"/>
        <v>-61</v>
      </c>
      <c r="P154" s="11">
        <f t="shared" si="18"/>
        <v>0</v>
      </c>
    </row>
    <row r="155" spans="1:16" x14ac:dyDescent="0.25">
      <c r="A155" s="11">
        <f t="shared" si="17"/>
        <v>100</v>
      </c>
      <c r="B155">
        <v>-8.2728843592523607</v>
      </c>
      <c r="E155" s="11">
        <f>A155-'Mastercurve bestimmen'!$B$2</f>
        <v>-60</v>
      </c>
      <c r="F155" s="11">
        <f t="shared" si="15"/>
        <v>-8.2728843592523607</v>
      </c>
      <c r="G155" s="11"/>
      <c r="H155" s="11">
        <f t="shared" si="16"/>
        <v>167961600000000</v>
      </c>
      <c r="I155" s="11">
        <f t="shared" si="19"/>
        <v>-2799360000000</v>
      </c>
      <c r="J155" s="11">
        <f t="shared" si="19"/>
        <v>46656000000</v>
      </c>
      <c r="K155" s="11">
        <f t="shared" si="19"/>
        <v>-777600000</v>
      </c>
      <c r="L155" s="11">
        <f t="shared" si="19"/>
        <v>12960000</v>
      </c>
      <c r="M155" s="11">
        <f t="shared" si="19"/>
        <v>-216000</v>
      </c>
      <c r="N155" s="11">
        <f t="shared" si="19"/>
        <v>3600</v>
      </c>
      <c r="O155" s="11">
        <f t="shared" si="19"/>
        <v>-60</v>
      </c>
      <c r="P155" s="11">
        <f t="shared" si="18"/>
        <v>0</v>
      </c>
    </row>
    <row r="156" spans="1:16" x14ac:dyDescent="0.25">
      <c r="A156" s="11">
        <f t="shared" si="17"/>
        <v>101</v>
      </c>
      <c r="B156">
        <v>-8.1463631932938885</v>
      </c>
      <c r="E156" s="11">
        <f>A156-'Mastercurve bestimmen'!$B$2</f>
        <v>-59</v>
      </c>
      <c r="F156" s="11">
        <f t="shared" si="15"/>
        <v>-8.1463631932938885</v>
      </c>
      <c r="G156" s="11"/>
      <c r="H156" s="11">
        <f t="shared" si="16"/>
        <v>146830437604321</v>
      </c>
      <c r="I156" s="11">
        <f t="shared" si="19"/>
        <v>-2488651484819</v>
      </c>
      <c r="J156" s="11">
        <f t="shared" si="19"/>
        <v>42180533641</v>
      </c>
      <c r="K156" s="11">
        <f t="shared" si="19"/>
        <v>-714924299</v>
      </c>
      <c r="L156" s="11">
        <f t="shared" si="19"/>
        <v>12117361</v>
      </c>
      <c r="M156" s="11">
        <f t="shared" si="19"/>
        <v>-205379</v>
      </c>
      <c r="N156" s="11">
        <f t="shared" si="19"/>
        <v>3481</v>
      </c>
      <c r="O156" s="11">
        <f t="shared" si="19"/>
        <v>-59</v>
      </c>
      <c r="P156" s="11">
        <f t="shared" si="18"/>
        <v>0</v>
      </c>
    </row>
    <row r="157" spans="1:16" x14ac:dyDescent="0.25">
      <c r="A157" s="11">
        <f t="shared" si="17"/>
        <v>102</v>
      </c>
      <c r="B157">
        <v>-8.0190298240159521</v>
      </c>
      <c r="E157" s="11">
        <f>A157-'Mastercurve bestimmen'!$B$2</f>
        <v>-58</v>
      </c>
      <c r="F157" s="11">
        <f t="shared" si="15"/>
        <v>-8.0190298240159521</v>
      </c>
      <c r="G157" s="11"/>
      <c r="H157" s="11">
        <f t="shared" si="16"/>
        <v>128063081718016</v>
      </c>
      <c r="I157" s="11">
        <f t="shared" si="19"/>
        <v>-2207984167552</v>
      </c>
      <c r="J157" s="11">
        <f t="shared" si="19"/>
        <v>38068692544</v>
      </c>
      <c r="K157" s="11">
        <f t="shared" si="19"/>
        <v>-656356768</v>
      </c>
      <c r="L157" s="11">
        <f t="shared" si="19"/>
        <v>11316496</v>
      </c>
      <c r="M157" s="11">
        <f t="shared" si="19"/>
        <v>-195112</v>
      </c>
      <c r="N157" s="11">
        <f t="shared" si="19"/>
        <v>3364</v>
      </c>
      <c r="O157" s="11">
        <f t="shared" si="19"/>
        <v>-58</v>
      </c>
      <c r="P157" s="11">
        <f t="shared" si="18"/>
        <v>0</v>
      </c>
    </row>
    <row r="158" spans="1:16" x14ac:dyDescent="0.25">
      <c r="A158" s="11">
        <f t="shared" si="17"/>
        <v>103</v>
      </c>
      <c r="B158">
        <v>-7.8909108662013381</v>
      </c>
      <c r="E158" s="11">
        <f>A158-'Mastercurve bestimmen'!$B$2</f>
        <v>-57</v>
      </c>
      <c r="F158" s="11">
        <f t="shared" si="15"/>
        <v>-7.8909108662013381</v>
      </c>
      <c r="G158" s="11"/>
      <c r="H158" s="11">
        <f t="shared" si="16"/>
        <v>111429157112001</v>
      </c>
      <c r="I158" s="11">
        <f t="shared" si="19"/>
        <v>-1954897493193</v>
      </c>
      <c r="J158" s="11">
        <f t="shared" si="19"/>
        <v>34296447249</v>
      </c>
      <c r="K158" s="11">
        <f t="shared" si="19"/>
        <v>-601692057</v>
      </c>
      <c r="L158" s="11">
        <f t="shared" si="19"/>
        <v>10556001</v>
      </c>
      <c r="M158" s="11">
        <f t="shared" si="19"/>
        <v>-185193</v>
      </c>
      <c r="N158" s="11">
        <f t="shared" si="19"/>
        <v>3249</v>
      </c>
      <c r="O158" s="11">
        <f t="shared" si="19"/>
        <v>-57</v>
      </c>
      <c r="P158" s="11">
        <f t="shared" si="18"/>
        <v>0</v>
      </c>
    </row>
    <row r="159" spans="1:16" x14ac:dyDescent="0.25">
      <c r="A159" s="11">
        <f t="shared" si="17"/>
        <v>104</v>
      </c>
      <c r="B159">
        <v>-7.7620329346328321</v>
      </c>
      <c r="E159" s="11">
        <f>A159-'Mastercurve bestimmen'!$B$2</f>
        <v>-56</v>
      </c>
      <c r="F159" s="11">
        <f t="shared" si="15"/>
        <v>-7.7620329346328321</v>
      </c>
      <c r="G159" s="11"/>
      <c r="H159" s="11">
        <f t="shared" si="16"/>
        <v>96717311574016</v>
      </c>
      <c r="I159" s="11">
        <f t="shared" si="19"/>
        <v>-1727094849536</v>
      </c>
      <c r="J159" s="11">
        <f t="shared" si="19"/>
        <v>30840979456</v>
      </c>
      <c r="K159" s="11">
        <f t="shared" si="19"/>
        <v>-550731776</v>
      </c>
      <c r="L159" s="11">
        <f t="shared" si="19"/>
        <v>9834496</v>
      </c>
      <c r="M159" s="11">
        <f t="shared" si="19"/>
        <v>-175616</v>
      </c>
      <c r="N159" s="11">
        <f t="shared" si="19"/>
        <v>3136</v>
      </c>
      <c r="O159" s="11">
        <f t="shared" si="19"/>
        <v>-56</v>
      </c>
      <c r="P159" s="11">
        <f t="shared" si="18"/>
        <v>0</v>
      </c>
    </row>
    <row r="160" spans="1:16" x14ac:dyDescent="0.25">
      <c r="A160" s="11">
        <f t="shared" si="17"/>
        <v>105</v>
      </c>
      <c r="B160">
        <v>-7.6324226440932232</v>
      </c>
      <c r="E160" s="11">
        <f>A160-'Mastercurve bestimmen'!$B$2</f>
        <v>-55</v>
      </c>
      <c r="F160" s="11">
        <f t="shared" si="15"/>
        <v>-7.6324226440932232</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-7.5021066093652973</v>
      </c>
      <c r="E161" s="11">
        <f>A161-'Mastercurve bestimmen'!$B$2</f>
        <v>-54</v>
      </c>
      <c r="F161" s="11">
        <f t="shared" si="15"/>
        <v>-7.5021066093652973</v>
      </c>
      <c r="G161" s="11"/>
      <c r="H161" s="11">
        <f t="shared" si="16"/>
        <v>72301961339136</v>
      </c>
      <c r="I161" s="11">
        <f t="shared" si="19"/>
        <v>-1338925209984</v>
      </c>
      <c r="J161" s="11">
        <f t="shared" si="19"/>
        <v>24794911296</v>
      </c>
      <c r="K161" s="11">
        <f t="shared" si="19"/>
        <v>-459165024</v>
      </c>
      <c r="L161" s="11">
        <f t="shared" si="19"/>
        <v>8503056</v>
      </c>
      <c r="M161" s="11">
        <f t="shared" si="19"/>
        <v>-157464</v>
      </c>
      <c r="N161" s="11">
        <f t="shared" si="19"/>
        <v>2916</v>
      </c>
      <c r="O161" s="11">
        <f t="shared" si="19"/>
        <v>-54</v>
      </c>
      <c r="P161" s="11">
        <f t="shared" si="18"/>
        <v>0</v>
      </c>
    </row>
    <row r="162" spans="1:16" x14ac:dyDescent="0.25">
      <c r="A162" s="11">
        <f t="shared" si="17"/>
        <v>107</v>
      </c>
      <c r="B162">
        <v>-7.3711114452318416</v>
      </c>
      <c r="E162" s="11">
        <f>A162-'Mastercurve bestimmen'!$B$2</f>
        <v>-53</v>
      </c>
      <c r="F162" s="11">
        <f t="shared" si="15"/>
        <v>-7.3711114452318416</v>
      </c>
      <c r="G162" s="11"/>
      <c r="H162" s="11">
        <f t="shared" si="16"/>
        <v>62259690411361</v>
      </c>
      <c r="I162" s="11">
        <f t="shared" si="19"/>
        <v>-1174711139837</v>
      </c>
      <c r="J162" s="11">
        <f t="shared" si="19"/>
        <v>22164361129</v>
      </c>
      <c r="K162" s="11">
        <f t="shared" si="19"/>
        <v>-418195493</v>
      </c>
      <c r="L162" s="11">
        <f t="shared" si="19"/>
        <v>7890481</v>
      </c>
      <c r="M162" s="11">
        <f t="shared" si="19"/>
        <v>-148877</v>
      </c>
      <c r="N162" s="11">
        <f t="shared" si="19"/>
        <v>2809</v>
      </c>
      <c r="O162" s="11">
        <f t="shared" si="19"/>
        <v>-53</v>
      </c>
      <c r="P162" s="11">
        <f t="shared" si="18"/>
        <v>0</v>
      </c>
    </row>
    <row r="163" spans="1:16" x14ac:dyDescent="0.25">
      <c r="A163" s="11">
        <f t="shared" si="17"/>
        <v>108</v>
      </c>
      <c r="B163">
        <v>-7.2394637664756436</v>
      </c>
      <c r="E163" s="11">
        <f>A163-'Mastercurve bestimmen'!$B$2</f>
        <v>-52</v>
      </c>
      <c r="F163" s="11">
        <f t="shared" si="15"/>
        <v>-7.2394637664756436</v>
      </c>
      <c r="G163" s="11"/>
      <c r="H163" s="11">
        <f t="shared" si="16"/>
        <v>53459728531456</v>
      </c>
      <c r="I163" s="11">
        <f t="shared" si="19"/>
        <v>-1028071702528</v>
      </c>
      <c r="J163" s="11">
        <f t="shared" si="19"/>
        <v>19770609664</v>
      </c>
      <c r="K163" s="11">
        <f t="shared" si="19"/>
        <v>-380204032</v>
      </c>
      <c r="L163" s="11">
        <f t="shared" si="19"/>
        <v>7311616</v>
      </c>
      <c r="M163" s="11">
        <f t="shared" si="19"/>
        <v>-140608</v>
      </c>
      <c r="N163" s="11">
        <f t="shared" si="19"/>
        <v>2704</v>
      </c>
      <c r="O163" s="11">
        <f t="shared" si="19"/>
        <v>-52</v>
      </c>
      <c r="P163" s="11">
        <f t="shared" si="18"/>
        <v>0</v>
      </c>
    </row>
    <row r="164" spans="1:16" x14ac:dyDescent="0.25">
      <c r="A164" s="11">
        <f t="shared" si="17"/>
        <v>109</v>
      </c>
      <c r="B164">
        <v>-7.1071901878794908</v>
      </c>
      <c r="E164" s="11">
        <f>A164-'Mastercurve bestimmen'!$B$2</f>
        <v>-51</v>
      </c>
      <c r="F164" s="11">
        <f t="shared" si="15"/>
        <v>-7.1071901878794908</v>
      </c>
      <c r="G164" s="11"/>
      <c r="H164" s="11">
        <f t="shared" si="16"/>
        <v>45767944570401</v>
      </c>
      <c r="I164" s="11">
        <f t="shared" si="19"/>
        <v>-897410677851</v>
      </c>
      <c r="J164" s="11">
        <f t="shared" si="19"/>
        <v>17596287801</v>
      </c>
      <c r="K164" s="11">
        <f t="shared" si="19"/>
        <v>-345025251</v>
      </c>
      <c r="L164" s="11">
        <f t="shared" si="19"/>
        <v>6765201</v>
      </c>
      <c r="M164" s="11">
        <f t="shared" si="19"/>
        <v>-132651</v>
      </c>
      <c r="N164" s="11">
        <f t="shared" si="19"/>
        <v>2601</v>
      </c>
      <c r="O164" s="11">
        <f t="shared" si="19"/>
        <v>-51</v>
      </c>
      <c r="P164" s="11">
        <f t="shared" si="18"/>
        <v>0</v>
      </c>
    </row>
    <row r="165" spans="1:16" x14ac:dyDescent="0.25">
      <c r="A165" s="11">
        <f t="shared" si="17"/>
        <v>110</v>
      </c>
      <c r="B165">
        <v>-6.9743173242261687</v>
      </c>
      <c r="E165" s="11">
        <f>A165-'Mastercurve bestimmen'!$B$2</f>
        <v>-50</v>
      </c>
      <c r="F165" s="11">
        <f t="shared" si="15"/>
        <v>-6.9743173242261687</v>
      </c>
      <c r="G165" s="11"/>
      <c r="H165" s="11">
        <f t="shared" si="16"/>
        <v>39062500000000</v>
      </c>
      <c r="I165" s="11">
        <f t="shared" si="19"/>
        <v>-781250000000</v>
      </c>
      <c r="J165" s="11">
        <f t="shared" si="19"/>
        <v>15625000000</v>
      </c>
      <c r="K165" s="11">
        <f t="shared" si="19"/>
        <v>-312500000</v>
      </c>
      <c r="L165" s="11">
        <f t="shared" si="19"/>
        <v>6250000</v>
      </c>
      <c r="M165" s="11">
        <f t="shared" si="19"/>
        <v>-125000</v>
      </c>
      <c r="N165" s="11">
        <f t="shared" si="19"/>
        <v>2500</v>
      </c>
      <c r="O165" s="11">
        <f t="shared" si="19"/>
        <v>-50</v>
      </c>
      <c r="P165" s="11">
        <f t="shared" si="18"/>
        <v>0</v>
      </c>
    </row>
    <row r="166" spans="1:16" x14ac:dyDescent="0.25">
      <c r="A166" s="11">
        <f t="shared" si="17"/>
        <v>111</v>
      </c>
      <c r="B166">
        <v>-6.8408717902984666</v>
      </c>
      <c r="E166" s="11">
        <f>A166-'Mastercurve bestimmen'!$B$2</f>
        <v>-49</v>
      </c>
      <c r="F166" s="11">
        <f t="shared" si="15"/>
        <v>-6.8408717902984666</v>
      </c>
      <c r="G166" s="11"/>
      <c r="H166" s="11">
        <f t="shared" si="16"/>
        <v>33232930569601</v>
      </c>
      <c r="I166" s="11">
        <f t="shared" si="19"/>
        <v>-678223072849</v>
      </c>
      <c r="J166" s="11">
        <f t="shared" si="19"/>
        <v>13841287201</v>
      </c>
      <c r="K166" s="11">
        <f t="shared" si="19"/>
        <v>-282475249</v>
      </c>
      <c r="L166" s="11">
        <f t="shared" si="19"/>
        <v>5764801</v>
      </c>
      <c r="M166" s="11">
        <f t="shared" si="19"/>
        <v>-117649</v>
      </c>
      <c r="N166" s="11">
        <f t="shared" si="19"/>
        <v>2401</v>
      </c>
      <c r="O166" s="11">
        <f t="shared" si="19"/>
        <v>-49</v>
      </c>
      <c r="P166" s="11">
        <f t="shared" si="18"/>
        <v>0</v>
      </c>
    </row>
    <row r="167" spans="1:16" x14ac:dyDescent="0.25">
      <c r="A167" s="11">
        <f t="shared" si="17"/>
        <v>112</v>
      </c>
      <c r="B167">
        <v>-6.7068802008791693</v>
      </c>
      <c r="E167" s="11">
        <f>A167-'Mastercurve bestimmen'!$B$2</f>
        <v>-48</v>
      </c>
      <c r="F167" s="11">
        <f t="shared" si="15"/>
        <v>-6.7068802008791693</v>
      </c>
      <c r="G167" s="11"/>
      <c r="H167" s="11">
        <f t="shared" si="16"/>
        <v>28179280429056</v>
      </c>
      <c r="I167" s="11">
        <f t="shared" si="19"/>
        <v>-587068342272</v>
      </c>
      <c r="J167" s="11">
        <f t="shared" si="19"/>
        <v>12230590464</v>
      </c>
      <c r="K167" s="11">
        <f t="shared" si="19"/>
        <v>-254803968</v>
      </c>
      <c r="L167" s="11">
        <f t="shared" si="19"/>
        <v>5308416</v>
      </c>
      <c r="M167" s="11">
        <f t="shared" si="19"/>
        <v>-110592</v>
      </c>
      <c r="N167" s="11">
        <f t="shared" si="19"/>
        <v>2304</v>
      </c>
      <c r="O167" s="11">
        <f t="shared" si="19"/>
        <v>-48</v>
      </c>
      <c r="P167" s="11">
        <f t="shared" si="18"/>
        <v>0</v>
      </c>
    </row>
    <row r="168" spans="1:16" x14ac:dyDescent="0.25">
      <c r="A168" s="11">
        <f t="shared" si="17"/>
        <v>113</v>
      </c>
      <c r="B168">
        <v>-6.572369170751065</v>
      </c>
      <c r="E168" s="11">
        <f>A168-'Mastercurve bestimmen'!$B$2</f>
        <v>-47</v>
      </c>
      <c r="F168" s="11">
        <f t="shared" si="15"/>
        <v>-6.572369170751065</v>
      </c>
      <c r="G168" s="11"/>
      <c r="H168" s="11">
        <f t="shared" si="16"/>
        <v>23811286661761</v>
      </c>
      <c r="I168" s="11">
        <f t="shared" si="19"/>
        <v>-506623120463</v>
      </c>
      <c r="J168" s="11">
        <f t="shared" si="19"/>
        <v>10779215329</v>
      </c>
      <c r="K168" s="11">
        <f t="shared" si="19"/>
        <v>-229345007</v>
      </c>
      <c r="L168" s="11">
        <f t="shared" si="19"/>
        <v>4879681</v>
      </c>
      <c r="M168" s="11">
        <f t="shared" si="19"/>
        <v>-103823</v>
      </c>
      <c r="N168" s="11">
        <f t="shared" si="19"/>
        <v>2209</v>
      </c>
      <c r="O168" s="11">
        <f t="shared" si="19"/>
        <v>-47</v>
      </c>
      <c r="P168" s="11">
        <f t="shared" si="18"/>
        <v>0</v>
      </c>
    </row>
    <row r="169" spans="1:16" x14ac:dyDescent="0.25">
      <c r="A169" s="11">
        <f t="shared" si="17"/>
        <v>114</v>
      </c>
      <c r="B169">
        <v>-6.4373653146969412</v>
      </c>
      <c r="E169" s="11">
        <f>A169-'Mastercurve bestimmen'!$B$2</f>
        <v>-46</v>
      </c>
      <c r="F169" s="11">
        <f t="shared" si="15"/>
        <v>-6.4373653146969412</v>
      </c>
      <c r="G169" s="11"/>
      <c r="H169" s="11">
        <f t="shared" si="16"/>
        <v>20047612231936</v>
      </c>
      <c r="I169" s="11">
        <f t="shared" si="19"/>
        <v>-435817657216</v>
      </c>
      <c r="J169" s="11">
        <f t="shared" si="19"/>
        <v>9474296896</v>
      </c>
      <c r="K169" s="11">
        <f t="shared" si="19"/>
        <v>-205962976</v>
      </c>
      <c r="L169" s="11">
        <f t="shared" si="19"/>
        <v>4477456</v>
      </c>
      <c r="M169" s="11">
        <f t="shared" si="19"/>
        <v>-97336</v>
      </c>
      <c r="N169" s="11">
        <f t="shared" si="19"/>
        <v>2116</v>
      </c>
      <c r="O169" s="11">
        <f t="shared" si="19"/>
        <v>-46</v>
      </c>
      <c r="P169" s="11">
        <f t="shared" si="18"/>
        <v>0</v>
      </c>
    </row>
    <row r="170" spans="1:16" x14ac:dyDescent="0.25">
      <c r="A170" s="11">
        <f t="shared" si="17"/>
        <v>115</v>
      </c>
      <c r="B170">
        <v>-6.3018952474995853</v>
      </c>
      <c r="E170" s="11">
        <f>A170-'Mastercurve bestimmen'!$B$2</f>
        <v>-45</v>
      </c>
      <c r="F170" s="11">
        <f t="shared" si="15"/>
        <v>-6.3018952474995853</v>
      </c>
      <c r="G170" s="11"/>
      <c r="H170" s="11">
        <f t="shared" si="16"/>
        <v>16815125390625</v>
      </c>
      <c r="I170" s="11">
        <f t="shared" si="19"/>
        <v>-373669453125</v>
      </c>
      <c r="J170" s="11">
        <f t="shared" si="19"/>
        <v>8303765625</v>
      </c>
      <c r="K170" s="11">
        <f t="shared" si="19"/>
        <v>-184528125</v>
      </c>
      <c r="L170" s="11">
        <f t="shared" si="19"/>
        <v>4100625</v>
      </c>
      <c r="M170" s="11">
        <f t="shared" si="19"/>
        <v>-91125</v>
      </c>
      <c r="N170" s="11">
        <f t="shared" si="19"/>
        <v>2025</v>
      </c>
      <c r="O170" s="11">
        <f t="shared" si="19"/>
        <v>-45</v>
      </c>
      <c r="P170" s="11">
        <f t="shared" si="18"/>
        <v>0</v>
      </c>
    </row>
    <row r="171" spans="1:16" x14ac:dyDescent="0.25">
      <c r="A171" s="11">
        <f t="shared" si="17"/>
        <v>116</v>
      </c>
      <c r="B171">
        <v>-6.165985583941783</v>
      </c>
      <c r="E171" s="11">
        <f>A171-'Mastercurve bestimmen'!$B$2</f>
        <v>-44</v>
      </c>
      <c r="F171" s="11">
        <f t="shared" si="15"/>
        <v>-6.165985583941783</v>
      </c>
      <c r="G171" s="11"/>
      <c r="H171" s="11">
        <f t="shared" si="16"/>
        <v>14048223625216</v>
      </c>
      <c r="I171" s="11">
        <f t="shared" si="19"/>
        <v>-319277809664</v>
      </c>
      <c r="J171" s="11">
        <f t="shared" si="19"/>
        <v>7256313856</v>
      </c>
      <c r="K171" s="11">
        <f t="shared" si="19"/>
        <v>-164916224</v>
      </c>
      <c r="L171" s="11">
        <f t="shared" si="19"/>
        <v>3748096</v>
      </c>
      <c r="M171" s="11">
        <f t="shared" si="19"/>
        <v>-85184</v>
      </c>
      <c r="N171" s="11">
        <f t="shared" si="19"/>
        <v>1936</v>
      </c>
      <c r="O171" s="11">
        <f t="shared" si="19"/>
        <v>-44</v>
      </c>
      <c r="P171" s="11">
        <f t="shared" si="18"/>
        <v>0</v>
      </c>
    </row>
    <row r="172" spans="1:16" x14ac:dyDescent="0.25">
      <c r="A172" s="11">
        <f t="shared" si="17"/>
        <v>117</v>
      </c>
      <c r="B172">
        <v>-6.0296629388063216</v>
      </c>
      <c r="E172" s="11">
        <f>A172-'Mastercurve bestimmen'!$B$2</f>
        <v>-43</v>
      </c>
      <c r="F172" s="11">
        <f t="shared" si="15"/>
        <v>-6.0296629388063216</v>
      </c>
      <c r="G172" s="11"/>
      <c r="H172" s="11">
        <f t="shared" si="16"/>
        <v>11688200277601</v>
      </c>
      <c r="I172" s="11">
        <f t="shared" si="19"/>
        <v>-271818611107</v>
      </c>
      <c r="J172" s="11">
        <f t="shared" si="19"/>
        <v>6321363049</v>
      </c>
      <c r="K172" s="11">
        <f t="shared" si="19"/>
        <v>-147008443</v>
      </c>
      <c r="L172" s="11">
        <f t="shared" si="19"/>
        <v>3418801</v>
      </c>
      <c r="M172" s="11">
        <f t="shared" si="19"/>
        <v>-79507</v>
      </c>
      <c r="N172" s="11">
        <f t="shared" si="19"/>
        <v>1849</v>
      </c>
      <c r="O172" s="11">
        <f t="shared" si="19"/>
        <v>-43</v>
      </c>
      <c r="P172" s="11">
        <f t="shared" si="18"/>
        <v>0</v>
      </c>
    </row>
    <row r="173" spans="1:16" x14ac:dyDescent="0.25">
      <c r="A173" s="11">
        <f t="shared" si="17"/>
        <v>118</v>
      </c>
      <c r="B173">
        <v>-5.8929539268759905</v>
      </c>
      <c r="E173" s="11">
        <f>A173-'Mastercurve bestimmen'!$B$2</f>
        <v>-42</v>
      </c>
      <c r="F173" s="11">
        <f t="shared" si="15"/>
        <v>-5.8929539268759905</v>
      </c>
      <c r="G173" s="11"/>
      <c r="H173" s="11">
        <f t="shared" si="16"/>
        <v>9682651996416</v>
      </c>
      <c r="I173" s="11">
        <f t="shared" si="19"/>
        <v>-230539333248</v>
      </c>
      <c r="J173" s="11">
        <f t="shared" si="19"/>
        <v>5489031744</v>
      </c>
      <c r="K173" s="11">
        <f t="shared" si="19"/>
        <v>-130691232</v>
      </c>
      <c r="L173" s="11">
        <f t="shared" si="19"/>
        <v>3111696</v>
      </c>
      <c r="M173" s="11">
        <f t="shared" si="19"/>
        <v>-74088</v>
      </c>
      <c r="N173" s="11">
        <f t="shared" si="19"/>
        <v>1764</v>
      </c>
      <c r="O173" s="11">
        <f t="shared" si="19"/>
        <v>-42</v>
      </c>
      <c r="P173" s="11">
        <f t="shared" si="18"/>
        <v>0</v>
      </c>
    </row>
    <row r="174" spans="1:16" x14ac:dyDescent="0.25">
      <c r="A174" s="11">
        <f t="shared" si="17"/>
        <v>119</v>
      </c>
      <c r="B174">
        <v>-5.7558851629335734</v>
      </c>
      <c r="E174" s="11">
        <f>A174-'Mastercurve bestimmen'!$B$2</f>
        <v>-41</v>
      </c>
      <c r="F174" s="11">
        <f t="shared" si="15"/>
        <v>-5.7558851629335734</v>
      </c>
      <c r="G174" s="11"/>
      <c r="H174" s="11">
        <f t="shared" si="16"/>
        <v>7984925229121</v>
      </c>
      <c r="I174" s="11">
        <f t="shared" si="19"/>
        <v>-194754273881</v>
      </c>
      <c r="J174" s="11">
        <f t="shared" si="19"/>
        <v>4750104241</v>
      </c>
      <c r="K174" s="11">
        <f t="shared" si="19"/>
        <v>-115856201</v>
      </c>
      <c r="L174" s="11">
        <f t="shared" si="19"/>
        <v>2825761</v>
      </c>
      <c r="M174" s="11">
        <f t="shared" si="19"/>
        <v>-68921</v>
      </c>
      <c r="N174" s="11">
        <f t="shared" si="19"/>
        <v>1681</v>
      </c>
      <c r="O174" s="11">
        <f t="shared" si="19"/>
        <v>-41</v>
      </c>
      <c r="P174" s="11">
        <f t="shared" si="18"/>
        <v>0</v>
      </c>
    </row>
    <row r="175" spans="1:16" x14ac:dyDescent="0.25">
      <c r="A175" s="11">
        <f t="shared" si="17"/>
        <v>120</v>
      </c>
      <c r="B175">
        <v>-5.6184832617618596</v>
      </c>
      <c r="E175" s="11">
        <f>A175-'Mastercurve bestimmen'!$B$2</f>
        <v>-40</v>
      </c>
      <c r="F175" s="11">
        <f t="shared" si="15"/>
        <v>-5.6184832617618596</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-5.4807748381436356</v>
      </c>
      <c r="E176" s="11">
        <f>A176-'Mastercurve bestimmen'!$B$2</f>
        <v>-39</v>
      </c>
      <c r="F176" s="11">
        <f t="shared" si="15"/>
        <v>-5.4807748381436356</v>
      </c>
      <c r="G176" s="11"/>
      <c r="H176" s="11">
        <f t="shared" si="16"/>
        <v>5352009260481</v>
      </c>
      <c r="I176" s="11">
        <f t="shared" si="19"/>
        <v>-137231006679</v>
      </c>
      <c r="J176" s="11">
        <f t="shared" si="19"/>
        <v>3518743761</v>
      </c>
      <c r="K176" s="11">
        <f t="shared" si="19"/>
        <v>-90224199</v>
      </c>
      <c r="L176" s="11">
        <f t="shared" si="19"/>
        <v>2313441</v>
      </c>
      <c r="M176" s="11">
        <f t="shared" si="19"/>
        <v>-59319</v>
      </c>
      <c r="N176" s="11">
        <f t="shared" si="19"/>
        <v>1521</v>
      </c>
      <c r="O176" s="11">
        <f t="shared" si="19"/>
        <v>-39</v>
      </c>
      <c r="P176" s="11">
        <f t="shared" si="18"/>
        <v>0</v>
      </c>
    </row>
    <row r="177" spans="1:16" x14ac:dyDescent="0.25">
      <c r="A177" s="11">
        <f t="shared" si="17"/>
        <v>122</v>
      </c>
      <c r="B177">
        <v>-5.3427865068616889</v>
      </c>
      <c r="E177" s="11">
        <f>A177-'Mastercurve bestimmen'!$B$2</f>
        <v>-38</v>
      </c>
      <c r="F177" s="11">
        <f t="shared" si="15"/>
        <v>-5.3427865068616889</v>
      </c>
      <c r="G177" s="11"/>
      <c r="H177" s="11">
        <f t="shared" si="16"/>
        <v>4347792138496</v>
      </c>
      <c r="I177" s="11">
        <f t="shared" si="19"/>
        <v>-114415582592</v>
      </c>
      <c r="J177" s="11">
        <f t="shared" si="19"/>
        <v>3010936384</v>
      </c>
      <c r="K177" s="11">
        <f t="shared" si="19"/>
        <v>-79235168</v>
      </c>
      <c r="L177" s="11">
        <f t="shared" si="19"/>
        <v>2085136</v>
      </c>
      <c r="M177" s="11">
        <f t="shared" si="19"/>
        <v>-54872</v>
      </c>
      <c r="N177" s="11">
        <f t="shared" si="19"/>
        <v>1444</v>
      </c>
      <c r="O177" s="11">
        <f t="shared" si="19"/>
        <v>-38</v>
      </c>
      <c r="P177" s="11">
        <f t="shared" si="18"/>
        <v>0</v>
      </c>
    </row>
    <row r="178" spans="1:16" x14ac:dyDescent="0.25">
      <c r="A178" s="11">
        <f t="shared" si="17"/>
        <v>123</v>
      </c>
      <c r="B178">
        <v>-5.2045448826988059</v>
      </c>
      <c r="E178" s="11">
        <f>A178-'Mastercurve bestimmen'!$B$2</f>
        <v>-37</v>
      </c>
      <c r="F178" s="11">
        <f t="shared" si="15"/>
        <v>-5.2045448826988059</v>
      </c>
      <c r="G178" s="11"/>
      <c r="H178" s="11">
        <f t="shared" si="16"/>
        <v>3512479453921</v>
      </c>
      <c r="I178" s="11">
        <f t="shared" si="19"/>
        <v>-94931877133</v>
      </c>
      <c r="J178" s="11">
        <f t="shared" si="19"/>
        <v>2565726409</v>
      </c>
      <c r="K178" s="11">
        <f t="shared" si="19"/>
        <v>-69343957</v>
      </c>
      <c r="L178" s="11">
        <f t="shared" si="19"/>
        <v>1874161</v>
      </c>
      <c r="M178" s="11">
        <f t="shared" si="19"/>
        <v>-50653</v>
      </c>
      <c r="N178" s="11">
        <f t="shared" si="19"/>
        <v>1369</v>
      </c>
      <c r="O178" s="11">
        <f t="shared" si="19"/>
        <v>-37</v>
      </c>
      <c r="P178" s="11">
        <f t="shared" si="18"/>
        <v>0</v>
      </c>
    </row>
    <row r="179" spans="1:16" x14ac:dyDescent="0.25">
      <c r="A179" s="11">
        <f t="shared" si="17"/>
        <v>124</v>
      </c>
      <c r="B179">
        <v>-5.066076580437775</v>
      </c>
      <c r="E179" s="11">
        <f>A179-'Mastercurve bestimmen'!$B$2</f>
        <v>-36</v>
      </c>
      <c r="F179" s="11">
        <f t="shared" si="15"/>
        <v>-5.066076580437775</v>
      </c>
      <c r="G179" s="11"/>
      <c r="H179" s="11">
        <f t="shared" si="16"/>
        <v>2821109907456</v>
      </c>
      <c r="I179" s="11">
        <f t="shared" si="19"/>
        <v>-78364164096</v>
      </c>
      <c r="J179" s="11">
        <f t="shared" si="19"/>
        <v>2176782336</v>
      </c>
      <c r="K179" s="11">
        <f t="shared" si="19"/>
        <v>-60466176</v>
      </c>
      <c r="L179" s="11">
        <f t="shared" si="19"/>
        <v>1679616</v>
      </c>
      <c r="M179" s="11">
        <f t="shared" si="19"/>
        <v>-46656</v>
      </c>
      <c r="N179" s="11">
        <f t="shared" si="19"/>
        <v>1296</v>
      </c>
      <c r="O179" s="11">
        <f t="shared" si="19"/>
        <v>-36</v>
      </c>
      <c r="P179" s="11">
        <f t="shared" si="18"/>
        <v>0</v>
      </c>
    </row>
    <row r="180" spans="1:16" x14ac:dyDescent="0.25">
      <c r="A180" s="11">
        <f t="shared" si="17"/>
        <v>125</v>
      </c>
      <c r="B180">
        <v>-4.9274082148613809</v>
      </c>
      <c r="E180" s="11">
        <f>A180-'Mastercurve bestimmen'!$B$2</f>
        <v>-35</v>
      </c>
      <c r="F180" s="11">
        <f t="shared" si="15"/>
        <v>-4.9274082148613809</v>
      </c>
      <c r="G180" s="11"/>
      <c r="H180" s="11">
        <f t="shared" si="16"/>
        <v>2251875390625</v>
      </c>
      <c r="I180" s="11">
        <f t="shared" si="19"/>
        <v>-64339296875</v>
      </c>
      <c r="J180" s="11">
        <f t="shared" si="19"/>
        <v>1838265625</v>
      </c>
      <c r="K180" s="11">
        <f t="shared" si="19"/>
        <v>-52521875</v>
      </c>
      <c r="L180" s="11">
        <f t="shared" si="19"/>
        <v>1500625</v>
      </c>
      <c r="M180" s="11">
        <f t="shared" si="19"/>
        <v>-42875</v>
      </c>
      <c r="N180" s="11">
        <f t="shared" si="19"/>
        <v>1225</v>
      </c>
      <c r="O180" s="11">
        <f t="shared" si="19"/>
        <v>-35</v>
      </c>
      <c r="P180" s="11">
        <f t="shared" si="18"/>
        <v>0</v>
      </c>
    </row>
    <row r="181" spans="1:16" x14ac:dyDescent="0.25">
      <c r="A181" s="11">
        <f t="shared" si="17"/>
        <v>126</v>
      </c>
      <c r="B181">
        <v>-4.7885627909006745</v>
      </c>
      <c r="E181" s="11">
        <f>A181-'Mastercurve bestimmen'!$B$2</f>
        <v>-34</v>
      </c>
      <c r="F181" s="11">
        <f t="shared" si="15"/>
        <v>-4.7885627909006745</v>
      </c>
      <c r="G181" s="11"/>
      <c r="H181" s="11">
        <f t="shared" si="16"/>
        <v>1785793904896</v>
      </c>
      <c r="I181" s="11">
        <f t="shared" si="19"/>
        <v>-52523350144</v>
      </c>
      <c r="J181" s="11">
        <f t="shared" si="19"/>
        <v>1544804416</v>
      </c>
      <c r="K181" s="11">
        <f t="shared" si="19"/>
        <v>-45435424</v>
      </c>
      <c r="L181" s="11">
        <f t="shared" si="19"/>
        <v>1336336</v>
      </c>
      <c r="M181" s="11">
        <f t="shared" si="19"/>
        <v>-39304</v>
      </c>
      <c r="N181" s="11">
        <f t="shared" si="19"/>
        <v>1156</v>
      </c>
      <c r="O181" s="11">
        <f t="shared" si="19"/>
        <v>-34</v>
      </c>
      <c r="P181" s="11">
        <f t="shared" si="18"/>
        <v>0</v>
      </c>
    </row>
    <row r="182" spans="1:16" x14ac:dyDescent="0.25">
      <c r="A182" s="11">
        <f t="shared" si="17"/>
        <v>127</v>
      </c>
      <c r="B182">
        <v>-4.6495488740797528</v>
      </c>
      <c r="E182" s="11">
        <f>A182-'Mastercurve bestimmen'!$B$2</f>
        <v>-33</v>
      </c>
      <c r="F182" s="11">
        <f t="shared" si="15"/>
        <v>-4.6495488740797528</v>
      </c>
      <c r="G182" s="11"/>
      <c r="H182" s="11">
        <f t="shared" si="16"/>
        <v>1406408618241</v>
      </c>
      <c r="I182" s="11">
        <f t="shared" si="19"/>
        <v>-42618442977</v>
      </c>
      <c r="J182" s="11">
        <f t="shared" si="19"/>
        <v>1291467969</v>
      </c>
      <c r="K182" s="11">
        <f t="shared" si="19"/>
        <v>-39135393</v>
      </c>
      <c r="L182" s="11">
        <f t="shared" si="19"/>
        <v>1185921</v>
      </c>
      <c r="M182" s="11">
        <f t="shared" si="19"/>
        <v>-35937</v>
      </c>
      <c r="N182" s="11">
        <f t="shared" si="19"/>
        <v>1089</v>
      </c>
      <c r="O182" s="11">
        <f t="shared" si="19"/>
        <v>-33</v>
      </c>
      <c r="P182" s="11">
        <f t="shared" si="18"/>
        <v>0</v>
      </c>
    </row>
    <row r="183" spans="1:16" x14ac:dyDescent="0.25">
      <c r="A183" s="11">
        <f t="shared" si="17"/>
        <v>128</v>
      </c>
      <c r="B183">
        <v>-4.5103714200709764</v>
      </c>
      <c r="E183" s="11">
        <f>A183-'Mastercurve bestimmen'!$B$2</f>
        <v>-32</v>
      </c>
      <c r="F183" s="11">
        <f t="shared" si="15"/>
        <v>-4.5103714200709764</v>
      </c>
      <c r="G183" s="11"/>
      <c r="H183" s="11">
        <f t="shared" si="16"/>
        <v>1099511627776</v>
      </c>
      <c r="I183" s="11">
        <f t="shared" si="19"/>
        <v>-34359738368</v>
      </c>
      <c r="J183" s="11">
        <f t="shared" si="19"/>
        <v>1073741824</v>
      </c>
      <c r="K183" s="11">
        <f t="shared" si="19"/>
        <v>-33554432</v>
      </c>
      <c r="L183" s="11">
        <f t="shared" si="19"/>
        <v>1048576</v>
      </c>
      <c r="M183" s="11">
        <f t="shared" si="19"/>
        <v>-32768</v>
      </c>
      <c r="N183" s="11">
        <f t="shared" si="19"/>
        <v>1024</v>
      </c>
      <c r="O183" s="11">
        <f t="shared" si="19"/>
        <v>-32</v>
      </c>
      <c r="P183" s="11">
        <f t="shared" si="18"/>
        <v>0</v>
      </c>
    </row>
    <row r="184" spans="1:16" x14ac:dyDescent="0.25">
      <c r="A184" s="11">
        <f t="shared" si="17"/>
        <v>129</v>
      </c>
      <c r="B184">
        <v>-4.371035384546702</v>
      </c>
      <c r="E184" s="11">
        <f>A184-'Mastercurve bestimmen'!$B$2</f>
        <v>-31</v>
      </c>
      <c r="F184" s="11">
        <f t="shared" si="15"/>
        <v>-4.371035384546702</v>
      </c>
      <c r="G184" s="11"/>
      <c r="H184" s="11">
        <f t="shared" si="16"/>
        <v>852891037441</v>
      </c>
      <c r="I184" s="11">
        <f t="shared" si="19"/>
        <v>-27512614111</v>
      </c>
      <c r="J184" s="11">
        <f t="shared" si="19"/>
        <v>887503681</v>
      </c>
      <c r="K184" s="11">
        <f t="shared" si="19"/>
        <v>-28629151</v>
      </c>
      <c r="L184" s="11">
        <f t="shared" si="19"/>
        <v>923521</v>
      </c>
      <c r="M184" s="11">
        <f t="shared" si="19"/>
        <v>-29791</v>
      </c>
      <c r="N184" s="11">
        <f t="shared" si="19"/>
        <v>961</v>
      </c>
      <c r="O184" s="11">
        <f t="shared" si="19"/>
        <v>-31</v>
      </c>
      <c r="P184" s="11">
        <f t="shared" si="18"/>
        <v>0</v>
      </c>
    </row>
    <row r="185" spans="1:16" x14ac:dyDescent="0.25">
      <c r="A185" s="11">
        <f t="shared" si="17"/>
        <v>130</v>
      </c>
      <c r="B185">
        <v>-4.2315457231792903</v>
      </c>
      <c r="E185" s="11">
        <f>A185-'Mastercurve bestimmen'!$B$2</f>
        <v>-30</v>
      </c>
      <c r="F185" s="11">
        <f t="shared" si="15"/>
        <v>-4.2315457231792903</v>
      </c>
      <c r="G185" s="11"/>
      <c r="H185" s="11">
        <f t="shared" si="16"/>
        <v>656100000000</v>
      </c>
      <c r="I185" s="11">
        <f t="shared" si="19"/>
        <v>-21870000000</v>
      </c>
      <c r="J185" s="11">
        <f t="shared" si="19"/>
        <v>729000000</v>
      </c>
      <c r="K185" s="11">
        <f t="shared" si="19"/>
        <v>-24300000</v>
      </c>
      <c r="L185" s="11">
        <f t="shared" si="19"/>
        <v>810000</v>
      </c>
      <c r="M185" s="11">
        <f t="shared" si="19"/>
        <v>-27000</v>
      </c>
      <c r="N185" s="11">
        <f t="shared" si="19"/>
        <v>900</v>
      </c>
      <c r="O185" s="11">
        <f t="shared" si="19"/>
        <v>-30</v>
      </c>
      <c r="P185" s="11">
        <f t="shared" si="18"/>
        <v>0</v>
      </c>
    </row>
    <row r="186" spans="1:16" x14ac:dyDescent="0.25">
      <c r="A186" s="11">
        <f t="shared" si="17"/>
        <v>131</v>
      </c>
      <c r="B186">
        <v>-4.0919073916411008</v>
      </c>
      <c r="E186" s="11">
        <f>A186-'Mastercurve bestimmen'!$B$2</f>
        <v>-29</v>
      </c>
      <c r="F186" s="11">
        <f t="shared" si="15"/>
        <v>-4.0919073916411008</v>
      </c>
      <c r="G186" s="11"/>
      <c r="H186" s="11">
        <f t="shared" si="16"/>
        <v>500246412961</v>
      </c>
      <c r="I186" s="11">
        <f t="shared" si="19"/>
        <v>-17249876309</v>
      </c>
      <c r="J186" s="11">
        <f t="shared" si="19"/>
        <v>594823321</v>
      </c>
      <c r="K186" s="11">
        <f t="shared" si="19"/>
        <v>-20511149</v>
      </c>
      <c r="L186" s="11">
        <f t="shared" si="19"/>
        <v>707281</v>
      </c>
      <c r="M186" s="11">
        <f t="shared" si="19"/>
        <v>-24389</v>
      </c>
      <c r="N186" s="11">
        <f t="shared" si="19"/>
        <v>841</v>
      </c>
      <c r="O186" s="11">
        <f t="shared" si="19"/>
        <v>-29</v>
      </c>
      <c r="P186" s="11">
        <f t="shared" si="18"/>
        <v>0</v>
      </c>
    </row>
    <row r="187" spans="1:16" x14ac:dyDescent="0.25">
      <c r="A187" s="11">
        <f t="shared" si="17"/>
        <v>132</v>
      </c>
      <c r="B187">
        <v>-3.9521253456044918</v>
      </c>
      <c r="E187" s="11">
        <f>A187-'Mastercurve bestimmen'!$B$2</f>
        <v>-28</v>
      </c>
      <c r="F187" s="11">
        <f t="shared" si="15"/>
        <v>-3.9521253456044918</v>
      </c>
      <c r="G187" s="11"/>
      <c r="H187" s="11">
        <f t="shared" si="16"/>
        <v>377801998336</v>
      </c>
      <c r="I187" s="11">
        <f t="shared" si="19"/>
        <v>-13492928512</v>
      </c>
      <c r="J187" s="11">
        <f t="shared" si="19"/>
        <v>481890304</v>
      </c>
      <c r="K187" s="11">
        <f t="shared" si="19"/>
        <v>-17210368</v>
      </c>
      <c r="L187" s="11">
        <f t="shared" si="19"/>
        <v>614656</v>
      </c>
      <c r="M187" s="11">
        <f t="shared" si="19"/>
        <v>-21952</v>
      </c>
      <c r="N187" s="11">
        <f t="shared" si="19"/>
        <v>784</v>
      </c>
      <c r="O187" s="11">
        <f t="shared" si="19"/>
        <v>-28</v>
      </c>
      <c r="P187" s="11">
        <f t="shared" si="18"/>
        <v>0</v>
      </c>
    </row>
    <row r="188" spans="1:16" x14ac:dyDescent="0.25">
      <c r="A188" s="11">
        <f t="shared" si="17"/>
        <v>133</v>
      </c>
      <c r="B188">
        <v>-3.8122045407418228</v>
      </c>
      <c r="E188" s="11">
        <f>A188-'Mastercurve bestimmen'!$B$2</f>
        <v>-27</v>
      </c>
      <c r="F188" s="11">
        <f t="shared" si="15"/>
        <v>-3.8122045407418228</v>
      </c>
      <c r="G188" s="11"/>
      <c r="H188" s="11">
        <f t="shared" si="16"/>
        <v>282429536481</v>
      </c>
      <c r="I188" s="11">
        <f t="shared" si="19"/>
        <v>-10460353203</v>
      </c>
      <c r="J188" s="11">
        <f t="shared" si="19"/>
        <v>387420489</v>
      </c>
      <c r="K188" s="11">
        <f t="shared" si="19"/>
        <v>-14348907</v>
      </c>
      <c r="L188" s="11">
        <f t="shared" si="19"/>
        <v>531441</v>
      </c>
      <c r="M188" s="11">
        <f t="shared" si="19"/>
        <v>-19683</v>
      </c>
      <c r="N188" s="11">
        <f t="shared" si="19"/>
        <v>729</v>
      </c>
      <c r="O188" s="11">
        <f t="shared" si="19"/>
        <v>-27</v>
      </c>
      <c r="P188" s="11">
        <f t="shared" si="18"/>
        <v>0</v>
      </c>
    </row>
    <row r="189" spans="1:16" x14ac:dyDescent="0.25">
      <c r="A189" s="11">
        <f t="shared" si="17"/>
        <v>134</v>
      </c>
      <c r="B189">
        <v>-3.6721499327254543</v>
      </c>
      <c r="E189" s="11">
        <f>A189-'Mastercurve bestimmen'!$B$2</f>
        <v>-26</v>
      </c>
      <c r="F189" s="11">
        <f t="shared" si="15"/>
        <v>-3.6721499327254543</v>
      </c>
      <c r="G189" s="11"/>
      <c r="H189" s="11">
        <f t="shared" si="16"/>
        <v>208827064576</v>
      </c>
      <c r="I189" s="11">
        <f t="shared" si="19"/>
        <v>-8031810176</v>
      </c>
      <c r="J189" s="11">
        <f t="shared" ref="I189:O215" si="20">IF($H$12&gt;=J$14,$E189^J$14,0)</f>
        <v>308915776</v>
      </c>
      <c r="K189" s="11">
        <f t="shared" si="20"/>
        <v>-11881376</v>
      </c>
      <c r="L189" s="11">
        <f t="shared" si="20"/>
        <v>456976</v>
      </c>
      <c r="M189" s="11">
        <f t="shared" si="20"/>
        <v>-17576</v>
      </c>
      <c r="N189" s="11">
        <f t="shared" si="20"/>
        <v>676</v>
      </c>
      <c r="O189" s="11">
        <f t="shared" si="20"/>
        <v>-26</v>
      </c>
      <c r="P189" s="11">
        <f t="shared" si="18"/>
        <v>0</v>
      </c>
    </row>
    <row r="190" spans="1:16" x14ac:dyDescent="0.25">
      <c r="A190" s="11">
        <f t="shared" si="17"/>
        <v>135</v>
      </c>
      <c r="B190">
        <v>-3.5319664772277442</v>
      </c>
      <c r="E190" s="11">
        <f>A190-'Mastercurve bestimmen'!$B$2</f>
        <v>-25</v>
      </c>
      <c r="F190" s="11">
        <f t="shared" si="15"/>
        <v>-3.5319664772277442</v>
      </c>
      <c r="G190" s="11"/>
      <c r="H190" s="11">
        <f t="shared" si="16"/>
        <v>152587890625</v>
      </c>
      <c r="I190" s="11">
        <f t="shared" si="20"/>
        <v>-6103515625</v>
      </c>
      <c r="J190" s="11">
        <f t="shared" si="20"/>
        <v>244140625</v>
      </c>
      <c r="K190" s="11">
        <f t="shared" si="20"/>
        <v>-9765625</v>
      </c>
      <c r="L190" s="11">
        <f t="shared" si="20"/>
        <v>390625</v>
      </c>
      <c r="M190" s="11">
        <f t="shared" si="20"/>
        <v>-15625</v>
      </c>
      <c r="N190" s="11">
        <f t="shared" si="20"/>
        <v>625</v>
      </c>
      <c r="O190" s="11">
        <f t="shared" si="20"/>
        <v>-25</v>
      </c>
      <c r="P190" s="11">
        <f t="shared" si="18"/>
        <v>0</v>
      </c>
    </row>
    <row r="191" spans="1:16" x14ac:dyDescent="0.25">
      <c r="A191" s="11">
        <f t="shared" si="17"/>
        <v>136</v>
      </c>
      <c r="B191">
        <v>-3.3916591299210523</v>
      </c>
      <c r="E191" s="11">
        <f>A191-'Mastercurve bestimmen'!$B$2</f>
        <v>-24</v>
      </c>
      <c r="F191" s="11">
        <f t="shared" si="15"/>
        <v>-3.3916591299210523</v>
      </c>
      <c r="G191" s="11"/>
      <c r="H191" s="11">
        <f t="shared" si="16"/>
        <v>110075314176</v>
      </c>
      <c r="I191" s="11">
        <f t="shared" si="20"/>
        <v>-4586471424</v>
      </c>
      <c r="J191" s="11">
        <f t="shared" si="20"/>
        <v>191102976</v>
      </c>
      <c r="K191" s="11">
        <f t="shared" si="20"/>
        <v>-7962624</v>
      </c>
      <c r="L191" s="11">
        <f t="shared" si="20"/>
        <v>331776</v>
      </c>
      <c r="M191" s="11">
        <f t="shared" si="20"/>
        <v>-13824</v>
      </c>
      <c r="N191" s="11">
        <f t="shared" si="20"/>
        <v>576</v>
      </c>
      <c r="O191" s="11">
        <f t="shared" si="20"/>
        <v>-24</v>
      </c>
      <c r="P191" s="11">
        <f t="shared" si="18"/>
        <v>0</v>
      </c>
    </row>
    <row r="192" spans="1:16" x14ac:dyDescent="0.25">
      <c r="A192" s="11">
        <f t="shared" si="17"/>
        <v>137</v>
      </c>
      <c r="B192">
        <v>-3.2512328464777376</v>
      </c>
      <c r="E192" s="11">
        <f>A192-'Mastercurve bestimmen'!$B$2</f>
        <v>-23</v>
      </c>
      <c r="F192" s="11">
        <f t="shared" si="15"/>
        <v>-3.2512328464777376</v>
      </c>
      <c r="G192" s="11"/>
      <c r="H192" s="11">
        <f t="shared" si="16"/>
        <v>78310985281</v>
      </c>
      <c r="I192" s="11">
        <f t="shared" si="20"/>
        <v>-3404825447</v>
      </c>
      <c r="J192" s="11">
        <f t="shared" si="20"/>
        <v>148035889</v>
      </c>
      <c r="K192" s="11">
        <f t="shared" si="20"/>
        <v>-6436343</v>
      </c>
      <c r="L192" s="11">
        <f t="shared" si="20"/>
        <v>279841</v>
      </c>
      <c r="M192" s="11">
        <f t="shared" si="20"/>
        <v>-12167</v>
      </c>
      <c r="N192" s="11">
        <f t="shared" si="20"/>
        <v>529</v>
      </c>
      <c r="O192" s="11">
        <f t="shared" si="20"/>
        <v>-23</v>
      </c>
      <c r="P192" s="11">
        <f t="shared" si="18"/>
        <v>0</v>
      </c>
    </row>
    <row r="193" spans="1:16" x14ac:dyDescent="0.25">
      <c r="A193" s="11">
        <f t="shared" si="17"/>
        <v>138</v>
      </c>
      <c r="B193">
        <v>-3.1106925825701595</v>
      </c>
      <c r="E193" s="11">
        <f>A193-'Mastercurve bestimmen'!$B$2</f>
        <v>-22</v>
      </c>
      <c r="F193" s="11">
        <f t="shared" si="15"/>
        <v>-3.1106925825701595</v>
      </c>
      <c r="G193" s="11"/>
      <c r="H193" s="11">
        <f t="shared" si="16"/>
        <v>54875873536</v>
      </c>
      <c r="I193" s="11">
        <f t="shared" si="20"/>
        <v>-2494357888</v>
      </c>
      <c r="J193" s="11">
        <f t="shared" si="20"/>
        <v>113379904</v>
      </c>
      <c r="K193" s="11">
        <f t="shared" si="20"/>
        <v>-5153632</v>
      </c>
      <c r="L193" s="11">
        <f t="shared" si="20"/>
        <v>234256</v>
      </c>
      <c r="M193" s="11">
        <f t="shared" si="20"/>
        <v>-10648</v>
      </c>
      <c r="N193" s="11">
        <f t="shared" si="20"/>
        <v>484</v>
      </c>
      <c r="O193" s="11">
        <f t="shared" si="20"/>
        <v>-22</v>
      </c>
      <c r="P193" s="11">
        <f t="shared" si="18"/>
        <v>0</v>
      </c>
    </row>
    <row r="194" spans="1:16" x14ac:dyDescent="0.25">
      <c r="A194" s="11">
        <f t="shared" si="17"/>
        <v>139</v>
      </c>
      <c r="B194">
        <v>-2.970043293870678</v>
      </c>
      <c r="E194" s="11">
        <f>A194-'Mastercurve bestimmen'!$B$2</f>
        <v>-21</v>
      </c>
      <c r="F194" s="11">
        <f t="shared" si="15"/>
        <v>-2.970043293870678</v>
      </c>
      <c r="G194" s="11"/>
      <c r="H194" s="11">
        <f t="shared" si="16"/>
        <v>37822859361</v>
      </c>
      <c r="I194" s="11">
        <f t="shared" si="20"/>
        <v>-1801088541</v>
      </c>
      <c r="J194" s="11">
        <f t="shared" si="20"/>
        <v>85766121</v>
      </c>
      <c r="K194" s="11">
        <f t="shared" si="20"/>
        <v>-4084101</v>
      </c>
      <c r="L194" s="11">
        <f t="shared" si="20"/>
        <v>194481</v>
      </c>
      <c r="M194" s="11">
        <f t="shared" si="20"/>
        <v>-9261</v>
      </c>
      <c r="N194" s="11">
        <f t="shared" si="20"/>
        <v>441</v>
      </c>
      <c r="O194" s="11">
        <f t="shared" si="20"/>
        <v>-21</v>
      </c>
      <c r="P194" s="11">
        <f t="shared" si="18"/>
        <v>0</v>
      </c>
    </row>
    <row r="195" spans="1:16" x14ac:dyDescent="0.25">
      <c r="A195" s="11">
        <f t="shared" si="17"/>
        <v>140</v>
      </c>
      <c r="B195">
        <v>-2.829289936051651</v>
      </c>
      <c r="E195" s="11">
        <f>A195-'Mastercurve bestimmen'!$B$2</f>
        <v>-20</v>
      </c>
      <c r="F195" s="11">
        <f t="shared" si="15"/>
        <v>-2.829289936051651</v>
      </c>
      <c r="G195" s="11"/>
      <c r="H195" s="11">
        <f t="shared" si="16"/>
        <v>25600000000</v>
      </c>
      <c r="I195" s="11">
        <f t="shared" si="20"/>
        <v>-1280000000</v>
      </c>
      <c r="J195" s="11">
        <f t="shared" si="20"/>
        <v>64000000</v>
      </c>
      <c r="K195" s="11">
        <f t="shared" si="20"/>
        <v>-3200000</v>
      </c>
      <c r="L195" s="11">
        <f t="shared" si="20"/>
        <v>160000</v>
      </c>
      <c r="M195" s="11">
        <f t="shared" si="20"/>
        <v>-8000</v>
      </c>
      <c r="N195" s="11">
        <f t="shared" si="20"/>
        <v>400</v>
      </c>
      <c r="O195" s="11">
        <f t="shared" si="20"/>
        <v>-20</v>
      </c>
      <c r="P195" s="11">
        <f t="shared" si="18"/>
        <v>0</v>
      </c>
    </row>
    <row r="196" spans="1:16" x14ac:dyDescent="0.25">
      <c r="A196" s="11">
        <f t="shared" si="17"/>
        <v>141</v>
      </c>
      <c r="B196">
        <v>-2.688437464785439</v>
      </c>
      <c r="E196" s="11">
        <f>A196-'Mastercurve bestimmen'!$B$2</f>
        <v>-19</v>
      </c>
      <c r="F196" s="11">
        <f t="shared" si="15"/>
        <v>-2.688437464785439</v>
      </c>
      <c r="G196" s="11"/>
      <c r="H196" s="11">
        <f t="shared" si="16"/>
        <v>16983563041</v>
      </c>
      <c r="I196" s="11">
        <f t="shared" si="20"/>
        <v>-893871739</v>
      </c>
      <c r="J196" s="11">
        <f t="shared" si="20"/>
        <v>47045881</v>
      </c>
      <c r="K196" s="11">
        <f t="shared" si="20"/>
        <v>-2476099</v>
      </c>
      <c r="L196" s="11">
        <f t="shared" si="20"/>
        <v>130321</v>
      </c>
      <c r="M196" s="11">
        <f t="shared" si="20"/>
        <v>-6859</v>
      </c>
      <c r="N196" s="11">
        <f t="shared" si="20"/>
        <v>361</v>
      </c>
      <c r="O196" s="11">
        <f t="shared" si="20"/>
        <v>-19</v>
      </c>
      <c r="P196" s="11">
        <f t="shared" si="18"/>
        <v>0</v>
      </c>
    </row>
    <row r="197" spans="1:16" x14ac:dyDescent="0.25">
      <c r="A197" s="11">
        <f t="shared" si="17"/>
        <v>142</v>
      </c>
      <c r="B197">
        <v>-2.547490835744401</v>
      </c>
      <c r="E197" s="11">
        <f>A197-'Mastercurve bestimmen'!$B$2</f>
        <v>-18</v>
      </c>
      <c r="F197" s="11">
        <f t="shared" si="15"/>
        <v>-2.547490835744401</v>
      </c>
      <c r="G197" s="11"/>
      <c r="H197" s="11">
        <f t="shared" si="16"/>
        <v>11019960576</v>
      </c>
      <c r="I197" s="11">
        <f t="shared" si="20"/>
        <v>-612220032</v>
      </c>
      <c r="J197" s="11">
        <f t="shared" si="20"/>
        <v>34012224</v>
      </c>
      <c r="K197" s="11">
        <f t="shared" si="20"/>
        <v>-1889568</v>
      </c>
      <c r="L197" s="11">
        <f t="shared" si="20"/>
        <v>104976</v>
      </c>
      <c r="M197" s="11">
        <f t="shared" si="20"/>
        <v>-5832</v>
      </c>
      <c r="N197" s="11">
        <f t="shared" si="20"/>
        <v>324</v>
      </c>
      <c r="O197" s="11">
        <f t="shared" si="20"/>
        <v>-18</v>
      </c>
      <c r="P197" s="11">
        <f t="shared" si="18"/>
        <v>0</v>
      </c>
    </row>
    <row r="198" spans="1:16" x14ac:dyDescent="0.25">
      <c r="A198" s="11">
        <f t="shared" si="17"/>
        <v>143</v>
      </c>
      <c r="B198">
        <v>-2.4064550046008955</v>
      </c>
      <c r="E198" s="11">
        <f>A198-'Mastercurve bestimmen'!$B$2</f>
        <v>-17</v>
      </c>
      <c r="F198" s="11">
        <f t="shared" si="15"/>
        <v>-2.4064550046008955</v>
      </c>
      <c r="G198" s="11"/>
      <c r="H198" s="11">
        <f t="shared" si="16"/>
        <v>6975757441</v>
      </c>
      <c r="I198" s="11">
        <f t="shared" si="20"/>
        <v>-410338673</v>
      </c>
      <c r="J198" s="11">
        <f t="shared" si="20"/>
        <v>24137569</v>
      </c>
      <c r="K198" s="11">
        <f t="shared" si="20"/>
        <v>-1419857</v>
      </c>
      <c r="L198" s="11">
        <f t="shared" si="20"/>
        <v>83521</v>
      </c>
      <c r="M198" s="11">
        <f t="shared" si="20"/>
        <v>-4913</v>
      </c>
      <c r="N198" s="11">
        <f t="shared" si="20"/>
        <v>289</v>
      </c>
      <c r="O198" s="11">
        <f t="shared" si="20"/>
        <v>-17</v>
      </c>
      <c r="P198" s="11">
        <f t="shared" si="18"/>
        <v>0</v>
      </c>
    </row>
    <row r="199" spans="1:16" x14ac:dyDescent="0.25">
      <c r="A199" s="11">
        <f t="shared" si="17"/>
        <v>144</v>
      </c>
      <c r="B199">
        <v>-2.2653349270272822</v>
      </c>
      <c r="E199" s="11">
        <f>A199-'Mastercurve bestimmen'!$B$2</f>
        <v>-16</v>
      </c>
      <c r="F199" s="11">
        <f t="shared" si="15"/>
        <v>-2.2653349270272822</v>
      </c>
      <c r="G199" s="11"/>
      <c r="H199" s="11">
        <f t="shared" si="16"/>
        <v>4294967296</v>
      </c>
      <c r="I199" s="11">
        <f t="shared" si="20"/>
        <v>-268435456</v>
      </c>
      <c r="J199" s="11">
        <f t="shared" si="20"/>
        <v>16777216</v>
      </c>
      <c r="K199" s="11">
        <f t="shared" si="20"/>
        <v>-1048576</v>
      </c>
      <c r="L199" s="11">
        <f t="shared" si="20"/>
        <v>65536</v>
      </c>
      <c r="M199" s="11">
        <f t="shared" si="20"/>
        <v>-4096</v>
      </c>
      <c r="N199" s="11">
        <f t="shared" si="20"/>
        <v>256</v>
      </c>
      <c r="O199" s="11">
        <f t="shared" si="20"/>
        <v>-16</v>
      </c>
      <c r="P199" s="11">
        <f t="shared" si="18"/>
        <v>0</v>
      </c>
    </row>
    <row r="200" spans="1:16" x14ac:dyDescent="0.25">
      <c r="A200" s="11">
        <f t="shared" si="17"/>
        <v>145</v>
      </c>
      <c r="B200">
        <v>-2.124135558695921</v>
      </c>
      <c r="E200" s="11">
        <f>A200-'Mastercurve bestimmen'!$B$2</f>
        <v>-15</v>
      </c>
      <c r="F200" s="11">
        <f t="shared" si="15"/>
        <v>-2.124135558695921</v>
      </c>
      <c r="G200" s="11"/>
      <c r="H200" s="11">
        <f t="shared" si="16"/>
        <v>2562890625</v>
      </c>
      <c r="I200" s="11">
        <f t="shared" si="20"/>
        <v>-170859375</v>
      </c>
      <c r="J200" s="11">
        <f t="shared" si="20"/>
        <v>11390625</v>
      </c>
      <c r="K200" s="11">
        <f t="shared" si="20"/>
        <v>-759375</v>
      </c>
      <c r="L200" s="11">
        <f t="shared" si="20"/>
        <v>50625</v>
      </c>
      <c r="M200" s="11">
        <f t="shared" si="20"/>
        <v>-3375</v>
      </c>
      <c r="N200" s="11">
        <f t="shared" si="20"/>
        <v>225</v>
      </c>
      <c r="O200" s="11">
        <f t="shared" si="20"/>
        <v>-15</v>
      </c>
      <c r="P200" s="11">
        <f t="shared" si="18"/>
        <v>0</v>
      </c>
    </row>
    <row r="201" spans="1:16" x14ac:dyDescent="0.25">
      <c r="A201" s="11">
        <f t="shared" si="17"/>
        <v>146</v>
      </c>
      <c r="B201">
        <v>-1.9828618552791706</v>
      </c>
      <c r="E201" s="11">
        <f>A201-'Mastercurve bestimmen'!$B$2</f>
        <v>-14</v>
      </c>
      <c r="F201" s="11">
        <f t="shared" si="15"/>
        <v>-1.9828618552791706</v>
      </c>
      <c r="G201" s="11"/>
      <c r="H201" s="11">
        <f t="shared" si="16"/>
        <v>1475789056</v>
      </c>
      <c r="I201" s="11">
        <f t="shared" si="20"/>
        <v>-105413504</v>
      </c>
      <c r="J201" s="11">
        <f t="shared" si="20"/>
        <v>7529536</v>
      </c>
      <c r="K201" s="11">
        <f t="shared" si="20"/>
        <v>-537824</v>
      </c>
      <c r="L201" s="11">
        <f t="shared" si="20"/>
        <v>38416</v>
      </c>
      <c r="M201" s="11">
        <f t="shared" si="20"/>
        <v>-2744</v>
      </c>
      <c r="N201" s="11">
        <f t="shared" si="20"/>
        <v>196</v>
      </c>
      <c r="O201" s="11">
        <f t="shared" si="20"/>
        <v>-14</v>
      </c>
      <c r="P201" s="11">
        <f t="shared" si="18"/>
        <v>0</v>
      </c>
    </row>
    <row r="202" spans="1:16" x14ac:dyDescent="0.25">
      <c r="A202" s="11">
        <f t="shared" si="17"/>
        <v>147</v>
      </c>
      <c r="B202">
        <v>-1.8415187724493904</v>
      </c>
      <c r="E202" s="11">
        <f>A202-'Mastercurve bestimmen'!$B$2</f>
        <v>-13</v>
      </c>
      <c r="F202" s="11">
        <f t="shared" si="15"/>
        <v>-1.8415187724493904</v>
      </c>
      <c r="G202" s="11"/>
      <c r="H202" s="11">
        <f t="shared" si="16"/>
        <v>815730721</v>
      </c>
      <c r="I202" s="11">
        <f t="shared" si="20"/>
        <v>-62748517</v>
      </c>
      <c r="J202" s="11">
        <f t="shared" si="20"/>
        <v>4826809</v>
      </c>
      <c r="K202" s="11">
        <f t="shared" si="20"/>
        <v>-371293</v>
      </c>
      <c r="L202" s="11">
        <f t="shared" si="20"/>
        <v>28561</v>
      </c>
      <c r="M202" s="11">
        <f t="shared" si="20"/>
        <v>-2197</v>
      </c>
      <c r="N202" s="11">
        <f t="shared" si="20"/>
        <v>169</v>
      </c>
      <c r="O202" s="11">
        <f t="shared" si="20"/>
        <v>-13</v>
      </c>
      <c r="P202" s="11">
        <f t="shared" si="18"/>
        <v>0</v>
      </c>
    </row>
    <row r="203" spans="1:16" x14ac:dyDescent="0.25">
      <c r="A203" s="11">
        <f t="shared" si="17"/>
        <v>148</v>
      </c>
      <c r="B203">
        <v>-1.7001112658789392</v>
      </c>
      <c r="E203" s="11">
        <f>A203-'Mastercurve bestimmen'!$B$2</f>
        <v>-12</v>
      </c>
      <c r="F203" s="11">
        <f t="shared" si="15"/>
        <v>-1.7001112658789392</v>
      </c>
      <c r="G203" s="11"/>
      <c r="H203" s="11">
        <f t="shared" si="16"/>
        <v>429981696</v>
      </c>
      <c r="I203" s="11">
        <f t="shared" si="20"/>
        <v>-35831808</v>
      </c>
      <c r="J203" s="11">
        <f t="shared" si="20"/>
        <v>2985984</v>
      </c>
      <c r="K203" s="11">
        <f t="shared" si="20"/>
        <v>-248832</v>
      </c>
      <c r="L203" s="11">
        <f t="shared" si="20"/>
        <v>20736</v>
      </c>
      <c r="M203" s="11">
        <f t="shared" si="20"/>
        <v>-1728</v>
      </c>
      <c r="N203" s="11">
        <f t="shared" si="20"/>
        <v>144</v>
      </c>
      <c r="O203" s="11">
        <f t="shared" si="20"/>
        <v>-12</v>
      </c>
      <c r="P203" s="11">
        <f t="shared" si="18"/>
        <v>0</v>
      </c>
    </row>
    <row r="204" spans="1:16" x14ac:dyDescent="0.25">
      <c r="A204" s="11">
        <f t="shared" si="17"/>
        <v>149</v>
      </c>
      <c r="B204">
        <v>-1.558644291240177</v>
      </c>
      <c r="E204" s="11">
        <f>A204-'Mastercurve bestimmen'!$B$2</f>
        <v>-11</v>
      </c>
      <c r="F204" s="11">
        <f t="shared" si="15"/>
        <v>-1.558644291240177</v>
      </c>
      <c r="G204" s="11"/>
      <c r="H204" s="11">
        <f t="shared" si="16"/>
        <v>214358881</v>
      </c>
      <c r="I204" s="11">
        <f t="shared" si="20"/>
        <v>-19487171</v>
      </c>
      <c r="J204" s="11">
        <f t="shared" si="20"/>
        <v>1771561</v>
      </c>
      <c r="K204" s="11">
        <f t="shared" si="20"/>
        <v>-161051</v>
      </c>
      <c r="L204" s="11">
        <f t="shared" si="20"/>
        <v>14641</v>
      </c>
      <c r="M204" s="11">
        <f t="shared" si="20"/>
        <v>-1331</v>
      </c>
      <c r="N204" s="11">
        <f t="shared" si="20"/>
        <v>121</v>
      </c>
      <c r="O204" s="11">
        <f t="shared" si="20"/>
        <v>-11</v>
      </c>
      <c r="P204" s="11">
        <f t="shared" si="18"/>
        <v>0</v>
      </c>
    </row>
    <row r="205" spans="1:16" x14ac:dyDescent="0.25">
      <c r="A205" s="11">
        <f t="shared" si="17"/>
        <v>150</v>
      </c>
      <c r="B205">
        <v>-1.4171228042054629</v>
      </c>
      <c r="E205" s="11">
        <f>A205-'Mastercurve bestimmen'!$B$2</f>
        <v>-10</v>
      </c>
      <c r="F205" s="11">
        <f t="shared" si="15"/>
        <v>-1.4171228042054629</v>
      </c>
      <c r="G205" s="11"/>
      <c r="H205" s="11">
        <f t="shared" si="16"/>
        <v>100000000</v>
      </c>
      <c r="I205" s="11">
        <f t="shared" si="20"/>
        <v>-10000000</v>
      </c>
      <c r="J205" s="11">
        <f t="shared" si="20"/>
        <v>1000000</v>
      </c>
      <c r="K205" s="11">
        <f t="shared" si="20"/>
        <v>-100000</v>
      </c>
      <c r="L205" s="11">
        <f t="shared" si="20"/>
        <v>10000</v>
      </c>
      <c r="M205" s="11">
        <f t="shared" si="20"/>
        <v>-1000</v>
      </c>
      <c r="N205" s="11">
        <f t="shared" si="20"/>
        <v>100</v>
      </c>
      <c r="O205" s="11">
        <f t="shared" si="20"/>
        <v>-10</v>
      </c>
      <c r="P205" s="11">
        <f t="shared" si="18"/>
        <v>0</v>
      </c>
    </row>
    <row r="206" spans="1:16" x14ac:dyDescent="0.25">
      <c r="A206" s="11">
        <f t="shared" si="17"/>
        <v>151</v>
      </c>
      <c r="B206">
        <v>-1.275551760447156</v>
      </c>
      <c r="E206" s="11">
        <f>A206-'Mastercurve bestimmen'!$B$2</f>
        <v>-9</v>
      </c>
      <c r="F206" s="11">
        <f t="shared" si="15"/>
        <v>-1.275551760447156</v>
      </c>
      <c r="G206" s="11"/>
      <c r="H206" s="11">
        <f t="shared" si="16"/>
        <v>43046721</v>
      </c>
      <c r="I206" s="11">
        <f t="shared" si="20"/>
        <v>-4782969</v>
      </c>
      <c r="J206" s="11">
        <f t="shared" si="20"/>
        <v>531441</v>
      </c>
      <c r="K206" s="11">
        <f t="shared" si="20"/>
        <v>-59049</v>
      </c>
      <c r="L206" s="11">
        <f t="shared" si="20"/>
        <v>6561</v>
      </c>
      <c r="M206" s="11">
        <f t="shared" si="20"/>
        <v>-729</v>
      </c>
      <c r="N206" s="11">
        <f t="shared" si="20"/>
        <v>81</v>
      </c>
      <c r="O206" s="11">
        <f t="shared" si="20"/>
        <v>-9</v>
      </c>
      <c r="P206" s="11">
        <f t="shared" si="18"/>
        <v>0</v>
      </c>
    </row>
    <row r="207" spans="1:16" x14ac:dyDescent="0.25">
      <c r="A207" s="11">
        <f t="shared" si="17"/>
        <v>152</v>
      </c>
      <c r="B207">
        <v>-1.1339361156376155</v>
      </c>
      <c r="E207" s="11">
        <f>A207-'Mastercurve bestimmen'!$B$2</f>
        <v>-8</v>
      </c>
      <c r="F207" s="11">
        <f t="shared" si="15"/>
        <v>-1.1339361156376155</v>
      </c>
      <c r="G207" s="11"/>
      <c r="H207" s="11">
        <f t="shared" si="16"/>
        <v>16777216</v>
      </c>
      <c r="I207" s="11">
        <f t="shared" si="20"/>
        <v>-2097152</v>
      </c>
      <c r="J207" s="11">
        <f t="shared" si="20"/>
        <v>262144</v>
      </c>
      <c r="K207" s="11">
        <f t="shared" si="20"/>
        <v>-32768</v>
      </c>
      <c r="L207" s="11">
        <f t="shared" si="20"/>
        <v>4096</v>
      </c>
      <c r="M207" s="11">
        <f t="shared" si="20"/>
        <v>-512</v>
      </c>
      <c r="N207" s="11">
        <f t="shared" si="20"/>
        <v>64</v>
      </c>
      <c r="O207" s="11">
        <f t="shared" si="20"/>
        <v>-8</v>
      </c>
      <c r="P207" s="11">
        <f t="shared" si="18"/>
        <v>0</v>
      </c>
    </row>
    <row r="208" spans="1:16" x14ac:dyDescent="0.25">
      <c r="A208" s="11">
        <f t="shared" si="17"/>
        <v>153</v>
      </c>
      <c r="B208">
        <v>-0.99228082544920082</v>
      </c>
      <c r="E208" s="11">
        <f>A208-'Mastercurve bestimmen'!$B$2</f>
        <v>-7</v>
      </c>
      <c r="F208" s="11">
        <f t="shared" ref="F208:F215" si="21">B208</f>
        <v>-0.99228082544920082</v>
      </c>
      <c r="G208" s="11"/>
      <c r="H208" s="11">
        <f t="shared" ref="H208:H215" si="22">IF($H$12&gt;=H$14,$E208^H$14,0)</f>
        <v>5764801</v>
      </c>
      <c r="I208" s="11">
        <f t="shared" si="20"/>
        <v>-823543</v>
      </c>
      <c r="J208" s="11">
        <f t="shared" si="20"/>
        <v>117649</v>
      </c>
      <c r="K208" s="11">
        <f t="shared" si="20"/>
        <v>-16807</v>
      </c>
      <c r="L208" s="11">
        <f t="shared" si="20"/>
        <v>2401</v>
      </c>
      <c r="M208" s="11">
        <f t="shared" si="20"/>
        <v>-343</v>
      </c>
      <c r="N208" s="11">
        <f t="shared" si="20"/>
        <v>49</v>
      </c>
      <c r="O208" s="11">
        <f t="shared" si="20"/>
        <v>-7</v>
      </c>
      <c r="P208" s="11">
        <f t="shared" si="18"/>
        <v>0</v>
      </c>
    </row>
    <row r="209" spans="1:16" x14ac:dyDescent="0.25">
      <c r="A209" s="11">
        <f t="shared" ref="A209:A215" si="23">A208+1</f>
        <v>154</v>
      </c>
      <c r="B209">
        <v>-0.85059084555427134</v>
      </c>
      <c r="E209" s="11">
        <f>A209-'Mastercurve bestimmen'!$B$2</f>
        <v>-6</v>
      </c>
      <c r="F209" s="11">
        <f t="shared" si="21"/>
        <v>-0.85059084555427134</v>
      </c>
      <c r="G209" s="11"/>
      <c r="H209" s="11">
        <f t="shared" si="22"/>
        <v>1679616</v>
      </c>
      <c r="I209" s="11">
        <f t="shared" si="20"/>
        <v>-279936</v>
      </c>
      <c r="J209" s="11">
        <f t="shared" si="20"/>
        <v>46656</v>
      </c>
      <c r="K209" s="11">
        <f t="shared" si="20"/>
        <v>-7776</v>
      </c>
      <c r="L209" s="11">
        <f t="shared" si="20"/>
        <v>1296</v>
      </c>
      <c r="M209" s="11">
        <f t="shared" si="20"/>
        <v>-216</v>
      </c>
      <c r="N209" s="11">
        <f t="shared" si="20"/>
        <v>36</v>
      </c>
      <c r="O209" s="11">
        <f t="shared" si="20"/>
        <v>-6</v>
      </c>
      <c r="P209" s="11">
        <f t="shared" ref="P209:P215" si="24">P208</f>
        <v>0</v>
      </c>
    </row>
    <row r="210" spans="1:16" x14ac:dyDescent="0.25">
      <c r="A210" s="11">
        <f t="shared" si="23"/>
        <v>155</v>
      </c>
      <c r="B210">
        <v>-0.70887113162518611</v>
      </c>
      <c r="E210" s="11">
        <f>A210-'Mastercurve bestimmen'!$B$2</f>
        <v>-5</v>
      </c>
      <c r="F210" s="11">
        <f t="shared" si="21"/>
        <v>-0.70887113162518611</v>
      </c>
      <c r="G210" s="11"/>
      <c r="H210" s="11">
        <f t="shared" si="22"/>
        <v>390625</v>
      </c>
      <c r="I210" s="11">
        <f t="shared" si="20"/>
        <v>-78125</v>
      </c>
      <c r="J210" s="11">
        <f t="shared" si="20"/>
        <v>15625</v>
      </c>
      <c r="K210" s="11">
        <f t="shared" si="20"/>
        <v>-3125</v>
      </c>
      <c r="L210" s="11">
        <f t="shared" si="20"/>
        <v>625</v>
      </c>
      <c r="M210" s="11">
        <f t="shared" si="20"/>
        <v>-125</v>
      </c>
      <c r="N210" s="11">
        <f t="shared" si="20"/>
        <v>25</v>
      </c>
      <c r="O210" s="11">
        <f t="shared" si="20"/>
        <v>-5</v>
      </c>
      <c r="P210" s="11">
        <f t="shared" si="24"/>
        <v>0</v>
      </c>
    </row>
    <row r="211" spans="1:16" x14ac:dyDescent="0.25">
      <c r="A211" s="11">
        <f t="shared" si="23"/>
        <v>156</v>
      </c>
      <c r="B211">
        <v>-0.56712663933430452</v>
      </c>
      <c r="E211" s="11">
        <f>A211-'Mastercurve bestimmen'!$B$2</f>
        <v>-4</v>
      </c>
      <c r="F211" s="11">
        <f t="shared" si="21"/>
        <v>-0.56712663933430452</v>
      </c>
      <c r="G211" s="11"/>
      <c r="H211" s="11">
        <f t="shared" si="22"/>
        <v>65536</v>
      </c>
      <c r="I211" s="11">
        <f t="shared" si="20"/>
        <v>-16384</v>
      </c>
      <c r="J211" s="11">
        <f t="shared" si="20"/>
        <v>4096</v>
      </c>
      <c r="K211" s="11">
        <f t="shared" si="20"/>
        <v>-1024</v>
      </c>
      <c r="L211" s="11">
        <f t="shared" si="20"/>
        <v>256</v>
      </c>
      <c r="M211" s="11">
        <f t="shared" si="20"/>
        <v>-64</v>
      </c>
      <c r="N211" s="11">
        <f t="shared" si="20"/>
        <v>16</v>
      </c>
      <c r="O211" s="11">
        <f t="shared" si="20"/>
        <v>-4</v>
      </c>
      <c r="P211" s="11">
        <f t="shared" si="24"/>
        <v>0</v>
      </c>
    </row>
    <row r="212" spans="1:16" x14ac:dyDescent="0.25">
      <c r="A212" s="11">
        <f t="shared" si="23"/>
        <v>157</v>
      </c>
      <c r="B212">
        <v>-0.42536232435398585</v>
      </c>
      <c r="E212" s="11">
        <f>A212-'Mastercurve bestimmen'!$B$2</f>
        <v>-3</v>
      </c>
      <c r="F212" s="11">
        <f t="shared" si="21"/>
        <v>-0.42536232435398585</v>
      </c>
      <c r="G212" s="11"/>
      <c r="H212" s="11">
        <f t="shared" si="22"/>
        <v>6561</v>
      </c>
      <c r="I212" s="11">
        <f t="shared" si="20"/>
        <v>-2187</v>
      </c>
      <c r="J212" s="11">
        <f t="shared" si="20"/>
        <v>729</v>
      </c>
      <c r="K212" s="11">
        <f t="shared" si="20"/>
        <v>-243</v>
      </c>
      <c r="L212" s="11">
        <f t="shared" si="20"/>
        <v>81</v>
      </c>
      <c r="M212" s="11">
        <f t="shared" si="20"/>
        <v>-27</v>
      </c>
      <c r="N212" s="11">
        <f t="shared" si="20"/>
        <v>9</v>
      </c>
      <c r="O212" s="11">
        <f t="shared" si="20"/>
        <v>-3</v>
      </c>
      <c r="P212" s="11">
        <f t="shared" si="24"/>
        <v>0</v>
      </c>
    </row>
    <row r="213" spans="1:16" x14ac:dyDescent="0.25">
      <c r="A213" s="11">
        <f t="shared" si="23"/>
        <v>158</v>
      </c>
      <c r="B213">
        <v>-0.28358314235658938</v>
      </c>
      <c r="E213" s="11">
        <f>A213-'Mastercurve bestimmen'!$B$2</f>
        <v>-2</v>
      </c>
      <c r="F213" s="11">
        <f t="shared" si="21"/>
        <v>-0.28358314235658938</v>
      </c>
      <c r="G213" s="11"/>
      <c r="H213" s="11">
        <f t="shared" si="22"/>
        <v>256</v>
      </c>
      <c r="I213" s="11">
        <f t="shared" si="20"/>
        <v>-128</v>
      </c>
      <c r="J213" s="11">
        <f t="shared" si="20"/>
        <v>64</v>
      </c>
      <c r="K213" s="11">
        <f t="shared" si="20"/>
        <v>-32</v>
      </c>
      <c r="L213" s="11">
        <f t="shared" si="20"/>
        <v>16</v>
      </c>
      <c r="M213" s="11">
        <f t="shared" si="20"/>
        <v>-8</v>
      </c>
      <c r="N213" s="11">
        <f t="shared" si="20"/>
        <v>4</v>
      </c>
      <c r="O213" s="11">
        <f t="shared" si="20"/>
        <v>-2</v>
      </c>
      <c r="P213" s="11">
        <f t="shared" si="24"/>
        <v>0</v>
      </c>
    </row>
    <row r="214" spans="1:16" x14ac:dyDescent="0.25">
      <c r="A214" s="11">
        <f t="shared" si="23"/>
        <v>159</v>
      </c>
      <c r="B214">
        <v>-0.14179404901447432</v>
      </c>
      <c r="E214" s="11">
        <f>A214-'Mastercurve bestimmen'!$B$2</f>
        <v>-1</v>
      </c>
      <c r="F214" s="11">
        <f t="shared" si="21"/>
        <v>-0.14179404901447432</v>
      </c>
      <c r="G214" s="11"/>
      <c r="H214" s="11">
        <f t="shared" si="22"/>
        <v>1</v>
      </c>
      <c r="I214" s="11">
        <f t="shared" si="20"/>
        <v>-1</v>
      </c>
      <c r="J214" s="11">
        <f t="shared" si="20"/>
        <v>1</v>
      </c>
      <c r="K214" s="11">
        <f t="shared" si="20"/>
        <v>-1</v>
      </c>
      <c r="L214" s="11">
        <f t="shared" si="20"/>
        <v>1</v>
      </c>
      <c r="M214" s="11">
        <f t="shared" si="20"/>
        <v>-1</v>
      </c>
      <c r="N214" s="11">
        <f t="shared" si="20"/>
        <v>1</v>
      </c>
      <c r="O214" s="11">
        <f t="shared" si="20"/>
        <v>-1</v>
      </c>
      <c r="P214" s="11">
        <f t="shared" si="24"/>
        <v>0</v>
      </c>
    </row>
    <row r="215" spans="1:16" x14ac:dyDescent="0.25">
      <c r="A215" s="11">
        <f t="shared" si="23"/>
        <v>160</v>
      </c>
      <c r="B215">
        <v>0</v>
      </c>
      <c r="E215" s="11">
        <f>A215-'Mastercurve bestimmen'!$B$2</f>
        <v>0</v>
      </c>
      <c r="F215" s="11">
        <f t="shared" si="21"/>
        <v>0</v>
      </c>
      <c r="G215" s="11"/>
      <c r="H215" s="11">
        <f t="shared" si="22"/>
        <v>0</v>
      </c>
      <c r="I215" s="11">
        <f t="shared" si="20"/>
        <v>0</v>
      </c>
      <c r="J215" s="11">
        <f t="shared" si="20"/>
        <v>0</v>
      </c>
      <c r="K215" s="11">
        <f t="shared" si="20"/>
        <v>0</v>
      </c>
      <c r="L215" s="11">
        <f t="shared" si="20"/>
        <v>0</v>
      </c>
      <c r="M215" s="11">
        <f t="shared" si="20"/>
        <v>0</v>
      </c>
      <c r="N215" s="11">
        <f t="shared" si="20"/>
        <v>0</v>
      </c>
      <c r="O215" s="11">
        <f t="shared" si="20"/>
        <v>0</v>
      </c>
      <c r="P215" s="11">
        <f t="shared" si="24"/>
        <v>0</v>
      </c>
    </row>
    <row r="216" spans="1:16" x14ac:dyDescent="0.25">
      <c r="G216" s="11"/>
      <c r="H216" s="13">
        <v>1</v>
      </c>
      <c r="I216" s="97" t="s">
        <v>137</v>
      </c>
      <c r="J216" s="97" t="s">
        <v>138</v>
      </c>
      <c r="K216" s="97" t="s">
        <v>139</v>
      </c>
      <c r="L216" s="97" t="s">
        <v>140</v>
      </c>
      <c r="M216" s="97" t="s">
        <v>141</v>
      </c>
      <c r="N216" s="97" t="s">
        <v>142</v>
      </c>
      <c r="O216" s="97" t="s">
        <v>143</v>
      </c>
      <c r="P216" s="97" t="s">
        <v>144</v>
      </c>
    </row>
    <row r="217" spans="1:16" x14ac:dyDescent="0.25">
      <c r="G217" s="35" t="s">
        <v>145</v>
      </c>
      <c r="H217" s="98">
        <f t="array" ref="H217:P219">LINEST(F15:F215,H15:P215,FALSE,TRUE)</f>
        <v>0</v>
      </c>
      <c r="I217" s="98">
        <v>0.14179479631188399</v>
      </c>
      <c r="J217" s="98">
        <v>-1.0899863123856419E-4</v>
      </c>
      <c r="K217" s="98">
        <v>-1.2738401982057976E-5</v>
      </c>
      <c r="L217" s="98">
        <v>-4.6327007023861663E-7</v>
      </c>
      <c r="M217" s="98">
        <v>-8.1859903442646794E-9</v>
      </c>
      <c r="N217" s="98">
        <v>-6.7605770943289849E-11</v>
      </c>
      <c r="O217" s="98">
        <v>-2.5907976925974234E-13</v>
      </c>
      <c r="P217" s="98">
        <v>-3.7439507748505535E-16</v>
      </c>
    </row>
    <row r="218" spans="1:16" x14ac:dyDescent="0.25">
      <c r="G218" s="11"/>
      <c r="H218" s="11">
        <v>0</v>
      </c>
      <c r="I218" s="11">
        <v>1.643502778051008E-3</v>
      </c>
      <c r="J218" s="11">
        <v>1.6299307579187273E-4</v>
      </c>
      <c r="K218" s="3">
        <v>6.184425153420798E-6</v>
      </c>
      <c r="L218" s="3">
        <v>1.1789600034533316E-7</v>
      </c>
      <c r="M218" s="3">
        <v>1.2412202341215078E-9</v>
      </c>
      <c r="N218" s="3">
        <v>7.322582484541891E-12</v>
      </c>
      <c r="O218" s="11">
        <v>2.2669584599813938E-14</v>
      </c>
      <c r="P218" s="11">
        <v>2.8662615358122388E-17</v>
      </c>
    </row>
    <row r="219" spans="1:16" x14ac:dyDescent="0.25">
      <c r="G219" s="11"/>
      <c r="H219" s="11">
        <v>0.99999731392119817</v>
      </c>
      <c r="I219" s="11">
        <v>2.2443619846528057E-2</v>
      </c>
      <c r="J219" s="11" t="e">
        <v>#N/A</v>
      </c>
      <c r="K219" s="11" t="e">
        <v>#N/A</v>
      </c>
      <c r="L219" s="11" t="e">
        <v>#N/A</v>
      </c>
      <c r="M219" s="11" t="e">
        <v>#N/A</v>
      </c>
      <c r="N219" s="11" t="e">
        <v>#N/A</v>
      </c>
      <c r="O219" s="11" t="e">
        <v>#N/A</v>
      </c>
      <c r="P219" s="11" t="e">
        <v>#N/A</v>
      </c>
    </row>
    <row r="222" spans="1:16" x14ac:dyDescent="0.25">
      <c r="E222">
        <f>E15</f>
        <v>-200</v>
      </c>
      <c r="F222">
        <f>$H$217*0+E222*$I$217+E222^2*$J$217+E222^3*$K$217+E222^4*$L$217+E222^5*$M$217+E222^6*$N$217+E222^7*$O$217+E222^8*$P$217</f>
        <v>-21.526583080134969</v>
      </c>
      <c r="G222">
        <f>F15</f>
        <v>-21.521805240547501</v>
      </c>
    </row>
    <row r="223" spans="1:16" x14ac:dyDescent="0.25">
      <c r="E223" s="11">
        <f t="shared" ref="E223:E286" si="25">E16</f>
        <v>-199</v>
      </c>
      <c r="F223" s="11">
        <f t="shared" ref="F223:F286" si="26">$H$217*0+E223*$I$217+E223^2*$J$217+E223^3*$K$217+E223^4*$L$217+E223^5*$M$217+E223^6*$N$217+E223^7*$O$217+E223^8*$P$217</f>
        <v>-21.460789147418382</v>
      </c>
      <c r="G223" s="11">
        <f t="shared" ref="G223:G286" si="27">F16</f>
        <v>-21.460492380066679</v>
      </c>
    </row>
    <row r="224" spans="1:16" x14ac:dyDescent="0.25">
      <c r="E224" s="11">
        <f t="shared" si="25"/>
        <v>-198</v>
      </c>
      <c r="F224" s="11">
        <f t="shared" si="26"/>
        <v>-21.396839132436071</v>
      </c>
      <c r="G224" s="11">
        <f t="shared" si="27"/>
        <v>-21.399079023265717</v>
      </c>
    </row>
    <row r="225" spans="5:7" x14ac:dyDescent="0.25">
      <c r="E225" s="11">
        <f t="shared" si="25"/>
        <v>-197</v>
      </c>
      <c r="F225" s="11">
        <f t="shared" si="26"/>
        <v>-21.334203363351889</v>
      </c>
      <c r="G225" s="11">
        <f t="shared" si="27"/>
        <v>-21.337464673824485</v>
      </c>
    </row>
    <row r="226" spans="5:7" x14ac:dyDescent="0.25">
      <c r="E226" s="11">
        <f t="shared" si="25"/>
        <v>-196</v>
      </c>
      <c r="F226" s="11">
        <f t="shared" si="26"/>
        <v>-21.272400364696523</v>
      </c>
      <c r="G226" s="11">
        <f t="shared" si="27"/>
        <v>-21.275548835422843</v>
      </c>
    </row>
    <row r="227" spans="5:7" x14ac:dyDescent="0.25">
      <c r="E227" s="11">
        <f t="shared" si="25"/>
        <v>-195</v>
      </c>
      <c r="F227" s="11">
        <f t="shared" si="26"/>
        <v>-21.210994310148749</v>
      </c>
      <c r="G227" s="11">
        <f t="shared" si="27"/>
        <v>-21.213231011740657</v>
      </c>
    </row>
    <row r="228" spans="5:7" x14ac:dyDescent="0.25">
      <c r="E228" s="11">
        <f t="shared" si="25"/>
        <v>-194</v>
      </c>
      <c r="F228" s="11">
        <f t="shared" si="26"/>
        <v>-21.149592559674034</v>
      </c>
      <c r="G228" s="11">
        <f t="shared" si="27"/>
        <v>-21.150410706457784</v>
      </c>
    </row>
    <row r="229" spans="5:7" x14ac:dyDescent="0.25">
      <c r="E229" s="11">
        <f t="shared" si="25"/>
        <v>-193</v>
      </c>
      <c r="F229" s="11">
        <f t="shared" si="26"/>
        <v>-21.087843279373715</v>
      </c>
      <c r="G229" s="11">
        <f t="shared" si="27"/>
        <v>-21.086987423254094</v>
      </c>
    </row>
    <row r="230" spans="5:7" x14ac:dyDescent="0.25">
      <c r="E230" s="11">
        <f t="shared" si="25"/>
        <v>-192</v>
      </c>
      <c r="F230" s="11">
        <f t="shared" si="26"/>
        <v>-21.025433142398015</v>
      </c>
      <c r="G230" s="11">
        <f t="shared" si="27"/>
        <v>-21.02286066580945</v>
      </c>
    </row>
    <row r="231" spans="5:7" x14ac:dyDescent="0.25">
      <c r="E231" s="11">
        <f t="shared" si="25"/>
        <v>-191</v>
      </c>
      <c r="F231" s="11">
        <f t="shared" si="26"/>
        <v>-20.962085109289092</v>
      </c>
      <c r="G231" s="11">
        <f t="shared" si="27"/>
        <v>-20.957929937803712</v>
      </c>
    </row>
    <row r="232" spans="5:7" x14ac:dyDescent="0.25">
      <c r="E232" s="11">
        <f t="shared" si="25"/>
        <v>-190</v>
      </c>
      <c r="F232" s="11">
        <f t="shared" si="26"/>
        <v>-20.897556286136705</v>
      </c>
      <c r="G232" s="11">
        <f t="shared" si="27"/>
        <v>-20.892094742916747</v>
      </c>
    </row>
    <row r="233" spans="5:7" x14ac:dyDescent="0.25">
      <c r="E233" s="11">
        <f t="shared" si="25"/>
        <v>-189</v>
      </c>
      <c r="F233" s="11">
        <f t="shared" si="26"/>
        <v>-20.83163585895511</v>
      </c>
      <c r="G233" s="11">
        <f t="shared" si="27"/>
        <v>-20.825254584828421</v>
      </c>
    </row>
    <row r="234" spans="5:7" x14ac:dyDescent="0.25">
      <c r="E234" s="11">
        <f t="shared" si="25"/>
        <v>-188</v>
      </c>
      <c r="F234" s="11">
        <f t="shared" si="26"/>
        <v>-20.764143102686376</v>
      </c>
      <c r="G234" s="11">
        <f t="shared" si="27"/>
        <v>-20.757308967218592</v>
      </c>
    </row>
    <row r="235" spans="5:7" x14ac:dyDescent="0.25">
      <c r="E235" s="11">
        <f t="shared" si="25"/>
        <v>-187</v>
      </c>
      <c r="F235" s="11">
        <f t="shared" si="26"/>
        <v>-20.694925463271034</v>
      </c>
      <c r="G235" s="11">
        <f t="shared" si="27"/>
        <v>-20.688157393767121</v>
      </c>
    </row>
    <row r="236" spans="5:7" x14ac:dyDescent="0.25">
      <c r="E236" s="11">
        <f t="shared" si="25"/>
        <v>-186</v>
      </c>
      <c r="F236" s="11">
        <f t="shared" si="26"/>
        <v>-20.623856711213534</v>
      </c>
      <c r="G236" s="11">
        <f t="shared" si="27"/>
        <v>-20.617699368153879</v>
      </c>
    </row>
    <row r="237" spans="5:7" x14ac:dyDescent="0.25">
      <c r="E237" s="11">
        <f t="shared" si="25"/>
        <v>-185</v>
      </c>
      <c r="F237" s="11">
        <f t="shared" si="26"/>
        <v>-20.550835165125136</v>
      </c>
      <c r="G237" s="11">
        <f t="shared" si="27"/>
        <v>-20.545834394058726</v>
      </c>
    </row>
    <row r="238" spans="5:7" x14ac:dyDescent="0.25">
      <c r="E238" s="11">
        <f t="shared" si="25"/>
        <v>-184</v>
      </c>
      <c r="F238" s="11">
        <f t="shared" si="26"/>
        <v>-20.475781983704451</v>
      </c>
      <c r="G238" s="11">
        <f t="shared" si="27"/>
        <v>-20.472461975161526</v>
      </c>
    </row>
    <row r="239" spans="5:7" x14ac:dyDescent="0.25">
      <c r="E239" s="11">
        <f t="shared" si="25"/>
        <v>-183</v>
      </c>
      <c r="F239" s="11">
        <f t="shared" si="26"/>
        <v>-20.398639524646455</v>
      </c>
      <c r="G239" s="11">
        <f t="shared" si="27"/>
        <v>-20.397481615142144</v>
      </c>
    </row>
    <row r="240" spans="5:7" x14ac:dyDescent="0.25">
      <c r="E240" s="11">
        <f t="shared" si="25"/>
        <v>-182</v>
      </c>
      <c r="F240" s="11">
        <f t="shared" si="26"/>
        <v>-20.319369768995273</v>
      </c>
      <c r="G240" s="11">
        <f t="shared" si="27"/>
        <v>-20.320792817680442</v>
      </c>
    </row>
    <row r="241" spans="5:7" x14ac:dyDescent="0.25">
      <c r="E241" s="11">
        <f t="shared" si="25"/>
        <v>-181</v>
      </c>
      <c r="F241" s="11">
        <f t="shared" si="26"/>
        <v>-20.237952809449666</v>
      </c>
      <c r="G241" s="11">
        <f t="shared" si="27"/>
        <v>-20.242295086456281</v>
      </c>
    </row>
    <row r="242" spans="5:7" x14ac:dyDescent="0.25">
      <c r="E242" s="11">
        <f t="shared" si="25"/>
        <v>-180</v>
      </c>
      <c r="F242" s="11">
        <f t="shared" si="26"/>
        <v>-20.154385401167133</v>
      </c>
      <c r="G242" s="11">
        <f t="shared" si="27"/>
        <v>-20.161887925149529</v>
      </c>
    </row>
    <row r="243" spans="5:7" x14ac:dyDescent="0.25">
      <c r="E243" s="11">
        <f t="shared" si="25"/>
        <v>-179</v>
      </c>
      <c r="F243" s="11">
        <f t="shared" si="26"/>
        <v>-20.068679573607767</v>
      </c>
      <c r="G243" s="11">
        <f t="shared" si="27"/>
        <v>-20.079470837440045</v>
      </c>
    </row>
    <row r="244" spans="5:7" x14ac:dyDescent="0.25">
      <c r="E244" s="11">
        <f t="shared" si="25"/>
        <v>-178</v>
      </c>
      <c r="F244" s="11">
        <f t="shared" si="26"/>
        <v>-19.980861301994821</v>
      </c>
      <c r="G244" s="11">
        <f t="shared" si="27"/>
        <v>-19.994943327007697</v>
      </c>
    </row>
    <row r="245" spans="5:7" x14ac:dyDescent="0.25">
      <c r="E245" s="11">
        <f t="shared" si="25"/>
        <v>-177</v>
      </c>
      <c r="F245" s="11">
        <f t="shared" si="26"/>
        <v>-19.890969236959563</v>
      </c>
      <c r="G245" s="11">
        <f t="shared" si="27"/>
        <v>-19.90820489753235</v>
      </c>
    </row>
    <row r="246" spans="5:7" x14ac:dyDescent="0.25">
      <c r="E246" s="11">
        <f t="shared" si="25"/>
        <v>-176</v>
      </c>
      <c r="F246" s="11">
        <f t="shared" si="26"/>
        <v>-19.799053490981009</v>
      </c>
      <c r="G246" s="11">
        <f t="shared" si="27"/>
        <v>-19.819155052693858</v>
      </c>
    </row>
    <row r="247" spans="5:7" x14ac:dyDescent="0.25">
      <c r="E247" s="11">
        <f t="shared" si="25"/>
        <v>-175</v>
      </c>
      <c r="F247" s="11">
        <f t="shared" si="26"/>
        <v>-19.705174480220421</v>
      </c>
      <c r="G247" s="11">
        <f t="shared" si="27"/>
        <v>-19.727693296172099</v>
      </c>
    </row>
    <row r="248" spans="5:7" x14ac:dyDescent="0.25">
      <c r="E248" s="11">
        <f t="shared" si="25"/>
        <v>-174</v>
      </c>
      <c r="F248" s="11">
        <f t="shared" si="26"/>
        <v>-19.609401820381777</v>
      </c>
      <c r="G248" s="11">
        <f t="shared" si="27"/>
        <v>-19.633719131646924</v>
      </c>
    </row>
    <row r="249" spans="5:7" x14ac:dyDescent="0.25">
      <c r="E249" s="11">
        <f t="shared" si="25"/>
        <v>-173</v>
      </c>
      <c r="F249" s="11">
        <f t="shared" si="26"/>
        <v>-19.511813275238353</v>
      </c>
      <c r="G249" s="11">
        <f t="shared" si="27"/>
        <v>-19.5371320627982</v>
      </c>
    </row>
    <row r="250" spans="5:7" x14ac:dyDescent="0.25">
      <c r="E250" s="11">
        <f t="shared" si="25"/>
        <v>-172</v>
      </c>
      <c r="F250" s="11">
        <f t="shared" si="26"/>
        <v>-19.412493756484537</v>
      </c>
      <c r="G250" s="11">
        <f t="shared" si="27"/>
        <v>-19.437831593305791</v>
      </c>
    </row>
    <row r="251" spans="5:7" x14ac:dyDescent="0.25">
      <c r="E251" s="11">
        <f t="shared" si="25"/>
        <v>-171</v>
      </c>
      <c r="F251" s="11">
        <f t="shared" si="26"/>
        <v>-19.311534373580514</v>
      </c>
      <c r="G251" s="11">
        <f t="shared" si="27"/>
        <v>-19.33571722684956</v>
      </c>
    </row>
    <row r="252" spans="5:7" x14ac:dyDescent="0.25">
      <c r="E252" s="11">
        <f t="shared" si="25"/>
        <v>-170</v>
      </c>
      <c r="F252" s="11">
        <f t="shared" si="26"/>
        <v>-19.209031532277265</v>
      </c>
      <c r="G252" s="11">
        <f t="shared" si="27"/>
        <v>-19.230688467109374</v>
      </c>
    </row>
    <row r="253" spans="5:7" x14ac:dyDescent="0.25">
      <c r="E253" s="11">
        <f t="shared" si="25"/>
        <v>-169</v>
      </c>
      <c r="F253" s="11">
        <f t="shared" si="26"/>
        <v>-19.105086080528991</v>
      </c>
      <c r="G253" s="11">
        <f t="shared" si="27"/>
        <v>-19.122644817765092</v>
      </c>
    </row>
    <row r="254" spans="5:7" x14ac:dyDescent="0.25">
      <c r="E254" s="11">
        <f t="shared" si="25"/>
        <v>-168</v>
      </c>
      <c r="F254" s="11">
        <f t="shared" si="26"/>
        <v>-18.999802500499698</v>
      </c>
      <c r="G254" s="11">
        <f t="shared" si="27"/>
        <v>-19.011485782496582</v>
      </c>
    </row>
    <row r="255" spans="5:7" x14ac:dyDescent="0.25">
      <c r="E255" s="11">
        <f t="shared" si="25"/>
        <v>-167</v>
      </c>
      <c r="F255" s="11">
        <f t="shared" si="26"/>
        <v>-18.893288145406672</v>
      </c>
      <c r="G255" s="11">
        <f t="shared" si="27"/>
        <v>-18.897110864983706</v>
      </c>
    </row>
    <row r="256" spans="5:7" x14ac:dyDescent="0.25">
      <c r="E256" s="11">
        <f t="shared" si="25"/>
        <v>-166</v>
      </c>
      <c r="F256" s="11">
        <f t="shared" si="26"/>
        <v>-18.785652519938992</v>
      </c>
      <c r="G256" s="11">
        <f t="shared" si="27"/>
        <v>-18.779419568906324</v>
      </c>
    </row>
    <row r="257" spans="5:7" x14ac:dyDescent="0.25">
      <c r="E257" s="11">
        <f t="shared" si="25"/>
        <v>-165</v>
      </c>
      <c r="F257" s="11">
        <f t="shared" si="26"/>
        <v>-18.677006603021823</v>
      </c>
      <c r="G257" s="11">
        <f t="shared" si="27"/>
        <v>-18.658311397944303</v>
      </c>
    </row>
    <row r="258" spans="5:7" x14ac:dyDescent="0.25">
      <c r="E258" s="11">
        <f t="shared" si="25"/>
        <v>-164</v>
      </c>
      <c r="F258" s="11">
        <f t="shared" si="26"/>
        <v>-18.567462211693368</v>
      </c>
      <c r="G258" s="11">
        <f t="shared" si="27"/>
        <v>-18.533685855777502</v>
      </c>
    </row>
    <row r="259" spans="5:7" x14ac:dyDescent="0.25">
      <c r="E259" s="11">
        <f t="shared" si="25"/>
        <v>-163</v>
      </c>
      <c r="F259" s="11">
        <f t="shared" si="26"/>
        <v>-18.457131404898007</v>
      </c>
      <c r="G259" s="11">
        <f t="shared" si="27"/>
        <v>-18.405442446085793</v>
      </c>
    </row>
    <row r="260" spans="5:7" x14ac:dyDescent="0.25">
      <c r="E260" s="11">
        <f t="shared" si="25"/>
        <v>-162</v>
      </c>
      <c r="F260" s="11">
        <f t="shared" si="26"/>
        <v>-18.346125925994272</v>
      </c>
      <c r="G260" s="11">
        <f t="shared" si="27"/>
        <v>-18.273480672549034</v>
      </c>
    </row>
    <row r="261" spans="5:7" x14ac:dyDescent="0.25">
      <c r="E261" s="11">
        <f t="shared" si="25"/>
        <v>-161</v>
      </c>
      <c r="F261" s="11">
        <f t="shared" si="26"/>
        <v>-18.234556682803941</v>
      </c>
      <c r="G261" s="11">
        <f t="shared" si="27"/>
        <v>-18.137700038847086</v>
      </c>
    </row>
    <row r="262" spans="5:7" x14ac:dyDescent="0.25">
      <c r="E262" s="11">
        <f t="shared" si="25"/>
        <v>-160</v>
      </c>
      <c r="F262" s="11">
        <f t="shared" si="26"/>
        <v>-18.122533264041323</v>
      </c>
      <c r="G262" s="11">
        <f t="shared" si="27"/>
        <v>-17.998000048659822</v>
      </c>
    </row>
    <row r="263" spans="5:7" x14ac:dyDescent="0.25">
      <c r="E263" s="11">
        <f t="shared" si="25"/>
        <v>-159</v>
      </c>
      <c r="F263" s="11">
        <f t="shared" si="26"/>
        <v>-18.010163490970626</v>
      </c>
      <c r="G263" s="11">
        <f t="shared" si="27"/>
        <v>-17.91764516831288</v>
      </c>
    </row>
    <row r="264" spans="5:7" x14ac:dyDescent="0.25">
      <c r="E264" s="11">
        <f t="shared" si="25"/>
        <v>-158</v>
      </c>
      <c r="F264" s="11">
        <f t="shared" si="26"/>
        <v>-17.897553003165399</v>
      </c>
      <c r="G264" s="11">
        <f t="shared" si="27"/>
        <v>-17.833514683840257</v>
      </c>
    </row>
    <row r="265" spans="5:7" x14ac:dyDescent="0.25">
      <c r="E265" s="11">
        <f t="shared" si="25"/>
        <v>-157</v>
      </c>
      <c r="F265" s="11">
        <f t="shared" si="26"/>
        <v>-17.784804877247808</v>
      </c>
      <c r="G265" s="11">
        <f t="shared" si="27"/>
        <v>-17.745852843921703</v>
      </c>
    </row>
    <row r="266" spans="5:7" x14ac:dyDescent="0.25">
      <c r="E266" s="11">
        <f t="shared" si="25"/>
        <v>-156</v>
      </c>
      <c r="F266" s="11">
        <f t="shared" si="26"/>
        <v>-17.67201927750753</v>
      </c>
      <c r="G266" s="11">
        <f t="shared" si="27"/>
        <v>-17.654903897237016</v>
      </c>
    </row>
    <row r="267" spans="5:7" x14ac:dyDescent="0.25">
      <c r="E267" s="11">
        <f t="shared" si="25"/>
        <v>-155</v>
      </c>
      <c r="F267" s="11">
        <f t="shared" si="26"/>
        <v>-17.559293137314754</v>
      </c>
      <c r="G267" s="11">
        <f t="shared" si="27"/>
        <v>-17.560912092465955</v>
      </c>
    </row>
    <row r="268" spans="5:7" x14ac:dyDescent="0.25">
      <c r="E268" s="11">
        <f t="shared" si="25"/>
        <v>-154</v>
      </c>
      <c r="F268" s="11">
        <f t="shared" si="26"/>
        <v>-17.446719870253503</v>
      </c>
      <c r="G268" s="11">
        <f t="shared" si="27"/>
        <v>-17.464121678288294</v>
      </c>
    </row>
    <row r="269" spans="5:7" x14ac:dyDescent="0.25">
      <c r="E269" s="11">
        <f t="shared" si="25"/>
        <v>-153</v>
      </c>
      <c r="F269" s="11">
        <f t="shared" si="26"/>
        <v>-17.334389109920664</v>
      </c>
      <c r="G269" s="11">
        <f t="shared" si="27"/>
        <v>-17.364776903383799</v>
      </c>
    </row>
    <row r="270" spans="5:7" x14ac:dyDescent="0.25">
      <c r="E270" s="11">
        <f t="shared" si="25"/>
        <v>-152</v>
      </c>
      <c r="F270" s="11">
        <f t="shared" si="26"/>
        <v>-17.222386477345566</v>
      </c>
      <c r="G270" s="11">
        <f t="shared" si="27"/>
        <v>-17.263122016432245</v>
      </c>
    </row>
    <row r="271" spans="5:7" x14ac:dyDescent="0.25">
      <c r="E271" s="11">
        <f t="shared" si="25"/>
        <v>-151</v>
      </c>
      <c r="F271" s="11">
        <f t="shared" si="26"/>
        <v>-17.110793375007404</v>
      </c>
      <c r="G271" s="11">
        <f t="shared" si="27"/>
        <v>-17.159401266113406</v>
      </c>
    </row>
    <row r="272" spans="5:7" x14ac:dyDescent="0.25">
      <c r="E272" s="11">
        <f t="shared" si="25"/>
        <v>-150</v>
      </c>
      <c r="F272" s="11">
        <f t="shared" si="26"/>
        <v>-16.999686806437978</v>
      </c>
      <c r="G272" s="11">
        <f t="shared" si="27"/>
        <v>-17.053858901107056</v>
      </c>
    </row>
    <row r="273" spans="5:7" x14ac:dyDescent="0.25">
      <c r="E273" s="11">
        <f t="shared" si="25"/>
        <v>-149</v>
      </c>
      <c r="F273" s="11">
        <f t="shared" si="26"/>
        <v>-16.88913922041128</v>
      </c>
      <c r="G273" s="11">
        <f t="shared" si="27"/>
        <v>-16.946739170092954</v>
      </c>
    </row>
    <row r="274" spans="5:7" x14ac:dyDescent="0.25">
      <c r="E274" s="11">
        <f t="shared" si="25"/>
        <v>-148</v>
      </c>
      <c r="F274" s="11">
        <f t="shared" si="26"/>
        <v>-16.77921837874274</v>
      </c>
      <c r="G274" s="11">
        <f t="shared" si="27"/>
        <v>-16.838286321750886</v>
      </c>
    </row>
    <row r="275" spans="5:7" x14ac:dyDescent="0.25">
      <c r="E275" s="11">
        <f t="shared" si="25"/>
        <v>-147</v>
      </c>
      <c r="F275" s="11">
        <f t="shared" si="26"/>
        <v>-16.669987246727302</v>
      </c>
      <c r="G275" s="11">
        <f t="shared" si="27"/>
        <v>-16.728744604760614</v>
      </c>
    </row>
    <row r="276" spans="5:7" x14ac:dyDescent="0.25">
      <c r="E276" s="11">
        <f t="shared" si="25"/>
        <v>-146</v>
      </c>
      <c r="F276" s="11">
        <f t="shared" si="26"/>
        <v>-16.561503905269404</v>
      </c>
      <c r="G276" s="11">
        <f t="shared" si="27"/>
        <v>-16.618358267801909</v>
      </c>
    </row>
    <row r="277" spans="5:7" x14ac:dyDescent="0.25">
      <c r="E277" s="11">
        <f t="shared" si="25"/>
        <v>-145</v>
      </c>
      <c r="F277" s="11">
        <f t="shared" si="26"/>
        <v>-16.453821483766959</v>
      </c>
      <c r="G277" s="11">
        <f t="shared" si="27"/>
        <v>-16.507371559554549</v>
      </c>
    </row>
    <row r="278" spans="5:7" x14ac:dyDescent="0.25">
      <c r="E278" s="11">
        <f t="shared" si="25"/>
        <v>-144</v>
      </c>
      <c r="F278" s="11">
        <f t="shared" si="26"/>
        <v>-16.346988112827901</v>
      </c>
      <c r="G278" s="11">
        <f t="shared" si="27"/>
        <v>-16.396028728698305</v>
      </c>
    </row>
    <row r="279" spans="5:7" x14ac:dyDescent="0.25">
      <c r="E279" s="11">
        <f t="shared" si="25"/>
        <v>-143</v>
      </c>
      <c r="F279" s="11">
        <f t="shared" si="26"/>
        <v>-16.241046895914891</v>
      </c>
      <c r="G279" s="11">
        <f t="shared" si="27"/>
        <v>-16.284574023912946</v>
      </c>
    </row>
    <row r="280" spans="5:7" x14ac:dyDescent="0.25">
      <c r="E280" s="11">
        <f t="shared" si="25"/>
        <v>-142</v>
      </c>
      <c r="F280" s="11">
        <f t="shared" si="26"/>
        <v>-16.136035899027981</v>
      </c>
      <c r="G280" s="11">
        <f t="shared" si="27"/>
        <v>-16.173251693878239</v>
      </c>
    </row>
    <row r="281" spans="5:7" x14ac:dyDescent="0.25">
      <c r="E281" s="11">
        <f t="shared" si="25"/>
        <v>-141</v>
      </c>
      <c r="F281" s="11">
        <f t="shared" si="26"/>
        <v>-16.031988157546863</v>
      </c>
      <c r="G281" s="11">
        <f t="shared" si="27"/>
        <v>-16.062305987273962</v>
      </c>
    </row>
    <row r="282" spans="5:7" x14ac:dyDescent="0.25">
      <c r="E282" s="11">
        <f t="shared" si="25"/>
        <v>-140</v>
      </c>
      <c r="F282" s="11">
        <f t="shared" si="26"/>
        <v>-15.928931699376143</v>
      </c>
      <c r="G282" s="11">
        <f t="shared" si="27"/>
        <v>-15.951981152779886</v>
      </c>
    </row>
    <row r="283" spans="5:7" x14ac:dyDescent="0.25">
      <c r="E283" s="11">
        <f t="shared" si="25"/>
        <v>-139</v>
      </c>
      <c r="F283" s="11">
        <f t="shared" si="26"/>
        <v>-15.826889583544308</v>
      </c>
      <c r="G283" s="11">
        <f t="shared" si="27"/>
        <v>-15.842521439075778</v>
      </c>
    </row>
    <row r="284" spans="5:7" x14ac:dyDescent="0.25">
      <c r="E284" s="11">
        <f t="shared" si="25"/>
        <v>-138</v>
      </c>
      <c r="F284" s="11">
        <f t="shared" si="26"/>
        <v>-15.725879953430159</v>
      </c>
      <c r="G284" s="11">
        <f t="shared" si="27"/>
        <v>-15.734171094841415</v>
      </c>
    </row>
    <row r="285" spans="5:7" x14ac:dyDescent="0.25">
      <c r="E285" s="11">
        <f t="shared" si="25"/>
        <v>-137</v>
      </c>
      <c r="F285" s="11">
        <f t="shared" si="26"/>
        <v>-15.625916103797465</v>
      </c>
      <c r="G285" s="11">
        <f t="shared" si="27"/>
        <v>-15.627174368756563</v>
      </c>
    </row>
    <row r="286" spans="5:7" x14ac:dyDescent="0.25">
      <c r="E286" s="11">
        <f t="shared" si="25"/>
        <v>-136</v>
      </c>
      <c r="F286" s="11">
        <f t="shared" si="26"/>
        <v>-15.527006560841258</v>
      </c>
      <c r="G286" s="11">
        <f t="shared" si="27"/>
        <v>-15.521775509500996</v>
      </c>
    </row>
    <row r="287" spans="5:7" x14ac:dyDescent="0.25">
      <c r="E287" s="11">
        <f t="shared" ref="E287:E350" si="28">E80</f>
        <v>-135</v>
      </c>
      <c r="F287" s="11">
        <f t="shared" ref="F287:F350" si="29">$H$217*0+E287*$I$217+E287^2*$J$217+E287^3*$K$217+E287^4*$L$217+E287^5*$M$217+E287^6*$N$217+E287^7*$O$217+E287^8*$P$217</f>
        <v>-15.429155174458351</v>
      </c>
      <c r="G287" s="11">
        <f t="shared" ref="G287:G350" si="30">F80</f>
        <v>-15.418218765754489</v>
      </c>
    </row>
    <row r="288" spans="5:7" x14ac:dyDescent="0.25">
      <c r="E288" s="11">
        <f t="shared" si="28"/>
        <v>-134</v>
      </c>
      <c r="F288" s="11">
        <f t="shared" si="29"/>
        <v>-15.332361221973663</v>
      </c>
      <c r="G288" s="11">
        <f t="shared" si="30"/>
        <v>-15.316692080394901</v>
      </c>
    </row>
    <row r="289" spans="5:7" x14ac:dyDescent="0.25">
      <c r="E289" s="11">
        <f t="shared" si="28"/>
        <v>-133</v>
      </c>
      <c r="F289" s="11">
        <f t="shared" si="29"/>
        <v>-15.236619522567104</v>
      </c>
      <c r="G289" s="11">
        <f t="shared" si="30"/>
        <v>-15.217158173092477</v>
      </c>
    </row>
    <row r="290" spans="5:7" x14ac:dyDescent="0.25">
      <c r="E290" s="11">
        <f t="shared" si="28"/>
        <v>-132</v>
      </c>
      <c r="F290" s="11">
        <f t="shared" si="29"/>
        <v>-15.141920561660356</v>
      </c>
      <c r="G290" s="11">
        <f t="shared" si="30"/>
        <v>-15.11952345771555</v>
      </c>
    </row>
    <row r="291" spans="5:7" x14ac:dyDescent="0.25">
      <c r="E291" s="11">
        <f t="shared" si="28"/>
        <v>-131</v>
      </c>
      <c r="F291" s="11">
        <f t="shared" si="29"/>
        <v>-15.048250624541197</v>
      </c>
      <c r="G291" s="11">
        <f t="shared" si="30"/>
        <v>-15.023694348132455</v>
      </c>
    </row>
    <row r="292" spans="5:7" x14ac:dyDescent="0.25">
      <c r="E292" s="11">
        <f t="shared" si="28"/>
        <v>-130</v>
      </c>
      <c r="F292" s="11">
        <f t="shared" si="29"/>
        <v>-14.955591938513226</v>
      </c>
      <c r="G292" s="11">
        <f t="shared" si="30"/>
        <v>-14.92957725821153</v>
      </c>
    </row>
    <row r="293" spans="5:7" x14ac:dyDescent="0.25">
      <c r="E293" s="11">
        <f t="shared" si="28"/>
        <v>-129</v>
      </c>
      <c r="F293" s="11">
        <f t="shared" si="29"/>
        <v>-14.863922822879196</v>
      </c>
      <c r="G293" s="11">
        <f t="shared" si="30"/>
        <v>-14.837078601821107</v>
      </c>
    </row>
    <row r="294" spans="5:7" x14ac:dyDescent="0.25">
      <c r="E294" s="11">
        <f t="shared" si="28"/>
        <v>-128</v>
      </c>
      <c r="F294" s="11">
        <f t="shared" si="29"/>
        <v>-14.773217846075987</v>
      </c>
      <c r="G294" s="11">
        <f t="shared" si="30"/>
        <v>-14.746104792829518</v>
      </c>
    </row>
    <row r="295" spans="5:7" x14ac:dyDescent="0.25">
      <c r="E295" s="11">
        <f t="shared" si="28"/>
        <v>-127</v>
      </c>
      <c r="F295" s="11">
        <f t="shared" si="29"/>
        <v>-14.683447989299136</v>
      </c>
      <c r="G295" s="11">
        <f t="shared" si="30"/>
        <v>-14.656562245105103</v>
      </c>
    </row>
    <row r="296" spans="5:7" x14ac:dyDescent="0.25">
      <c r="E296" s="11">
        <f t="shared" si="28"/>
        <v>-126</v>
      </c>
      <c r="F296" s="11">
        <f t="shared" si="29"/>
        <v>-14.594580815967003</v>
      </c>
      <c r="G296" s="11">
        <f t="shared" si="30"/>
        <v>-14.568357372516193</v>
      </c>
    </row>
    <row r="297" spans="5:7" x14ac:dyDescent="0.25">
      <c r="E297" s="11">
        <f t="shared" si="28"/>
        <v>-125</v>
      </c>
      <c r="F297" s="11">
        <f t="shared" si="29"/>
        <v>-14.506580646390383</v>
      </c>
      <c r="G297" s="11">
        <f t="shared" si="30"/>
        <v>-14.481396588931123</v>
      </c>
    </row>
    <row r="298" spans="5:7" x14ac:dyDescent="0.25">
      <c r="E298" s="11">
        <f t="shared" si="28"/>
        <v>-124</v>
      </c>
      <c r="F298" s="11">
        <f t="shared" si="29"/>
        <v>-14.419408737028728</v>
      </c>
      <c r="G298" s="11">
        <f t="shared" si="30"/>
        <v>-14.395586308218235</v>
      </c>
    </row>
    <row r="299" spans="5:7" x14ac:dyDescent="0.25">
      <c r="E299" s="11">
        <f t="shared" si="28"/>
        <v>-123</v>
      </c>
      <c r="F299" s="11">
        <f t="shared" si="29"/>
        <v>-14.333023463729234</v>
      </c>
      <c r="G299" s="11">
        <f t="shared" si="30"/>
        <v>-14.310832944245851</v>
      </c>
    </row>
    <row r="300" spans="5:7" x14ac:dyDescent="0.25">
      <c r="E300" s="11">
        <f t="shared" si="28"/>
        <v>-122</v>
      </c>
      <c r="F300" s="11">
        <f t="shared" si="29"/>
        <v>-14.247380508360532</v>
      </c>
      <c r="G300" s="11">
        <f t="shared" si="30"/>
        <v>-14.227042910882314</v>
      </c>
    </row>
    <row r="301" spans="5:7" x14ac:dyDescent="0.25">
      <c r="E301" s="11">
        <f t="shared" si="28"/>
        <v>-121</v>
      </c>
      <c r="F301" s="11">
        <f t="shared" si="29"/>
        <v>-14.162433048266024</v>
      </c>
      <c r="G301" s="11">
        <f t="shared" si="30"/>
        <v>-14.14412262199596</v>
      </c>
    </row>
    <row r="302" spans="5:7" x14ac:dyDescent="0.25">
      <c r="E302" s="11">
        <f t="shared" si="28"/>
        <v>-120</v>
      </c>
      <c r="F302" s="11">
        <f t="shared" si="29"/>
        <v>-14.07813194797993</v>
      </c>
      <c r="G302" s="11">
        <f t="shared" si="30"/>
        <v>-14.061978491455118</v>
      </c>
    </row>
    <row r="303" spans="5:7" x14ac:dyDescent="0.25">
      <c r="E303" s="11">
        <f t="shared" si="28"/>
        <v>-119</v>
      </c>
      <c r="F303" s="11">
        <f t="shared" si="29"/>
        <v>-13.994425952661445</v>
      </c>
      <c r="G303" s="11">
        <f t="shared" si="30"/>
        <v>-13.980516933128129</v>
      </c>
    </row>
    <row r="304" spans="5:7" x14ac:dyDescent="0.25">
      <c r="E304" s="11">
        <f t="shared" si="28"/>
        <v>-118</v>
      </c>
      <c r="F304" s="11">
        <f t="shared" si="29"/>
        <v>-13.911261882718961</v>
      </c>
      <c r="G304" s="11">
        <f t="shared" si="30"/>
        <v>-13.899644360883322</v>
      </c>
    </row>
    <row r="305" spans="5:7" x14ac:dyDescent="0.25">
      <c r="E305" s="11">
        <f t="shared" si="28"/>
        <v>-117</v>
      </c>
      <c r="F305" s="11">
        <f t="shared" si="29"/>
        <v>-13.828584829111396</v>
      </c>
      <c r="G305" s="11">
        <f t="shared" si="30"/>
        <v>-13.819267188589038</v>
      </c>
    </row>
    <row r="306" spans="5:7" x14ac:dyDescent="0.25">
      <c r="E306" s="11">
        <f t="shared" si="28"/>
        <v>-116</v>
      </c>
      <c r="F306" s="11">
        <f t="shared" si="29"/>
        <v>-13.746338348828111</v>
      </c>
      <c r="G306" s="11">
        <f t="shared" si="30"/>
        <v>-13.739291830113604</v>
      </c>
    </row>
    <row r="307" spans="5:7" x14ac:dyDescent="0.25">
      <c r="E307" s="11">
        <f t="shared" si="28"/>
        <v>-115</v>
      </c>
      <c r="F307" s="11">
        <f t="shared" si="29"/>
        <v>-13.664464660064517</v>
      </c>
      <c r="G307" s="11">
        <f t="shared" si="30"/>
        <v>-13.659624699325363</v>
      </c>
    </row>
    <row r="308" spans="5:7" x14ac:dyDescent="0.25">
      <c r="E308" s="11">
        <f t="shared" si="28"/>
        <v>-114</v>
      </c>
      <c r="F308" s="11">
        <f t="shared" si="29"/>
        <v>-13.582904836625245</v>
      </c>
      <c r="G308" s="11">
        <f t="shared" si="30"/>
        <v>-13.580172210092645</v>
      </c>
    </row>
    <row r="309" spans="5:7" x14ac:dyDescent="0.25">
      <c r="E309" s="11">
        <f t="shared" si="28"/>
        <v>-113</v>
      </c>
      <c r="F309" s="11">
        <f t="shared" si="29"/>
        <v>-13.501599001102246</v>
      </c>
      <c r="G309" s="11">
        <f t="shared" si="30"/>
        <v>-13.500840776283784</v>
      </c>
    </row>
    <row r="310" spans="5:7" x14ac:dyDescent="0.25">
      <c r="E310" s="11">
        <f t="shared" si="28"/>
        <v>-112</v>
      </c>
      <c r="F310" s="11">
        <f t="shared" si="29"/>
        <v>-13.420486516389744</v>
      </c>
      <c r="G310" s="11">
        <f t="shared" si="30"/>
        <v>-13.421536811767119</v>
      </c>
    </row>
    <row r="311" spans="5:7" x14ac:dyDescent="0.25">
      <c r="E311" s="11">
        <f t="shared" si="28"/>
        <v>-111</v>
      </c>
      <c r="F311" s="11">
        <f t="shared" si="29"/>
        <v>-13.339506175113721</v>
      </c>
      <c r="G311" s="11">
        <f t="shared" si="30"/>
        <v>-13.34216673041098</v>
      </c>
    </row>
    <row r="312" spans="5:7" x14ac:dyDescent="0.25">
      <c r="E312" s="11">
        <f t="shared" si="28"/>
        <v>-110</v>
      </c>
      <c r="F312" s="11">
        <f t="shared" si="29"/>
        <v>-13.258596386568028</v>
      </c>
      <c r="G312" s="11">
        <f t="shared" si="30"/>
        <v>-13.262636946083706</v>
      </c>
    </row>
    <row r="313" spans="5:7" x14ac:dyDescent="0.25">
      <c r="E313" s="11">
        <f t="shared" si="28"/>
        <v>-109</v>
      </c>
      <c r="F313" s="11">
        <f t="shared" si="29"/>
        <v>-13.177695360764673</v>
      </c>
      <c r="G313" s="11">
        <f t="shared" si="30"/>
        <v>-13.182863260205265</v>
      </c>
    </row>
    <row r="314" spans="5:7" x14ac:dyDescent="0.25">
      <c r="E314" s="11">
        <f t="shared" si="28"/>
        <v>-108</v>
      </c>
      <c r="F314" s="11">
        <f t="shared" si="29"/>
        <v>-13.096741289221113</v>
      </c>
      <c r="G314" s="11">
        <f t="shared" si="30"/>
        <v>-13.102799024402184</v>
      </c>
    </row>
    <row r="315" spans="5:7" x14ac:dyDescent="0.25">
      <c r="E315" s="11">
        <f t="shared" si="28"/>
        <v>-107</v>
      </c>
      <c r="F315" s="11">
        <f t="shared" si="29"/>
        <v>-13.015672522121854</v>
      </c>
      <c r="G315" s="11">
        <f t="shared" si="30"/>
        <v>-13.02240697785262</v>
      </c>
    </row>
    <row r="316" spans="5:7" x14ac:dyDescent="0.25">
      <c r="E316" s="11">
        <f t="shared" si="28"/>
        <v>-106</v>
      </c>
      <c r="F316" s="11">
        <f t="shared" si="29"/>
        <v>-12.934427741507712</v>
      </c>
      <c r="G316" s="11">
        <f t="shared" si="30"/>
        <v>-12.941649859734735</v>
      </c>
    </row>
    <row r="317" spans="5:7" x14ac:dyDescent="0.25">
      <c r="E317" s="11">
        <f t="shared" si="28"/>
        <v>-105</v>
      </c>
      <c r="F317" s="11">
        <f t="shared" si="29"/>
        <v>-12.852946130160035</v>
      </c>
      <c r="G317" s="11">
        <f t="shared" si="30"/>
        <v>-12.86049040922669</v>
      </c>
    </row>
    <row r="318" spans="5:7" x14ac:dyDescent="0.25">
      <c r="E318" s="11">
        <f t="shared" si="28"/>
        <v>-104</v>
      </c>
      <c r="F318" s="11">
        <f t="shared" si="29"/>
        <v>-12.771167535863157</v>
      </c>
      <c r="G318" s="11">
        <f t="shared" si="30"/>
        <v>-12.778891365506645</v>
      </c>
    </row>
    <row r="319" spans="5:7" x14ac:dyDescent="0.25">
      <c r="E319" s="11">
        <f t="shared" si="28"/>
        <v>-103</v>
      </c>
      <c r="F319" s="11">
        <f t="shared" si="29"/>
        <v>-12.689032630743315</v>
      </c>
      <c r="G319" s="11">
        <f t="shared" si="30"/>
        <v>-12.696815467752758</v>
      </c>
    </row>
    <row r="320" spans="5:7" x14ac:dyDescent="0.25">
      <c r="E320" s="11">
        <f t="shared" si="28"/>
        <v>-102</v>
      </c>
      <c r="F320" s="11">
        <f t="shared" si="29"/>
        <v>-12.60648306539686</v>
      </c>
      <c r="G320" s="11">
        <f t="shared" si="30"/>
        <v>-12.614225455143192</v>
      </c>
    </row>
    <row r="321" spans="5:7" x14ac:dyDescent="0.25">
      <c r="E321" s="11">
        <f t="shared" si="28"/>
        <v>-101</v>
      </c>
      <c r="F321" s="11">
        <f t="shared" si="29"/>
        <v>-12.523461617536245</v>
      </c>
      <c r="G321" s="11">
        <f t="shared" si="30"/>
        <v>-12.531084066856105</v>
      </c>
    </row>
    <row r="322" spans="5:7" x14ac:dyDescent="0.25">
      <c r="E322" s="11">
        <f t="shared" si="28"/>
        <v>-100</v>
      </c>
      <c r="F322" s="11">
        <f t="shared" si="29"/>
        <v>-12.439912334897105</v>
      </c>
      <c r="G322" s="11">
        <f t="shared" si="30"/>
        <v>-12.447354042069659</v>
      </c>
    </row>
    <row r="323" spans="5:7" x14ac:dyDescent="0.25">
      <c r="E323" s="11">
        <f t="shared" si="28"/>
        <v>-99</v>
      </c>
      <c r="F323" s="11">
        <f t="shared" si="29"/>
        <v>-12.355780672164961</v>
      </c>
      <c r="G323" s="11">
        <f t="shared" si="30"/>
        <v>-12.362998119962011</v>
      </c>
    </row>
    <row r="324" spans="5:7" x14ac:dyDescent="0.25">
      <c r="E324" s="11">
        <f t="shared" si="28"/>
        <v>-98</v>
      </c>
      <c r="F324" s="11">
        <f t="shared" si="29"/>
        <v>-12.271013621694987</v>
      </c>
      <c r="G324" s="11">
        <f t="shared" si="30"/>
        <v>-12.277979039711326</v>
      </c>
    </row>
    <row r="325" spans="5:7" x14ac:dyDescent="0.25">
      <c r="E325" s="11">
        <f t="shared" si="28"/>
        <v>-97</v>
      </c>
      <c r="F325" s="11">
        <f t="shared" si="29"/>
        <v>-12.185559837813541</v>
      </c>
      <c r="G325" s="11">
        <f t="shared" si="30"/>
        <v>-12.192259540495762</v>
      </c>
    </row>
    <row r="326" spans="5:7" x14ac:dyDescent="0.25">
      <c r="E326" s="11">
        <f t="shared" si="28"/>
        <v>-96</v>
      </c>
      <c r="F326" s="11">
        <f t="shared" si="29"/>
        <v>-12.099369754505238</v>
      </c>
      <c r="G326" s="11">
        <f t="shared" si="30"/>
        <v>-12.105802361493478</v>
      </c>
    </row>
    <row r="327" spans="5:7" x14ac:dyDescent="0.25">
      <c r="E327" s="11">
        <f t="shared" si="28"/>
        <v>-95</v>
      </c>
      <c r="F327" s="11">
        <f t="shared" si="29"/>
        <v>-12.012395696304466</v>
      </c>
      <c r="G327" s="11">
        <f t="shared" si="30"/>
        <v>-12.018570241882637</v>
      </c>
    </row>
    <row r="328" spans="5:7" x14ac:dyDescent="0.25">
      <c r="E328" s="11">
        <f t="shared" si="28"/>
        <v>-94</v>
      </c>
      <c r="F328" s="11">
        <f t="shared" si="29"/>
        <v>-11.924591982224966</v>
      </c>
      <c r="G328" s="11">
        <f t="shared" si="30"/>
        <v>-11.930525920841397</v>
      </c>
    </row>
    <row r="329" spans="5:7" x14ac:dyDescent="0.25">
      <c r="E329" s="11">
        <f t="shared" si="28"/>
        <v>-93</v>
      </c>
      <c r="F329" s="11">
        <f t="shared" si="29"/>
        <v>-11.835915022577128</v>
      </c>
      <c r="G329" s="11">
        <f t="shared" si="30"/>
        <v>-11.841632137547919</v>
      </c>
    </row>
    <row r="330" spans="5:7" x14ac:dyDescent="0.25">
      <c r="E330" s="11">
        <f t="shared" si="28"/>
        <v>-92</v>
      </c>
      <c r="F330" s="11">
        <f t="shared" si="29"/>
        <v>-11.74632340853635</v>
      </c>
      <c r="G330" s="11">
        <f t="shared" si="30"/>
        <v>-11.751851631180365</v>
      </c>
    </row>
    <row r="331" spans="5:7" x14ac:dyDescent="0.25">
      <c r="E331" s="11">
        <f t="shared" si="28"/>
        <v>-91</v>
      </c>
      <c r="F331" s="11">
        <f t="shared" si="29"/>
        <v>-11.655777994342476</v>
      </c>
      <c r="G331" s="11">
        <f t="shared" si="30"/>
        <v>-11.661147140916892</v>
      </c>
    </row>
    <row r="332" spans="5:7" x14ac:dyDescent="0.25">
      <c r="E332" s="11">
        <f t="shared" si="28"/>
        <v>-90</v>
      </c>
      <c r="F332" s="11">
        <f t="shared" si="29"/>
        <v>-11.564241972023952</v>
      </c>
      <c r="G332" s="11">
        <f t="shared" si="30"/>
        <v>-11.569481405935662</v>
      </c>
    </row>
    <row r="333" spans="5:7" x14ac:dyDescent="0.25">
      <c r="E333" s="11">
        <f t="shared" si="28"/>
        <v>-89</v>
      </c>
      <c r="F333" s="11">
        <f t="shared" si="29"/>
        <v>-11.471680938556622</v>
      </c>
      <c r="G333" s="11">
        <f t="shared" si="30"/>
        <v>-11.476817165414834</v>
      </c>
    </row>
    <row r="334" spans="5:7" x14ac:dyDescent="0.25">
      <c r="E334" s="11">
        <f t="shared" si="28"/>
        <v>-88</v>
      </c>
      <c r="F334" s="11">
        <f t="shared" si="29"/>
        <v>-11.378062955381388</v>
      </c>
      <c r="G334" s="11">
        <f t="shared" si="30"/>
        <v>-11.383117158532571</v>
      </c>
    </row>
    <row r="335" spans="5:7" x14ac:dyDescent="0.25">
      <c r="E335" s="11">
        <f t="shared" si="28"/>
        <v>-87</v>
      </c>
      <c r="F335" s="11">
        <f t="shared" si="29"/>
        <v>-11.283358600220449</v>
      </c>
      <c r="G335" s="11">
        <f t="shared" si="30"/>
        <v>-11.288344124467031</v>
      </c>
    </row>
    <row r="336" spans="5:7" x14ac:dyDescent="0.25">
      <c r="E336" s="11">
        <f t="shared" si="28"/>
        <v>-86</v>
      </c>
      <c r="F336" s="11">
        <f t="shared" si="29"/>
        <v>-11.187541011146827</v>
      </c>
      <c r="G336" s="11">
        <f t="shared" si="30"/>
        <v>-11.192460802396376</v>
      </c>
    </row>
    <row r="337" spans="5:7" x14ac:dyDescent="0.25">
      <c r="E337" s="11">
        <f t="shared" si="28"/>
        <v>-85</v>
      </c>
      <c r="F337" s="11">
        <f t="shared" si="29"/>
        <v>-11.090585922876947</v>
      </c>
      <c r="G337" s="11">
        <f t="shared" si="30"/>
        <v>-11.095429931498764</v>
      </c>
    </row>
    <row r="338" spans="5:7" x14ac:dyDescent="0.25">
      <c r="E338" s="11">
        <f t="shared" si="28"/>
        <v>-84</v>
      </c>
      <c r="F338" s="11">
        <f t="shared" si="29"/>
        <v>-10.992471695271167</v>
      </c>
      <c r="G338" s="11">
        <f t="shared" si="30"/>
        <v>-10.997214250952355</v>
      </c>
    </row>
    <row r="339" spans="5:7" x14ac:dyDescent="0.25">
      <c r="E339" s="11">
        <f t="shared" si="28"/>
        <v>-83</v>
      </c>
      <c r="F339" s="11">
        <f t="shared" si="29"/>
        <v>-10.89317933404233</v>
      </c>
      <c r="G339" s="11">
        <f t="shared" si="30"/>
        <v>-10.897776499935311</v>
      </c>
    </row>
    <row r="340" spans="5:7" x14ac:dyDescent="0.25">
      <c r="E340" s="11">
        <f t="shared" si="28"/>
        <v>-82</v>
      </c>
      <c r="F340" s="11">
        <f t="shared" si="29"/>
        <v>-10.792692503687277</v>
      </c>
      <c r="G340" s="11">
        <f t="shared" si="30"/>
        <v>-10.797079417625794</v>
      </c>
    </row>
    <row r="341" spans="5:7" x14ac:dyDescent="0.25">
      <c r="E341" s="11">
        <f t="shared" si="28"/>
        <v>-81</v>
      </c>
      <c r="F341" s="11">
        <f t="shared" si="29"/>
        <v>-10.690997532671636</v>
      </c>
      <c r="G341" s="11">
        <f t="shared" si="30"/>
        <v>-10.695085743201961</v>
      </c>
    </row>
    <row r="342" spans="5:7" x14ac:dyDescent="0.25">
      <c r="E342" s="11">
        <f t="shared" si="28"/>
        <v>-80</v>
      </c>
      <c r="F342" s="11">
        <f t="shared" si="29"/>
        <v>-10.588083410913136</v>
      </c>
      <c r="G342" s="11">
        <f t="shared" si="30"/>
        <v>-10.591758215841974</v>
      </c>
    </row>
    <row r="343" spans="5:7" x14ac:dyDescent="0.25">
      <c r="E343" s="11">
        <f t="shared" si="28"/>
        <v>-79</v>
      </c>
      <c r="F343" s="11">
        <f t="shared" si="29"/>
        <v>-10.48394177962374</v>
      </c>
      <c r="G343" s="11">
        <f t="shared" si="30"/>
        <v>-10.487070220658097</v>
      </c>
    </row>
    <row r="344" spans="5:7" x14ac:dyDescent="0.25">
      <c r="E344" s="11">
        <f t="shared" si="28"/>
        <v>-78</v>
      </c>
      <c r="F344" s="11">
        <f t="shared" si="29"/>
        <v>-10.378566913586194</v>
      </c>
      <c r="G344" s="11">
        <f t="shared" si="30"/>
        <v>-10.381037726499011</v>
      </c>
    </row>
    <row r="345" spans="5:7" x14ac:dyDescent="0.25">
      <c r="E345" s="11">
        <f t="shared" si="28"/>
        <v>-77</v>
      </c>
      <c r="F345" s="11">
        <f t="shared" si="29"/>
        <v>-10.271955695955436</v>
      </c>
      <c r="G345" s="11">
        <f t="shared" si="30"/>
        <v>-10.273687348147508</v>
      </c>
    </row>
    <row r="346" spans="5:7" x14ac:dyDescent="0.25">
      <c r="E346" s="11">
        <f t="shared" si="28"/>
        <v>-76</v>
      </c>
      <c r="F346" s="11">
        <f t="shared" si="29"/>
        <v>-10.164107585690649</v>
      </c>
      <c r="G346" s="11">
        <f t="shared" si="30"/>
        <v>-10.16504570038637</v>
      </c>
    </row>
    <row r="347" spans="5:7" x14ac:dyDescent="0.25">
      <c r="E347" s="11">
        <f t="shared" si="28"/>
        <v>-75</v>
      </c>
      <c r="F347" s="11">
        <f t="shared" si="29"/>
        <v>-10.055024577738568</v>
      </c>
      <c r="G347" s="11">
        <f t="shared" si="30"/>
        <v>-10.055139397998389</v>
      </c>
    </row>
    <row r="348" spans="5:7" x14ac:dyDescent="0.25">
      <c r="E348" s="11">
        <f t="shared" si="28"/>
        <v>-74</v>
      </c>
      <c r="F348" s="11">
        <f t="shared" si="29"/>
        <v>-9.9447111561040433</v>
      </c>
      <c r="G348" s="11">
        <f t="shared" si="30"/>
        <v>-9.9439950557663437</v>
      </c>
    </row>
    <row r="349" spans="5:7" x14ac:dyDescent="0.25">
      <c r="E349" s="11">
        <f t="shared" si="28"/>
        <v>-73</v>
      </c>
      <c r="F349" s="11">
        <f t="shared" si="29"/>
        <v>-9.833174239958705</v>
      </c>
      <c r="G349" s="11">
        <f t="shared" si="30"/>
        <v>-9.8316392884730313</v>
      </c>
    </row>
    <row r="350" spans="5:7" x14ac:dyDescent="0.25">
      <c r="E350" s="11">
        <f t="shared" si="28"/>
        <v>-72</v>
      </c>
      <c r="F350" s="11">
        <f t="shared" si="29"/>
        <v>-9.7204231229537967</v>
      </c>
      <c r="G350" s="11">
        <f t="shared" si="30"/>
        <v>-9.7180987109012325</v>
      </c>
    </row>
    <row r="351" spans="5:7" x14ac:dyDescent="0.25">
      <c r="E351" s="11">
        <f t="shared" ref="E351:E414" si="31">E144</f>
        <v>-71</v>
      </c>
      <c r="F351" s="11">
        <f t="shared" ref="F351:F414" si="32">$H$217*0+E351*$I$217+E351^2*$J$217+E351^3*$K$217+E351^4*$L$217+E351^5*$M$217+E351^6*$N$217+E351^7*$O$217+E351^8*$P$217</f>
        <v>-9.6064694059183591</v>
      </c>
      <c r="G351" s="11">
        <f t="shared" ref="G351:G414" si="33">F144</f>
        <v>-9.6033999378337356</v>
      </c>
    </row>
    <row r="352" spans="5:7" x14ac:dyDescent="0.25">
      <c r="E352" s="11">
        <f t="shared" si="31"/>
        <v>-70</v>
      </c>
      <c r="F352" s="11">
        <f t="shared" si="32"/>
        <v>-9.4913269231389368</v>
      </c>
      <c r="G352" s="11">
        <f t="shared" si="33"/>
        <v>-9.4875695840533307</v>
      </c>
    </row>
    <row r="353" spans="5:7" x14ac:dyDescent="0.25">
      <c r="E353" s="11">
        <f t="shared" si="31"/>
        <v>-69</v>
      </c>
      <c r="F353" s="11">
        <f t="shared" si="32"/>
        <v>-9.3750116624321791</v>
      </c>
      <c r="G353" s="11">
        <f t="shared" si="33"/>
        <v>-9.3706342643428009</v>
      </c>
    </row>
    <row r="354" spans="5:7" x14ac:dyDescent="0.25">
      <c r="E354" s="11">
        <f t="shared" si="31"/>
        <v>-68</v>
      </c>
      <c r="F354" s="11">
        <f t="shared" si="32"/>
        <v>-9.2575416792367466</v>
      </c>
      <c r="G354" s="11">
        <f t="shared" si="33"/>
        <v>-9.2526205934849344</v>
      </c>
    </row>
    <row r="355" spans="5:7" x14ac:dyDescent="0.25">
      <c r="E355" s="11">
        <f t="shared" si="31"/>
        <v>-67</v>
      </c>
      <c r="F355" s="11">
        <f t="shared" si="32"/>
        <v>-9.1389370049660403</v>
      </c>
      <c r="G355" s="11">
        <f t="shared" si="33"/>
        <v>-9.1335551862625213</v>
      </c>
    </row>
    <row r="356" spans="5:7" x14ac:dyDescent="0.25">
      <c r="E356" s="11">
        <f t="shared" si="31"/>
        <v>-66</v>
      </c>
      <c r="F356" s="11">
        <f t="shared" si="32"/>
        <v>-9.0192195498784145</v>
      </c>
      <c r="G356" s="11">
        <f t="shared" si="33"/>
        <v>-9.0134646574583428</v>
      </c>
    </row>
    <row r="357" spans="5:7" x14ac:dyDescent="0.25">
      <c r="E357" s="11">
        <f t="shared" si="31"/>
        <v>-65</v>
      </c>
      <c r="F357" s="11">
        <f t="shared" si="32"/>
        <v>-8.8984130007364772</v>
      </c>
      <c r="G357" s="11">
        <f t="shared" si="33"/>
        <v>-8.8923756218551908</v>
      </c>
    </row>
    <row r="358" spans="5:7" x14ac:dyDescent="0.25">
      <c r="E358" s="11">
        <f t="shared" si="31"/>
        <v>-64</v>
      </c>
      <c r="F358" s="11">
        <f t="shared" si="32"/>
        <v>-8.7765427135424297</v>
      </c>
      <c r="G358" s="11">
        <f t="shared" si="33"/>
        <v>-8.7703146942358536</v>
      </c>
    </row>
    <row r="359" spans="5:7" x14ac:dyDescent="0.25">
      <c r="E359" s="11">
        <f t="shared" si="31"/>
        <v>-63</v>
      </c>
      <c r="F359" s="11">
        <f t="shared" si="32"/>
        <v>-8.6536356016512492</v>
      </c>
      <c r="G359" s="11">
        <f t="shared" si="33"/>
        <v>-8.6473084893831142</v>
      </c>
    </row>
    <row r="360" spans="5:7" x14ac:dyDescent="0.25">
      <c r="E360" s="11">
        <f t="shared" si="31"/>
        <v>-62</v>
      </c>
      <c r="F360" s="11">
        <f t="shared" si="32"/>
        <v>-8.5297200195787291</v>
      </c>
      <c r="G360" s="11">
        <f t="shared" si="33"/>
        <v>-8.5233836220797592</v>
      </c>
    </row>
    <row r="361" spans="5:7" x14ac:dyDescent="0.25">
      <c r="E361" s="11">
        <f t="shared" si="31"/>
        <v>-61</v>
      </c>
      <c r="F361" s="11">
        <f t="shared" si="32"/>
        <v>-8.4048256428365224</v>
      </c>
      <c r="G361" s="11">
        <f t="shared" si="33"/>
        <v>-8.3985667071085803</v>
      </c>
    </row>
    <row r="362" spans="5:7" x14ac:dyDescent="0.25">
      <c r="E362" s="11">
        <f t="shared" si="31"/>
        <v>-60</v>
      </c>
      <c r="F362" s="11">
        <f t="shared" si="32"/>
        <v>-8.278983344141297</v>
      </c>
      <c r="G362" s="11">
        <f t="shared" si="33"/>
        <v>-8.2728843592523607</v>
      </c>
    </row>
    <row r="363" spans="5:7" x14ac:dyDescent="0.25">
      <c r="E363" s="11">
        <f t="shared" si="31"/>
        <v>-59</v>
      </c>
      <c r="F363" s="11">
        <f t="shared" si="32"/>
        <v>-8.1522250663603835</v>
      </c>
      <c r="G363" s="11">
        <f t="shared" si="33"/>
        <v>-8.1463631932938885</v>
      </c>
    </row>
    <row r="364" spans="5:7" x14ac:dyDescent="0.25">
      <c r="E364" s="11">
        <f t="shared" si="31"/>
        <v>-58</v>
      </c>
      <c r="F364" s="11">
        <f t="shared" si="32"/>
        <v>-8.0245836925712037</v>
      </c>
      <c r="G364" s="11">
        <f t="shared" si="33"/>
        <v>-8.0190298240159521</v>
      </c>
    </row>
    <row r="365" spans="5:7" x14ac:dyDescent="0.25">
      <c r="E365" s="11">
        <f t="shared" si="31"/>
        <v>-57</v>
      </c>
      <c r="F365" s="11">
        <f t="shared" si="32"/>
        <v>-7.8960929136270419</v>
      </c>
      <c r="G365" s="11">
        <f t="shared" si="33"/>
        <v>-7.8909108662013381</v>
      </c>
    </row>
    <row r="366" spans="5:7" x14ac:dyDescent="0.25">
      <c r="E366" s="11">
        <f t="shared" si="31"/>
        <v>-56</v>
      </c>
      <c r="F366" s="11">
        <f t="shared" si="32"/>
        <v>-7.7667870936366725</v>
      </c>
      <c r="G366" s="11">
        <f t="shared" si="33"/>
        <v>-7.7620329346328321</v>
      </c>
    </row>
    <row r="367" spans="5:7" x14ac:dyDescent="0.25">
      <c r="E367" s="11">
        <f t="shared" si="31"/>
        <v>-55</v>
      </c>
      <c r="F367" s="11">
        <f t="shared" si="32"/>
        <v>-7.636701133780524</v>
      </c>
      <c r="G367" s="11">
        <f t="shared" si="33"/>
        <v>-7.6324226440932232</v>
      </c>
    </row>
    <row r="368" spans="5:7" x14ac:dyDescent="0.25">
      <c r="E368" s="11">
        <f t="shared" si="31"/>
        <v>-54</v>
      </c>
      <c r="F368" s="11">
        <f t="shared" si="32"/>
        <v>-7.5058703349011893</v>
      </c>
      <c r="G368" s="11">
        <f t="shared" si="33"/>
        <v>-7.5021066093652973</v>
      </c>
    </row>
    <row r="369" spans="5:7" x14ac:dyDescent="0.25">
      <c r="E369" s="11">
        <f t="shared" si="31"/>
        <v>-53</v>
      </c>
      <c r="F369" s="11">
        <f t="shared" si="32"/>
        <v>-7.3743302593210647</v>
      </c>
      <c r="G369" s="11">
        <f t="shared" si="33"/>
        <v>-7.3711114452318416</v>
      </c>
    </row>
    <row r="370" spans="5:7" x14ac:dyDescent="0.25">
      <c r="E370" s="11">
        <f t="shared" si="31"/>
        <v>-52</v>
      </c>
      <c r="F370" s="11">
        <f t="shared" si="32"/>
        <v>-7.2421165923551474</v>
      </c>
      <c r="G370" s="11">
        <f t="shared" si="33"/>
        <v>-7.2394637664756436</v>
      </c>
    </row>
    <row r="371" spans="5:7" x14ac:dyDescent="0.25">
      <c r="E371" s="11">
        <f t="shared" si="31"/>
        <v>-51</v>
      </c>
      <c r="F371" s="11">
        <f t="shared" si="32"/>
        <v>-7.1092650040019914</v>
      </c>
      <c r="G371" s="11">
        <f t="shared" si="33"/>
        <v>-7.1071901878794908</v>
      </c>
    </row>
    <row r="372" spans="5:7" x14ac:dyDescent="0.25">
      <c r="E372" s="11">
        <f t="shared" si="31"/>
        <v>-50</v>
      </c>
      <c r="F372" s="11">
        <f t="shared" si="32"/>
        <v>-6.9758110113109941</v>
      </c>
      <c r="G372" s="11">
        <f t="shared" si="33"/>
        <v>-6.9743173242261687</v>
      </c>
    </row>
    <row r="373" spans="5:7" x14ac:dyDescent="0.25">
      <c r="E373" s="11">
        <f t="shared" si="31"/>
        <v>-49</v>
      </c>
      <c r="F373" s="11">
        <f t="shared" si="32"/>
        <v>-6.8417898419392609</v>
      </c>
      <c r="G373" s="11">
        <f t="shared" si="33"/>
        <v>-6.8408717902984666</v>
      </c>
    </row>
    <row r="374" spans="5:7" x14ac:dyDescent="0.25">
      <c r="E374" s="11">
        <f t="shared" si="31"/>
        <v>-48</v>
      </c>
      <c r="F374" s="11">
        <f t="shared" si="32"/>
        <v>-6.7072362994263486</v>
      </c>
      <c r="G374" s="11">
        <f t="shared" si="33"/>
        <v>-6.7068802008791693</v>
      </c>
    </row>
    <row r="375" spans="5:7" x14ac:dyDescent="0.25">
      <c r="E375" s="11">
        <f t="shared" si="31"/>
        <v>-47</v>
      </c>
      <c r="F375" s="11">
        <f t="shared" si="32"/>
        <v>-6.5721846307303746</v>
      </c>
      <c r="G375" s="11">
        <f t="shared" si="33"/>
        <v>-6.572369170751065</v>
      </c>
    </row>
    <row r="376" spans="5:7" x14ac:dyDescent="0.25">
      <c r="E376" s="11">
        <f t="shared" si="31"/>
        <v>-46</v>
      </c>
      <c r="F376" s="11">
        <f t="shared" si="32"/>
        <v>-6.4366683965839897</v>
      </c>
      <c r="G376" s="11">
        <f t="shared" si="33"/>
        <v>-6.4373653146969412</v>
      </c>
    </row>
    <row r="377" spans="5:7" x14ac:dyDescent="0.25">
      <c r="E377" s="11">
        <f t="shared" si="31"/>
        <v>-45</v>
      </c>
      <c r="F377" s="11">
        <f t="shared" si="32"/>
        <v>-6.3007203452438194</v>
      </c>
      <c r="G377" s="11">
        <f t="shared" si="33"/>
        <v>-6.3018952474995853</v>
      </c>
    </row>
    <row r="378" spans="5:7" x14ac:dyDescent="0.25">
      <c r="E378" s="11">
        <f t="shared" si="31"/>
        <v>-44</v>
      </c>
      <c r="F378" s="11">
        <f t="shared" si="32"/>
        <v>-6.1643722902221576</v>
      </c>
      <c r="G378" s="11">
        <f t="shared" si="33"/>
        <v>-6.165985583941783</v>
      </c>
    </row>
    <row r="379" spans="5:7" x14ac:dyDescent="0.25">
      <c r="E379" s="11">
        <f t="shared" si="31"/>
        <v>-43</v>
      </c>
      <c r="F379" s="11">
        <f t="shared" si="32"/>
        <v>-6.027654992604659</v>
      </c>
      <c r="G379" s="11">
        <f t="shared" si="33"/>
        <v>-6.0296629388063216</v>
      </c>
    </row>
    <row r="380" spans="5:7" x14ac:dyDescent="0.25">
      <c r="E380" s="11">
        <f t="shared" si="31"/>
        <v>-42</v>
      </c>
      <c r="F380" s="11">
        <f t="shared" si="32"/>
        <v>-5.8905980485729934</v>
      </c>
      <c r="G380" s="11">
        <f t="shared" si="33"/>
        <v>-5.8929539268759905</v>
      </c>
    </row>
    <row r="381" spans="5:7" x14ac:dyDescent="0.25">
      <c r="E381" s="11">
        <f t="shared" si="31"/>
        <v>-41</v>
      </c>
      <c r="F381" s="11">
        <f t="shared" si="32"/>
        <v>-5.753229782766434</v>
      </c>
      <c r="G381" s="11">
        <f t="shared" si="33"/>
        <v>-5.7558851629335734</v>
      </c>
    </row>
    <row r="382" spans="5:7" x14ac:dyDescent="0.25">
      <c r="E382" s="11">
        <f t="shared" si="31"/>
        <v>-40</v>
      </c>
      <c r="F382" s="11">
        <f t="shared" si="32"/>
        <v>-5.6155771481315115</v>
      </c>
      <c r="G382" s="11">
        <f t="shared" si="33"/>
        <v>-5.6184832617618596</v>
      </c>
    </row>
    <row r="383" spans="5:7" x14ac:dyDescent="0.25">
      <c r="E383" s="11">
        <f t="shared" si="31"/>
        <v>-39</v>
      </c>
      <c r="F383" s="11">
        <f t="shared" si="32"/>
        <v>-5.4776656329239124</v>
      </c>
      <c r="G383" s="11">
        <f t="shared" si="33"/>
        <v>-5.4807748381436356</v>
      </c>
    </row>
    <row r="384" spans="5:7" x14ac:dyDescent="0.25">
      <c r="E384" s="11">
        <f t="shared" si="31"/>
        <v>-38</v>
      </c>
      <c r="F384" s="11">
        <f t="shared" si="32"/>
        <v>-5.3395191755419198</v>
      </c>
      <c r="G384" s="11">
        <f t="shared" si="33"/>
        <v>-5.3427865068616889</v>
      </c>
    </row>
    <row r="385" spans="5:7" x14ac:dyDescent="0.25">
      <c r="E385" s="11">
        <f t="shared" si="31"/>
        <v>-37</v>
      </c>
      <c r="F385" s="11">
        <f t="shared" si="32"/>
        <v>-5.2011600878857971</v>
      </c>
      <c r="G385" s="11">
        <f t="shared" si="33"/>
        <v>-5.2045448826988059</v>
      </c>
    </row>
    <row r="386" spans="5:7" x14ac:dyDescent="0.25">
      <c r="E386" s="11">
        <f t="shared" si="31"/>
        <v>-36</v>
      </c>
      <c r="F386" s="11">
        <f t="shared" si="32"/>
        <v>-5.0626089879525891</v>
      </c>
      <c r="G386" s="11">
        <f t="shared" si="33"/>
        <v>-5.066076580437775</v>
      </c>
    </row>
    <row r="387" spans="5:7" x14ac:dyDescent="0.25">
      <c r="E387" s="11">
        <f t="shared" si="31"/>
        <v>-35</v>
      </c>
      <c r="F387" s="11">
        <f t="shared" si="32"/>
        <v>-4.9238847423909178</v>
      </c>
      <c r="G387" s="11">
        <f t="shared" si="33"/>
        <v>-4.9274082148613809</v>
      </c>
    </row>
    <row r="388" spans="5:7" x14ac:dyDescent="0.25">
      <c r="E388" s="11">
        <f t="shared" si="31"/>
        <v>-34</v>
      </c>
      <c r="F388" s="11">
        <f t="shared" si="32"/>
        <v>-4.7850044197554684</v>
      </c>
      <c r="G388" s="11">
        <f t="shared" si="33"/>
        <v>-4.7885627909006745</v>
      </c>
    </row>
    <row r="389" spans="5:7" x14ac:dyDescent="0.25">
      <c r="E389" s="11">
        <f t="shared" si="31"/>
        <v>-33</v>
      </c>
      <c r="F389" s="11">
        <f t="shared" si="32"/>
        <v>-4.6459832552159179</v>
      </c>
      <c r="G389" s="11">
        <f t="shared" si="33"/>
        <v>-4.6495488740797528</v>
      </c>
    </row>
    <row r="390" spans="5:7" x14ac:dyDescent="0.25">
      <c r="E390" s="11">
        <f t="shared" si="31"/>
        <v>-32</v>
      </c>
      <c r="F390" s="11">
        <f t="shared" si="32"/>
        <v>-4.5068346274901874</v>
      </c>
      <c r="G390" s="11">
        <f t="shared" si="33"/>
        <v>-4.5103714200709764</v>
      </c>
    </row>
    <row r="391" spans="5:7" x14ac:dyDescent="0.25">
      <c r="E391" s="11">
        <f t="shared" si="31"/>
        <v>-31</v>
      </c>
      <c r="F391" s="11">
        <f t="shared" si="32"/>
        <v>-4.3675700487869689</v>
      </c>
      <c r="G391" s="11">
        <f t="shared" si="33"/>
        <v>-4.371035384546702</v>
      </c>
    </row>
    <row r="392" spans="5:7" x14ac:dyDescent="0.25">
      <c r="E392" s="11">
        <f t="shared" si="31"/>
        <v>-30</v>
      </c>
      <c r="F392" s="11">
        <f t="shared" si="32"/>
        <v>-4.2281991685575964</v>
      </c>
      <c r="G392" s="11">
        <f t="shared" si="33"/>
        <v>-4.2315457231792903</v>
      </c>
    </row>
    <row r="393" spans="5:7" x14ac:dyDescent="0.25">
      <c r="E393" s="11">
        <f t="shared" si="31"/>
        <v>-29</v>
      </c>
      <c r="F393" s="11">
        <f t="shared" si="32"/>
        <v>-4.0887297918724226</v>
      </c>
      <c r="G393" s="11">
        <f t="shared" si="33"/>
        <v>-4.0919073916411008</v>
      </c>
    </row>
    <row r="394" spans="5:7" x14ac:dyDescent="0.25">
      <c r="E394" s="11">
        <f t="shared" si="31"/>
        <v>-28</v>
      </c>
      <c r="F394" s="11">
        <f t="shared" si="32"/>
        <v>-3.9491679132519253</v>
      </c>
      <c r="G394" s="11">
        <f t="shared" si="33"/>
        <v>-3.9521253456044918</v>
      </c>
    </row>
    <row r="395" spans="5:7" x14ac:dyDescent="0.25">
      <c r="E395" s="11">
        <f t="shared" si="31"/>
        <v>-27</v>
      </c>
      <c r="F395" s="11">
        <f t="shared" si="32"/>
        <v>-3.8095177667979203</v>
      </c>
      <c r="G395" s="11">
        <f t="shared" si="33"/>
        <v>-3.8122045407418228</v>
      </c>
    </row>
    <row r="396" spans="5:7" x14ac:dyDescent="0.25">
      <c r="E396" s="11">
        <f t="shared" si="31"/>
        <v>-26</v>
      </c>
      <c r="F396" s="11">
        <f t="shared" si="32"/>
        <v>-3.6697818934852973</v>
      </c>
      <c r="G396" s="11">
        <f t="shared" si="33"/>
        <v>-3.6721499327254543</v>
      </c>
    </row>
    <row r="397" spans="5:7" x14ac:dyDescent="0.25">
      <c r="E397" s="11">
        <f t="shared" si="31"/>
        <v>-25</v>
      </c>
      <c r="F397" s="11">
        <f t="shared" si="32"/>
        <v>-3.5299612264898337</v>
      </c>
      <c r="G397" s="11">
        <f t="shared" si="33"/>
        <v>-3.5319664772277442</v>
      </c>
    </row>
    <row r="398" spans="5:7" x14ac:dyDescent="0.25">
      <c r="E398" s="11">
        <f t="shared" si="31"/>
        <v>-24</v>
      </c>
      <c r="F398" s="11">
        <f t="shared" si="32"/>
        <v>-3.3900551954427076</v>
      </c>
      <c r="G398" s="11">
        <f t="shared" si="33"/>
        <v>-3.3916591299210523</v>
      </c>
    </row>
    <row r="399" spans="5:7" x14ac:dyDescent="0.25">
      <c r="E399" s="11">
        <f t="shared" si="31"/>
        <v>-23</v>
      </c>
      <c r="F399" s="11">
        <f t="shared" si="32"/>
        <v>-3.2500618505174454</v>
      </c>
      <c r="G399" s="11">
        <f t="shared" si="33"/>
        <v>-3.2512328464777376</v>
      </c>
    </row>
    <row r="400" spans="5:7" x14ac:dyDescent="0.25">
      <c r="E400" s="11">
        <f t="shared" si="31"/>
        <v>-22</v>
      </c>
      <c r="F400" s="11">
        <f t="shared" si="32"/>
        <v>-3.1099780072701297</v>
      </c>
      <c r="G400" s="11">
        <f t="shared" si="33"/>
        <v>-3.1106925825701595</v>
      </c>
    </row>
    <row r="401" spans="5:7" x14ac:dyDescent="0.25">
      <c r="E401" s="11">
        <f t="shared" si="31"/>
        <v>-21</v>
      </c>
      <c r="F401" s="11">
        <f t="shared" si="32"/>
        <v>-2.9697994131687699</v>
      </c>
      <c r="G401" s="11">
        <f t="shared" si="33"/>
        <v>-2.970043293870678</v>
      </c>
    </row>
    <row r="402" spans="5:7" x14ac:dyDescent="0.25">
      <c r="E402" s="11">
        <f t="shared" si="31"/>
        <v>-20</v>
      </c>
      <c r="F402" s="11">
        <f t="shared" si="32"/>
        <v>-2.8295209367628749</v>
      </c>
      <c r="G402" s="11">
        <f t="shared" si="33"/>
        <v>-2.829289936051651</v>
      </c>
    </row>
    <row r="403" spans="5:7" x14ac:dyDescent="0.25">
      <c r="E403" s="11">
        <f t="shared" si="31"/>
        <v>-19</v>
      </c>
      <c r="F403" s="11">
        <f t="shared" si="32"/>
        <v>-2.6891367804593291</v>
      </c>
      <c r="G403" s="11">
        <f t="shared" si="33"/>
        <v>-2.688437464785439</v>
      </c>
    </row>
    <row r="404" spans="5:7" x14ac:dyDescent="0.25">
      <c r="E404" s="11">
        <f t="shared" si="31"/>
        <v>-18</v>
      </c>
      <c r="F404" s="11">
        <f t="shared" si="32"/>
        <v>-2.5486407178857644</v>
      </c>
      <c r="G404" s="11">
        <f t="shared" si="33"/>
        <v>-2.547490835744401</v>
      </c>
    </row>
    <row r="405" spans="5:7" x14ac:dyDescent="0.25">
      <c r="E405" s="11">
        <f t="shared" si="31"/>
        <v>-17</v>
      </c>
      <c r="F405" s="11">
        <f t="shared" si="32"/>
        <v>-2.4080263568377549</v>
      </c>
      <c r="G405" s="11">
        <f t="shared" si="33"/>
        <v>-2.4064550046008955</v>
      </c>
    </row>
    <row r="406" spans="5:7" x14ac:dyDescent="0.25">
      <c r="E406" s="11">
        <f t="shared" si="31"/>
        <v>-16</v>
      </c>
      <c r="F406" s="11">
        <f t="shared" si="32"/>
        <v>-2.267287428821211</v>
      </c>
      <c r="G406" s="11">
        <f t="shared" si="33"/>
        <v>-2.2653349270272822</v>
      </c>
    </row>
    <row r="407" spans="5:7" x14ac:dyDescent="0.25">
      <c r="E407" s="11">
        <f t="shared" si="31"/>
        <v>-15</v>
      </c>
      <c r="F407" s="11">
        <f t="shared" si="32"/>
        <v>-2.1264181062164798</v>
      </c>
      <c r="G407" s="11">
        <f t="shared" si="33"/>
        <v>-2.124135558695921</v>
      </c>
    </row>
    <row r="408" spans="5:7" x14ac:dyDescent="0.25">
      <c r="E408" s="11">
        <f t="shared" si="31"/>
        <v>-14</v>
      </c>
      <c r="F408" s="11">
        <f t="shared" si="32"/>
        <v>-1.9854133481057299</v>
      </c>
      <c r="G408" s="11">
        <f t="shared" si="33"/>
        <v>-1.9828618552791706</v>
      </c>
    </row>
    <row r="409" spans="5:7" x14ac:dyDescent="0.25">
      <c r="E409" s="11">
        <f t="shared" si="31"/>
        <v>-13</v>
      </c>
      <c r="F409" s="11">
        <f t="shared" si="32"/>
        <v>-1.8442692758203216</v>
      </c>
      <c r="G409" s="11">
        <f t="shared" si="33"/>
        <v>-1.8415187724493904</v>
      </c>
    </row>
    <row r="410" spans="5:7" x14ac:dyDescent="0.25">
      <c r="E410" s="11">
        <f t="shared" si="31"/>
        <v>-12</v>
      </c>
      <c r="F410" s="11">
        <f t="shared" si="32"/>
        <v>-1.7029835792799148</v>
      </c>
      <c r="G410" s="11">
        <f t="shared" si="33"/>
        <v>-1.7001112658789392</v>
      </c>
    </row>
    <row r="411" spans="5:7" x14ac:dyDescent="0.25">
      <c r="E411" s="11">
        <f t="shared" si="31"/>
        <v>-11</v>
      </c>
      <c r="F411" s="11">
        <f t="shared" si="32"/>
        <v>-1.5615559552102218</v>
      </c>
      <c r="G411" s="11">
        <f t="shared" si="33"/>
        <v>-1.558644291240177</v>
      </c>
    </row>
    <row r="412" spans="5:7" x14ac:dyDescent="0.25">
      <c r="E412" s="11">
        <f t="shared" si="31"/>
        <v>-10</v>
      </c>
      <c r="F412" s="11">
        <f t="shared" si="32"/>
        <v>-1.4199885783413562</v>
      </c>
      <c r="G412" s="11">
        <f t="shared" si="33"/>
        <v>-1.4171228042054629</v>
      </c>
    </row>
    <row r="413" spans="5:7" x14ac:dyDescent="0.25">
      <c r="E413" s="11">
        <f t="shared" si="31"/>
        <v>-9</v>
      </c>
      <c r="F413" s="11">
        <f t="shared" si="32"/>
        <v>-1.2782866067038479</v>
      </c>
      <c r="G413" s="11">
        <f t="shared" si="33"/>
        <v>-1.275551760447156</v>
      </c>
    </row>
    <row r="414" spans="5:7" x14ac:dyDescent="0.25">
      <c r="E414" s="11">
        <f t="shared" si="31"/>
        <v>-8</v>
      </c>
      <c r="F414" s="11">
        <f t="shared" si="32"/>
        <v>-1.136458722154492</v>
      </c>
      <c r="G414" s="11">
        <f t="shared" si="33"/>
        <v>-1.1339361156376155</v>
      </c>
    </row>
    <row r="415" spans="5:7" x14ac:dyDescent="0.25">
      <c r="E415" s="11">
        <f t="shared" ref="E415:E422" si="34">E208</f>
        <v>-7</v>
      </c>
      <c r="F415" s="11">
        <f t="shared" ref="F415:F422" si="35">$H$217*0+E415*$I$217+E415^2*$J$217+E415^3*$K$217+E415^4*$L$217+E415^5*$M$217+E415^6*$N$217+E415^7*$O$217+E415^8*$P$217</f>
        <v>-0.99451770727928679</v>
      </c>
      <c r="G415" s="11">
        <f t="shared" ref="G415:G422" si="36">F208</f>
        <v>-0.99228082544920082</v>
      </c>
    </row>
    <row r="416" spans="5:7" x14ac:dyDescent="0.25">
      <c r="E416" s="11">
        <f t="shared" si="34"/>
        <v>-6</v>
      </c>
      <c r="F416" s="11">
        <f t="shared" si="35"/>
        <v>-0.85248105983581479</v>
      </c>
      <c r="G416" s="11">
        <f t="shared" si="36"/>
        <v>-0.85059084555427134</v>
      </c>
    </row>
    <row r="417" spans="5:7" x14ac:dyDescent="0.25">
      <c r="E417" s="11">
        <f t="shared" si="34"/>
        <v>-5</v>
      </c>
      <c r="F417" s="11">
        <f t="shared" si="35"/>
        <v>-0.71037164591251223</v>
      </c>
      <c r="G417" s="11">
        <f t="shared" si="36"/>
        <v>-0.70887113162518611</v>
      </c>
    </row>
    <row r="418" spans="5:7" x14ac:dyDescent="0.25">
      <c r="E418" s="11">
        <f t="shared" si="34"/>
        <v>-4</v>
      </c>
      <c r="F418" s="11">
        <f t="shared" si="35"/>
        <v>-0.56821839299738108</v>
      </c>
      <c r="G418" s="11">
        <f t="shared" si="36"/>
        <v>-0.56712663933430452</v>
      </c>
    </row>
    <row r="419" spans="5:7" x14ac:dyDescent="0.25">
      <c r="E419" s="11">
        <f t="shared" si="34"/>
        <v>-3</v>
      </c>
      <c r="F419" s="11">
        <f t="shared" si="35"/>
        <v>-0.42605702416377517</v>
      </c>
      <c r="G419" s="11">
        <f t="shared" si="36"/>
        <v>-0.42536232435398585</v>
      </c>
    </row>
    <row r="420" spans="5:7" x14ac:dyDescent="0.25">
      <c r="E420" s="11">
        <f t="shared" si="34"/>
        <v>-2</v>
      </c>
      <c r="F420" s="11">
        <f t="shared" si="35"/>
        <v>-0.2839308345960016</v>
      </c>
      <c r="G420" s="11">
        <f t="shared" si="36"/>
        <v>-0.28358314235658938</v>
      </c>
    </row>
    <row r="421" spans="5:7" x14ac:dyDescent="0.25">
      <c r="E421" s="11">
        <f t="shared" si="34"/>
        <v>-1</v>
      </c>
      <c r="F421" s="11">
        <f t="shared" si="35"/>
        <v>-0.14189151169256745</v>
      </c>
      <c r="G421" s="11">
        <f t="shared" si="36"/>
        <v>-0.14179404901447432</v>
      </c>
    </row>
    <row r="422" spans="5:7" x14ac:dyDescent="0.25">
      <c r="E422" s="11">
        <f t="shared" si="34"/>
        <v>0</v>
      </c>
      <c r="F422" s="11">
        <f t="shared" si="35"/>
        <v>0</v>
      </c>
      <c r="G422" s="11">
        <f t="shared" si="36"/>
        <v>0</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O3" sqref="O3"/>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116</v>
      </c>
      <c r="N1" s="1" t="s">
        <v>39</v>
      </c>
      <c r="O1" s="3" t="s">
        <v>115</v>
      </c>
      <c r="P1" s="28" t="s">
        <v>116</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5.906E-5</v>
      </c>
      <c r="C3" s="2">
        <v>1.076E-4</v>
      </c>
      <c r="D3" s="2">
        <v>-2.9569999999999998E-4</v>
      </c>
      <c r="E3" s="2">
        <v>0</v>
      </c>
      <c r="F3" s="2">
        <v>0</v>
      </c>
      <c r="G3" s="2">
        <v>0</v>
      </c>
      <c r="H3" s="2">
        <v>1.9806686999999999E-5</v>
      </c>
      <c r="I3" s="2">
        <v>9.7742690000000008E-6</v>
      </c>
      <c r="J3" s="2">
        <v>-5.5589720999999998E-5</v>
      </c>
      <c r="K3" s="3"/>
      <c r="L3" s="3">
        <f>-B3/D3</f>
        <v>0.19972945552925264</v>
      </c>
      <c r="M3" s="3"/>
      <c r="N3" s="2">
        <f>IF('Modell einstellen'!$B$1="Voll",H3/0.35,H3/0.35*2)</f>
        <v>1.1318106857142858E-4</v>
      </c>
      <c r="O3" s="2">
        <f>IF('Modell einstellen'!$B$1="Voll",J3/0.35,J3/0.35*2)</f>
        <v>-3.1765554857142859E-4</v>
      </c>
      <c r="P3" s="3">
        <f>-N3/O3</f>
        <v>0.35630124857075646</v>
      </c>
      <c r="Q3" s="3"/>
      <c r="R3" s="3"/>
      <c r="S3" s="3"/>
      <c r="T3" s="3"/>
      <c r="U3" s="3"/>
      <c r="V3" s="3"/>
      <c r="W3" s="3"/>
    </row>
    <row r="4" spans="1:23" x14ac:dyDescent="0.25">
      <c r="A4" s="2">
        <v>1E-14</v>
      </c>
      <c r="B4" s="2">
        <v>5.8619999999999998E-5</v>
      </c>
      <c r="C4" s="2">
        <v>1.082E-4</v>
      </c>
      <c r="D4" s="2">
        <v>-2.9629999999999999E-4</v>
      </c>
      <c r="E4" s="2">
        <v>0</v>
      </c>
      <c r="F4" s="2">
        <v>0</v>
      </c>
      <c r="G4" s="2">
        <v>0</v>
      </c>
      <c r="H4" s="2">
        <v>1.9995453999999999E-5</v>
      </c>
      <c r="I4" s="2">
        <v>9.8378368000000006E-6</v>
      </c>
      <c r="J4" s="2">
        <v>-5.5924373999999998E-5</v>
      </c>
      <c r="K4" s="3"/>
      <c r="L4" s="3">
        <f t="shared" ref="L4:L33" si="0">-B4/D4</f>
        <v>0.19784002699966249</v>
      </c>
      <c r="M4" s="3"/>
      <c r="N4" s="2">
        <f>IF('Modell einstellen'!$B$1="Voll",H4/0.35,H4/0.35*2)</f>
        <v>1.1425973714285715E-4</v>
      </c>
      <c r="O4" s="2">
        <f>IF('Modell einstellen'!$B$1="Voll",J4/0.35,J4/0.35*2)</f>
        <v>-3.1956785142857146E-4</v>
      </c>
      <c r="P4" s="3">
        <f t="shared" ref="P4:P33" si="1">-N4/O4</f>
        <v>0.35754452968932648</v>
      </c>
      <c r="Q4" s="3"/>
      <c r="R4" s="3"/>
      <c r="S4" s="3"/>
      <c r="T4" s="3"/>
      <c r="U4" s="3"/>
      <c r="V4" s="3"/>
      <c r="W4" s="3"/>
    </row>
    <row r="5" spans="1:23" x14ac:dyDescent="0.25">
      <c r="A5" s="2">
        <v>1E-13</v>
      </c>
      <c r="B5" s="2">
        <v>5.7129999999999997E-5</v>
      </c>
      <c r="C5" s="2">
        <v>1.105E-4</v>
      </c>
      <c r="D5" s="2">
        <v>-2.9829999999999999E-4</v>
      </c>
      <c r="E5" s="2">
        <v>0</v>
      </c>
      <c r="F5" s="2">
        <v>0</v>
      </c>
      <c r="G5" s="2">
        <v>0</v>
      </c>
      <c r="H5" s="2">
        <v>2.0633842E-5</v>
      </c>
      <c r="I5" s="2">
        <v>1.0048222999999999E-5</v>
      </c>
      <c r="J5" s="2">
        <v>-5.7054237000000001E-5</v>
      </c>
      <c r="K5" s="3"/>
      <c r="L5" s="3">
        <f t="shared" si="0"/>
        <v>0.1915186054307744</v>
      </c>
      <c r="M5" s="3"/>
      <c r="N5" s="2">
        <f>IF('Modell einstellen'!$B$1="Voll",H5/0.35,H5/0.35*2)</f>
        <v>1.1790766857142859E-4</v>
      </c>
      <c r="O5" s="2">
        <f>IF('Modell einstellen'!$B$1="Voll",J5/0.35,J5/0.35*2)</f>
        <v>-3.2602421142857144E-4</v>
      </c>
      <c r="P5" s="3">
        <f t="shared" si="1"/>
        <v>0.36165310562298819</v>
      </c>
      <c r="Q5" s="3"/>
      <c r="R5" s="3"/>
      <c r="S5" s="3"/>
      <c r="T5" s="3"/>
      <c r="U5" s="3"/>
      <c r="V5" s="3"/>
      <c r="W5" s="3"/>
    </row>
    <row r="6" spans="1:23" x14ac:dyDescent="0.25">
      <c r="A6" s="2">
        <v>9.9999999999999998E-13</v>
      </c>
      <c r="B6" s="2">
        <v>5.6010000000000001E-5</v>
      </c>
      <c r="C6" s="2">
        <v>1.122E-4</v>
      </c>
      <c r="D6" s="2">
        <v>-2.9980000000000002E-4</v>
      </c>
      <c r="E6" s="2">
        <v>0</v>
      </c>
      <c r="F6" s="2">
        <v>0</v>
      </c>
      <c r="G6" s="2">
        <v>0</v>
      </c>
      <c r="H6" s="2">
        <v>2.1116618999999999E-5</v>
      </c>
      <c r="I6" s="2">
        <v>1.0209304999999999E-5</v>
      </c>
      <c r="J6" s="2">
        <v>-5.7907520000000002E-5</v>
      </c>
      <c r="K6" s="3"/>
      <c r="L6" s="3">
        <f t="shared" si="0"/>
        <v>0.18682454969979986</v>
      </c>
      <c r="M6" s="3"/>
      <c r="N6" s="2">
        <f>IF('Modell einstellen'!$B$1="Voll",H6/0.35,H6/0.35*2)</f>
        <v>1.2066639428571429E-4</v>
      </c>
      <c r="O6" s="2">
        <f>IF('Modell einstellen'!$B$1="Voll",J6/0.35,J6/0.35*2)</f>
        <v>-3.3090011428571432E-4</v>
      </c>
      <c r="P6" s="3">
        <f t="shared" si="1"/>
        <v>0.36466108374180073</v>
      </c>
      <c r="Q6" s="3"/>
      <c r="R6" s="3"/>
      <c r="S6" s="3"/>
      <c r="T6" s="3"/>
      <c r="U6" s="3"/>
      <c r="V6" s="3"/>
      <c r="W6" s="3"/>
    </row>
    <row r="7" spans="1:23" x14ac:dyDescent="0.25">
      <c r="A7" s="2">
        <v>9.9999999999999994E-12</v>
      </c>
      <c r="B7" s="2">
        <v>5.4809999999999999E-5</v>
      </c>
      <c r="C7" s="2">
        <v>1.139E-4</v>
      </c>
      <c r="D7" s="2">
        <v>-3.011E-4</v>
      </c>
      <c r="E7" s="2">
        <v>0</v>
      </c>
      <c r="F7" s="2">
        <v>0</v>
      </c>
      <c r="G7" s="2">
        <v>0</v>
      </c>
      <c r="H7" s="2">
        <v>2.1587054E-5</v>
      </c>
      <c r="I7" s="2">
        <v>1.036408E-5</v>
      </c>
      <c r="J7" s="2">
        <v>-5.873366E-5</v>
      </c>
      <c r="K7" s="3"/>
      <c r="L7" s="3">
        <f t="shared" si="0"/>
        <v>0.18203254732646962</v>
      </c>
      <c r="M7" s="3"/>
      <c r="N7" s="2">
        <f>IF('Modell einstellen'!$B$1="Voll",H7/0.35,H7/0.35*2)</f>
        <v>1.2335459428571428E-4</v>
      </c>
      <c r="O7" s="2">
        <f>IF('Modell einstellen'!$B$1="Voll",J7/0.35,J7/0.35*2)</f>
        <v>-3.3562091428571432E-4</v>
      </c>
      <c r="P7" s="3">
        <f t="shared" si="1"/>
        <v>0.36754144046190884</v>
      </c>
      <c r="Q7" s="3"/>
      <c r="R7" s="3"/>
      <c r="S7" s="3"/>
      <c r="T7" s="3"/>
      <c r="U7" s="3"/>
      <c r="V7" s="3"/>
      <c r="W7" s="3"/>
    </row>
    <row r="8" spans="1:23" x14ac:dyDescent="0.25">
      <c r="A8" s="2">
        <v>1E-10</v>
      </c>
      <c r="B8" s="2">
        <v>5.3270000000000003E-5</v>
      </c>
      <c r="C8" s="2">
        <v>1.158E-4</v>
      </c>
      <c r="D8" s="2">
        <v>-3.0239999999999998E-4</v>
      </c>
      <c r="E8" s="2">
        <v>0</v>
      </c>
      <c r="F8" s="2">
        <v>0</v>
      </c>
      <c r="G8" s="2">
        <v>0</v>
      </c>
      <c r="H8" s="2">
        <v>2.2124730000000001E-5</v>
      </c>
      <c r="I8" s="2">
        <v>1.0535739999999999E-5</v>
      </c>
      <c r="J8" s="2">
        <v>-5.9666770000000001E-5</v>
      </c>
      <c r="K8" s="3"/>
      <c r="L8" s="3">
        <f t="shared" si="0"/>
        <v>0.17615740740740743</v>
      </c>
      <c r="M8" s="3"/>
      <c r="N8" s="2">
        <f>IF('Modell einstellen'!$B$1="Voll",H8/0.35,H8/0.35*2)</f>
        <v>1.2642702857142859E-4</v>
      </c>
      <c r="O8" s="2">
        <f>IF('Modell einstellen'!$B$1="Voll",J8/0.35,J8/0.35*2)</f>
        <v>-3.4095297142857148E-4</v>
      </c>
      <c r="P8" s="3">
        <f t="shared" si="1"/>
        <v>0.370804888550193</v>
      </c>
      <c r="Q8" s="3"/>
      <c r="R8" s="3"/>
      <c r="S8" s="3"/>
      <c r="T8" s="3"/>
      <c r="U8" s="3"/>
      <c r="V8" s="3"/>
      <c r="W8" s="3"/>
    </row>
    <row r="9" spans="1:23" x14ac:dyDescent="0.25">
      <c r="A9" s="2">
        <v>1.0000000000000001E-9</v>
      </c>
      <c r="B9" s="2">
        <v>5.1419999999999999E-5</v>
      </c>
      <c r="C9" s="2">
        <v>1.1790000000000001E-4</v>
      </c>
      <c r="D9" s="2">
        <v>-3.0360000000000001E-4</v>
      </c>
      <c r="E9" s="2">
        <v>0</v>
      </c>
      <c r="F9" s="2">
        <v>0</v>
      </c>
      <c r="G9" s="2">
        <v>0</v>
      </c>
      <c r="H9" s="2">
        <v>2.2718249999999999E-5</v>
      </c>
      <c r="I9" s="2">
        <v>1.0720559E-5</v>
      </c>
      <c r="J9" s="2">
        <v>-6.0685908000000003E-5</v>
      </c>
      <c r="K9" s="3"/>
      <c r="L9" s="3">
        <f t="shared" si="0"/>
        <v>0.16936758893280632</v>
      </c>
      <c r="M9" s="3"/>
      <c r="N9" s="2">
        <f>IF('Modell einstellen'!$B$1="Voll",H9/0.35,H9/0.35*2)</f>
        <v>1.2981857142857142E-4</v>
      </c>
      <c r="O9" s="2">
        <f>IF('Modell einstellen'!$B$1="Voll",J9/0.35,J9/0.35*2)</f>
        <v>-3.4677661714285719E-4</v>
      </c>
      <c r="P9" s="3">
        <f t="shared" si="1"/>
        <v>0.37435791518518591</v>
      </c>
      <c r="Q9" s="3"/>
      <c r="R9" s="3"/>
      <c r="S9" s="3"/>
      <c r="T9" s="3"/>
      <c r="U9" s="3"/>
      <c r="V9" s="3"/>
      <c r="W9" s="3"/>
    </row>
    <row r="10" spans="1:23" x14ac:dyDescent="0.25">
      <c r="A10" s="2">
        <v>1E-8</v>
      </c>
      <c r="B10" s="2">
        <v>4.8959999999999999E-5</v>
      </c>
      <c r="C10" s="2">
        <v>1.2019999999999999E-4</v>
      </c>
      <c r="D10" s="2">
        <v>-3.0469999999999998E-4</v>
      </c>
      <c r="E10" s="2">
        <v>0</v>
      </c>
      <c r="F10" s="2">
        <v>0</v>
      </c>
      <c r="G10" s="2">
        <v>0</v>
      </c>
      <c r="H10" s="2">
        <v>2.3435806999999999E-5</v>
      </c>
      <c r="I10" s="2">
        <v>1.0936179E-5</v>
      </c>
      <c r="J10" s="2">
        <v>-6.1900651000000001E-5</v>
      </c>
      <c r="K10" s="3"/>
      <c r="L10" s="3">
        <f t="shared" si="0"/>
        <v>0.16068263866097801</v>
      </c>
      <c r="M10" s="3"/>
      <c r="N10" s="2">
        <f>IF('Modell einstellen'!$B$1="Voll",H10/0.35,H10/0.35*2)</f>
        <v>1.3391889714285714E-4</v>
      </c>
      <c r="O10" s="2">
        <f>IF('Modell einstellen'!$B$1="Voll",J10/0.35,J10/0.35*2)</f>
        <v>-3.5371800571428575E-4</v>
      </c>
      <c r="P10" s="3">
        <f t="shared" si="1"/>
        <v>0.37860356266689338</v>
      </c>
      <c r="Q10" s="3"/>
      <c r="R10" s="3"/>
      <c r="S10" s="3"/>
      <c r="T10" s="3"/>
      <c r="U10" s="3"/>
      <c r="V10" s="3"/>
      <c r="W10" s="3"/>
    </row>
    <row r="11" spans="1:23" x14ac:dyDescent="0.25">
      <c r="A11" s="2">
        <v>9.9999999999999995E-8</v>
      </c>
      <c r="B11" s="2">
        <v>4.6180000000000002E-5</v>
      </c>
      <c r="C11" s="2">
        <v>1.2349999999999999E-4</v>
      </c>
      <c r="D11" s="2">
        <v>-3.0650000000000002E-4</v>
      </c>
      <c r="E11" s="2">
        <v>0</v>
      </c>
      <c r="F11" s="2">
        <v>0</v>
      </c>
      <c r="G11" s="2">
        <v>0</v>
      </c>
      <c r="H11" s="2">
        <v>2.4257426E-5</v>
      </c>
      <c r="I11" s="2">
        <v>1.1206693999999999E-5</v>
      </c>
      <c r="J11" s="2">
        <v>-6.3329322000000004E-5</v>
      </c>
      <c r="K11" s="3"/>
      <c r="L11" s="3">
        <f t="shared" si="0"/>
        <v>0.15066884176182707</v>
      </c>
      <c r="M11" s="3"/>
      <c r="N11" s="2">
        <f>IF('Modell einstellen'!$B$1="Voll",H11/0.35,H11/0.35*2)</f>
        <v>1.3861386285714286E-4</v>
      </c>
      <c r="O11" s="2">
        <f>IF('Modell einstellen'!$B$1="Voll",J11/0.35,J11/0.35*2)</f>
        <v>-3.6188184000000005E-4</v>
      </c>
      <c r="P11" s="3">
        <f t="shared" si="1"/>
        <v>0.3830362497801571</v>
      </c>
      <c r="Q11" s="3"/>
      <c r="R11" s="3"/>
      <c r="S11" s="3"/>
      <c r="T11" s="3"/>
      <c r="U11" s="3"/>
      <c r="V11" s="3"/>
      <c r="W11" s="3"/>
    </row>
    <row r="12" spans="1:23" x14ac:dyDescent="0.25">
      <c r="A12" s="2">
        <v>9.9999999999999995E-7</v>
      </c>
      <c r="B12" s="2">
        <v>4.21E-5</v>
      </c>
      <c r="C12" s="2">
        <v>1.26E-4</v>
      </c>
      <c r="D12" s="2">
        <v>-3.0640000000000002E-4</v>
      </c>
      <c r="E12" s="2">
        <v>0</v>
      </c>
      <c r="F12" s="2">
        <v>0</v>
      </c>
      <c r="G12" s="2">
        <v>0</v>
      </c>
      <c r="H12" s="2">
        <v>2.5188472000000001E-5</v>
      </c>
      <c r="I12" s="2">
        <v>1.1446399E-5</v>
      </c>
      <c r="J12" s="2">
        <v>-6.4822742E-5</v>
      </c>
      <c r="K12" s="3"/>
      <c r="L12" s="3">
        <f t="shared" si="0"/>
        <v>0.13740208877284593</v>
      </c>
      <c r="M12" s="3"/>
      <c r="N12" s="2">
        <f>IF('Modell einstellen'!$B$1="Voll",H12/0.35,H12/0.35*2)</f>
        <v>1.4393412571428574E-4</v>
      </c>
      <c r="O12" s="2">
        <f>IF('Modell einstellen'!$B$1="Voll",J12/0.35,J12/0.35*2)</f>
        <v>-3.704156685714286E-4</v>
      </c>
      <c r="P12" s="3">
        <f t="shared" si="1"/>
        <v>0.3885746147548032</v>
      </c>
      <c r="Q12" s="3"/>
      <c r="R12" s="3"/>
      <c r="S12" s="3"/>
      <c r="T12" s="3"/>
      <c r="U12" s="3"/>
      <c r="V12" s="3"/>
      <c r="W12" s="3"/>
    </row>
    <row r="13" spans="1:23" x14ac:dyDescent="0.25">
      <c r="A13" s="2">
        <v>1.0000000000000001E-5</v>
      </c>
      <c r="B13" s="2">
        <v>3.8160000000000001E-5</v>
      </c>
      <c r="C13" s="2">
        <v>1.293E-4</v>
      </c>
      <c r="D13" s="2">
        <v>-3.0719999999999999E-4</v>
      </c>
      <c r="E13" s="2">
        <v>0</v>
      </c>
      <c r="F13" s="2">
        <v>0</v>
      </c>
      <c r="G13" s="2">
        <v>0</v>
      </c>
      <c r="H13" s="2">
        <v>2.6126614E-5</v>
      </c>
      <c r="I13" s="2">
        <v>1.1728173999999999E-5</v>
      </c>
      <c r="J13" s="2">
        <v>-6.6394811E-5</v>
      </c>
      <c r="K13" s="3"/>
      <c r="L13" s="3">
        <f t="shared" si="0"/>
        <v>0.12421875</v>
      </c>
      <c r="M13" s="3"/>
      <c r="N13" s="2">
        <f>IF('Modell einstellen'!$B$1="Voll",H13/0.35,H13/0.35*2)</f>
        <v>1.4929493714285714E-4</v>
      </c>
      <c r="O13" s="2">
        <f>IF('Modell einstellen'!$B$1="Voll",J13/0.35,J13/0.35*2)</f>
        <v>-3.7939892000000004E-4</v>
      </c>
      <c r="P13" s="3">
        <f t="shared" si="1"/>
        <v>0.39350385378760994</v>
      </c>
      <c r="Q13" s="3"/>
      <c r="R13" s="3"/>
      <c r="S13" s="3"/>
      <c r="T13" s="3"/>
      <c r="U13" s="3"/>
      <c r="V13" s="3"/>
      <c r="W13" s="3"/>
    </row>
    <row r="14" spans="1:23" x14ac:dyDescent="0.25">
      <c r="A14" s="2">
        <v>1E-4</v>
      </c>
      <c r="B14" s="2">
        <v>3.2929999999999998E-5</v>
      </c>
      <c r="C14" s="2">
        <v>1.3180000000000001E-4</v>
      </c>
      <c r="D14" s="2">
        <v>-3.0590000000000001E-4</v>
      </c>
      <c r="E14" s="2">
        <v>0</v>
      </c>
      <c r="F14" s="2">
        <v>0</v>
      </c>
      <c r="G14" s="2">
        <v>0</v>
      </c>
      <c r="H14" s="2">
        <v>2.7154771E-5</v>
      </c>
      <c r="I14" s="2">
        <v>1.1967990000000001E-5</v>
      </c>
      <c r="J14" s="2">
        <v>-6.7985897999999997E-5</v>
      </c>
      <c r="K14" s="3"/>
      <c r="L14" s="3">
        <f t="shared" si="0"/>
        <v>0.10764955867930695</v>
      </c>
      <c r="M14" s="3"/>
      <c r="N14" s="2">
        <f>IF('Modell einstellen'!$B$1="Voll",H14/0.35,H14/0.35*2)</f>
        <v>1.5517012E-4</v>
      </c>
      <c r="O14" s="2">
        <f>IF('Modell einstellen'!$B$1="Voll",J14/0.35,J14/0.35*2)</f>
        <v>-3.8849084571428573E-4</v>
      </c>
      <c r="P14" s="3">
        <f t="shared" si="1"/>
        <v>0.3994176998294558</v>
      </c>
      <c r="Q14" s="3"/>
      <c r="R14" s="3"/>
      <c r="S14" s="3"/>
      <c r="T14" s="3"/>
      <c r="U14" s="3"/>
      <c r="V14" s="3"/>
      <c r="W14" s="3"/>
    </row>
    <row r="15" spans="1:23" x14ac:dyDescent="0.25">
      <c r="A15" s="2">
        <v>1E-3</v>
      </c>
      <c r="B15" s="2">
        <v>2.5760000000000001E-5</v>
      </c>
      <c r="C15" s="2">
        <v>1.3630000000000001E-4</v>
      </c>
      <c r="D15" s="2">
        <v>-3.0509999999999999E-4</v>
      </c>
      <c r="E15" s="2">
        <v>0</v>
      </c>
      <c r="F15" s="2">
        <v>0</v>
      </c>
      <c r="G15" s="2">
        <v>0</v>
      </c>
      <c r="H15" s="2">
        <v>2.8573171E-5</v>
      </c>
      <c r="I15" s="2">
        <v>1.2346541E-5</v>
      </c>
      <c r="J15" s="2">
        <v>-7.0259930999999999E-5</v>
      </c>
      <c r="K15" s="3"/>
      <c r="L15" s="3">
        <f t="shared" si="0"/>
        <v>8.4431333988856119E-2</v>
      </c>
      <c r="M15" s="3"/>
      <c r="N15" s="2">
        <f>IF('Modell einstellen'!$B$1="Voll",H15/0.35,H15/0.35*2)</f>
        <v>1.6327526285714287E-4</v>
      </c>
      <c r="O15" s="2">
        <f>IF('Modell einstellen'!$B$1="Voll",J15/0.35,J15/0.35*2)</f>
        <v>-4.0148532E-4</v>
      </c>
      <c r="P15" s="3">
        <f t="shared" si="1"/>
        <v>0.40667803957849036</v>
      </c>
      <c r="Q15" s="3"/>
      <c r="R15" s="3"/>
      <c r="S15" s="3"/>
      <c r="T15" s="3"/>
      <c r="U15" s="3"/>
      <c r="V15" s="3"/>
      <c r="W15" s="3"/>
    </row>
    <row r="16" spans="1:23" x14ac:dyDescent="0.25">
      <c r="A16" s="2">
        <v>0.01</v>
      </c>
      <c r="B16" s="2">
        <v>1.5840000000000001E-5</v>
      </c>
      <c r="C16" s="2">
        <v>1.4080000000000001E-4</v>
      </c>
      <c r="D16" s="2">
        <v>-3.0180000000000002E-4</v>
      </c>
      <c r="E16" s="2">
        <v>0</v>
      </c>
      <c r="F16" s="2">
        <v>0</v>
      </c>
      <c r="G16" s="2">
        <v>0</v>
      </c>
      <c r="H16" s="2">
        <v>3.0295241999999999E-5</v>
      </c>
      <c r="I16" s="2">
        <v>1.2742461E-5</v>
      </c>
      <c r="J16" s="2">
        <v>-7.2889758000000007E-5</v>
      </c>
      <c r="K16" s="3"/>
      <c r="L16" s="3">
        <f t="shared" si="0"/>
        <v>5.2485089463220676E-2</v>
      </c>
      <c r="M16" s="3"/>
      <c r="N16" s="2">
        <f>IF('Modell einstellen'!$B$1="Voll",H16/0.35,H16/0.35*2)</f>
        <v>1.7311566857142858E-4</v>
      </c>
      <c r="O16" s="2">
        <f>IF('Modell einstellen'!$B$1="Voll",J16/0.35,J16/0.35*2)</f>
        <v>-4.165129028571429E-4</v>
      </c>
      <c r="P16" s="3">
        <f t="shared" si="1"/>
        <v>0.41563098618052757</v>
      </c>
      <c r="Q16" s="3"/>
      <c r="R16" s="3"/>
      <c r="S16" s="3"/>
      <c r="T16" s="3"/>
      <c r="U16" s="3"/>
      <c r="V16" s="3"/>
      <c r="W16" s="3"/>
    </row>
    <row r="17" spans="1:23" x14ac:dyDescent="0.25">
      <c r="A17" s="2">
        <v>0.1</v>
      </c>
      <c r="B17" s="2">
        <v>4.5109999999999997E-6</v>
      </c>
      <c r="C17" s="2">
        <v>1.45E-4</v>
      </c>
      <c r="D17" s="2">
        <v>-2.968E-4</v>
      </c>
      <c r="E17" s="2">
        <v>0</v>
      </c>
      <c r="F17" s="2">
        <v>0</v>
      </c>
      <c r="G17" s="2">
        <v>0</v>
      </c>
      <c r="H17" s="2">
        <v>3.2088775000000002E-5</v>
      </c>
      <c r="I17" s="2">
        <v>1.3120883E-5</v>
      </c>
      <c r="J17" s="2">
        <v>-7.5550995999999998E-5</v>
      </c>
      <c r="K17" s="3"/>
      <c r="L17" s="3">
        <f t="shared" si="0"/>
        <v>1.5198787061994607E-2</v>
      </c>
      <c r="M17" s="3"/>
      <c r="N17" s="2">
        <f>IF('Modell einstellen'!$B$1="Voll",H17/0.35,H17/0.35*2)</f>
        <v>1.833644285714286E-4</v>
      </c>
      <c r="O17" s="2">
        <f>IF('Modell einstellen'!$B$1="Voll",J17/0.35,J17/0.35*2)</f>
        <v>-4.3171997714285714E-4</v>
      </c>
      <c r="P17" s="3">
        <f t="shared" si="1"/>
        <v>0.42473000620666873</v>
      </c>
      <c r="Q17" s="3"/>
      <c r="R17" s="3"/>
      <c r="S17" s="3"/>
      <c r="T17" s="3"/>
      <c r="U17" s="3"/>
      <c r="V17" s="3"/>
      <c r="W17" s="3"/>
    </row>
    <row r="18" spans="1:23" x14ac:dyDescent="0.25">
      <c r="A18" s="2">
        <v>1</v>
      </c>
      <c r="B18" s="2">
        <v>-6.2469999999999997E-6</v>
      </c>
      <c r="C18" s="2">
        <v>1.485E-4</v>
      </c>
      <c r="D18" s="2">
        <v>-2.9119999999999998E-4</v>
      </c>
      <c r="E18" s="2">
        <v>0</v>
      </c>
      <c r="F18" s="2">
        <v>0</v>
      </c>
      <c r="G18" s="2">
        <v>0</v>
      </c>
      <c r="H18" s="2">
        <v>3.3672035999999997E-5</v>
      </c>
      <c r="I18" s="2">
        <v>1.3429962E-5</v>
      </c>
      <c r="J18" s="2">
        <v>-7.7842737E-5</v>
      </c>
      <c r="K18" s="3"/>
      <c r="L18" s="3">
        <f t="shared" si="0"/>
        <v>-2.145260989010989E-2</v>
      </c>
      <c r="M18" s="3"/>
      <c r="N18" s="2">
        <f>IF('Modell einstellen'!$B$1="Voll",H18/0.35,H18/0.35*2)</f>
        <v>1.9241163428571428E-4</v>
      </c>
      <c r="O18" s="2">
        <f>IF('Modell einstellen'!$B$1="Voll",J18/0.35,J18/0.35*2)</f>
        <v>-4.4481564000000003E-4</v>
      </c>
      <c r="P18" s="3">
        <f t="shared" si="1"/>
        <v>0.43256490326130231</v>
      </c>
      <c r="Q18" s="3"/>
      <c r="R18" s="3"/>
      <c r="S18" s="3"/>
      <c r="T18" s="3"/>
      <c r="U18" s="3"/>
      <c r="V18" s="3"/>
      <c r="W18" s="3"/>
    </row>
    <row r="19" spans="1:23" x14ac:dyDescent="0.25">
      <c r="A19" s="2">
        <v>10</v>
      </c>
      <c r="B19" s="2">
        <v>-1.9040000000000001E-5</v>
      </c>
      <c r="C19" s="2">
        <v>1.5220000000000001E-4</v>
      </c>
      <c r="D19" s="2">
        <v>-2.8390000000000002E-4</v>
      </c>
      <c r="E19" s="2">
        <v>0</v>
      </c>
      <c r="F19" s="2">
        <v>0</v>
      </c>
      <c r="G19" s="2">
        <v>0</v>
      </c>
      <c r="H19" s="2">
        <v>3.5455837999999997E-5</v>
      </c>
      <c r="I19" s="2">
        <v>1.3754799999999999E-5</v>
      </c>
      <c r="J19" s="2">
        <v>-8.0371351999999996E-5</v>
      </c>
      <c r="K19" s="3"/>
      <c r="L19" s="3">
        <f t="shared" si="0"/>
        <v>-6.706586826347305E-2</v>
      </c>
      <c r="M19" s="3"/>
      <c r="N19" s="2">
        <f>IF('Modell einstellen'!$B$1="Voll",H19/0.35,H19/0.35*2)</f>
        <v>2.0260478857142856E-4</v>
      </c>
      <c r="O19" s="2">
        <f>IF('Modell einstellen'!$B$1="Voll",J19/0.35,J19/0.35*2)</f>
        <v>-4.5926486857142857E-4</v>
      </c>
      <c r="P19" s="3">
        <f t="shared" si="1"/>
        <v>0.44115019988714382</v>
      </c>
      <c r="Q19" s="3"/>
      <c r="R19" s="3"/>
      <c r="S19" s="3"/>
      <c r="T19" s="3"/>
      <c r="U19" s="3"/>
      <c r="V19" s="3"/>
      <c r="W19" s="3"/>
    </row>
    <row r="20" spans="1:23" x14ac:dyDescent="0.25">
      <c r="A20" s="2">
        <v>100</v>
      </c>
      <c r="B20" s="2">
        <v>-3.3359999999999999E-5</v>
      </c>
      <c r="C20" s="2">
        <v>1.5579999999999999E-4</v>
      </c>
      <c r="D20" s="2">
        <v>-2.7490000000000001E-4</v>
      </c>
      <c r="E20" s="2">
        <v>0</v>
      </c>
      <c r="F20" s="2">
        <v>0</v>
      </c>
      <c r="G20" s="2">
        <v>0</v>
      </c>
      <c r="H20" s="2">
        <v>3.7344146E-5</v>
      </c>
      <c r="I20" s="2">
        <v>1.4073248000000001E-5</v>
      </c>
      <c r="J20" s="2">
        <v>-8.2989255999999995E-5</v>
      </c>
      <c r="K20" s="3"/>
      <c r="L20" s="3">
        <f t="shared" si="0"/>
        <v>-0.12135321935249181</v>
      </c>
      <c r="M20" s="3"/>
      <c r="N20" s="2">
        <f>IF('Modell einstellen'!$B$1="Voll",H20/0.35,H20/0.35*2)</f>
        <v>2.1339512000000002E-4</v>
      </c>
      <c r="O20" s="2">
        <f>IF('Modell einstellen'!$B$1="Voll",J20/0.35,J20/0.35*2)</f>
        <v>-4.7422432E-4</v>
      </c>
      <c r="P20" s="3">
        <f t="shared" si="1"/>
        <v>0.44998771889219014</v>
      </c>
      <c r="Q20" s="3"/>
      <c r="R20" s="3"/>
      <c r="S20" s="3"/>
      <c r="T20" s="3"/>
      <c r="U20" s="3"/>
      <c r="V20" s="3"/>
      <c r="W20" s="3"/>
    </row>
    <row r="21" spans="1:23" x14ac:dyDescent="0.25">
      <c r="A21" s="2">
        <v>1000</v>
      </c>
      <c r="B21" s="2">
        <v>-5.0800000000000002E-5</v>
      </c>
      <c r="C21" s="2">
        <v>1.5980000000000001E-4</v>
      </c>
      <c r="D21" s="2">
        <v>-2.633E-4</v>
      </c>
      <c r="E21" s="2">
        <v>0</v>
      </c>
      <c r="F21" s="2">
        <v>0</v>
      </c>
      <c r="G21" s="2">
        <v>0</v>
      </c>
      <c r="H21" s="2">
        <v>3.9560330999999999E-5</v>
      </c>
      <c r="I21" s="2">
        <v>1.442548E-5</v>
      </c>
      <c r="J21" s="2">
        <v>-8.6007707999999995E-5</v>
      </c>
      <c r="K21" s="3"/>
      <c r="L21" s="3">
        <f t="shared" si="0"/>
        <v>-0.19293581466008355</v>
      </c>
      <c r="M21" s="3"/>
      <c r="N21" s="2">
        <f>IF('Modell einstellen'!$B$1="Voll",H21/0.35,H21/0.35*2)</f>
        <v>2.2605903428571429E-4</v>
      </c>
      <c r="O21" s="2">
        <f>IF('Modell einstellen'!$B$1="Voll",J21/0.35,J21/0.35*2)</f>
        <v>-4.9147261714285718E-4</v>
      </c>
      <c r="P21" s="3">
        <f t="shared" si="1"/>
        <v>0.45996262334999088</v>
      </c>
      <c r="Q21" s="3"/>
      <c r="R21" s="3"/>
      <c r="S21" s="3"/>
      <c r="T21" s="3"/>
      <c r="U21" s="3"/>
      <c r="V21" s="3"/>
      <c r="W21" s="3"/>
    </row>
    <row r="22" spans="1:23" x14ac:dyDescent="0.25">
      <c r="A22" s="2">
        <v>10000</v>
      </c>
      <c r="B22" s="2">
        <v>-6.7840000000000001E-5</v>
      </c>
      <c r="C22" s="2">
        <v>1.6430000000000001E-4</v>
      </c>
      <c r="D22" s="2">
        <v>-2.522E-4</v>
      </c>
      <c r="E22" s="2">
        <v>0</v>
      </c>
      <c r="F22" s="2">
        <v>0</v>
      </c>
      <c r="G22" s="2">
        <v>0</v>
      </c>
      <c r="H22" s="2">
        <v>4.1974984E-5</v>
      </c>
      <c r="I22" s="2">
        <v>1.4872725000000001E-5</v>
      </c>
      <c r="J22" s="2">
        <v>-8.9390867999999997E-5</v>
      </c>
      <c r="K22" s="3"/>
      <c r="L22" s="3">
        <f t="shared" si="0"/>
        <v>-0.26899286280729579</v>
      </c>
      <c r="M22" s="3"/>
      <c r="N22" s="2">
        <f>IF('Modell einstellen'!$B$1="Voll",H22/0.35,H22/0.35*2)</f>
        <v>2.3985705142857145E-4</v>
      </c>
      <c r="O22" s="2">
        <f>IF('Modell einstellen'!$B$1="Voll",J22/0.35,J22/0.35*2)</f>
        <v>-5.1080495999999997E-4</v>
      </c>
      <c r="P22" s="3">
        <f t="shared" si="1"/>
        <v>0.46956680183483623</v>
      </c>
      <c r="Q22" s="3"/>
      <c r="R22" s="3"/>
      <c r="S22" s="3"/>
      <c r="T22" s="3"/>
      <c r="U22" s="3"/>
      <c r="V22" s="3"/>
      <c r="W22" s="3"/>
    </row>
    <row r="23" spans="1:23" x14ac:dyDescent="0.25">
      <c r="A23" s="2">
        <v>100000</v>
      </c>
      <c r="B23" s="2">
        <v>-7.6359999999999994E-5</v>
      </c>
      <c r="C23" s="2">
        <v>1.7550000000000001E-4</v>
      </c>
      <c r="D23" s="2">
        <v>-2.5520000000000002E-4</v>
      </c>
      <c r="E23" s="2">
        <v>0</v>
      </c>
      <c r="F23" s="2">
        <v>0</v>
      </c>
      <c r="G23" s="2">
        <v>0</v>
      </c>
      <c r="H23" s="2">
        <v>4.6306103999999998E-5</v>
      </c>
      <c r="I23" s="2">
        <v>1.6369997999999999E-5</v>
      </c>
      <c r="J23" s="2">
        <v>-9.6664837999999994E-5</v>
      </c>
      <c r="K23" s="3"/>
      <c r="L23" s="3">
        <f t="shared" si="0"/>
        <v>-0.29921630094043883</v>
      </c>
      <c r="M23" s="3"/>
      <c r="N23" s="2">
        <f>IF('Modell einstellen'!$B$1="Voll",H23/0.35,H23/0.35*2)</f>
        <v>2.6460630857142858E-4</v>
      </c>
      <c r="O23" s="2">
        <f>IF('Modell einstellen'!$B$1="Voll",J23/0.35,J23/0.35*2)</f>
        <v>-5.5237050285714281E-4</v>
      </c>
      <c r="P23" s="3">
        <f t="shared" si="1"/>
        <v>0.47903772414122292</v>
      </c>
      <c r="Q23" s="3"/>
      <c r="R23" s="3"/>
      <c r="S23" s="3"/>
      <c r="T23" s="3"/>
      <c r="U23" s="3"/>
      <c r="V23" s="3"/>
      <c r="W23" s="3"/>
    </row>
    <row r="24" spans="1:23" x14ac:dyDescent="0.25">
      <c r="A24" s="2">
        <v>1000000</v>
      </c>
      <c r="B24" s="2">
        <v>-2.565E-5</v>
      </c>
      <c r="C24" s="2">
        <v>2.0450000000000001E-4</v>
      </c>
      <c r="D24" s="2">
        <v>-3.2860000000000002E-4</v>
      </c>
      <c r="E24" s="2">
        <v>0</v>
      </c>
      <c r="F24" s="2">
        <v>0</v>
      </c>
      <c r="G24" s="2">
        <v>0</v>
      </c>
      <c r="H24" s="2">
        <v>5.4567519000000001E-5</v>
      </c>
      <c r="I24" s="2">
        <v>2.1369020999999999E-5</v>
      </c>
      <c r="J24" s="2">
        <v>-1.1435880999999999E-4</v>
      </c>
      <c r="K24" s="3"/>
      <c r="L24" s="3">
        <f t="shared" si="0"/>
        <v>-7.8058429701765061E-2</v>
      </c>
      <c r="M24" s="3"/>
      <c r="N24" s="2">
        <f>IF('Modell einstellen'!$B$1="Voll",H24/0.35,H24/0.35*2)</f>
        <v>3.1181439428571431E-4</v>
      </c>
      <c r="O24" s="2">
        <f>IF('Modell einstellen'!$B$1="Voll",J24/0.35,J24/0.35*2)</f>
        <v>-6.5347891428571428E-4</v>
      </c>
      <c r="P24" s="3">
        <f t="shared" si="1"/>
        <v>0.47716060529136328</v>
      </c>
      <c r="Q24" s="3"/>
      <c r="R24" s="3"/>
      <c r="S24" s="3"/>
      <c r="T24" s="3"/>
      <c r="U24" s="3"/>
      <c r="V24" s="3"/>
      <c r="W24" s="3"/>
    </row>
    <row r="25" spans="1:23" x14ac:dyDescent="0.25">
      <c r="A25" s="2">
        <v>10000000</v>
      </c>
      <c r="B25" s="2">
        <v>8.3570000000000001E-5</v>
      </c>
      <c r="C25" s="2">
        <v>2.5720000000000002E-4</v>
      </c>
      <c r="D25" s="2">
        <v>-4.7869999999999998E-4</v>
      </c>
      <c r="E25" s="2">
        <v>0</v>
      </c>
      <c r="F25" s="2">
        <v>0</v>
      </c>
      <c r="G25" s="2">
        <v>0</v>
      </c>
      <c r="H25" s="2">
        <v>6.7631170999999998E-5</v>
      </c>
      <c r="I25" s="2">
        <v>3.0813545000000002E-5</v>
      </c>
      <c r="J25" s="2">
        <v>-1.45241E-4</v>
      </c>
      <c r="K25" s="3"/>
      <c r="L25" s="3">
        <f t="shared" si="0"/>
        <v>0.17457697931898894</v>
      </c>
      <c r="M25" s="3"/>
      <c r="N25" s="2">
        <f>IF('Modell einstellen'!$B$1="Voll",H25/0.35,H25/0.35*2)</f>
        <v>3.8646383428571427E-4</v>
      </c>
      <c r="O25" s="2">
        <f>IF('Modell einstellen'!$B$1="Voll",J25/0.35,J25/0.35*2)</f>
        <v>-8.2994857142857151E-4</v>
      </c>
      <c r="P25" s="3">
        <f t="shared" si="1"/>
        <v>0.46564792999221977</v>
      </c>
      <c r="Q25" s="3"/>
      <c r="R25" s="3"/>
      <c r="S25" s="3"/>
      <c r="T25" s="3"/>
      <c r="U25" s="3"/>
      <c r="V25" s="3"/>
      <c r="W25" s="3"/>
    </row>
    <row r="26" spans="1:23" x14ac:dyDescent="0.25">
      <c r="A26" s="2">
        <v>100000000</v>
      </c>
      <c r="B26" s="2">
        <v>2.1240000000000001E-4</v>
      </c>
      <c r="C26" s="2">
        <v>3.2949999999999999E-4</v>
      </c>
      <c r="D26" s="2">
        <v>-6.6810000000000003E-4</v>
      </c>
      <c r="E26" s="2">
        <v>0</v>
      </c>
      <c r="F26" s="2">
        <v>0</v>
      </c>
      <c r="G26" s="2">
        <v>0</v>
      </c>
      <c r="H26" s="2">
        <v>8.4053103999999994E-5</v>
      </c>
      <c r="I26" s="2">
        <v>4.3394313999999997E-5</v>
      </c>
      <c r="J26" s="2">
        <v>-1.8558577000000001E-4</v>
      </c>
      <c r="K26" s="3"/>
      <c r="L26" s="3">
        <f t="shared" si="0"/>
        <v>0.31791647956892682</v>
      </c>
      <c r="M26" s="3"/>
      <c r="N26" s="2">
        <f>IF('Modell einstellen'!$B$1="Voll",H26/0.35,H26/0.35*2)</f>
        <v>4.803034514285714E-4</v>
      </c>
      <c r="O26" s="2">
        <f>IF('Modell einstellen'!$B$1="Voll",J26/0.35,J26/0.35*2)</f>
        <v>-1.0604901142857144E-3</v>
      </c>
      <c r="P26" s="3">
        <f t="shared" si="1"/>
        <v>0.45290705208702148</v>
      </c>
      <c r="Q26" s="3"/>
      <c r="R26" s="3"/>
      <c r="S26" s="3"/>
      <c r="T26" s="3"/>
      <c r="U26" s="3"/>
      <c r="V26" s="3"/>
      <c r="W26" s="3"/>
    </row>
    <row r="27" spans="1:23" x14ac:dyDescent="0.25">
      <c r="A27" s="2">
        <v>1000000000</v>
      </c>
      <c r="B27" s="2">
        <v>3.3520000000000002E-4</v>
      </c>
      <c r="C27" s="2">
        <v>4.261E-4</v>
      </c>
      <c r="D27" s="2">
        <v>-8.7830000000000004E-4</v>
      </c>
      <c r="E27" s="2">
        <v>0</v>
      </c>
      <c r="F27" s="2">
        <v>0</v>
      </c>
      <c r="G27" s="2">
        <v>0</v>
      </c>
      <c r="H27" s="2">
        <v>1.0549494E-4</v>
      </c>
      <c r="I27" s="2">
        <v>5.9769967000000002E-5</v>
      </c>
      <c r="J27" s="2">
        <v>-2.3846206E-4</v>
      </c>
      <c r="K27" s="3"/>
      <c r="L27" s="3">
        <f t="shared" si="0"/>
        <v>0.38164636229078902</v>
      </c>
      <c r="M27" s="3"/>
      <c r="N27" s="2">
        <f>IF('Modell einstellen'!$B$1="Voll",H27/0.35,H27/0.35*2)</f>
        <v>6.0282822857142863E-4</v>
      </c>
      <c r="O27" s="2">
        <f>IF('Modell einstellen'!$B$1="Voll",J27/0.35,J27/0.35*2)</f>
        <v>-1.3626403428571429E-3</v>
      </c>
      <c r="P27" s="3">
        <f t="shared" si="1"/>
        <v>0.44239716791845213</v>
      </c>
      <c r="Q27" s="3"/>
      <c r="R27" s="3"/>
      <c r="S27" s="3"/>
      <c r="T27" s="3"/>
      <c r="U27" s="3"/>
      <c r="V27" s="3"/>
      <c r="W27" s="3"/>
    </row>
    <row r="28" spans="1:23" x14ac:dyDescent="0.25">
      <c r="A28" s="2">
        <v>10000000000</v>
      </c>
      <c r="B28" s="2">
        <v>4.4799999999999999E-4</v>
      </c>
      <c r="C28" s="2">
        <v>5.6450000000000001E-4</v>
      </c>
      <c r="D28" s="2">
        <v>-1.122E-3</v>
      </c>
      <c r="E28" s="2">
        <v>0</v>
      </c>
      <c r="F28" s="2">
        <v>0</v>
      </c>
      <c r="G28" s="2">
        <v>0</v>
      </c>
      <c r="H28" s="2">
        <v>1.3578654999999999E-4</v>
      </c>
      <c r="I28" s="2">
        <v>8.3304609000000007E-5</v>
      </c>
      <c r="J28" s="2">
        <v>-3.1418534000000003E-4</v>
      </c>
      <c r="K28" s="3"/>
      <c r="L28" s="3">
        <f t="shared" si="0"/>
        <v>0.39928698752228164</v>
      </c>
      <c r="M28" s="3"/>
      <c r="N28" s="2">
        <f>IF('Modell einstellen'!$B$1="Voll",H28/0.35,H28/0.35*2)</f>
        <v>7.7592314285714287E-4</v>
      </c>
      <c r="O28" s="2">
        <f>IF('Modell einstellen'!$B$1="Voll",J28/0.35,J28/0.35*2)</f>
        <v>-1.7953448000000002E-3</v>
      </c>
      <c r="P28" s="3">
        <f t="shared" si="1"/>
        <v>0.43218614210325657</v>
      </c>
      <c r="Q28" s="3"/>
      <c r="R28" s="3"/>
      <c r="S28" s="3"/>
      <c r="T28" s="3"/>
      <c r="U28" s="3"/>
      <c r="V28" s="3"/>
      <c r="W28" s="3"/>
    </row>
    <row r="29" spans="1:23" x14ac:dyDescent="0.25">
      <c r="A29" s="2">
        <v>100000000000</v>
      </c>
      <c r="B29" s="2">
        <v>5.5210000000000003E-4</v>
      </c>
      <c r="C29" s="2">
        <v>7.9420000000000001E-4</v>
      </c>
      <c r="D29" s="2">
        <v>-1.449E-3</v>
      </c>
      <c r="E29" s="2">
        <v>0</v>
      </c>
      <c r="F29" s="2">
        <v>0</v>
      </c>
      <c r="G29" s="2">
        <v>0</v>
      </c>
      <c r="H29" s="2">
        <v>1.8564690000000001E-4</v>
      </c>
      <c r="I29" s="2">
        <v>1.2298754999999999E-4</v>
      </c>
      <c r="J29" s="2">
        <v>-4.4076776E-4</v>
      </c>
      <c r="K29" s="3"/>
      <c r="L29" s="3">
        <f t="shared" si="0"/>
        <v>0.38102139406487234</v>
      </c>
      <c r="M29" s="3"/>
      <c r="N29" s="2">
        <f>IF('Modell einstellen'!$B$1="Voll",H29/0.35,H29/0.35*2)</f>
        <v>1.0608394285714286E-3</v>
      </c>
      <c r="O29" s="2">
        <f>IF('Modell einstellen'!$B$1="Voll",J29/0.35,J29/0.35*2)</f>
        <v>-2.5186729142857144E-3</v>
      </c>
      <c r="P29" s="3">
        <f t="shared" si="1"/>
        <v>0.42118983475560917</v>
      </c>
      <c r="Q29" s="3"/>
      <c r="R29" s="3"/>
      <c r="S29" s="3"/>
      <c r="T29" s="3"/>
      <c r="U29" s="3"/>
      <c r="V29" s="3"/>
      <c r="W29" s="3"/>
    </row>
    <row r="30" spans="1:23" x14ac:dyDescent="0.25">
      <c r="A30" s="2">
        <v>1000000000000</v>
      </c>
      <c r="B30" s="2">
        <v>6.6399999999999999E-4</v>
      </c>
      <c r="C30" s="2">
        <v>1.139E-3</v>
      </c>
      <c r="D30" s="2">
        <v>-1.8990000000000001E-3</v>
      </c>
      <c r="E30" s="2">
        <v>0</v>
      </c>
      <c r="F30" s="2">
        <v>0</v>
      </c>
      <c r="G30" s="2">
        <v>0</v>
      </c>
      <c r="H30" s="2">
        <v>2.5920049000000001E-4</v>
      </c>
      <c r="I30" s="2">
        <v>1.8383363999999999E-4</v>
      </c>
      <c r="J30" s="2">
        <v>-6.3172369999999996E-4</v>
      </c>
      <c r="K30" s="3"/>
      <c r="L30" s="3">
        <f t="shared" si="0"/>
        <v>0.34965771458662454</v>
      </c>
      <c r="M30" s="3"/>
      <c r="N30" s="2">
        <f>IF('Modell einstellen'!$B$1="Voll",H30/0.35,H30/0.35*2)</f>
        <v>1.4811456571428572E-3</v>
      </c>
      <c r="O30" s="2">
        <f>IF('Modell einstellen'!$B$1="Voll",J30/0.35,J30/0.35*2)</f>
        <v>-3.6098497142857144E-3</v>
      </c>
      <c r="P30" s="3">
        <f t="shared" si="1"/>
        <v>0.41030673694844755</v>
      </c>
      <c r="Q30" s="3"/>
      <c r="R30" s="3"/>
      <c r="S30" s="3"/>
      <c r="T30" s="3"/>
      <c r="U30" s="3"/>
      <c r="V30" s="3"/>
      <c r="W30" s="3"/>
    </row>
    <row r="31" spans="1:23" x14ac:dyDescent="0.25">
      <c r="A31" s="2">
        <v>10000000000000</v>
      </c>
      <c r="B31" s="2">
        <v>8.0829999999999997E-4</v>
      </c>
      <c r="C31" s="2">
        <v>1.6280000000000001E-3</v>
      </c>
      <c r="D31" s="2">
        <v>-2.5249999999999999E-3</v>
      </c>
      <c r="E31" s="2">
        <v>0</v>
      </c>
      <c r="F31" s="2">
        <v>0</v>
      </c>
      <c r="G31" s="2">
        <v>0</v>
      </c>
      <c r="H31" s="2">
        <v>3.6388220000000001E-4</v>
      </c>
      <c r="I31" s="2">
        <v>2.7201653999999999E-4</v>
      </c>
      <c r="J31" s="2">
        <v>-9.0600939000000001E-4</v>
      </c>
      <c r="K31" s="3"/>
      <c r="L31" s="3">
        <f t="shared" si="0"/>
        <v>0.32011881188118813</v>
      </c>
      <c r="M31" s="3"/>
      <c r="N31" s="2">
        <f>IF('Modell einstellen'!$B$1="Voll",H31/0.35,H31/0.35*2)</f>
        <v>2.0793268571428574E-3</v>
      </c>
      <c r="O31" s="2">
        <f>IF('Modell einstellen'!$B$1="Voll",J31/0.35,J31/0.35*2)</f>
        <v>-5.1771965142857149E-3</v>
      </c>
      <c r="P31" s="3">
        <f t="shared" si="1"/>
        <v>0.40163181973202289</v>
      </c>
      <c r="Q31" s="3"/>
      <c r="R31" s="3"/>
      <c r="S31" s="3"/>
      <c r="T31" s="3"/>
      <c r="U31" s="3"/>
      <c r="V31" s="3"/>
      <c r="W31" s="3"/>
    </row>
    <row r="32" spans="1:23" x14ac:dyDescent="0.25">
      <c r="A32" s="2">
        <v>100000000000000</v>
      </c>
      <c r="B32" s="2">
        <v>1.0089999999999999E-3</v>
      </c>
      <c r="C32" s="2">
        <v>2.1090000000000002E-3</v>
      </c>
      <c r="D32" s="2">
        <v>-3.2009999999999999E-3</v>
      </c>
      <c r="E32" s="2">
        <v>0</v>
      </c>
      <c r="F32" s="2">
        <v>0</v>
      </c>
      <c r="G32" s="2">
        <v>0</v>
      </c>
      <c r="H32" s="2">
        <v>4.6090551999999999E-4</v>
      </c>
      <c r="I32" s="2">
        <v>3.5832810000000002E-4</v>
      </c>
      <c r="J32" s="2">
        <v>-1.1684054999999999E-3</v>
      </c>
      <c r="K32" s="3"/>
      <c r="L32" s="3">
        <f t="shared" si="0"/>
        <v>0.31521399562636676</v>
      </c>
      <c r="M32" s="3"/>
      <c r="N32" s="2">
        <f>IF('Modell einstellen'!$B$1="Voll",H32/0.35,H32/0.35*2)</f>
        <v>2.6337458285714288E-3</v>
      </c>
      <c r="O32" s="2">
        <f>IF('Modell einstellen'!$B$1="Voll",J32/0.35,J32/0.35*2)</f>
        <v>-6.6766028571428569E-3</v>
      </c>
      <c r="P32" s="3">
        <f t="shared" si="1"/>
        <v>0.39447393905626088</v>
      </c>
      <c r="Q32" s="3"/>
      <c r="R32" s="3"/>
      <c r="S32" s="3"/>
      <c r="T32" s="3"/>
      <c r="U32" s="3"/>
      <c r="V32" s="3"/>
      <c r="W32" s="3"/>
    </row>
    <row r="33" spans="1:23" x14ac:dyDescent="0.25">
      <c r="A33" s="2">
        <v>1000000000000000</v>
      </c>
      <c r="B33" s="2">
        <v>1.2210000000000001E-3</v>
      </c>
      <c r="C33" s="2">
        <v>2.526E-3</v>
      </c>
      <c r="D33" s="2">
        <v>-3.8270000000000001E-3</v>
      </c>
      <c r="E33" s="2">
        <v>0</v>
      </c>
      <c r="F33" s="2">
        <v>0</v>
      </c>
      <c r="G33" s="2">
        <v>0</v>
      </c>
      <c r="H33" s="2">
        <v>5.4235587E-4</v>
      </c>
      <c r="I33" s="2">
        <v>4.327736E-4</v>
      </c>
      <c r="J33" s="2">
        <v>-1.3920287E-3</v>
      </c>
      <c r="K33" s="3"/>
      <c r="L33" s="3">
        <f t="shared" si="0"/>
        <v>0.31904886333943039</v>
      </c>
      <c r="M33" s="3"/>
      <c r="N33" s="2">
        <f>IF('Modell einstellen'!$B$1="Voll",H33/0.35,H33/0.35*2)</f>
        <v>3.0991764000000001E-3</v>
      </c>
      <c r="O33" s="2">
        <f>IF('Modell einstellen'!$B$1="Voll",J33/0.35,J33/0.35*2)</f>
        <v>-7.9544497142857145E-3</v>
      </c>
      <c r="P33" s="3">
        <f t="shared" si="1"/>
        <v>0.38961543680816352</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O3" sqref="O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6.2100000000000005E-5</v>
      </c>
      <c r="C3" s="3">
        <v>1.0959999999999999E-4</v>
      </c>
      <c r="D3" s="3">
        <v>-3.0069999999999999E-4</v>
      </c>
      <c r="E3" s="3">
        <v>0</v>
      </c>
      <c r="F3" s="3">
        <v>0</v>
      </c>
      <c r="G3" s="3">
        <v>0</v>
      </c>
      <c r="H3" s="3">
        <v>2.0301824000000002E-5</v>
      </c>
      <c r="I3" s="3">
        <v>1.0020302E-5</v>
      </c>
      <c r="J3" s="3">
        <v>-5.6673799999999999E-5</v>
      </c>
      <c r="L3" s="3">
        <f>-B3/D3</f>
        <v>0.20651812437645498</v>
      </c>
      <c r="M3" s="3"/>
      <c r="N3" s="2">
        <f>IF('Modell einstellen'!$B$1="Voll",H3/0.35,H3/0.35*2)</f>
        <v>1.1601042285714288E-4</v>
      </c>
      <c r="O3" s="2">
        <f>IF('Modell einstellen'!$B$1="Voll",J3/0.35,J3/0.35*2)</f>
        <v>-3.2385028571428571E-4</v>
      </c>
      <c r="P3" s="3">
        <f>-N3/O3</f>
        <v>0.35822238847580368</v>
      </c>
    </row>
    <row r="4" spans="1:16" x14ac:dyDescent="0.25">
      <c r="A4" s="3">
        <v>1E-14</v>
      </c>
      <c r="B4" s="3">
        <v>6.0340000000000002E-5</v>
      </c>
      <c r="C4" s="3">
        <v>1.121E-4</v>
      </c>
      <c r="D4" s="3">
        <v>-3.0289999999999999E-4</v>
      </c>
      <c r="E4" s="3">
        <v>0</v>
      </c>
      <c r="F4" s="3">
        <v>0</v>
      </c>
      <c r="G4" s="3">
        <v>0</v>
      </c>
      <c r="H4" s="3">
        <v>2.1051953999999999E-5</v>
      </c>
      <c r="I4" s="3">
        <v>1.0269155E-5</v>
      </c>
      <c r="J4" s="3">
        <v>-5.7998787999999998E-5</v>
      </c>
      <c r="L4" s="3">
        <f t="shared" ref="L4:L33" si="0">-B4/D4</f>
        <v>0.19920765929349621</v>
      </c>
      <c r="M4" s="3"/>
      <c r="N4" s="2">
        <f>IF('Modell einstellen'!$B$1="Voll",H4/0.35,H4/0.35*2)</f>
        <v>1.2029688E-4</v>
      </c>
      <c r="O4" s="2">
        <f>IF('Modell einstellen'!$B$1="Voll",J4/0.35,J4/0.35*2)</f>
        <v>-3.3142164571428574E-4</v>
      </c>
      <c r="P4" s="3">
        <f t="shared" ref="P4:P33" si="1">-N4/O4</f>
        <v>0.36297230900756061</v>
      </c>
    </row>
    <row r="5" spans="1:16" x14ac:dyDescent="0.25">
      <c r="A5" s="3">
        <v>1E-13</v>
      </c>
      <c r="B5" s="3">
        <v>5.931E-5</v>
      </c>
      <c r="C5" s="3">
        <v>1.139E-4</v>
      </c>
      <c r="D5" s="3">
        <v>-3.0449999999999997E-4</v>
      </c>
      <c r="E5" s="3">
        <v>0</v>
      </c>
      <c r="F5" s="3">
        <v>0</v>
      </c>
      <c r="G5" s="3">
        <v>0</v>
      </c>
      <c r="H5" s="3">
        <v>2.1531716999999999E-5</v>
      </c>
      <c r="I5" s="3">
        <v>1.0431962E-5</v>
      </c>
      <c r="J5" s="3">
        <v>-5.8849572999999999E-5</v>
      </c>
      <c r="L5" s="3">
        <f t="shared" si="0"/>
        <v>0.19477832512315271</v>
      </c>
      <c r="M5" s="3"/>
      <c r="N5" s="2">
        <f>IF('Modell einstellen'!$B$1="Voll",H5/0.35,H5/0.35*2)</f>
        <v>1.2303838285714286E-4</v>
      </c>
      <c r="O5" s="2">
        <f>IF('Modell einstellen'!$B$1="Voll",J5/0.35,J5/0.35*2)</f>
        <v>-3.362832742857143E-4</v>
      </c>
      <c r="P5" s="3">
        <f t="shared" si="1"/>
        <v>0.36587720016252284</v>
      </c>
    </row>
    <row r="6" spans="1:16" x14ac:dyDescent="0.25">
      <c r="A6" s="3">
        <v>9.9999999999999998E-13</v>
      </c>
      <c r="B6" s="3">
        <v>5.8069999999999998E-5</v>
      </c>
      <c r="C6" s="3">
        <v>1.1569999999999999E-4</v>
      </c>
      <c r="D6" s="3">
        <v>-3.0600000000000001E-4</v>
      </c>
      <c r="E6" s="3">
        <v>0</v>
      </c>
      <c r="F6" s="3">
        <v>0</v>
      </c>
      <c r="G6" s="3">
        <v>0</v>
      </c>
      <c r="H6" s="3">
        <v>2.2033420999999999E-5</v>
      </c>
      <c r="I6" s="3">
        <v>1.0598279000000001E-5</v>
      </c>
      <c r="J6" s="3">
        <v>-5.9730866000000001E-5</v>
      </c>
      <c r="L6" s="3">
        <f t="shared" si="0"/>
        <v>0.18977124183006536</v>
      </c>
      <c r="M6" s="3"/>
      <c r="N6" s="2">
        <f>IF('Modell einstellen'!$B$1="Voll",H6/0.35,H6/0.35*2)</f>
        <v>1.2590526285714287E-4</v>
      </c>
      <c r="O6" s="2">
        <f>IF('Modell einstellen'!$B$1="Voll",J6/0.35,J6/0.35*2)</f>
        <v>-3.4131923428571434E-4</v>
      </c>
      <c r="P6" s="3">
        <f t="shared" si="1"/>
        <v>0.36887831159186607</v>
      </c>
    </row>
    <row r="7" spans="1:16" x14ac:dyDescent="0.25">
      <c r="A7" s="3">
        <v>9.9999999999999994E-12</v>
      </c>
      <c r="B7" s="3">
        <v>5.6530000000000003E-5</v>
      </c>
      <c r="C7" s="3">
        <v>1.177E-4</v>
      </c>
      <c r="D7" s="3">
        <v>-3.0729999999999999E-4</v>
      </c>
      <c r="E7" s="3">
        <v>0</v>
      </c>
      <c r="F7" s="3">
        <v>0</v>
      </c>
      <c r="G7" s="3">
        <v>0</v>
      </c>
      <c r="H7" s="3">
        <v>2.2592985000000001E-5</v>
      </c>
      <c r="I7" s="3">
        <v>1.0778779999999999E-5</v>
      </c>
      <c r="J7" s="3">
        <v>-6.0702865000000002E-5</v>
      </c>
      <c r="L7" s="3">
        <f t="shared" si="0"/>
        <v>0.18395704523267167</v>
      </c>
      <c r="M7" s="3"/>
      <c r="N7" s="2">
        <f>IF('Modell einstellen'!$B$1="Voll",H7/0.35,H7/0.35*2)</f>
        <v>1.2910277142857144E-4</v>
      </c>
      <c r="O7" s="2">
        <f>IF('Modell einstellen'!$B$1="Voll",J7/0.35,J7/0.35*2)</f>
        <v>-3.4687351428571431E-4</v>
      </c>
      <c r="P7" s="3">
        <f t="shared" si="1"/>
        <v>0.37218976402514115</v>
      </c>
    </row>
    <row r="8" spans="1:16" x14ac:dyDescent="0.25">
      <c r="A8" s="3">
        <v>1E-10</v>
      </c>
      <c r="B8" s="3">
        <v>5.4549999999999998E-5</v>
      </c>
      <c r="C8" s="3">
        <v>1.199E-4</v>
      </c>
      <c r="D8" s="3">
        <v>-3.0870000000000002E-4</v>
      </c>
      <c r="E8" s="3">
        <v>0</v>
      </c>
      <c r="F8" s="3">
        <v>0</v>
      </c>
      <c r="G8" s="3">
        <v>0</v>
      </c>
      <c r="H8" s="3">
        <v>2.3241697999999999E-5</v>
      </c>
      <c r="I8" s="3">
        <v>1.0982056000000001E-5</v>
      </c>
      <c r="J8" s="3">
        <v>-6.1816356000000006E-5</v>
      </c>
      <c r="L8" s="3">
        <f t="shared" si="0"/>
        <v>0.17670877874959506</v>
      </c>
      <c r="M8" s="3"/>
      <c r="N8" s="2">
        <f>IF('Modell einstellen'!$B$1="Voll",H8/0.35,H8/0.35*2)</f>
        <v>1.3280970285714286E-4</v>
      </c>
      <c r="O8" s="2">
        <f>IF('Modell einstellen'!$B$1="Voll",J8/0.35,J8/0.35*2)</f>
        <v>-3.5323632000000007E-4</v>
      </c>
      <c r="P8" s="3">
        <f t="shared" si="1"/>
        <v>0.37597974879010976</v>
      </c>
    </row>
    <row r="9" spans="1:16" x14ac:dyDescent="0.25">
      <c r="A9" s="3">
        <v>1.0000000000000001E-9</v>
      </c>
      <c r="B9" s="3">
        <v>5.2030000000000002E-5</v>
      </c>
      <c r="C9" s="3">
        <v>1.2229999999999999E-4</v>
      </c>
      <c r="D9" s="3">
        <v>-3.098E-4</v>
      </c>
      <c r="E9" s="3">
        <v>0</v>
      </c>
      <c r="F9" s="3">
        <v>0</v>
      </c>
      <c r="G9" s="3">
        <v>0</v>
      </c>
      <c r="H9" s="3">
        <v>2.3989041999999998E-5</v>
      </c>
      <c r="I9" s="3">
        <v>1.1208861E-5</v>
      </c>
      <c r="J9" s="3">
        <v>-6.3082177000000001E-5</v>
      </c>
      <c r="L9" s="3">
        <f t="shared" si="0"/>
        <v>0.16794706262104583</v>
      </c>
      <c r="M9" s="3"/>
      <c r="N9" s="2">
        <f>IF('Modell einstellen'!$B$1="Voll",H9/0.35,H9/0.35*2)</f>
        <v>1.3708024E-4</v>
      </c>
      <c r="O9" s="2">
        <f>IF('Modell einstellen'!$B$1="Voll",J9/0.35,J9/0.35*2)</f>
        <v>-3.604695828571429E-4</v>
      </c>
      <c r="P9" s="3">
        <f t="shared" si="1"/>
        <v>0.38028240528223994</v>
      </c>
    </row>
    <row r="10" spans="1:16" x14ac:dyDescent="0.25">
      <c r="A10" s="3">
        <v>1E-8</v>
      </c>
      <c r="B10" s="3">
        <v>4.9030000000000003E-5</v>
      </c>
      <c r="C10" s="3">
        <v>1.2579999999999999E-4</v>
      </c>
      <c r="D10" s="3">
        <v>-3.1169999999999999E-4</v>
      </c>
      <c r="E10" s="3">
        <v>0</v>
      </c>
      <c r="F10" s="3">
        <v>0</v>
      </c>
      <c r="G10" s="3">
        <v>0</v>
      </c>
      <c r="H10" s="3">
        <v>2.4889954000000001E-5</v>
      </c>
      <c r="I10" s="3">
        <v>1.1505414999999999E-5</v>
      </c>
      <c r="J10" s="3">
        <v>-6.4645257000000005E-5</v>
      </c>
      <c r="L10" s="3">
        <f t="shared" si="0"/>
        <v>0.15729868463265961</v>
      </c>
      <c r="M10" s="3"/>
      <c r="N10" s="2">
        <f>IF('Modell einstellen'!$B$1="Voll",H10/0.35,H10/0.35*2)</f>
        <v>1.4222830857142858E-4</v>
      </c>
      <c r="O10" s="2">
        <f>IF('Modell einstellen'!$B$1="Voll",J10/0.35,J10/0.35*2)</f>
        <v>-3.6940146857142862E-4</v>
      </c>
      <c r="P10" s="3">
        <f t="shared" si="1"/>
        <v>0.38502366848042691</v>
      </c>
    </row>
    <row r="11" spans="1:16" x14ac:dyDescent="0.25">
      <c r="A11" s="3">
        <v>9.9999999999999995E-8</v>
      </c>
      <c r="B11" s="3">
        <v>4.5000000000000003E-5</v>
      </c>
      <c r="C11" s="3">
        <v>1.282E-4</v>
      </c>
      <c r="D11" s="3">
        <v>-3.1149999999999998E-4</v>
      </c>
      <c r="E11" s="3">
        <v>0</v>
      </c>
      <c r="F11" s="3">
        <v>0</v>
      </c>
      <c r="G11" s="3">
        <v>0</v>
      </c>
      <c r="H11" s="3">
        <v>2.5812558999999999E-5</v>
      </c>
      <c r="I11" s="3">
        <v>1.1744579E-5</v>
      </c>
      <c r="J11" s="3">
        <v>-6.6123516999999998E-5</v>
      </c>
      <c r="L11" s="3">
        <f t="shared" si="0"/>
        <v>0.14446227929373998</v>
      </c>
      <c r="M11" s="3"/>
      <c r="N11" s="2">
        <f>IF('Modell einstellen'!$B$1="Voll",H11/0.35,H11/0.35*2)</f>
        <v>1.4750033714285715E-4</v>
      </c>
      <c r="O11" s="2">
        <f>IF('Modell einstellen'!$B$1="Voll",J11/0.35,J11/0.35*2)</f>
        <v>-3.778486685714286E-4</v>
      </c>
      <c r="P11" s="3">
        <f t="shared" si="1"/>
        <v>0.39036881537925455</v>
      </c>
    </row>
    <row r="12" spans="1:16" x14ac:dyDescent="0.25">
      <c r="A12" s="3">
        <v>9.9999999999999995E-7</v>
      </c>
      <c r="B12" s="3">
        <v>4.0930000000000003E-5</v>
      </c>
      <c r="C12" s="3">
        <v>1.317E-4</v>
      </c>
      <c r="D12" s="3">
        <v>-3.123E-4</v>
      </c>
      <c r="E12" s="3">
        <v>0</v>
      </c>
      <c r="F12" s="3">
        <v>0</v>
      </c>
      <c r="G12" s="3">
        <v>0</v>
      </c>
      <c r="H12" s="3">
        <v>2.6788614000000001E-5</v>
      </c>
      <c r="I12" s="3">
        <v>1.2037723E-5</v>
      </c>
      <c r="J12" s="3">
        <v>-6.7755722000000006E-5</v>
      </c>
      <c r="L12" s="3">
        <f t="shared" si="0"/>
        <v>0.13105987832212618</v>
      </c>
      <c r="M12" s="3"/>
      <c r="N12" s="2">
        <f>IF('Modell einstellen'!$B$1="Voll",H12/0.35,H12/0.35*2)</f>
        <v>1.5307779428571429E-4</v>
      </c>
      <c r="O12" s="2">
        <f>IF('Modell einstellen'!$B$1="Voll",J12/0.35,J12/0.35*2)</f>
        <v>-3.8717555428571435E-4</v>
      </c>
      <c r="P12" s="3">
        <f t="shared" si="1"/>
        <v>0.39537050464903906</v>
      </c>
    </row>
    <row r="13" spans="1:16" x14ac:dyDescent="0.25">
      <c r="A13" s="3">
        <v>1.0000000000000001E-5</v>
      </c>
      <c r="B13" s="3">
        <v>3.523E-5</v>
      </c>
      <c r="C13" s="3">
        <v>1.351E-4</v>
      </c>
      <c r="D13" s="3">
        <v>-3.1159999999999998E-4</v>
      </c>
      <c r="E13" s="3">
        <v>0</v>
      </c>
      <c r="F13" s="3">
        <v>0</v>
      </c>
      <c r="G13" s="3">
        <v>0</v>
      </c>
      <c r="H13" s="3">
        <v>2.7971635000000001E-5</v>
      </c>
      <c r="I13" s="3">
        <v>1.234827E-5</v>
      </c>
      <c r="J13" s="3">
        <v>-6.9645441999999997E-5</v>
      </c>
      <c r="L13" s="3">
        <f t="shared" si="0"/>
        <v>0.11306161745827985</v>
      </c>
      <c r="M13" s="3"/>
      <c r="N13" s="2">
        <f>IF('Modell einstellen'!$B$1="Voll",H13/0.35,H13/0.35*2)</f>
        <v>1.598379142857143E-4</v>
      </c>
      <c r="O13" s="2">
        <f>IF('Modell einstellen'!$B$1="Voll",J13/0.35,J13/0.35*2)</f>
        <v>-3.9797395428571429E-4</v>
      </c>
      <c r="P13" s="3">
        <f t="shared" si="1"/>
        <v>0.40162908291974087</v>
      </c>
    </row>
    <row r="14" spans="1:16" x14ac:dyDescent="0.25">
      <c r="A14" s="3">
        <v>1E-4</v>
      </c>
      <c r="B14" s="3">
        <v>2.709E-5</v>
      </c>
      <c r="C14" s="3">
        <v>1.393E-4</v>
      </c>
      <c r="D14" s="3">
        <v>-3.0969999999999999E-4</v>
      </c>
      <c r="E14" s="3">
        <v>0</v>
      </c>
      <c r="F14" s="3">
        <v>0</v>
      </c>
      <c r="G14" s="3">
        <v>0</v>
      </c>
      <c r="H14" s="3">
        <v>2.9516060000000001E-5</v>
      </c>
      <c r="I14" s="3">
        <v>1.2728556E-5</v>
      </c>
      <c r="J14" s="3">
        <v>-7.2055614999999996E-5</v>
      </c>
      <c r="L14" s="3">
        <f t="shared" si="0"/>
        <v>8.7471746851792057E-2</v>
      </c>
      <c r="M14" s="3"/>
      <c r="N14" s="2">
        <f>IF('Modell einstellen'!$B$1="Voll",H14/0.35,H14/0.35*2)</f>
        <v>1.6866320000000001E-4</v>
      </c>
      <c r="O14" s="2">
        <f>IF('Modell einstellen'!$B$1="Voll",J14/0.35,J14/0.35*2)</f>
        <v>-4.1174637142857144E-4</v>
      </c>
      <c r="P14" s="3">
        <f t="shared" si="1"/>
        <v>0.40962886792375586</v>
      </c>
    </row>
    <row r="15" spans="1:16" x14ac:dyDescent="0.25">
      <c r="A15" s="3">
        <v>1E-3</v>
      </c>
      <c r="B15" s="3">
        <v>1.6670000000000001E-5</v>
      </c>
      <c r="C15" s="3">
        <v>1.438E-4</v>
      </c>
      <c r="D15" s="3">
        <v>-3.0590000000000001E-4</v>
      </c>
      <c r="E15" s="3">
        <v>0</v>
      </c>
      <c r="F15" s="3">
        <v>0</v>
      </c>
      <c r="G15" s="3">
        <v>0</v>
      </c>
      <c r="H15" s="3">
        <v>3.1306505000000003E-5</v>
      </c>
      <c r="I15" s="3">
        <v>1.3136494000000001E-5</v>
      </c>
      <c r="J15" s="3">
        <v>-7.4774592000000005E-5</v>
      </c>
      <c r="L15" s="3">
        <f t="shared" si="0"/>
        <v>5.4494932984635508E-2</v>
      </c>
      <c r="M15" s="3"/>
      <c r="N15" s="2">
        <f>IF('Modell einstellen'!$B$1="Voll",H15/0.35,H15/0.35*2)</f>
        <v>1.7889431428571431E-4</v>
      </c>
      <c r="O15" s="2">
        <f>IF('Modell einstellen'!$B$1="Voll",J15/0.35,J15/0.35*2)</f>
        <v>-4.2728338285714294E-4</v>
      </c>
      <c r="P15" s="3">
        <f t="shared" si="1"/>
        <v>0.41867837941529656</v>
      </c>
    </row>
    <row r="16" spans="1:16" x14ac:dyDescent="0.25">
      <c r="A16" s="3">
        <v>0.01</v>
      </c>
      <c r="B16" s="3">
        <v>5.8139999999999997E-6</v>
      </c>
      <c r="C16" s="3">
        <v>1.4779999999999999E-4</v>
      </c>
      <c r="D16" s="3">
        <v>-3.009E-4</v>
      </c>
      <c r="E16" s="3">
        <v>0</v>
      </c>
      <c r="F16" s="3">
        <v>0</v>
      </c>
      <c r="G16" s="3">
        <v>0</v>
      </c>
      <c r="H16" s="3">
        <v>3.3012536000000001E-5</v>
      </c>
      <c r="I16" s="3">
        <v>1.3494560999999999E-5</v>
      </c>
      <c r="J16" s="3">
        <v>-7.7295376999999996E-5</v>
      </c>
      <c r="L16" s="3">
        <f t="shared" si="0"/>
        <v>1.9322033898305085E-2</v>
      </c>
      <c r="M16" s="3"/>
      <c r="N16" s="2">
        <f>IF('Modell einstellen'!$B$1="Voll",H16/0.35,H16/0.35*2)</f>
        <v>1.8864306285714289E-4</v>
      </c>
      <c r="O16" s="2">
        <f>IF('Modell einstellen'!$B$1="Voll",J16/0.35,J16/0.35*2)</f>
        <v>-4.4168786857142855E-4</v>
      </c>
      <c r="P16" s="3">
        <f t="shared" si="1"/>
        <v>0.42709586628964896</v>
      </c>
    </row>
    <row r="17" spans="1:16" x14ac:dyDescent="0.25">
      <c r="A17" s="3">
        <v>0.1</v>
      </c>
      <c r="B17" s="3">
        <v>-5.4219999999999999E-6</v>
      </c>
      <c r="C17" s="3">
        <v>1.5139999999999999E-4</v>
      </c>
      <c r="D17" s="3">
        <v>-2.9500000000000001E-4</v>
      </c>
      <c r="E17" s="3">
        <v>0</v>
      </c>
      <c r="F17" s="3">
        <v>0</v>
      </c>
      <c r="G17" s="3">
        <v>0</v>
      </c>
      <c r="H17" s="3">
        <v>3.4669246999999999E-5</v>
      </c>
      <c r="I17" s="3">
        <v>1.3818923E-5</v>
      </c>
      <c r="J17" s="3">
        <v>-7.9690122000000005E-5</v>
      </c>
      <c r="L17" s="3">
        <f t="shared" si="0"/>
        <v>-1.8379661016949152E-2</v>
      </c>
      <c r="M17" s="3"/>
      <c r="N17" s="2">
        <f>IF('Modell einstellen'!$B$1="Voll",H17/0.35,H17/0.35*2)</f>
        <v>1.9810998285714286E-4</v>
      </c>
      <c r="O17" s="2">
        <f>IF('Modell einstellen'!$B$1="Voll",J17/0.35,J17/0.35*2)</f>
        <v>-4.5537212571428577E-4</v>
      </c>
      <c r="P17" s="3">
        <f t="shared" si="1"/>
        <v>0.43505074568715052</v>
      </c>
    </row>
    <row r="18" spans="1:16" x14ac:dyDescent="0.25">
      <c r="A18" s="3">
        <v>1</v>
      </c>
      <c r="B18" s="3">
        <v>-1.853E-5</v>
      </c>
      <c r="C18" s="3">
        <v>1.551E-4</v>
      </c>
      <c r="D18" s="3">
        <v>-2.8729999999999999E-4</v>
      </c>
      <c r="E18" s="3">
        <v>0</v>
      </c>
      <c r="F18" s="3">
        <v>0</v>
      </c>
      <c r="G18" s="3">
        <v>0</v>
      </c>
      <c r="H18" s="3">
        <v>3.6491062999999999E-5</v>
      </c>
      <c r="I18" s="3">
        <v>1.4150159E-5</v>
      </c>
      <c r="J18" s="3">
        <v>-8.2265480000000006E-5</v>
      </c>
      <c r="L18" s="3">
        <f t="shared" si="0"/>
        <v>-6.4497041420118348E-2</v>
      </c>
      <c r="M18" s="3"/>
      <c r="N18" s="2">
        <f>IF('Modell einstellen'!$B$1="Voll",H18/0.35,H18/0.35*2)</f>
        <v>2.0852036000000001E-4</v>
      </c>
      <c r="O18" s="2">
        <f>IF('Modell einstellen'!$B$1="Voll",J18/0.35,J18/0.35*2)</f>
        <v>-4.7008845714285722E-4</v>
      </c>
      <c r="P18" s="3">
        <f t="shared" si="1"/>
        <v>0.4435768562950097</v>
      </c>
    </row>
    <row r="19" spans="1:16" x14ac:dyDescent="0.25">
      <c r="A19" s="3">
        <v>10</v>
      </c>
      <c r="B19" s="3">
        <v>-3.3890000000000002E-5</v>
      </c>
      <c r="C19" s="3">
        <v>1.5890000000000001E-4</v>
      </c>
      <c r="D19" s="3">
        <v>-2.7750000000000002E-4</v>
      </c>
      <c r="E19" s="3">
        <v>0</v>
      </c>
      <c r="F19" s="3">
        <v>0</v>
      </c>
      <c r="G19" s="3">
        <v>0</v>
      </c>
      <c r="H19" s="3">
        <v>3.8528295000000001E-5</v>
      </c>
      <c r="I19" s="3">
        <v>1.4497084999999999E-5</v>
      </c>
      <c r="J19" s="3">
        <v>-8.5089511000000003E-5</v>
      </c>
      <c r="L19" s="3">
        <f t="shared" si="0"/>
        <v>-0.12212612612612612</v>
      </c>
      <c r="M19" s="3"/>
      <c r="N19" s="2">
        <f>IF('Modell einstellen'!$B$1="Voll",H19/0.35,H19/0.35*2)</f>
        <v>2.2016168571428575E-4</v>
      </c>
      <c r="O19" s="2">
        <f>IF('Modell einstellen'!$B$1="Voll",J19/0.35,J19/0.35*2)</f>
        <v>-4.8622577714285719E-4</v>
      </c>
      <c r="P19" s="3">
        <f t="shared" si="1"/>
        <v>0.45279723137673222</v>
      </c>
    </row>
    <row r="20" spans="1:16" x14ac:dyDescent="0.25">
      <c r="A20" s="3">
        <v>100</v>
      </c>
      <c r="B20" s="3">
        <v>-5.045E-5</v>
      </c>
      <c r="C20" s="3">
        <v>1.6310000000000001E-4</v>
      </c>
      <c r="D20" s="3">
        <v>-2.6679999999999998E-4</v>
      </c>
      <c r="E20" s="3">
        <v>0</v>
      </c>
      <c r="F20" s="3">
        <v>0</v>
      </c>
      <c r="G20" s="3">
        <v>0</v>
      </c>
      <c r="H20" s="3">
        <v>4.0795951E-5</v>
      </c>
      <c r="I20" s="3">
        <v>1.4900319000000001E-5</v>
      </c>
      <c r="J20" s="3">
        <v>-8.8245809999999995E-5</v>
      </c>
      <c r="L20" s="3">
        <f t="shared" si="0"/>
        <v>-0.18909295352323841</v>
      </c>
      <c r="M20" s="3"/>
      <c r="N20" s="2">
        <f>IF('Modell einstellen'!$B$1="Voll",H20/0.35,H20/0.35*2)</f>
        <v>2.3311972000000003E-4</v>
      </c>
      <c r="O20" s="2">
        <f>IF('Modell einstellen'!$B$1="Voll",J20/0.35,J20/0.35*2)</f>
        <v>-5.042617714285714E-4</v>
      </c>
      <c r="P20" s="3">
        <f t="shared" si="1"/>
        <v>0.46229901453678091</v>
      </c>
    </row>
    <row r="21" spans="1:16" x14ac:dyDescent="0.25">
      <c r="A21" s="3">
        <v>1000</v>
      </c>
      <c r="B21" s="3">
        <v>-6.1270000000000001E-5</v>
      </c>
      <c r="C21" s="3">
        <v>1.7110000000000001E-4</v>
      </c>
      <c r="D21" s="3">
        <v>-2.6479999999999999E-4</v>
      </c>
      <c r="E21" s="3">
        <v>0</v>
      </c>
      <c r="F21" s="3">
        <v>0</v>
      </c>
      <c r="G21" s="3">
        <v>0</v>
      </c>
      <c r="H21" s="3">
        <v>4.4067976E-5</v>
      </c>
      <c r="I21" s="3">
        <v>1.5898326000000001E-5</v>
      </c>
      <c r="J21" s="3">
        <v>-9.3513925000000001E-5</v>
      </c>
      <c r="L21" s="3">
        <f t="shared" si="0"/>
        <v>-0.23138217522658611</v>
      </c>
      <c r="M21" s="3"/>
      <c r="N21" s="2">
        <f>IF('Modell einstellen'!$B$1="Voll",H21/0.35,H21/0.35*2)</f>
        <v>2.5181700571428575E-4</v>
      </c>
      <c r="O21" s="2">
        <f>IF('Modell einstellen'!$B$1="Voll",J21/0.35,J21/0.35*2)</f>
        <v>-5.3436528571428575E-4</v>
      </c>
      <c r="P21" s="3">
        <f t="shared" si="1"/>
        <v>0.47124506858203208</v>
      </c>
    </row>
    <row r="22" spans="1:16" x14ac:dyDescent="0.25">
      <c r="A22" s="3">
        <v>10000</v>
      </c>
      <c r="B22" s="3">
        <v>-2.9269999999999999E-5</v>
      </c>
      <c r="C22" s="3">
        <v>1.94E-4</v>
      </c>
      <c r="D22" s="3">
        <v>-3.1540000000000002E-4</v>
      </c>
      <c r="E22" s="3">
        <v>0</v>
      </c>
      <c r="F22" s="3">
        <v>0</v>
      </c>
      <c r="G22" s="3">
        <v>0</v>
      </c>
      <c r="H22" s="3">
        <v>5.0792236999999999E-5</v>
      </c>
      <c r="I22" s="3">
        <v>1.9647924000000001E-5</v>
      </c>
      <c r="J22" s="3">
        <v>-1.0733526000000001E-4</v>
      </c>
      <c r="L22" s="3">
        <f t="shared" si="0"/>
        <v>-9.2802790107799613E-2</v>
      </c>
      <c r="M22" s="3"/>
      <c r="N22" s="2">
        <f>IF('Modell einstellen'!$B$1="Voll",H22/0.35,H22/0.35*2)</f>
        <v>2.9024135428571432E-4</v>
      </c>
      <c r="O22" s="2">
        <f>IF('Modell einstellen'!$B$1="Voll",J22/0.35,J22/0.35*2)</f>
        <v>-6.1334434285714289E-4</v>
      </c>
      <c r="P22" s="3">
        <f t="shared" si="1"/>
        <v>0.47321110509258563</v>
      </c>
    </row>
    <row r="23" spans="1:16" x14ac:dyDescent="0.25">
      <c r="A23" s="3">
        <v>100000</v>
      </c>
      <c r="B23" s="3">
        <v>6.7910000000000005E-5</v>
      </c>
      <c r="C23" s="3">
        <v>2.396E-4</v>
      </c>
      <c r="D23" s="3">
        <v>-4.4729999999999998E-4</v>
      </c>
      <c r="E23" s="3">
        <v>0</v>
      </c>
      <c r="F23" s="3">
        <v>0</v>
      </c>
      <c r="G23" s="3">
        <v>0</v>
      </c>
      <c r="H23" s="3">
        <v>6.1986800000000001E-5</v>
      </c>
      <c r="I23" s="3">
        <v>2.7697891999999999E-5</v>
      </c>
      <c r="J23" s="3">
        <v>-1.3366389999999999E-4</v>
      </c>
      <c r="L23" s="3">
        <f t="shared" si="0"/>
        <v>0.15182204337133917</v>
      </c>
      <c r="M23" s="3"/>
      <c r="N23" s="2">
        <f>IF('Modell einstellen'!$B$1="Voll",H23/0.35,H23/0.35*2)</f>
        <v>3.5421028571428577E-4</v>
      </c>
      <c r="O23" s="2">
        <f>IF('Modell einstellen'!$B$1="Voll",J23/0.35,J23/0.35*2)</f>
        <v>-7.6379371428571426E-4</v>
      </c>
      <c r="P23" s="3">
        <f t="shared" si="1"/>
        <v>0.46375124472651186</v>
      </c>
    </row>
    <row r="24" spans="1:16" x14ac:dyDescent="0.25">
      <c r="A24" s="3">
        <v>1000000</v>
      </c>
      <c r="B24" s="3">
        <v>1.9259999999999999E-4</v>
      </c>
      <c r="C24" s="3">
        <v>3.0449999999999997E-4</v>
      </c>
      <c r="D24" s="3">
        <v>-6.2480000000000001E-4</v>
      </c>
      <c r="E24" s="3">
        <v>0</v>
      </c>
      <c r="F24" s="3">
        <v>0</v>
      </c>
      <c r="G24" s="3">
        <v>0</v>
      </c>
      <c r="H24" s="3">
        <v>7.6467685999999995E-5</v>
      </c>
      <c r="I24" s="3">
        <v>3.8882913000000002E-5</v>
      </c>
      <c r="J24" s="3">
        <v>-1.6932448E-4</v>
      </c>
      <c r="L24" s="3">
        <f t="shared" si="0"/>
        <v>0.30825864276568499</v>
      </c>
      <c r="M24" s="3"/>
      <c r="N24" s="2">
        <f>IF('Modell einstellen'!$B$1="Voll",H24/0.35,H24/0.35*2)</f>
        <v>4.3695820571428571E-4</v>
      </c>
      <c r="O24" s="2">
        <f>IF('Modell einstellen'!$B$1="Voll",J24/0.35,J24/0.35*2)</f>
        <v>-9.6756845714285724E-4</v>
      </c>
      <c r="P24" s="3">
        <f t="shared" si="1"/>
        <v>0.45160443427908353</v>
      </c>
    </row>
    <row r="25" spans="1:16" x14ac:dyDescent="0.25">
      <c r="A25" s="3">
        <v>10000000</v>
      </c>
      <c r="B25" s="3">
        <v>3.1520000000000002E-4</v>
      </c>
      <c r="C25" s="3">
        <v>3.8759999999999999E-4</v>
      </c>
      <c r="D25" s="3">
        <v>-8.206E-4</v>
      </c>
      <c r="E25" s="3">
        <v>0</v>
      </c>
      <c r="F25" s="3">
        <v>0</v>
      </c>
      <c r="G25" s="3">
        <v>0</v>
      </c>
      <c r="H25" s="3">
        <v>9.4162888999999996E-5</v>
      </c>
      <c r="I25" s="3">
        <v>5.2719646000000002E-5</v>
      </c>
      <c r="J25" s="3">
        <v>-2.1347375000000001E-4</v>
      </c>
      <c r="L25" s="3">
        <f t="shared" si="0"/>
        <v>0.38410918839873265</v>
      </c>
      <c r="M25" s="3"/>
      <c r="N25" s="2">
        <f>IF('Modell einstellen'!$B$1="Voll",H25/0.35,H25/0.35*2)</f>
        <v>5.3807365142857148E-4</v>
      </c>
      <c r="O25" s="2">
        <f>IF('Modell einstellen'!$B$1="Voll",J25/0.35,J25/0.35*2)</f>
        <v>-1.2198500000000002E-3</v>
      </c>
      <c r="P25" s="3">
        <f t="shared" si="1"/>
        <v>0.44109820996726762</v>
      </c>
    </row>
    <row r="26" spans="1:16" x14ac:dyDescent="0.25">
      <c r="A26" s="3">
        <v>100000000</v>
      </c>
      <c r="B26" s="3">
        <v>4.2860000000000001E-4</v>
      </c>
      <c r="C26" s="3">
        <v>5.0029999999999996E-4</v>
      </c>
      <c r="D26" s="3">
        <v>-1.039E-3</v>
      </c>
      <c r="E26" s="3">
        <v>0</v>
      </c>
      <c r="F26" s="3">
        <v>0</v>
      </c>
      <c r="G26" s="3">
        <v>0</v>
      </c>
      <c r="H26" s="3">
        <v>1.1790231000000001E-4</v>
      </c>
      <c r="I26" s="3">
        <v>7.1394641999999997E-5</v>
      </c>
      <c r="J26" s="3">
        <v>-2.7319558000000002E-4</v>
      </c>
      <c r="L26" s="3">
        <f t="shared" si="0"/>
        <v>0.41251203079884508</v>
      </c>
      <c r="M26" s="3"/>
      <c r="N26" s="2">
        <f>IF('Modell einstellen'!$B$1="Voll",H26/0.35,H26/0.35*2)</f>
        <v>6.7372748571428579E-4</v>
      </c>
      <c r="O26" s="2">
        <f>IF('Modell einstellen'!$B$1="Voll",J26/0.35,J26/0.35*2)</f>
        <v>-1.5611176000000001E-3</v>
      </c>
      <c r="P26" s="3">
        <f t="shared" si="1"/>
        <v>0.43156741408481064</v>
      </c>
    </row>
    <row r="27" spans="1:16" x14ac:dyDescent="0.25">
      <c r="A27" s="3">
        <v>1000000000</v>
      </c>
      <c r="B27" s="3">
        <v>5.3399999999999997E-4</v>
      </c>
      <c r="C27" s="3">
        <v>6.7100000000000005E-4</v>
      </c>
      <c r="D27" s="3">
        <v>-1.3090000000000001E-3</v>
      </c>
      <c r="E27" s="3">
        <v>0</v>
      </c>
      <c r="F27" s="3">
        <v>0</v>
      </c>
      <c r="G27" s="3">
        <v>0</v>
      </c>
      <c r="H27" s="3">
        <v>1.5411006999999999E-4</v>
      </c>
      <c r="I27" s="3">
        <v>1.0030216E-4</v>
      </c>
      <c r="J27" s="3">
        <v>-3.6529046E-4</v>
      </c>
      <c r="L27" s="3">
        <f t="shared" si="0"/>
        <v>0.40794499618029023</v>
      </c>
      <c r="M27" s="3"/>
      <c r="N27" s="2">
        <f>IF('Modell einstellen'!$B$1="Voll",H27/0.35,H27/0.35*2)</f>
        <v>8.8062897142857143E-4</v>
      </c>
      <c r="O27" s="2">
        <f>IF('Modell einstellen'!$B$1="Voll",J27/0.35,J27/0.35*2)</f>
        <v>-2.0873740571428572E-3</v>
      </c>
      <c r="P27" s="3">
        <f t="shared" si="1"/>
        <v>0.42188364295087255</v>
      </c>
    </row>
    <row r="28" spans="1:16" x14ac:dyDescent="0.25">
      <c r="A28" s="3">
        <v>10000000000</v>
      </c>
      <c r="B28" s="3">
        <v>6.4249999999999995E-4</v>
      </c>
      <c r="C28" s="3">
        <v>9.5169999999999999E-4</v>
      </c>
      <c r="D28" s="3">
        <v>-1.691E-3</v>
      </c>
      <c r="E28" s="3">
        <v>0</v>
      </c>
      <c r="F28" s="3">
        <v>0</v>
      </c>
      <c r="G28" s="3">
        <v>0</v>
      </c>
      <c r="H28" s="3">
        <v>2.130686E-4</v>
      </c>
      <c r="I28" s="3">
        <v>1.4874771999999999E-4</v>
      </c>
      <c r="J28" s="3">
        <v>-5.1786422999999999E-4</v>
      </c>
      <c r="L28" s="3">
        <f t="shared" si="0"/>
        <v>0.37995269071555288</v>
      </c>
      <c r="M28" s="3"/>
      <c r="N28" s="2">
        <f>IF('Modell einstellen'!$B$1="Voll",H28/0.35,H28/0.35*2)</f>
        <v>1.2175348571428573E-3</v>
      </c>
      <c r="O28" s="2">
        <f>IF('Modell einstellen'!$B$1="Voll",J28/0.35,J28/0.35*2)</f>
        <v>-2.9592241714285717E-3</v>
      </c>
      <c r="P28" s="3">
        <f t="shared" si="1"/>
        <v>0.41143718306244093</v>
      </c>
    </row>
    <row r="29" spans="1:16" x14ac:dyDescent="0.25">
      <c r="A29" s="3">
        <v>100000000000</v>
      </c>
      <c r="B29" s="3">
        <v>7.7059999999999997E-4</v>
      </c>
      <c r="C29" s="3">
        <v>1.359E-3</v>
      </c>
      <c r="D29" s="3">
        <v>-2.2200000000000002E-3</v>
      </c>
      <c r="E29" s="3">
        <v>0</v>
      </c>
      <c r="F29" s="3">
        <v>0</v>
      </c>
      <c r="G29" s="3">
        <v>0</v>
      </c>
      <c r="H29" s="3">
        <v>2.9890264000000002E-4</v>
      </c>
      <c r="I29" s="3">
        <v>2.2082648000000001E-4</v>
      </c>
      <c r="J29" s="3">
        <v>-7.4261111999999996E-4</v>
      </c>
      <c r="L29" s="3">
        <f t="shared" si="0"/>
        <v>0.34711711711711707</v>
      </c>
      <c r="M29" s="3"/>
      <c r="N29" s="2">
        <f>IF('Modell einstellen'!$B$1="Voll",H29/0.35,H29/0.35*2)</f>
        <v>1.7080150857142859E-3</v>
      </c>
      <c r="O29" s="2">
        <f>IF('Modell einstellen'!$B$1="Voll",J29/0.35,J29/0.35*2)</f>
        <v>-4.2434921142857143E-3</v>
      </c>
      <c r="P29" s="3">
        <f t="shared" si="1"/>
        <v>0.40250224101141935</v>
      </c>
    </row>
    <row r="30" spans="1:16" x14ac:dyDescent="0.25">
      <c r="A30" s="3">
        <v>1000000000000</v>
      </c>
      <c r="B30" s="3">
        <v>9.4410000000000002E-4</v>
      </c>
      <c r="C30" s="3">
        <v>1.872E-3</v>
      </c>
      <c r="D30" s="3">
        <v>-2.9009999999999999E-3</v>
      </c>
      <c r="E30" s="3">
        <v>0</v>
      </c>
      <c r="F30" s="3">
        <v>0</v>
      </c>
      <c r="G30" s="3">
        <v>0</v>
      </c>
      <c r="H30" s="3">
        <v>4.0690438999999999E-4</v>
      </c>
      <c r="I30" s="3">
        <v>3.1346389000000001E-4</v>
      </c>
      <c r="J30" s="3">
        <v>-1.0284967999999999E-3</v>
      </c>
      <c r="L30" s="3">
        <f t="shared" si="0"/>
        <v>0.32543950361944157</v>
      </c>
      <c r="M30" s="3"/>
      <c r="N30" s="2">
        <f>IF('Modell einstellen'!$B$1="Voll",H30/0.35,H30/0.35*2)</f>
        <v>2.325167942857143E-3</v>
      </c>
      <c r="O30" s="2">
        <f>IF('Modell einstellen'!$B$1="Voll",J30/0.35,J30/0.35*2)</f>
        <v>-5.8771245714285712E-3</v>
      </c>
      <c r="P30" s="3">
        <f t="shared" si="1"/>
        <v>0.39563019544640299</v>
      </c>
    </row>
    <row r="31" spans="1:16" x14ac:dyDescent="0.25">
      <c r="A31" s="3">
        <v>10000000000000</v>
      </c>
      <c r="B31" s="3">
        <v>1.1490000000000001E-3</v>
      </c>
      <c r="C31" s="3">
        <v>2.3210000000000001E-3</v>
      </c>
      <c r="D31" s="3">
        <v>-3.5509999999999999E-3</v>
      </c>
      <c r="E31" s="3">
        <v>0</v>
      </c>
      <c r="F31" s="3">
        <v>0</v>
      </c>
      <c r="G31" s="3">
        <v>0</v>
      </c>
      <c r="H31" s="3">
        <v>4.9681034000000003E-4</v>
      </c>
      <c r="I31" s="3">
        <v>3.9408348000000002E-4</v>
      </c>
      <c r="J31" s="3">
        <v>-1.2726364000000001E-3</v>
      </c>
      <c r="L31" s="3">
        <f t="shared" si="0"/>
        <v>0.3235708251196846</v>
      </c>
      <c r="M31" s="3"/>
      <c r="N31" s="2">
        <f>IF('Modell einstellen'!$B$1="Voll",H31/0.35,H31/0.35*2)</f>
        <v>2.8389162285714291E-3</v>
      </c>
      <c r="O31" s="2">
        <f>IF('Modell einstellen'!$B$1="Voll",J31/0.35,J31/0.35*2)</f>
        <v>-7.2722080000000014E-3</v>
      </c>
      <c r="P31" s="3">
        <f t="shared" si="1"/>
        <v>0.39037885447878123</v>
      </c>
    </row>
    <row r="32" spans="1:16" x14ac:dyDescent="0.25">
      <c r="A32" s="3">
        <v>100000000000000</v>
      </c>
      <c r="B32" s="3">
        <v>1.341E-3</v>
      </c>
      <c r="C32" s="3">
        <v>2.666E-3</v>
      </c>
      <c r="D32" s="3">
        <v>-4.0850000000000001E-3</v>
      </c>
      <c r="E32" s="3">
        <v>0</v>
      </c>
      <c r="F32" s="3">
        <v>0</v>
      </c>
      <c r="G32" s="3">
        <v>0</v>
      </c>
      <c r="H32" s="3">
        <v>5.6264689999999996E-4</v>
      </c>
      <c r="I32" s="3">
        <v>4.5511348000000002E-4</v>
      </c>
      <c r="J32" s="3">
        <v>-1.4548979E-3</v>
      </c>
      <c r="L32" s="3">
        <f t="shared" si="0"/>
        <v>0.3282741738066095</v>
      </c>
      <c r="M32" s="3"/>
      <c r="N32" s="2">
        <f>IF('Modell einstellen'!$B$1="Voll",H32/0.35,H32/0.35*2)</f>
        <v>3.2151251428571429E-3</v>
      </c>
      <c r="O32" s="2">
        <f>IF('Modell einstellen'!$B$1="Voll",J32/0.35,J32/0.35*2)</f>
        <v>-8.3137022857142865E-3</v>
      </c>
      <c r="P32" s="3">
        <f t="shared" si="1"/>
        <v>0.38672603761404833</v>
      </c>
    </row>
    <row r="33" spans="1:16" x14ac:dyDescent="0.25">
      <c r="A33" s="3">
        <v>1000000000000000</v>
      </c>
      <c r="B33" s="3">
        <v>1.4859999999999999E-3</v>
      </c>
      <c r="C33" s="3">
        <v>2.882E-3</v>
      </c>
      <c r="D33" s="3">
        <v>-4.4450000000000002E-3</v>
      </c>
      <c r="E33" s="3">
        <v>0</v>
      </c>
      <c r="F33" s="3">
        <v>0</v>
      </c>
      <c r="G33" s="3">
        <v>0</v>
      </c>
      <c r="H33" s="3">
        <v>6.0091563999999998E-4</v>
      </c>
      <c r="I33" s="3">
        <v>4.9229883999999996E-4</v>
      </c>
      <c r="J33" s="3">
        <v>-1.5639718E-3</v>
      </c>
      <c r="L33" s="3">
        <f t="shared" si="0"/>
        <v>0.33430821147356576</v>
      </c>
      <c r="M33" s="3"/>
      <c r="N33" s="2">
        <f>IF('Modell einstellen'!$B$1="Voll",H33/0.35,H33/0.35*2)</f>
        <v>3.4338036571428571E-3</v>
      </c>
      <c r="O33" s="2">
        <f>IF('Modell einstellen'!$B$1="Voll",J33/0.35,J33/0.35*2)</f>
        <v>-8.936981714285714E-3</v>
      </c>
      <c r="P33" s="3">
        <f t="shared" si="1"/>
        <v>0.38422408895096449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6.3059999999999996E-5</v>
      </c>
      <c r="C3" s="3">
        <v>1.13E-4</v>
      </c>
      <c r="D3" s="3">
        <v>-3.0600000000000001E-4</v>
      </c>
      <c r="E3" s="3">
        <v>0</v>
      </c>
      <c r="F3" s="3">
        <v>0</v>
      </c>
      <c r="G3" s="3">
        <v>0</v>
      </c>
      <c r="H3" s="3">
        <v>2.1144722000000001E-5</v>
      </c>
      <c r="I3" s="3">
        <v>1.0372287E-5</v>
      </c>
      <c r="J3" s="3">
        <v>-5.8333437000000001E-5</v>
      </c>
      <c r="K3" s="3"/>
      <c r="L3" s="3">
        <f>-B3/D3</f>
        <v>0.206078431372549</v>
      </c>
      <c r="M3" s="3"/>
      <c r="N3" s="2">
        <f>IF('Modell einstellen'!$B$1="Voll",H3/0.35,H3/0.35*2)</f>
        <v>1.2082698285714287E-4</v>
      </c>
      <c r="O3" s="2">
        <f>IF('Modell einstellen'!$B$1="Voll",J3/0.35,J3/0.35*2)</f>
        <v>-3.3333392571428572E-4</v>
      </c>
      <c r="P3" s="3">
        <f>-N3/O3</f>
        <v>0.36248030439214479</v>
      </c>
      <c r="Q3" s="3"/>
      <c r="R3" s="3"/>
      <c r="S3" s="3"/>
      <c r="T3" s="3"/>
      <c r="U3" s="3"/>
    </row>
    <row r="4" spans="1:21" x14ac:dyDescent="0.25">
      <c r="A4" s="3">
        <v>1E-14</v>
      </c>
      <c r="B4" s="3">
        <v>6.1630000000000005E-5</v>
      </c>
      <c r="C4" s="3">
        <v>1.148E-4</v>
      </c>
      <c r="D4" s="3">
        <v>-3.0749999999999999E-4</v>
      </c>
      <c r="E4" s="3">
        <v>0</v>
      </c>
      <c r="F4" s="3">
        <v>0</v>
      </c>
      <c r="G4" s="3">
        <v>0</v>
      </c>
      <c r="H4" s="3">
        <v>2.1714305E-5</v>
      </c>
      <c r="I4" s="3">
        <v>1.0558233E-5</v>
      </c>
      <c r="J4" s="3">
        <v>-5.9329213000000003E-5</v>
      </c>
      <c r="K4" s="3"/>
      <c r="L4" s="3">
        <f t="shared" ref="L4:L33" si="0">-B4/D4</f>
        <v>0.2004227642276423</v>
      </c>
      <c r="M4" s="3"/>
      <c r="N4" s="2">
        <f>IF('Modell einstellen'!$B$1="Voll",H4/0.35,H4/0.35*2)</f>
        <v>1.2408174285714286E-4</v>
      </c>
      <c r="O4" s="2">
        <f>IF('Modell einstellen'!$B$1="Voll",J4/0.35,J4/0.35*2)</f>
        <v>-3.3902407428571435E-4</v>
      </c>
      <c r="P4" s="3">
        <f t="shared" ref="P4:P33" si="1">-N4/O4</f>
        <v>0.36599684880364075</v>
      </c>
      <c r="Q4" s="3"/>
      <c r="R4" s="3"/>
      <c r="S4" s="3"/>
      <c r="T4" s="3"/>
      <c r="U4" s="3"/>
    </row>
    <row r="5" spans="1:21" x14ac:dyDescent="0.25">
      <c r="A5" s="3">
        <v>1E-13</v>
      </c>
      <c r="B5" s="3">
        <v>6.0390000000000003E-5</v>
      </c>
      <c r="C5" s="3">
        <v>1.166E-4</v>
      </c>
      <c r="D5" s="3">
        <v>-3.0899999999999998E-4</v>
      </c>
      <c r="E5" s="3">
        <v>0</v>
      </c>
      <c r="F5" s="3">
        <v>0</v>
      </c>
      <c r="G5" s="3">
        <v>0</v>
      </c>
      <c r="H5" s="3">
        <v>2.2232509999999998E-5</v>
      </c>
      <c r="I5" s="3">
        <v>1.0728766999999999E-5</v>
      </c>
      <c r="J5" s="3">
        <v>-6.0236308E-5</v>
      </c>
      <c r="K5" s="3"/>
      <c r="L5" s="3">
        <f t="shared" si="0"/>
        <v>0.19543689320388352</v>
      </c>
      <c r="M5" s="3"/>
      <c r="N5" s="2">
        <f>IF('Modell einstellen'!$B$1="Voll",H5/0.35,H5/0.35*2)</f>
        <v>1.2704291428571428E-4</v>
      </c>
      <c r="O5" s="2">
        <f>IF('Modell einstellen'!$B$1="Voll",J5/0.35,J5/0.35*2)</f>
        <v>-3.4420747428571429E-4</v>
      </c>
      <c r="P5" s="3">
        <f t="shared" si="1"/>
        <v>0.3690881917928967</v>
      </c>
      <c r="Q5" s="3"/>
      <c r="R5" s="3"/>
      <c r="S5" s="3"/>
      <c r="T5" s="3"/>
      <c r="U5" s="3"/>
    </row>
    <row r="6" spans="1:21" x14ac:dyDescent="0.25">
      <c r="A6" s="3">
        <v>9.9999999999999998E-13</v>
      </c>
      <c r="B6" s="3">
        <v>5.8879999999999999E-5</v>
      </c>
      <c r="C6" s="3">
        <v>1.186E-4</v>
      </c>
      <c r="D6" s="3">
        <v>-3.1040000000000001E-4</v>
      </c>
      <c r="E6" s="3">
        <v>0</v>
      </c>
      <c r="F6" s="3">
        <v>0</v>
      </c>
      <c r="G6" s="3">
        <v>0</v>
      </c>
      <c r="H6" s="3">
        <v>2.2800314000000001E-5</v>
      </c>
      <c r="I6" s="3">
        <v>1.0912356E-5</v>
      </c>
      <c r="J6" s="3">
        <v>-6.1222061000000005E-5</v>
      </c>
      <c r="K6" s="3"/>
      <c r="L6" s="3">
        <f t="shared" si="0"/>
        <v>0.18969072164948453</v>
      </c>
      <c r="M6" s="3"/>
      <c r="N6" s="2">
        <f>IF('Modell einstellen'!$B$1="Voll",H6/0.35,H6/0.35*2)</f>
        <v>1.3028750857142858E-4</v>
      </c>
      <c r="O6" s="2">
        <f>IF('Modell einstellen'!$B$1="Voll",J6/0.35,J6/0.35*2)</f>
        <v>-3.4984034857142864E-4</v>
      </c>
      <c r="P6" s="3">
        <f t="shared" si="1"/>
        <v>0.37241990268834624</v>
      </c>
      <c r="Q6" s="3"/>
      <c r="R6" s="3"/>
      <c r="S6" s="3"/>
      <c r="T6" s="3"/>
      <c r="U6" s="3"/>
    </row>
    <row r="7" spans="1:21" x14ac:dyDescent="0.25">
      <c r="A7" s="3">
        <v>9.9999999999999994E-12</v>
      </c>
      <c r="B7" s="3">
        <v>5.6919999999999997E-5</v>
      </c>
      <c r="C7" s="3">
        <v>1.208E-4</v>
      </c>
      <c r="D7" s="3">
        <v>-3.1169999999999999E-4</v>
      </c>
      <c r="E7" s="3">
        <v>0</v>
      </c>
      <c r="F7" s="3">
        <v>0</v>
      </c>
      <c r="G7" s="3">
        <v>0</v>
      </c>
      <c r="H7" s="3">
        <v>2.3466014E-5</v>
      </c>
      <c r="I7" s="3">
        <v>1.1121946E-5</v>
      </c>
      <c r="J7" s="3">
        <v>-6.2364980000000002E-5</v>
      </c>
      <c r="K7" s="3"/>
      <c r="L7" s="3">
        <f t="shared" si="0"/>
        <v>0.18261148540263072</v>
      </c>
      <c r="M7" s="3"/>
      <c r="N7" s="2">
        <f>IF('Modell einstellen'!$B$1="Voll",H7/0.35,H7/0.35*2)</f>
        <v>1.3409150857142857E-4</v>
      </c>
      <c r="O7" s="2">
        <f>IF('Modell einstellen'!$B$1="Voll",J7/0.35,J7/0.35*2)</f>
        <v>-3.5637131428571434E-4</v>
      </c>
      <c r="P7" s="3">
        <f t="shared" si="1"/>
        <v>0.37626908563107048</v>
      </c>
      <c r="Q7" s="3"/>
      <c r="R7" s="3"/>
      <c r="S7" s="3"/>
      <c r="T7" s="3"/>
      <c r="U7" s="3"/>
    </row>
    <row r="8" spans="1:21" x14ac:dyDescent="0.25">
      <c r="A8" s="3">
        <v>1E-10</v>
      </c>
      <c r="B8" s="3">
        <v>5.4450000000000002E-5</v>
      </c>
      <c r="C8" s="3">
        <v>1.2329999999999999E-4</v>
      </c>
      <c r="D8" s="3">
        <v>-3.1300000000000002E-4</v>
      </c>
      <c r="E8" s="3">
        <v>0</v>
      </c>
      <c r="F8" s="3">
        <v>0</v>
      </c>
      <c r="G8" s="3">
        <v>0</v>
      </c>
      <c r="H8" s="3">
        <v>2.4222978000000002E-5</v>
      </c>
      <c r="I8" s="3">
        <v>1.1353355000000001E-5</v>
      </c>
      <c r="J8" s="3">
        <v>-6.3648451999999994E-5</v>
      </c>
      <c r="K8" s="3"/>
      <c r="L8" s="3">
        <f t="shared" si="0"/>
        <v>0.17396166134185304</v>
      </c>
      <c r="M8" s="3"/>
      <c r="N8" s="2">
        <f>IF('Modell einstellen'!$B$1="Voll",H8/0.35,H8/0.35*2)</f>
        <v>1.3841701714285715E-4</v>
      </c>
      <c r="O8" s="2">
        <f>IF('Modell einstellen'!$B$1="Voll",J8/0.35,J8/0.35*2)</f>
        <v>-3.6370544000000001E-4</v>
      </c>
      <c r="P8" s="3">
        <f t="shared" si="1"/>
        <v>0.38057450321022734</v>
      </c>
      <c r="Q8" s="3"/>
      <c r="R8" s="3"/>
      <c r="S8" s="3"/>
      <c r="T8" s="3"/>
      <c r="U8" s="3"/>
    </row>
    <row r="9" spans="1:21" x14ac:dyDescent="0.25">
      <c r="A9" s="3">
        <v>1.0000000000000001E-9</v>
      </c>
      <c r="B9" s="3">
        <v>5.1490000000000003E-5</v>
      </c>
      <c r="C9" s="3">
        <v>1.2689999999999999E-4</v>
      </c>
      <c r="D9" s="3">
        <v>-3.1500000000000001E-4</v>
      </c>
      <c r="E9" s="3">
        <v>0</v>
      </c>
      <c r="F9" s="3">
        <v>0</v>
      </c>
      <c r="G9" s="3">
        <v>0</v>
      </c>
      <c r="H9" s="3">
        <v>2.5149006999999998E-5</v>
      </c>
      <c r="I9" s="3">
        <v>1.1658258E-5</v>
      </c>
      <c r="J9" s="3">
        <v>-6.5253354999999998E-5</v>
      </c>
      <c r="K9" s="3"/>
      <c r="L9" s="3">
        <f t="shared" si="0"/>
        <v>0.16346031746031747</v>
      </c>
      <c r="M9" s="3"/>
      <c r="N9" s="2">
        <f>IF('Modell einstellen'!$B$1="Voll",H9/0.35,H9/0.35*2)</f>
        <v>1.4370861142857142E-4</v>
      </c>
      <c r="O9" s="2">
        <f>IF('Modell einstellen'!$B$1="Voll",J9/0.35,J9/0.35*2)</f>
        <v>-3.7287631428571427E-4</v>
      </c>
      <c r="P9" s="3">
        <f t="shared" si="1"/>
        <v>0.38540557799671754</v>
      </c>
      <c r="Q9" s="3"/>
      <c r="R9" s="3"/>
      <c r="S9" s="3"/>
      <c r="T9" s="3"/>
      <c r="U9" s="3"/>
    </row>
    <row r="10" spans="1:21" x14ac:dyDescent="0.25">
      <c r="A10" s="3">
        <v>1E-8</v>
      </c>
      <c r="B10" s="3">
        <v>4.7530000000000001E-5</v>
      </c>
      <c r="C10" s="3">
        <v>1.293E-4</v>
      </c>
      <c r="D10" s="3">
        <v>-3.1480000000000001E-4</v>
      </c>
      <c r="E10" s="3">
        <v>0</v>
      </c>
      <c r="F10" s="3">
        <v>0</v>
      </c>
      <c r="G10" s="3">
        <v>0</v>
      </c>
      <c r="H10" s="3">
        <v>2.606807E-5</v>
      </c>
      <c r="I10" s="3">
        <v>1.1899598E-5</v>
      </c>
      <c r="J10" s="3">
        <v>-6.6729690999999994E-5</v>
      </c>
      <c r="K10" s="3"/>
      <c r="L10" s="3">
        <f t="shared" si="0"/>
        <v>0.15098475222363406</v>
      </c>
      <c r="M10" s="3"/>
      <c r="N10" s="2">
        <f>IF('Modell einstellen'!$B$1="Voll",H10/0.35,H10/0.35*2)</f>
        <v>1.4896040000000001E-4</v>
      </c>
      <c r="O10" s="2">
        <f>IF('Modell einstellen'!$B$1="Voll",J10/0.35,J10/0.35*2)</f>
        <v>-3.8131252000000001E-4</v>
      </c>
      <c r="P10" s="3">
        <f t="shared" si="1"/>
        <v>0.39065174151638138</v>
      </c>
      <c r="Q10" s="3"/>
      <c r="R10" s="3"/>
      <c r="S10" s="3"/>
      <c r="T10" s="3"/>
      <c r="U10" s="3"/>
    </row>
    <row r="11" spans="1:21" x14ac:dyDescent="0.25">
      <c r="A11" s="3">
        <v>9.9999999999999995E-8</v>
      </c>
      <c r="B11" s="3">
        <v>4.3510000000000002E-5</v>
      </c>
      <c r="C11" s="3">
        <v>1.328E-4</v>
      </c>
      <c r="D11" s="3">
        <v>-3.1559999999999997E-4</v>
      </c>
      <c r="E11" s="3">
        <v>0</v>
      </c>
      <c r="F11" s="3">
        <v>0</v>
      </c>
      <c r="G11" s="3">
        <v>0</v>
      </c>
      <c r="H11" s="3">
        <v>2.7061317000000001E-5</v>
      </c>
      <c r="I11" s="3">
        <v>1.2199051000000001E-5</v>
      </c>
      <c r="J11" s="3">
        <v>-6.8391079999999995E-5</v>
      </c>
      <c r="K11" s="3"/>
      <c r="L11" s="3">
        <f t="shared" si="0"/>
        <v>0.13786438529784539</v>
      </c>
      <c r="M11" s="3"/>
      <c r="N11" s="2">
        <f>IF('Modell einstellen'!$B$1="Voll",H11/0.35,H11/0.35*2)</f>
        <v>1.5463609714285717E-4</v>
      </c>
      <c r="O11" s="2">
        <f>IF('Modell einstellen'!$B$1="Voll",J11/0.35,J11/0.35*2)</f>
        <v>-3.9080617142857142E-4</v>
      </c>
      <c r="P11" s="3">
        <f t="shared" si="1"/>
        <v>0.39568489048571837</v>
      </c>
      <c r="Q11" s="3"/>
      <c r="R11" s="3"/>
      <c r="S11" s="3"/>
      <c r="T11" s="3"/>
      <c r="U11" s="3"/>
    </row>
    <row r="12" spans="1:21" x14ac:dyDescent="0.25">
      <c r="A12" s="3">
        <v>9.9999999999999995E-7</v>
      </c>
      <c r="B12" s="3">
        <v>3.7719999999999998E-5</v>
      </c>
      <c r="C12" s="3">
        <v>1.3630000000000001E-4</v>
      </c>
      <c r="D12" s="3">
        <v>-3.1510000000000002E-4</v>
      </c>
      <c r="E12" s="3">
        <v>0</v>
      </c>
      <c r="F12" s="3">
        <v>0</v>
      </c>
      <c r="G12" s="3">
        <v>0</v>
      </c>
      <c r="H12" s="3">
        <v>2.8283920999999999E-5</v>
      </c>
      <c r="I12" s="3">
        <v>1.2523022E-5</v>
      </c>
      <c r="J12" s="3">
        <v>-7.0347503000000005E-5</v>
      </c>
      <c r="K12" s="3"/>
      <c r="L12" s="3">
        <f t="shared" si="0"/>
        <v>0.11970802919708028</v>
      </c>
      <c r="M12" s="3"/>
      <c r="N12" s="2">
        <f>IF('Modell einstellen'!$B$1="Voll",H12/0.35,H12/0.35*2)</f>
        <v>1.6162240571428573E-4</v>
      </c>
      <c r="O12" s="2">
        <f>IF('Modell einstellen'!$B$1="Voll",J12/0.35,J12/0.35*2)</f>
        <v>-4.0198573142857146E-4</v>
      </c>
      <c r="P12" s="3">
        <f t="shared" si="1"/>
        <v>0.40206005606197565</v>
      </c>
      <c r="Q12" s="3"/>
      <c r="R12" s="3"/>
      <c r="S12" s="3"/>
      <c r="T12" s="3"/>
      <c r="U12" s="3"/>
    </row>
    <row r="13" spans="1:21" x14ac:dyDescent="0.25">
      <c r="A13" s="3">
        <v>1.0000000000000001E-5</v>
      </c>
      <c r="B13" s="3">
        <v>2.9479999999999999E-5</v>
      </c>
      <c r="C13" s="3">
        <v>1.406E-4</v>
      </c>
      <c r="D13" s="3">
        <v>-3.1310000000000002E-4</v>
      </c>
      <c r="E13" s="3">
        <v>0</v>
      </c>
      <c r="F13" s="3">
        <v>0</v>
      </c>
      <c r="G13" s="3">
        <v>0</v>
      </c>
      <c r="H13" s="3">
        <v>2.9866336000000001E-5</v>
      </c>
      <c r="I13" s="3">
        <v>1.2916160000000001E-5</v>
      </c>
      <c r="J13" s="3">
        <v>-7.2820676000000007E-5</v>
      </c>
      <c r="K13" s="3"/>
      <c r="L13" s="3">
        <f t="shared" si="0"/>
        <v>9.415522197381028E-2</v>
      </c>
      <c r="M13" s="3"/>
      <c r="N13" s="2">
        <f>IF('Modell einstellen'!$B$1="Voll",H13/0.35,H13/0.35*2)</f>
        <v>1.7066477714285715E-4</v>
      </c>
      <c r="O13" s="2">
        <f>IF('Modell einstellen'!$B$1="Voll",J13/0.35,J13/0.35*2)</f>
        <v>-4.1611814857142864E-4</v>
      </c>
      <c r="P13" s="3">
        <f t="shared" si="1"/>
        <v>0.41013538517549597</v>
      </c>
      <c r="Q13" s="3"/>
      <c r="R13" s="3"/>
      <c r="S13" s="3"/>
      <c r="T13" s="3"/>
      <c r="U13" s="3"/>
    </row>
    <row r="14" spans="1:21" x14ac:dyDescent="0.25">
      <c r="A14" s="3">
        <v>1E-4</v>
      </c>
      <c r="B14" s="3">
        <v>1.9089999999999998E-5</v>
      </c>
      <c r="C14" s="3">
        <v>1.451E-4</v>
      </c>
      <c r="D14" s="3">
        <v>-3.0939999999999999E-4</v>
      </c>
      <c r="E14" s="3">
        <v>0</v>
      </c>
      <c r="F14" s="3">
        <v>0</v>
      </c>
      <c r="G14" s="3">
        <v>0</v>
      </c>
      <c r="H14" s="3">
        <v>3.1670608000000003E-5</v>
      </c>
      <c r="I14" s="3">
        <v>1.3330874E-5</v>
      </c>
      <c r="J14" s="3">
        <v>-7.5564392999999999E-5</v>
      </c>
      <c r="K14" s="3"/>
      <c r="L14" s="3">
        <f t="shared" si="0"/>
        <v>6.1700064641241108E-2</v>
      </c>
      <c r="M14" s="3"/>
      <c r="N14" s="2">
        <f>IF('Modell einstellen'!$B$1="Voll",H14/0.35,H14/0.35*2)</f>
        <v>1.809749028571429E-4</v>
      </c>
      <c r="O14" s="2">
        <f>IF('Modell einstellen'!$B$1="Voll",J14/0.35,J14/0.35*2)</f>
        <v>-4.3179653142857147E-4</v>
      </c>
      <c r="P14" s="3">
        <f t="shared" si="1"/>
        <v>0.41912078880855963</v>
      </c>
      <c r="Q14" s="3"/>
      <c r="R14" s="3"/>
      <c r="S14" s="3"/>
      <c r="T14" s="3"/>
      <c r="U14" s="3"/>
    </row>
    <row r="15" spans="1:21" x14ac:dyDescent="0.25">
      <c r="A15" s="3">
        <v>1E-3</v>
      </c>
      <c r="B15" s="3">
        <v>8.4659999999999999E-6</v>
      </c>
      <c r="C15" s="3">
        <v>1.4899999999999999E-4</v>
      </c>
      <c r="D15" s="3">
        <v>-3.0449999999999997E-4</v>
      </c>
      <c r="E15" s="3">
        <v>0</v>
      </c>
      <c r="F15" s="3">
        <v>0</v>
      </c>
      <c r="G15" s="3">
        <v>0</v>
      </c>
      <c r="H15" s="3">
        <v>3.3354530999999999E-5</v>
      </c>
      <c r="I15" s="3">
        <v>1.3687830999999999E-5</v>
      </c>
      <c r="J15" s="3">
        <v>-7.8056648999999995E-5</v>
      </c>
      <c r="K15" s="3"/>
      <c r="L15" s="3">
        <f t="shared" si="0"/>
        <v>2.7802955665024633E-2</v>
      </c>
      <c r="M15" s="3"/>
      <c r="N15" s="2">
        <f>IF('Modell einstellen'!$B$1="Voll",H15/0.35,H15/0.35*2)</f>
        <v>1.9059732E-4</v>
      </c>
      <c r="O15" s="2">
        <f>IF('Modell einstellen'!$B$1="Voll",J15/0.35,J15/0.35*2)</f>
        <v>-4.4603799428571429E-4</v>
      </c>
      <c r="P15" s="3">
        <f t="shared" si="1"/>
        <v>0.42731184885992224</v>
      </c>
      <c r="Q15" s="3"/>
      <c r="R15" s="3"/>
      <c r="S15" s="3"/>
      <c r="T15" s="3"/>
      <c r="U15" s="3"/>
    </row>
    <row r="16" spans="1:21" x14ac:dyDescent="0.25">
      <c r="A16" s="3">
        <v>0.01</v>
      </c>
      <c r="B16" s="3">
        <v>-2.8559999999999998E-6</v>
      </c>
      <c r="C16" s="3">
        <v>1.527E-4</v>
      </c>
      <c r="D16" s="3">
        <v>-2.9859999999999999E-4</v>
      </c>
      <c r="E16" s="3">
        <v>0</v>
      </c>
      <c r="F16" s="3">
        <v>0</v>
      </c>
      <c r="G16" s="3">
        <v>0</v>
      </c>
      <c r="H16" s="3">
        <v>3.5040031000000001E-5</v>
      </c>
      <c r="I16" s="3">
        <v>1.4021669E-5</v>
      </c>
      <c r="J16" s="3">
        <v>-8.0498156999999997E-5</v>
      </c>
      <c r="K16" s="3"/>
      <c r="L16" s="3">
        <f t="shared" si="0"/>
        <v>-9.5646349631614194E-3</v>
      </c>
      <c r="M16" s="3"/>
      <c r="N16" s="2">
        <f>IF('Modell einstellen'!$B$1="Voll",H16/0.35,H16/0.35*2)</f>
        <v>2.0022874857142858E-4</v>
      </c>
      <c r="O16" s="2">
        <f>IF('Modell einstellen'!$B$1="Voll",J16/0.35,J16/0.35*2)</f>
        <v>-4.5998946857142857E-4</v>
      </c>
      <c r="P16" s="3">
        <f t="shared" si="1"/>
        <v>0.43528985390311487</v>
      </c>
      <c r="Q16" s="3"/>
      <c r="R16" s="3"/>
      <c r="S16" s="3"/>
      <c r="T16" s="3"/>
      <c r="U16" s="3"/>
    </row>
    <row r="17" spans="1:25" x14ac:dyDescent="0.25">
      <c r="A17" s="3">
        <v>0.1</v>
      </c>
      <c r="B17" s="3">
        <v>-1.594E-5</v>
      </c>
      <c r="C17" s="3">
        <v>1.563E-4</v>
      </c>
      <c r="D17" s="3">
        <v>-2.9090000000000002E-4</v>
      </c>
      <c r="E17" s="3">
        <v>0</v>
      </c>
      <c r="F17" s="3">
        <v>0</v>
      </c>
      <c r="G17" s="3">
        <v>0</v>
      </c>
      <c r="H17" s="3">
        <v>3.6871693999999998E-5</v>
      </c>
      <c r="I17" s="3">
        <v>1.4358376000000001E-5</v>
      </c>
      <c r="J17" s="3">
        <v>-8.3092199000000001E-5</v>
      </c>
      <c r="K17" s="3"/>
      <c r="L17" s="3">
        <f t="shared" si="0"/>
        <v>-5.4795462358198689E-2</v>
      </c>
      <c r="M17" s="3"/>
      <c r="N17" s="2">
        <f>IF('Modell einstellen'!$B$1="Voll",H17/0.35,H17/0.35*2)</f>
        <v>2.106953942857143E-4</v>
      </c>
      <c r="O17" s="2">
        <f>IF('Modell einstellen'!$B$1="Voll",J17/0.35,J17/0.35*2)</f>
        <v>-4.7481256571428577E-4</v>
      </c>
      <c r="P17" s="3">
        <f t="shared" si="1"/>
        <v>0.44374435198182682</v>
      </c>
      <c r="Q17" s="3"/>
      <c r="R17" s="3"/>
      <c r="S17" s="3"/>
      <c r="T17" s="3"/>
      <c r="U17" s="3"/>
      <c r="V17" s="3"/>
      <c r="W17" s="3"/>
      <c r="X17" s="3"/>
      <c r="Y17" s="3"/>
    </row>
    <row r="18" spans="1:25" x14ac:dyDescent="0.25">
      <c r="A18" s="3">
        <v>1</v>
      </c>
      <c r="B18" s="3">
        <v>-3.1529999999999998E-5</v>
      </c>
      <c r="C18" s="3">
        <v>1.6019999999999999E-4</v>
      </c>
      <c r="D18" s="3">
        <v>-2.81E-4</v>
      </c>
      <c r="E18" s="3">
        <v>0</v>
      </c>
      <c r="F18" s="3">
        <v>0</v>
      </c>
      <c r="G18" s="3">
        <v>0</v>
      </c>
      <c r="H18" s="3">
        <v>3.8948264999999999E-5</v>
      </c>
      <c r="I18" s="3">
        <v>1.4714572E-5</v>
      </c>
      <c r="J18" s="3">
        <v>-8.5973596999999998E-5</v>
      </c>
      <c r="K18" s="3"/>
      <c r="L18" s="3">
        <f t="shared" si="0"/>
        <v>-0.11220640569395017</v>
      </c>
      <c r="M18" s="3"/>
      <c r="N18" s="2">
        <f>IF('Modell einstellen'!$B$1="Voll",H18/0.35,H18/0.35*2)</f>
        <v>2.225615142857143E-4</v>
      </c>
      <c r="O18" s="2">
        <f>IF('Modell einstellen'!$B$1="Voll",J18/0.35,J18/0.35*2)</f>
        <v>-4.9127769714285715E-4</v>
      </c>
      <c r="P18" s="3">
        <f t="shared" si="1"/>
        <v>0.4530258865404922</v>
      </c>
      <c r="Q18" s="3"/>
      <c r="R18" s="3"/>
      <c r="S18" s="3"/>
      <c r="T18" s="3"/>
      <c r="U18" s="3"/>
      <c r="V18" s="3"/>
      <c r="W18" s="3"/>
      <c r="X18" s="3"/>
      <c r="Y18" s="3"/>
    </row>
    <row r="19" spans="1:25" x14ac:dyDescent="0.25">
      <c r="A19" s="3">
        <v>10</v>
      </c>
      <c r="B19" s="3">
        <v>-4.8350000000000003E-5</v>
      </c>
      <c r="C19" s="3">
        <v>1.6430000000000001E-4</v>
      </c>
      <c r="D19" s="3">
        <v>-2.699E-4</v>
      </c>
      <c r="E19" s="3">
        <v>0</v>
      </c>
      <c r="F19" s="3">
        <v>0</v>
      </c>
      <c r="G19" s="3">
        <v>0</v>
      </c>
      <c r="H19" s="3">
        <v>4.1198980999999998E-5</v>
      </c>
      <c r="I19" s="3">
        <v>1.5103281E-5</v>
      </c>
      <c r="J19" s="3">
        <v>-8.9084417000000004E-5</v>
      </c>
      <c r="K19" s="3"/>
      <c r="L19" s="3">
        <f t="shared" si="0"/>
        <v>-0.17914042237865876</v>
      </c>
      <c r="M19" s="3"/>
      <c r="N19" s="2">
        <f>IF('Modell einstellen'!$B$1="Voll",H19/0.35,H19/0.35*2)</f>
        <v>2.3542274857142858E-4</v>
      </c>
      <c r="O19" s="2">
        <f>IF('Modell einstellen'!$B$1="Voll",J19/0.35,J19/0.35*2)</f>
        <v>-5.0905381142857145E-4</v>
      </c>
      <c r="P19" s="3">
        <f t="shared" si="1"/>
        <v>0.4624712423049252</v>
      </c>
      <c r="Q19" s="3"/>
      <c r="R19" s="3"/>
      <c r="S19" s="3"/>
      <c r="T19" s="3"/>
      <c r="U19" s="3"/>
      <c r="V19" s="3"/>
      <c r="W19" s="3"/>
      <c r="X19" s="3"/>
      <c r="Y19" s="3"/>
    </row>
    <row r="20" spans="1:25" x14ac:dyDescent="0.25">
      <c r="A20" s="3">
        <v>100</v>
      </c>
      <c r="B20" s="3">
        <v>-6.3020000000000003E-5</v>
      </c>
      <c r="C20" s="3">
        <v>1.7139999999999999E-4</v>
      </c>
      <c r="D20" s="3">
        <v>-2.6360000000000001E-4</v>
      </c>
      <c r="E20" s="3">
        <v>0</v>
      </c>
      <c r="F20" s="3">
        <v>0</v>
      </c>
      <c r="G20" s="3">
        <v>0</v>
      </c>
      <c r="H20" s="3">
        <v>4.4433481000000002E-5</v>
      </c>
      <c r="I20" s="3">
        <v>1.5965503999999999E-5</v>
      </c>
      <c r="J20" s="3">
        <v>-9.4071058E-5</v>
      </c>
      <c r="K20" s="3"/>
      <c r="L20" s="3">
        <f t="shared" si="0"/>
        <v>-0.23907435508345978</v>
      </c>
      <c r="M20" s="3"/>
      <c r="N20" s="2">
        <f>IF('Modell einstellen'!$B$1="Voll",H20/0.35,H20/0.35*2)</f>
        <v>2.5390560571428577E-4</v>
      </c>
      <c r="O20" s="2">
        <f>IF('Modell einstellen'!$B$1="Voll",J20/0.35,J20/0.35*2)</f>
        <v>-5.3754890285714289E-4</v>
      </c>
      <c r="P20" s="3">
        <f t="shared" si="1"/>
        <v>0.472339547834149</v>
      </c>
      <c r="Q20" s="3"/>
      <c r="R20" s="3"/>
      <c r="S20" s="3"/>
      <c r="T20" s="3"/>
      <c r="U20" s="3"/>
      <c r="V20" s="3"/>
      <c r="W20" s="3"/>
      <c r="X20" s="3"/>
      <c r="Y20" s="3"/>
    </row>
    <row r="21" spans="1:25" x14ac:dyDescent="0.25">
      <c r="A21" s="3">
        <v>1000</v>
      </c>
      <c r="B21" s="3">
        <v>-4.295E-5</v>
      </c>
      <c r="C21" s="3">
        <v>1.918E-4</v>
      </c>
      <c r="D21" s="3">
        <v>-3.01E-4</v>
      </c>
      <c r="E21" s="3">
        <v>0</v>
      </c>
      <c r="F21" s="3">
        <v>0</v>
      </c>
      <c r="G21" s="3">
        <v>0</v>
      </c>
      <c r="H21" s="3">
        <v>5.0612273000000003E-5</v>
      </c>
      <c r="I21" s="3">
        <v>1.9169187E-5</v>
      </c>
      <c r="J21" s="3">
        <v>-1.0633593E-4</v>
      </c>
      <c r="K21" s="3"/>
      <c r="L21" s="3">
        <f t="shared" si="0"/>
        <v>-0.14269102990033222</v>
      </c>
      <c r="M21" s="3"/>
      <c r="N21" s="2">
        <f>IF('Modell einstellen'!$B$1="Voll",H21/0.35,H21/0.35*2)</f>
        <v>2.8921298857142861E-4</v>
      </c>
      <c r="O21" s="2">
        <f>IF('Modell einstellen'!$B$1="Voll",J21/0.35,J21/0.35*2)</f>
        <v>-6.0763388571428577E-4</v>
      </c>
      <c r="P21" s="3">
        <f t="shared" si="1"/>
        <v>0.47596586591192652</v>
      </c>
      <c r="Q21" s="3"/>
      <c r="R21" s="3"/>
      <c r="S21" s="3"/>
      <c r="T21" s="3"/>
      <c r="U21" s="3"/>
      <c r="V21" s="3"/>
      <c r="W21" s="3"/>
      <c r="X21" s="3"/>
      <c r="Y21" s="3"/>
    </row>
    <row r="22" spans="1:25" x14ac:dyDescent="0.25">
      <c r="A22" s="3">
        <v>10000</v>
      </c>
      <c r="B22" s="3">
        <v>4.7700000000000001E-5</v>
      </c>
      <c r="C22" s="3">
        <v>2.3499999999999999E-4</v>
      </c>
      <c r="D22" s="3">
        <v>-4.2460000000000002E-4</v>
      </c>
      <c r="E22" s="3">
        <v>0</v>
      </c>
      <c r="F22" s="3">
        <v>0</v>
      </c>
      <c r="G22" s="3">
        <v>0</v>
      </c>
      <c r="H22" s="3">
        <v>6.1721644000000002E-5</v>
      </c>
      <c r="I22" s="3">
        <v>2.6891657000000001E-5</v>
      </c>
      <c r="J22" s="3">
        <v>-1.319723E-4</v>
      </c>
      <c r="K22" s="3"/>
      <c r="L22" s="3">
        <f t="shared" si="0"/>
        <v>0.11234102684879886</v>
      </c>
      <c r="M22" s="3"/>
      <c r="N22" s="2">
        <f>IF('Modell einstellen'!$B$1="Voll",H22/0.35,H22/0.35*2)</f>
        <v>3.5269510857142863E-4</v>
      </c>
      <c r="O22" s="2">
        <f>IF('Modell einstellen'!$B$1="Voll",J22/0.35,J22/0.35*2)</f>
        <v>-7.5412742857142862E-4</v>
      </c>
      <c r="P22" s="3">
        <f t="shared" si="1"/>
        <v>0.467686355394276</v>
      </c>
      <c r="Q22" s="3"/>
      <c r="R22" s="3"/>
      <c r="S22" s="3"/>
      <c r="T22" s="3"/>
      <c r="U22" s="3"/>
      <c r="V22" s="3"/>
      <c r="W22" s="3"/>
      <c r="X22" s="3"/>
      <c r="Y22" s="3"/>
    </row>
    <row r="23" spans="1:25" x14ac:dyDescent="0.25">
      <c r="A23" s="3">
        <v>100000</v>
      </c>
      <c r="B23" s="3">
        <v>1.718E-4</v>
      </c>
      <c r="C23" s="3">
        <v>2.9940000000000001E-4</v>
      </c>
      <c r="D23" s="3">
        <v>-6.0099999999999997E-4</v>
      </c>
      <c r="E23" s="3">
        <v>0</v>
      </c>
      <c r="F23" s="3">
        <v>0</v>
      </c>
      <c r="G23" s="3">
        <v>0</v>
      </c>
      <c r="H23" s="3">
        <v>7.6470255000000002E-5</v>
      </c>
      <c r="I23" s="3">
        <v>3.8134245999999997E-5</v>
      </c>
      <c r="J23" s="3">
        <v>-1.6799794000000001E-4</v>
      </c>
      <c r="K23" s="3"/>
      <c r="L23" s="3">
        <f t="shared" si="0"/>
        <v>0.28585690515806988</v>
      </c>
      <c r="M23" s="3"/>
      <c r="N23" s="2">
        <f>IF('Modell einstellen'!$B$1="Voll",H23/0.35,H23/0.35*2)</f>
        <v>4.3697288571428576E-4</v>
      </c>
      <c r="O23" s="2">
        <f>IF('Modell einstellen'!$B$1="Voll",J23/0.35,J23/0.35*2)</f>
        <v>-9.5998822857142866E-4</v>
      </c>
      <c r="P23" s="3">
        <f t="shared" si="1"/>
        <v>0.45518567072905775</v>
      </c>
      <c r="Q23" s="3"/>
      <c r="R23" s="3"/>
      <c r="S23" s="3"/>
      <c r="T23" s="3"/>
      <c r="U23" s="3"/>
      <c r="V23" s="3"/>
      <c r="W23" s="3"/>
      <c r="X23" s="3"/>
      <c r="Y23" s="3"/>
    </row>
    <row r="24" spans="1:25" x14ac:dyDescent="0.25">
      <c r="A24" s="3">
        <v>1000000</v>
      </c>
      <c r="B24" s="3">
        <v>2.966E-4</v>
      </c>
      <c r="C24" s="3">
        <v>3.836E-4</v>
      </c>
      <c r="D24" s="3">
        <v>-7.9980000000000003E-4</v>
      </c>
      <c r="E24" s="3">
        <v>0</v>
      </c>
      <c r="F24" s="3">
        <v>0</v>
      </c>
      <c r="G24" s="3">
        <v>0</v>
      </c>
      <c r="H24" s="3">
        <v>9.4876635000000001E-5</v>
      </c>
      <c r="I24" s="3">
        <v>5.2350035999999997E-5</v>
      </c>
      <c r="J24" s="3">
        <v>-2.1356922999999999E-4</v>
      </c>
      <c r="K24" s="3"/>
      <c r="L24" s="3">
        <f t="shared" si="0"/>
        <v>0.37084271067766938</v>
      </c>
      <c r="M24" s="3"/>
      <c r="N24" s="2">
        <f>IF('Modell einstellen'!$B$1="Voll",H24/0.35,H24/0.35*2)</f>
        <v>5.4215220000000002E-4</v>
      </c>
      <c r="O24" s="2">
        <f>IF('Modell einstellen'!$B$1="Voll",J24/0.35,J24/0.35*2)</f>
        <v>-1.2203956E-3</v>
      </c>
      <c r="P24" s="3">
        <f t="shared" si="1"/>
        <v>0.44424299792624622</v>
      </c>
      <c r="Q24" s="3"/>
      <c r="R24" s="3"/>
      <c r="S24" s="3"/>
      <c r="T24" s="3"/>
      <c r="U24" s="3"/>
      <c r="V24" s="3"/>
      <c r="W24" s="3"/>
      <c r="X24" s="3"/>
      <c r="Y24" s="3"/>
    </row>
    <row r="25" spans="1:25" x14ac:dyDescent="0.25">
      <c r="A25" s="3">
        <v>10000000</v>
      </c>
      <c r="B25" s="3">
        <v>4.126E-4</v>
      </c>
      <c r="C25" s="3">
        <v>4.9879999999999998E-4</v>
      </c>
      <c r="D25" s="3">
        <v>-1.023E-3</v>
      </c>
      <c r="E25" s="3">
        <v>0</v>
      </c>
      <c r="F25" s="3">
        <v>0</v>
      </c>
      <c r="G25" s="3">
        <v>0</v>
      </c>
      <c r="H25" s="3">
        <v>1.1969413000000001E-4</v>
      </c>
      <c r="I25" s="3">
        <v>7.1659267000000003E-5</v>
      </c>
      <c r="J25" s="3">
        <v>-2.7557419E-4</v>
      </c>
      <c r="K25" s="3"/>
      <c r="L25" s="3">
        <f t="shared" si="0"/>
        <v>0.40332355816226784</v>
      </c>
      <c r="M25" s="3"/>
      <c r="N25" s="2">
        <f>IF('Modell einstellen'!$B$1="Voll",H25/0.35,H25/0.35*2)</f>
        <v>6.8396645714285725E-4</v>
      </c>
      <c r="O25" s="2">
        <f>IF('Modell einstellen'!$B$1="Voll",J25/0.35,J25/0.35*2)</f>
        <v>-1.5747096571428571E-3</v>
      </c>
      <c r="P25" s="3">
        <f t="shared" si="1"/>
        <v>0.43434448632508005</v>
      </c>
      <c r="Q25" s="3"/>
      <c r="R25" s="3"/>
      <c r="S25" s="3"/>
      <c r="T25" s="3"/>
      <c r="U25" s="3"/>
      <c r="V25" s="3"/>
      <c r="W25" s="3"/>
      <c r="X25" s="3"/>
      <c r="Y25" s="3"/>
    </row>
    <row r="26" spans="1:25" x14ac:dyDescent="0.25">
      <c r="A26" s="3">
        <v>100000000</v>
      </c>
      <c r="B26" s="3">
        <v>5.1880000000000003E-4</v>
      </c>
      <c r="C26" s="3">
        <v>6.7540000000000005E-4</v>
      </c>
      <c r="D26" s="3">
        <v>-1.299E-3</v>
      </c>
      <c r="E26" s="3">
        <v>0</v>
      </c>
      <c r="F26" s="3">
        <v>0</v>
      </c>
      <c r="G26" s="3">
        <v>0</v>
      </c>
      <c r="H26" s="3">
        <v>1.5793200999999999E-4</v>
      </c>
      <c r="I26" s="3">
        <v>1.0185306999999999E-4</v>
      </c>
      <c r="J26" s="3">
        <v>-3.7216752E-4</v>
      </c>
      <c r="K26" s="3"/>
      <c r="L26" s="3">
        <f t="shared" si="0"/>
        <v>0.39938414164742109</v>
      </c>
      <c r="M26" s="3"/>
      <c r="N26" s="2">
        <f>IF('Modell einstellen'!$B$1="Voll",H26/0.35,H26/0.35*2)</f>
        <v>9.0246862857142854E-4</v>
      </c>
      <c r="O26" s="2">
        <f>IF('Modell einstellen'!$B$1="Voll",J26/0.35,J26/0.35*2)</f>
        <v>-2.126671542857143E-3</v>
      </c>
      <c r="P26" s="3">
        <f t="shared" si="1"/>
        <v>0.4243573162967042</v>
      </c>
      <c r="Q26" s="3"/>
      <c r="R26" s="3"/>
      <c r="S26" s="3"/>
      <c r="T26" s="3"/>
      <c r="U26" s="3"/>
      <c r="V26" s="3"/>
      <c r="W26" s="3"/>
      <c r="X26" s="3"/>
      <c r="Y26" s="3"/>
    </row>
    <row r="27" spans="1:25" x14ac:dyDescent="0.25">
      <c r="A27" s="3">
        <v>1000000000</v>
      </c>
      <c r="B27" s="3">
        <v>6.2629999999999999E-4</v>
      </c>
      <c r="C27" s="3">
        <v>9.634E-4</v>
      </c>
      <c r="D27" s="3">
        <v>-1.6869999999999999E-3</v>
      </c>
      <c r="E27" s="3">
        <v>0</v>
      </c>
      <c r="F27" s="3">
        <v>0</v>
      </c>
      <c r="G27" s="3">
        <v>0</v>
      </c>
      <c r="H27" s="3">
        <v>2.1896519E-4</v>
      </c>
      <c r="I27" s="3">
        <v>1.5183870999999999E-4</v>
      </c>
      <c r="J27" s="3">
        <v>-5.2975768000000005E-4</v>
      </c>
      <c r="K27" s="3"/>
      <c r="L27" s="3">
        <f t="shared" si="0"/>
        <v>0.37125074096028454</v>
      </c>
      <c r="M27" s="3"/>
      <c r="N27" s="2">
        <f>IF('Modell einstellen'!$B$1="Voll",H27/0.35,H27/0.35*2)</f>
        <v>1.2512296571428572E-3</v>
      </c>
      <c r="O27" s="2">
        <f>IF('Modell einstellen'!$B$1="Voll",J27/0.35,J27/0.35*2)</f>
        <v>-3.0271867428571433E-3</v>
      </c>
      <c r="P27" s="3">
        <f t="shared" si="1"/>
        <v>0.41333084590675495</v>
      </c>
      <c r="Q27" s="3"/>
      <c r="R27" s="3"/>
      <c r="S27" s="3"/>
      <c r="T27" s="3"/>
      <c r="U27" s="3"/>
      <c r="V27" s="3"/>
      <c r="W27" s="3"/>
      <c r="X27" s="3"/>
      <c r="Y27" s="3"/>
    </row>
    <row r="28" spans="1:25" x14ac:dyDescent="0.25">
      <c r="A28" s="3">
        <v>10000000000</v>
      </c>
      <c r="B28" s="3">
        <v>7.5339999999999999E-4</v>
      </c>
      <c r="C28" s="3">
        <v>1.3810000000000001E-3</v>
      </c>
      <c r="D28" s="3">
        <v>-2.2260000000000001E-3</v>
      </c>
      <c r="E28" s="3">
        <v>0</v>
      </c>
      <c r="F28" s="3">
        <v>0</v>
      </c>
      <c r="G28" s="3">
        <v>0</v>
      </c>
      <c r="H28" s="3">
        <v>3.0773615000000002E-4</v>
      </c>
      <c r="I28" s="3">
        <v>2.2622773E-4</v>
      </c>
      <c r="J28" s="3">
        <v>-7.6184620999999997E-4</v>
      </c>
      <c r="K28" s="3"/>
      <c r="L28" s="3">
        <f t="shared" si="0"/>
        <v>0.33845462713387242</v>
      </c>
      <c r="M28" s="3"/>
      <c r="N28" s="2">
        <f>IF('Modell einstellen'!$B$1="Voll",H28/0.35,H28/0.35*2)</f>
        <v>1.758492285714286E-3</v>
      </c>
      <c r="O28" s="2">
        <f>IF('Modell einstellen'!$B$1="Voll",J28/0.35,J28/0.35*2)</f>
        <v>-4.3534069142857146E-3</v>
      </c>
      <c r="P28" s="3">
        <f t="shared" si="1"/>
        <v>0.40393473900723353</v>
      </c>
      <c r="Q28" s="3"/>
      <c r="R28" s="3"/>
      <c r="S28" s="3"/>
      <c r="T28" s="3"/>
      <c r="U28" s="3"/>
      <c r="V28" s="3"/>
      <c r="W28" s="3"/>
      <c r="X28" s="3"/>
      <c r="Y28" s="3"/>
    </row>
    <row r="29" spans="1:25" x14ac:dyDescent="0.25">
      <c r="A29" s="3">
        <v>100000000000</v>
      </c>
      <c r="B29" s="3">
        <v>9.2940000000000004E-4</v>
      </c>
      <c r="C29" s="3">
        <v>1.892E-3</v>
      </c>
      <c r="D29" s="3">
        <v>-2.9069999999999999E-3</v>
      </c>
      <c r="E29" s="3">
        <v>0</v>
      </c>
      <c r="F29" s="3">
        <v>0</v>
      </c>
      <c r="G29" s="3">
        <v>0</v>
      </c>
      <c r="H29" s="3">
        <v>4.1475475000000002E-4</v>
      </c>
      <c r="I29" s="3">
        <v>3.1847287999999999E-4</v>
      </c>
      <c r="J29" s="3">
        <v>-1.0459375E-3</v>
      </c>
      <c r="K29" s="3"/>
      <c r="L29" s="3">
        <f t="shared" si="0"/>
        <v>0.31971104231166153</v>
      </c>
      <c r="M29" s="3"/>
      <c r="N29" s="2">
        <f>IF('Modell einstellen'!$B$1="Voll",H29/0.35,H29/0.35*2)</f>
        <v>2.370027142857143E-3</v>
      </c>
      <c r="O29" s="2">
        <f>IF('Modell einstellen'!$B$1="Voll",J29/0.35,J29/0.35*2)</f>
        <v>-5.9767857142857149E-3</v>
      </c>
      <c r="P29" s="3">
        <f t="shared" si="1"/>
        <v>0.39653875112040632</v>
      </c>
      <c r="Q29" s="3"/>
      <c r="R29" s="3"/>
      <c r="S29" s="3"/>
      <c r="T29" s="3"/>
      <c r="U29" s="3"/>
      <c r="V29" s="3"/>
      <c r="W29" s="3"/>
      <c r="X29" s="3"/>
      <c r="Y29" s="3"/>
    </row>
    <row r="30" spans="1:25" x14ac:dyDescent="0.25">
      <c r="A30" s="3">
        <v>1000000000000</v>
      </c>
      <c r="B30" s="3">
        <v>1.1379999999999999E-3</v>
      </c>
      <c r="C30" s="3">
        <v>2.3410000000000002E-3</v>
      </c>
      <c r="D30" s="3">
        <v>-3.5609999999999999E-3</v>
      </c>
      <c r="E30" s="3">
        <v>0</v>
      </c>
      <c r="F30" s="3">
        <v>0</v>
      </c>
      <c r="G30" s="3">
        <v>0</v>
      </c>
      <c r="H30" s="3">
        <v>5.0396733E-4</v>
      </c>
      <c r="I30" s="3">
        <v>3.9888765000000001E-4</v>
      </c>
      <c r="J30" s="3">
        <v>-1.2889526999999999E-3</v>
      </c>
      <c r="K30" s="3"/>
      <c r="L30" s="3">
        <f t="shared" si="0"/>
        <v>0.31957315360853689</v>
      </c>
      <c r="M30" s="3"/>
      <c r="N30" s="2">
        <f>IF('Modell einstellen'!$B$1="Voll",H30/0.35,H30/0.35*2)</f>
        <v>2.8798133142857144E-3</v>
      </c>
      <c r="O30" s="2">
        <f>IF('Modell einstellen'!$B$1="Voll",J30/0.35,J30/0.35*2)</f>
        <v>-7.3654439999999996E-3</v>
      </c>
      <c r="P30" s="3">
        <f t="shared" si="1"/>
        <v>0.39098977798021606</v>
      </c>
      <c r="Q30" s="3"/>
      <c r="R30" s="3"/>
      <c r="S30" s="3"/>
      <c r="T30" s="3"/>
      <c r="U30" s="3"/>
      <c r="V30" s="3"/>
      <c r="W30" s="3"/>
      <c r="X30" s="3"/>
      <c r="Y30" s="3"/>
    </row>
    <row r="31" spans="1:25" x14ac:dyDescent="0.25">
      <c r="A31" s="3">
        <v>10000000000000</v>
      </c>
      <c r="B31" s="3">
        <v>1.333E-3</v>
      </c>
      <c r="C31" s="3">
        <v>2.673E-3</v>
      </c>
      <c r="D31" s="3">
        <v>-4.084E-3</v>
      </c>
      <c r="E31" s="3">
        <v>0</v>
      </c>
      <c r="F31" s="3">
        <v>0</v>
      </c>
      <c r="G31" s="3">
        <v>0</v>
      </c>
      <c r="H31" s="3">
        <v>5.6582666999999999E-4</v>
      </c>
      <c r="I31" s="3">
        <v>4.5713976000000001E-4</v>
      </c>
      <c r="J31" s="3">
        <v>-1.4619218E-3</v>
      </c>
      <c r="K31" s="3"/>
      <c r="L31" s="3">
        <f t="shared" si="0"/>
        <v>0.32639569049951028</v>
      </c>
      <c r="M31" s="3"/>
      <c r="N31" s="2">
        <f>IF('Modell einstellen'!$B$1="Voll",H31/0.35,H31/0.35*2)</f>
        <v>3.2332952571428571E-3</v>
      </c>
      <c r="O31" s="2">
        <f>IF('Modell einstellen'!$B$1="Voll",J31/0.35,J31/0.35*2)</f>
        <v>-8.3538388571428573E-3</v>
      </c>
      <c r="P31" s="3">
        <f t="shared" si="1"/>
        <v>0.3870430484038202</v>
      </c>
      <c r="Q31" s="3"/>
      <c r="R31" s="3"/>
      <c r="S31" s="3"/>
      <c r="T31" s="3"/>
      <c r="U31" s="3"/>
      <c r="V31" s="3"/>
      <c r="W31" s="3"/>
      <c r="X31" s="3"/>
      <c r="Y31" s="3"/>
    </row>
    <row r="32" spans="1:25" x14ac:dyDescent="0.25">
      <c r="A32" s="3">
        <v>100000000000000</v>
      </c>
      <c r="B32" s="3">
        <v>1.4809999999999999E-3</v>
      </c>
      <c r="C32" s="3">
        <v>2.8909999999999999E-3</v>
      </c>
      <c r="D32" s="3">
        <v>-4.4489999999999998E-3</v>
      </c>
      <c r="E32" s="3">
        <v>0</v>
      </c>
      <c r="F32" s="3">
        <v>0</v>
      </c>
      <c r="G32" s="3">
        <v>0</v>
      </c>
      <c r="H32" s="3">
        <v>6.0437405999999995E-4</v>
      </c>
      <c r="I32" s="3">
        <v>4.9466606000000003E-4</v>
      </c>
      <c r="J32" s="3">
        <v>-1.5719162000000001E-3</v>
      </c>
      <c r="K32" s="3"/>
      <c r="L32" s="3">
        <f t="shared" si="0"/>
        <v>0.33288379411103619</v>
      </c>
      <c r="M32" s="3"/>
      <c r="N32" s="2">
        <f>IF('Modell einstellen'!$B$1="Voll",H32/0.35,H32/0.35*2)</f>
        <v>3.4535660571428572E-3</v>
      </c>
      <c r="O32" s="2">
        <f>IF('Modell einstellen'!$B$1="Voll",J32/0.35,J32/0.35*2)</f>
        <v>-8.9823782857142865E-3</v>
      </c>
      <c r="P32" s="3">
        <f t="shared" si="1"/>
        <v>0.38448236617193715</v>
      </c>
      <c r="Q32" s="3"/>
      <c r="R32" s="3"/>
      <c r="S32" s="3"/>
      <c r="T32" s="3"/>
      <c r="U32" s="3"/>
      <c r="V32" s="3"/>
      <c r="W32" s="3"/>
      <c r="X32" s="3"/>
      <c r="Y32" s="3"/>
    </row>
    <row r="33" spans="1:25" x14ac:dyDescent="0.25">
      <c r="A33" s="2">
        <v>1000000000000000</v>
      </c>
      <c r="B33" s="3">
        <v>1.4729999999999999E-3</v>
      </c>
      <c r="C33" s="3">
        <v>2.97E-3</v>
      </c>
      <c r="D33" s="3">
        <v>-4.5209999999999998E-3</v>
      </c>
      <c r="E33" s="3">
        <v>0</v>
      </c>
      <c r="F33" s="3">
        <v>0</v>
      </c>
      <c r="G33" s="3">
        <v>0</v>
      </c>
      <c r="H33" s="3">
        <v>6.3125439999999996E-4</v>
      </c>
      <c r="I33" s="3">
        <v>5.1252372000000002E-4</v>
      </c>
      <c r="J33" s="3">
        <v>-1.6326901E-3</v>
      </c>
      <c r="K33" s="3"/>
      <c r="L33" s="3">
        <f t="shared" si="0"/>
        <v>0.32581287325812874</v>
      </c>
      <c r="M33" s="3"/>
      <c r="N33" s="2">
        <f>IF('Modell einstellen'!$B$1="Voll",H33/0.35,H33/0.35*2)</f>
        <v>3.607168E-3</v>
      </c>
      <c r="O33" s="2">
        <f>IF('Modell einstellen'!$B$1="Voll",J33/0.35,J33/0.35*2)</f>
        <v>-9.3296577142857155E-3</v>
      </c>
      <c r="P33" s="3">
        <f t="shared" si="1"/>
        <v>0.38663454871196923</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116</v>
      </c>
      <c r="M1" s="82"/>
      <c r="N1" s="82" t="s">
        <v>39</v>
      </c>
      <c r="O1" s="3" t="s">
        <v>115</v>
      </c>
      <c r="P1" s="82" t="s">
        <v>116</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6.4610000000000007E-5</v>
      </c>
      <c r="C3" s="3">
        <v>1.153E-4</v>
      </c>
      <c r="D3" s="3">
        <v>-3.1040000000000001E-4</v>
      </c>
      <c r="E3" s="3">
        <v>0</v>
      </c>
      <c r="F3" s="3">
        <v>0</v>
      </c>
      <c r="G3" s="3">
        <v>0</v>
      </c>
      <c r="H3" s="3">
        <v>2.1749181999999999E-5</v>
      </c>
      <c r="I3" s="3">
        <v>1.0638167000000001E-5</v>
      </c>
      <c r="J3" s="3">
        <v>-5.9556908999999997E-5</v>
      </c>
      <c r="K3" s="3"/>
      <c r="L3" s="3">
        <f>-B3/D3</f>
        <v>0.2081507731958763</v>
      </c>
      <c r="M3" s="3"/>
      <c r="N3" s="2">
        <f>IF('Modell einstellen'!$B$1="Voll",H3/0.35,H3/0.35*2)</f>
        <v>1.2428104000000001E-4</v>
      </c>
      <c r="O3" s="2">
        <f>IF('Modell einstellen'!$B$1="Voll",J3/0.35,J3/0.35*2)</f>
        <v>-3.403251942857143E-4</v>
      </c>
      <c r="P3" s="3">
        <f>-N3/O3</f>
        <v>0.36518318974545844</v>
      </c>
      <c r="Q3" s="3"/>
      <c r="R3" s="3"/>
      <c r="S3" s="3"/>
      <c r="T3" s="3"/>
      <c r="U3" s="3"/>
    </row>
    <row r="4" spans="1:21" x14ac:dyDescent="0.25">
      <c r="A4" s="3">
        <v>1E-14</v>
      </c>
      <c r="B4" s="3">
        <v>6.3029999999999998E-5</v>
      </c>
      <c r="C4" s="3">
        <v>1.1730000000000001E-4</v>
      </c>
      <c r="D4" s="3">
        <v>-3.1179999999999999E-4</v>
      </c>
      <c r="E4" s="3">
        <v>0</v>
      </c>
      <c r="F4" s="3">
        <v>0</v>
      </c>
      <c r="G4" s="3">
        <v>0</v>
      </c>
      <c r="H4" s="3">
        <v>2.2353666999999999E-5</v>
      </c>
      <c r="I4" s="3">
        <v>1.0833878E-5</v>
      </c>
      <c r="J4" s="3">
        <v>-6.0607399000000002E-5</v>
      </c>
      <c r="K4" s="3"/>
      <c r="L4" s="3">
        <f t="shared" ref="L4:L33" si="0">-B4/D4</f>
        <v>0.20214881334188584</v>
      </c>
      <c r="M4" s="3"/>
      <c r="N4" s="2">
        <f>IF('Modell einstellen'!$B$1="Voll",H4/0.35,H4/0.35*2)</f>
        <v>1.2773524000000001E-4</v>
      </c>
      <c r="O4" s="2">
        <f>IF('Modell einstellen'!$B$1="Voll",J4/0.35,J4/0.35*2)</f>
        <v>-3.4632799428571432E-4</v>
      </c>
      <c r="P4" s="3">
        <f t="shared" ref="P4:P33" si="1">-N4/O4</f>
        <v>0.36882736050098436</v>
      </c>
      <c r="Q4" s="3"/>
      <c r="R4" s="3"/>
      <c r="S4" s="3"/>
      <c r="T4" s="3"/>
      <c r="U4" s="3"/>
    </row>
    <row r="5" spans="1:21" x14ac:dyDescent="0.25">
      <c r="A5" s="3">
        <v>1E-13</v>
      </c>
      <c r="B5" s="3">
        <v>6.1569999999999995E-5</v>
      </c>
      <c r="C5" s="3">
        <v>1.193E-4</v>
      </c>
      <c r="D5" s="3">
        <v>-3.1330000000000003E-4</v>
      </c>
      <c r="E5" s="3">
        <v>0</v>
      </c>
      <c r="F5" s="3">
        <v>0</v>
      </c>
      <c r="G5" s="3">
        <v>0</v>
      </c>
      <c r="H5" s="3">
        <v>2.2931129000000001E-5</v>
      </c>
      <c r="I5" s="3">
        <v>1.1021543E-5</v>
      </c>
      <c r="J5" s="3">
        <v>-6.1610794999999996E-5</v>
      </c>
      <c r="K5" s="3"/>
      <c r="L5" s="3">
        <f t="shared" si="0"/>
        <v>0.19652090647941267</v>
      </c>
      <c r="M5" s="3"/>
      <c r="N5" s="2">
        <f>IF('Modell einstellen'!$B$1="Voll",H5/0.35,H5/0.35*2)</f>
        <v>1.3103502285714288E-4</v>
      </c>
      <c r="O5" s="2">
        <f>IF('Modell einstellen'!$B$1="Voll",J5/0.35,J5/0.35*2)</f>
        <v>-3.5206168571428573E-4</v>
      </c>
      <c r="P5" s="3">
        <f t="shared" si="1"/>
        <v>0.37219336319227825</v>
      </c>
      <c r="Q5" s="3"/>
      <c r="R5" s="3"/>
      <c r="S5" s="3"/>
      <c r="T5" s="3"/>
      <c r="U5" s="3"/>
    </row>
    <row r="6" spans="1:21" x14ac:dyDescent="0.25">
      <c r="A6" s="3">
        <v>9.9999999999999998E-13</v>
      </c>
      <c r="B6" s="3">
        <v>5.9719999999999997E-5</v>
      </c>
      <c r="C6" s="3">
        <v>1.215E-4</v>
      </c>
      <c r="D6" s="3">
        <v>-3.1480000000000001E-4</v>
      </c>
      <c r="E6" s="3">
        <v>0</v>
      </c>
      <c r="F6" s="3">
        <v>0</v>
      </c>
      <c r="G6" s="3">
        <v>0</v>
      </c>
      <c r="H6" s="3">
        <v>2.3595212E-5</v>
      </c>
      <c r="I6" s="3">
        <v>1.1232962E-5</v>
      </c>
      <c r="J6" s="3">
        <v>-6.2754045999999995E-5</v>
      </c>
      <c r="K6" s="3"/>
      <c r="L6" s="3">
        <f t="shared" si="0"/>
        <v>0.189707750952986</v>
      </c>
      <c r="M6" s="3"/>
      <c r="N6" s="2">
        <f>IF('Modell einstellen'!$B$1="Voll",H6/0.35,H6/0.35*2)</f>
        <v>1.3482978285714287E-4</v>
      </c>
      <c r="O6" s="2">
        <f>IF('Modell einstellen'!$B$1="Voll",J6/0.35,J6/0.35*2)</f>
        <v>-3.5859454857142857E-4</v>
      </c>
      <c r="P6" s="3">
        <f t="shared" si="1"/>
        <v>0.37599507129787302</v>
      </c>
      <c r="Q6" s="3"/>
      <c r="R6" s="3"/>
      <c r="S6" s="3"/>
      <c r="T6" s="3"/>
      <c r="U6" s="3"/>
    </row>
    <row r="7" spans="1:21" x14ac:dyDescent="0.25">
      <c r="A7" s="3">
        <v>9.9999999999999994E-12</v>
      </c>
      <c r="B7" s="3">
        <v>5.736E-5</v>
      </c>
      <c r="C7" s="3">
        <v>1.2400000000000001E-4</v>
      </c>
      <c r="D7" s="3">
        <v>-3.1609999999999999E-4</v>
      </c>
      <c r="E7" s="3">
        <v>0</v>
      </c>
      <c r="F7" s="3">
        <v>0</v>
      </c>
      <c r="G7" s="3">
        <v>0</v>
      </c>
      <c r="H7" s="3">
        <v>2.4353440999999998E-5</v>
      </c>
      <c r="I7" s="3">
        <v>1.1467678E-5</v>
      </c>
      <c r="J7" s="3">
        <v>-6.4043796000000001E-5</v>
      </c>
      <c r="K7" s="3"/>
      <c r="L7" s="3">
        <f t="shared" si="0"/>
        <v>0.18146156279658338</v>
      </c>
      <c r="M7" s="3"/>
      <c r="N7" s="2">
        <f>IF('Modell einstellen'!$B$1="Voll",H7/0.35,H7/0.35*2)</f>
        <v>1.3916252E-4</v>
      </c>
      <c r="O7" s="2">
        <f>IF('Modell einstellen'!$B$1="Voll",J7/0.35,J7/0.35*2)</f>
        <v>-3.6596454857142861E-4</v>
      </c>
      <c r="P7" s="3">
        <f t="shared" si="1"/>
        <v>0.38026229738162298</v>
      </c>
      <c r="Q7" s="3"/>
      <c r="R7" s="3"/>
      <c r="S7" s="3"/>
      <c r="T7" s="3"/>
      <c r="U7" s="3"/>
    </row>
    <row r="8" spans="1:21" x14ac:dyDescent="0.25">
      <c r="A8" s="3">
        <v>1E-10</v>
      </c>
      <c r="B8" s="3">
        <v>5.4559999999999999E-5</v>
      </c>
      <c r="C8" s="3">
        <v>1.2750000000000001E-4</v>
      </c>
      <c r="D8" s="3">
        <v>-3.1819999999999998E-4</v>
      </c>
      <c r="E8" s="3">
        <v>0</v>
      </c>
      <c r="F8" s="3">
        <v>0</v>
      </c>
      <c r="G8" s="3">
        <v>0</v>
      </c>
      <c r="H8" s="3">
        <v>2.5277583E-5</v>
      </c>
      <c r="I8" s="3">
        <v>1.1774434999999999E-5</v>
      </c>
      <c r="J8" s="3">
        <v>-6.5648682000000005E-5</v>
      </c>
      <c r="K8" s="3"/>
      <c r="L8" s="3">
        <f t="shared" si="0"/>
        <v>0.17146448774355752</v>
      </c>
      <c r="M8" s="3"/>
      <c r="N8" s="2">
        <f>IF('Modell einstellen'!$B$1="Voll",H8/0.35,H8/0.35*2)</f>
        <v>1.4444333142857145E-4</v>
      </c>
      <c r="O8" s="2">
        <f>IF('Modell einstellen'!$B$1="Voll",J8/0.35,J8/0.35*2)</f>
        <v>-3.7513532571428575E-4</v>
      </c>
      <c r="P8" s="3">
        <f t="shared" si="1"/>
        <v>0.38504326712911008</v>
      </c>
      <c r="Q8" s="3"/>
      <c r="R8" s="3"/>
      <c r="S8" s="3"/>
      <c r="T8" s="3"/>
      <c r="U8" s="3"/>
    </row>
    <row r="9" spans="1:21" x14ac:dyDescent="0.25">
      <c r="A9" s="3">
        <v>1.0000000000000001E-9</v>
      </c>
      <c r="B9" s="3">
        <v>5.0710000000000001E-5</v>
      </c>
      <c r="C9" s="3">
        <v>1.2999999999999999E-4</v>
      </c>
      <c r="D9" s="3">
        <v>-3.1819999999999998E-4</v>
      </c>
      <c r="E9" s="3">
        <v>0</v>
      </c>
      <c r="F9" s="3">
        <v>0</v>
      </c>
      <c r="G9" s="3">
        <v>0</v>
      </c>
      <c r="H9" s="3">
        <v>2.6202189000000001E-5</v>
      </c>
      <c r="I9" s="3">
        <v>1.2022158999999999E-5</v>
      </c>
      <c r="J9" s="3">
        <v>-6.7141760999999995E-5</v>
      </c>
      <c r="K9" s="3"/>
      <c r="L9" s="3">
        <f t="shared" si="0"/>
        <v>0.15936517913262099</v>
      </c>
      <c r="M9" s="3"/>
      <c r="N9" s="2">
        <f>IF('Modell einstellen'!$B$1="Voll",H9/0.35,H9/0.35*2)</f>
        <v>1.497267942857143E-4</v>
      </c>
      <c r="O9" s="2">
        <f>IF('Modell einstellen'!$B$1="Voll",J9/0.35,J9/0.35*2)</f>
        <v>-3.8366720571428569E-4</v>
      </c>
      <c r="P9" s="3">
        <f t="shared" si="1"/>
        <v>0.3902517391523288</v>
      </c>
      <c r="Q9" s="3"/>
      <c r="R9" s="3"/>
      <c r="S9" s="3"/>
      <c r="T9" s="3"/>
      <c r="U9" s="3"/>
    </row>
    <row r="10" spans="1:21" x14ac:dyDescent="0.25">
      <c r="A10" s="3">
        <v>1E-8</v>
      </c>
      <c r="B10" s="3">
        <v>4.6839999999999999E-5</v>
      </c>
      <c r="C10" s="3">
        <v>1.3339999999999999E-4</v>
      </c>
      <c r="D10" s="3">
        <v>-3.1920000000000001E-4</v>
      </c>
      <c r="E10" s="3">
        <v>0</v>
      </c>
      <c r="F10" s="3">
        <v>0</v>
      </c>
      <c r="G10" s="3">
        <v>0</v>
      </c>
      <c r="H10" s="3">
        <v>2.7195444000000001E-5</v>
      </c>
      <c r="I10" s="3">
        <v>1.2325492000000001E-5</v>
      </c>
      <c r="J10" s="3">
        <v>-6.8809267000000002E-5</v>
      </c>
      <c r="K10" s="3"/>
      <c r="L10" s="3">
        <f t="shared" si="0"/>
        <v>0.14674185463659148</v>
      </c>
      <c r="M10" s="3"/>
      <c r="N10" s="2">
        <f>IF('Modell einstellen'!$B$1="Voll",H10/0.35,H10/0.35*2)</f>
        <v>1.5540253714285717E-4</v>
      </c>
      <c r="O10" s="2">
        <f>IF('Modell einstellen'!$B$1="Voll",J10/0.35,J10/0.35*2)</f>
        <v>-3.9319581142857146E-4</v>
      </c>
      <c r="P10" s="3">
        <f t="shared" si="1"/>
        <v>0.3952293809495166</v>
      </c>
      <c r="Q10" s="3"/>
      <c r="R10" s="3"/>
      <c r="S10" s="3"/>
      <c r="T10" s="3"/>
      <c r="U10" s="3"/>
    </row>
    <row r="11" spans="1:21" x14ac:dyDescent="0.25">
      <c r="A11" s="3">
        <v>9.9999999999999995E-8</v>
      </c>
      <c r="B11" s="3">
        <v>4.1279999999999998E-5</v>
      </c>
      <c r="C11" s="3">
        <v>1.37E-4</v>
      </c>
      <c r="D11" s="3">
        <v>-3.188E-4</v>
      </c>
      <c r="E11" s="3">
        <v>0</v>
      </c>
      <c r="F11" s="3">
        <v>0</v>
      </c>
      <c r="G11" s="3">
        <v>0</v>
      </c>
      <c r="H11" s="3">
        <v>2.8406935E-5</v>
      </c>
      <c r="I11" s="3">
        <v>1.2652179999999999E-5</v>
      </c>
      <c r="J11" s="3">
        <v>-7.0757169999999999E-5</v>
      </c>
      <c r="K11" s="3"/>
      <c r="L11" s="3">
        <f t="shared" si="0"/>
        <v>0.12948557089084065</v>
      </c>
      <c r="M11" s="3"/>
      <c r="N11" s="2">
        <f>IF('Modell einstellen'!$B$1="Voll",H11/0.35,H11/0.35*2)</f>
        <v>1.6232534285714288E-4</v>
      </c>
      <c r="O11" s="2">
        <f>IF('Modell einstellen'!$B$1="Voll",J11/0.35,J11/0.35*2)</f>
        <v>-4.0432668571428575E-4</v>
      </c>
      <c r="P11" s="3">
        <f t="shared" si="1"/>
        <v>0.40147076260964087</v>
      </c>
      <c r="Q11" s="3"/>
      <c r="R11" s="3"/>
      <c r="S11" s="3"/>
      <c r="T11" s="3"/>
      <c r="U11" s="3"/>
    </row>
    <row r="12" spans="1:21" x14ac:dyDescent="0.25">
      <c r="A12" s="3">
        <v>9.9999999999999995E-7</v>
      </c>
      <c r="B12" s="3">
        <v>3.3309999999999998E-5</v>
      </c>
      <c r="C12" s="3">
        <v>1.4129999999999999E-4</v>
      </c>
      <c r="D12" s="3">
        <v>-3.1710000000000001E-4</v>
      </c>
      <c r="E12" s="3">
        <v>0</v>
      </c>
      <c r="F12" s="3">
        <v>0</v>
      </c>
      <c r="G12" s="3">
        <v>0</v>
      </c>
      <c r="H12" s="3">
        <v>2.9980218000000001E-5</v>
      </c>
      <c r="I12" s="3">
        <v>1.3050636E-5</v>
      </c>
      <c r="J12" s="3">
        <v>-7.3228888E-5</v>
      </c>
      <c r="K12" s="3"/>
      <c r="L12" s="3">
        <f t="shared" si="0"/>
        <v>0.10504572690003153</v>
      </c>
      <c r="M12" s="3"/>
      <c r="N12" s="2">
        <f>IF('Modell einstellen'!$B$1="Voll",H12/0.35,H12/0.35*2)</f>
        <v>1.7131553142857143E-4</v>
      </c>
      <c r="O12" s="2">
        <f>IF('Modell einstellen'!$B$1="Voll",J12/0.35,J12/0.35*2)</f>
        <v>-4.1845078857142859E-4</v>
      </c>
      <c r="P12" s="3">
        <f t="shared" si="1"/>
        <v>0.40940425041002942</v>
      </c>
      <c r="Q12" s="3"/>
      <c r="R12" s="3"/>
      <c r="S12" s="3"/>
      <c r="T12" s="3"/>
      <c r="U12" s="3"/>
    </row>
    <row r="13" spans="1:21" x14ac:dyDescent="0.25">
      <c r="A13" s="3">
        <v>1.0000000000000001E-5</v>
      </c>
      <c r="B13" s="3">
        <v>2.315E-5</v>
      </c>
      <c r="C13" s="3">
        <v>1.4579999999999999E-4</v>
      </c>
      <c r="D13" s="3">
        <v>-3.1359999999999998E-4</v>
      </c>
      <c r="E13" s="3">
        <v>0</v>
      </c>
      <c r="F13" s="3">
        <v>0</v>
      </c>
      <c r="G13" s="3">
        <v>0</v>
      </c>
      <c r="H13" s="3">
        <v>3.1786589000000001E-5</v>
      </c>
      <c r="I13" s="3">
        <v>1.3474529E-5</v>
      </c>
      <c r="J13" s="3">
        <v>-7.5990842000000006E-5</v>
      </c>
      <c r="K13" s="3"/>
      <c r="L13" s="3">
        <f t="shared" si="0"/>
        <v>7.3820153061224497E-2</v>
      </c>
      <c r="M13" s="3"/>
      <c r="N13" s="2">
        <f>IF('Modell einstellen'!$B$1="Voll",H13/0.35,H13/0.35*2)</f>
        <v>1.8163765142857144E-4</v>
      </c>
      <c r="O13" s="2">
        <f>IF('Modell einstellen'!$B$1="Voll",J13/0.35,J13/0.35*2)</f>
        <v>-4.3423338285714292E-4</v>
      </c>
      <c r="P13" s="3">
        <f t="shared" si="1"/>
        <v>0.41829499665235975</v>
      </c>
      <c r="Q13" s="3"/>
      <c r="R13" s="3"/>
      <c r="S13" s="3"/>
      <c r="T13" s="3"/>
      <c r="U13" s="3"/>
    </row>
    <row r="14" spans="1:21" x14ac:dyDescent="0.25">
      <c r="A14" s="3">
        <v>1E-4</v>
      </c>
      <c r="B14" s="3">
        <v>1.2649999999999999E-5</v>
      </c>
      <c r="C14" s="3">
        <v>1.4980000000000001E-4</v>
      </c>
      <c r="D14" s="3">
        <v>-3.0899999999999998E-4</v>
      </c>
      <c r="E14" s="3">
        <v>0</v>
      </c>
      <c r="F14" s="3">
        <v>0</v>
      </c>
      <c r="G14" s="3">
        <v>0</v>
      </c>
      <c r="H14" s="3">
        <v>3.3487193999999997E-5</v>
      </c>
      <c r="I14" s="3">
        <v>1.3842846999999999E-5</v>
      </c>
      <c r="J14" s="3">
        <v>-7.8521472E-5</v>
      </c>
      <c r="K14" s="3"/>
      <c r="L14" s="3">
        <f t="shared" si="0"/>
        <v>4.0938511326860841E-2</v>
      </c>
      <c r="M14" s="3"/>
      <c r="N14" s="2">
        <f>IF('Modell einstellen'!$B$1="Voll",H14/0.35,H14/0.35*2)</f>
        <v>1.9135539428571428E-4</v>
      </c>
      <c r="O14" s="2">
        <f>IF('Modell einstellen'!$B$1="Voll",J14/0.35,J14/0.35*2)</f>
        <v>-4.4869412571428574E-4</v>
      </c>
      <c r="P14" s="3">
        <f t="shared" si="1"/>
        <v>0.42647180633597898</v>
      </c>
      <c r="Q14" s="3"/>
      <c r="R14" s="3"/>
      <c r="S14" s="3"/>
      <c r="T14" s="3"/>
      <c r="U14" s="3"/>
    </row>
    <row r="15" spans="1:21" x14ac:dyDescent="0.25">
      <c r="A15" s="3">
        <v>1E-3</v>
      </c>
      <c r="B15" s="3">
        <v>1.5770000000000001E-6</v>
      </c>
      <c r="C15" s="3">
        <v>1.5339999999999999E-4</v>
      </c>
      <c r="D15" s="3">
        <v>-3.033E-4</v>
      </c>
      <c r="E15" s="3">
        <v>0</v>
      </c>
      <c r="F15" s="3">
        <v>0</v>
      </c>
      <c r="G15" s="3">
        <v>0</v>
      </c>
      <c r="H15" s="3">
        <v>3.5166119000000001E-5</v>
      </c>
      <c r="I15" s="3">
        <v>1.4182682E-5</v>
      </c>
      <c r="J15" s="3">
        <v>-8.0966235000000007E-5</v>
      </c>
      <c r="K15" s="3"/>
      <c r="L15" s="3">
        <f t="shared" si="0"/>
        <v>5.199472469502143E-3</v>
      </c>
      <c r="M15" s="3"/>
      <c r="N15" s="2">
        <f>IF('Modell einstellen'!$B$1="Voll",H15/0.35,H15/0.35*2)</f>
        <v>2.0094925142857145E-4</v>
      </c>
      <c r="O15" s="2">
        <f>IF('Modell einstellen'!$B$1="Voll",J15/0.35,J15/0.35*2)</f>
        <v>-4.6266420000000007E-4</v>
      </c>
      <c r="P15" s="3">
        <f t="shared" si="1"/>
        <v>0.43433066882756743</v>
      </c>
      <c r="Q15" s="3"/>
      <c r="R15" s="3"/>
      <c r="S15" s="3"/>
      <c r="T15" s="3"/>
      <c r="U15" s="3"/>
    </row>
    <row r="16" spans="1:21" x14ac:dyDescent="0.25">
      <c r="A16" s="3">
        <v>0.01</v>
      </c>
      <c r="B16" s="3">
        <v>-1.13E-5</v>
      </c>
      <c r="C16" s="3">
        <v>1.572E-4</v>
      </c>
      <c r="D16" s="3">
        <v>-2.9579999999999998E-4</v>
      </c>
      <c r="E16" s="3">
        <v>0</v>
      </c>
      <c r="F16" s="3">
        <v>0</v>
      </c>
      <c r="G16" s="3">
        <v>0</v>
      </c>
      <c r="H16" s="3">
        <v>3.6999407999999999E-5</v>
      </c>
      <c r="I16" s="3">
        <v>1.4527301999999999E-5</v>
      </c>
      <c r="J16" s="3">
        <v>-8.3576111000000004E-5</v>
      </c>
      <c r="K16" s="3"/>
      <c r="L16" s="3">
        <f t="shared" si="0"/>
        <v>-3.820148749154835E-2</v>
      </c>
      <c r="M16" s="3"/>
      <c r="N16" s="2">
        <f>IF('Modell einstellen'!$B$1="Voll",H16/0.35,H16/0.35*2)</f>
        <v>2.1142518857142858E-4</v>
      </c>
      <c r="O16" s="2">
        <f>IF('Modell einstellen'!$B$1="Voll",J16/0.35,J16/0.35*2)</f>
        <v>-4.775777771428572E-4</v>
      </c>
      <c r="P16" s="3">
        <f t="shared" si="1"/>
        <v>0.44270315473281591</v>
      </c>
      <c r="Q16" s="3"/>
      <c r="R16" s="3"/>
      <c r="S16" s="3"/>
      <c r="T16" s="3"/>
      <c r="U16" s="3"/>
    </row>
    <row r="17" spans="1:21" x14ac:dyDescent="0.25">
      <c r="A17" s="3">
        <v>0.1</v>
      </c>
      <c r="B17" s="3">
        <v>-2.6610000000000001E-5</v>
      </c>
      <c r="C17" s="3">
        <v>1.6100000000000001E-4</v>
      </c>
      <c r="D17" s="3">
        <v>-2.8620000000000002E-4</v>
      </c>
      <c r="E17" s="3">
        <v>0</v>
      </c>
      <c r="F17" s="3">
        <v>0</v>
      </c>
      <c r="G17" s="3">
        <v>0</v>
      </c>
      <c r="H17" s="3">
        <v>3.9062488999999997E-5</v>
      </c>
      <c r="I17" s="3">
        <v>1.4887880000000001E-5</v>
      </c>
      <c r="J17" s="3">
        <v>-8.6450868999999998E-5</v>
      </c>
      <c r="K17" s="3"/>
      <c r="L17" s="3">
        <f t="shared" si="0"/>
        <v>-9.29769392033543E-2</v>
      </c>
      <c r="M17" s="3"/>
      <c r="N17" s="2">
        <f>IF('Modell einstellen'!$B$1="Voll",H17/0.35,H17/0.35*2)</f>
        <v>2.2321422285714285E-4</v>
      </c>
      <c r="O17" s="2">
        <f>IF('Modell einstellen'!$B$1="Voll",J17/0.35,J17/0.35*2)</f>
        <v>-4.940049657142857E-4</v>
      </c>
      <c r="P17" s="3">
        <f t="shared" si="1"/>
        <v>0.45184611157581306</v>
      </c>
      <c r="Q17" s="3"/>
      <c r="R17" s="3"/>
      <c r="S17" s="3"/>
      <c r="T17" s="3"/>
      <c r="U17" s="3"/>
    </row>
    <row r="18" spans="1:21" x14ac:dyDescent="0.25">
      <c r="A18" s="3">
        <v>1</v>
      </c>
      <c r="B18" s="3">
        <v>-4.3659999999999999E-5</v>
      </c>
      <c r="C18" s="3">
        <v>1.65E-4</v>
      </c>
      <c r="D18" s="3">
        <v>-2.7490000000000001E-4</v>
      </c>
      <c r="E18" s="3">
        <v>0</v>
      </c>
      <c r="F18" s="3">
        <v>0</v>
      </c>
      <c r="G18" s="3">
        <v>0</v>
      </c>
      <c r="H18" s="3">
        <v>4.1297939999999999E-5</v>
      </c>
      <c r="I18" s="3">
        <v>1.5263712E-5</v>
      </c>
      <c r="J18" s="3">
        <v>-8.9523112000000003E-5</v>
      </c>
      <c r="K18" s="3"/>
      <c r="L18" s="3">
        <f t="shared" si="0"/>
        <v>-0.15882138959621681</v>
      </c>
      <c r="M18" s="3"/>
      <c r="N18" s="2">
        <f>IF('Modell einstellen'!$B$1="Voll",H18/0.35,H18/0.35*2)</f>
        <v>2.3598822857142859E-4</v>
      </c>
      <c r="O18" s="2">
        <f>IF('Modell einstellen'!$B$1="Voll",J18/0.35,J18/0.35*2)</f>
        <v>-5.1156064000000003E-4</v>
      </c>
      <c r="P18" s="3">
        <f t="shared" si="1"/>
        <v>0.46131037089059196</v>
      </c>
      <c r="Q18" s="3"/>
      <c r="R18" s="3"/>
      <c r="S18" s="3"/>
      <c r="T18" s="3"/>
      <c r="U18" s="3"/>
    </row>
    <row r="19" spans="1:21" x14ac:dyDescent="0.25">
      <c r="A19" s="3">
        <v>10</v>
      </c>
      <c r="B19" s="3">
        <v>-6.1740000000000002E-5</v>
      </c>
      <c r="C19" s="3">
        <v>1.708E-4</v>
      </c>
      <c r="D19" s="3">
        <v>-2.6420000000000003E-4</v>
      </c>
      <c r="E19" s="3">
        <v>0</v>
      </c>
      <c r="F19" s="3">
        <v>0</v>
      </c>
      <c r="G19" s="3">
        <v>0</v>
      </c>
      <c r="H19" s="3">
        <v>4.4287730999999998E-5</v>
      </c>
      <c r="I19" s="3">
        <v>1.5917714E-5</v>
      </c>
      <c r="J19" s="3">
        <v>-9.3880491000000006E-5</v>
      </c>
      <c r="K19" s="3"/>
      <c r="L19" s="3">
        <f t="shared" si="0"/>
        <v>-0.23368660105980316</v>
      </c>
      <c r="M19" s="3"/>
      <c r="N19" s="2">
        <f>IF('Modell einstellen'!$B$1="Voll",H19/0.35,H19/0.35*2)</f>
        <v>2.5307274857142855E-4</v>
      </c>
      <c r="O19" s="2">
        <f>IF('Modell einstellen'!$B$1="Voll",J19/0.35,J19/0.35*2)</f>
        <v>-5.3645994857142863E-4</v>
      </c>
      <c r="P19" s="3">
        <f t="shared" si="1"/>
        <v>0.47174583907960166</v>
      </c>
      <c r="Q19" s="3"/>
      <c r="R19" s="3"/>
      <c r="S19" s="3"/>
      <c r="T19" s="3"/>
      <c r="U19" s="3"/>
    </row>
    <row r="20" spans="1:21" x14ac:dyDescent="0.25">
      <c r="A20" s="3">
        <v>100</v>
      </c>
      <c r="B20" s="3">
        <v>-5.7970000000000002E-5</v>
      </c>
      <c r="C20" s="3">
        <v>1.863E-4</v>
      </c>
      <c r="D20" s="3">
        <v>-2.8229999999999998E-4</v>
      </c>
      <c r="E20" s="3">
        <v>0</v>
      </c>
      <c r="F20" s="3">
        <v>0</v>
      </c>
      <c r="G20" s="3">
        <v>0</v>
      </c>
      <c r="H20" s="3">
        <v>4.9616590000000001E-5</v>
      </c>
      <c r="I20" s="3">
        <v>1.8245507999999999E-5</v>
      </c>
      <c r="J20" s="3">
        <v>-1.0368206000000001E-4</v>
      </c>
      <c r="K20" s="3"/>
      <c r="L20" s="3">
        <f t="shared" si="0"/>
        <v>-0.20534891958908966</v>
      </c>
      <c r="M20" s="3"/>
      <c r="N20" s="2">
        <f>IF('Modell einstellen'!$B$1="Voll",H20/0.35,H20/0.35*2)</f>
        <v>2.8352337142857143E-4</v>
      </c>
      <c r="O20" s="2">
        <f>IF('Modell einstellen'!$B$1="Voll",J20/0.35,J20/0.35*2)</f>
        <v>-5.9246891428571438E-4</v>
      </c>
      <c r="P20" s="3">
        <f t="shared" si="1"/>
        <v>0.4785455651633464</v>
      </c>
      <c r="Q20" s="3"/>
      <c r="R20" s="3"/>
      <c r="S20" s="3"/>
      <c r="T20" s="3"/>
      <c r="U20" s="3"/>
    </row>
    <row r="21" spans="1:21" x14ac:dyDescent="0.25">
      <c r="A21" s="3">
        <v>1000</v>
      </c>
      <c r="B21" s="3">
        <v>1.4080000000000001E-5</v>
      </c>
      <c r="C21" s="3">
        <v>2.2359999999999999E-4</v>
      </c>
      <c r="D21" s="3">
        <v>-3.8309999999999999E-4</v>
      </c>
      <c r="E21" s="3">
        <v>0</v>
      </c>
      <c r="F21" s="3">
        <v>0</v>
      </c>
      <c r="G21" s="3">
        <v>0</v>
      </c>
      <c r="H21" s="3">
        <v>5.9746427999999998E-5</v>
      </c>
      <c r="I21" s="3">
        <v>2.4873671999999999E-5</v>
      </c>
      <c r="J21" s="3">
        <v>-1.2628910999999999E-4</v>
      </c>
      <c r="K21" s="3"/>
      <c r="L21" s="3">
        <f t="shared" si="0"/>
        <v>3.6752806055860093E-2</v>
      </c>
      <c r="M21" s="3"/>
      <c r="N21" s="2">
        <f>IF('Modell einstellen'!$B$1="Voll",H21/0.35,H21/0.35*2)</f>
        <v>3.4140816000000003E-4</v>
      </c>
      <c r="O21" s="2">
        <f>IF('Modell einstellen'!$B$1="Voll",J21/0.35,J21/0.35*2)</f>
        <v>-7.2165205714285711E-4</v>
      </c>
      <c r="P21" s="3">
        <f t="shared" si="1"/>
        <v>0.47309247804501914</v>
      </c>
      <c r="Q21" s="3"/>
      <c r="R21" s="3"/>
      <c r="S21" s="3"/>
      <c r="T21" s="3"/>
      <c r="U21" s="3"/>
    </row>
    <row r="22" spans="1:21" x14ac:dyDescent="0.25">
      <c r="A22" s="3">
        <v>10000</v>
      </c>
      <c r="B22" s="3">
        <v>1.3320000000000001E-4</v>
      </c>
      <c r="C22" s="3">
        <v>2.8449999999999998E-4</v>
      </c>
      <c r="D22" s="3">
        <v>-5.5099999999999995E-4</v>
      </c>
      <c r="E22" s="3">
        <v>0</v>
      </c>
      <c r="F22" s="3">
        <v>0</v>
      </c>
      <c r="G22" s="3">
        <v>0</v>
      </c>
      <c r="H22" s="3">
        <v>7.4246235000000003E-5</v>
      </c>
      <c r="I22" s="3">
        <v>3.5664323E-5</v>
      </c>
      <c r="J22" s="3">
        <v>-1.6117959000000001E-4</v>
      </c>
      <c r="K22" s="3"/>
      <c r="L22" s="3">
        <f t="shared" si="0"/>
        <v>0.2417422867513612</v>
      </c>
      <c r="M22" s="3"/>
      <c r="N22" s="2">
        <f>IF('Modell einstellen'!$B$1="Voll",H22/0.35,H22/0.35*2)</f>
        <v>4.2426420000000006E-4</v>
      </c>
      <c r="O22" s="2">
        <f>IF('Modell einstellen'!$B$1="Voll",J22/0.35,J22/0.35*2)</f>
        <v>-9.2102622857142874E-4</v>
      </c>
      <c r="P22" s="3">
        <f t="shared" si="1"/>
        <v>0.46064290770314031</v>
      </c>
      <c r="Q22" s="3"/>
      <c r="R22" s="3"/>
      <c r="S22" s="3"/>
      <c r="T22" s="3"/>
      <c r="U22" s="3"/>
    </row>
    <row r="23" spans="1:21" x14ac:dyDescent="0.25">
      <c r="A23" s="3">
        <v>100000</v>
      </c>
      <c r="B23" s="3">
        <v>2.6039999999999999E-4</v>
      </c>
      <c r="C23" s="3">
        <v>3.6640000000000002E-4</v>
      </c>
      <c r="D23" s="3">
        <v>-7.4930000000000005E-4</v>
      </c>
      <c r="E23" s="3">
        <v>0</v>
      </c>
      <c r="F23" s="3">
        <v>0</v>
      </c>
      <c r="G23" s="3">
        <v>0</v>
      </c>
      <c r="H23" s="3">
        <v>9.2668220999999999E-5</v>
      </c>
      <c r="I23" s="3">
        <v>4.9720557000000002E-5</v>
      </c>
      <c r="J23" s="3">
        <v>-2.0641138000000001E-4</v>
      </c>
      <c r="K23" s="3"/>
      <c r="L23" s="3">
        <f t="shared" si="0"/>
        <v>0.34752435606566123</v>
      </c>
      <c r="M23" s="3"/>
      <c r="N23" s="2">
        <f>IF('Modell einstellen'!$B$1="Voll",H23/0.35,H23/0.35*2)</f>
        <v>5.295326914285715E-4</v>
      </c>
      <c r="O23" s="2">
        <f>IF('Modell einstellen'!$B$1="Voll",J23/0.35,J23/0.35*2)</f>
        <v>-1.1794936000000002E-3</v>
      </c>
      <c r="P23" s="3">
        <f t="shared" si="1"/>
        <v>0.4489491858443076</v>
      </c>
      <c r="Q23" s="3"/>
      <c r="R23" s="3"/>
      <c r="S23" s="3"/>
      <c r="T23" s="3"/>
      <c r="U23" s="3"/>
    </row>
    <row r="24" spans="1:21" x14ac:dyDescent="0.25">
      <c r="A24" s="3">
        <v>1000000</v>
      </c>
      <c r="B24" s="3">
        <v>3.8000000000000002E-4</v>
      </c>
      <c r="C24" s="3">
        <v>4.7849999999999998E-4</v>
      </c>
      <c r="D24" s="3">
        <v>-9.7249999999999995E-4</v>
      </c>
      <c r="E24" s="3">
        <v>0</v>
      </c>
      <c r="F24" s="3">
        <v>0</v>
      </c>
      <c r="G24" s="3">
        <v>0</v>
      </c>
      <c r="H24" s="3">
        <v>1.1746431999999999E-4</v>
      </c>
      <c r="I24" s="3">
        <v>6.8736947999999994E-5</v>
      </c>
      <c r="J24" s="3">
        <v>-2.6778453000000002E-4</v>
      </c>
      <c r="K24" s="3"/>
      <c r="L24" s="3">
        <f t="shared" si="0"/>
        <v>0.39074550128534707</v>
      </c>
      <c r="M24" s="3"/>
      <c r="N24" s="2">
        <f>IF('Modell einstellen'!$B$1="Voll",H24/0.35,H24/0.35*2)</f>
        <v>6.712246857142857E-4</v>
      </c>
      <c r="O24" s="2">
        <f>IF('Modell einstellen'!$B$1="Voll",J24/0.35,J24/0.35*2)</f>
        <v>-1.5301973142857145E-3</v>
      </c>
      <c r="P24" s="3">
        <f t="shared" si="1"/>
        <v>0.4386523747282936</v>
      </c>
      <c r="Q24" s="3"/>
      <c r="R24" s="3"/>
      <c r="S24" s="3"/>
      <c r="T24" s="3"/>
      <c r="U24" s="3"/>
    </row>
    <row r="25" spans="1:21" x14ac:dyDescent="0.25">
      <c r="A25" s="3">
        <v>10000000</v>
      </c>
      <c r="B25" s="3">
        <v>4.8799999999999999E-4</v>
      </c>
      <c r="C25" s="3">
        <v>6.4919999999999995E-4</v>
      </c>
      <c r="D25" s="3">
        <v>-1.2440000000000001E-3</v>
      </c>
      <c r="E25" s="3">
        <v>0</v>
      </c>
      <c r="F25" s="3">
        <v>0</v>
      </c>
      <c r="G25" s="3">
        <v>0</v>
      </c>
      <c r="H25" s="3">
        <v>1.5519087E-4</v>
      </c>
      <c r="I25" s="3">
        <v>9.8127203000000006E-5</v>
      </c>
      <c r="J25" s="3">
        <v>-3.6228144000000003E-4</v>
      </c>
      <c r="K25" s="3"/>
      <c r="L25" s="3">
        <f t="shared" si="0"/>
        <v>0.39228295819935688</v>
      </c>
      <c r="M25" s="3"/>
      <c r="N25" s="2">
        <f>IF('Modell einstellen'!$B$1="Voll",H25/0.35,H25/0.35*2)</f>
        <v>8.8680497142857152E-4</v>
      </c>
      <c r="O25" s="2">
        <f>IF('Modell einstellen'!$B$1="Voll",J25/0.35,J25/0.35*2)</f>
        <v>-2.0701796571428576E-3</v>
      </c>
      <c r="P25" s="3">
        <f t="shared" si="1"/>
        <v>0.42837102005556782</v>
      </c>
      <c r="Q25" s="3"/>
      <c r="R25" s="3"/>
      <c r="S25" s="3"/>
      <c r="T25" s="3"/>
      <c r="U25" s="3"/>
    </row>
    <row r="26" spans="1:21" x14ac:dyDescent="0.25">
      <c r="A26" s="3">
        <v>100000000</v>
      </c>
      <c r="B26" s="3">
        <v>5.9329999999999995E-4</v>
      </c>
      <c r="C26" s="3">
        <v>9.2969999999999999E-4</v>
      </c>
      <c r="D26" s="3">
        <v>-1.622E-3</v>
      </c>
      <c r="E26" s="3">
        <v>0</v>
      </c>
      <c r="F26" s="3">
        <v>0</v>
      </c>
      <c r="G26" s="3">
        <v>0</v>
      </c>
      <c r="H26" s="3">
        <v>2.1550656999999999E-4</v>
      </c>
      <c r="I26" s="3">
        <v>1.4702617E-4</v>
      </c>
      <c r="J26" s="3">
        <v>-5.1704555000000002E-4</v>
      </c>
      <c r="K26" s="3"/>
      <c r="L26" s="3">
        <f t="shared" si="0"/>
        <v>0.36578298397040687</v>
      </c>
      <c r="M26" s="3"/>
      <c r="N26" s="2">
        <f>IF('Modell einstellen'!$B$1="Voll",H26/0.35,H26/0.35*2)</f>
        <v>1.2314661142857144E-3</v>
      </c>
      <c r="O26" s="2">
        <f>IF('Modell einstellen'!$B$1="Voll",J26/0.35,J26/0.35*2)</f>
        <v>-2.9545460000000002E-3</v>
      </c>
      <c r="P26" s="3">
        <f t="shared" si="1"/>
        <v>0.41680383865599463</v>
      </c>
      <c r="Q26" s="3"/>
      <c r="R26" s="3"/>
      <c r="S26" s="3"/>
      <c r="T26" s="3"/>
      <c r="U26" s="3"/>
    </row>
    <row r="27" spans="1:21" x14ac:dyDescent="0.25">
      <c r="A27" s="3">
        <v>1000000000</v>
      </c>
      <c r="B27" s="3">
        <v>7.1509999999999998E-4</v>
      </c>
      <c r="C27" s="3">
        <v>1.3389999999999999E-3</v>
      </c>
      <c r="D27" s="3">
        <v>-2.147E-3</v>
      </c>
      <c r="E27" s="3">
        <v>0</v>
      </c>
      <c r="F27" s="3">
        <v>0</v>
      </c>
      <c r="G27" s="3">
        <v>0</v>
      </c>
      <c r="H27" s="3">
        <v>3.0298135999999999E-4</v>
      </c>
      <c r="I27" s="3">
        <v>2.2002434E-4</v>
      </c>
      <c r="J27" s="3">
        <v>-7.4516844999999998E-4</v>
      </c>
      <c r="K27" s="3"/>
      <c r="L27" s="3">
        <f t="shared" si="0"/>
        <v>0.33306939916162087</v>
      </c>
      <c r="M27" s="3"/>
      <c r="N27" s="2">
        <f>IF('Modell einstellen'!$B$1="Voll",H27/0.35,H27/0.35*2)</f>
        <v>1.7313220571428573E-3</v>
      </c>
      <c r="O27" s="2">
        <f>IF('Modell einstellen'!$B$1="Voll",J27/0.35,J27/0.35*2)</f>
        <v>-4.2581054285714291E-3</v>
      </c>
      <c r="P27" s="3">
        <f t="shared" si="1"/>
        <v>0.40659445525370808</v>
      </c>
      <c r="Q27" s="3"/>
      <c r="R27" s="3"/>
      <c r="S27" s="3"/>
      <c r="T27" s="3"/>
      <c r="U27" s="3"/>
    </row>
    <row r="28" spans="1:21" x14ac:dyDescent="0.25">
      <c r="A28" s="3">
        <v>10000000000</v>
      </c>
      <c r="B28" s="3">
        <v>8.8650000000000003E-4</v>
      </c>
      <c r="C28" s="3">
        <v>1.8500000000000001E-3</v>
      </c>
      <c r="D28" s="3">
        <v>-2.8240000000000001E-3</v>
      </c>
      <c r="E28" s="3">
        <v>0</v>
      </c>
      <c r="F28" s="3">
        <v>0</v>
      </c>
      <c r="G28" s="3">
        <v>0</v>
      </c>
      <c r="H28" s="3">
        <v>4.1044912999999998E-4</v>
      </c>
      <c r="I28" s="3">
        <v>3.1246183999999999E-4</v>
      </c>
      <c r="J28" s="3">
        <v>-1.0301074000000001E-3</v>
      </c>
      <c r="K28" s="3"/>
      <c r="L28" s="3">
        <f t="shared" si="0"/>
        <v>0.31391643059490082</v>
      </c>
      <c r="M28" s="3"/>
      <c r="N28" s="2">
        <f>IF('Modell einstellen'!$B$1="Voll",H28/0.35,H28/0.35*2)</f>
        <v>2.3454235999999999E-3</v>
      </c>
      <c r="O28" s="2">
        <f>IF('Modell einstellen'!$B$1="Voll",J28/0.35,J28/0.35*2)</f>
        <v>-5.8863280000000006E-3</v>
      </c>
      <c r="P28" s="3">
        <f t="shared" si="1"/>
        <v>0.39845275356724935</v>
      </c>
      <c r="Q28" s="3"/>
      <c r="R28" s="3"/>
      <c r="S28" s="3"/>
      <c r="T28" s="3"/>
      <c r="U28" s="3"/>
    </row>
    <row r="29" spans="1:21" x14ac:dyDescent="0.25">
      <c r="A29" s="3">
        <v>100000000000</v>
      </c>
      <c r="B29" s="3">
        <v>1.098E-3</v>
      </c>
      <c r="C29" s="3">
        <v>2.3040000000000001E-3</v>
      </c>
      <c r="D29" s="3">
        <v>-3.4840000000000001E-3</v>
      </c>
      <c r="E29" s="3">
        <v>0</v>
      </c>
      <c r="F29" s="3">
        <v>0</v>
      </c>
      <c r="G29" s="3">
        <v>0</v>
      </c>
      <c r="H29" s="3">
        <v>5.0002730999999996E-4</v>
      </c>
      <c r="I29" s="3">
        <v>3.9353836E-4</v>
      </c>
      <c r="J29" s="3">
        <v>-1.2747809E-3</v>
      </c>
      <c r="K29" s="3"/>
      <c r="L29" s="3">
        <f t="shared" si="0"/>
        <v>0.31515499425947185</v>
      </c>
      <c r="M29" s="3"/>
      <c r="N29" s="2">
        <f>IF('Modell einstellen'!$B$1="Voll",H29/0.35,H29/0.35*2)</f>
        <v>2.8572989142857143E-3</v>
      </c>
      <c r="O29" s="2">
        <f>IF('Modell einstellen'!$B$1="Voll",J29/0.35,J29/0.35*2)</f>
        <v>-7.2844622857142858E-3</v>
      </c>
      <c r="P29" s="3">
        <f t="shared" si="1"/>
        <v>0.39224568708238411</v>
      </c>
      <c r="Q29" s="3"/>
      <c r="R29" s="3"/>
      <c r="S29" s="3"/>
      <c r="T29" s="3"/>
      <c r="U29" s="3"/>
    </row>
    <row r="30" spans="1:21" x14ac:dyDescent="0.25">
      <c r="A30" s="3">
        <v>1000000000000</v>
      </c>
      <c r="B30" s="3">
        <v>1.3010000000000001E-3</v>
      </c>
      <c r="C30" s="3">
        <v>2.647E-3</v>
      </c>
      <c r="D30" s="3">
        <v>-4.0280000000000003E-3</v>
      </c>
      <c r="E30" s="3">
        <v>0</v>
      </c>
      <c r="F30" s="3">
        <v>0</v>
      </c>
      <c r="G30" s="3">
        <v>0</v>
      </c>
      <c r="H30" s="3">
        <v>5.6381160999999995E-4</v>
      </c>
      <c r="I30" s="3">
        <v>4.5382890999999997E-4</v>
      </c>
      <c r="J30" s="3">
        <v>-1.4535793999999999E-3</v>
      </c>
      <c r="K30" s="3"/>
      <c r="L30" s="3">
        <f t="shared" si="0"/>
        <v>0.32298907646474678</v>
      </c>
      <c r="M30" s="3"/>
      <c r="N30" s="2">
        <f>IF('Modell einstellen'!$B$1="Voll",H30/0.35,H30/0.35*2)</f>
        <v>3.2217806285714285E-3</v>
      </c>
      <c r="O30" s="2">
        <f>IF('Modell einstellen'!$B$1="Voll",J30/0.35,J30/0.35*2)</f>
        <v>-8.3061679999999992E-3</v>
      </c>
      <c r="P30" s="3">
        <f t="shared" si="1"/>
        <v>0.38787809596090866</v>
      </c>
      <c r="Q30" s="3"/>
      <c r="R30" s="3"/>
      <c r="S30" s="3"/>
      <c r="T30" s="3"/>
      <c r="U30" s="3"/>
    </row>
    <row r="31" spans="1:21" x14ac:dyDescent="0.25">
      <c r="A31" s="3">
        <v>10000000000000</v>
      </c>
      <c r="B31" s="3">
        <v>1.4580000000000001E-3</v>
      </c>
      <c r="C31" s="3">
        <v>2.8709999999999999E-3</v>
      </c>
      <c r="D31" s="3">
        <v>-4.4060000000000002E-3</v>
      </c>
      <c r="E31" s="3">
        <v>0</v>
      </c>
      <c r="F31" s="3">
        <v>0</v>
      </c>
      <c r="G31" s="3">
        <v>0</v>
      </c>
      <c r="H31" s="3">
        <v>6.0239690000000003E-4</v>
      </c>
      <c r="I31" s="3">
        <v>4.9192531E-4</v>
      </c>
      <c r="J31" s="3">
        <v>-1.5647066999999999E-3</v>
      </c>
      <c r="K31" s="3"/>
      <c r="L31" s="3">
        <f t="shared" si="0"/>
        <v>0.33091239219246482</v>
      </c>
      <c r="M31" s="3"/>
      <c r="N31" s="2">
        <f>IF('Modell einstellen'!$B$1="Voll",H31/0.35,H31/0.35*2)</f>
        <v>3.4422680000000005E-3</v>
      </c>
      <c r="O31" s="2">
        <f>IF('Modell einstellen'!$B$1="Voll",J31/0.35,J31/0.35*2)</f>
        <v>-8.9411811428571422E-3</v>
      </c>
      <c r="P31" s="3">
        <f t="shared" si="1"/>
        <v>0.38499029882085894</v>
      </c>
      <c r="Q31" s="3"/>
      <c r="R31" s="3"/>
      <c r="S31" s="3"/>
      <c r="T31" s="3"/>
      <c r="U31" s="3"/>
    </row>
    <row r="32" spans="1:21" x14ac:dyDescent="0.25">
      <c r="A32" s="3">
        <v>100000000000000</v>
      </c>
      <c r="B32" s="3">
        <v>1.4480000000000001E-3</v>
      </c>
      <c r="C32" s="3">
        <v>2.9520000000000002E-3</v>
      </c>
      <c r="D32" s="3">
        <v>-4.4780000000000002E-3</v>
      </c>
      <c r="E32" s="3">
        <v>0</v>
      </c>
      <c r="F32" s="3">
        <v>0</v>
      </c>
      <c r="G32" s="3">
        <v>0</v>
      </c>
      <c r="H32" s="3">
        <v>6.3006805999999999E-4</v>
      </c>
      <c r="I32" s="3">
        <v>5.1025075E-4</v>
      </c>
      <c r="J32" s="3">
        <v>-1.6271606000000001E-3</v>
      </c>
      <c r="K32" s="3"/>
      <c r="L32" s="3">
        <f t="shared" si="0"/>
        <v>0.32335864225100491</v>
      </c>
      <c r="M32" s="3"/>
      <c r="N32" s="2">
        <f>IF('Modell einstellen'!$B$1="Voll",H32/0.35,H32/0.35*2)</f>
        <v>3.6003889142857144E-3</v>
      </c>
      <c r="O32" s="2">
        <f>IF('Modell einstellen'!$B$1="Voll",J32/0.35,J32/0.35*2)</f>
        <v>-9.2980605714285732E-3</v>
      </c>
      <c r="P32" s="3">
        <f t="shared" si="1"/>
        <v>0.38721934392954199</v>
      </c>
      <c r="Q32" s="3"/>
      <c r="R32" s="3"/>
      <c r="S32" s="3"/>
      <c r="T32" s="3"/>
      <c r="U32" s="3"/>
    </row>
    <row r="33" spans="1:21" x14ac:dyDescent="0.25">
      <c r="A33" s="2">
        <v>1000000000000000</v>
      </c>
      <c r="B33" s="3">
        <v>1.6440000000000001E-3</v>
      </c>
      <c r="C33" s="3">
        <v>3.1189999999999998E-3</v>
      </c>
      <c r="D33" s="3">
        <v>-4.8390000000000004E-3</v>
      </c>
      <c r="E33" s="3">
        <v>0</v>
      </c>
      <c r="F33" s="3">
        <v>0</v>
      </c>
      <c r="G33" s="3">
        <v>0</v>
      </c>
      <c r="H33" s="3">
        <v>6.4626503999999998E-4</v>
      </c>
      <c r="I33" s="3">
        <v>5.3493541000000004E-4</v>
      </c>
      <c r="J33" s="3">
        <v>-1.6903407000000001E-3</v>
      </c>
      <c r="K33" s="3"/>
      <c r="L33" s="3">
        <f t="shared" si="0"/>
        <v>0.3397396156230626</v>
      </c>
      <c r="M33" s="3"/>
      <c r="N33" s="2">
        <f>IF('Modell einstellen'!$B$1="Voll",H33/0.35,H33/0.35*2)</f>
        <v>3.6929430857142857E-3</v>
      </c>
      <c r="O33" s="2">
        <f>IF('Modell einstellen'!$B$1="Voll",J33/0.35,J33/0.35*2)</f>
        <v>-9.6590897142857148E-3</v>
      </c>
      <c r="P33" s="3">
        <f t="shared" si="1"/>
        <v>0.38232827263758129</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115</v>
      </c>
      <c r="P1" s="100" t="s">
        <v>116</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6.6470000000000006E-5</v>
      </c>
      <c r="C3" s="3">
        <v>1.184E-4</v>
      </c>
      <c r="D3" s="3">
        <v>-3.1589999999999998E-4</v>
      </c>
      <c r="E3" s="3">
        <v>0</v>
      </c>
      <c r="F3" s="3">
        <v>0</v>
      </c>
      <c r="G3" s="3">
        <v>0</v>
      </c>
      <c r="H3" s="3">
        <v>2.254163E-5</v>
      </c>
      <c r="I3" s="3">
        <v>1.0983850999999999E-5</v>
      </c>
      <c r="J3" s="3">
        <v>-6.1149377000000005E-5</v>
      </c>
      <c r="K3" s="2"/>
      <c r="L3" s="3"/>
      <c r="M3" s="3"/>
      <c r="N3" s="2">
        <f>IF('Modell einstellen'!$B$1="Voll",H3/0.35,H3/0.35*2)</f>
        <v>1.2880931428571428E-4</v>
      </c>
      <c r="O3" s="2">
        <f>IF('Modell einstellen'!$B$1="Voll",J3/0.35,J3/0.35*2)</f>
        <v>-3.4942501142857146E-4</v>
      </c>
      <c r="P3" s="3">
        <f>-N3/O3</f>
        <v>0.36863221026765319</v>
      </c>
      <c r="Q3" s="3"/>
      <c r="R3" s="3"/>
      <c r="S3" s="3"/>
      <c r="T3" s="3"/>
      <c r="U3" s="3"/>
    </row>
    <row r="4" spans="1:21" x14ac:dyDescent="0.25">
      <c r="A4" s="3">
        <v>1E-14</v>
      </c>
      <c r="B4" s="3">
        <v>6.4499999999999996E-5</v>
      </c>
      <c r="C4" s="3">
        <v>1.2070000000000001E-4</v>
      </c>
      <c r="D4" s="3">
        <v>-3.1740000000000002E-4</v>
      </c>
      <c r="E4" s="3">
        <v>0</v>
      </c>
      <c r="F4" s="3">
        <v>0</v>
      </c>
      <c r="G4" s="3">
        <v>0</v>
      </c>
      <c r="H4" s="3">
        <v>2.3258552999999999E-5</v>
      </c>
      <c r="I4" s="3">
        <v>1.1212945E-5</v>
      </c>
      <c r="J4" s="3">
        <v>-6.2385052999999998E-5</v>
      </c>
      <c r="K4" s="2"/>
      <c r="L4" s="3"/>
      <c r="M4" s="3"/>
      <c r="N4" s="2">
        <f>IF('Modell einstellen'!$B$1="Voll",H4/0.35,H4/0.35*2)</f>
        <v>1.3290601714285714E-4</v>
      </c>
      <c r="O4" s="2">
        <f>IF('Modell einstellen'!$B$1="Voll",J4/0.35,J4/0.35*2)</f>
        <v>-3.5648601714285716E-4</v>
      </c>
      <c r="P4" s="3">
        <f t="shared" ref="P4:P33" si="0">-N4/O4</f>
        <v>0.37282252529303772</v>
      </c>
      <c r="Q4" s="3"/>
      <c r="R4" s="3"/>
      <c r="S4" s="3"/>
      <c r="T4" s="3"/>
      <c r="U4" s="3"/>
    </row>
    <row r="5" spans="1:21" x14ac:dyDescent="0.25">
      <c r="A5" s="3">
        <v>1E-13</v>
      </c>
      <c r="B5" s="3">
        <v>6.2570000000000006E-5</v>
      </c>
      <c r="C5" s="3">
        <v>1.2300000000000001E-4</v>
      </c>
      <c r="D5" s="3">
        <v>-3.189E-4</v>
      </c>
      <c r="E5" s="3">
        <v>0</v>
      </c>
      <c r="F5" s="3">
        <v>0</v>
      </c>
      <c r="G5" s="3">
        <v>0</v>
      </c>
      <c r="H5" s="3">
        <v>2.3970517E-5</v>
      </c>
      <c r="I5" s="3">
        <v>1.1440042E-5</v>
      </c>
      <c r="J5" s="3">
        <v>-6.3609303000000003E-5</v>
      </c>
      <c r="K5" s="2"/>
      <c r="L5" s="3"/>
      <c r="M5" s="3"/>
      <c r="N5" s="2">
        <f>IF('Modell einstellen'!$B$1="Voll",H5/0.35,H5/0.35*2)</f>
        <v>1.3697438285714287E-4</v>
      </c>
      <c r="O5" s="2">
        <f>IF('Modell einstellen'!$B$1="Voll",J5/0.35,J5/0.35*2)</f>
        <v>-3.6348173142857149E-4</v>
      </c>
      <c r="P5" s="3">
        <f t="shared" si="0"/>
        <v>0.37683979967521414</v>
      </c>
      <c r="Q5" s="3"/>
      <c r="R5" s="3"/>
      <c r="S5" s="3"/>
      <c r="T5" s="3"/>
      <c r="U5" s="3"/>
    </row>
    <row r="6" spans="1:21" x14ac:dyDescent="0.25">
      <c r="A6" s="3">
        <v>9.9999999999999998E-13</v>
      </c>
      <c r="B6" s="3">
        <v>6.0510000000000002E-5</v>
      </c>
      <c r="C6" s="3">
        <v>1.262E-4</v>
      </c>
      <c r="D6" s="3">
        <v>-3.213E-4</v>
      </c>
      <c r="E6" s="3">
        <v>0</v>
      </c>
      <c r="F6" s="3">
        <v>0</v>
      </c>
      <c r="G6" s="3">
        <v>0</v>
      </c>
      <c r="H6" s="3">
        <v>2.4787664000000001E-5</v>
      </c>
      <c r="I6" s="3">
        <v>1.1718235E-5</v>
      </c>
      <c r="J6" s="3">
        <v>-6.5041674000000007E-5</v>
      </c>
      <c r="K6" s="2"/>
      <c r="L6" s="3"/>
      <c r="M6" s="3"/>
      <c r="N6" s="2">
        <f>IF('Modell einstellen'!$B$1="Voll",H6/0.35,H6/0.35*2)</f>
        <v>1.4164379428571429E-4</v>
      </c>
      <c r="O6" s="2">
        <f>IF('Modell einstellen'!$B$1="Voll",J6/0.35,J6/0.35*2)</f>
        <v>-3.7166670857142863E-4</v>
      </c>
      <c r="P6" s="3">
        <f t="shared" si="0"/>
        <v>0.38110433627523177</v>
      </c>
      <c r="Q6" s="3"/>
      <c r="R6" s="3"/>
      <c r="S6" s="3"/>
      <c r="T6" s="3"/>
      <c r="U6" s="3"/>
    </row>
    <row r="7" spans="1:21" x14ac:dyDescent="0.25">
      <c r="A7" s="3">
        <v>9.9999999999999994E-12</v>
      </c>
      <c r="B7" s="3">
        <v>5.7120000000000002E-5</v>
      </c>
      <c r="C7" s="3">
        <v>1.2870000000000001E-4</v>
      </c>
      <c r="D7" s="3">
        <v>-3.2180000000000002E-4</v>
      </c>
      <c r="E7" s="3">
        <v>0</v>
      </c>
      <c r="F7" s="3">
        <v>0</v>
      </c>
      <c r="G7" s="3">
        <v>0</v>
      </c>
      <c r="H7" s="3">
        <v>2.5698279E-5</v>
      </c>
      <c r="I7" s="3">
        <v>1.1977004999999999E-5</v>
      </c>
      <c r="J7" s="3">
        <v>-6.6541623999999999E-5</v>
      </c>
      <c r="K7" s="2"/>
      <c r="L7" s="3"/>
      <c r="M7" s="3"/>
      <c r="N7" s="2">
        <f>IF('Modell einstellen'!$B$1="Voll",H7/0.35,H7/0.35*2)</f>
        <v>1.4684730857142858E-4</v>
      </c>
      <c r="O7" s="2">
        <f>IF('Modell einstellen'!$B$1="Voll",J7/0.35,J7/0.35*2)</f>
        <v>-3.8023785142857143E-4</v>
      </c>
      <c r="P7" s="3">
        <f t="shared" si="0"/>
        <v>0.38619855445668116</v>
      </c>
      <c r="Q7" s="3"/>
      <c r="R7" s="3"/>
      <c r="S7" s="3"/>
      <c r="T7" s="3"/>
      <c r="U7" s="3"/>
    </row>
    <row r="8" spans="1:21" x14ac:dyDescent="0.25">
      <c r="A8" s="3">
        <v>1E-10</v>
      </c>
      <c r="B8" s="3">
        <v>5.3810000000000001E-5</v>
      </c>
      <c r="C8" s="3">
        <v>1.3219999999999999E-4</v>
      </c>
      <c r="D8" s="3">
        <v>-3.233E-4</v>
      </c>
      <c r="E8" s="3">
        <v>0</v>
      </c>
      <c r="F8" s="3">
        <v>0</v>
      </c>
      <c r="G8" s="3">
        <v>0</v>
      </c>
      <c r="H8" s="3">
        <v>2.6667211000000001E-5</v>
      </c>
      <c r="I8" s="3">
        <v>1.2284389E-5</v>
      </c>
      <c r="J8" s="3">
        <v>-6.8190935999999996E-5</v>
      </c>
      <c r="K8" s="2"/>
      <c r="L8" s="3"/>
      <c r="M8" s="3"/>
      <c r="N8" s="2">
        <f>IF('Modell einstellen'!$B$1="Voll",H8/0.35,H8/0.35*2)</f>
        <v>1.5238406285714287E-4</v>
      </c>
      <c r="O8" s="2">
        <f>IF('Modell einstellen'!$B$1="Voll",J8/0.35,J8/0.35*2)</f>
        <v>-3.8966249142857143E-4</v>
      </c>
      <c r="P8" s="3">
        <f t="shared" si="0"/>
        <v>0.39106679808589229</v>
      </c>
      <c r="Q8" s="3"/>
      <c r="R8" s="3"/>
      <c r="S8" s="3"/>
      <c r="T8" s="3"/>
      <c r="U8" s="3"/>
    </row>
    <row r="9" spans="1:21" x14ac:dyDescent="0.25">
      <c r="A9" s="3">
        <v>1.0000000000000001E-9</v>
      </c>
      <c r="B9" s="3">
        <v>4.9440000000000001E-5</v>
      </c>
      <c r="C9" s="3">
        <v>1.3459999999999999E-4</v>
      </c>
      <c r="D9" s="3">
        <v>-3.2279999999999999E-4</v>
      </c>
      <c r="E9" s="3">
        <v>0</v>
      </c>
      <c r="F9" s="3">
        <v>0</v>
      </c>
      <c r="G9" s="3">
        <v>0</v>
      </c>
      <c r="H9" s="3">
        <v>2.7648361000000001E-5</v>
      </c>
      <c r="I9" s="3">
        <v>1.2538389999999999E-5</v>
      </c>
      <c r="J9" s="3">
        <v>-6.9750753000000001E-5</v>
      </c>
      <c r="K9" s="2"/>
      <c r="L9" s="3"/>
      <c r="M9" s="3"/>
      <c r="N9" s="2">
        <f>IF('Modell einstellen'!$B$1="Voll",H9/0.35,H9/0.35*2)</f>
        <v>1.5799063428571431E-4</v>
      </c>
      <c r="O9" s="2">
        <f>IF('Modell einstellen'!$B$1="Voll",J9/0.35,J9/0.35*2)</f>
        <v>-3.9857573142857144E-4</v>
      </c>
      <c r="P9" s="3">
        <f t="shared" si="0"/>
        <v>0.3963879931160027</v>
      </c>
      <c r="Q9" s="3"/>
      <c r="R9" s="3"/>
      <c r="S9" s="3"/>
      <c r="T9" s="3"/>
      <c r="U9" s="3"/>
    </row>
    <row r="10" spans="1:21" x14ac:dyDescent="0.25">
      <c r="A10" s="3">
        <v>1E-8</v>
      </c>
      <c r="B10" s="3">
        <v>4.3739999999999998E-5</v>
      </c>
      <c r="C10" s="3">
        <v>1.3889999999999999E-4</v>
      </c>
      <c r="D10" s="3">
        <v>-3.2309999999999999E-4</v>
      </c>
      <c r="E10" s="3">
        <v>0</v>
      </c>
      <c r="F10" s="3">
        <v>0</v>
      </c>
      <c r="G10" s="3">
        <v>0</v>
      </c>
      <c r="H10" s="3">
        <v>2.8980475999999999E-5</v>
      </c>
      <c r="I10" s="3">
        <v>1.2923810000000001E-5</v>
      </c>
      <c r="J10" s="3">
        <v>-7.1937665999999994E-5</v>
      </c>
      <c r="K10" s="2"/>
      <c r="L10" s="3"/>
      <c r="M10" s="3"/>
      <c r="N10" s="2">
        <f>IF('Modell einstellen'!$B$1="Voll",H10/0.35,H10/0.35*2)</f>
        <v>1.6560272000000001E-4</v>
      </c>
      <c r="O10" s="2">
        <f>IF('Modell einstellen'!$B$1="Voll",J10/0.35,J10/0.35*2)</f>
        <v>-4.1107237714285716E-4</v>
      </c>
      <c r="P10" s="3">
        <f t="shared" si="0"/>
        <v>0.40285538315908109</v>
      </c>
      <c r="Q10" s="3"/>
      <c r="R10" s="3"/>
      <c r="S10" s="3"/>
      <c r="T10" s="3"/>
      <c r="U10" s="3"/>
    </row>
    <row r="11" spans="1:21" x14ac:dyDescent="0.25">
      <c r="A11" s="3">
        <v>9.9999999999999995E-8</v>
      </c>
      <c r="B11" s="3">
        <v>3.5370000000000002E-5</v>
      </c>
      <c r="C11" s="3">
        <v>1.4339999999999999E-4</v>
      </c>
      <c r="D11" s="3">
        <v>-3.213E-4</v>
      </c>
      <c r="E11" s="3">
        <v>0</v>
      </c>
      <c r="F11" s="3">
        <v>0</v>
      </c>
      <c r="G11" s="3">
        <v>0</v>
      </c>
      <c r="H11" s="3">
        <v>3.0640043000000002E-5</v>
      </c>
      <c r="I11" s="3">
        <v>1.3346376000000001E-5</v>
      </c>
      <c r="J11" s="3">
        <v>-7.4544074999999995E-5</v>
      </c>
      <c r="K11" s="2"/>
      <c r="L11" s="3"/>
      <c r="M11" s="3"/>
      <c r="N11" s="2">
        <f>IF('Modell einstellen'!$B$1="Voll",H11/0.35,H11/0.35*2)</f>
        <v>1.7508596000000002E-4</v>
      </c>
      <c r="O11" s="2">
        <f>IF('Modell einstellen'!$B$1="Voll",J11/0.35,J11/0.35*2)</f>
        <v>-4.2596614285714284E-4</v>
      </c>
      <c r="P11" s="3">
        <f t="shared" si="0"/>
        <v>0.41103257368208007</v>
      </c>
      <c r="Q11" s="3"/>
      <c r="R11" s="3"/>
      <c r="S11" s="3"/>
      <c r="T11" s="3"/>
      <c r="U11" s="3"/>
    </row>
    <row r="12" spans="1:21" x14ac:dyDescent="0.25">
      <c r="A12" s="3">
        <v>9.9999999999999995E-7</v>
      </c>
      <c r="B12" s="3">
        <v>2.5089999999999999E-5</v>
      </c>
      <c r="C12" s="3">
        <v>1.4799999999999999E-4</v>
      </c>
      <c r="D12" s="3">
        <v>-3.1770000000000002E-4</v>
      </c>
      <c r="E12" s="3">
        <v>0</v>
      </c>
      <c r="F12" s="3">
        <v>0</v>
      </c>
      <c r="G12" s="3">
        <v>0</v>
      </c>
      <c r="H12" s="3">
        <v>3.2468585999999998E-5</v>
      </c>
      <c r="I12" s="3">
        <v>1.3776478000000001E-5</v>
      </c>
      <c r="J12" s="3">
        <v>-7.7336375999999995E-5</v>
      </c>
      <c r="K12" s="2"/>
      <c r="L12" s="3"/>
      <c r="M12" s="3"/>
      <c r="N12" s="2">
        <f>IF('Modell einstellen'!$B$1="Voll",H12/0.35,H12/0.35*2)</f>
        <v>1.8553477714285715E-4</v>
      </c>
      <c r="O12" s="2">
        <f>IF('Modell einstellen'!$B$1="Voll",J12/0.35,J12/0.35*2)</f>
        <v>-4.4192214857142857E-4</v>
      </c>
      <c r="P12" s="3">
        <f t="shared" si="0"/>
        <v>0.41983588680183309</v>
      </c>
      <c r="Q12" s="3"/>
      <c r="R12" s="3"/>
      <c r="S12" s="3"/>
      <c r="T12" s="3"/>
      <c r="U12" s="3"/>
    </row>
    <row r="13" spans="1:21" x14ac:dyDescent="0.25">
      <c r="A13" s="3">
        <v>1.0000000000000001E-5</v>
      </c>
      <c r="B13" s="3">
        <v>1.4960000000000001E-5</v>
      </c>
      <c r="C13" s="3">
        <v>1.518E-4</v>
      </c>
      <c r="D13" s="3">
        <v>-3.1310000000000002E-4</v>
      </c>
      <c r="E13" s="3">
        <v>0</v>
      </c>
      <c r="F13" s="3">
        <v>0</v>
      </c>
      <c r="G13" s="3">
        <v>0</v>
      </c>
      <c r="H13" s="3">
        <v>3.4113462999999997E-5</v>
      </c>
      <c r="I13" s="3">
        <v>1.4134279E-5</v>
      </c>
      <c r="J13" s="3">
        <v>-7.9782727999999994E-5</v>
      </c>
      <c r="K13" s="2"/>
      <c r="L13" s="3"/>
      <c r="M13" s="3"/>
      <c r="N13" s="2">
        <f>IF('Modell einstellen'!$B$1="Voll",H13/0.35,H13/0.35*2)</f>
        <v>1.9493407428571429E-4</v>
      </c>
      <c r="O13" s="2">
        <f>IF('Modell einstellen'!$B$1="Voll",J13/0.35,J13/0.35*2)</f>
        <v>-4.5590130285714283E-4</v>
      </c>
      <c r="P13" s="3">
        <f t="shared" si="0"/>
        <v>0.42757955080202326</v>
      </c>
      <c r="Q13" s="3"/>
      <c r="R13" s="3"/>
      <c r="S13" s="3"/>
      <c r="T13" s="3"/>
      <c r="U13" s="3"/>
    </row>
    <row r="14" spans="1:21" x14ac:dyDescent="0.25">
      <c r="A14" s="3">
        <v>1E-4</v>
      </c>
      <c r="B14" s="3">
        <v>3.523E-6</v>
      </c>
      <c r="C14" s="3">
        <v>1.5550000000000001E-4</v>
      </c>
      <c r="D14" s="3">
        <v>-3.0719999999999999E-4</v>
      </c>
      <c r="E14" s="3">
        <v>0</v>
      </c>
      <c r="F14" s="3">
        <v>0</v>
      </c>
      <c r="G14" s="3">
        <v>0</v>
      </c>
      <c r="H14" s="3">
        <v>3.5857605999999997E-5</v>
      </c>
      <c r="I14" s="3">
        <v>1.4489721E-5</v>
      </c>
      <c r="J14" s="3">
        <v>-8.2323184000000001E-5</v>
      </c>
      <c r="K14" s="2"/>
      <c r="L14" s="3"/>
      <c r="M14" s="3"/>
      <c r="N14" s="2">
        <f>IF('Modell einstellen'!$B$1="Voll",H14/0.35,H14/0.35*2)</f>
        <v>2.0490060571428571E-4</v>
      </c>
      <c r="O14" s="2">
        <f>IF('Modell einstellen'!$B$1="Voll",J14/0.35,J14/0.35*2)</f>
        <v>-4.7041819428571432E-4</v>
      </c>
      <c r="P14" s="3">
        <f t="shared" si="0"/>
        <v>0.43557117518681004</v>
      </c>
      <c r="Q14" s="3"/>
      <c r="R14" s="3"/>
      <c r="S14" s="3"/>
      <c r="T14" s="3"/>
      <c r="U14" s="3"/>
    </row>
    <row r="15" spans="1:21" x14ac:dyDescent="0.25">
      <c r="A15" s="3">
        <v>1E-3</v>
      </c>
      <c r="B15" s="3">
        <v>-9.4860000000000003E-6</v>
      </c>
      <c r="C15" s="3">
        <v>1.5919999999999999E-4</v>
      </c>
      <c r="D15" s="3">
        <v>-2.9960000000000002E-4</v>
      </c>
      <c r="E15" s="3">
        <v>0</v>
      </c>
      <c r="F15" s="3">
        <v>0</v>
      </c>
      <c r="G15" s="3">
        <v>0</v>
      </c>
      <c r="H15" s="3">
        <v>3.7715027000000001E-5</v>
      </c>
      <c r="I15" s="3">
        <v>1.4840872000000001E-5</v>
      </c>
      <c r="J15" s="3">
        <v>-8.4967196000000004E-5</v>
      </c>
      <c r="K15" s="2"/>
      <c r="L15" s="3"/>
      <c r="M15" s="3"/>
      <c r="N15" s="2">
        <f>IF('Modell einstellen'!$B$1="Voll",H15/0.35,H15/0.35*2)</f>
        <v>2.1551444000000001E-4</v>
      </c>
      <c r="O15" s="2">
        <f>IF('Modell einstellen'!$B$1="Voll",J15/0.35,J15/0.35*2)</f>
        <v>-4.8552683428571436E-4</v>
      </c>
      <c r="P15" s="3">
        <f t="shared" si="0"/>
        <v>0.44387750538454862</v>
      </c>
      <c r="Q15" s="3"/>
      <c r="R15" s="3"/>
      <c r="S15" s="3"/>
      <c r="T15" s="3"/>
      <c r="U15" s="3"/>
    </row>
    <row r="16" spans="1:21" x14ac:dyDescent="0.25">
      <c r="A16" s="3">
        <v>0.01</v>
      </c>
      <c r="B16" s="3">
        <v>-2.546E-5</v>
      </c>
      <c r="C16" s="3">
        <v>1.6320000000000001E-4</v>
      </c>
      <c r="D16" s="3">
        <v>-2.8949999999999999E-4</v>
      </c>
      <c r="E16" s="3">
        <v>0</v>
      </c>
      <c r="F16" s="3">
        <v>0</v>
      </c>
      <c r="G16" s="3">
        <v>0</v>
      </c>
      <c r="H16" s="3">
        <v>3.9868942999999998E-5</v>
      </c>
      <c r="I16" s="3">
        <v>1.5218452E-5</v>
      </c>
      <c r="J16" s="3">
        <v>-8.7966473999999994E-5</v>
      </c>
      <c r="K16" s="2"/>
      <c r="L16" s="3"/>
      <c r="M16" s="3"/>
      <c r="N16" s="2">
        <f>IF('Modell einstellen'!$B$1="Voll",H16/0.35,H16/0.35*2)</f>
        <v>2.2782253142857142E-4</v>
      </c>
      <c r="O16" s="2">
        <f>IF('Modell einstellen'!$B$1="Voll",J16/0.35,J16/0.35*2)</f>
        <v>-5.0266556571428576E-4</v>
      </c>
      <c r="P16" s="3">
        <f t="shared" si="0"/>
        <v>0.45322884034206029</v>
      </c>
      <c r="Q16" s="3"/>
      <c r="R16" s="3"/>
      <c r="S16" s="3"/>
      <c r="T16" s="3"/>
      <c r="U16" s="3"/>
    </row>
    <row r="17" spans="1:21" x14ac:dyDescent="0.25">
      <c r="A17" s="3">
        <v>0.1</v>
      </c>
      <c r="B17" s="3">
        <v>-4.278E-5</v>
      </c>
      <c r="C17" s="3">
        <v>1.6699999999999999E-4</v>
      </c>
      <c r="D17" s="3">
        <v>-2.7769999999999997E-4</v>
      </c>
      <c r="E17" s="3">
        <v>0</v>
      </c>
      <c r="F17" s="3">
        <v>0</v>
      </c>
      <c r="G17" s="3">
        <v>0</v>
      </c>
      <c r="H17" s="3">
        <v>4.2105353999999999E-5</v>
      </c>
      <c r="I17" s="3">
        <v>1.5586730999999999E-5</v>
      </c>
      <c r="J17" s="3">
        <v>-9.1022491999999996E-5</v>
      </c>
      <c r="K17" s="2"/>
      <c r="L17" s="3"/>
      <c r="M17" s="3"/>
      <c r="N17" s="2">
        <f>IF('Modell einstellen'!$B$1="Voll",H17/0.35,H17/0.35*2)</f>
        <v>2.4060202285714288E-4</v>
      </c>
      <c r="O17" s="2">
        <f>IF('Modell einstellen'!$B$1="Voll",J17/0.35,J17/0.35*2)</f>
        <v>-5.2012852571428571E-4</v>
      </c>
      <c r="P17" s="3">
        <f t="shared" si="0"/>
        <v>0.46258186383207356</v>
      </c>
      <c r="Q17" s="3"/>
      <c r="R17" s="3"/>
      <c r="S17" s="3"/>
      <c r="T17" s="3"/>
      <c r="U17" s="3"/>
    </row>
    <row r="18" spans="1:21" x14ac:dyDescent="0.25">
      <c r="A18" s="3">
        <v>1</v>
      </c>
      <c r="B18" s="3">
        <v>-6.5289999999999993E-5</v>
      </c>
      <c r="C18" s="3">
        <v>1.7249999999999999E-4</v>
      </c>
      <c r="D18" s="3">
        <v>-2.6259999999999999E-4</v>
      </c>
      <c r="E18" s="3">
        <v>0</v>
      </c>
      <c r="F18" s="3">
        <v>0</v>
      </c>
      <c r="G18" s="3">
        <v>0</v>
      </c>
      <c r="H18" s="3">
        <v>4.5265641999999997E-5</v>
      </c>
      <c r="I18" s="3">
        <v>1.6169909E-5</v>
      </c>
      <c r="J18" s="3">
        <v>-9.5432157E-5</v>
      </c>
      <c r="K18" s="2"/>
      <c r="L18" s="3"/>
      <c r="M18" s="3"/>
      <c r="N18" s="2">
        <f>IF('Modell einstellen'!$B$1="Voll",H18/0.35,H18/0.35*2)</f>
        <v>2.5866081142857144E-4</v>
      </c>
      <c r="O18" s="2">
        <f>IF('Modell einstellen'!$B$1="Voll",J18/0.35,J18/0.35*2)</f>
        <v>-5.4532661142857146E-4</v>
      </c>
      <c r="P18" s="3">
        <f t="shared" si="0"/>
        <v>0.47432273798443014</v>
      </c>
      <c r="Q18" s="3"/>
      <c r="R18" s="3"/>
      <c r="S18" s="3"/>
      <c r="T18" s="3"/>
      <c r="U18" s="3"/>
    </row>
    <row r="19" spans="1:21" x14ac:dyDescent="0.25">
      <c r="A19" s="3">
        <v>10</v>
      </c>
      <c r="B19" s="3">
        <v>-7.5080000000000006E-5</v>
      </c>
      <c r="C19" s="3">
        <v>1.8450000000000001E-4</v>
      </c>
      <c r="D19" s="3">
        <v>-2.6489999999999999E-4</v>
      </c>
      <c r="E19" s="3">
        <v>0</v>
      </c>
      <c r="F19" s="3">
        <v>0</v>
      </c>
      <c r="G19" s="3">
        <v>0</v>
      </c>
      <c r="H19" s="3">
        <v>5.0132285E-5</v>
      </c>
      <c r="I19" s="3">
        <v>1.7875525E-5</v>
      </c>
      <c r="J19" s="3">
        <v>-1.0362925E-4</v>
      </c>
      <c r="K19" s="2"/>
      <c r="L19" s="3"/>
      <c r="M19" s="3"/>
      <c r="N19" s="2">
        <f>IF('Modell einstellen'!$B$1="Voll",H19/0.35,H19/0.35*2)</f>
        <v>2.864702E-4</v>
      </c>
      <c r="O19" s="2">
        <f>IF('Modell einstellen'!$B$1="Voll",J19/0.35,J19/0.35*2)</f>
        <v>-5.9216714285714289E-4</v>
      </c>
      <c r="P19" s="3">
        <f t="shared" si="0"/>
        <v>0.48376578041431351</v>
      </c>
      <c r="Q19" s="3"/>
      <c r="R19" s="3"/>
      <c r="S19" s="3"/>
      <c r="T19" s="3"/>
      <c r="U19" s="3"/>
    </row>
    <row r="20" spans="1:21" x14ac:dyDescent="0.25">
      <c r="A20" s="3">
        <v>100</v>
      </c>
      <c r="B20" s="3">
        <v>-2.5040000000000001E-5</v>
      </c>
      <c r="C20" s="3">
        <v>2.165E-4</v>
      </c>
      <c r="D20" s="3">
        <v>-3.4059999999999998E-4</v>
      </c>
      <c r="E20" s="3">
        <v>0</v>
      </c>
      <c r="F20" s="3">
        <v>0</v>
      </c>
      <c r="G20" s="3">
        <v>0</v>
      </c>
      <c r="H20" s="3">
        <v>5.9741328E-5</v>
      </c>
      <c r="I20" s="3">
        <v>2.3545891E-5</v>
      </c>
      <c r="J20" s="3">
        <v>-1.2394825E-4</v>
      </c>
      <c r="K20" s="2"/>
      <c r="L20" s="3"/>
      <c r="M20" s="3"/>
      <c r="N20" s="2">
        <f>IF('Modell einstellen'!$B$1="Voll",H20/0.35,H20/0.35*2)</f>
        <v>3.4137901714285717E-4</v>
      </c>
      <c r="O20" s="2">
        <f>IF('Modell einstellen'!$B$1="Voll",J20/0.35,J20/0.35*2)</f>
        <v>-7.0827571428571431E-4</v>
      </c>
      <c r="P20" s="3">
        <f t="shared" si="0"/>
        <v>0.48198605466394245</v>
      </c>
      <c r="Q20" s="3"/>
      <c r="R20" s="3"/>
      <c r="S20" s="3"/>
      <c r="T20" s="3"/>
      <c r="U20" s="3"/>
    </row>
    <row r="21" spans="1:21" x14ac:dyDescent="0.25">
      <c r="A21" s="3">
        <v>1000</v>
      </c>
      <c r="B21" s="3">
        <v>8.5760000000000006E-5</v>
      </c>
      <c r="C21" s="3">
        <v>2.7480000000000001E-4</v>
      </c>
      <c r="D21" s="3">
        <v>-4.9810000000000002E-4</v>
      </c>
      <c r="E21" s="3">
        <v>0</v>
      </c>
      <c r="F21" s="3">
        <v>0</v>
      </c>
      <c r="G21" s="3">
        <v>0</v>
      </c>
      <c r="H21" s="3">
        <v>7.4608661000000003E-5</v>
      </c>
      <c r="I21" s="3">
        <v>3.4135328999999998E-5</v>
      </c>
      <c r="J21" s="3">
        <v>-1.5882375000000001E-4</v>
      </c>
      <c r="K21" s="2"/>
      <c r="L21" s="3"/>
      <c r="M21" s="3"/>
      <c r="N21" s="2">
        <f>IF('Modell einstellen'!$B$1="Voll",H21/0.35,H21/0.35*2)</f>
        <v>4.2633520571428574E-4</v>
      </c>
      <c r="O21" s="2">
        <f>IF('Modell einstellen'!$B$1="Voll",J21/0.35,J21/0.35*2)</f>
        <v>-9.0756428571428581E-4</v>
      </c>
      <c r="P21" s="3">
        <f t="shared" si="0"/>
        <v>0.4697575834848377</v>
      </c>
      <c r="Q21" s="3"/>
      <c r="R21" s="3"/>
      <c r="S21" s="3"/>
      <c r="T21" s="3"/>
      <c r="U21" s="3"/>
    </row>
    <row r="22" spans="1:21" x14ac:dyDescent="0.25">
      <c r="A22" s="3">
        <v>10000</v>
      </c>
      <c r="B22" s="3">
        <v>2.1359999999999999E-4</v>
      </c>
      <c r="C22" s="3">
        <v>3.5829999999999998E-4</v>
      </c>
      <c r="D22" s="3">
        <v>-6.9830000000000001E-4</v>
      </c>
      <c r="E22" s="3">
        <v>0</v>
      </c>
      <c r="F22" s="3">
        <v>0</v>
      </c>
      <c r="G22" s="3">
        <v>0</v>
      </c>
      <c r="H22" s="3">
        <v>9.4667483999999997E-5</v>
      </c>
      <c r="I22" s="3">
        <v>4.8921322999999998E-5</v>
      </c>
      <c r="J22" s="3">
        <v>-2.0707005E-4</v>
      </c>
      <c r="K22" s="2"/>
      <c r="L22" s="3"/>
      <c r="M22" s="3"/>
      <c r="N22" s="2">
        <f>IF('Modell einstellen'!$B$1="Voll",H22/0.35,H22/0.35*2)</f>
        <v>5.4095705142857148E-4</v>
      </c>
      <c r="O22" s="2">
        <f>IF('Modell einstellen'!$B$1="Voll",J22/0.35,J22/0.35*2)</f>
        <v>-1.1832574285714286E-3</v>
      </c>
      <c r="P22" s="3">
        <f t="shared" si="0"/>
        <v>0.45717612952718178</v>
      </c>
      <c r="Q22" s="3"/>
      <c r="R22" s="3"/>
      <c r="S22" s="3"/>
      <c r="T22" s="3"/>
      <c r="U22" s="3"/>
    </row>
    <row r="23" spans="1:21" x14ac:dyDescent="0.25">
      <c r="A23" s="3">
        <v>100000</v>
      </c>
      <c r="B23" s="3">
        <v>3.3639999999999999E-4</v>
      </c>
      <c r="C23" s="3">
        <v>4.7580000000000002E-4</v>
      </c>
      <c r="D23" s="3">
        <v>-9.2949999999999999E-4</v>
      </c>
      <c r="E23" s="3">
        <v>0</v>
      </c>
      <c r="F23" s="3">
        <v>0</v>
      </c>
      <c r="G23" s="3">
        <v>0</v>
      </c>
      <c r="H23" s="3">
        <v>1.2222154999999999E-4</v>
      </c>
      <c r="I23" s="3">
        <v>6.9444545999999995E-5</v>
      </c>
      <c r="J23" s="3">
        <v>-2.7407339000000002E-4</v>
      </c>
      <c r="K23" s="2"/>
      <c r="L23" s="3"/>
      <c r="M23" s="3"/>
      <c r="N23" s="2">
        <f>IF('Modell einstellen'!$B$1="Voll",H23/0.35,H23/0.35*2)</f>
        <v>6.984088571428571E-4</v>
      </c>
      <c r="O23" s="2">
        <f>IF('Modell einstellen'!$B$1="Voll",J23/0.35,J23/0.35*2)</f>
        <v>-1.5661336571428574E-3</v>
      </c>
      <c r="P23" s="3">
        <f t="shared" si="0"/>
        <v>0.44594460629687532</v>
      </c>
      <c r="Q23" s="3"/>
      <c r="R23" s="3"/>
      <c r="S23" s="3"/>
      <c r="T23" s="3"/>
      <c r="U23" s="3"/>
    </row>
    <row r="24" spans="1:21" x14ac:dyDescent="0.25">
      <c r="A24" s="3">
        <v>1000000</v>
      </c>
      <c r="B24" s="3">
        <v>4.4319999999999999E-4</v>
      </c>
      <c r="C24" s="3">
        <v>6.602E-4</v>
      </c>
      <c r="D24" s="3">
        <v>-1.2130000000000001E-3</v>
      </c>
      <c r="E24" s="3">
        <v>0</v>
      </c>
      <c r="F24" s="3">
        <v>0</v>
      </c>
      <c r="G24" s="3">
        <v>0</v>
      </c>
      <c r="H24" s="3">
        <v>1.6533235000000001E-4</v>
      </c>
      <c r="I24" s="3">
        <v>1.0205235E-4</v>
      </c>
      <c r="J24" s="3">
        <v>-3.8013589E-4</v>
      </c>
      <c r="K24" s="2"/>
      <c r="L24" s="3"/>
      <c r="M24" s="3"/>
      <c r="N24" s="2">
        <f>IF('Modell einstellen'!$B$1="Voll",H24/0.35,H24/0.35*2)</f>
        <v>9.4475628571428583E-4</v>
      </c>
      <c r="O24" s="2">
        <f>IF('Modell einstellen'!$B$1="Voll",J24/0.35,J24/0.35*2)</f>
        <v>-2.1722050857142859E-3</v>
      </c>
      <c r="P24" s="3">
        <f t="shared" si="0"/>
        <v>0.434929598465433</v>
      </c>
      <c r="Q24" s="3"/>
      <c r="R24" s="3"/>
      <c r="S24" s="3"/>
      <c r="T24" s="3"/>
      <c r="U24" s="3"/>
    </row>
    <row r="25" spans="1:21" x14ac:dyDescent="0.25">
      <c r="A25" s="3">
        <v>10000000</v>
      </c>
      <c r="B25" s="3">
        <v>5.4569999999999998E-4</v>
      </c>
      <c r="C25" s="3">
        <v>9.5859999999999999E-4</v>
      </c>
      <c r="D25" s="3">
        <v>-1.606E-3</v>
      </c>
      <c r="E25" s="3">
        <v>0</v>
      </c>
      <c r="F25" s="3">
        <v>0</v>
      </c>
      <c r="G25" s="3">
        <v>0</v>
      </c>
      <c r="H25" s="3">
        <v>2.3106455000000001E-4</v>
      </c>
      <c r="I25" s="3">
        <v>1.5487378999999999E-4</v>
      </c>
      <c r="J25" s="3">
        <v>-5.4781629000000005E-4</v>
      </c>
      <c r="K25" s="2"/>
      <c r="L25" s="3"/>
      <c r="M25" s="3"/>
      <c r="N25" s="2">
        <f>IF('Modell einstellen'!$B$1="Voll",H25/0.35,H25/0.35*2)</f>
        <v>1.3203688571428573E-3</v>
      </c>
      <c r="O25" s="2">
        <f>IF('Modell einstellen'!$B$1="Voll",J25/0.35,J25/0.35*2)</f>
        <v>-3.1303788000000003E-3</v>
      </c>
      <c r="P25" s="3">
        <f t="shared" si="0"/>
        <v>0.42179203907937823</v>
      </c>
      <c r="Q25" s="3"/>
      <c r="R25" s="3"/>
      <c r="S25" s="3"/>
      <c r="T25" s="3"/>
      <c r="U25" s="3"/>
    </row>
    <row r="26" spans="1:21" x14ac:dyDescent="0.25">
      <c r="A26" s="3">
        <v>100000000</v>
      </c>
      <c r="B26" s="3">
        <v>6.6450000000000005E-4</v>
      </c>
      <c r="C26" s="3">
        <v>1.3960000000000001E-3</v>
      </c>
      <c r="D26" s="3">
        <v>-2.1540000000000001E-3</v>
      </c>
      <c r="E26" s="3">
        <v>0</v>
      </c>
      <c r="F26" s="3">
        <v>0</v>
      </c>
      <c r="G26" s="3">
        <v>0</v>
      </c>
      <c r="H26" s="3">
        <v>3.2606322000000001E-4</v>
      </c>
      <c r="I26" s="3">
        <v>2.3372939E-4</v>
      </c>
      <c r="J26" s="3">
        <v>-7.9463221000000001E-4</v>
      </c>
      <c r="K26" s="2"/>
      <c r="L26" s="3"/>
      <c r="M26" s="3"/>
      <c r="N26" s="2">
        <f>IF('Modell einstellen'!$B$1="Voll",H26/0.35,H26/0.35*2)</f>
        <v>1.8632184000000002E-3</v>
      </c>
      <c r="O26" s="2">
        <f>IF('Modell einstellen'!$B$1="Voll",J26/0.35,J26/0.35*2)</f>
        <v>-4.5407554857142861E-3</v>
      </c>
      <c r="P26" s="3">
        <f t="shared" si="0"/>
        <v>0.41033224666289325</v>
      </c>
      <c r="Q26" s="3"/>
      <c r="R26" s="3"/>
      <c r="S26" s="3"/>
      <c r="T26" s="3"/>
      <c r="U26" s="3"/>
    </row>
    <row r="27" spans="1:21" x14ac:dyDescent="0.25">
      <c r="A27" s="3">
        <v>1000000000</v>
      </c>
      <c r="B27" s="3">
        <v>8.4719999999999999E-4</v>
      </c>
      <c r="C27" s="3">
        <v>1.9E-3</v>
      </c>
      <c r="D27" s="3">
        <v>-2.8340000000000001E-3</v>
      </c>
      <c r="E27" s="3">
        <v>0</v>
      </c>
      <c r="F27" s="3">
        <v>0</v>
      </c>
      <c r="G27" s="3">
        <v>0</v>
      </c>
      <c r="H27" s="3">
        <v>4.3010215999999998E-4</v>
      </c>
      <c r="I27" s="3">
        <v>3.2476698999999999E-4</v>
      </c>
      <c r="J27" s="3">
        <v>-1.0733191999999999E-3</v>
      </c>
      <c r="K27" s="2"/>
      <c r="L27" s="3"/>
      <c r="M27" s="3"/>
      <c r="N27" s="2">
        <f>IF('Modell einstellen'!$B$1="Voll",H27/0.35,H27/0.35*2)</f>
        <v>2.4577266285714288E-3</v>
      </c>
      <c r="O27" s="2">
        <f>IF('Modell einstellen'!$B$1="Voll",J27/0.35,J27/0.35*2)</f>
        <v>-6.1332525714285716E-3</v>
      </c>
      <c r="P27" s="3">
        <f t="shared" si="0"/>
        <v>0.4007215747188721</v>
      </c>
      <c r="Q27" s="3"/>
      <c r="R27" s="3"/>
      <c r="S27" s="3"/>
      <c r="T27" s="3"/>
      <c r="U27" s="3"/>
    </row>
    <row r="28" spans="1:21" x14ac:dyDescent="0.25">
      <c r="A28" s="3">
        <v>10000000000</v>
      </c>
      <c r="B28" s="3">
        <v>1.07E-3</v>
      </c>
      <c r="C28" s="3">
        <v>2.3519999999999999E-3</v>
      </c>
      <c r="D28" s="3">
        <v>-3.5049999999999999E-3</v>
      </c>
      <c r="E28" s="3">
        <v>0</v>
      </c>
      <c r="F28" s="3">
        <v>0</v>
      </c>
      <c r="G28" s="3">
        <v>0</v>
      </c>
      <c r="H28" s="3">
        <v>5.1774738000000004E-4</v>
      </c>
      <c r="I28" s="3">
        <v>4.0530960000000001E-4</v>
      </c>
      <c r="J28" s="3">
        <v>-1.3149469999999999E-3</v>
      </c>
      <c r="K28" s="2"/>
      <c r="L28" s="3"/>
      <c r="M28" s="3"/>
      <c r="N28" s="2">
        <f>IF('Modell einstellen'!$B$1="Voll",H28/0.35,H28/0.35*2)</f>
        <v>2.9585564571428576E-3</v>
      </c>
      <c r="O28" s="2">
        <f>IF('Modell einstellen'!$B$1="Voll",J28/0.35,J28/0.35*2)</f>
        <v>-7.5139828571428573E-3</v>
      </c>
      <c r="P28" s="3">
        <f t="shared" si="0"/>
        <v>0.39374011271937204</v>
      </c>
      <c r="Q28" s="3"/>
      <c r="R28" s="3"/>
      <c r="S28" s="3"/>
      <c r="T28" s="3"/>
      <c r="U28" s="3"/>
    </row>
    <row r="29" spans="1:21" x14ac:dyDescent="0.25">
      <c r="A29" s="3">
        <v>100000000000</v>
      </c>
      <c r="B29" s="3">
        <v>1.2830000000000001E-3</v>
      </c>
      <c r="C29" s="3">
        <v>2.6640000000000001E-3</v>
      </c>
      <c r="D29" s="3">
        <v>-4.0270000000000002E-3</v>
      </c>
      <c r="E29" s="3">
        <v>0</v>
      </c>
      <c r="F29" s="3">
        <v>0</v>
      </c>
      <c r="G29" s="3">
        <v>0</v>
      </c>
      <c r="H29" s="3">
        <v>5.7171119999999999E-4</v>
      </c>
      <c r="I29" s="3">
        <v>4.5892761999999999E-4</v>
      </c>
      <c r="J29" s="3">
        <v>-1.4711651E-3</v>
      </c>
      <c r="K29" s="2"/>
      <c r="L29" s="3"/>
      <c r="M29" s="3"/>
      <c r="N29" s="2">
        <f>IF('Modell einstellen'!$B$1="Voll",H29/0.35,H29/0.35*2)</f>
        <v>3.2669211428571431E-3</v>
      </c>
      <c r="O29" s="2">
        <f>IF('Modell einstellen'!$B$1="Voll",J29/0.35,J29/0.35*2)</f>
        <v>-8.4066577142857153E-3</v>
      </c>
      <c r="P29" s="3">
        <f t="shared" si="0"/>
        <v>0.38861117627110647</v>
      </c>
      <c r="Q29" s="3"/>
      <c r="R29" s="3"/>
      <c r="S29" s="3"/>
      <c r="T29" s="3"/>
      <c r="U29" s="3"/>
    </row>
    <row r="30" spans="1:21" x14ac:dyDescent="0.25">
      <c r="A30" s="3">
        <v>1000000000000</v>
      </c>
      <c r="B30" s="3">
        <v>1.4450000000000001E-3</v>
      </c>
      <c r="C30" s="3">
        <v>2.8939999999999999E-3</v>
      </c>
      <c r="D30" s="3">
        <v>-4.4169999999999999E-3</v>
      </c>
      <c r="E30" s="3">
        <v>0</v>
      </c>
      <c r="F30" s="3">
        <v>0</v>
      </c>
      <c r="G30" s="3">
        <v>0</v>
      </c>
      <c r="H30" s="3">
        <v>6.1082113000000002E-4</v>
      </c>
      <c r="I30" s="3">
        <v>4.9769623999999996E-4</v>
      </c>
      <c r="J30" s="3">
        <v>-1.5840791E-3</v>
      </c>
      <c r="K30" s="2"/>
      <c r="L30" s="3"/>
      <c r="M30" s="3"/>
      <c r="N30" s="2">
        <f>IF('Modell einstellen'!$B$1="Voll",H30/0.35,H30/0.35*2)</f>
        <v>3.4904064571428576E-3</v>
      </c>
      <c r="O30" s="2">
        <f>IF('Modell einstellen'!$B$1="Voll",J30/0.35,J30/0.35*2)</f>
        <v>-9.0518805714285711E-3</v>
      </c>
      <c r="P30" s="3">
        <f t="shared" si="0"/>
        <v>0.38560014458873937</v>
      </c>
      <c r="Q30" s="3"/>
      <c r="R30" s="3"/>
      <c r="S30" s="3"/>
      <c r="T30" s="3"/>
      <c r="U30" s="3"/>
    </row>
    <row r="31" spans="1:21" x14ac:dyDescent="0.25">
      <c r="A31" s="3">
        <v>10000000000000</v>
      </c>
      <c r="B31" s="3">
        <v>1.446E-3</v>
      </c>
      <c r="C31" s="3">
        <v>2.9680000000000002E-3</v>
      </c>
      <c r="D31" s="3">
        <v>-4.4929999999999996E-3</v>
      </c>
      <c r="E31" s="3">
        <v>0</v>
      </c>
      <c r="F31" s="3">
        <v>0</v>
      </c>
      <c r="G31" s="3">
        <v>0</v>
      </c>
      <c r="H31" s="3">
        <v>6.3388251000000002E-4</v>
      </c>
      <c r="I31" s="3">
        <v>5.1362059999999999E-4</v>
      </c>
      <c r="J31" s="3">
        <v>-1.6373627000000001E-3</v>
      </c>
      <c r="K31" s="2"/>
      <c r="L31" s="3"/>
      <c r="M31" s="3"/>
      <c r="N31" s="2">
        <f>IF('Modell einstellen'!$B$1="Voll",H31/0.35,H31/0.35*2)</f>
        <v>3.6221857714285716E-3</v>
      </c>
      <c r="O31" s="2">
        <f>IF('Modell einstellen'!$B$1="Voll",J31/0.35,J31/0.35*2)</f>
        <v>-9.3563582857142859E-3</v>
      </c>
      <c r="P31" s="3">
        <f t="shared" si="0"/>
        <v>0.3871362832437798</v>
      </c>
      <c r="Q31" s="3"/>
      <c r="R31" s="3"/>
      <c r="S31" s="3"/>
      <c r="T31" s="3"/>
      <c r="U31" s="3"/>
    </row>
    <row r="32" spans="1:21" x14ac:dyDescent="0.25">
      <c r="A32" s="3">
        <v>100000000000000</v>
      </c>
      <c r="B32" s="3">
        <v>1.6379999999999999E-3</v>
      </c>
      <c r="C32" s="3">
        <v>3.1259999999999999E-3</v>
      </c>
      <c r="D32" s="3">
        <v>-4.8390000000000004E-3</v>
      </c>
      <c r="E32" s="3">
        <v>0</v>
      </c>
      <c r="F32" s="3">
        <v>0</v>
      </c>
      <c r="G32" s="3">
        <v>0</v>
      </c>
      <c r="H32" s="3">
        <v>6.4927829000000002E-4</v>
      </c>
      <c r="I32" s="3">
        <v>5.3696813999999995E-4</v>
      </c>
      <c r="J32" s="3">
        <v>-1.6971915E-3</v>
      </c>
      <c r="K32" s="2"/>
      <c r="L32" s="3"/>
      <c r="M32" s="3"/>
      <c r="N32" s="2">
        <f>IF('Modell einstellen'!$B$1="Voll",H32/0.35,H32/0.35*2)</f>
        <v>3.7101616571428575E-3</v>
      </c>
      <c r="O32" s="2">
        <f>IF('Modell einstellen'!$B$1="Voll",J32/0.35,J32/0.35*2)</f>
        <v>-9.698237142857143E-3</v>
      </c>
      <c r="P32" s="3">
        <f t="shared" si="0"/>
        <v>0.38256041819676806</v>
      </c>
      <c r="Q32" s="3"/>
      <c r="R32" s="3"/>
      <c r="S32" s="3"/>
      <c r="T32" s="3"/>
      <c r="U32" s="3"/>
    </row>
    <row r="33" spans="1:21" x14ac:dyDescent="0.25">
      <c r="A33" s="2">
        <v>1000000000000000</v>
      </c>
      <c r="B33" s="3">
        <v>1.634E-3</v>
      </c>
      <c r="C33" s="3">
        <v>3.2299999999999998E-3</v>
      </c>
      <c r="D33" s="3">
        <v>-4.9399999999999999E-3</v>
      </c>
      <c r="E33" s="3">
        <v>0</v>
      </c>
      <c r="F33" s="3">
        <v>0</v>
      </c>
      <c r="G33" s="3">
        <v>0</v>
      </c>
      <c r="H33" s="3">
        <v>6.8097815999999995E-4</v>
      </c>
      <c r="I33" s="3">
        <v>5.5924947999999998E-4</v>
      </c>
      <c r="J33" s="3">
        <v>-1.7711140000000001E-3</v>
      </c>
      <c r="K33" s="2"/>
      <c r="L33" s="3"/>
      <c r="M33" s="3"/>
      <c r="N33" s="2">
        <f>IF('Modell einstellen'!$B$1="Voll",H33/0.35,H33/0.35*2)</f>
        <v>3.8913037714285712E-3</v>
      </c>
      <c r="O33" s="2">
        <f>IF('Modell einstellen'!$B$1="Voll",J33/0.35,J33/0.35*2)</f>
        <v>-1.012065142857143E-2</v>
      </c>
      <c r="P33" s="3">
        <f t="shared" si="0"/>
        <v>0.38449143307545414</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6.7340000000000002E-5</v>
      </c>
      <c r="C3" s="3">
        <v>1.26E-4</v>
      </c>
      <c r="D3" s="3">
        <v>-3.2640000000000002E-4</v>
      </c>
      <c r="E3" s="3">
        <v>0</v>
      </c>
      <c r="F3" s="3">
        <v>0</v>
      </c>
      <c r="G3" s="3">
        <v>0</v>
      </c>
      <c r="H3" s="3">
        <v>2.4586145000000001E-5</v>
      </c>
      <c r="I3" s="3">
        <v>1.1802269000000001E-5</v>
      </c>
      <c r="J3" s="3">
        <v>-6.5053676999999994E-5</v>
      </c>
      <c r="L3" s="3">
        <f>-B3/D3</f>
        <v>0.20631127450980391</v>
      </c>
      <c r="M3" s="3"/>
      <c r="N3" s="2">
        <f>IF('Modell einstellen'!$B$1="Voll",H3/0.35,H3/0.35*2)</f>
        <v>1.4049225714285715E-4</v>
      </c>
      <c r="O3" s="2">
        <f>IF('Modell einstellen'!$B$1="Voll",J3/0.35,J3/0.35*2)</f>
        <v>-3.7173529714285713E-4</v>
      </c>
      <c r="P3" s="3">
        <f>-N3/O3</f>
        <v>0.37793628483137087</v>
      </c>
    </row>
    <row r="4" spans="1:16" x14ac:dyDescent="0.25">
      <c r="A4" s="3">
        <v>1E-14</v>
      </c>
      <c r="B4" s="3">
        <v>6.4330000000000002E-5</v>
      </c>
      <c r="C4" s="3">
        <v>1.295E-4</v>
      </c>
      <c r="D4" s="3">
        <v>-3.2850000000000002E-4</v>
      </c>
      <c r="E4" s="3">
        <v>0</v>
      </c>
      <c r="F4" s="3">
        <v>0</v>
      </c>
      <c r="G4" s="3">
        <v>0</v>
      </c>
      <c r="H4" s="3">
        <v>2.5651515000000001E-5</v>
      </c>
      <c r="I4" s="3">
        <v>1.2141925999999999E-5</v>
      </c>
      <c r="J4" s="3">
        <v>-6.6872195999999996E-5</v>
      </c>
      <c r="L4" s="3">
        <f t="shared" ref="L4:L33" si="0">-B4/D4</f>
        <v>0.19582952815829527</v>
      </c>
      <c r="M4" s="3"/>
      <c r="N4" s="2">
        <f>IF('Modell einstellen'!$B$1="Voll",H4/0.35,H4/0.35*2)</f>
        <v>1.4658008571428574E-4</v>
      </c>
      <c r="O4" s="2">
        <f>IF('Modell einstellen'!$B$1="Voll",J4/0.35,J4/0.35*2)</f>
        <v>-3.8212683428571429E-4</v>
      </c>
      <c r="P4" s="3">
        <f t="shared" ref="P4:P33" si="1">-N4/O4</f>
        <v>0.38359013961497546</v>
      </c>
    </row>
    <row r="5" spans="1:16" x14ac:dyDescent="0.25">
      <c r="A5" s="3">
        <v>1E-13</v>
      </c>
      <c r="B5" s="3">
        <v>6.0730000000000003E-5</v>
      </c>
      <c r="C5" s="3">
        <v>1.3219999999999999E-4</v>
      </c>
      <c r="D5" s="3">
        <v>-3.2890000000000003E-4</v>
      </c>
      <c r="E5" s="3">
        <v>0</v>
      </c>
      <c r="F5" s="3">
        <v>0</v>
      </c>
      <c r="G5" s="3">
        <v>0</v>
      </c>
      <c r="H5" s="3">
        <v>2.6614454000000002E-5</v>
      </c>
      <c r="I5" s="3">
        <v>1.2416367E-5</v>
      </c>
      <c r="J5" s="3">
        <v>-6.8453160000000001E-5</v>
      </c>
      <c r="L5" s="3">
        <f t="shared" si="0"/>
        <v>0.18464578899361508</v>
      </c>
      <c r="M5" s="3"/>
      <c r="N5" s="2">
        <f>IF('Modell einstellen'!$B$1="Voll",H5/0.35,H5/0.35*2)</f>
        <v>1.5208259428571431E-4</v>
      </c>
      <c r="O5" s="2">
        <f>IF('Modell einstellen'!$B$1="Voll",J5/0.35,J5/0.35*2)</f>
        <v>-3.9116091428571429E-4</v>
      </c>
      <c r="P5" s="3">
        <f t="shared" si="1"/>
        <v>0.38879803357507531</v>
      </c>
    </row>
    <row r="6" spans="1:16" x14ac:dyDescent="0.25">
      <c r="A6" s="3">
        <v>9.9999999999999998E-13</v>
      </c>
      <c r="B6" s="3">
        <v>5.7420000000000003E-5</v>
      </c>
      <c r="C6" s="3">
        <v>1.3559999999999999E-4</v>
      </c>
      <c r="D6" s="3">
        <v>-3.3040000000000001E-4</v>
      </c>
      <c r="E6" s="3">
        <v>0</v>
      </c>
      <c r="F6" s="3">
        <v>0</v>
      </c>
      <c r="G6" s="3">
        <v>0</v>
      </c>
      <c r="H6" s="3">
        <v>2.7616499E-5</v>
      </c>
      <c r="I6" s="3">
        <v>1.2731067000000001E-5</v>
      </c>
      <c r="J6" s="3">
        <v>-7.0147123000000001E-5</v>
      </c>
      <c r="L6" s="3">
        <f t="shared" si="0"/>
        <v>0.17378934624697337</v>
      </c>
      <c r="M6" s="3"/>
      <c r="N6" s="2">
        <f>IF('Modell einstellen'!$B$1="Voll",H6/0.35,H6/0.35*2)</f>
        <v>1.5780856571428572E-4</v>
      </c>
      <c r="O6" s="2">
        <f>IF('Modell einstellen'!$B$1="Voll",J6/0.35,J6/0.35*2)</f>
        <v>-4.0084070285714289E-4</v>
      </c>
      <c r="P6" s="3">
        <f t="shared" si="1"/>
        <v>0.39369396518229266</v>
      </c>
    </row>
    <row r="7" spans="1:16" x14ac:dyDescent="0.25">
      <c r="A7" s="3">
        <v>9.9999999999999994E-12</v>
      </c>
      <c r="B7" s="3">
        <v>5.2580000000000001E-5</v>
      </c>
      <c r="C7" s="3">
        <v>1.3909999999999999E-4</v>
      </c>
      <c r="D7" s="3">
        <v>-3.3060000000000001E-4</v>
      </c>
      <c r="E7" s="3">
        <v>0</v>
      </c>
      <c r="F7" s="3">
        <v>0</v>
      </c>
      <c r="G7" s="3">
        <v>0</v>
      </c>
      <c r="H7" s="3">
        <v>2.8794595999999999E-5</v>
      </c>
      <c r="I7" s="3">
        <v>1.3064977999999999E-5</v>
      </c>
      <c r="J7" s="3">
        <v>-7.2067026000000004E-5</v>
      </c>
      <c r="L7" s="3">
        <f t="shared" si="0"/>
        <v>0.15904416212946157</v>
      </c>
      <c r="M7" s="3"/>
      <c r="N7" s="2">
        <f>IF('Modell einstellen'!$B$1="Voll",H7/0.35,H7/0.35*2)</f>
        <v>1.6454054857142859E-4</v>
      </c>
      <c r="O7" s="2">
        <f>IF('Modell einstellen'!$B$1="Voll",J7/0.35,J7/0.35*2)</f>
        <v>-4.1181157714285721E-4</v>
      </c>
      <c r="P7" s="3">
        <f t="shared" si="1"/>
        <v>0.39955299390320337</v>
      </c>
    </row>
    <row r="8" spans="1:16" x14ac:dyDescent="0.25">
      <c r="A8" s="3">
        <v>1E-10</v>
      </c>
      <c r="B8" s="3">
        <v>4.5500000000000001E-5</v>
      </c>
      <c r="C8" s="3">
        <v>1.4339999999999999E-4</v>
      </c>
      <c r="D8" s="3">
        <v>-3.2969999999999999E-4</v>
      </c>
      <c r="E8" s="3">
        <v>0</v>
      </c>
      <c r="F8" s="3">
        <v>0</v>
      </c>
      <c r="G8" s="3">
        <v>0</v>
      </c>
      <c r="H8" s="3">
        <v>3.0339592000000001E-5</v>
      </c>
      <c r="I8" s="3">
        <v>1.3479242E-5</v>
      </c>
      <c r="J8" s="3">
        <v>-7.4532390999999993E-5</v>
      </c>
      <c r="L8" s="3">
        <f t="shared" si="0"/>
        <v>0.13800424628450106</v>
      </c>
      <c r="M8" s="3"/>
      <c r="N8" s="2">
        <f>IF('Modell einstellen'!$B$1="Voll",H8/0.35,H8/0.35*2)</f>
        <v>1.7336909714285717E-4</v>
      </c>
      <c r="O8" s="2">
        <f>IF('Modell einstellen'!$B$1="Voll",J8/0.35,J8/0.35*2)</f>
        <v>-4.2589937714285713E-4</v>
      </c>
      <c r="P8" s="3">
        <f t="shared" si="1"/>
        <v>0.40706586214307822</v>
      </c>
    </row>
    <row r="9" spans="1:16" x14ac:dyDescent="0.25">
      <c r="A9" s="3">
        <v>1.0000000000000001E-9</v>
      </c>
      <c r="B9" s="3">
        <v>3.6149999999999998E-5</v>
      </c>
      <c r="C9" s="3">
        <v>1.4799999999999999E-4</v>
      </c>
      <c r="D9" s="3">
        <v>-3.2719999999999998E-4</v>
      </c>
      <c r="E9" s="3">
        <v>0</v>
      </c>
      <c r="F9" s="3">
        <v>0</v>
      </c>
      <c r="G9" s="3">
        <v>0</v>
      </c>
      <c r="H9" s="3">
        <v>3.2152756999999997E-5</v>
      </c>
      <c r="I9" s="3">
        <v>1.3932403000000001E-5</v>
      </c>
      <c r="J9" s="3">
        <v>-7.7352021999999994E-5</v>
      </c>
      <c r="L9" s="3">
        <f t="shared" si="0"/>
        <v>0.11048288508557456</v>
      </c>
      <c r="M9" s="3"/>
      <c r="N9" s="2">
        <f>IF('Modell einstellen'!$B$1="Voll",H9/0.35,H9/0.35*2)</f>
        <v>1.8373004000000001E-4</v>
      </c>
      <c r="O9" s="2">
        <f>IF('Modell einstellen'!$B$1="Voll",J9/0.35,J9/0.35*2)</f>
        <v>-4.420115542857143E-4</v>
      </c>
      <c r="P9" s="3">
        <f t="shared" si="1"/>
        <v>0.41566795758745645</v>
      </c>
    </row>
    <row r="10" spans="1:16" x14ac:dyDescent="0.25">
      <c r="A10" s="3">
        <v>1E-8</v>
      </c>
      <c r="B10" s="3">
        <v>2.6060000000000001E-5</v>
      </c>
      <c r="C10" s="3">
        <v>1.5220000000000001E-4</v>
      </c>
      <c r="D10" s="3">
        <v>-3.232E-4</v>
      </c>
      <c r="E10" s="3">
        <v>0</v>
      </c>
      <c r="F10" s="3">
        <v>0</v>
      </c>
      <c r="G10" s="3">
        <v>0</v>
      </c>
      <c r="H10" s="3">
        <v>3.3910635000000003E-5</v>
      </c>
      <c r="I10" s="3">
        <v>1.4339204000000001E-5</v>
      </c>
      <c r="J10" s="3">
        <v>-8.0013066999999998E-5</v>
      </c>
      <c r="L10" s="3">
        <f t="shared" si="0"/>
        <v>8.0631188118811883E-2</v>
      </c>
      <c r="M10" s="3"/>
      <c r="N10" s="2">
        <f>IF('Modell einstellen'!$B$1="Voll",H10/0.35,H10/0.35*2)</f>
        <v>1.9377505714285716E-4</v>
      </c>
      <c r="O10" s="2">
        <f>IF('Modell einstellen'!$B$1="Voll",J10/0.35,J10/0.35*2)</f>
        <v>-4.5721752571428574E-4</v>
      </c>
      <c r="P10" s="3">
        <f t="shared" si="1"/>
        <v>0.42381371282768104</v>
      </c>
    </row>
    <row r="11" spans="1:16" x14ac:dyDescent="0.25">
      <c r="A11" s="3">
        <v>9.9999999999999995E-8</v>
      </c>
      <c r="B11" s="3">
        <v>1.579E-5</v>
      </c>
      <c r="C11" s="3">
        <v>1.5589999999999999E-4</v>
      </c>
      <c r="D11" s="3">
        <v>-3.1829999999999998E-4</v>
      </c>
      <c r="E11" s="3">
        <v>0</v>
      </c>
      <c r="F11" s="3">
        <v>0</v>
      </c>
      <c r="G11" s="3">
        <v>0</v>
      </c>
      <c r="H11" s="3">
        <v>3.5569572000000003E-5</v>
      </c>
      <c r="I11" s="3">
        <v>1.4698388E-5</v>
      </c>
      <c r="J11" s="3">
        <v>-8.2469332999999997E-5</v>
      </c>
      <c r="L11" s="3">
        <f t="shared" si="0"/>
        <v>4.9607288721332077E-2</v>
      </c>
      <c r="M11" s="3"/>
      <c r="N11" s="2">
        <f>IF('Modell einstellen'!$B$1="Voll",H11/0.35,H11/0.35*2)</f>
        <v>2.0325469714285716E-4</v>
      </c>
      <c r="O11" s="2">
        <f>IF('Modell einstellen'!$B$1="Voll",J11/0.35,J11/0.35*2)</f>
        <v>-4.7125333142857142E-4</v>
      </c>
      <c r="P11" s="3">
        <f t="shared" si="1"/>
        <v>0.4313066531046153</v>
      </c>
    </row>
    <row r="12" spans="1:16" x14ac:dyDescent="0.25">
      <c r="A12" s="3">
        <v>9.9999999999999995E-7</v>
      </c>
      <c r="B12" s="3">
        <v>3.5920000000000001E-6</v>
      </c>
      <c r="C12" s="3">
        <v>1.5970000000000001E-4</v>
      </c>
      <c r="D12" s="3">
        <v>-3.1169999999999999E-4</v>
      </c>
      <c r="E12" s="3">
        <v>0</v>
      </c>
      <c r="F12" s="3">
        <v>0</v>
      </c>
      <c r="G12" s="3">
        <v>0</v>
      </c>
      <c r="H12" s="3">
        <v>3.7410531999999998E-5</v>
      </c>
      <c r="I12" s="3">
        <v>1.5069913999999999E-5</v>
      </c>
      <c r="J12" s="3">
        <v>-8.5135076999999994E-5</v>
      </c>
      <c r="L12" s="3">
        <f t="shared" si="0"/>
        <v>1.152390118703882E-2</v>
      </c>
      <c r="M12" s="3"/>
      <c r="N12" s="2">
        <f>IF('Modell einstellen'!$B$1="Voll",H12/0.35,H12/0.35*2)</f>
        <v>2.1377446857142858E-4</v>
      </c>
      <c r="O12" s="2">
        <f>IF('Modell einstellen'!$B$1="Voll",J12/0.35,J12/0.35*2)</f>
        <v>-4.8648615428571431E-4</v>
      </c>
      <c r="P12" s="3">
        <f t="shared" si="1"/>
        <v>0.43942559657284386</v>
      </c>
    </row>
    <row r="13" spans="1:16" x14ac:dyDescent="0.25">
      <c r="A13" s="3">
        <v>1.0000000000000001E-5</v>
      </c>
      <c r="B13" s="3">
        <v>-1.0710000000000001E-5</v>
      </c>
      <c r="C13" s="3">
        <v>1.6359999999999999E-4</v>
      </c>
      <c r="D13" s="3">
        <v>-3.0309999999999999E-4</v>
      </c>
      <c r="E13" s="3">
        <v>0</v>
      </c>
      <c r="F13" s="3">
        <v>0</v>
      </c>
      <c r="G13" s="3">
        <v>0</v>
      </c>
      <c r="H13" s="3">
        <v>3.9433593999999998E-5</v>
      </c>
      <c r="I13" s="3">
        <v>1.5448887000000002E-5</v>
      </c>
      <c r="J13" s="3">
        <v>-8.7999335999999995E-5</v>
      </c>
      <c r="L13" s="3">
        <f t="shared" si="0"/>
        <v>-3.5334872979214782E-2</v>
      </c>
      <c r="M13" s="3"/>
      <c r="N13" s="2">
        <f>IF('Modell einstellen'!$B$1="Voll",H13/0.35,H13/0.35*2)</f>
        <v>2.2533482285714285E-4</v>
      </c>
      <c r="O13" s="2">
        <f>IF('Modell einstellen'!$B$1="Voll",J13/0.35,J13/0.35*2)</f>
        <v>-5.028533485714286E-4</v>
      </c>
      <c r="P13" s="3">
        <f t="shared" si="1"/>
        <v>0.44811240393904789</v>
      </c>
    </row>
    <row r="14" spans="1:16" x14ac:dyDescent="0.25">
      <c r="A14" s="3">
        <v>1E-4</v>
      </c>
      <c r="B14" s="3">
        <v>-2.756E-5</v>
      </c>
      <c r="C14" s="3">
        <v>1.6750000000000001E-4</v>
      </c>
      <c r="D14" s="3">
        <v>-2.92E-4</v>
      </c>
      <c r="E14" s="3">
        <v>0</v>
      </c>
      <c r="F14" s="3">
        <v>0</v>
      </c>
      <c r="G14" s="3">
        <v>0</v>
      </c>
      <c r="H14" s="3">
        <v>4.1670488999999997E-5</v>
      </c>
      <c r="I14" s="3">
        <v>1.5833922000000001E-5</v>
      </c>
      <c r="J14" s="3">
        <v>-9.1090711999999998E-5</v>
      </c>
      <c r="L14" s="3">
        <f t="shared" si="0"/>
        <v>-9.4383561643835615E-2</v>
      </c>
      <c r="M14" s="3"/>
      <c r="N14" s="2">
        <f>IF('Modell einstellen'!$B$1="Voll",H14/0.35,H14/0.35*2)</f>
        <v>2.3811707999999999E-4</v>
      </c>
      <c r="O14" s="2">
        <f>IF('Modell einstellen'!$B$1="Voll",J14/0.35,J14/0.35*2)</f>
        <v>-5.2051835428571435E-4</v>
      </c>
      <c r="P14" s="3">
        <f t="shared" si="1"/>
        <v>0.45746144788065762</v>
      </c>
    </row>
    <row r="15" spans="1:16" x14ac:dyDescent="0.25">
      <c r="A15" s="3">
        <v>1E-3</v>
      </c>
      <c r="B15" s="3">
        <v>-4.8359999999999998E-5</v>
      </c>
      <c r="C15" s="3">
        <v>1.717E-4</v>
      </c>
      <c r="D15" s="3">
        <v>-2.7730000000000002E-4</v>
      </c>
      <c r="E15" s="3">
        <v>0</v>
      </c>
      <c r="F15" s="3">
        <v>0</v>
      </c>
      <c r="G15" s="3">
        <v>0</v>
      </c>
      <c r="H15" s="3">
        <v>4.4286480999999998E-5</v>
      </c>
      <c r="I15" s="3">
        <v>1.6248192999999999E-5</v>
      </c>
      <c r="J15" s="3">
        <v>-9.4625595000000004E-5</v>
      </c>
      <c r="L15" s="3">
        <f t="shared" si="0"/>
        <v>-0.17439596105301117</v>
      </c>
      <c r="M15" s="3"/>
      <c r="N15" s="2">
        <f>IF('Modell einstellen'!$B$1="Voll",H15/0.35,H15/0.35*2)</f>
        <v>2.5306560571428571E-4</v>
      </c>
      <c r="O15" s="2">
        <f>IF('Modell einstellen'!$B$1="Voll",J15/0.35,J15/0.35*2)</f>
        <v>-5.4071768571428572E-4</v>
      </c>
      <c r="P15" s="3">
        <f t="shared" si="1"/>
        <v>0.46801799238356173</v>
      </c>
    </row>
    <row r="16" spans="1:16" x14ac:dyDescent="0.25">
      <c r="A16" s="3">
        <v>0.01</v>
      </c>
      <c r="B16" s="3">
        <v>-7.8250000000000005E-5</v>
      </c>
      <c r="C16" s="3">
        <v>1.7679999999999999E-4</v>
      </c>
      <c r="D16" s="3">
        <v>-2.5490000000000002E-4</v>
      </c>
      <c r="E16" s="3">
        <v>0</v>
      </c>
      <c r="F16" s="3">
        <v>0</v>
      </c>
      <c r="G16" s="3">
        <v>0</v>
      </c>
      <c r="H16" s="3">
        <v>4.7847055999999998E-5</v>
      </c>
      <c r="I16" s="3">
        <v>1.6760588000000001E-5</v>
      </c>
      <c r="J16" s="3">
        <v>-9.9318565000000006E-5</v>
      </c>
      <c r="L16" s="3">
        <f t="shared" si="0"/>
        <v>-0.30698313063946647</v>
      </c>
      <c r="M16" s="3"/>
      <c r="N16" s="2">
        <f>IF('Modell einstellen'!$B$1="Voll",H16/0.35,H16/0.35*2)</f>
        <v>2.7341174857142857E-4</v>
      </c>
      <c r="O16" s="2">
        <f>IF('Modell einstellen'!$B$1="Voll",J16/0.35,J16/0.35*2)</f>
        <v>-5.6753465714285724E-4</v>
      </c>
      <c r="P16" s="3">
        <f t="shared" si="1"/>
        <v>0.48175339625577546</v>
      </c>
    </row>
    <row r="17" spans="1:16" x14ac:dyDescent="0.25">
      <c r="A17" s="3">
        <v>0.1</v>
      </c>
      <c r="B17" s="3">
        <v>-1.1569999999999999E-4</v>
      </c>
      <c r="C17" s="3">
        <v>1.8310000000000001E-4</v>
      </c>
      <c r="D17" s="3">
        <v>-2.2609999999999999E-4</v>
      </c>
      <c r="E17" s="3">
        <v>0</v>
      </c>
      <c r="F17" s="3">
        <v>0</v>
      </c>
      <c r="G17" s="3">
        <v>0</v>
      </c>
      <c r="H17" s="3">
        <v>5.2387423999999998E-5</v>
      </c>
      <c r="I17" s="3">
        <v>1.7439590000000001E-5</v>
      </c>
      <c r="J17" s="3">
        <v>-1.0531449E-4</v>
      </c>
      <c r="L17" s="3">
        <f t="shared" si="0"/>
        <v>-0.51172047766475015</v>
      </c>
      <c r="M17" s="3"/>
      <c r="N17" s="2">
        <f>IF('Modell einstellen'!$B$1="Voll",H17/0.35,H17/0.35*2)</f>
        <v>2.9935670857142855E-4</v>
      </c>
      <c r="O17" s="2">
        <f>IF('Modell einstellen'!$B$1="Voll",J17/0.35,J17/0.35*2)</f>
        <v>-6.0179708571428576E-4</v>
      </c>
      <c r="P17" s="3">
        <f t="shared" si="1"/>
        <v>0.49743794989654311</v>
      </c>
    </row>
    <row r="18" spans="1:16" x14ac:dyDescent="0.25">
      <c r="A18" s="3">
        <v>1</v>
      </c>
      <c r="B18" s="3">
        <v>-1.5029999999999999E-4</v>
      </c>
      <c r="C18" s="3">
        <v>1.9599999999999999E-4</v>
      </c>
      <c r="D18" s="3">
        <v>-2.0550000000000001E-4</v>
      </c>
      <c r="E18" s="3">
        <v>0</v>
      </c>
      <c r="F18" s="3">
        <v>0</v>
      </c>
      <c r="G18" s="3">
        <v>0</v>
      </c>
      <c r="H18" s="3">
        <v>5.9615799000000003E-5</v>
      </c>
      <c r="I18" s="3">
        <v>1.9344374999999999E-5</v>
      </c>
      <c r="J18" s="3">
        <v>-1.1630265E-4</v>
      </c>
      <c r="L18" s="3">
        <f t="shared" si="0"/>
        <v>-0.73138686131386854</v>
      </c>
      <c r="M18" s="3"/>
      <c r="N18" s="2">
        <f>IF('Modell einstellen'!$B$1="Voll",H18/0.35,H18/0.35*2)</f>
        <v>3.4066170857142861E-4</v>
      </c>
      <c r="O18" s="2">
        <f>IF('Modell einstellen'!$B$1="Voll",J18/0.35,J18/0.35*2)</f>
        <v>-6.6458657142857145E-4</v>
      </c>
      <c r="P18" s="3">
        <f t="shared" si="1"/>
        <v>0.51259192288395838</v>
      </c>
    </row>
    <row r="19" spans="1:16" x14ac:dyDescent="0.25">
      <c r="A19" s="3">
        <v>10</v>
      </c>
      <c r="B19" s="3">
        <v>-1.2779999999999999E-4</v>
      </c>
      <c r="C19" s="3">
        <v>2.31E-4</v>
      </c>
      <c r="D19" s="3">
        <v>-2.5779999999999998E-4</v>
      </c>
      <c r="E19" s="3">
        <v>0</v>
      </c>
      <c r="F19" s="3">
        <v>0</v>
      </c>
      <c r="G19" s="3">
        <v>0</v>
      </c>
      <c r="H19" s="3">
        <v>7.3502628E-5</v>
      </c>
      <c r="I19" s="3">
        <v>2.6070837999999998E-5</v>
      </c>
      <c r="J19" s="3">
        <v>-1.4299116000000001E-4</v>
      </c>
      <c r="L19" s="3">
        <f t="shared" si="0"/>
        <v>-0.49573312645461598</v>
      </c>
      <c r="M19" s="3"/>
      <c r="N19" s="2">
        <f>IF('Modell einstellen'!$B$1="Voll",H19/0.35,H19/0.35*2)</f>
        <v>4.2001501714285716E-4</v>
      </c>
      <c r="O19" s="2">
        <f>IF('Modell einstellen'!$B$1="Voll",J19/0.35,J19/0.35*2)</f>
        <v>-8.1709234285714302E-4</v>
      </c>
      <c r="P19" s="3">
        <f t="shared" si="1"/>
        <v>0.51403616838971011</v>
      </c>
    </row>
    <row r="20" spans="1:16" x14ac:dyDescent="0.25">
      <c r="A20" s="3">
        <v>100</v>
      </c>
      <c r="B20" s="3">
        <v>-4.159E-5</v>
      </c>
      <c r="C20" s="3">
        <v>3.0219999999999997E-4</v>
      </c>
      <c r="D20" s="3">
        <v>-4.0470000000000002E-4</v>
      </c>
      <c r="E20" s="3">
        <v>0</v>
      </c>
      <c r="F20" s="3">
        <v>0</v>
      </c>
      <c r="G20" s="3">
        <v>0</v>
      </c>
      <c r="H20" s="3">
        <v>9.7487250999999997E-5</v>
      </c>
      <c r="I20" s="3">
        <v>4.0475042999999999E-5</v>
      </c>
      <c r="J20" s="3">
        <v>-1.9440024E-4</v>
      </c>
      <c r="L20" s="3">
        <f t="shared" si="0"/>
        <v>-0.10276748208549542</v>
      </c>
      <c r="M20" s="3"/>
      <c r="N20" s="2">
        <f>IF('Modell einstellen'!$B$1="Voll",H20/0.35,H20/0.35*2)</f>
        <v>5.5707000571428571E-4</v>
      </c>
      <c r="O20" s="2">
        <f>IF('Modell einstellen'!$B$1="Voll",J20/0.35,J20/0.35*2)</f>
        <v>-1.1108585142857144E-3</v>
      </c>
      <c r="P20" s="3">
        <f t="shared" si="1"/>
        <v>0.5014770094934039</v>
      </c>
    </row>
    <row r="21" spans="1:16" x14ac:dyDescent="0.25">
      <c r="A21" s="3">
        <v>1000</v>
      </c>
      <c r="B21" s="3">
        <v>5.9150000000000001E-5</v>
      </c>
      <c r="C21" s="3">
        <v>4.215E-4</v>
      </c>
      <c r="D21" s="3">
        <v>-6.1379999999999996E-4</v>
      </c>
      <c r="E21" s="3">
        <v>0</v>
      </c>
      <c r="F21" s="3">
        <v>0</v>
      </c>
      <c r="G21" s="3">
        <v>0</v>
      </c>
      <c r="H21" s="3">
        <v>1.3513881E-4</v>
      </c>
      <c r="I21" s="3">
        <v>6.4340236000000003E-5</v>
      </c>
      <c r="J21" s="3">
        <v>-2.7780357999999998E-4</v>
      </c>
      <c r="L21" s="3">
        <f t="shared" si="0"/>
        <v>9.636689475399153E-2</v>
      </c>
      <c r="M21" s="3"/>
      <c r="N21" s="2">
        <f>IF('Modell einstellen'!$B$1="Voll",H21/0.35,H21/0.35*2)</f>
        <v>7.7222177142857143E-4</v>
      </c>
      <c r="O21" s="2">
        <f>IF('Modell einstellen'!$B$1="Voll",J21/0.35,J21/0.35*2)</f>
        <v>-1.5874490285714285E-3</v>
      </c>
      <c r="P21" s="3">
        <f t="shared" si="1"/>
        <v>0.48645453021159774</v>
      </c>
    </row>
    <row r="22" spans="1:16" x14ac:dyDescent="0.25">
      <c r="A22" s="3">
        <v>10000</v>
      </c>
      <c r="B22" s="3">
        <v>1.3880000000000001E-4</v>
      </c>
      <c r="C22" s="3">
        <v>6.2600000000000004E-4</v>
      </c>
      <c r="D22" s="3">
        <v>-8.8739999999999999E-4</v>
      </c>
      <c r="E22" s="3">
        <v>0</v>
      </c>
      <c r="F22" s="3">
        <v>0</v>
      </c>
      <c r="G22" s="3">
        <v>0</v>
      </c>
      <c r="H22" s="3">
        <v>1.9542297E-4</v>
      </c>
      <c r="I22" s="3">
        <v>1.0461228E-4</v>
      </c>
      <c r="J22" s="3">
        <v>-4.1565104000000001E-4</v>
      </c>
      <c r="L22" s="3">
        <f t="shared" si="0"/>
        <v>0.15641199008338968</v>
      </c>
      <c r="M22" s="3"/>
      <c r="N22" s="2">
        <f>IF('Modell einstellen'!$B$1="Voll",H22/0.35,H22/0.35*2)</f>
        <v>1.1167026857142857E-3</v>
      </c>
      <c r="O22" s="2">
        <f>IF('Modell einstellen'!$B$1="Voll",J22/0.35,J22/0.35*2)</f>
        <v>-2.3751488000000004E-3</v>
      </c>
      <c r="P22" s="3">
        <f t="shared" si="1"/>
        <v>0.4701611476781099</v>
      </c>
    </row>
    <row r="23" spans="1:16" x14ac:dyDescent="0.25">
      <c r="A23" s="3">
        <v>100000</v>
      </c>
      <c r="B23" s="3">
        <v>2.1479999999999999E-4</v>
      </c>
      <c r="C23" s="3">
        <v>9.5870000000000005E-4</v>
      </c>
      <c r="D23" s="3">
        <v>-1.2849999999999999E-3</v>
      </c>
      <c r="E23" s="3">
        <v>0</v>
      </c>
      <c r="F23" s="3">
        <v>0</v>
      </c>
      <c r="G23" s="3">
        <v>0</v>
      </c>
      <c r="H23" s="3">
        <v>2.8062410000000002E-4</v>
      </c>
      <c r="I23" s="3">
        <v>1.6826864E-4</v>
      </c>
      <c r="J23" s="3">
        <v>-6.2345238000000003E-4</v>
      </c>
      <c r="L23" s="3">
        <f t="shared" si="0"/>
        <v>0.16715953307392997</v>
      </c>
      <c r="M23" s="3"/>
      <c r="N23" s="2">
        <f>IF('Modell einstellen'!$B$1="Voll",H23/0.35,H23/0.35*2)</f>
        <v>1.6035662857142858E-3</v>
      </c>
      <c r="O23" s="2">
        <f>IF('Modell einstellen'!$B$1="Voll",J23/0.35,J23/0.35*2)</f>
        <v>-3.5625850285714291E-3</v>
      </c>
      <c r="P23" s="3">
        <f t="shared" si="1"/>
        <v>0.45011312652299118</v>
      </c>
    </row>
    <row r="24" spans="1:16" x14ac:dyDescent="0.25">
      <c r="A24" s="3">
        <v>1000000</v>
      </c>
      <c r="B24" s="3">
        <v>3.3649999999999999E-4</v>
      </c>
      <c r="C24" s="3">
        <v>1.4369999999999999E-3</v>
      </c>
      <c r="D24" s="3">
        <v>-1.8749999999999999E-3</v>
      </c>
      <c r="E24" s="3">
        <v>0</v>
      </c>
      <c r="F24" s="3">
        <v>0</v>
      </c>
      <c r="G24" s="3">
        <v>0</v>
      </c>
      <c r="H24" s="3">
        <v>3.8971060000000002E-4</v>
      </c>
      <c r="I24" s="3">
        <v>2.5821603000000001E-4</v>
      </c>
      <c r="J24" s="3">
        <v>-9.0536356E-4</v>
      </c>
      <c r="L24" s="3">
        <f t="shared" si="0"/>
        <v>0.17946666666666666</v>
      </c>
      <c r="M24" s="3"/>
      <c r="N24" s="2">
        <f>IF('Modell einstellen'!$B$1="Voll",H24/0.35,H24/0.35*2)</f>
        <v>2.2269177142857145E-3</v>
      </c>
      <c r="O24" s="2">
        <f>IF('Modell einstellen'!$B$1="Voll",J24/0.35,J24/0.35*2)</f>
        <v>-5.1735060571428577E-3</v>
      </c>
      <c r="P24" s="3">
        <f t="shared" si="1"/>
        <v>0.4304465269178715</v>
      </c>
    </row>
    <row r="25" spans="1:16" x14ac:dyDescent="0.25">
      <c r="A25" s="3">
        <v>10000000</v>
      </c>
      <c r="B25" s="3">
        <v>5.8520000000000002E-4</v>
      </c>
      <c r="C25" s="3">
        <v>1.9239999999999999E-3</v>
      </c>
      <c r="D25" s="3">
        <v>-2.6020000000000001E-3</v>
      </c>
      <c r="E25" s="3">
        <v>0</v>
      </c>
      <c r="F25" s="3">
        <v>0</v>
      </c>
      <c r="G25" s="3">
        <v>0</v>
      </c>
      <c r="H25" s="3">
        <v>4.8141503E-4</v>
      </c>
      <c r="I25" s="3">
        <v>3.4555168999999999E-4</v>
      </c>
      <c r="J25" s="3">
        <v>-1.1643395999999999E-3</v>
      </c>
      <c r="L25" s="3">
        <f t="shared" si="0"/>
        <v>0.22490392006149115</v>
      </c>
      <c r="M25" s="3"/>
      <c r="N25" s="2">
        <f>IF('Modell einstellen'!$B$1="Voll",H25/0.35,H25/0.35*2)</f>
        <v>2.7509430285714287E-3</v>
      </c>
      <c r="O25" s="2">
        <f>IF('Modell einstellen'!$B$1="Voll",J25/0.35,J25/0.35*2)</f>
        <v>-6.6533691428571429E-3</v>
      </c>
      <c r="P25" s="3">
        <f t="shared" si="1"/>
        <v>0.4134661657131648</v>
      </c>
    </row>
    <row r="26" spans="1:16" x14ac:dyDescent="0.25">
      <c r="A26" s="3">
        <v>100000000</v>
      </c>
      <c r="B26" s="3">
        <v>8.7460000000000001E-4</v>
      </c>
      <c r="C26" s="3">
        <v>2.3519999999999999E-3</v>
      </c>
      <c r="D26" s="3">
        <v>-3.313E-3</v>
      </c>
      <c r="E26" s="3">
        <v>0</v>
      </c>
      <c r="F26" s="3">
        <v>0</v>
      </c>
      <c r="G26" s="3">
        <v>0</v>
      </c>
      <c r="H26" s="3">
        <v>5.5219052000000002E-4</v>
      </c>
      <c r="I26" s="3">
        <v>4.1902756999999998E-4</v>
      </c>
      <c r="J26" s="3">
        <v>-1.3754628999999999E-3</v>
      </c>
      <c r="L26" s="3">
        <f t="shared" si="0"/>
        <v>0.26399034108059161</v>
      </c>
      <c r="M26" s="3"/>
      <c r="N26" s="2">
        <f>IF('Modell einstellen'!$B$1="Voll",H26/0.35,H26/0.35*2)</f>
        <v>3.1553744000000004E-3</v>
      </c>
      <c r="O26" s="2">
        <f>IF('Modell einstellen'!$B$1="Voll",J26/0.35,J26/0.35*2)</f>
        <v>-7.8597879999999995E-3</v>
      </c>
      <c r="P26" s="3">
        <f t="shared" si="1"/>
        <v>0.40145795280992319</v>
      </c>
    </row>
    <row r="27" spans="1:16" x14ac:dyDescent="0.25">
      <c r="A27" s="3">
        <v>1000000000</v>
      </c>
      <c r="B27" s="3">
        <v>1.1180000000000001E-3</v>
      </c>
      <c r="C27" s="3">
        <v>2.624E-3</v>
      </c>
      <c r="D27" s="3">
        <v>-3.8249999999999998E-3</v>
      </c>
      <c r="E27" s="3">
        <v>0</v>
      </c>
      <c r="F27" s="3">
        <v>0</v>
      </c>
      <c r="G27" s="3">
        <v>0</v>
      </c>
      <c r="H27" s="3">
        <v>5.9173457999999997E-4</v>
      </c>
      <c r="I27" s="3">
        <v>4.6480787000000002E-4</v>
      </c>
      <c r="J27" s="3">
        <v>-1.502293E-3</v>
      </c>
      <c r="L27" s="3">
        <f t="shared" si="0"/>
        <v>0.29228758169934643</v>
      </c>
      <c r="M27" s="3"/>
      <c r="N27" s="2">
        <f>IF('Modell einstellen'!$B$1="Voll",H27/0.35,H27/0.35*2)</f>
        <v>3.381340457142857E-3</v>
      </c>
      <c r="O27" s="2">
        <f>IF('Modell einstellen'!$B$1="Voll",J27/0.35,J27/0.35*2)</f>
        <v>-8.5845314285714295E-3</v>
      </c>
      <c r="P27" s="3">
        <f t="shared" si="1"/>
        <v>0.39388759715980831</v>
      </c>
    </row>
    <row r="28" spans="1:16" x14ac:dyDescent="0.25">
      <c r="A28" s="3">
        <v>10000000000</v>
      </c>
      <c r="B28" s="3">
        <v>1.317E-3</v>
      </c>
      <c r="C28" s="3">
        <v>2.8570000000000002E-3</v>
      </c>
      <c r="D28" s="3">
        <v>-4.254E-3</v>
      </c>
      <c r="E28" s="3">
        <v>0</v>
      </c>
      <c r="F28" s="3">
        <v>0</v>
      </c>
      <c r="G28" s="3">
        <v>0</v>
      </c>
      <c r="H28" s="3">
        <v>6.2541569999999996E-4</v>
      </c>
      <c r="I28" s="3">
        <v>5.0222663999999998E-4</v>
      </c>
      <c r="J28" s="3">
        <v>-1.6072044E-3</v>
      </c>
      <c r="L28" s="3">
        <f t="shared" si="0"/>
        <v>0.30959097320169254</v>
      </c>
      <c r="M28" s="3"/>
      <c r="N28" s="2">
        <f>IF('Modell einstellen'!$B$1="Voll",H28/0.35,H28/0.35*2)</f>
        <v>3.5738039999999999E-3</v>
      </c>
      <c r="O28" s="2">
        <f>IF('Modell einstellen'!$B$1="Voll",J28/0.35,J28/0.35*2)</f>
        <v>-9.184025142857143E-3</v>
      </c>
      <c r="P28" s="3">
        <f t="shared" si="1"/>
        <v>0.38913264548056237</v>
      </c>
    </row>
    <row r="29" spans="1:16" x14ac:dyDescent="0.25">
      <c r="A29" s="3">
        <v>100000000000</v>
      </c>
      <c r="B29" s="3">
        <v>1.485E-3</v>
      </c>
      <c r="C29" s="3">
        <v>3.0209999999999998E-3</v>
      </c>
      <c r="D29" s="3">
        <v>-4.5830000000000003E-3</v>
      </c>
      <c r="E29" s="3">
        <v>0</v>
      </c>
      <c r="F29" s="3">
        <v>0</v>
      </c>
      <c r="G29" s="3">
        <v>0</v>
      </c>
      <c r="H29" s="3">
        <v>6.4212297999999995E-4</v>
      </c>
      <c r="I29" s="3">
        <v>5.2456878000000002E-4</v>
      </c>
      <c r="J29" s="3">
        <v>-1.6664200000000001E-3</v>
      </c>
      <c r="L29" s="3">
        <f t="shared" si="0"/>
        <v>0.32402356535020727</v>
      </c>
      <c r="M29" s="3"/>
      <c r="N29" s="2">
        <f>IF('Modell einstellen'!$B$1="Voll",H29/0.35,H29/0.35*2)</f>
        <v>3.6692741714285716E-3</v>
      </c>
      <c r="O29" s="2">
        <f>IF('Modell einstellen'!$B$1="Voll",J29/0.35,J29/0.35*2)</f>
        <v>-9.5224000000000003E-3</v>
      </c>
      <c r="P29" s="3">
        <f t="shared" si="1"/>
        <v>0.38533081696091021</v>
      </c>
    </row>
    <row r="30" spans="1:16" x14ac:dyDescent="0.25">
      <c r="A30" s="3">
        <v>1000000000000</v>
      </c>
      <c r="B30" s="3">
        <v>1.4829999999999999E-3</v>
      </c>
      <c r="C30" s="3">
        <v>3.0990000000000002E-3</v>
      </c>
      <c r="D30" s="3">
        <v>-4.6600000000000001E-3</v>
      </c>
      <c r="E30" s="3">
        <v>0</v>
      </c>
      <c r="F30" s="3">
        <v>0</v>
      </c>
      <c r="G30" s="3">
        <v>0</v>
      </c>
      <c r="H30" s="3">
        <v>6.6374070999999999E-4</v>
      </c>
      <c r="I30" s="3">
        <v>5.3964069000000004E-4</v>
      </c>
      <c r="J30" s="3">
        <v>-1.7166055999999999E-3</v>
      </c>
      <c r="L30" s="3">
        <f t="shared" si="0"/>
        <v>0.31824034334763945</v>
      </c>
      <c r="M30" s="3"/>
      <c r="N30" s="2">
        <f>IF('Modell einstellen'!$B$1="Voll",H30/0.35,H30/0.35*2)</f>
        <v>3.7928040571428572E-3</v>
      </c>
      <c r="O30" s="2">
        <f>IF('Modell einstellen'!$B$1="Voll",J30/0.35,J30/0.35*2)</f>
        <v>-9.8091748571428571E-3</v>
      </c>
      <c r="P30" s="3">
        <f t="shared" si="1"/>
        <v>0.38665882832958254</v>
      </c>
    </row>
    <row r="31" spans="1:16" x14ac:dyDescent="0.25">
      <c r="A31" s="3">
        <v>10000000000000</v>
      </c>
      <c r="B31" s="3">
        <v>1.6949999999999999E-3</v>
      </c>
      <c r="C31" s="3">
        <v>3.3279999999999998E-3</v>
      </c>
      <c r="D31" s="3">
        <v>-5.0980000000000001E-3</v>
      </c>
      <c r="E31" s="3">
        <v>0</v>
      </c>
      <c r="F31" s="3">
        <v>0</v>
      </c>
      <c r="G31" s="3">
        <v>0</v>
      </c>
      <c r="H31" s="3">
        <v>6.9598253999999995E-4</v>
      </c>
      <c r="I31" s="3">
        <v>5.7565050999999995E-4</v>
      </c>
      <c r="J31" s="3">
        <v>-1.8172278000000001E-3</v>
      </c>
      <c r="L31" s="3">
        <f t="shared" si="0"/>
        <v>0.33248332679482145</v>
      </c>
      <c r="M31" s="3"/>
      <c r="N31" s="2">
        <f>IF('Modell einstellen'!$B$1="Voll",H31/0.35,H31/0.35*2)</f>
        <v>3.9770430857142859E-3</v>
      </c>
      <c r="O31" s="2">
        <f>IF('Modell einstellen'!$B$1="Voll",J31/0.35,J31/0.35*2)</f>
        <v>-1.0384158857142858E-2</v>
      </c>
      <c r="P31" s="3">
        <f t="shared" si="1"/>
        <v>0.38299135639461379</v>
      </c>
    </row>
    <row r="32" spans="1:16" x14ac:dyDescent="0.25">
      <c r="A32" s="3">
        <v>100000000000000</v>
      </c>
      <c r="B32" s="3">
        <v>1.6559999999999999E-3</v>
      </c>
      <c r="C32" s="3">
        <v>3.3310000000000002E-3</v>
      </c>
      <c r="D32" s="3">
        <v>-5.0629999999999998E-3</v>
      </c>
      <c r="E32" s="3">
        <v>0</v>
      </c>
      <c r="F32" s="3">
        <v>0</v>
      </c>
      <c r="G32" s="3">
        <v>0</v>
      </c>
      <c r="H32" s="3">
        <v>7.0014366000000004E-4</v>
      </c>
      <c r="I32" s="3">
        <v>5.7642448E-4</v>
      </c>
      <c r="J32" s="3">
        <v>-1.8228204000000001E-3</v>
      </c>
      <c r="L32" s="3">
        <f t="shared" si="0"/>
        <v>0.3270788070314043</v>
      </c>
      <c r="M32" s="3"/>
      <c r="N32" s="2">
        <f>IF('Modell einstellen'!$B$1="Voll",H32/0.35,H32/0.35*2)</f>
        <v>4.0008209142857144E-3</v>
      </c>
      <c r="O32" s="2">
        <f>IF('Modell einstellen'!$B$1="Voll",J32/0.35,J32/0.35*2)</f>
        <v>-1.0416116571428572E-2</v>
      </c>
      <c r="P32" s="3">
        <f t="shared" si="1"/>
        <v>0.38409909171523421</v>
      </c>
    </row>
    <row r="33" spans="1:16" x14ac:dyDescent="0.25">
      <c r="A33" s="3">
        <v>1000000000000000</v>
      </c>
      <c r="B33" s="3">
        <v>1.7849999999999999E-3</v>
      </c>
      <c r="C33" s="3">
        <v>3.3930000000000002E-3</v>
      </c>
      <c r="D33" s="3">
        <v>-5.2529999999999999E-3</v>
      </c>
      <c r="E33" s="3">
        <v>0</v>
      </c>
      <c r="F33" s="3">
        <v>0</v>
      </c>
      <c r="G33" s="3">
        <v>0</v>
      </c>
      <c r="H33" s="3">
        <v>7.0276235000000002E-4</v>
      </c>
      <c r="I33" s="3">
        <v>5.8551073000000003E-4</v>
      </c>
      <c r="J33" s="3">
        <v>-1.8427283E-3</v>
      </c>
      <c r="L33" s="3">
        <f t="shared" si="0"/>
        <v>0.33980582524271846</v>
      </c>
      <c r="M33" s="3"/>
      <c r="N33" s="2">
        <f>IF('Modell einstellen'!$B$1="Voll",H33/0.35,H33/0.35*2)</f>
        <v>4.0157848571428572E-3</v>
      </c>
      <c r="O33" s="2">
        <f>IF('Modell einstellen'!$B$1="Voll",J33/0.35,J33/0.35*2)</f>
        <v>-1.0529876000000001E-2</v>
      </c>
      <c r="P33" s="3">
        <f t="shared" si="1"/>
        <v>0.3813705742729408</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116</v>
      </c>
      <c r="M1" s="82"/>
      <c r="N1" s="82" t="s">
        <v>39</v>
      </c>
      <c r="O1" s="3" t="s">
        <v>115</v>
      </c>
      <c r="P1" s="82" t="s">
        <v>116</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6.4919999999999995E-5</v>
      </c>
      <c r="C3" s="3">
        <v>1.348E-4</v>
      </c>
      <c r="D3" s="3">
        <v>-3.3540000000000002E-4</v>
      </c>
      <c r="E3" s="3">
        <v>0</v>
      </c>
      <c r="F3" s="3">
        <v>0</v>
      </c>
      <c r="G3" s="3">
        <v>0</v>
      </c>
      <c r="H3" s="3">
        <v>2.7120073000000001E-5</v>
      </c>
      <c r="I3" s="3">
        <v>1.273458E-5</v>
      </c>
      <c r="J3" s="3">
        <v>-6.9673385999999998E-5</v>
      </c>
      <c r="L3" s="3">
        <f>-B3/D3</f>
        <v>0.19355992844364936</v>
      </c>
      <c r="M3" s="3"/>
      <c r="N3" s="2">
        <f>IF('Modell einstellen'!$B$1="Voll",H3/0.35,H3/0.35*2)</f>
        <v>1.5497184571428574E-4</v>
      </c>
      <c r="O3" s="2">
        <f>IF('Modell einstellen'!$B$1="Voll",J3/0.35,J3/0.35*2)</f>
        <v>-3.9813363428571429E-4</v>
      </c>
      <c r="P3" s="3">
        <f>-N3/O3</f>
        <v>0.38924580183314195</v>
      </c>
    </row>
    <row r="4" spans="1:16" x14ac:dyDescent="0.25">
      <c r="A4" s="3">
        <v>1E-14</v>
      </c>
      <c r="B4" s="3">
        <v>6.0229999999999998E-5</v>
      </c>
      <c r="C4" s="3">
        <v>1.3870000000000001E-4</v>
      </c>
      <c r="D4" s="3">
        <v>-3.3639999999999999E-4</v>
      </c>
      <c r="E4" s="3">
        <v>0</v>
      </c>
      <c r="F4" s="3">
        <v>0</v>
      </c>
      <c r="G4" s="3">
        <v>0</v>
      </c>
      <c r="H4" s="3">
        <v>2.8446374000000001E-5</v>
      </c>
      <c r="I4" s="3">
        <v>1.3126029E-5</v>
      </c>
      <c r="J4" s="3">
        <v>-7.1861599999999997E-5</v>
      </c>
      <c r="L4" s="3">
        <f t="shared" ref="L4:L33" si="0">-B4/D4</f>
        <v>0.17904280618311533</v>
      </c>
      <c r="M4" s="3"/>
      <c r="N4" s="2">
        <f>IF('Modell einstellen'!$B$1="Voll",H4/0.35,H4/0.35*2)</f>
        <v>1.625507085714286E-4</v>
      </c>
      <c r="O4" s="2">
        <f>IF('Modell einstellen'!$B$1="Voll",J4/0.35,J4/0.35*2)</f>
        <v>-4.1063771428571428E-4</v>
      </c>
      <c r="P4" s="3">
        <f t="shared" ref="P4:P33" si="1">-N4/O4</f>
        <v>0.39584943836485698</v>
      </c>
    </row>
    <row r="5" spans="1:16" x14ac:dyDescent="0.25">
      <c r="A5" s="3">
        <v>1E-13</v>
      </c>
      <c r="B5" s="3">
        <v>5.4429999999999999E-5</v>
      </c>
      <c r="C5" s="3">
        <v>1.427E-4</v>
      </c>
      <c r="D5" s="3">
        <v>-3.3639999999999999E-4</v>
      </c>
      <c r="E5" s="3">
        <v>0</v>
      </c>
      <c r="F5" s="3">
        <v>0</v>
      </c>
      <c r="G5" s="3">
        <v>0</v>
      </c>
      <c r="H5" s="3">
        <v>2.9861342E-5</v>
      </c>
      <c r="I5" s="3">
        <v>1.3522327E-5</v>
      </c>
      <c r="J5" s="3">
        <v>-7.4151272999999995E-5</v>
      </c>
      <c r="L5" s="3">
        <f t="shared" si="0"/>
        <v>0.16180142687277052</v>
      </c>
      <c r="M5" s="3"/>
      <c r="N5" s="2">
        <f>IF('Modell einstellen'!$B$1="Voll",H5/0.35,H5/0.35*2)</f>
        <v>1.7063624000000001E-4</v>
      </c>
      <c r="O5" s="2">
        <f>IF('Modell einstellen'!$B$1="Voll",J5/0.35,J5/0.35*2)</f>
        <v>-4.2372155999999999E-4</v>
      </c>
      <c r="P5" s="3">
        <f t="shared" si="1"/>
        <v>0.40270842012381908</v>
      </c>
    </row>
    <row r="6" spans="1:16" x14ac:dyDescent="0.25">
      <c r="A6" s="3">
        <v>9.9999999999999998E-13</v>
      </c>
      <c r="B6" s="3">
        <v>4.634E-5</v>
      </c>
      <c r="C6" s="3">
        <v>1.474E-4</v>
      </c>
      <c r="D6" s="3">
        <v>-3.3500000000000001E-4</v>
      </c>
      <c r="E6" s="3">
        <v>0</v>
      </c>
      <c r="F6" s="3">
        <v>0</v>
      </c>
      <c r="G6" s="3">
        <v>0</v>
      </c>
      <c r="H6" s="3">
        <v>3.1600634000000003E-5</v>
      </c>
      <c r="I6" s="3">
        <v>1.3981389E-5</v>
      </c>
      <c r="J6" s="3">
        <v>-7.6903374999999998E-5</v>
      </c>
      <c r="L6" s="3">
        <f t="shared" si="0"/>
        <v>0.13832835820895523</v>
      </c>
      <c r="M6" s="3"/>
      <c r="N6" s="2">
        <f>IF('Modell einstellen'!$B$1="Voll",H6/0.35,H6/0.35*2)</f>
        <v>1.8057505142857146E-4</v>
      </c>
      <c r="O6" s="2">
        <f>IF('Modell einstellen'!$B$1="Voll",J6/0.35,J6/0.35*2)</f>
        <v>-4.3944785714285716E-4</v>
      </c>
      <c r="P6" s="3">
        <f t="shared" si="1"/>
        <v>0.41091348721691345</v>
      </c>
    </row>
    <row r="7" spans="1:16" x14ac:dyDescent="0.25">
      <c r="A7" s="3">
        <v>9.9999999999999994E-12</v>
      </c>
      <c r="B7" s="3">
        <v>3.6579999999999999E-5</v>
      </c>
      <c r="C7" s="3">
        <v>1.5190000000000001E-4</v>
      </c>
      <c r="D7" s="3">
        <v>-3.3189999999999999E-4</v>
      </c>
      <c r="E7" s="3">
        <v>0</v>
      </c>
      <c r="F7" s="3">
        <v>0</v>
      </c>
      <c r="G7" s="3">
        <v>0</v>
      </c>
      <c r="H7" s="3">
        <v>3.3455630000000001E-5</v>
      </c>
      <c r="I7" s="3">
        <v>1.4436581E-5</v>
      </c>
      <c r="J7" s="3">
        <v>-7.9762151000000006E-5</v>
      </c>
      <c r="L7" s="3">
        <f t="shared" si="0"/>
        <v>0.11021391985537812</v>
      </c>
      <c r="M7" s="3"/>
      <c r="N7" s="2">
        <f>IF('Modell einstellen'!$B$1="Voll",H7/0.35,H7/0.35*2)</f>
        <v>1.9117502857142859E-4</v>
      </c>
      <c r="O7" s="2">
        <f>IF('Modell einstellen'!$B$1="Voll",J7/0.35,J7/0.35*2)</f>
        <v>-4.5578372000000007E-4</v>
      </c>
      <c r="P7" s="3">
        <f t="shared" si="1"/>
        <v>0.4194424245153569</v>
      </c>
    </row>
    <row r="8" spans="1:16" x14ac:dyDescent="0.25">
      <c r="A8" s="3">
        <v>1E-10</v>
      </c>
      <c r="B8" s="3">
        <v>2.7080000000000002E-5</v>
      </c>
      <c r="C8" s="3">
        <v>1.5569999999999999E-4</v>
      </c>
      <c r="D8" s="3">
        <v>-3.279E-4</v>
      </c>
      <c r="E8" s="3">
        <v>0</v>
      </c>
      <c r="F8" s="3">
        <v>0</v>
      </c>
      <c r="G8" s="3">
        <v>0</v>
      </c>
      <c r="H8" s="3">
        <v>3.5090309999999999E-5</v>
      </c>
      <c r="I8" s="3">
        <v>1.4809872E-5</v>
      </c>
      <c r="J8" s="3">
        <v>-8.2219629999999997E-5</v>
      </c>
      <c r="L8" s="3">
        <f t="shared" si="0"/>
        <v>8.2586154315340041E-2</v>
      </c>
      <c r="M8" s="3"/>
      <c r="N8" s="2">
        <f>IF('Modell einstellen'!$B$1="Voll",H8/0.35,H8/0.35*2)</f>
        <v>2.0051605714285715E-4</v>
      </c>
      <c r="O8" s="2">
        <f>IF('Modell einstellen'!$B$1="Voll",J8/0.35,J8/0.35*2)</f>
        <v>-4.6982645714285716E-4</v>
      </c>
      <c r="P8" s="3">
        <f t="shared" si="1"/>
        <v>0.42678749588145798</v>
      </c>
    </row>
    <row r="9" spans="1:16" x14ac:dyDescent="0.25">
      <c r="A9" s="3">
        <v>1.0000000000000001E-9</v>
      </c>
      <c r="B9" s="3">
        <v>1.588E-5</v>
      </c>
      <c r="C9" s="3">
        <v>1.596E-4</v>
      </c>
      <c r="D9" s="3">
        <v>-3.2229999999999997E-4</v>
      </c>
      <c r="E9" s="3">
        <v>0</v>
      </c>
      <c r="F9" s="3">
        <v>0</v>
      </c>
      <c r="G9" s="3">
        <v>0</v>
      </c>
      <c r="H9" s="3">
        <v>3.6888382000000002E-5</v>
      </c>
      <c r="I9" s="3">
        <v>1.5195988E-5</v>
      </c>
      <c r="J9" s="3">
        <v>-8.4868810000000004E-5</v>
      </c>
      <c r="L9" s="3">
        <f t="shared" si="0"/>
        <v>4.9270865653118216E-2</v>
      </c>
      <c r="M9" s="3"/>
      <c r="N9" s="2">
        <f>IF('Modell einstellen'!$B$1="Voll",H9/0.35,H9/0.35*2)</f>
        <v>2.107907542857143E-4</v>
      </c>
      <c r="O9" s="2">
        <f>IF('Modell einstellen'!$B$1="Voll",J9/0.35,J9/0.35*2)</f>
        <v>-4.8496462857142863E-4</v>
      </c>
      <c r="P9" s="3">
        <f t="shared" si="1"/>
        <v>0.43465181142518666</v>
      </c>
    </row>
    <row r="10" spans="1:16" x14ac:dyDescent="0.25">
      <c r="A10" s="3">
        <v>1E-8</v>
      </c>
      <c r="B10" s="3">
        <v>3.1939999999999998E-6</v>
      </c>
      <c r="C10" s="3">
        <v>1.6330000000000001E-4</v>
      </c>
      <c r="D10" s="3">
        <v>-3.1510000000000002E-4</v>
      </c>
      <c r="E10" s="3">
        <v>0</v>
      </c>
      <c r="F10" s="3">
        <v>0</v>
      </c>
      <c r="G10" s="3">
        <v>0</v>
      </c>
      <c r="H10" s="3">
        <v>3.8784359999999998E-5</v>
      </c>
      <c r="I10" s="3">
        <v>1.5574631999999999E-5</v>
      </c>
      <c r="J10" s="3">
        <v>-8.7599233000000003E-5</v>
      </c>
      <c r="L10" s="3">
        <f t="shared" si="0"/>
        <v>1.0136464614408123E-2</v>
      </c>
      <c r="M10" s="3"/>
      <c r="N10" s="2">
        <f>IF('Modell einstellen'!$B$1="Voll",H10/0.35,H10/0.35*2)</f>
        <v>2.2162491428571429E-4</v>
      </c>
      <c r="O10" s="2">
        <f>IF('Modell einstellen'!$B$1="Voll",J10/0.35,J10/0.35*2)</f>
        <v>-5.0056704571428581E-4</v>
      </c>
      <c r="P10" s="3">
        <f t="shared" si="1"/>
        <v>0.44274771218601872</v>
      </c>
    </row>
    <row r="11" spans="1:16" x14ac:dyDescent="0.25">
      <c r="A11" s="3">
        <v>9.9999999999999995E-8</v>
      </c>
      <c r="B11" s="3">
        <v>-1.2649999999999999E-5</v>
      </c>
      <c r="C11" s="3">
        <v>1.674E-4</v>
      </c>
      <c r="D11" s="3">
        <v>-3.0529999999999999E-4</v>
      </c>
      <c r="E11" s="3">
        <v>0</v>
      </c>
      <c r="F11" s="3">
        <v>0</v>
      </c>
      <c r="G11" s="3">
        <v>0</v>
      </c>
      <c r="H11" s="3">
        <v>4.1002784000000003E-5</v>
      </c>
      <c r="I11" s="3">
        <v>1.5985185999999999E-5</v>
      </c>
      <c r="J11" s="3">
        <v>-9.0722349000000005E-5</v>
      </c>
      <c r="L11" s="3">
        <f t="shared" si="0"/>
        <v>-4.1434654438257452E-2</v>
      </c>
      <c r="M11" s="3"/>
      <c r="N11" s="2">
        <f>IF('Modell einstellen'!$B$1="Voll",H11/0.35,H11/0.35*2)</f>
        <v>2.3430162285714289E-4</v>
      </c>
      <c r="O11" s="2">
        <f>IF('Modell einstellen'!$B$1="Voll",J11/0.35,J11/0.35*2)</f>
        <v>-5.1841342285714287E-4</v>
      </c>
      <c r="P11" s="3">
        <f t="shared" si="1"/>
        <v>0.45195902059370185</v>
      </c>
    </row>
    <row r="12" spans="1:16" x14ac:dyDescent="0.25">
      <c r="A12" s="3">
        <v>9.9999999999999995E-7</v>
      </c>
      <c r="B12" s="3">
        <v>-2.9960000000000001E-5</v>
      </c>
      <c r="C12" s="3">
        <v>1.7119999999999999E-4</v>
      </c>
      <c r="D12" s="3">
        <v>-2.9359999999999998E-4</v>
      </c>
      <c r="E12" s="3">
        <v>0</v>
      </c>
      <c r="F12" s="3">
        <v>0</v>
      </c>
      <c r="G12" s="3">
        <v>0</v>
      </c>
      <c r="H12" s="3">
        <v>4.3275605000000003E-5</v>
      </c>
      <c r="I12" s="3">
        <v>1.6370953000000001E-5</v>
      </c>
      <c r="J12" s="3">
        <v>-9.3844936000000005E-5</v>
      </c>
      <c r="L12" s="3">
        <f t="shared" si="0"/>
        <v>-0.10204359673024524</v>
      </c>
      <c r="M12" s="3"/>
      <c r="N12" s="2">
        <f>IF('Modell einstellen'!$B$1="Voll",H12/0.35,H12/0.35*2)</f>
        <v>2.4728917142857146E-4</v>
      </c>
      <c r="O12" s="2">
        <f>IF('Modell einstellen'!$B$1="Voll",J12/0.35,J12/0.35*2)</f>
        <v>-5.3625677714285716E-4</v>
      </c>
      <c r="P12" s="3">
        <f t="shared" si="1"/>
        <v>0.46113948013135203</v>
      </c>
    </row>
    <row r="13" spans="1:16" x14ac:dyDescent="0.25">
      <c r="A13" s="3">
        <v>1.0000000000000001E-5</v>
      </c>
      <c r="B13" s="3">
        <v>-5.5930000000000002E-5</v>
      </c>
      <c r="C13" s="3">
        <v>1.762E-4</v>
      </c>
      <c r="D13" s="3">
        <v>-2.7480000000000001E-4</v>
      </c>
      <c r="E13" s="3">
        <v>0</v>
      </c>
      <c r="F13" s="3">
        <v>0</v>
      </c>
      <c r="G13" s="3">
        <v>0</v>
      </c>
      <c r="H13" s="3">
        <v>4.6497394999999999E-5</v>
      </c>
      <c r="I13" s="3">
        <v>1.6870271000000001E-5</v>
      </c>
      <c r="J13" s="3">
        <v>-9.8166656000000003E-5</v>
      </c>
      <c r="L13" s="3">
        <f t="shared" si="0"/>
        <v>-0.20352983988355167</v>
      </c>
      <c r="M13" s="3"/>
      <c r="N13" s="2">
        <f>IF('Modell einstellen'!$B$1="Voll",H13/0.35,H13/0.35*2)</f>
        <v>2.6569940000000002E-4</v>
      </c>
      <c r="O13" s="2">
        <f>IF('Modell einstellen'!$B$1="Voll",J13/0.35,J13/0.35*2)</f>
        <v>-5.6095232E-4</v>
      </c>
      <c r="P13" s="3">
        <f t="shared" si="1"/>
        <v>0.47365772549082252</v>
      </c>
    </row>
    <row r="14" spans="1:16" x14ac:dyDescent="0.25">
      <c r="A14" s="3">
        <v>1E-4</v>
      </c>
      <c r="B14" s="3">
        <v>-8.9549999999999995E-5</v>
      </c>
      <c r="C14" s="3">
        <v>1.8129999999999999E-4</v>
      </c>
      <c r="D14" s="3">
        <v>-2.4879999999999998E-4</v>
      </c>
      <c r="E14" s="3">
        <v>0</v>
      </c>
      <c r="F14" s="3">
        <v>0</v>
      </c>
      <c r="G14" s="3">
        <v>0</v>
      </c>
      <c r="H14" s="3">
        <v>5.0383253999999997E-5</v>
      </c>
      <c r="I14" s="3">
        <v>1.7399932E-5</v>
      </c>
      <c r="J14" s="3">
        <v>-1.0321844E-4</v>
      </c>
      <c r="L14" s="3">
        <f t="shared" si="0"/>
        <v>-0.359927652733119</v>
      </c>
      <c r="M14" s="3"/>
      <c r="N14" s="2">
        <f>IF('Modell einstellen'!$B$1="Voll",H14/0.35,H14/0.35*2)</f>
        <v>2.8790430857142857E-4</v>
      </c>
      <c r="O14" s="2">
        <f>IF('Modell einstellen'!$B$1="Voll",J14/0.35,J14/0.35*2)</f>
        <v>-5.8981965714285716E-4</v>
      </c>
      <c r="P14" s="3">
        <f t="shared" si="1"/>
        <v>0.4881226067745259</v>
      </c>
    </row>
    <row r="15" spans="1:16" x14ac:dyDescent="0.25">
      <c r="A15" s="3">
        <v>1E-3</v>
      </c>
      <c r="B15" s="3">
        <v>-1.384E-4</v>
      </c>
      <c r="C15" s="3">
        <v>1.874E-4</v>
      </c>
      <c r="D15" s="3">
        <v>-2.0890000000000001E-4</v>
      </c>
      <c r="E15" s="3">
        <v>0</v>
      </c>
      <c r="F15" s="3">
        <v>0</v>
      </c>
      <c r="G15" s="3">
        <v>0</v>
      </c>
      <c r="H15" s="3">
        <v>5.5688156E-5</v>
      </c>
      <c r="I15" s="3">
        <v>1.8028703000000001E-5</v>
      </c>
      <c r="J15" s="3">
        <v>-1.0990501E-4</v>
      </c>
      <c r="L15" s="3">
        <f t="shared" si="0"/>
        <v>-0.66251795117280998</v>
      </c>
      <c r="M15" s="3"/>
      <c r="N15" s="2">
        <f>IF('Modell einstellen'!$B$1="Voll",H15/0.35,H15/0.35*2)</f>
        <v>3.1821803428571429E-4</v>
      </c>
      <c r="O15" s="2">
        <f>IF('Modell einstellen'!$B$1="Voll",J15/0.35,J15/0.35*2)</f>
        <v>-6.2802862857142862E-4</v>
      </c>
      <c r="P15" s="3">
        <f t="shared" si="1"/>
        <v>0.50669351651940164</v>
      </c>
    </row>
    <row r="16" spans="1:16" x14ac:dyDescent="0.25">
      <c r="A16" s="3">
        <v>0.01</v>
      </c>
      <c r="B16" s="3">
        <v>-2.0939999999999999E-4</v>
      </c>
      <c r="C16" s="3">
        <v>1.9440000000000001E-4</v>
      </c>
      <c r="D16" s="3">
        <v>-1.482E-4</v>
      </c>
      <c r="E16" s="3">
        <v>0</v>
      </c>
      <c r="F16" s="3">
        <v>0</v>
      </c>
      <c r="G16" s="3">
        <v>0</v>
      </c>
      <c r="H16" s="3">
        <v>6.3040757000000004E-5</v>
      </c>
      <c r="I16" s="3">
        <v>1.8800813E-5</v>
      </c>
      <c r="J16" s="3">
        <v>-1.1893222999999999E-4</v>
      </c>
      <c r="L16" s="3">
        <f t="shared" si="0"/>
        <v>-1.4129554655870444</v>
      </c>
      <c r="M16" s="3"/>
      <c r="N16" s="2">
        <f>IF('Modell einstellen'!$B$1="Voll",H16/0.35,H16/0.35*2)</f>
        <v>3.6023289714285717E-4</v>
      </c>
      <c r="O16" s="2">
        <f>IF('Modell einstellen'!$B$1="Voll",J16/0.35,J16/0.35*2)</f>
        <v>-6.7961274285714289E-4</v>
      </c>
      <c r="P16" s="3">
        <f t="shared" si="1"/>
        <v>0.53005612524039958</v>
      </c>
    </row>
    <row r="17" spans="1:16" x14ac:dyDescent="0.25">
      <c r="A17" s="3">
        <v>0.1</v>
      </c>
      <c r="B17" s="3">
        <v>-3.1550000000000003E-4</v>
      </c>
      <c r="C17" s="3">
        <v>2.0599999999999999E-4</v>
      </c>
      <c r="D17" s="3">
        <v>-5.6669999999999998E-5</v>
      </c>
      <c r="E17" s="3">
        <v>0</v>
      </c>
      <c r="F17" s="3">
        <v>0</v>
      </c>
      <c r="G17" s="3">
        <v>0</v>
      </c>
      <c r="H17" s="3">
        <v>7.5065020999999998E-5</v>
      </c>
      <c r="I17" s="3">
        <v>2.0408179000000001E-5</v>
      </c>
      <c r="J17" s="3">
        <v>-1.3423648000000001E-4</v>
      </c>
      <c r="L17" s="3">
        <f t="shared" si="0"/>
        <v>-5.5673195694370925</v>
      </c>
      <c r="M17" s="3"/>
      <c r="N17" s="2">
        <f>IF('Modell einstellen'!$B$1="Voll",H17/0.35,H17/0.35*2)</f>
        <v>4.2894297714285716E-4</v>
      </c>
      <c r="O17" s="2">
        <f>IF('Modell einstellen'!$B$1="Voll",J17/0.35,J17/0.35*2)</f>
        <v>-7.6706560000000014E-4</v>
      </c>
      <c r="P17" s="3">
        <f t="shared" si="1"/>
        <v>0.55919986131936705</v>
      </c>
    </row>
    <row r="18" spans="1:16" x14ac:dyDescent="0.25">
      <c r="A18" s="3">
        <v>1</v>
      </c>
      <c r="B18" s="3">
        <v>-4.2480000000000003E-4</v>
      </c>
      <c r="C18" s="3">
        <v>2.351E-4</v>
      </c>
      <c r="D18" s="3">
        <v>2.4530000000000001E-5</v>
      </c>
      <c r="E18" s="3">
        <v>0</v>
      </c>
      <c r="F18" s="3">
        <v>0</v>
      </c>
      <c r="G18" s="3">
        <v>0</v>
      </c>
      <c r="H18" s="3">
        <v>9.7672135999999995E-5</v>
      </c>
      <c r="I18" s="3">
        <v>2.6557007999999999E-5</v>
      </c>
      <c r="J18" s="3">
        <v>-1.6869039E-4</v>
      </c>
      <c r="L18" s="3">
        <f t="shared" si="0"/>
        <v>17.317570322054628</v>
      </c>
      <c r="M18" s="3"/>
      <c r="N18" s="2">
        <f>IF('Modell einstellen'!$B$1="Voll",H18/0.35,H18/0.35*2)</f>
        <v>5.5812649142857138E-4</v>
      </c>
      <c r="O18" s="2">
        <f>IF('Modell einstellen'!$B$1="Voll",J18/0.35,J18/0.35*2)</f>
        <v>-9.6394508571428573E-4</v>
      </c>
      <c r="P18" s="3">
        <f t="shared" si="1"/>
        <v>0.57900237233431018</v>
      </c>
    </row>
    <row r="19" spans="1:16" x14ac:dyDescent="0.25">
      <c r="A19" s="3">
        <v>10</v>
      </c>
      <c r="B19" s="3">
        <v>-5.2240000000000001E-4</v>
      </c>
      <c r="C19" s="3">
        <v>3.0689999999999998E-4</v>
      </c>
      <c r="D19" s="3">
        <v>5.7779999999999999E-5</v>
      </c>
      <c r="E19" s="3">
        <v>0</v>
      </c>
      <c r="F19" s="3">
        <v>0</v>
      </c>
      <c r="G19" s="3">
        <v>0</v>
      </c>
      <c r="H19" s="3">
        <v>1.4230115E-4</v>
      </c>
      <c r="I19" s="3">
        <v>4.4378761999999999E-5</v>
      </c>
      <c r="J19" s="3">
        <v>-2.4740255E-4</v>
      </c>
      <c r="L19" s="3">
        <f t="shared" si="0"/>
        <v>9.041190723433715</v>
      </c>
      <c r="M19" s="3"/>
      <c r="N19" s="2">
        <f>IF('Modell einstellen'!$B$1="Voll",H19/0.35,H19/0.35*2)</f>
        <v>8.1314942857142866E-4</v>
      </c>
      <c r="O19" s="2">
        <f>IF('Modell einstellen'!$B$1="Voll",J19/0.35,J19/0.35*2)</f>
        <v>-1.4137288571428573E-3</v>
      </c>
      <c r="P19" s="3">
        <f t="shared" si="1"/>
        <v>0.57518061151754496</v>
      </c>
    </row>
    <row r="20" spans="1:16" x14ac:dyDescent="0.25">
      <c r="A20" s="3">
        <v>100</v>
      </c>
      <c r="B20" s="3">
        <v>-5.9360000000000001E-4</v>
      </c>
      <c r="C20" s="3">
        <v>4.5249999999999999E-4</v>
      </c>
      <c r="D20" s="3">
        <v>-5.3229999999999997E-6</v>
      </c>
      <c r="E20" s="3">
        <v>0</v>
      </c>
      <c r="F20" s="3">
        <v>0</v>
      </c>
      <c r="G20" s="3">
        <v>0</v>
      </c>
      <c r="H20" s="3">
        <v>2.1381091000000001E-4</v>
      </c>
      <c r="I20" s="3">
        <v>8.0171760000000001E-5</v>
      </c>
      <c r="J20" s="3">
        <v>-3.8754787000000001E-4</v>
      </c>
      <c r="L20" s="3">
        <f t="shared" si="0"/>
        <v>-111.51606237084351</v>
      </c>
      <c r="M20" s="3"/>
      <c r="N20" s="2">
        <f>IF('Modell einstellen'!$B$1="Voll",H20/0.35,H20/0.35*2)</f>
        <v>1.2217766285714288E-3</v>
      </c>
      <c r="O20" s="2">
        <f>IF('Modell einstellen'!$B$1="Voll",J20/0.35,J20/0.35*2)</f>
        <v>-2.2145592571428574E-3</v>
      </c>
      <c r="P20" s="3">
        <f t="shared" si="1"/>
        <v>0.55170193555701907</v>
      </c>
    </row>
    <row r="21" spans="1:16" x14ac:dyDescent="0.25">
      <c r="A21" s="3">
        <v>1000</v>
      </c>
      <c r="B21" s="3">
        <v>-6.244E-4</v>
      </c>
      <c r="C21" s="3">
        <v>7.3349999999999999E-4</v>
      </c>
      <c r="D21" s="3">
        <v>-2.4169999999999999E-4</v>
      </c>
      <c r="E21" s="3">
        <v>0</v>
      </c>
      <c r="F21" s="3">
        <v>0</v>
      </c>
      <c r="G21" s="3">
        <v>0</v>
      </c>
      <c r="H21" s="3">
        <v>3.1767754E-4</v>
      </c>
      <c r="I21" s="3">
        <v>1.436664E-4</v>
      </c>
      <c r="J21" s="3">
        <v>-6.1341719E-4</v>
      </c>
      <c r="L21" s="3">
        <f t="shared" si="0"/>
        <v>-2.5833678113363674</v>
      </c>
      <c r="M21" s="3"/>
      <c r="N21" s="2">
        <f>IF('Modell einstellen'!$B$1="Voll",H21/0.35,H21/0.35*2)</f>
        <v>1.8153002285714287E-3</v>
      </c>
      <c r="O21" s="2">
        <f>IF('Modell einstellen'!$B$1="Voll",J21/0.35,J21/0.35*2)</f>
        <v>-3.505241085714286E-3</v>
      </c>
      <c r="P21" s="3">
        <f t="shared" si="1"/>
        <v>0.51788170461933092</v>
      </c>
    </row>
    <row r="22" spans="1:16" x14ac:dyDescent="0.25">
      <c r="A22" s="3">
        <v>10000</v>
      </c>
      <c r="B22" s="3">
        <v>-4.1790000000000002E-4</v>
      </c>
      <c r="C22" s="3">
        <v>1.163E-3</v>
      </c>
      <c r="D22" s="3">
        <v>-8.6240000000000004E-4</v>
      </c>
      <c r="E22" s="3">
        <v>0</v>
      </c>
      <c r="F22" s="3">
        <v>0</v>
      </c>
      <c r="G22" s="3">
        <v>0</v>
      </c>
      <c r="H22" s="3">
        <v>4.2359282000000001E-4</v>
      </c>
      <c r="I22" s="3">
        <v>2.3098904E-4</v>
      </c>
      <c r="J22" s="3">
        <v>-8.8694958999999997E-4</v>
      </c>
      <c r="L22" s="3">
        <f t="shared" si="0"/>
        <v>-0.48457792207792211</v>
      </c>
      <c r="M22" s="3"/>
      <c r="N22" s="2">
        <f>IF('Modell einstellen'!$B$1="Voll",H22/0.35,H22/0.35*2)</f>
        <v>2.4205304000000003E-3</v>
      </c>
      <c r="O22" s="2">
        <f>IF('Modell einstellen'!$B$1="Voll",J22/0.35,J22/0.35*2)</f>
        <v>-5.0682833714285717E-3</v>
      </c>
      <c r="P22" s="3">
        <f t="shared" si="1"/>
        <v>0.47758387260768681</v>
      </c>
    </row>
    <row r="23" spans="1:16" x14ac:dyDescent="0.25">
      <c r="A23" s="3">
        <v>100000</v>
      </c>
      <c r="B23" s="3">
        <v>-4.4360000000000002E-5</v>
      </c>
      <c r="C23" s="3">
        <v>1.6620000000000001E-3</v>
      </c>
      <c r="D23" s="3">
        <v>-1.722E-3</v>
      </c>
      <c r="E23" s="3">
        <v>0</v>
      </c>
      <c r="F23" s="3">
        <v>0</v>
      </c>
      <c r="G23" s="3">
        <v>0</v>
      </c>
      <c r="H23" s="3">
        <v>5.1334636999999996E-4</v>
      </c>
      <c r="I23" s="3">
        <v>3.2364577999999998E-4</v>
      </c>
      <c r="J23" s="3">
        <v>-1.1541571000000001E-3</v>
      </c>
      <c r="L23" s="3">
        <f t="shared" si="0"/>
        <v>-2.5760743321718932E-2</v>
      </c>
      <c r="M23" s="3"/>
      <c r="N23" s="2">
        <f>IF('Modell einstellen'!$B$1="Voll",H23/0.35,H23/0.35*2)</f>
        <v>2.9334078285714283E-3</v>
      </c>
      <c r="O23" s="2">
        <f>IF('Modell einstellen'!$B$1="Voll",J23/0.35,J23/0.35*2)</f>
        <v>-6.5951834285714293E-3</v>
      </c>
      <c r="P23" s="3">
        <f t="shared" si="1"/>
        <v>0.44478032496615921</v>
      </c>
    </row>
    <row r="24" spans="1:16" x14ac:dyDescent="0.25">
      <c r="A24" s="3">
        <v>1000000</v>
      </c>
      <c r="B24" s="3">
        <v>4.215E-4</v>
      </c>
      <c r="C24" s="3">
        <v>2.0990000000000002E-3</v>
      </c>
      <c r="D24" s="3">
        <v>-2.6150000000000001E-3</v>
      </c>
      <c r="E24" s="3">
        <v>0</v>
      </c>
      <c r="F24" s="3">
        <v>0</v>
      </c>
      <c r="G24" s="3">
        <v>0</v>
      </c>
      <c r="H24" s="3">
        <v>5.6528144000000003E-4</v>
      </c>
      <c r="I24" s="3">
        <v>3.9618090999999999E-4</v>
      </c>
      <c r="J24" s="3">
        <v>-1.3447521999999999E-3</v>
      </c>
      <c r="L24" s="3">
        <f t="shared" si="0"/>
        <v>0.16118546845124282</v>
      </c>
      <c r="M24" s="3"/>
      <c r="N24" s="2">
        <f>IF('Modell einstellen'!$B$1="Voll",H24/0.35,H24/0.35*2)</f>
        <v>3.2301796571428576E-3</v>
      </c>
      <c r="O24" s="2">
        <f>IF('Modell einstellen'!$B$1="Voll",J24/0.35,J24/0.35*2)</f>
        <v>-7.6842982857142856E-3</v>
      </c>
      <c r="P24" s="3">
        <f t="shared" si="1"/>
        <v>0.42036104495683302</v>
      </c>
    </row>
    <row r="25" spans="1:16" x14ac:dyDescent="0.25">
      <c r="A25" s="3">
        <v>10000000</v>
      </c>
      <c r="B25" s="3">
        <v>7.8249999999999999E-4</v>
      </c>
      <c r="C25" s="3">
        <v>2.4680000000000001E-3</v>
      </c>
      <c r="D25" s="3">
        <v>-3.3379999999999998E-3</v>
      </c>
      <c r="E25" s="3">
        <v>0</v>
      </c>
      <c r="F25" s="3">
        <v>0</v>
      </c>
      <c r="G25" s="3">
        <v>0</v>
      </c>
      <c r="H25" s="3">
        <v>6.0667540999999998E-4</v>
      </c>
      <c r="I25" s="3">
        <v>4.5373945999999999E-4</v>
      </c>
      <c r="J25" s="3">
        <v>-1.4959654000000001E-3</v>
      </c>
      <c r="L25" s="3">
        <f t="shared" si="0"/>
        <v>0.23442180946674657</v>
      </c>
      <c r="M25" s="3"/>
      <c r="N25" s="2">
        <f>IF('Modell einstellen'!$B$1="Voll",H25/0.35,H25/0.35*2)</f>
        <v>3.4667166285714287E-3</v>
      </c>
      <c r="O25" s="2">
        <f>IF('Modell einstellen'!$B$1="Voll",J25/0.35,J25/0.35*2)</f>
        <v>-8.5483737142857154E-3</v>
      </c>
      <c r="P25" s="3">
        <f t="shared" si="1"/>
        <v>0.4055410706691478</v>
      </c>
    </row>
    <row r="26" spans="1:16" x14ac:dyDescent="0.25">
      <c r="A26" s="3">
        <v>100000000</v>
      </c>
      <c r="B26" s="3">
        <v>1.0839999999999999E-3</v>
      </c>
      <c r="C26" s="3">
        <v>2.7369999999999998E-3</v>
      </c>
      <c r="D26" s="3">
        <v>-3.9039999999999999E-3</v>
      </c>
      <c r="E26" s="3">
        <v>0</v>
      </c>
      <c r="F26" s="3">
        <v>0</v>
      </c>
      <c r="G26" s="3">
        <v>0</v>
      </c>
      <c r="H26" s="3">
        <v>6.3097331000000001E-4</v>
      </c>
      <c r="I26" s="3">
        <v>4.9267992E-4</v>
      </c>
      <c r="J26" s="3">
        <v>-1.594477E-3</v>
      </c>
      <c r="L26" s="3">
        <f t="shared" si="0"/>
        <v>0.2776639344262295</v>
      </c>
      <c r="M26" s="3"/>
      <c r="N26" s="2">
        <f>IF('Modell einstellen'!$B$1="Voll",H26/0.35,H26/0.35*2)</f>
        <v>3.6055617714285718E-3</v>
      </c>
      <c r="O26" s="2">
        <f>IF('Modell einstellen'!$B$1="Voll",J26/0.35,J26/0.35*2)</f>
        <v>-9.1112971428571436E-3</v>
      </c>
      <c r="P26" s="3">
        <f t="shared" si="1"/>
        <v>0.39572430960120469</v>
      </c>
    </row>
    <row r="27" spans="1:16" x14ac:dyDescent="0.25">
      <c r="A27" s="3">
        <v>1000000000</v>
      </c>
      <c r="B27" s="3">
        <v>1.3029999999999999E-3</v>
      </c>
      <c r="C27" s="3">
        <v>2.9269999999999999E-3</v>
      </c>
      <c r="D27" s="3">
        <v>-4.3099999999999996E-3</v>
      </c>
      <c r="E27" s="3">
        <v>0</v>
      </c>
      <c r="F27" s="3">
        <v>0</v>
      </c>
      <c r="G27" s="3">
        <v>0</v>
      </c>
      <c r="H27" s="3">
        <v>6.4686487000000003E-4</v>
      </c>
      <c r="I27" s="3">
        <v>5.1855127999999998E-4</v>
      </c>
      <c r="J27" s="3">
        <v>-1.6596267E-3</v>
      </c>
      <c r="L27" s="3">
        <f t="shared" si="0"/>
        <v>0.30232018561484919</v>
      </c>
      <c r="M27" s="3"/>
      <c r="N27" s="2">
        <f>IF('Modell einstellen'!$B$1="Voll",H27/0.35,H27/0.35*2)</f>
        <v>3.6963706857142862E-3</v>
      </c>
      <c r="O27" s="2">
        <f>IF('Modell einstellen'!$B$1="Voll",J27/0.35,J27/0.35*2)</f>
        <v>-9.4835811428571441E-3</v>
      </c>
      <c r="P27" s="3">
        <f t="shared" si="1"/>
        <v>0.38976528275906863</v>
      </c>
    </row>
    <row r="28" spans="1:16" x14ac:dyDescent="0.25">
      <c r="A28" s="3">
        <v>10000000000</v>
      </c>
      <c r="B28" s="3">
        <v>1.4660000000000001E-3</v>
      </c>
      <c r="C28" s="3">
        <v>3.1580000000000002E-3</v>
      </c>
      <c r="D28" s="3">
        <v>-4.7019999999999996E-3</v>
      </c>
      <c r="E28" s="3">
        <v>0</v>
      </c>
      <c r="F28" s="3">
        <v>0</v>
      </c>
      <c r="G28" s="3">
        <v>0</v>
      </c>
      <c r="H28" s="3">
        <v>6.8354798000000005E-4</v>
      </c>
      <c r="I28" s="3">
        <v>5.5494381999999999E-4</v>
      </c>
      <c r="J28" s="3">
        <v>-1.7654201E-3</v>
      </c>
      <c r="L28" s="3">
        <f t="shared" si="0"/>
        <v>0.31178222033177377</v>
      </c>
      <c r="M28" s="3"/>
      <c r="N28" s="2">
        <f>IF('Modell einstellen'!$B$1="Voll",H28/0.35,H28/0.35*2)</f>
        <v>3.9059884571428579E-3</v>
      </c>
      <c r="O28" s="2">
        <f>IF('Modell einstellen'!$B$1="Voll",J28/0.35,J28/0.35*2)</f>
        <v>-1.0088114857142857E-2</v>
      </c>
      <c r="P28" s="3">
        <f t="shared" si="1"/>
        <v>0.38718715165869028</v>
      </c>
    </row>
    <row r="29" spans="1:16" x14ac:dyDescent="0.25">
      <c r="A29" s="3">
        <v>100000000000</v>
      </c>
      <c r="B29" s="3">
        <v>1.5009999999999999E-3</v>
      </c>
      <c r="C29" s="3">
        <v>3.2209999999999999E-3</v>
      </c>
      <c r="D29" s="3">
        <v>-4.7999999999999996E-3</v>
      </c>
      <c r="E29" s="3">
        <v>0</v>
      </c>
      <c r="F29" s="3">
        <v>0</v>
      </c>
      <c r="G29" s="3">
        <v>0</v>
      </c>
      <c r="H29" s="3">
        <v>6.9665107E-4</v>
      </c>
      <c r="I29" s="3">
        <v>5.6592665000000002E-4</v>
      </c>
      <c r="J29" s="3">
        <v>-1.7993296000000001E-3</v>
      </c>
      <c r="L29" s="3">
        <f t="shared" si="0"/>
        <v>0.31270833333333337</v>
      </c>
      <c r="M29" s="3"/>
      <c r="N29" s="2">
        <f>IF('Modell einstellen'!$B$1="Voll",H29/0.35,H29/0.35*2)</f>
        <v>3.9808632571428576E-3</v>
      </c>
      <c r="O29" s="2">
        <f>IF('Modell einstellen'!$B$1="Voll",J29/0.35,J29/0.35*2)</f>
        <v>-1.028188342857143E-2</v>
      </c>
      <c r="P29" s="3">
        <f t="shared" si="1"/>
        <v>0.38717257249588954</v>
      </c>
    </row>
    <row r="30" spans="1:16" x14ac:dyDescent="0.25">
      <c r="A30" s="3">
        <v>1000000000000</v>
      </c>
      <c r="B30" s="3">
        <v>1.683E-3</v>
      </c>
      <c r="C30" s="3">
        <v>3.3319999999999999E-3</v>
      </c>
      <c r="D30" s="3">
        <v>-5.091E-3</v>
      </c>
      <c r="E30" s="3">
        <v>0</v>
      </c>
      <c r="F30" s="3">
        <v>0</v>
      </c>
      <c r="G30" s="3">
        <v>0</v>
      </c>
      <c r="H30" s="3">
        <v>7.0122070000000003E-4</v>
      </c>
      <c r="I30" s="3">
        <v>5.7960764000000004E-4</v>
      </c>
      <c r="J30" s="3">
        <v>-1.8299321999999999E-3</v>
      </c>
      <c r="L30" s="3">
        <f t="shared" si="0"/>
        <v>0.33058338243959928</v>
      </c>
      <c r="M30" s="3"/>
      <c r="N30" s="2">
        <f>IF('Modell einstellen'!$B$1="Voll",H30/0.35,H30/0.35*2)</f>
        <v>4.0069754285714286E-3</v>
      </c>
      <c r="O30" s="2">
        <f>IF('Modell einstellen'!$B$1="Voll",J30/0.35,J30/0.35*2)</f>
        <v>-1.0456755428571428E-2</v>
      </c>
      <c r="P30" s="3">
        <f t="shared" si="1"/>
        <v>0.38319490743974016</v>
      </c>
    </row>
    <row r="31" spans="1:16" x14ac:dyDescent="0.25">
      <c r="A31" s="3">
        <v>10000000000000</v>
      </c>
      <c r="B31" s="3">
        <v>1.691E-3</v>
      </c>
      <c r="C31" s="3">
        <v>3.3370000000000001E-3</v>
      </c>
      <c r="D31" s="3">
        <v>-5.1029999999999999E-3</v>
      </c>
      <c r="E31" s="3">
        <v>0</v>
      </c>
      <c r="F31" s="3">
        <v>0</v>
      </c>
      <c r="G31" s="3">
        <v>0</v>
      </c>
      <c r="H31" s="3">
        <v>7.0161914999999995E-4</v>
      </c>
      <c r="I31" s="3">
        <v>5.8028682000000004E-4</v>
      </c>
      <c r="J31" s="3">
        <v>-1.8316145E-3</v>
      </c>
      <c r="L31" s="3">
        <f t="shared" si="0"/>
        <v>0.3313737017440721</v>
      </c>
      <c r="M31" s="3"/>
      <c r="N31" s="2">
        <f>IF('Modell einstellen'!$B$1="Voll",H31/0.35,H31/0.35*2)</f>
        <v>4.009252285714286E-3</v>
      </c>
      <c r="O31" s="2">
        <f>IF('Modell einstellen'!$B$1="Voll",J31/0.35,J31/0.35*2)</f>
        <v>-1.0466368571428573E-2</v>
      </c>
      <c r="P31" s="3">
        <f t="shared" si="1"/>
        <v>0.38306049116776481</v>
      </c>
    </row>
    <row r="32" spans="1:16" x14ac:dyDescent="0.25">
      <c r="A32" s="3">
        <v>100000000000000</v>
      </c>
      <c r="B32" s="3">
        <v>1.769E-3</v>
      </c>
      <c r="C32" s="3">
        <v>3.3939999999999999E-3</v>
      </c>
      <c r="D32" s="3">
        <v>-5.2370000000000003E-3</v>
      </c>
      <c r="E32" s="3">
        <v>0</v>
      </c>
      <c r="F32" s="3">
        <v>0</v>
      </c>
      <c r="G32" s="3">
        <v>0</v>
      </c>
      <c r="H32" s="3">
        <v>7.0325102000000003E-4</v>
      </c>
      <c r="I32" s="3">
        <v>5.8588170000000003E-4</v>
      </c>
      <c r="J32" s="3">
        <v>-1.8438947E-3</v>
      </c>
      <c r="L32" s="3">
        <f t="shared" si="0"/>
        <v>0.33778881038762648</v>
      </c>
      <c r="M32" s="3"/>
      <c r="N32" s="2">
        <f>IF('Modell einstellen'!$B$1="Voll",H32/0.35,H32/0.35*2)</f>
        <v>4.018577257142858E-3</v>
      </c>
      <c r="O32" s="2">
        <f>IF('Modell einstellen'!$B$1="Voll",J32/0.35,J32/0.35*2)</f>
        <v>-1.0536541142857144E-2</v>
      </c>
      <c r="P32" s="3">
        <f t="shared" si="1"/>
        <v>0.38139434968818992</v>
      </c>
    </row>
    <row r="33" spans="1:16" x14ac:dyDescent="0.25">
      <c r="A33" s="3">
        <v>1000000000000000</v>
      </c>
      <c r="B33" s="3">
        <v>1.8259999999999999E-3</v>
      </c>
      <c r="C33" s="3">
        <v>3.4359999999999998E-3</v>
      </c>
      <c r="D33" s="3">
        <v>-5.3350000000000003E-3</v>
      </c>
      <c r="E33" s="3">
        <v>0</v>
      </c>
      <c r="F33" s="3">
        <v>0</v>
      </c>
      <c r="G33" s="3">
        <v>0</v>
      </c>
      <c r="H33" s="3">
        <v>7.0419090000000003E-4</v>
      </c>
      <c r="I33" s="3">
        <v>5.8939878999999997E-4</v>
      </c>
      <c r="J33" s="3">
        <v>-1.8515252E-3</v>
      </c>
      <c r="L33" s="3">
        <f t="shared" si="0"/>
        <v>0.34226804123711335</v>
      </c>
      <c r="M33" s="3"/>
      <c r="N33" s="2">
        <f>IF('Modell einstellen'!$B$1="Voll",H33/0.35,H33/0.35*2)</f>
        <v>4.0239480000000003E-3</v>
      </c>
      <c r="O33" s="2">
        <f>IF('Modell einstellen'!$B$1="Voll",J33/0.35,J33/0.35*2)</f>
        <v>-1.0580144000000001E-2</v>
      </c>
      <c r="P33" s="3">
        <f t="shared" si="1"/>
        <v>0.38033017319991108</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2022-01-12T17:51:45Z</dcterms:modified>
</cp:coreProperties>
</file>