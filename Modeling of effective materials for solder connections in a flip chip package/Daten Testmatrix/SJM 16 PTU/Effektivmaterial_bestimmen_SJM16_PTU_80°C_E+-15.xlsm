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2" i="11" s="1"/>
  <c r="O21" i="11"/>
  <c r="N21" i="11"/>
  <c r="P21" i="11" s="1"/>
  <c r="O20" i="11"/>
  <c r="N20" i="11"/>
  <c r="O19" i="11"/>
  <c r="P19" i="11" s="1"/>
  <c r="N19" i="11"/>
  <c r="O18" i="11"/>
  <c r="N18" i="11"/>
  <c r="P18" i="11" s="1"/>
  <c r="O17" i="11"/>
  <c r="N17" i="11"/>
  <c r="P17" i="11" s="1"/>
  <c r="O16" i="11"/>
  <c r="N16" i="11"/>
  <c r="P16" i="11" s="1"/>
  <c r="P15" i="11"/>
  <c r="O15" i="11"/>
  <c r="N15" i="11"/>
  <c r="O14" i="11"/>
  <c r="N14" i="11"/>
  <c r="O13" i="11"/>
  <c r="P13" i="11" s="1"/>
  <c r="N13" i="11"/>
  <c r="O12" i="11"/>
  <c r="N12" i="11"/>
  <c r="P12" i="11" s="1"/>
  <c r="O11" i="11"/>
  <c r="N11" i="11"/>
  <c r="P11" i="11" s="1"/>
  <c r="O10" i="11"/>
  <c r="N10" i="11"/>
  <c r="P10" i="11" s="1"/>
  <c r="P9" i="11"/>
  <c r="O9" i="11"/>
  <c r="N9" i="11"/>
  <c r="O8" i="11"/>
  <c r="N8" i="11"/>
  <c r="O7" i="11"/>
  <c r="P7" i="11" s="1"/>
  <c r="N7" i="11"/>
  <c r="O6" i="11"/>
  <c r="N6" i="11"/>
  <c r="P6" i="11" s="1"/>
  <c r="O5" i="11"/>
  <c r="N5" i="11"/>
  <c r="P5" i="11" s="1"/>
  <c r="O4" i="11"/>
  <c r="N4" i="11"/>
  <c r="P4" i="11" s="1"/>
  <c r="P3" i="11"/>
  <c r="O3" i="11"/>
  <c r="N3" i="11"/>
  <c r="P14" i="11" l="1"/>
  <c r="P26"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P9" i="37" s="1"/>
  <c r="B33" i="39" s="1"/>
  <c r="R14" i="37"/>
  <c r="R3" i="37"/>
  <c r="L4" i="37"/>
  <c r="L5" i="37"/>
  <c r="L6" i="37"/>
  <c r="L7" i="37"/>
  <c r="L8" i="37"/>
  <c r="L9" i="37"/>
  <c r="L10" i="37"/>
  <c r="L11" i="37"/>
  <c r="L12" i="37"/>
  <c r="L13" i="37"/>
  <c r="L14" i="37"/>
  <c r="L3" i="37"/>
  <c r="P6" i="37" l="1"/>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5" i="43"/>
  <c r="B417" i="43"/>
  <c r="B409" i="43"/>
  <c r="B406" i="43"/>
  <c r="B429" i="43"/>
  <c r="B433" i="43"/>
  <c r="B422" i="43"/>
  <c r="B411" i="43"/>
  <c r="B416" i="43"/>
  <c r="B432" i="43"/>
  <c r="B404" i="43"/>
  <c r="B428" i="43"/>
  <c r="B421" i="43"/>
  <c r="B410" i="43"/>
  <c r="B407" i="43"/>
  <c r="B431" i="43"/>
  <c r="B427" i="43"/>
  <c r="B420" i="43"/>
  <c r="B412" i="43"/>
  <c r="B434" i="43"/>
  <c r="B430" i="43"/>
  <c r="B423" i="43"/>
  <c r="B418" i="43"/>
  <c r="B419" i="43"/>
  <c r="B426" i="43"/>
  <c r="D406" i="43"/>
  <c r="D417" i="43"/>
  <c r="D419" i="43"/>
  <c r="D426" i="43"/>
  <c r="D430" i="43"/>
  <c r="D434" i="43"/>
  <c r="D429" i="43"/>
  <c r="D415" i="43"/>
  <c r="D433" i="43"/>
  <c r="D411" i="43"/>
  <c r="D416" i="43"/>
  <c r="D423" i="43"/>
  <c r="D428" i="43"/>
  <c r="D404" i="43"/>
  <c r="D418" i="43"/>
  <c r="D425" i="43"/>
  <c r="D427" i="43"/>
  <c r="D432" i="43"/>
  <c r="D408" i="43"/>
  <c r="D409" i="43"/>
  <c r="D421" i="43"/>
  <c r="D407" i="43"/>
  <c r="D414" i="43"/>
  <c r="D410" i="43"/>
  <c r="D412" i="43"/>
  <c r="D420" i="43"/>
  <c r="D422" i="43"/>
  <c r="D431" i="43"/>
  <c r="D405" i="43"/>
  <c r="D413" i="43"/>
  <c r="D424" i="43"/>
  <c r="C406" i="43"/>
  <c r="C423" i="43"/>
  <c r="C428" i="43"/>
  <c r="C404" i="43"/>
  <c r="C425" i="43"/>
  <c r="C420" i="43"/>
  <c r="C409" i="43"/>
  <c r="C421" i="43"/>
  <c r="C434" i="43"/>
  <c r="C429" i="43"/>
  <c r="C432" i="43"/>
  <c r="C417" i="43"/>
  <c r="C426" i="43"/>
  <c r="C407" i="43"/>
  <c r="C414" i="43"/>
  <c r="C418" i="43"/>
  <c r="C427" i="43"/>
  <c r="C431" i="43"/>
  <c r="C419" i="43"/>
  <c r="C410" i="43"/>
  <c r="C412" i="43"/>
  <c r="C422" i="43"/>
  <c r="C430" i="43"/>
  <c r="C405" i="43"/>
  <c r="C408" i="43"/>
  <c r="C415" i="43"/>
  <c r="C424" i="43"/>
  <c r="C433" i="43"/>
  <c r="C413" i="43"/>
  <c r="C411" i="43"/>
  <c r="C416" i="43"/>
  <c r="H434" i="43"/>
  <c r="H418" i="43"/>
  <c r="H415" i="43"/>
  <c r="H410" i="43"/>
  <c r="H424" i="43"/>
  <c r="H405" i="43"/>
  <c r="H421" i="43"/>
  <c r="H411" i="43"/>
  <c r="H417" i="43"/>
  <c r="H414" i="43"/>
  <c r="H430" i="43"/>
  <c r="H423" i="43"/>
  <c r="H416" i="43"/>
  <c r="H404" i="43"/>
  <c r="H413" i="43"/>
  <c r="H427" i="43"/>
  <c r="H409" i="43"/>
  <c r="H422" i="43"/>
  <c r="H431" i="43"/>
  <c r="H433" i="43"/>
  <c r="H428" i="43"/>
  <c r="H426" i="43"/>
  <c r="H408" i="43"/>
  <c r="H420" i="43"/>
  <c r="H429" i="43"/>
  <c r="H432" i="43"/>
  <c r="H412" i="43"/>
  <c r="H425" i="43"/>
  <c r="H407" i="43"/>
  <c r="H419" i="43"/>
  <c r="H406" i="43"/>
  <c r="G410" i="43"/>
  <c r="G413" i="43"/>
  <c r="G431" i="43"/>
  <c r="G434" i="43"/>
  <c r="G416" i="43"/>
  <c r="G428" i="43"/>
  <c r="G429" i="43"/>
  <c r="G411" i="43"/>
  <c r="G427" i="43"/>
  <c r="G409" i="43"/>
  <c r="G405" i="43"/>
  <c r="G421" i="43"/>
  <c r="G425" i="43"/>
  <c r="G412" i="43"/>
  <c r="G422" i="43"/>
  <c r="G426" i="43"/>
  <c r="G408" i="43"/>
  <c r="G424" i="43"/>
  <c r="G430" i="43"/>
  <c r="G406" i="43"/>
  <c r="G419" i="43"/>
  <c r="G423" i="43"/>
  <c r="G432" i="43"/>
  <c r="G414" i="43"/>
  <c r="G407" i="43"/>
  <c r="G420" i="43"/>
  <c r="G404" i="43"/>
  <c r="G418" i="43"/>
  <c r="G417" i="43"/>
  <c r="G433" i="43"/>
  <c r="G415" i="43"/>
  <c r="E405" i="43"/>
  <c r="E408" i="43"/>
  <c r="E413" i="43"/>
  <c r="E415" i="43"/>
  <c r="E424" i="43"/>
  <c r="E433" i="43"/>
  <c r="E434" i="43"/>
  <c r="E420" i="43"/>
  <c r="E406" i="43"/>
  <c r="E417" i="43"/>
  <c r="E419" i="43"/>
  <c r="E426" i="43"/>
  <c r="E430" i="43"/>
  <c r="E423" i="43"/>
  <c r="E411" i="43"/>
  <c r="E416" i="43"/>
  <c r="E404" i="43"/>
  <c r="E410" i="43"/>
  <c r="E422" i="43"/>
  <c r="E418" i="43"/>
  <c r="E425" i="43"/>
  <c r="E427" i="43"/>
  <c r="E429" i="43"/>
  <c r="E431" i="43"/>
  <c r="E421" i="43"/>
  <c r="E409" i="43"/>
  <c r="E414" i="43"/>
  <c r="E432" i="43"/>
  <c r="E412" i="43"/>
  <c r="E407" i="43"/>
  <c r="E428" i="43"/>
  <c r="F415" i="43"/>
  <c r="F410" i="43"/>
  <c r="F420" i="43"/>
  <c r="F431" i="43"/>
  <c r="F430" i="43"/>
  <c r="F423" i="43"/>
  <c r="F424" i="43"/>
  <c r="F419" i="43"/>
  <c r="F404" i="43"/>
  <c r="F427" i="43"/>
  <c r="F416" i="43"/>
  <c r="F434" i="43"/>
  <c r="F421" i="43"/>
  <c r="F425" i="43"/>
  <c r="F426" i="43"/>
  <c r="F412" i="43"/>
  <c r="F417" i="43"/>
  <c r="F414" i="43"/>
  <c r="F422" i="43"/>
  <c r="F411" i="43"/>
  <c r="F405" i="43"/>
  <c r="F413" i="43"/>
  <c r="F432" i="43"/>
  <c r="F418" i="43"/>
  <c r="F409" i="43"/>
  <c r="F433" i="43"/>
  <c r="F428" i="43"/>
  <c r="F429" i="43"/>
  <c r="F406" i="43"/>
  <c r="F408"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AF286" i="43"/>
  <c r="M434" i="43"/>
  <c r="R286" i="43"/>
  <c r="M420" i="43"/>
  <c r="N247" i="43"/>
  <c r="L416" i="43"/>
  <c r="Y247" i="43"/>
  <c r="L427" i="43"/>
  <c r="Y169" i="43"/>
  <c r="K427" i="43"/>
  <c r="G208" i="43"/>
  <c r="K409" i="43"/>
  <c r="Z169" i="43"/>
  <c r="K428" i="43"/>
  <c r="N169" i="43"/>
  <c r="K416" i="43"/>
  <c r="H169" i="43"/>
  <c r="K410" i="43"/>
  <c r="K208" i="43"/>
  <c r="K413" i="43"/>
  <c r="R169" i="43"/>
  <c r="K420" i="43"/>
  <c r="F169" i="43"/>
  <c r="K408" i="43"/>
  <c r="D169" i="43"/>
  <c r="K406" i="43"/>
  <c r="AD169" i="43"/>
  <c r="K432"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AE247" i="43"/>
  <c r="L433" i="43"/>
  <c r="D247" i="43"/>
  <c r="L406" i="43"/>
  <c r="J130" i="43"/>
  <c r="J412" i="43"/>
  <c r="AD130" i="43"/>
  <c r="J432" i="43"/>
  <c r="M130" i="43"/>
  <c r="J415" i="43"/>
  <c r="AE130" i="43"/>
  <c r="J433" i="43"/>
  <c r="AC130" i="43"/>
  <c r="J431" i="43"/>
  <c r="I130" i="43"/>
  <c r="J411" i="43"/>
  <c r="N130" i="43"/>
  <c r="J416" i="43"/>
  <c r="E130" i="43"/>
  <c r="J407" i="43"/>
  <c r="AB130" i="43"/>
  <c r="J430" i="43"/>
  <c r="O130" i="43"/>
  <c r="J417" i="43"/>
  <c r="Z130" i="43"/>
  <c r="J428" i="43"/>
  <c r="S130" i="43"/>
  <c r="J421" i="43"/>
  <c r="W130" i="43"/>
  <c r="J425" i="43"/>
  <c r="D130" i="43"/>
  <c r="J406" i="43"/>
  <c r="AF130" i="43"/>
  <c r="J434" i="43"/>
  <c r="T130" i="43"/>
  <c r="J422" i="43"/>
  <c r="P130" i="43"/>
  <c r="J418" i="43"/>
  <c r="R130" i="43"/>
  <c r="J420" i="43"/>
  <c r="C130" i="43"/>
  <c r="J405" i="43"/>
  <c r="V130" i="43"/>
  <c r="J424" i="43"/>
  <c r="K130" i="43"/>
  <c r="J413" i="43"/>
  <c r="Q130" i="43"/>
  <c r="J419" i="43"/>
  <c r="L130" i="43"/>
  <c r="J414" i="43"/>
  <c r="Y130" i="43"/>
  <c r="J427" i="43"/>
  <c r="G130" i="43"/>
  <c r="J409" i="43"/>
  <c r="X130" i="43"/>
  <c r="J426" i="43"/>
  <c r="F130" i="43"/>
  <c r="J408"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<sst xmlns="http://schemas.openxmlformats.org/spreadsheetml/2006/main" count="311" uniqueCount="164">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</sst>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87407056"/>
        <c:axId val="5873444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4070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4408"/>
        <c:crossesAt val="-8.0000000000000019E-3"/>
        <c:crossBetween val="midCat"/>
      </c:valAx>
      <c:valAx>
        <c:axId val="587344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407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87345584"/>
        <c:axId val="58734480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8734558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4800"/>
        <c:crosses val="autoZero"/>
        <c:crossBetween val="midCat"/>
      </c:valAx>
      <c:valAx>
        <c:axId val="58734480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558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87345976"/>
        <c:axId val="587344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87345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4016"/>
        <c:crosses val="autoZero"/>
        <c:crossBetween val="midCat"/>
        <c:majorUnit val="10000"/>
      </c:valAx>
      <c:valAx>
        <c:axId val="5873440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7345976"/>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5944032"/>
        <c:axId val="495286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5944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5286336"/>
        <c:crosses val="autoZero"/>
        <c:crossBetween val="midCat"/>
        <c:majorUnit val="10000"/>
      </c:valAx>
      <c:valAx>
        <c:axId val="49528633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594403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8731760"/>
        <c:axId val="4987301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87317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0192"/>
        <c:crosses val="autoZero"/>
        <c:crossBetween val="midCat"/>
        <c:majorUnit val="10000"/>
      </c:valAx>
      <c:valAx>
        <c:axId val="49873019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176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7.6729914406765401E-3</c:v>
                </c:pt>
                <c:pt idx="1">
                  <c:v>1.0206830802274991E-2</c:v>
                </c:pt>
                <c:pt idx="2">
                  <c:v>2.7747289370458096E-3</c:v>
                </c:pt>
                <c:pt idx="3">
                  <c:v>4.6778125953362789E-4</c:v>
                </c:pt>
                <c:pt idx="4">
                  <c:v>6.8637127803907269E-5</c:v>
                </c:pt>
                <c:pt idx="5">
                  <c:v>1.1834474849405507E-5</c:v>
                </c:pt>
                <c:pt idx="6">
                  <c:v>1.6493679498504036E-5</c:v>
                </c:pt>
                <c:pt idx="7">
                  <c:v>5.1073372950192E-5</c:v>
                </c:pt>
                <c:pt idx="8">
                  <c:v>1.325462997507532E-4</c:v>
                </c:pt>
                <c:pt idx="9">
                  <c:v>2.8538934822396164E-4</c:v>
                </c:pt>
                <c:pt idx="10">
                  <c:v>5.1178934619711049E-4</c:v>
                </c:pt>
                <c:pt idx="11">
                  <c:v>7.7514339347405212E-4</c:v>
                </c:pt>
                <c:pt idx="12">
                  <c:v>9.9647244431626302E-4</c:v>
                </c:pt>
                <c:pt idx="13">
                  <c:v>1.0970878814571402E-3</c:v>
                </c:pt>
                <c:pt idx="14">
                  <c:v>1.0334629534394892E-3</c:v>
                </c:pt>
                <c:pt idx="15">
                  <c:v>8.4860990146836258E-4</c:v>
                </c:pt>
                <c:pt idx="16">
                  <c:v>6.1045157751962406E-4</c:v>
                </c:pt>
                <c:pt idx="17">
                  <c:v>3.9745696282003645E-4</c:v>
                </c:pt>
                <c:pt idx="18">
                  <c:v>2.3357744699345958E-4</c:v>
                </c:pt>
                <c:pt idx="19">
                  <c:v>1.1681157842619665E-4</c:v>
                </c:pt>
                <c:pt idx="20">
                  <c:v>4.4804853030419989E-5</c:v>
                </c:pt>
                <c:pt idx="21">
                  <c:v>1.0661674400824736E-5</c:v>
                </c:pt>
                <c:pt idx="22">
                  <c:v>4.6407245947977521E-6</c:v>
                </c:pt>
                <c:pt idx="23">
                  <c:v>2.3573286957706292E-6</c:v>
                </c:pt>
                <c:pt idx="24">
                  <c:v>1.4722324948084568E-5</c:v>
                </c:pt>
                <c:pt idx="25">
                  <c:v>9.6808436750757941E-6</c:v>
                </c:pt>
                <c:pt idx="26">
                  <c:v>1.9671718281113812E-5</c:v>
                </c:pt>
                <c:pt idx="27">
                  <c:v>6.6643480110068474E-5</c:v>
                </c:pt>
                <c:pt idx="28">
                  <c:v>1.2342970604683069E-4</c:v>
                </c:pt>
                <c:pt idx="29">
                  <c:v>1.7808760890629076E-4</c:v>
                </c:pt>
                <c:pt idx="30">
                  <c:v>1.0561743178612869E-4</c:v>
                </c:pt>
              </c:numCache>
            </c:numRef>
          </c:yVal>
          <c:smooth val="1"/>
        </c:ser>
        <c:dLbls>
          <c:showLegendKey val="0"/>
          <c:showVal val="0"/>
          <c:showCatName val="0"/>
          <c:showSerName val="0"/>
          <c:showPercent val="0"/>
          <c:showBubbleSize val="0"/>
        </c:dLbls>
        <c:axId val="498730584"/>
        <c:axId val="498732544"/>
      </c:scatterChart>
      <c:valAx>
        <c:axId val="4987305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2544"/>
        <c:crossesAt val="-1.5000000000000005E-3"/>
        <c:crossBetween val="midCat"/>
      </c:valAx>
      <c:valAx>
        <c:axId val="4987325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3058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9751.6376958333512</c:v>
                </c:pt>
                <c:pt idx="1">
                  <c:v>9652.1354481392882</c:v>
                </c:pt>
                <c:pt idx="2">
                  <c:v>9281.7011463925173</c:v>
                </c:pt>
                <c:pt idx="3">
                  <c:v>9057.0248919924998</c:v>
                </c:pt>
                <c:pt idx="4">
                  <c:v>8765.2959467283017</c:v>
                </c:pt>
                <c:pt idx="5">
                  <c:v>8497.6966383596682</c:v>
                </c:pt>
                <c:pt idx="6">
                  <c:v>8229.0911817239794</c:v>
                </c:pt>
                <c:pt idx="7">
                  <c:v>7907.4014599013335</c:v>
                </c:pt>
                <c:pt idx="8">
                  <c:v>7533.9518694285025</c:v>
                </c:pt>
                <c:pt idx="9">
                  <c:v>7168.908467700755</c:v>
                </c:pt>
                <c:pt idx="10">
                  <c:v>6864.1914293457385</c:v>
                </c:pt>
                <c:pt idx="11">
                  <c:v>6583.7192703448145</c:v>
                </c:pt>
                <c:pt idx="12">
                  <c:v>6292.2113327818115</c:v>
                </c:pt>
                <c:pt idx="13">
                  <c:v>6010.8986616597458</c:v>
                </c:pt>
                <c:pt idx="14">
                  <c:v>5723.0356492604769</c:v>
                </c:pt>
                <c:pt idx="15">
                  <c:v>5388.672484147105</c:v>
                </c:pt>
                <c:pt idx="16">
                  <c:v>4943.8875397193287</c:v>
                </c:pt>
                <c:pt idx="17">
                  <c:v>4343.1205155496737</c:v>
                </c:pt>
                <c:pt idx="18">
                  <c:v>3694.8074590793403</c:v>
                </c:pt>
                <c:pt idx="19">
                  <c:v>3069.114416763372</c:v>
                </c:pt>
                <c:pt idx="20">
                  <c:v>2467.0547318019303</c:v>
                </c:pt>
                <c:pt idx="21">
                  <c:v>1870.2687865323203</c:v>
                </c:pt>
                <c:pt idx="22">
                  <c:v>1361.6517624987212</c:v>
                </c:pt>
                <c:pt idx="23">
                  <c:v>978.74620462987207</c:v>
                </c:pt>
                <c:pt idx="24">
                  <c:v>750.03869332204295</c:v>
                </c:pt>
                <c:pt idx="25">
                  <c:v>627.42776259315235</c:v>
                </c:pt>
                <c:pt idx="26">
                  <c:v>570.27769123279927</c:v>
                </c:pt>
                <c:pt idx="27">
                  <c:v>535.02656614774151</c:v>
                </c:pt>
                <c:pt idx="28">
                  <c:v>516.00448277889859</c:v>
                </c:pt>
                <c:pt idx="29">
                  <c:v>504.26333569735584</c:v>
                </c:pt>
                <c:pt idx="30">
                  <c:v>480.26774035530781</c:v>
                </c:pt>
              </c:numCache>
            </c:numRef>
          </c:yVal>
          <c:smooth val="1"/>
        </c:ser>
        <c:dLbls>
          <c:showLegendKey val="0"/>
          <c:showVal val="0"/>
          <c:showCatName val="0"/>
          <c:showSerName val="0"/>
          <c:showPercent val="0"/>
          <c:showBubbleSize val="0"/>
        </c:dLbls>
        <c:axId val="498729408"/>
        <c:axId val="498729800"/>
      </c:scatterChart>
      <c:valAx>
        <c:axId val="4987294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29800"/>
        <c:crosses val="autoZero"/>
        <c:crossBetween val="midCat"/>
      </c:valAx>
      <c:valAx>
        <c:axId val="4987298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872940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7.1986412307199474E-2</c:v>
                </c:pt>
                <c:pt idx="1">
                  <c:v>9.4719856787560591E-2</c:v>
                </c:pt>
                <c:pt idx="2">
                  <c:v>6.8742661369992145E-2</c:v>
                </c:pt>
                <c:pt idx="3">
                  <c:v>5.0237224757282407E-2</c:v>
                </c:pt>
                <c:pt idx="4">
                  <c:v>3.2329702305362425E-2</c:v>
                </c:pt>
                <c:pt idx="5">
                  <c:v>1.2938116616411529E-2</c:v>
                </c:pt>
                <c:pt idx="6">
                  <c:v>1.6643212429713994E-3</c:v>
                </c:pt>
                <c:pt idx="7">
                  <c:v>1.4278953170886323E-2</c:v>
                </c:pt>
                <c:pt idx="8">
                  <c:v>9.895309099735879E-3</c:v>
                </c:pt>
                <c:pt idx="9">
                  <c:v>9.9194659575091767E-3</c:v>
                </c:pt>
                <c:pt idx="10">
                  <c:v>1.0181230182180938E-2</c:v>
                </c:pt>
                <c:pt idx="11">
                  <c:v>8.7737630217548726E-3</c:v>
                </c:pt>
                <c:pt idx="12">
                  <c:v>6.2368905663204906E-3</c:v>
                </c:pt>
                <c:pt idx="13">
                  <c:v>4.917481547311856E-3</c:v>
                </c:pt>
                <c:pt idx="14">
                  <c:v>5.2306522096733331E-3</c:v>
                </c:pt>
                <c:pt idx="15">
                  <c:v>7.0135549567021012E-3</c:v>
                </c:pt>
                <c:pt idx="16">
                  <c:v>4.7860845602694423E-3</c:v>
                </c:pt>
                <c:pt idx="17">
                  <c:v>5.9473772611029971E-3</c:v>
                </c:pt>
                <c:pt idx="18">
                  <c:v>2.2953099262836879E-3</c:v>
                </c:pt>
                <c:pt idx="19">
                  <c:v>1.3912436274160142E-3</c:v>
                </c:pt>
                <c:pt idx="20">
                  <c:v>1.9484985269610278E-2</c:v>
                </c:pt>
                <c:pt idx="21">
                  <c:v>5.2452636975892517E-2</c:v>
                </c:pt>
                <c:pt idx="22">
                  <c:v>7.3710263684479471E-2</c:v>
                </c:pt>
                <c:pt idx="23">
                  <c:v>7.4237111583131912E-2</c:v>
                </c:pt>
                <c:pt idx="24">
                  <c:v>7.6842278371332978E-2</c:v>
                </c:pt>
                <c:pt idx="25">
                  <c:v>8.3147444874015847E-2</c:v>
                </c:pt>
                <c:pt idx="26">
                  <c:v>0.10356774489974767</c:v>
                </c:pt>
                <c:pt idx="27">
                  <c:v>9.2047803504249751E-2</c:v>
                </c:pt>
                <c:pt idx="28">
                  <c:v>9.3468311047318134E-2</c:v>
                </c:pt>
                <c:pt idx="29">
                  <c:v>5.4906186438485022E-2</c:v>
                </c:pt>
                <c:pt idx="30">
                  <c:v>3.8837841907526309E-2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3.4164937027169058E-2</c:v>
                </c:pt>
                <c:pt idx="1">
                  <c:v>1.0827937534658298E-2</c:v>
                </c:pt>
                <c:pt idx="2">
                  <c:v>4.6830238732486545E-3</c:v>
                </c:pt>
                <c:pt idx="3">
                  <c:v>5.3401006025162899E-3</c:v>
                </c:pt>
                <c:pt idx="4">
                  <c:v>5.3670196326686377E-3</c:v>
                </c:pt>
                <c:pt idx="5">
                  <c:v>4.6990713804417918E-3</c:v>
                </c:pt>
                <c:pt idx="6">
                  <c:v>4.5191075889368833E-3</c:v>
                </c:pt>
                <c:pt idx="7">
                  <c:v>4.5577670125763565E-3</c:v>
                </c:pt>
                <c:pt idx="8">
                  <c:v>4.4466587394931178E-3</c:v>
                </c:pt>
                <c:pt idx="9">
                  <c:v>4.4537623074625355E-3</c:v>
                </c:pt>
                <c:pt idx="10">
                  <c:v>4.3823066315952465E-3</c:v>
                </c:pt>
                <c:pt idx="11">
                  <c:v>5.1758597685175878E-3</c:v>
                </c:pt>
                <c:pt idx="12">
                  <c:v>4.4592020072210256E-3</c:v>
                </c:pt>
                <c:pt idx="13">
                  <c:v>5.4548219390317676E-3</c:v>
                </c:pt>
                <c:pt idx="14">
                  <c:v>5.5079258228414672E-3</c:v>
                </c:pt>
                <c:pt idx="15">
                  <c:v>5.0992579922350522E-3</c:v>
                </c:pt>
                <c:pt idx="16">
                  <c:v>3.5809917204628269E-3</c:v>
                </c:pt>
                <c:pt idx="17">
                  <c:v>9.9018603158564835E-3</c:v>
                </c:pt>
                <c:pt idx="18">
                  <c:v>1.9629790274382667E-2</c:v>
                </c:pt>
                <c:pt idx="19">
                  <c:v>1.8865050762632309E-2</c:v>
                </c:pt>
                <c:pt idx="20">
                  <c:v>1.0865041094916348E-2</c:v>
                </c:pt>
                <c:pt idx="21">
                  <c:v>8.1993691761228331E-3</c:v>
                </c:pt>
                <c:pt idx="22">
                  <c:v>7.9628052989440395E-3</c:v>
                </c:pt>
                <c:pt idx="23">
                  <c:v>2.4741055483646395E-2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7.6827611930777879E-3</c:v>
                </c:pt>
                <c:pt idx="1">
                  <c:v>1.0126340985844851E-2</c:v>
                </c:pt>
                <c:pt idx="2">
                  <c:v>2.8866606633852791E-3</c:v>
                </c:pt>
                <c:pt idx="3">
                  <c:v>3.7895241727353799E-4</c:v>
                </c:pt>
                <c:pt idx="4">
                  <c:v>1.8634110070566559E-4</c:v>
                </c:pt>
                <c:pt idx="5">
                  <c:v>9.9771483630969451E-5</c:v>
                </c:pt>
                <c:pt idx="6">
                  <c:v>1.4380415614885839E-4</c:v>
                </c:pt>
                <c:pt idx="7">
                  <c:v>1.1409339495566398E-4</c:v>
                </c:pt>
                <c:pt idx="8">
                  <c:v>3.2743455480249516E-4</c:v>
                </c:pt>
                <c:pt idx="9">
                  <c:v>9.9739715863839468E-5</c:v>
                </c:pt>
                <c:pt idx="10">
                  <c:v>6.6550565600727155E-4</c:v>
                </c:pt>
                <c:pt idx="11">
                  <c:v>6.1304010030593275E-4</c:v>
                </c:pt>
                <c:pt idx="12">
                  <c:v>1.1692703069706217E-3</c:v>
                </c:pt>
                <c:pt idx="13">
                  <c:v>9.3799771753369206E-4</c:v>
                </c:pt>
                <c:pt idx="14">
                  <c:v>1.2232944664583938E-3</c:v>
                </c:pt>
                <c:pt idx="15">
                  <c:v>6.2060628107374772E-4</c:v>
                </c:pt>
                <c:pt idx="16">
                  <c:v>9.8037650539879251E-4</c:v>
                </c:pt>
                <c:pt idx="17">
                  <c:v>6.3873203936565121E-5</c:v>
                </c:pt>
                <c:pt idx="18">
                  <c:v>7.5422767917486641E-4</c:v>
                </c:pt>
                <c:pt idx="19">
                  <c:v>4.4711808314326564E-4</c:v>
                </c:pt>
                <c:pt idx="20">
                  <c:v>7.9676483464766125E-4</c:v>
                </c:pt>
                <c:pt idx="21">
                  <c:v>7.0620796965064248E-4</c:v>
                </c:pt>
                <c:pt idx="22">
                  <c:v>1.41622109819525E-3</c:v>
                </c:pt>
                <c:pt idx="23">
                  <c:v>1.0524198144863514E-3</c:v>
                </c:pt>
                <c:pt idx="24">
                  <c:v>8.6560317694714655E-4</c:v>
                </c:pt>
                <c:pt idx="25">
                  <c:v>4.2168087296704632E-4</c:v>
                </c:pt>
                <c:pt idx="26">
                  <c:v>2.8465845485216778E-4</c:v>
                </c:pt>
                <c:pt idx="27">
                  <c:v>1.2775385908859609E-4</c:v>
                </c:pt>
                <c:pt idx="28">
                  <c:v>1.9947336398696585E-4</c:v>
                </c:pt>
                <c:pt idx="29">
                  <c:v>8.0770055981448766E-5</c:v>
                </c:pt>
                <c:pt idx="30">
                  <c:v>4.5023254549362706E-4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1.2000590274906485E-2</c:v>
                </c:pt>
                <c:pt idx="1">
                  <c:v>2.1818589668514202E-2</c:v>
                </c:pt>
                <c:pt idx="2">
                  <c:v>2.5288609727605743E-2</c:v>
                </c:pt>
                <c:pt idx="3">
                  <c:v>2.7011239698581612E-2</c:v>
                </c:pt>
                <c:pt idx="4">
                  <c:v>2.6523166885330074E-2</c:v>
                </c:pt>
                <c:pt idx="5">
                  <c:v>2.3344224018110545E-2</c:v>
                </c:pt>
                <c:pt idx="6">
                  <c:v>2.5210310953599265E-2</c:v>
                </c:pt>
                <c:pt idx="7">
                  <c:v>2.3629632420250433E-2</c:v>
                </c:pt>
                <c:pt idx="8">
                  <c:v>2.5671402188854428E-2</c:v>
                </c:pt>
                <c:pt idx="9">
                  <c:v>2.41601899491941E-2</c:v>
                </c:pt>
                <c:pt idx="10">
                  <c:v>2.7306780946752224E-2</c:v>
                </c:pt>
                <c:pt idx="11">
                  <c:v>1.4537179825310354E-2</c:v>
                </c:pt>
                <c:pt idx="12">
                  <c:v>2.5193077539574397E-2</c:v>
                </c:pt>
                <c:pt idx="13">
                  <c:v>7.4480921174091747E-2</c:v>
                </c:pt>
                <c:pt idx="14">
                  <c:v>0.10308978297211482</c:v>
                </c:pt>
                <c:pt idx="15">
                  <c:v>9.106994910019417E-2</c:v>
                </c:pt>
                <c:pt idx="16">
                  <c:v>5.3166891387705542E-2</c:v>
                </c:pt>
                <c:pt idx="17">
                  <c:v>1.9665570485263434E-3</c:v>
                </c:pt>
                <c:pt idx="18">
                  <c:v>9.426976074307784E-3</c:v>
                </c:pt>
                <c:pt idx="19">
                  <c:v>3.7083791533456816E-3</c:v>
                </c:pt>
                <c:pt idx="20">
                  <c:v>3.2669926602670197E-3</c:v>
                </c:pt>
                <c:pt idx="21">
                  <c:v>1.0313933199888346E-2</c:v>
                </c:pt>
                <c:pt idx="22">
                  <c:v>4.8282333700253007E-3</c:v>
                </c:pt>
                <c:pt idx="23">
                  <c:v>5.1974319290099477E-3</c:v>
                </c:pt>
                <c:pt idx="24">
                  <c:v>7.1535368356306882E-3</c:v>
                </c:pt>
                <c:pt idx="25">
                  <c:v>8.8906450315072282E-3</c:v>
                </c:pt>
                <c:pt idx="26">
                  <c:v>0.20559867851216965</c:v>
                </c:pt>
                <c:pt idx="27">
                  <c:v>0.42936493570709366</c:v>
                </c:pt>
                <c:pt idx="28">
                  <c:v>0.4291397967589935</c:v>
                </c:pt>
                <c:pt idx="29">
                  <c:v>0.42675597884120253</c:v>
                </c:pt>
                <c:pt idx="30">
                  <c:v>0.42558550670851886</c:v>
                </c:pt>
              </c:numCache>
            </c:numRef>
          </c:yVal>
          <c:smooth val="1"/>
        </c:ser>
        <c:dLbls>
          <c:showLegendKey val="0"/>
          <c:showVal val="0"/>
          <c:showCatName val="0"/>
          <c:showSerName val="0"/>
          <c:showPercent val="0"/>
          <c:showBubbleSize val="0"/>
        </c:dLbls>
        <c:axId val="492799712"/>
        <c:axId val="492800104"/>
      </c:scatterChart>
      <c:valAx>
        <c:axId val="492799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800104"/>
        <c:crossesAt val="1.0000000000000005E-9"/>
        <c:crossBetween val="midCat"/>
      </c:valAx>
      <c:valAx>
        <c:axId val="492800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7997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-11.391236875275727</c:v>
                </c:pt>
                <c:pt idx="1">
                  <c:v>-7.538343886132532</c:v>
                </c:pt>
                <c:pt idx="2">
                  <c:v>-5.0227358749255249</c:v>
                </c:pt>
                <c:pt idx="3">
                  <c:v>-2.8024126040835196</c:v>
                </c:pt>
                <c:pt idx="4">
                  <c:v>0</c:v>
                </c:pt>
                <c:pt idx="5">
                  <c:v>5.6120173868915071</c:v>
                </c:pt>
                <c:pt idx="6">
                  <c:v>11.274352903532849</c:v>
                </c:pt>
              </c:numCache>
            </c:numRef>
          </c:yVal>
          <c:smooth val="0"/>
        </c:ser>
        <c:dLbls>
          <c:showLegendKey val="0"/>
          <c:showVal val="0"/>
          <c:showCatName val="0"/>
          <c:showSerName val="0"/>
          <c:showPercent val="0"/>
          <c:showBubbleSize val="0"/>
        </c:dLbls>
        <c:axId val="492800888"/>
        <c:axId val="591517064"/>
      </c:scatterChart>
      <c:valAx>
        <c:axId val="492800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7064"/>
        <c:crossesAt val="-100"/>
        <c:crossBetween val="midCat"/>
      </c:valAx>
      <c:valAx>
        <c:axId val="591517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280088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591516672"/>
        <c:axId val="591517456"/>
      </c:scatterChart>
      <c:valAx>
        <c:axId val="59151667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7456"/>
        <c:crosses val="autoZero"/>
        <c:crossBetween val="midCat"/>
      </c:valAx>
      <c:valAx>
        <c:axId val="59151745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667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1.1294023394843902E-20</c:v>
                </c:pt>
                <c:pt idx="1">
                  <c:v>1.1294023394843901E-19</c:v>
                </c:pt>
                <c:pt idx="2">
                  <c:v>1.1294023394843902E-18</c:v>
                </c:pt>
                <c:pt idx="3">
                  <c:v>1.1294023394843902E-17</c:v>
                </c:pt>
                <c:pt idx="4">
                  <c:v>1.12940233948439E-16</c:v>
                </c:pt>
                <c:pt idx="5">
                  <c:v>1.1294023394843902E-15</c:v>
                </c:pt>
                <c:pt idx="6">
                  <c:v>1.1294023394843902E-14</c:v>
                </c:pt>
                <c:pt idx="7">
                  <c:v>1.1294023394843902E-13</c:v>
                </c:pt>
                <c:pt idx="8">
                  <c:v>1.1294023394843901E-12</c:v>
                </c:pt>
                <c:pt idx="9">
                  <c:v>1.12940233948439E-11</c:v>
                </c:pt>
                <c:pt idx="10">
                  <c:v>1.1294023394843902E-10</c:v>
                </c:pt>
                <c:pt idx="11">
                  <c:v>1.1294023394843901E-9</c:v>
                </c:pt>
                <c:pt idx="12">
                  <c:v>1.1294023394843901E-8</c:v>
                </c:pt>
                <c:pt idx="13">
                  <c:v>1.1294023394843902E-7</c:v>
                </c:pt>
                <c:pt idx="14">
                  <c:v>1.1294023394843902E-6</c:v>
                </c:pt>
                <c:pt idx="15">
                  <c:v>1.1294023394843902E-5</c:v>
                </c:pt>
                <c:pt idx="16">
                  <c:v>1.1294023394843902E-4</c:v>
                </c:pt>
                <c:pt idx="17">
                  <c:v>1.1294023394843901E-3</c:v>
                </c:pt>
                <c:pt idx="18">
                  <c:v>1.1294023394843901E-2</c:v>
                </c:pt>
                <c:pt idx="19">
                  <c:v>0.11294023394843901</c:v>
                </c:pt>
                <c:pt idx="20">
                  <c:v>1.1294023394843902</c:v>
                </c:pt>
                <c:pt idx="21">
                  <c:v>11.294023394843901</c:v>
                </c:pt>
                <c:pt idx="22">
                  <c:v>112.94023394843902</c:v>
                </c:pt>
                <c:pt idx="23">
                  <c:v>1129.40233948439</c:v>
                </c:pt>
                <c:pt idx="24">
                  <c:v>11294.023394843902</c:v>
                </c:pt>
                <c:pt idx="25">
                  <c:v>112940.23394843901</c:v>
                </c:pt>
                <c:pt idx="26">
                  <c:v>1129402.3394843901</c:v>
                </c:pt>
                <c:pt idx="27">
                  <c:v>11294023.394843901</c:v>
                </c:pt>
                <c:pt idx="28">
                  <c:v>112940233.94843902</c:v>
                </c:pt>
                <c:pt idx="29">
                  <c:v>1129402339.4843903</c:v>
                </c:pt>
                <c:pt idx="30">
                  <c:v>11294023394.843901</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5.3227840590692943E-19</c:v>
                </c:pt>
                <c:pt idx="1">
                  <c:v>5.3227840590692937E-18</c:v>
                </c:pt>
                <c:pt idx="2">
                  <c:v>5.3227840590692937E-17</c:v>
                </c:pt>
                <c:pt idx="3">
                  <c:v>5.3227840590692936E-16</c:v>
                </c:pt>
                <c:pt idx="4">
                  <c:v>5.3227840590692934E-15</c:v>
                </c:pt>
                <c:pt idx="5">
                  <c:v>5.3227840590692938E-14</c:v>
                </c:pt>
                <c:pt idx="6">
                  <c:v>5.3227840590692938E-13</c:v>
                </c:pt>
                <c:pt idx="7">
                  <c:v>5.3227840590692934E-12</c:v>
                </c:pt>
                <c:pt idx="8">
                  <c:v>5.3227840590692933E-11</c:v>
                </c:pt>
                <c:pt idx="9">
                  <c:v>5.3227840590692938E-10</c:v>
                </c:pt>
                <c:pt idx="10">
                  <c:v>5.322784059069294E-9</c:v>
                </c:pt>
                <c:pt idx="11">
                  <c:v>5.3227840590692938E-8</c:v>
                </c:pt>
                <c:pt idx="12">
                  <c:v>5.3227840590692938E-7</c:v>
                </c:pt>
                <c:pt idx="13">
                  <c:v>5.322784059069294E-6</c:v>
                </c:pt>
                <c:pt idx="14">
                  <c:v>5.3227840590692942E-5</c:v>
                </c:pt>
                <c:pt idx="15">
                  <c:v>5.3227840590692934E-4</c:v>
                </c:pt>
                <c:pt idx="16">
                  <c:v>5.3227840590692934E-3</c:v>
                </c:pt>
                <c:pt idx="17">
                  <c:v>5.3227840590692937E-2</c:v>
                </c:pt>
                <c:pt idx="18">
                  <c:v>0.53227840590692932</c:v>
                </c:pt>
                <c:pt idx="19">
                  <c:v>5.3227840590692939</c:v>
                </c:pt>
                <c:pt idx="20">
                  <c:v>53.227840590692935</c:v>
                </c:pt>
                <c:pt idx="21">
                  <c:v>532.27840590692938</c:v>
                </c:pt>
                <c:pt idx="22">
                  <c:v>5322.784059069294</c:v>
                </c:pt>
                <c:pt idx="23">
                  <c:v>53227.840590692933</c:v>
                </c:pt>
                <c:pt idx="24">
                  <c:v>532278.4059069294</c:v>
                </c:pt>
                <c:pt idx="25">
                  <c:v>5322784.0590692936</c:v>
                </c:pt>
                <c:pt idx="26">
                  <c:v>53227840.590692937</c:v>
                </c:pt>
                <c:pt idx="27">
                  <c:v>532278405.90692937</c:v>
                </c:pt>
                <c:pt idx="28">
                  <c:v>5322784059.069294</c:v>
                </c:pt>
                <c:pt idx="29">
                  <c:v>53227840590.69294</c:v>
                </c:pt>
                <c:pt idx="30">
                  <c:v>532278405906.92938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6.5864822452494767E-18</c:v>
                </c:pt>
                <c:pt idx="1">
                  <c:v>6.5864822452494753E-17</c:v>
                </c:pt>
                <c:pt idx="2">
                  <c:v>6.5864822452494766E-16</c:v>
                </c:pt>
                <c:pt idx="3">
                  <c:v>6.5864822452494758E-15</c:v>
                </c:pt>
                <c:pt idx="4">
                  <c:v>6.5864822452494754E-14</c:v>
                </c:pt>
                <c:pt idx="5">
                  <c:v>6.5864822452494762E-13</c:v>
                </c:pt>
                <c:pt idx="6">
                  <c:v>6.586482245249476E-12</c:v>
                </c:pt>
                <c:pt idx="7">
                  <c:v>6.5864822452494766E-11</c:v>
                </c:pt>
                <c:pt idx="8">
                  <c:v>6.5864822452494754E-10</c:v>
                </c:pt>
                <c:pt idx="9">
                  <c:v>6.5864822452494754E-9</c:v>
                </c:pt>
                <c:pt idx="10">
                  <c:v>6.5864822452494759E-8</c:v>
                </c:pt>
                <c:pt idx="11">
                  <c:v>6.5864822452494766E-7</c:v>
                </c:pt>
                <c:pt idx="12">
                  <c:v>6.586482245249476E-6</c:v>
                </c:pt>
                <c:pt idx="13">
                  <c:v>6.5864822452494758E-5</c:v>
                </c:pt>
                <c:pt idx="14">
                  <c:v>6.5864822452494764E-4</c:v>
                </c:pt>
                <c:pt idx="15">
                  <c:v>6.5864822452494755E-3</c:v>
                </c:pt>
                <c:pt idx="16">
                  <c:v>6.5864822452494753E-2</c:v>
                </c:pt>
                <c:pt idx="17">
                  <c:v>0.65864822452494765</c:v>
                </c:pt>
                <c:pt idx="18">
                  <c:v>6.586482245249476</c:v>
                </c:pt>
                <c:pt idx="19">
                  <c:v>65.864822452494764</c:v>
                </c:pt>
                <c:pt idx="20">
                  <c:v>658.64822452494764</c:v>
                </c:pt>
                <c:pt idx="21">
                  <c:v>6586.4822452494755</c:v>
                </c:pt>
                <c:pt idx="22">
                  <c:v>65864.822452494758</c:v>
                </c:pt>
                <c:pt idx="23">
                  <c:v>658648.22452494758</c:v>
                </c:pt>
                <c:pt idx="24">
                  <c:v>6586482.2452494763</c:v>
                </c:pt>
                <c:pt idx="25">
                  <c:v>65864822.452494755</c:v>
                </c:pt>
                <c:pt idx="26">
                  <c:v>658648224.52494764</c:v>
                </c:pt>
                <c:pt idx="27">
                  <c:v>6586482245.2494755</c:v>
                </c:pt>
                <c:pt idx="28">
                  <c:v>65864822452.494759</c:v>
                </c:pt>
                <c:pt idx="29">
                  <c:v>658648224524.94763</c:v>
                </c:pt>
                <c:pt idx="30">
                  <c:v>6586482245249.4756</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6.0663528854872551E-17</c:v>
                </c:pt>
                <c:pt idx="1">
                  <c:v>6.0663528854872549E-16</c:v>
                </c:pt>
                <c:pt idx="2">
                  <c:v>6.0663528854872549E-15</c:v>
                </c:pt>
                <c:pt idx="3">
                  <c:v>6.0663528854872545E-14</c:v>
                </c:pt>
                <c:pt idx="4">
                  <c:v>6.066352885487254E-13</c:v>
                </c:pt>
                <c:pt idx="5">
                  <c:v>6.0663528854872546E-12</c:v>
                </c:pt>
                <c:pt idx="6">
                  <c:v>6.0663528854872546E-11</c:v>
                </c:pt>
                <c:pt idx="7">
                  <c:v>6.0663528854872546E-10</c:v>
                </c:pt>
                <c:pt idx="8">
                  <c:v>6.0663528854872546E-9</c:v>
                </c:pt>
                <c:pt idx="9">
                  <c:v>6.0663528854872543E-8</c:v>
                </c:pt>
                <c:pt idx="10">
                  <c:v>6.0663528854872556E-7</c:v>
                </c:pt>
                <c:pt idx="11">
                  <c:v>6.066352885487255E-6</c:v>
                </c:pt>
                <c:pt idx="12">
                  <c:v>6.0663528854872545E-5</c:v>
                </c:pt>
                <c:pt idx="13">
                  <c:v>6.066352885487255E-4</c:v>
                </c:pt>
                <c:pt idx="14">
                  <c:v>6.0663528854872553E-3</c:v>
                </c:pt>
                <c:pt idx="15">
                  <c:v>6.0663528854872549E-2</c:v>
                </c:pt>
                <c:pt idx="16">
                  <c:v>0.6066352885487255</c:v>
                </c:pt>
                <c:pt idx="17">
                  <c:v>6.0663528854872544</c:v>
                </c:pt>
                <c:pt idx="18">
                  <c:v>60.663528854872546</c:v>
                </c:pt>
                <c:pt idx="19">
                  <c:v>606.6352885487255</c:v>
                </c:pt>
                <c:pt idx="20">
                  <c:v>6066.3528854872548</c:v>
                </c:pt>
                <c:pt idx="21">
                  <c:v>60663.528854872544</c:v>
                </c:pt>
                <c:pt idx="22">
                  <c:v>606635.28854872542</c:v>
                </c:pt>
                <c:pt idx="23">
                  <c:v>6066352.8854872547</c:v>
                </c:pt>
                <c:pt idx="24">
                  <c:v>60663528.854872547</c:v>
                </c:pt>
                <c:pt idx="25">
                  <c:v>606635288.54872549</c:v>
                </c:pt>
                <c:pt idx="26">
                  <c:v>6066352885.4872551</c:v>
                </c:pt>
                <c:pt idx="27">
                  <c:v>60663528854.872543</c:v>
                </c:pt>
                <c:pt idx="28">
                  <c:v>606635288548.72546</c:v>
                </c:pt>
                <c:pt idx="29">
                  <c:v>6066352885487.2549</c:v>
                </c:pt>
                <c:pt idx="30">
                  <c:v>60663528854872.547</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2.7369583181198103E-13</c:v>
                </c:pt>
                <c:pt idx="1">
                  <c:v>2.7369583181198101E-12</c:v>
                </c:pt>
                <c:pt idx="2">
                  <c:v>2.7369583181198101E-11</c:v>
                </c:pt>
                <c:pt idx="3">
                  <c:v>2.7369583181198099E-10</c:v>
                </c:pt>
                <c:pt idx="4">
                  <c:v>2.7369583181198098E-9</c:v>
                </c:pt>
                <c:pt idx="5">
                  <c:v>2.7369583181198101E-8</c:v>
                </c:pt>
                <c:pt idx="6">
                  <c:v>2.7369583181198102E-7</c:v>
                </c:pt>
                <c:pt idx="7">
                  <c:v>2.7369583181198103E-6</c:v>
                </c:pt>
                <c:pt idx="8">
                  <c:v>2.7369583181198101E-5</c:v>
                </c:pt>
                <c:pt idx="9">
                  <c:v>2.7369583181198102E-4</c:v>
                </c:pt>
                <c:pt idx="10">
                  <c:v>2.7369583181198103E-3</c:v>
                </c:pt>
                <c:pt idx="11">
                  <c:v>2.7369583181198101E-2</c:v>
                </c:pt>
                <c:pt idx="12">
                  <c:v>0.27369583181198104</c:v>
                </c:pt>
                <c:pt idx="13">
                  <c:v>2.7369583181198101</c:v>
                </c:pt>
                <c:pt idx="14">
                  <c:v>27.369583181198102</c:v>
                </c:pt>
                <c:pt idx="15">
                  <c:v>273.69583181198101</c:v>
                </c:pt>
                <c:pt idx="16">
                  <c:v>2736.95831811981</c:v>
                </c:pt>
                <c:pt idx="17">
                  <c:v>27369.583181198101</c:v>
                </c:pt>
                <c:pt idx="18">
                  <c:v>273695.83181198098</c:v>
                </c:pt>
                <c:pt idx="19">
                  <c:v>2736958.31811981</c:v>
                </c:pt>
                <c:pt idx="20">
                  <c:v>27369583.181198101</c:v>
                </c:pt>
                <c:pt idx="21">
                  <c:v>273695831.81198102</c:v>
                </c:pt>
                <c:pt idx="22">
                  <c:v>2736958318.1198101</c:v>
                </c:pt>
                <c:pt idx="23">
                  <c:v>27369583181.198101</c:v>
                </c:pt>
                <c:pt idx="24">
                  <c:v>273695831811.98102</c:v>
                </c:pt>
                <c:pt idx="25">
                  <c:v>2736958318119.8101</c:v>
                </c:pt>
                <c:pt idx="26">
                  <c:v>27369583181198.102</c:v>
                </c:pt>
                <c:pt idx="27">
                  <c:v>273695831811981</c:v>
                </c:pt>
                <c:pt idx="28">
                  <c:v>2736958318119810</c:v>
                </c:pt>
                <c:pt idx="29">
                  <c:v>2.73695831811981E+16</c:v>
                </c:pt>
                <c:pt idx="30">
                  <c:v>2.7369583181198102E+17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7.877515258002612E-11</c:v>
                </c:pt>
                <c:pt idx="1">
                  <c:v>7.8775152580026112E-10</c:v>
                </c:pt>
                <c:pt idx="2">
                  <c:v>7.8775152580026114E-9</c:v>
                </c:pt>
                <c:pt idx="3">
                  <c:v>7.8775152580026111E-8</c:v>
                </c:pt>
                <c:pt idx="4">
                  <c:v>7.8775152580026108E-7</c:v>
                </c:pt>
                <c:pt idx="5">
                  <c:v>7.8775152580026119E-6</c:v>
                </c:pt>
                <c:pt idx="6">
                  <c:v>7.8775152580026119E-5</c:v>
                </c:pt>
                <c:pt idx="7">
                  <c:v>7.8775152580026124E-4</c:v>
                </c:pt>
                <c:pt idx="8">
                  <c:v>7.8775152580026122E-3</c:v>
                </c:pt>
                <c:pt idx="9">
                  <c:v>7.8775152580026112E-2</c:v>
                </c:pt>
                <c:pt idx="10">
                  <c:v>0.7877515258002612</c:v>
                </c:pt>
                <c:pt idx="11">
                  <c:v>7.877515258002612</c:v>
                </c:pt>
                <c:pt idx="12">
                  <c:v>78.775152580026116</c:v>
                </c:pt>
                <c:pt idx="13">
                  <c:v>787.75152580026122</c:v>
                </c:pt>
                <c:pt idx="14">
                  <c:v>7877.5152580026124</c:v>
                </c:pt>
                <c:pt idx="15">
                  <c:v>78775.152580026115</c:v>
                </c:pt>
                <c:pt idx="16">
                  <c:v>787751.52580026118</c:v>
                </c:pt>
                <c:pt idx="17">
                  <c:v>7877515.2580026118</c:v>
                </c:pt>
                <c:pt idx="18">
                  <c:v>78775152.58002612</c:v>
                </c:pt>
                <c:pt idx="19">
                  <c:v>787751525.80026114</c:v>
                </c:pt>
                <c:pt idx="20">
                  <c:v>7877515258.0026121</c:v>
                </c:pt>
                <c:pt idx="21">
                  <c:v>78775152580.026123</c:v>
                </c:pt>
                <c:pt idx="22">
                  <c:v>787751525800.26123</c:v>
                </c:pt>
                <c:pt idx="23">
                  <c:v>7877515258002.6113</c:v>
                </c:pt>
                <c:pt idx="24">
                  <c:v>78775152580026.125</c:v>
                </c:pt>
                <c:pt idx="25">
                  <c:v>787751525800261.12</c:v>
                </c:pt>
                <c:pt idx="26">
                  <c:v>7877515258002612</c:v>
                </c:pt>
                <c:pt idx="27">
                  <c:v>7.8775152580026112E+16</c:v>
                </c:pt>
                <c:pt idx="28">
                  <c:v>7.8775152580026112E+17</c:v>
                </c:pt>
                <c:pt idx="29">
                  <c:v>7.8775152580026122E+18</c:v>
                </c:pt>
                <c:pt idx="30">
                  <c:v>7.8775152580026122E+19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14712"/>
        <c:axId val="591514320"/>
      </c:scatterChart>
      <c:valAx>
        <c:axId val="5915147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4320"/>
        <c:crosses val="autoZero"/>
        <c:crossBetween val="midCat"/>
      </c:valAx>
      <c:valAx>
        <c:axId val="591514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471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1.1294023394843902E-20</c:v>
                </c:pt>
                <c:pt idx="1">
                  <c:v>1.1294023394843901E-19</c:v>
                </c:pt>
                <c:pt idx="2">
                  <c:v>1.1294023394843902E-18</c:v>
                </c:pt>
                <c:pt idx="3">
                  <c:v>1.1294023394843902E-17</c:v>
                </c:pt>
                <c:pt idx="4">
                  <c:v>1.12940233948439E-16</c:v>
                </c:pt>
                <c:pt idx="5">
                  <c:v>1.1294023394843902E-15</c:v>
                </c:pt>
                <c:pt idx="6">
                  <c:v>1.1294023394843902E-14</c:v>
                </c:pt>
                <c:pt idx="7">
                  <c:v>1.1294023394843902E-13</c:v>
                </c:pt>
                <c:pt idx="8">
                  <c:v>1.1294023394843901E-12</c:v>
                </c:pt>
                <c:pt idx="9">
                  <c:v>1.12940233948439E-11</c:v>
                </c:pt>
                <c:pt idx="10">
                  <c:v>1.1294023394843902E-10</c:v>
                </c:pt>
                <c:pt idx="11">
                  <c:v>1.1294023394843901E-9</c:v>
                </c:pt>
                <c:pt idx="12">
                  <c:v>1.1294023394843901E-8</c:v>
                </c:pt>
                <c:pt idx="13">
                  <c:v>1.1294023394843902E-7</c:v>
                </c:pt>
                <c:pt idx="14">
                  <c:v>1.1294023394843902E-6</c:v>
                </c:pt>
                <c:pt idx="15">
                  <c:v>1.1294023394843902E-5</c:v>
                </c:pt>
                <c:pt idx="16">
                  <c:v>1.1294023394843902E-4</c:v>
                </c:pt>
                <c:pt idx="17">
                  <c:v>1.1294023394843901E-3</c:v>
                </c:pt>
                <c:pt idx="18">
                  <c:v>1.1294023394843901E-2</c:v>
                </c:pt>
                <c:pt idx="19">
                  <c:v>0.11294023394843901</c:v>
                </c:pt>
                <c:pt idx="20">
                  <c:v>1.1294023394843902</c:v>
                </c:pt>
                <c:pt idx="21">
                  <c:v>11.294023394843901</c:v>
                </c:pt>
                <c:pt idx="22">
                  <c:v>112.94023394843902</c:v>
                </c:pt>
                <c:pt idx="23">
                  <c:v>1129.40233948439</c:v>
                </c:pt>
                <c:pt idx="24">
                  <c:v>11294.023394843902</c:v>
                </c:pt>
                <c:pt idx="25">
                  <c:v>112940.23394843901</c:v>
                </c:pt>
                <c:pt idx="26">
                  <c:v>1129402.3394843901</c:v>
                </c:pt>
                <c:pt idx="27">
                  <c:v>11294023.394843901</c:v>
                </c:pt>
                <c:pt idx="28">
                  <c:v>112940233.94843902</c:v>
                </c:pt>
                <c:pt idx="29">
                  <c:v>1129402339.4843903</c:v>
                </c:pt>
                <c:pt idx="30">
                  <c:v>11294023394.843901</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5.3227840590692943E-19</c:v>
                </c:pt>
                <c:pt idx="1">
                  <c:v>5.3227840590692937E-18</c:v>
                </c:pt>
                <c:pt idx="2">
                  <c:v>5.3227840590692937E-17</c:v>
                </c:pt>
                <c:pt idx="3">
                  <c:v>5.3227840590692936E-16</c:v>
                </c:pt>
                <c:pt idx="4">
                  <c:v>5.3227840590692934E-15</c:v>
                </c:pt>
                <c:pt idx="5">
                  <c:v>5.3227840590692938E-14</c:v>
                </c:pt>
                <c:pt idx="6">
                  <c:v>5.3227840590692938E-13</c:v>
                </c:pt>
                <c:pt idx="7">
                  <c:v>5.3227840590692934E-12</c:v>
                </c:pt>
                <c:pt idx="8">
                  <c:v>5.3227840590692933E-11</c:v>
                </c:pt>
                <c:pt idx="9">
                  <c:v>5.3227840590692938E-10</c:v>
                </c:pt>
                <c:pt idx="10">
                  <c:v>5.322784059069294E-9</c:v>
                </c:pt>
                <c:pt idx="11">
                  <c:v>5.3227840590692938E-8</c:v>
                </c:pt>
                <c:pt idx="12">
                  <c:v>5.3227840590692938E-7</c:v>
                </c:pt>
                <c:pt idx="13">
                  <c:v>5.322784059069294E-6</c:v>
                </c:pt>
                <c:pt idx="14">
                  <c:v>5.3227840590692942E-5</c:v>
                </c:pt>
                <c:pt idx="15">
                  <c:v>5.3227840590692934E-4</c:v>
                </c:pt>
                <c:pt idx="16">
                  <c:v>5.3227840590692934E-3</c:v>
                </c:pt>
                <c:pt idx="17">
                  <c:v>5.3227840590692937E-2</c:v>
                </c:pt>
                <c:pt idx="18">
                  <c:v>0.53227840590692932</c:v>
                </c:pt>
                <c:pt idx="19">
                  <c:v>5.3227840590692939</c:v>
                </c:pt>
                <c:pt idx="20">
                  <c:v>53.227840590692935</c:v>
                </c:pt>
                <c:pt idx="21">
                  <c:v>532.27840590692938</c:v>
                </c:pt>
                <c:pt idx="22">
                  <c:v>5322.784059069294</c:v>
                </c:pt>
                <c:pt idx="23">
                  <c:v>53227.840590692933</c:v>
                </c:pt>
                <c:pt idx="24">
                  <c:v>532278.4059069294</c:v>
                </c:pt>
                <c:pt idx="25">
                  <c:v>5322784.0590692936</c:v>
                </c:pt>
                <c:pt idx="26">
                  <c:v>53227840.590692937</c:v>
                </c:pt>
                <c:pt idx="27">
                  <c:v>532278405.90692937</c:v>
                </c:pt>
                <c:pt idx="28">
                  <c:v>5322784059.069294</c:v>
                </c:pt>
                <c:pt idx="29">
                  <c:v>53227840590.69294</c:v>
                </c:pt>
                <c:pt idx="30">
                  <c:v>532278405906.92938</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6.5864822452494767E-18</c:v>
                </c:pt>
                <c:pt idx="1">
                  <c:v>6.5864822452494753E-17</c:v>
                </c:pt>
                <c:pt idx="2">
                  <c:v>6.5864822452494766E-16</c:v>
                </c:pt>
                <c:pt idx="3">
                  <c:v>6.5864822452494758E-15</c:v>
                </c:pt>
                <c:pt idx="4">
                  <c:v>6.5864822452494754E-14</c:v>
                </c:pt>
                <c:pt idx="5">
                  <c:v>6.5864822452494762E-13</c:v>
                </c:pt>
                <c:pt idx="6">
                  <c:v>6.586482245249476E-12</c:v>
                </c:pt>
                <c:pt idx="7">
                  <c:v>6.5864822452494766E-11</c:v>
                </c:pt>
                <c:pt idx="8">
                  <c:v>6.5864822452494754E-10</c:v>
                </c:pt>
                <c:pt idx="9">
                  <c:v>6.5864822452494754E-9</c:v>
                </c:pt>
                <c:pt idx="10">
                  <c:v>6.5864822452494759E-8</c:v>
                </c:pt>
                <c:pt idx="11">
                  <c:v>6.5864822452494766E-7</c:v>
                </c:pt>
                <c:pt idx="12">
                  <c:v>6.586482245249476E-6</c:v>
                </c:pt>
                <c:pt idx="13">
                  <c:v>6.5864822452494758E-5</c:v>
                </c:pt>
                <c:pt idx="14">
                  <c:v>6.5864822452494764E-4</c:v>
                </c:pt>
                <c:pt idx="15">
                  <c:v>6.5864822452494755E-3</c:v>
                </c:pt>
                <c:pt idx="16">
                  <c:v>6.5864822452494753E-2</c:v>
                </c:pt>
                <c:pt idx="17">
                  <c:v>0.65864822452494765</c:v>
                </c:pt>
                <c:pt idx="18">
                  <c:v>6.586482245249476</c:v>
                </c:pt>
                <c:pt idx="19">
                  <c:v>65.864822452494764</c:v>
                </c:pt>
                <c:pt idx="20">
                  <c:v>658.64822452494764</c:v>
                </c:pt>
                <c:pt idx="21">
                  <c:v>6586.4822452494755</c:v>
                </c:pt>
                <c:pt idx="22">
                  <c:v>65864.822452494758</c:v>
                </c:pt>
                <c:pt idx="23">
                  <c:v>658648.22452494758</c:v>
                </c:pt>
                <c:pt idx="24">
                  <c:v>6586482.2452494763</c:v>
                </c:pt>
                <c:pt idx="25">
                  <c:v>65864822.452494755</c:v>
                </c:pt>
                <c:pt idx="26">
                  <c:v>658648224.52494764</c:v>
                </c:pt>
                <c:pt idx="27">
                  <c:v>6586482245.2494755</c:v>
                </c:pt>
                <c:pt idx="28">
                  <c:v>65864822452.494759</c:v>
                </c:pt>
                <c:pt idx="29">
                  <c:v>658648224524.94763</c:v>
                </c:pt>
                <c:pt idx="30">
                  <c:v>6586482245249.4756</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6.0663528854872551E-17</c:v>
                </c:pt>
                <c:pt idx="1">
                  <c:v>6.0663528854872549E-16</c:v>
                </c:pt>
                <c:pt idx="2">
                  <c:v>6.0663528854872549E-15</c:v>
                </c:pt>
                <c:pt idx="3">
                  <c:v>6.0663528854872545E-14</c:v>
                </c:pt>
                <c:pt idx="4">
                  <c:v>6.066352885487254E-13</c:v>
                </c:pt>
                <c:pt idx="5">
                  <c:v>6.0663528854872546E-12</c:v>
                </c:pt>
                <c:pt idx="6">
                  <c:v>6.0663528854872546E-11</c:v>
                </c:pt>
                <c:pt idx="7">
                  <c:v>6.0663528854872546E-10</c:v>
                </c:pt>
                <c:pt idx="8">
                  <c:v>6.0663528854872546E-9</c:v>
                </c:pt>
                <c:pt idx="9">
                  <c:v>6.0663528854872543E-8</c:v>
                </c:pt>
                <c:pt idx="10">
                  <c:v>6.0663528854872556E-7</c:v>
                </c:pt>
                <c:pt idx="11">
                  <c:v>6.066352885487255E-6</c:v>
                </c:pt>
                <c:pt idx="12">
                  <c:v>6.0663528854872545E-5</c:v>
                </c:pt>
                <c:pt idx="13">
                  <c:v>6.066352885487255E-4</c:v>
                </c:pt>
                <c:pt idx="14">
                  <c:v>6.0663528854872553E-3</c:v>
                </c:pt>
                <c:pt idx="15">
                  <c:v>6.0663528854872549E-2</c:v>
                </c:pt>
                <c:pt idx="16">
                  <c:v>0.6066352885487255</c:v>
                </c:pt>
                <c:pt idx="17">
                  <c:v>6.0663528854872544</c:v>
                </c:pt>
                <c:pt idx="18">
                  <c:v>60.663528854872546</c:v>
                </c:pt>
                <c:pt idx="19">
                  <c:v>606.6352885487255</c:v>
                </c:pt>
                <c:pt idx="20">
                  <c:v>6066.3528854872548</c:v>
                </c:pt>
                <c:pt idx="21">
                  <c:v>60663.528854872544</c:v>
                </c:pt>
                <c:pt idx="22">
                  <c:v>606635.28854872542</c:v>
                </c:pt>
                <c:pt idx="23">
                  <c:v>6066352.8854872547</c:v>
                </c:pt>
                <c:pt idx="24">
                  <c:v>60663528.854872547</c:v>
                </c:pt>
                <c:pt idx="25">
                  <c:v>606635288.54872549</c:v>
                </c:pt>
                <c:pt idx="26">
                  <c:v>6066352885.4872551</c:v>
                </c:pt>
                <c:pt idx="27">
                  <c:v>60663528854.872543</c:v>
                </c:pt>
                <c:pt idx="28">
                  <c:v>606635288548.72546</c:v>
                </c:pt>
                <c:pt idx="29">
                  <c:v>6066352885487.2549</c:v>
                </c:pt>
                <c:pt idx="30">
                  <c:v>60663528854872.547</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2.7369583181198103E-13</c:v>
                </c:pt>
                <c:pt idx="1">
                  <c:v>2.7369583181198101E-12</c:v>
                </c:pt>
                <c:pt idx="2">
                  <c:v>2.7369583181198101E-11</c:v>
                </c:pt>
                <c:pt idx="3">
                  <c:v>2.7369583181198099E-10</c:v>
                </c:pt>
                <c:pt idx="4">
                  <c:v>2.7369583181198098E-9</c:v>
                </c:pt>
                <c:pt idx="5">
                  <c:v>2.7369583181198101E-8</c:v>
                </c:pt>
                <c:pt idx="6">
                  <c:v>2.7369583181198102E-7</c:v>
                </c:pt>
                <c:pt idx="7">
                  <c:v>2.7369583181198103E-6</c:v>
                </c:pt>
                <c:pt idx="8">
                  <c:v>2.7369583181198101E-5</c:v>
                </c:pt>
                <c:pt idx="9">
                  <c:v>2.7369583181198102E-4</c:v>
                </c:pt>
                <c:pt idx="10">
                  <c:v>2.7369583181198103E-3</c:v>
                </c:pt>
                <c:pt idx="11">
                  <c:v>2.7369583181198101E-2</c:v>
                </c:pt>
                <c:pt idx="12">
                  <c:v>0.27369583181198104</c:v>
                </c:pt>
                <c:pt idx="13">
                  <c:v>2.7369583181198101</c:v>
                </c:pt>
                <c:pt idx="14">
                  <c:v>27.369583181198102</c:v>
                </c:pt>
                <c:pt idx="15">
                  <c:v>273.69583181198101</c:v>
                </c:pt>
                <c:pt idx="16">
                  <c:v>2736.95831811981</c:v>
                </c:pt>
                <c:pt idx="17">
                  <c:v>27369.583181198101</c:v>
                </c:pt>
                <c:pt idx="18">
                  <c:v>273695.83181198098</c:v>
                </c:pt>
                <c:pt idx="19">
                  <c:v>2736958.31811981</c:v>
                </c:pt>
                <c:pt idx="20">
                  <c:v>27369583.181198101</c:v>
                </c:pt>
                <c:pt idx="21">
                  <c:v>273695831.81198102</c:v>
                </c:pt>
                <c:pt idx="22">
                  <c:v>2736958318.1198101</c:v>
                </c:pt>
                <c:pt idx="23">
                  <c:v>27369583181.198101</c:v>
                </c:pt>
                <c:pt idx="24">
                  <c:v>273695831811.98102</c:v>
                </c:pt>
                <c:pt idx="25">
                  <c:v>2736958318119.8101</c:v>
                </c:pt>
                <c:pt idx="26">
                  <c:v>27369583181198.102</c:v>
                </c:pt>
                <c:pt idx="27">
                  <c:v>273695831811981</c:v>
                </c:pt>
                <c:pt idx="28">
                  <c:v>2736958318119810</c:v>
                </c:pt>
                <c:pt idx="29">
                  <c:v>2.73695831811981E+16</c:v>
                </c:pt>
                <c:pt idx="30">
                  <c:v>2.7369583181198102E+17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7.877515258002612E-11</c:v>
                </c:pt>
                <c:pt idx="1">
                  <c:v>7.8775152580026112E-10</c:v>
                </c:pt>
                <c:pt idx="2">
                  <c:v>7.8775152580026114E-9</c:v>
                </c:pt>
                <c:pt idx="3">
                  <c:v>7.8775152580026111E-8</c:v>
                </c:pt>
                <c:pt idx="4">
                  <c:v>7.8775152580026108E-7</c:v>
                </c:pt>
                <c:pt idx="5">
                  <c:v>7.8775152580026119E-6</c:v>
                </c:pt>
                <c:pt idx="6">
                  <c:v>7.8775152580026119E-5</c:v>
                </c:pt>
                <c:pt idx="7">
                  <c:v>7.8775152580026124E-4</c:v>
                </c:pt>
                <c:pt idx="8">
                  <c:v>7.8775152580026122E-3</c:v>
                </c:pt>
                <c:pt idx="9">
                  <c:v>7.8775152580026112E-2</c:v>
                </c:pt>
                <c:pt idx="10">
                  <c:v>0.7877515258002612</c:v>
                </c:pt>
                <c:pt idx="11">
                  <c:v>7.877515258002612</c:v>
                </c:pt>
                <c:pt idx="12">
                  <c:v>78.775152580026116</c:v>
                </c:pt>
                <c:pt idx="13">
                  <c:v>787.75152580026122</c:v>
                </c:pt>
                <c:pt idx="14">
                  <c:v>7877.5152580026124</c:v>
                </c:pt>
                <c:pt idx="15">
                  <c:v>78775.152580026115</c:v>
                </c:pt>
                <c:pt idx="16">
                  <c:v>787751.52580026118</c:v>
                </c:pt>
                <c:pt idx="17">
                  <c:v>7877515.2580026118</c:v>
                </c:pt>
                <c:pt idx="18">
                  <c:v>78775152.58002612</c:v>
                </c:pt>
                <c:pt idx="19">
                  <c:v>787751525.80026114</c:v>
                </c:pt>
                <c:pt idx="20">
                  <c:v>7877515258.0026121</c:v>
                </c:pt>
                <c:pt idx="21">
                  <c:v>78775152580.026123</c:v>
                </c:pt>
                <c:pt idx="22">
                  <c:v>787751525800.26123</c:v>
                </c:pt>
                <c:pt idx="23">
                  <c:v>7877515258002.6113</c:v>
                </c:pt>
                <c:pt idx="24">
                  <c:v>78775152580026.125</c:v>
                </c:pt>
                <c:pt idx="25">
                  <c:v>787751525800261.12</c:v>
                </c:pt>
                <c:pt idx="26">
                  <c:v>7877515258002612</c:v>
                </c:pt>
                <c:pt idx="27">
                  <c:v>7.8775152580026112E+16</c:v>
                </c:pt>
                <c:pt idx="28">
                  <c:v>7.8775152580026112E+17</c:v>
                </c:pt>
                <c:pt idx="29">
                  <c:v>7.8775152580026122E+18</c:v>
                </c:pt>
                <c:pt idx="30">
                  <c:v>7.8775152580026122E+19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91515496"/>
        <c:axId val="591516280"/>
      </c:scatterChart>
      <c:valAx>
        <c:axId val="5915154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6280"/>
        <c:crosses val="autoZero"/>
        <c:crossBetween val="midCat"/>
      </c:valAx>
      <c:valAx>
        <c:axId val="5915162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9151549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-11.391236875275727</c:v>
                </c:pt>
                <c:pt idx="1">
                  <c:v>-11.320121520307582</c:v>
                </c:pt>
                <c:pt idx="2">
                  <c:v>-11.248911580087052</c:v>
                </c:pt>
                <c:pt idx="3">
                  <c:v>-11.177512469361755</c:v>
                </c:pt>
                <c:pt idx="4">
                  <c:v>-11.105829602879304</c:v>
                </c:pt>
                <c:pt idx="5">
                  <c:v>-11.033768395387316</c:v>
                </c:pt>
                <c:pt idx="6">
                  <c:v>-10.961234261633404</c:v>
                </c:pt>
                <c:pt idx="7">
                  <c:v>-10.888132616365189</c:v>
                </c:pt>
                <c:pt idx="8">
                  <c:v>-10.814368874330281</c:v>
                </c:pt>
                <c:pt idx="9">
                  <c:v>-10.7398484502763</c:v>
                </c:pt>
                <c:pt idx="10">
                  <c:v>-10.664476758950858</c:v>
                </c:pt>
                <c:pt idx="11">
                  <c:v>-10.588159215101573</c:v>
                </c:pt>
                <c:pt idx="12">
                  <c:v>-10.510801233476061</c:v>
                </c:pt>
                <c:pt idx="13">
                  <c:v>-10.432308228821933</c:v>
                </c:pt>
                <c:pt idx="14">
                  <c:v>-10.352585615886811</c:v>
                </c:pt>
                <c:pt idx="15">
                  <c:v>-10.271538809418306</c:v>
                </c:pt>
                <c:pt idx="16">
                  <c:v>-10.189073224164037</c:v>
                </c:pt>
                <c:pt idx="17">
                  <c:v>-10.105094274871618</c:v>
                </c:pt>
                <c:pt idx="18">
                  <c:v>-10.019507376288665</c:v>
                </c:pt>
                <c:pt idx="19">
                  <c:v>-9.9322179431627937</c:v>
                </c:pt>
                <c:pt idx="20">
                  <c:v>-9.8431313902416164</c:v>
                </c:pt>
                <c:pt idx="21">
                  <c:v>-9.7521531322727544</c:v>
                </c:pt>
                <c:pt idx="22">
                  <c:v>-9.6591885840038199</c:v>
                </c:pt>
                <c:pt idx="23">
                  <c:v>-9.5641431601824287</c:v>
                </c:pt>
                <c:pt idx="24">
                  <c:v>-9.4669222755561968</c:v>
                </c:pt>
                <c:pt idx="25">
                  <c:v>-9.3674313448727418</c:v>
                </c:pt>
                <c:pt idx="26">
                  <c:v>-9.2655757828796759</c:v>
                </c:pt>
                <c:pt idx="27">
                  <c:v>-9.161261004324615</c:v>
                </c:pt>
                <c:pt idx="28">
                  <c:v>-9.0543924239551785</c:v>
                </c:pt>
                <c:pt idx="29">
                  <c:v>-8.9448754565189788</c:v>
                </c:pt>
                <c:pt idx="30">
                  <c:v>-8.8326155167636315</c:v>
                </c:pt>
                <c:pt idx="31">
                  <c:v>-8.7175180194367545</c:v>
                </c:pt>
                <c:pt idx="32">
                  <c:v>-8.5994883792859618</c:v>
                </c:pt>
                <c:pt idx="33">
                  <c:v>-8.4784320110588691</c:v>
                </c:pt>
                <c:pt idx="34">
                  <c:v>-8.3542543295030907</c:v>
                </c:pt>
                <c:pt idx="35">
                  <c:v>-8.226860749366244</c:v>
                </c:pt>
                <c:pt idx="36">
                  <c:v>-8.096156685395945</c:v>
                </c:pt>
                <c:pt idx="37">
                  <c:v>-7.9620475523398104</c:v>
                </c:pt>
                <c:pt idx="38">
                  <c:v>-7.8244387649454508</c:v>
                </c:pt>
                <c:pt idx="39">
                  <c:v>-7.6832357379604872</c:v>
                </c:pt>
                <c:pt idx="40">
                  <c:v>-7.538343886132532</c:v>
                </c:pt>
                <c:pt idx="41">
                  <c:v>-7.4600533657460595</c:v>
                </c:pt>
                <c:pt idx="42">
                  <c:v>-7.3782012345053909</c:v>
                </c:pt>
                <c:pt idx="43">
                  <c:v>-7.2930092916517069</c:v>
                </c:pt>
                <c:pt idx="44">
                  <c:v>-7.204699336426188</c:v>
                </c:pt>
                <c:pt idx="45">
                  <c:v>-7.1134931680700122</c:v>
                </c:pt>
                <c:pt idx="46">
                  <c:v>-7.0196125858243619</c:v>
                </c:pt>
                <c:pt idx="47">
                  <c:v>-6.9232793889304141</c:v>
                </c:pt>
                <c:pt idx="48">
                  <c:v>-6.8247153766293476</c:v>
                </c:pt>
                <c:pt idx="49">
                  <c:v>-6.7241423481623457</c:v>
                </c:pt>
                <c:pt idx="50">
                  <c:v>-6.6217821027705881</c:v>
                </c:pt>
                <c:pt idx="51">
                  <c:v>-6.5178564396952492</c:v>
                </c:pt>
                <c:pt idx="52">
                  <c:v>-6.4125871581775158</c:v>
                </c:pt>
                <c:pt idx="53">
                  <c:v>-6.3061960574585623</c:v>
                </c:pt>
                <c:pt idx="54">
                  <c:v>-6.198904936779571</c:v>
                </c:pt>
                <c:pt idx="55">
                  <c:v>-6.0909355953817208</c:v>
                </c:pt>
                <c:pt idx="56">
                  <c:v>-5.9825098325061914</c:v>
                </c:pt>
                <c:pt idx="57">
                  <c:v>-5.8738494473941625</c:v>
                </c:pt>
                <c:pt idx="58">
                  <c:v>-5.7651762392868138</c:v>
                </c:pt>
                <c:pt idx="59">
                  <c:v>-5.6567120074253259</c:v>
                </c:pt>
                <c:pt idx="60">
                  <c:v>-5.5486785510508776</c:v>
                </c:pt>
                <c:pt idx="61">
                  <c:v>-5.4412976694046487</c:v>
                </c:pt>
                <c:pt idx="62">
                  <c:v>-5.3347911617278196</c:v>
                </c:pt>
                <c:pt idx="63">
                  <c:v>-5.2293808272615685</c:v>
                </c:pt>
                <c:pt idx="64">
                  <c:v>-5.1252884652470776</c:v>
                </c:pt>
                <c:pt idx="65">
                  <c:v>-5.0227358749255249</c:v>
                </c:pt>
                <c:pt idx="66">
                  <c:v>-4.9218932909241087</c:v>
                </c:pt>
                <c:pt idx="67">
                  <c:v>-4.8227246894141018</c:v>
                </c:pt>
                <c:pt idx="68">
                  <c:v>-4.7251424819527958</c:v>
                </c:pt>
                <c:pt idx="69">
                  <c:v>-4.6290590800974831</c:v>
                </c:pt>
                <c:pt idx="70">
                  <c:v>-4.5343868954054543</c:v>
                </c:pt>
                <c:pt idx="71">
                  <c:v>-4.4410383394340016</c:v>
                </c:pt>
                <c:pt idx="72">
                  <c:v>-4.3489258237404167</c:v>
                </c:pt>
                <c:pt idx="73">
                  <c:v>-4.2579617598819901</c:v>
                </c:pt>
                <c:pt idx="74">
                  <c:v>-4.1680585594160142</c:v>
                </c:pt>
                <c:pt idx="75">
                  <c:v>-4.0791286338997796</c:v>
                </c:pt>
                <c:pt idx="76">
                  <c:v>-3.9910843948905792</c:v>
                </c:pt>
                <c:pt idx="77">
                  <c:v>-3.9038382539457031</c:v>
                </c:pt>
                <c:pt idx="78">
                  <c:v>-3.8173026226224436</c:v>
                </c:pt>
                <c:pt idx="79">
                  <c:v>-3.7313899124780914</c:v>
                </c:pt>
                <c:pt idx="80">
                  <c:v>-3.6460125350699393</c:v>
                </c:pt>
                <c:pt idx="81">
                  <c:v>-3.5610829019552779</c:v>
                </c:pt>
                <c:pt idx="82">
                  <c:v>-3.4765134246913991</c:v>
                </c:pt>
                <c:pt idx="83">
                  <c:v>-3.3922165148355941</c:v>
                </c:pt>
                <c:pt idx="84">
                  <c:v>-3.3081045839451551</c:v>
                </c:pt>
                <c:pt idx="85">
                  <c:v>-3.2240900435773723</c:v>
                </c:pt>
                <c:pt idx="86">
                  <c:v>-3.1400853052895386</c:v>
                </c:pt>
                <c:pt idx="87">
                  <c:v>-3.0560027806389454</c:v>
                </c:pt>
                <c:pt idx="88">
                  <c:v>-2.9717548811828829</c:v>
                </c:pt>
                <c:pt idx="89">
                  <c:v>-2.8872540184786439</c:v>
                </c:pt>
                <c:pt idx="90">
                  <c:v>-2.80241260408352</c:v>
                </c:pt>
                <c:pt idx="91">
                  <c:v>-2.7171554801118334</c:v>
                </c:pt>
                <c:pt idx="92">
                  <c:v>-2.6314572109060377</c:v>
                </c:pt>
                <c:pt idx="93">
                  <c:v>-2.545304791365615</c:v>
                </c:pt>
                <c:pt idx="94">
                  <c:v>-2.4586852163900517</c:v>
                </c:pt>
                <c:pt idx="95">
                  <c:v>-2.3715854808788297</c:v>
                </c:pt>
                <c:pt idx="96">
                  <c:v>-2.2839925797314331</c:v>
                </c:pt>
                <c:pt idx="97">
                  <c:v>-2.1958935078473476</c:v>
                </c:pt>
                <c:pt idx="98">
                  <c:v>-2.1072752601260554</c:v>
                </c:pt>
                <c:pt idx="99">
                  <c:v>-2.0181248314670404</c:v>
                </c:pt>
                <c:pt idx="100">
                  <c:v>-1.9284292167697881</c:v>
                </c:pt>
                <c:pt idx="101">
                  <c:v>-1.8381754109337809</c:v>
                </c:pt>
                <c:pt idx="102">
                  <c:v>-1.7473504088585037</c:v>
                </c:pt>
                <c:pt idx="103">
                  <c:v>-1.6559412054434399</c:v>
                </c:pt>
                <c:pt idx="104">
                  <c:v>-1.563934795588074</c:v>
                </c:pt>
                <c:pt idx="105">
                  <c:v>-1.4713181741918897</c:v>
                </c:pt>
                <c:pt idx="106">
                  <c:v>-1.3780783361543705</c:v>
                </c:pt>
                <c:pt idx="107">
                  <c:v>-1.2842022763750012</c:v>
                </c:pt>
                <c:pt idx="108">
                  <c:v>-1.1896769897532649</c:v>
                </c:pt>
                <c:pt idx="109">
                  <c:v>-1.0944894711886464</c:v>
                </c:pt>
                <c:pt idx="110">
                  <c:v>-0.99862671558062899</c:v>
                </c:pt>
                <c:pt idx="111">
                  <c:v>-0.90207571782869689</c:v>
                </c:pt>
                <c:pt idx="112">
                  <c:v>-0.80482347283233413</c:v>
                </c:pt>
                <c:pt idx="113">
                  <c:v>-0.70685697549102444</c:v>
                </c:pt>
                <c:pt idx="114">
                  <c:v>-0.60816322070425211</c:v>
                </c:pt>
                <c:pt idx="115">
                  <c:v>-0.50872920337150085</c:v>
                </c:pt>
                <c:pt idx="116">
                  <c:v>-0.40854191839225468</c:v>
                </c:pt>
                <c:pt idx="117">
                  <c:v>-0.30758836066599754</c:v>
                </c:pt>
                <c:pt idx="118">
                  <c:v>-0.20585552509221341</c:v>
                </c:pt>
                <c:pt idx="119">
                  <c:v>-0.10333040657038624</c:v>
                </c:pt>
                <c:pt idx="120">
                  <c:v>1.3877787807814457E-17</c:v>
                </c:pt>
                <c:pt idx="121">
                  <c:v>0.1041477976427107</c:v>
                </c:pt>
                <c:pt idx="122">
                  <c:v>0.20912148107450879</c:v>
                </c:pt>
                <c:pt idx="123">
                  <c:v>0.31492864293540634</c:v>
                </c:pt>
                <c:pt idx="124">
                  <c:v>0.42157687586541559</c:v>
                </c:pt>
                <c:pt idx="125">
                  <c:v>0.52907377250454868</c:v>
                </c:pt>
                <c:pt idx="126">
                  <c:v>0.6374269254928181</c:v>
                </c:pt>
                <c:pt idx="127">
                  <c:v>0.74664392747023567</c:v>
                </c:pt>
                <c:pt idx="128">
                  <c:v>0.85673237107681377</c:v>
                </c:pt>
                <c:pt idx="129">
                  <c:v>0.96769984895256456</c:v>
                </c:pt>
                <c:pt idx="130">
                  <c:v>1.0795539537375003</c:v>
                </c:pt>
                <c:pt idx="131">
                  <c:v>1.1923022780716332</c:v>
                </c:pt>
                <c:pt idx="132">
                  <c:v>1.3059524145949752</c:v>
                </c:pt>
                <c:pt idx="133">
                  <c:v>1.4205119559475388</c:v>
                </c:pt>
                <c:pt idx="134">
                  <c:v>1.5359884947693361</c:v>
                </c:pt>
                <c:pt idx="135">
                  <c:v>1.6523896237003792</c:v>
                </c:pt>
                <c:pt idx="136">
                  <c:v>1.7697229353806805</c:v>
                </c:pt>
                <c:pt idx="137">
                  <c:v>1.8879960224502519</c:v>
                </c:pt>
                <c:pt idx="138">
                  <c:v>2.0072164775491057</c:v>
                </c:pt>
                <c:pt idx="139">
                  <c:v>2.1273918933172546</c:v>
                </c:pt>
                <c:pt idx="140">
                  <c:v>2.2485298623947099</c:v>
                </c:pt>
                <c:pt idx="141">
                  <c:v>2.3706379774214845</c:v>
                </c:pt>
                <c:pt idx="142">
                  <c:v>2.4937238310375904</c:v>
                </c:pt>
                <c:pt idx="143">
                  <c:v>2.6177950158830394</c:v>
                </c:pt>
                <c:pt idx="144">
                  <c:v>2.7428591245978446</c:v>
                </c:pt>
                <c:pt idx="145">
                  <c:v>2.8689237498220175</c:v>
                </c:pt>
                <c:pt idx="146">
                  <c:v>2.9959964841955702</c:v>
                </c:pt>
                <c:pt idx="147">
                  <c:v>3.1240849203585155</c:v>
                </c:pt>
                <c:pt idx="148">
                  <c:v>3.2531966509508652</c:v>
                </c:pt>
                <c:pt idx="149">
                  <c:v>3.3833392686126311</c:v>
                </c:pt>
                <c:pt idx="150">
                  <c:v>3.5145203659838264</c:v>
                </c:pt>
                <c:pt idx="151">
                  <c:v>3.6467475357044621</c:v>
                </c:pt>
                <c:pt idx="152">
                  <c:v>3.7800283704145516</c:v>
                </c:pt>
                <c:pt idx="153">
                  <c:v>3.9143704627541065</c:v>
                </c:pt>
                <c:pt idx="154">
                  <c:v>4.0497814053631389</c:v>
                </c:pt>
                <c:pt idx="155">
                  <c:v>4.1862687908816607</c:v>
                </c:pt>
                <c:pt idx="156">
                  <c:v>4.323840211949685</c:v>
                </c:pt>
                <c:pt idx="157">
                  <c:v>4.4625032612072237</c:v>
                </c:pt>
                <c:pt idx="158">
                  <c:v>4.6022655312942886</c:v>
                </c:pt>
                <c:pt idx="159">
                  <c:v>4.7431346148508924</c:v>
                </c:pt>
                <c:pt idx="160">
                  <c:v>4.885118104517046</c:v>
                </c:pt>
                <c:pt idx="161">
                  <c:v>5.028223592932763</c:v>
                </c:pt>
                <c:pt idx="162">
                  <c:v>5.1724586727380562</c:v>
                </c:pt>
                <c:pt idx="163">
                  <c:v>5.3178309365729364</c:v>
                </c:pt>
                <c:pt idx="164">
                  <c:v>5.4643479770774155</c:v>
                </c:pt>
                <c:pt idx="165">
                  <c:v>5.6120173868915071</c:v>
                </c:pt>
                <c:pt idx="166">
                  <c:v>5.7608399695868888</c:v>
                </c:pt>
                <c:pt idx="167">
                  <c:v>5.9107893724619052</c:v>
                </c:pt>
                <c:pt idx="168">
                  <c:v>6.0618324537465682</c:v>
                </c:pt>
                <c:pt idx="169">
                  <c:v>6.2139360716708865</c:v>
                </c:pt>
                <c:pt idx="170">
                  <c:v>6.3670670844648702</c:v>
                </c:pt>
                <c:pt idx="171">
                  <c:v>6.5211923503585334</c:v>
                </c:pt>
                <c:pt idx="172">
                  <c:v>6.6762787275818845</c:v>
                </c:pt>
                <c:pt idx="173">
                  <c:v>6.8322930743649355</c:v>
                </c:pt>
                <c:pt idx="174">
                  <c:v>6.9892022489376959</c:v>
                </c:pt>
                <c:pt idx="175">
                  <c:v>7.1469731095301769</c:v>
                </c:pt>
                <c:pt idx="176">
                  <c:v>7.3055725143723897</c:v>
                </c:pt>
                <c:pt idx="177">
                  <c:v>7.4649673216943437</c:v>
                </c:pt>
                <c:pt idx="178">
                  <c:v>7.625124389726051</c:v>
                </c:pt>
                <c:pt idx="179">
                  <c:v>7.7860105766975227</c:v>
                </c:pt>
                <c:pt idx="180">
                  <c:v>7.9475927408387683</c:v>
                </c:pt>
                <c:pt idx="181">
                  <c:v>8.109837740379799</c:v>
                </c:pt>
                <c:pt idx="182">
                  <c:v>8.2727124335506268</c:v>
                </c:pt>
                <c:pt idx="183">
                  <c:v>8.4361836785812585</c:v>
                </c:pt>
                <c:pt idx="184">
                  <c:v>8.6002183337017097</c:v>
                </c:pt>
                <c:pt idx="185">
                  <c:v>8.764783257141989</c:v>
                </c:pt>
                <c:pt idx="186">
                  <c:v>8.9298453071321049</c:v>
                </c:pt>
                <c:pt idx="187">
                  <c:v>9.095371341902073</c:v>
                </c:pt>
                <c:pt idx="188">
                  <c:v>9.2613282196819</c:v>
                </c:pt>
                <c:pt idx="189">
                  <c:v>9.4276827987015999</c:v>
                </c:pt>
                <c:pt idx="190">
                  <c:v>9.5944019371911793</c:v>
                </c:pt>
                <c:pt idx="191">
                  <c:v>9.7614524933806521</c:v>
                </c:pt>
                <c:pt idx="192">
                  <c:v>9.9288013255000287</c:v>
                </c:pt>
                <c:pt idx="193">
                  <c:v>10.096415291779321</c:v>
                </c:pt>
                <c:pt idx="194">
                  <c:v>10.264261250448534</c:v>
                </c:pt>
                <c:pt idx="195">
                  <c:v>10.432306059737686</c:v>
                </c:pt>
                <c:pt idx="196">
                  <c:v>10.600516577876782</c:v>
                </c:pt>
                <c:pt idx="197">
                  <c:v>10.768859663095837</c:v>
                </c:pt>
                <c:pt idx="198">
                  <c:v>10.937302173624859</c:v>
                </c:pt>
                <c:pt idx="199">
                  <c:v>11.105810967693859</c:v>
                </c:pt>
                <c:pt idx="200">
                  <c:v>11.274352903532849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-11.391236875275727</c:v>
                </c:pt>
                <c:pt idx="1">
                  <c:v>-7.538343886132532</c:v>
                </c:pt>
                <c:pt idx="2">
                  <c:v>-5.0227358749255249</c:v>
                </c:pt>
                <c:pt idx="3">
                  <c:v>-2.8024126040835196</c:v>
                </c:pt>
                <c:pt idx="4">
                  <c:v>0</c:v>
                </c:pt>
                <c:pt idx="5">
                  <c:v>5.6120173868915071</c:v>
                </c:pt>
                <c:pt idx="6">
                  <c:v>11.274352903532849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-11.360178245702953</c:v>
                </c:pt>
                <c:pt idx="1">
                  <c:v>-11.299692566195128</c:v>
                </c:pt>
                <c:pt idx="2">
                  <c:v>-11.238132242966136</c:v>
                </c:pt>
                <c:pt idx="3">
                  <c:v>-11.175298878168139</c:v>
                </c:pt>
                <c:pt idx="4">
                  <c:v>-11.111020336872251</c:v>
                </c:pt>
                <c:pt idx="5">
                  <c:v>-11.045149125558742</c:v>
                </c:pt>
                <c:pt idx="6">
                  <c:v>-10.97756083074696</c:v>
                </c:pt>
                <c:pt idx="7">
                  <c:v>-10.908152616448579</c:v>
                </c:pt>
                <c:pt idx="8">
                  <c:v>-10.836841779141517</c:v>
                </c:pt>
                <c:pt idx="9">
                  <c:v>-10.763564358974811</c:v>
                </c:pt>
                <c:pt idx="10">
                  <c:v>-10.688273805928258</c:v>
                </c:pt>
                <c:pt idx="11">
                  <c:v>-10.610939699663987</c:v>
                </c:pt>
                <c:pt idx="12">
                  <c:v>-10.531546521820372</c:v>
                </c:pt>
                <c:pt idx="13">
                  <c:v>-10.450092479511998</c:v>
                </c:pt>
                <c:pt idx="14">
                  <c:v>-10.366588378812789</c:v>
                </c:pt>
                <c:pt idx="15">
                  <c:v>-10.281056547012751</c:v>
                </c:pt>
                <c:pt idx="16">
                  <c:v>-10.193529802452009</c:v>
                </c:pt>
                <c:pt idx="17">
                  <c:v>-10.104050470749193</c:v>
                </c:pt>
                <c:pt idx="18">
                  <c:v>-10.012669446254643</c:v>
                </c:pt>
                <c:pt idx="19">
                  <c:v>-9.9194452975720111</c:v>
                </c:pt>
                <c:pt idx="20">
                  <c:v>-9.8244434160054741</c:v>
                </c:pt>
                <c:pt idx="21">
                  <c:v>-9.727735205802734</c:v>
                </c:pt>
                <c:pt idx="22">
                  <c:v>-9.6293973150776484</c:v>
                </c:pt>
                <c:pt idx="23">
                  <c:v>-9.5295109063094472</c:v>
                </c:pt>
                <c:pt idx="24">
                  <c:v>-9.4281609653288534</c:v>
                </c:pt>
                <c:pt idx="25">
                  <c:v>-9.3254356477148264</c:v>
                </c:pt>
                <c:pt idx="26">
                  <c:v>-9.2214256615389125</c:v>
                </c:pt>
                <c:pt idx="27">
                  <c:v>-9.1162236854074958</c:v>
                </c:pt>
                <c:pt idx="28">
                  <c:v>-9.0099238207656462</c:v>
                </c:pt>
                <c:pt idx="29">
                  <c:v>-8.9026210774394698</c:v>
                </c:pt>
                <c:pt idx="30">
                  <c:v>-8.7944108914073524</c:v>
                </c:pt>
                <c:pt idx="31">
                  <c:v>-8.6853886738036206</c:v>
                </c:pt>
                <c:pt idx="32">
                  <c:v>-8.5756493901716766</c:v>
                </c:pt>
                <c:pt idx="33">
                  <c:v>-8.4652871689967704</c:v>
                </c:pt>
                <c:pt idx="34">
                  <c:v>-8.3543949385621463</c:v>
                </c:pt>
                <c:pt idx="35">
                  <c:v>-8.2430640911853477</c:v>
                </c:pt>
                <c:pt idx="36">
                  <c:v>-8.1313841739050865</c:v>
                </c:pt>
                <c:pt idx="37">
                  <c:v>-8.0194426047021121</c:v>
                </c:pt>
                <c:pt idx="38">
                  <c:v>-7.9073244133511267</c:v>
                </c:pt>
                <c:pt idx="39">
                  <c:v>-7.7951120060138548</c:v>
                </c:pt>
                <c:pt idx="40">
                  <c:v>-7.6828849526969352</c:v>
                </c:pt>
                <c:pt idx="41">
                  <c:v>-7.570719796711443</c:v>
                </c:pt>
                <c:pt idx="42">
                  <c:v>-7.4586898852842998</c:v>
                </c:pt>
                <c:pt idx="43">
                  <c:v>-7.3468652204850979</c:v>
                </c:pt>
                <c:pt idx="44">
                  <c:v>-7.2353123296451791</c:v>
                </c:pt>
                <c:pt idx="45">
                  <c:v>-7.1240941544592093</c:v>
                </c:pt>
                <c:pt idx="46">
                  <c:v>-7.0132699579727182</c:v>
                </c:pt>
                <c:pt idx="47">
                  <c:v>-6.9028952486724666</c:v>
                </c:pt>
                <c:pt idx="48">
                  <c:v>-6.7930217209098105</c:v>
                </c:pt>
                <c:pt idx="49">
                  <c:v>-6.6836972109005597</c:v>
                </c:pt>
                <c:pt idx="50">
                  <c:v>-6.5749656675581321</c:v>
                </c:pt>
                <c:pt idx="51">
                  <c:v>-6.466867137430178</c:v>
                </c:pt>
                <c:pt idx="52">
                  <c:v>-6.3594377630221288</c:v>
                </c:pt>
                <c:pt idx="53">
                  <c:v>-6.2527097938044696</c:v>
                </c:pt>
                <c:pt idx="54">
                  <c:v>-6.1467116092138712</c:v>
                </c:pt>
                <c:pt idx="55">
                  <c:v>-6.0414677529716192</c:v>
                </c:pt>
                <c:pt idx="56">
                  <c:v>-5.9369989780561356</c:v>
                </c:pt>
                <c:pt idx="57">
                  <c:v>-5.8333223016796598</c:v>
                </c:pt>
                <c:pt idx="58">
                  <c:v>-5.7304510696325721</c:v>
                </c:pt>
                <c:pt idx="59">
                  <c:v>-5.6283950293720668</c:v>
                </c:pt>
                <c:pt idx="60">
                  <c:v>-5.5271604112452701</c:v>
                </c:pt>
                <c:pt idx="61">
                  <c:v>-5.4267500172502281</c:v>
                </c:pt>
                <c:pt idx="62">
                  <c:v>-5.3271633167514718</c:v>
                </c:pt>
                <c:pt idx="63">
                  <c:v>-5.2283965485802382</c:v>
                </c:pt>
                <c:pt idx="64">
                  <c:v>-5.1304428289627149</c:v>
                </c:pt>
                <c:pt idx="65">
                  <c:v>-5.0332922647330403</c:v>
                </c:pt>
                <c:pt idx="66">
                  <c:v>-4.9369320713010696</c:v>
                </c:pt>
                <c:pt idx="67">
                  <c:v>-4.8413466948583102</c:v>
                </c:pt>
                <c:pt idx="68">
                  <c:v>-4.7465179383186618</c:v>
                </c:pt>
                <c:pt idx="69">
                  <c:v>-4.6524250905040301</c:v>
                </c:pt>
                <c:pt idx="70">
                  <c:v>-4.5590450580981186</c:v>
                </c:pt>
                <c:pt idx="71">
                  <c:v>-4.4663524999050788</c:v>
                </c:pt>
                <c:pt idx="72">
                  <c:v>-4.3743199629630238</c:v>
                </c:pt>
                <c:pt idx="73">
                  <c:v>-4.2829180200756989</c:v>
                </c:pt>
                <c:pt idx="74">
                  <c:v>-4.1921154083389736</c:v>
                </c:pt>
                <c:pt idx="75">
                  <c:v>-4.1018791682521263</c:v>
                </c:pt>
                <c:pt idx="76">
                  <c:v>-4.0121747830172207</c:v>
                </c:pt>
                <c:pt idx="77">
                  <c:v>-3.9229663176431635</c:v>
                </c:pt>
                <c:pt idx="78">
                  <c:v>-3.8342165574844671</c:v>
                </c:pt>
                <c:pt idx="79">
                  <c:v>-3.7458871458578984</c:v>
                </c:pt>
                <c:pt idx="80">
                  <c:v>-3.6579387203937079</c:v>
                </c:pt>
                <c:pt idx="81">
                  <c:v>-3.5703310477912882</c:v>
                </c:pt>
                <c:pt idx="82">
                  <c:v>-3.4830231566625836</c:v>
                </c:pt>
                <c:pt idx="83">
                  <c:v>-3.395973468159764</c:v>
                </c:pt>
                <c:pt idx="84">
                  <c:v>-3.3091399240971344</c:v>
                </c:pt>
                <c:pt idx="85">
                  <c:v>-3.2224801122904614</c:v>
                </c:pt>
                <c:pt idx="86">
                  <c:v>-3.1359513888503017</c:v>
                </c:pt>
                <c:pt idx="87">
                  <c:v>-3.0495109971792047</c:v>
                </c:pt>
                <c:pt idx="88">
                  <c:v>-2.9631161834360089</c:v>
                </c:pt>
                <c:pt idx="89">
                  <c:v>-2.8767243082437584</c:v>
                </c:pt>
                <c:pt idx="90">
                  <c:v>-2.7902929544311097</c:v>
                </c:pt>
                <c:pt idx="91">
                  <c:v>-2.7037800306104076</c:v>
                </c:pt>
                <c:pt idx="92">
                  <c:v>-2.6171438704089574</c:v>
                </c:pt>
                <c:pt idx="93">
                  <c:v>-2.530343327183318</c:v>
                </c:pt>
                <c:pt idx="94">
                  <c:v>-2.4433378640598025</c:v>
                </c:pt>
                <c:pt idx="95">
                  <c:v>-2.3560876391576522</c:v>
                </c:pt>
                <c:pt idx="96">
                  <c:v>-2.2685535858647308</c:v>
                </c:pt>
                <c:pt idx="97">
                  <c:v>-2.180697488048855</c:v>
                </c:pt>
                <c:pt idx="98">
                  <c:v>-2.09248205010126</c:v>
                </c:pt>
                <c:pt idx="99">
                  <c:v>-2.0038709617219728</c:v>
                </c:pt>
                <c:pt idx="100">
                  <c:v>-1.9148289573702286</c:v>
                </c:pt>
                <c:pt idx="101">
                  <c:v>-1.82532187031638</c:v>
                </c:pt>
                <c:pt idx="102">
                  <c:v>-1.7353166812450582</c:v>
                </c:pt>
                <c:pt idx="103">
                  <c:v>-1.6447815613727106</c:v>
                </c:pt>
                <c:pt idx="104">
                  <c:v>-1.5536859100559195</c:v>
                </c:pt>
                <c:pt idx="105">
                  <c:v>-1.4620003868802698</c:v>
                </c:pt>
                <c:pt idx="106">
                  <c:v>-1.3696969382328341</c:v>
                </c:pt>
                <c:pt idx="107">
                  <c:v>-1.2767488183746838</c:v>
                </c:pt>
                <c:pt idx="108">
                  <c:v>-1.1831306050431651</c:v>
                </c:pt>
                <c:pt idx="109">
                  <c:v>-1.0888182096269783</c:v>
                </c:pt>
                <c:pt idx="110">
                  <c:v>-0.99378888197046245</c:v>
                </c:pt>
                <c:pt idx="111">
                  <c:v>-0.89802120987677958</c:v>
                </c:pt>
                <c:pt idx="112">
                  <c:v>-0.80149511339304569</c:v>
                </c:pt>
                <c:pt idx="113">
                  <c:v>-0.70419183397375795</c:v>
                </c:pt>
                <c:pt idx="114">
                  <c:v>-0.60609391863221462</c:v>
                </c:pt>
                <c:pt idx="115">
                  <c:v>-0.5071851992029337</c:v>
                </c:pt>
                <c:pt idx="116">
                  <c:v>-0.40745076685141418</c:v>
                </c:pt>
                <c:pt idx="117">
                  <c:v>-0.30687694198090371</c:v>
                </c:pt>
                <c:pt idx="118">
                  <c:v>-0.20545123969916135</c:v>
                </c:pt>
                <c:pt idx="119">
                  <c:v>-0.10316233102153549</c:v>
                </c:pt>
                <c:pt idx="120">
                  <c:v>0</c:v>
                </c:pt>
                <c:pt idx="121">
                  <c:v>0.104044903018884</c:v>
                </c:pt>
                <c:pt idx="122">
                  <c:v>0.20898051179078375</c:v>
                </c:pt>
                <c:pt idx="123">
                  <c:v>0.31481399799556747</c:v>
                </c:pt>
                <c:pt idx="124">
                  <c:v>0.42155162824148601</c:v>
                </c:pt>
                <c:pt idx="125">
                  <c:v>0.5291988239952905</c:v>
                </c:pt>
                <c:pt idx="126">
                  <c:v>0.6377602241686865</c:v>
                </c:pt>
                <c:pt idx="127">
                  <c:v>0.74723975007819943</c:v>
                </c:pt>
                <c:pt idx="128">
                  <c:v>0.85764067248219855</c:v>
                </c:pt>
                <c:pt idx="129">
                  <c:v>0.96896568038550368</c:v>
                </c:pt>
                <c:pt idx="130">
                  <c:v>1.0812169512886709</c:v>
                </c:pt>
                <c:pt idx="131">
                  <c:v>1.1943962225457243</c:v>
                </c:pt>
                <c:pt idx="132">
                  <c:v>1.3085048634807861</c:v>
                </c:pt>
                <c:pt idx="133">
                  <c:v>1.4235439479007106</c:v>
                </c:pt>
                <c:pt idx="134">
                  <c:v>1.5395143266275284</c:v>
                </c:pt>
                <c:pt idx="135">
                  <c:v>1.6564166996611589</c:v>
                </c:pt>
                <c:pt idx="136">
                  <c:v>1.7742516875695291</c:v>
                </c:pt>
                <c:pt idx="137">
                  <c:v>1.893019901689923</c:v>
                </c:pt>
                <c:pt idx="138">
                  <c:v>2.0127220127120369</c:v>
                </c:pt>
                <c:pt idx="139">
                  <c:v>2.1333588171999165</c:v>
                </c:pt>
                <c:pt idx="140">
                  <c:v>2.2549313015965944</c:v>
                </c:pt>
                <c:pt idx="141">
                  <c:v>2.3774407032419607</c:v>
                </c:pt>
                <c:pt idx="142">
                  <c:v>2.5008885679210278</c:v>
                </c:pt>
                <c:pt idx="143">
                  <c:v>2.6252768034464617</c:v>
                </c:pt>
                <c:pt idx="144">
                  <c:v>2.7506077287659068</c:v>
                </c:pt>
                <c:pt idx="145">
                  <c:v>2.8768841180713181</c:v>
                </c:pt>
                <c:pt idx="146">
                  <c:v>3.0041092393741571</c:v>
                </c:pt>
                <c:pt idx="147">
                  <c:v>3.1322868869970399</c:v>
                </c:pt>
                <c:pt idx="148">
                  <c:v>3.2614214074190335</c:v>
                </c:pt>
                <c:pt idx="149">
                  <c:v>3.3915177178985232</c:v>
                </c:pt>
                <c:pt idx="150">
                  <c:v>3.5225813172842195</c:v>
                </c:pt>
                <c:pt idx="151">
                  <c:v>3.6546182884115432</c:v>
                </c:pt>
                <c:pt idx="152">
                  <c:v>3.78763529146834</c:v>
                </c:pt>
                <c:pt idx="153">
                  <c:v>3.9216395477004884</c:v>
                </c:pt>
                <c:pt idx="154">
                  <c:v>4.0566388128146986</c:v>
                </c:pt>
                <c:pt idx="155">
                  <c:v>4.1926413394224422</c:v>
                </c:pt>
                <c:pt idx="156">
                  <c:v>4.3296558278556114</c:v>
                </c:pt>
                <c:pt idx="157">
                  <c:v>4.4676913646712366</c:v>
                </c:pt>
                <c:pt idx="158">
                  <c:v>4.6067573481492055</c:v>
                </c:pt>
                <c:pt idx="159">
                  <c:v>4.7468634000736261</c:v>
                </c:pt>
                <c:pt idx="160">
                  <c:v>4.8880192630751544</c:v>
                </c:pt>
                <c:pt idx="161">
                  <c:v>5.0302346827982873</c:v>
                </c:pt>
                <c:pt idx="162">
                  <c:v>5.1735192741442519</c:v>
                </c:pt>
                <c:pt idx="163">
                  <c:v>5.3178823708268697</c:v>
                </c:pt>
                <c:pt idx="164">
                  <c:v>5.4633328574653701</c:v>
                </c:pt>
                <c:pt idx="165">
                  <c:v>5.6098789834248572</c:v>
                </c:pt>
                <c:pt idx="166">
                  <c:v>5.7575281576017998</c:v>
                </c:pt>
                <c:pt idx="167">
                  <c:v>5.9062867233385381</c:v>
                </c:pt>
                <c:pt idx="168">
                  <c:v>6.0561597126375704</c:v>
                </c:pt>
                <c:pt idx="169">
                  <c:v>6.2071505788329331</c:v>
                </c:pt>
                <c:pt idx="170">
                  <c:v>6.3592609068628088</c:v>
                </c:pt>
                <c:pt idx="171">
                  <c:v>6.5124901002740145</c:v>
                </c:pt>
                <c:pt idx="172">
                  <c:v>6.6668350440758148</c:v>
                </c:pt>
                <c:pt idx="173">
                  <c:v>6.8222897425471549</c:v>
                </c:pt>
                <c:pt idx="174">
                  <c:v>6.9788449310879885</c:v>
                </c:pt>
                <c:pt idx="175">
                  <c:v>7.1364876611922323</c:v>
                </c:pt>
                <c:pt idx="176">
                  <c:v>7.2952008576063347</c:v>
                </c:pt>
                <c:pt idx="177">
                  <c:v>7.4549628467243378</c:v>
                </c:pt>
                <c:pt idx="178">
                  <c:v>7.6157468552567771</c:v>
                </c:pt>
                <c:pt idx="179">
                  <c:v>7.7775204781976317</c:v>
                </c:pt>
                <c:pt idx="180">
                  <c:v>7.9402451151000504</c:v>
                </c:pt>
                <c:pt idx="181">
                  <c:v>8.1038753736583633</c:v>
                </c:pt>
                <c:pt idx="182">
                  <c:v>8.2683584395804957</c:v>
                </c:pt>
                <c:pt idx="183">
                  <c:v>8.4336334117216332</c:v>
                </c:pt>
                <c:pt idx="184">
                  <c:v>8.5996306014365764</c:v>
                </c:pt>
                <c:pt idx="185">
                  <c:v>8.7662707950950232</c:v>
                </c:pt>
                <c:pt idx="186">
                  <c:v>8.9334644786905226</c:v>
                </c:pt>
                <c:pt idx="187">
                  <c:v>9.1011110234607191</c:v>
                </c:pt>
                <c:pt idx="188">
                  <c:v>9.2690978314229842</c:v>
                </c:pt>
                <c:pt idx="189">
                  <c:v>9.4372994397163321</c:v>
                </c:pt>
                <c:pt idx="190">
                  <c:v>9.6055765826271706</c:v>
                </c:pt>
                <c:pt idx="191">
                  <c:v>9.7737752101630804</c:v>
                </c:pt>
                <c:pt idx="192">
                  <c:v>9.9417254620254543</c:v>
                </c:pt>
                <c:pt idx="193">
                  <c:v>10.109240595818671</c:v>
                </c:pt>
                <c:pt idx="194">
                  <c:v>10.276115868319911</c:v>
                </c:pt>
                <c:pt idx="195">
                  <c:v>10.442127368620573</c:v>
                </c:pt>
                <c:pt idx="196">
                  <c:v>10.60703080193692</c:v>
                </c:pt>
                <c:pt idx="197">
                  <c:v>10.770560222874062</c:v>
                </c:pt>
                <c:pt idx="198">
                  <c:v>10.932426716914378</c:v>
                </c:pt>
                <c:pt idx="199">
                  <c:v>11.092317028887845</c:v>
                </c:pt>
                <c:pt idx="200">
                  <c:v>11.249892137168601</c:v>
                </c:pt>
              </c:numCache>
            </c:numRef>
          </c:yVal>
          <c:smooth val="1"/>
        </c:ser>
        <c:dLbls>
          <c:showLegendKey val="0"/>
          <c:showVal val="0"/>
          <c:showCatName val="0"/>
          <c:showSerName val="0"/>
          <c:showPercent val="0"/>
          <c:showBubbleSize val="0"/>
        </c:dLbls>
        <c:axId val="688596008"/>
        <c:axId val="688596400"/>
      </c:scatterChart>
      <c:valAx>
        <c:axId val="68859600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596400"/>
        <c:crossesAt val="-1000"/>
        <c:crossBetween val="midCat"/>
      </c:valAx>
      <c:valAx>
        <c:axId val="68859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859600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0.10360217847478512</v>
      </c>
      <c r="D59" s="55">
        <v>1</v>
      </c>
    </row>
    <row r="60" spans="1:4" s="11" customFormat="1" x14ac:dyDescent="0.25">
      <c r="A60" s="54">
        <v>2</v>
      </c>
      <c r="B60" s="56">
        <f>'Shiftfunktion bestimmen'!N2</f>
        <v>4.4132834678861085E-4</v>
      </c>
      <c r="D60" s="55">
        <v>2</v>
      </c>
    </row>
    <row r="61" spans="1:4" s="11" customFormat="1" x14ac:dyDescent="0.25">
      <c r="A61" s="54">
        <v>3</v>
      </c>
      <c r="B61" s="56">
        <f>'Shiftfunktion bestimmen'!N3</f>
        <v>1.4381105702136573E-6</v>
      </c>
      <c r="D61" s="55">
        <v>3</v>
      </c>
    </row>
    <row r="62" spans="1:4" s="11" customFormat="1" x14ac:dyDescent="0.25">
      <c r="A62" s="54">
        <v>4</v>
      </c>
      <c r="B62" s="56">
        <f>'Shiftfunktion bestimmen'!N4</f>
        <v>-4.2352875820273567E-8</v>
      </c>
      <c r="D62" s="55">
        <v>4</v>
      </c>
    </row>
    <row r="63" spans="1:4" s="11" customFormat="1" x14ac:dyDescent="0.25">
      <c r="A63" s="54">
        <v>5</v>
      </c>
      <c r="B63" s="56">
        <f>'Shiftfunktion bestimmen'!N5</f>
        <v>4.3490129647995195E-10</v>
      </c>
      <c r="D63" s="55">
        <v>5</v>
      </c>
    </row>
    <row r="64" spans="1:4" s="11" customFormat="1" x14ac:dyDescent="0.25">
      <c r="A64" s="54">
        <v>6</v>
      </c>
      <c r="B64" s="56">
        <f>'Shiftfunktion bestimmen'!N6</f>
        <v>4.7617891309072461E-12</v>
      </c>
      <c r="D64" s="55">
        <v>6</v>
      </c>
    </row>
    <row r="65" spans="1:5" s="11" customFormat="1" x14ac:dyDescent="0.25">
      <c r="A65" s="54">
        <v>7</v>
      </c>
      <c r="B65" s="56">
        <f>'Shiftfunktion bestimmen'!N7</f>
        <v>-4.6881814637419724E-14</v>
      </c>
      <c r="D65" s="55">
        <v>7</v>
      </c>
    </row>
    <row r="66" spans="1:5" x14ac:dyDescent="0.25">
      <c r="A66" s="54">
        <v>8</v>
      </c>
      <c r="B66" s="56">
        <f>'Shiftfunktion bestimmen'!N8</f>
        <v>-3.3050685140217555E-16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9.3253857033892412E-2</v>
      </c>
      <c r="D74" s="51">
        <v>1</v>
      </c>
      <c r="E74" s="56">
        <f>'Mastercurve bestimmen'!A18</f>
        <v>1.0000000000000001E-20</v>
      </c>
    </row>
    <row r="75" spans="1:5" x14ac:dyDescent="0.25">
      <c r="A75" s="50">
        <f>A74+1</f>
        <v>2</v>
      </c>
      <c r="B75" s="56">
        <f>'Mastercurve bestimmen'!C19</f>
        <v>4.3985893665827357E-2</v>
      </c>
      <c r="D75" s="51">
        <v>2</v>
      </c>
      <c r="E75" s="56">
        <f>'Mastercurve bestimmen'!A19</f>
        <v>3.9038946506297401E-14</v>
      </c>
    </row>
    <row r="76" spans="1:5" x14ac:dyDescent="0.25">
      <c r="A76" s="50">
        <f t="shared" ref="A76:A104" si="0">A75+1</f>
        <v>3</v>
      </c>
      <c r="B76" s="56">
        <f>'Mastercurve bestimmen'!C20</f>
        <v>1.7074912501455927E-2</v>
      </c>
      <c r="D76" s="51">
        <v>3</v>
      </c>
      <c r="E76" s="56">
        <f>'Mastercurve bestimmen'!A20</f>
        <v>4.3276437088188502E-13</v>
      </c>
    </row>
    <row r="77" spans="1:5" x14ac:dyDescent="0.25">
      <c r="A77" s="50">
        <f t="shared" si="0"/>
        <v>4</v>
      </c>
      <c r="B77" s="56">
        <f>'Mastercurve bestimmen'!C21</f>
        <v>3.0713964920691224E-2</v>
      </c>
      <c r="D77" s="51">
        <v>4</v>
      </c>
      <c r="E77" s="56">
        <f>'Mastercurve bestimmen'!A21</f>
        <v>4.7973886968128502E-12</v>
      </c>
    </row>
    <row r="78" spans="1:5" x14ac:dyDescent="0.25">
      <c r="A78" s="50">
        <f t="shared" si="0"/>
        <v>5</v>
      </c>
      <c r="B78" s="56">
        <f>'Mastercurve bestimmen'!C22</f>
        <v>2.5231519844610806E-2</v>
      </c>
      <c r="D78" s="51">
        <v>5</v>
      </c>
      <c r="E78" s="56">
        <f>'Mastercurve bestimmen'!A22</f>
        <v>5.31812225239524E-11</v>
      </c>
    </row>
    <row r="79" spans="1:5" x14ac:dyDescent="0.25">
      <c r="A79" s="50">
        <f t="shared" si="0"/>
        <v>6</v>
      </c>
      <c r="B79" s="56">
        <f>'Mastercurve bestimmen'!C23</f>
        <v>2.5043165726982244E-2</v>
      </c>
      <c r="D79" s="51">
        <v>6</v>
      </c>
      <c r="E79" s="56">
        <f>'Mastercurve bestimmen'!A23</f>
        <v>5.8953789402578301E-10</v>
      </c>
    </row>
    <row r="80" spans="1:5" x14ac:dyDescent="0.25">
      <c r="A80" s="50">
        <f t="shared" si="0"/>
        <v>7</v>
      </c>
      <c r="B80" s="56">
        <f>'Mastercurve bestimmen'!C24</f>
        <v>3.1858465496793685E-2</v>
      </c>
      <c r="D80" s="51">
        <v>7</v>
      </c>
      <c r="E80" s="56">
        <f>'Mastercurve bestimmen'!A24</f>
        <v>6.5352940755699598E-9</v>
      </c>
    </row>
    <row r="81" spans="1:5" x14ac:dyDescent="0.25">
      <c r="A81" s="50">
        <f t="shared" si="0"/>
        <v>8</v>
      </c>
      <c r="B81" s="56">
        <f>'Mastercurve bestimmen'!C25</f>
        <v>3.8271853449478851E-2</v>
      </c>
      <c r="D81" s="51">
        <v>8</v>
      </c>
      <c r="E81" s="56">
        <f>'Mastercurve bestimmen'!A25</f>
        <v>7.2446689325643296E-8</v>
      </c>
    </row>
    <row r="82" spans="1:5" x14ac:dyDescent="0.25">
      <c r="A82" s="50">
        <f t="shared" si="0"/>
        <v>9</v>
      </c>
      <c r="B82" s="56">
        <f>'Mastercurve bestimmen'!C26</f>
        <v>3.6033705300750216E-2</v>
      </c>
      <c r="D82" s="51">
        <f>A82</f>
        <v>9</v>
      </c>
      <c r="E82" s="56">
        <f>'Mastercurve bestimmen'!A26</f>
        <v>8.03104303120212E-7</v>
      </c>
    </row>
    <row r="83" spans="1:5" x14ac:dyDescent="0.25">
      <c r="A83" s="50">
        <f t="shared" si="0"/>
        <v>10</v>
      </c>
      <c r="B83" s="56">
        <f>'Mastercurve bestimmen'!C27</f>
        <v>2.6918166434543336E-2</v>
      </c>
      <c r="C83" s="11"/>
      <c r="D83" s="51">
        <f t="shared" ref="D83:D104" si="1">A83</f>
        <v>10</v>
      </c>
      <c r="E83" s="56">
        <f>'Mastercurve bestimmen'!A27</f>
        <v>8.9027742702096099E-6</v>
      </c>
    </row>
    <row r="84" spans="1:5" x14ac:dyDescent="0.25">
      <c r="A84" s="50">
        <f t="shared" si="0"/>
        <v>11</v>
      </c>
      <c r="B84" s="56">
        <f>'Mastercurve bestimmen'!C28</f>
        <v>2.7316066250347045E-2</v>
      </c>
      <c r="C84" s="11"/>
      <c r="D84" s="51">
        <f t="shared" si="1"/>
        <v>11</v>
      </c>
      <c r="E84" s="56">
        <f>'Mastercurve bestimmen'!A28</f>
        <v>9.86912775817142E-5</v>
      </c>
    </row>
    <row r="85" spans="1:5" x14ac:dyDescent="0.25">
      <c r="A85" s="50">
        <f t="shared" si="0"/>
        <v>12</v>
      </c>
      <c r="B85" s="56">
        <f>'Mastercurve bestimmen'!C29</f>
        <v>2.9609291080511132E-2</v>
      </c>
      <c r="C85" s="11"/>
      <c r="D85" s="51">
        <f t="shared" si="1"/>
        <v>12</v>
      </c>
      <c r="E85" s="56">
        <f>'Mastercurve bestimmen'!A29</f>
        <v>1.0940374286813801E-3</v>
      </c>
    </row>
    <row r="86" spans="1:5" x14ac:dyDescent="0.25">
      <c r="A86" s="50">
        <f t="shared" si="0"/>
        <v>13</v>
      </c>
      <c r="B86" s="56">
        <f>'Mastercurve bestimmen'!C30</f>
        <v>2.5103127911926253E-2</v>
      </c>
      <c r="C86" s="11"/>
      <c r="D86" s="51">
        <f t="shared" si="1"/>
        <v>13</v>
      </c>
      <c r="E86" s="56">
        <f>'Mastercurve bestimmen'!A30</f>
        <v>1.2127899493091E-2</v>
      </c>
    </row>
    <row r="87" spans="1:5" x14ac:dyDescent="0.25">
      <c r="A87" s="50">
        <f t="shared" si="0"/>
        <v>14</v>
      </c>
      <c r="B87" s="56">
        <f>'Mastercurve bestimmen'!C31</f>
        <v>2.985290056573784E-2</v>
      </c>
      <c r="C87" s="11"/>
      <c r="D87" s="51">
        <f t="shared" si="1"/>
        <v>14</v>
      </c>
      <c r="E87" s="56">
        <f>'Mastercurve bestimmen'!A31</f>
        <v>0.13444324870292301</v>
      </c>
    </row>
    <row r="88" spans="1:5" x14ac:dyDescent="0.25">
      <c r="A88" s="50">
        <f t="shared" si="0"/>
        <v>15</v>
      </c>
      <c r="B88" s="56">
        <f>'Mastercurve bestimmen'!C32</f>
        <v>3.2229654464622864E-2</v>
      </c>
      <c r="C88" s="11"/>
      <c r="D88" s="51">
        <f t="shared" si="1"/>
        <v>15</v>
      </c>
      <c r="E88" s="56">
        <f>'Mastercurve bestimmen'!A32</f>
        <v>1.49036419143257</v>
      </c>
    </row>
    <row r="89" spans="1:5" x14ac:dyDescent="0.25">
      <c r="A89" s="50">
        <f t="shared" si="0"/>
        <v>16</v>
      </c>
      <c r="B89" s="56">
        <f>'Mastercurve bestimmen'!C33</f>
        <v>5.4487827383483636E-2</v>
      </c>
      <c r="C89" s="11"/>
      <c r="D89" s="51">
        <f t="shared" si="1"/>
        <v>16</v>
      </c>
      <c r="E89" s="56">
        <f>'Mastercurve bestimmen'!A33</f>
        <v>16.521360830937301</v>
      </c>
    </row>
    <row r="90" spans="1:5" x14ac:dyDescent="0.25">
      <c r="A90" s="50">
        <f t="shared" si="0"/>
        <v>17</v>
      </c>
      <c r="B90" s="56">
        <f>'Mastercurve bestimmen'!C34</f>
        <v>6.3046504540403295E-2</v>
      </c>
      <c r="C90" s="11"/>
      <c r="D90" s="51">
        <f t="shared" si="1"/>
        <v>17</v>
      </c>
      <c r="E90" s="56">
        <f>'Mastercurve bestimmen'!A34</f>
        <v>183.146753843879</v>
      </c>
    </row>
    <row r="91" spans="1:5" x14ac:dyDescent="0.25">
      <c r="A91" s="50">
        <f t="shared" si="0"/>
        <v>18</v>
      </c>
      <c r="B91" s="56">
        <f>'Mastercurve bestimmen'!C35</f>
        <v>6.2829439903481887E-2</v>
      </c>
      <c r="C91" s="11"/>
      <c r="D91" s="51">
        <f t="shared" si="1"/>
        <v>18</v>
      </c>
      <c r="E91" s="56">
        <f>'Mastercurve bestimmen'!A35</f>
        <v>2030.26456396616</v>
      </c>
    </row>
    <row r="92" spans="1:5" x14ac:dyDescent="0.25">
      <c r="A92" s="50">
        <f t="shared" si="0"/>
        <v>19</v>
      </c>
      <c r="B92" s="56">
        <f>'Mastercurve bestimmen'!C36</f>
        <v>5.5245188990655253E-2</v>
      </c>
      <c r="C92" s="11"/>
      <c r="D92" s="51">
        <f t="shared" si="1"/>
        <v>19</v>
      </c>
      <c r="E92" s="56">
        <f>'Mastercurve bestimmen'!A36</f>
        <v>22506.400540467101</v>
      </c>
    </row>
    <row r="93" spans="1:5" x14ac:dyDescent="0.25">
      <c r="A93" s="50">
        <f t="shared" si="0"/>
        <v>20</v>
      </c>
      <c r="B93" s="56">
        <f>'Mastercurve bestimmen'!C37</f>
        <v>6.6645884688751614E-2</v>
      </c>
      <c r="C93" s="11"/>
      <c r="D93" s="51">
        <f t="shared" si="1"/>
        <v>20</v>
      </c>
      <c r="E93" s="56">
        <f>'Mastercurve bestimmen'!A37</f>
        <v>249493.62476110301</v>
      </c>
    </row>
    <row r="94" spans="1:5" x14ac:dyDescent="0.25">
      <c r="A94" s="50">
        <f t="shared" si="0"/>
        <v>21</v>
      </c>
      <c r="B94" s="56">
        <f>'Mastercurve bestimmen'!C38</f>
        <v>2.5869055396656026E-2</v>
      </c>
      <c r="C94" s="11"/>
      <c r="D94" s="51">
        <f t="shared" si="1"/>
        <v>21</v>
      </c>
      <c r="E94" s="56">
        <f>'Mastercurve bestimmen'!A38</f>
        <v>2765749.6224023802</v>
      </c>
    </row>
    <row r="95" spans="1:5" x14ac:dyDescent="0.25">
      <c r="A95" s="50">
        <f t="shared" si="0"/>
        <v>22</v>
      </c>
      <c r="B95" s="56">
        <f>'Mastercurve bestimmen'!C39</f>
        <v>4.8591449840458205E-2</v>
      </c>
      <c r="C95" s="11"/>
      <c r="D95" s="51">
        <f t="shared" si="1"/>
        <v>22</v>
      </c>
      <c r="E95" s="56">
        <f>'Mastercurve bestimmen'!A39</f>
        <v>10000000</v>
      </c>
    </row>
    <row r="96" spans="1:5" x14ac:dyDescent="0.25">
      <c r="A96" s="50">
        <f t="shared" si="0"/>
        <v>23</v>
      </c>
      <c r="B96" s="56">
        <f>'Mastercurve bestimmen'!C40</f>
        <v>2.853497416803049E-2</v>
      </c>
      <c r="C96" s="11"/>
      <c r="D96" s="51">
        <f t="shared" si="1"/>
        <v>23</v>
      </c>
      <c r="E96" s="56">
        <f>'Mastercurve bestimmen'!A40</f>
        <v>100000000</v>
      </c>
    </row>
    <row r="97" spans="1:5" x14ac:dyDescent="0.25">
      <c r="A97" s="50">
        <f t="shared" si="0"/>
        <v>24</v>
      </c>
      <c r="B97" s="56">
        <f>'Mastercurve bestimmen'!C41</f>
        <v>1.8710063230340357E-2</v>
      </c>
      <c r="C97" s="11"/>
      <c r="D97" s="51">
        <f t="shared" si="1"/>
        <v>24</v>
      </c>
      <c r="E97" s="56">
        <f>'Mastercurve bestimmen'!A41</f>
        <v>1000000000</v>
      </c>
    </row>
    <row r="98" spans="1:5" x14ac:dyDescent="0.25">
      <c r="A98" s="50">
        <f t="shared" si="0"/>
        <v>25</v>
      </c>
      <c r="B98" s="56">
        <f>'Mastercurve bestimmen'!C42</f>
        <v>7.6798609611155137E-3</v>
      </c>
      <c r="C98" s="11"/>
      <c r="D98" s="51">
        <f t="shared" si="1"/>
        <v>25</v>
      </c>
      <c r="E98" s="56">
        <f>'Mastercurve bestimmen'!A42</f>
        <v>10000000000</v>
      </c>
    </row>
    <row r="99" spans="1:5" x14ac:dyDescent="0.25">
      <c r="A99" s="50">
        <f t="shared" si="0"/>
        <v>26</v>
      </c>
      <c r="B99" s="56">
        <f>'Mastercurve bestimmen'!C43</f>
        <v>4.1102249961922147E-3</v>
      </c>
      <c r="C99" s="11"/>
      <c r="D99" s="51">
        <f t="shared" si="1"/>
        <v>26</v>
      </c>
      <c r="E99" s="56">
        <f>'Mastercurve bestimmen'!A43</f>
        <v>100000000000</v>
      </c>
    </row>
    <row r="100" spans="1:5" x14ac:dyDescent="0.25">
      <c r="A100" s="50">
        <f t="shared" si="0"/>
        <v>27</v>
      </c>
      <c r="B100" s="56">
        <f>'Mastercurve bestimmen'!C44</f>
        <v>3.1066969837399792E-3</v>
      </c>
      <c r="C100" s="11"/>
      <c r="D100" s="51">
        <f t="shared" si="1"/>
        <v>27</v>
      </c>
      <c r="E100" s="56">
        <f>'Mastercurve bestimmen'!A44</f>
        <v>1000000000000</v>
      </c>
    </row>
    <row r="101" spans="1:5" x14ac:dyDescent="0.25">
      <c r="A101" s="50">
        <f t="shared" si="0"/>
        <v>28</v>
      </c>
      <c r="B101" s="56">
        <f>'Mastercurve bestimmen'!C45</f>
        <v>9.6514726179013565E-4</v>
      </c>
      <c r="C101" s="11"/>
      <c r="D101" s="51">
        <f t="shared" si="1"/>
        <v>28</v>
      </c>
      <c r="E101" s="56">
        <f>'Mastercurve bestimmen'!A45</f>
        <v>10000000000000</v>
      </c>
    </row>
    <row r="102" spans="1:5" x14ac:dyDescent="0.25">
      <c r="A102" s="50">
        <f t="shared" si="0"/>
        <v>29</v>
      </c>
      <c r="B102" s="56">
        <f>'Mastercurve bestimmen'!C46</f>
        <v>1.0056328677851901E-3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2.1809087047795134E-2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12">
        <f>STUTT!D8</f>
        <v>10768.300999999999</v>
      </c>
      <c r="D113" s="112"/>
    </row>
    <row r="114" spans="1:4" s="11" customFormat="1" x14ac:dyDescent="0.25">
      <c r="A114" s="61" t="str">
        <f>STUTT!B9</f>
        <v>MP,GXY,</v>
      </c>
      <c r="B114" s="52" t="str">
        <f>STUTT!C9</f>
        <v>MatID,</v>
      </c>
      <c r="C114" s="112">
        <f>STUTT!D9</f>
        <v>11203.666999999999</v>
      </c>
      <c r="D114" s="112"/>
    </row>
    <row r="115" spans="1:4" x14ac:dyDescent="0.25">
      <c r="A115" s="61" t="str">
        <f>STUTT!B10</f>
        <v>MP,GYZ,</v>
      </c>
      <c r="B115" s="52" t="str">
        <f>STUTT!C10</f>
        <v>MatID,</v>
      </c>
      <c r="C115" s="112">
        <f>STUTT!D10</f>
        <v>11203.666999999999</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D8" sqref="D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9827.0404934265953</v>
      </c>
      <c r="G16" s="26">
        <f>INDEX(Comparison!$AM$3:$AS$33,G14,$B$3)</f>
        <v>9554.6131285549327</v>
      </c>
      <c r="H16" s="26">
        <f>INDEX(Comparison!$AM$3:$AS$33,H14,$B$3)</f>
        <v>9307.5270109220583</v>
      </c>
      <c r="I16" s="26">
        <f>INDEX(Comparison!$AM$3:$AS$33,I14,$B$3)</f>
        <v>9052.7901664061646</v>
      </c>
      <c r="J16" s="26">
        <f>INDEX(Comparison!$AM$3:$AS$33,J14,$B$3)</f>
        <v>8765.8976127630649</v>
      </c>
      <c r="K16" s="26">
        <f>INDEX(Comparison!$AM$3:$AS$33,K14,$B$3)</f>
        <v>8497.5960737726527</v>
      </c>
      <c r="L16" s="26">
        <f>INDEX(Comparison!$AM$3:$AS$33,L14,$B$3)</f>
        <v>8229.2269119551856</v>
      </c>
      <c r="M16" s="26">
        <f>INDEX(Comparison!$AM$3:$AS$33,M14,$B$3)</f>
        <v>7906.9976228628248</v>
      </c>
      <c r="N16" s="26">
        <f>INDEX(Comparison!$AM$3:$AS$33,N14,$B$3)</f>
        <v>7534.9505992492377</v>
      </c>
      <c r="O16" s="26">
        <f>INDEX(Comparison!$AM$3:$AS$33,O14,$B$3)</f>
        <v>7166.8631213057552</v>
      </c>
      <c r="P16" s="26">
        <f>INDEX(Comparison!$AM$3:$AS$33,P14,$B$3)</f>
        <v>6867.7062482363972</v>
      </c>
      <c r="Q16" s="26">
        <f>INDEX(Comparison!$AM$3:$AS$33,Q14,$B$3)</f>
        <v>6578.6198965937929</v>
      </c>
      <c r="R16" s="26">
        <f>INDEX(Comparison!$AM$3:$AS$33,R14,$B$3)</f>
        <v>6298.4876021181899</v>
      </c>
      <c r="S16" s="26">
        <f>INDEX(Comparison!$AM$3:$AS$33,S14,$B$3)</f>
        <v>6004.311404381504</v>
      </c>
      <c r="T16" s="26">
        <f>INDEX(Comparison!$AM$3:$AS$33,T14,$B$3)</f>
        <v>5728.9563133722204</v>
      </c>
      <c r="U16" s="26">
        <f>INDEX(Comparison!$AM$3:$AS$33,U14,$B$3)</f>
        <v>5384.1034806229181</v>
      </c>
      <c r="V16" s="26">
        <f>INDEX(Comparison!$AM$3:$AS$33,V14,$B$3)</f>
        <v>4946.9073871376504</v>
      </c>
      <c r="W16" s="26">
        <f>INDEX(Comparison!$AM$3:$AS$33,W14,$B$3)</f>
        <v>4341.3949978794144</v>
      </c>
      <c r="X16" s="26">
        <f>INDEX(Comparison!$AM$3:$AS$33,X14,$B$3)</f>
        <v>3695.6706844027317</v>
      </c>
      <c r="Y16" s="26">
        <f>INDEX(Comparison!$AM$3:$AS$33,Y14,$B$3)</f>
        <v>3068.755950536985</v>
      </c>
      <c r="Z16" s="26">
        <f>INDEX(Comparison!$AM$3:$AS$33,Z14,$B$3)</f>
        <v>2467.1652727793789</v>
      </c>
      <c r="AA16" s="26">
        <f>INDEX(Comparison!$AM$3:$AS$33,AA14,$B$3)</f>
        <v>1870.2488465480699</v>
      </c>
      <c r="AB16" s="26">
        <f>INDEX(Comparison!$AM$3:$AS$33,AB14,$B$3)</f>
        <v>1361.6454434772222</v>
      </c>
      <c r="AC16" s="26">
        <f>INDEX(Comparison!$AM$3:$AS$33,AC14,$B$3)</f>
        <v>978.74851186182502</v>
      </c>
      <c r="AD16" s="26">
        <f>INDEX(Comparison!$AM$3:$AS$33,AD14,$B$3)</f>
        <v>750.04973579798059</v>
      </c>
      <c r="AE16" s="26">
        <f>INDEX(Comparison!$AM$3:$AS$33,AE14,$B$3)</f>
        <v>627.42168862186645</v>
      </c>
      <c r="AF16" s="26">
        <f>INDEX(Comparison!$AM$3:$AS$33,AF14,$B$3)</f>
        <v>570.28890979557161</v>
      </c>
      <c r="AG16" s="26">
        <f>INDEX(Comparison!$AM$3:$AS$33,AG14,$B$3)</f>
        <v>534.99091249150581</v>
      </c>
      <c r="AH16" s="26">
        <f>INDEX(Comparison!$AM$3:$AS$33,AH14,$B$3)</f>
        <v>516.06818092277001</v>
      </c>
      <c r="AI16" s="26">
        <f>INDEX(Comparison!$AM$3:$AS$33,AI14,$B$3)</f>
        <v>504.17354863560553</v>
      </c>
      <c r="AJ16" s="26">
        <f>INDEX(Comparison!$AM$3:$AS$33,AJ14,$B$3)</f>
        <v>480.31847035858652</v>
      </c>
    </row>
    <row r="17" spans="1:36" x14ac:dyDescent="0.25">
      <c r="A17" s="14" t="s">
        <v>20</v>
      </c>
      <c r="B17" s="105">
        <v>2.2437311597343135E-2</v>
      </c>
      <c r="C17" s="18">
        <f t="shared" ref="C17:C48" si="3">ABS(B17/$B$49)</f>
        <v>2.4866417091149846E-2</v>
      </c>
      <c r="D17" s="66"/>
      <c r="E17" s="65" t="s">
        <v>22</v>
      </c>
      <c r="F17" s="27">
        <f>($C$17+SUM(F18:F48))*$B$51</f>
        <v>9751.6376958333512</v>
      </c>
      <c r="G17" s="27">
        <f t="shared" ref="G17:M17" si="4">($C$17+SUM(G18:G48))*$B$51</f>
        <v>9652.1354481392882</v>
      </c>
      <c r="H17" s="27">
        <f t="shared" si="4"/>
        <v>9281.7011463925173</v>
      </c>
      <c r="I17" s="27">
        <f t="shared" si="4"/>
        <v>9057.0248919924998</v>
      </c>
      <c r="J17" s="27">
        <f t="shared" si="4"/>
        <v>8765.2959467283017</v>
      </c>
      <c r="K17" s="27">
        <f t="shared" si="4"/>
        <v>8497.6966383596682</v>
      </c>
      <c r="L17" s="27">
        <f t="shared" si="4"/>
        <v>8229.0911817239794</v>
      </c>
      <c r="M17" s="27">
        <f t="shared" si="4"/>
        <v>7907.4014599013335</v>
      </c>
      <c r="N17" s="27">
        <f t="shared" ref="N17" si="5">($C$17+SUM(N18:N48))*$B$51</f>
        <v>7533.9518694285025</v>
      </c>
      <c r="O17" s="27">
        <f t="shared" ref="O17" si="6">($C$17+SUM(O18:O48))*$B$51</f>
        <v>7168.908467700755</v>
      </c>
      <c r="P17" s="27">
        <f t="shared" ref="P17" si="7">($C$17+SUM(P18:P48))*$B$51</f>
        <v>6864.1914293457385</v>
      </c>
      <c r="Q17" s="27">
        <f t="shared" ref="Q17" si="8">($C$17+SUM(Q18:Q48))*$B$51</f>
        <v>6583.7192703448145</v>
      </c>
      <c r="R17" s="27">
        <f t="shared" ref="R17" si="9">($C$17+SUM(R18:R48))*$B$51</f>
        <v>6292.2113327818115</v>
      </c>
      <c r="S17" s="27">
        <f t="shared" ref="S17:T17" si="10">($C$17+SUM(S18:S48))*$B$51</f>
        <v>6010.8986616597458</v>
      </c>
      <c r="T17" s="27">
        <f t="shared" si="10"/>
        <v>5723.0356492604769</v>
      </c>
      <c r="U17" s="27">
        <f t="shared" ref="U17" si="11">($C$17+SUM(U18:U48))*$B$51</f>
        <v>5388.672484147105</v>
      </c>
      <c r="V17" s="27">
        <f t="shared" ref="V17" si="12">($C$17+SUM(V18:V48))*$B$51</f>
        <v>4943.8875397193287</v>
      </c>
      <c r="W17" s="27">
        <f t="shared" ref="W17" si="13">($C$17+SUM(W18:W48))*$B$51</f>
        <v>4343.1205155496737</v>
      </c>
      <c r="X17" s="27">
        <f t="shared" ref="X17" si="14">($C$17+SUM(X18:X48))*$B$51</f>
        <v>3694.8074590793403</v>
      </c>
      <c r="Y17" s="27">
        <f t="shared" ref="Y17" si="15">($C$17+SUM(Y18:Y48))*$B$51</f>
        <v>3069.114416763372</v>
      </c>
      <c r="Z17" s="27">
        <f t="shared" ref="Z17:AA17" si="16">($C$17+SUM(Z18:Z48))*$B$51</f>
        <v>2467.0547318019303</v>
      </c>
      <c r="AA17" s="27">
        <f t="shared" si="16"/>
        <v>1870.2687865323203</v>
      </c>
      <c r="AB17" s="27">
        <f t="shared" ref="AB17" si="17">($C$17+SUM(AB18:AB48))*$B$51</f>
        <v>1361.6517624987212</v>
      </c>
      <c r="AC17" s="27">
        <f t="shared" ref="AC17" si="18">($C$17+SUM(AC18:AC48))*$B$51</f>
        <v>978.74620462987207</v>
      </c>
      <c r="AD17" s="27">
        <f t="shared" ref="AD17" si="19">($C$17+SUM(AD18:AD48))*$B$51</f>
        <v>750.03869332204295</v>
      </c>
      <c r="AE17" s="27">
        <f t="shared" ref="AE17" si="20">($C$17+SUM(AE18:AE48))*$B$51</f>
        <v>627.42776259315235</v>
      </c>
      <c r="AF17" s="27">
        <f t="shared" ref="AF17" si="21">($C$17+SUM(AF18:AF48))*$B$51</f>
        <v>570.27769123279927</v>
      </c>
      <c r="AG17" s="27">
        <f t="shared" ref="AG17:AH17" si="22">($C$17+SUM(AG18:AG48))*$B$51</f>
        <v>535.02656614774151</v>
      </c>
      <c r="AH17" s="27">
        <f t="shared" si="22"/>
        <v>516.00448277889859</v>
      </c>
      <c r="AI17" s="27">
        <f t="shared" ref="AI17" si="23">($C$17+SUM(AI18:AI48))*$B$51</f>
        <v>504.26333569735584</v>
      </c>
      <c r="AJ17" s="27">
        <f t="shared" ref="AJ17" si="24">($C$17+SUM(AJ18:AJ48))*$B$51</f>
        <v>480.26774035530781</v>
      </c>
    </row>
    <row r="18" spans="1:36" x14ac:dyDescent="0.25">
      <c r="A18" s="3">
        <f>0.000000000000001/10^5</f>
        <v>1.0000000000000001E-20</v>
      </c>
      <c r="B18" s="106">
        <v>8.4144243227876295E-2</v>
      </c>
      <c r="C18" s="18">
        <f t="shared" si="3"/>
        <v>9.3253857033892412E-2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3.9689079389689179E-2</v>
      </c>
      <c r="C19" s="18">
        <f t="shared" si="3"/>
        <v>4.3985893665827357E-2</v>
      </c>
      <c r="D19" s="17"/>
      <c r="F19" s="3">
        <f t="shared" si="25"/>
        <v>4.2873483675043185E-2</v>
      </c>
      <c r="G19" s="3">
        <f t="shared" si="25"/>
        <v>3.4046067387733886E-2</v>
      </c>
      <c r="H19" s="3">
        <f t="shared" si="25"/>
        <v>3.3950702430439639E-3</v>
      </c>
      <c r="I19" s="3">
        <f t="shared" si="25"/>
        <v>3.3011621833873462E-13</v>
      </c>
      <c r="J19" s="3">
        <f t="shared" si="25"/>
        <v>2.4937208351346116E-113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1.5406929389473243E-2</v>
      </c>
      <c r="C20" s="18">
        <f t="shared" si="3"/>
        <v>1.7074912501455927E-2</v>
      </c>
      <c r="D20" s="17"/>
      <c r="F20" s="3">
        <f t="shared" si="25"/>
        <v>1.7035502602880812E-2</v>
      </c>
      <c r="G20" s="3">
        <f t="shared" si="25"/>
        <v>1.6684881640143957E-2</v>
      </c>
      <c r="H20" s="3">
        <f t="shared" si="25"/>
        <v>1.3552047652815471E-2</v>
      </c>
      <c r="I20" s="3">
        <f t="shared" si="25"/>
        <v>1.6936466956238307E-3</v>
      </c>
      <c r="J20" s="3">
        <f t="shared" si="25"/>
        <v>1.5739894227098217E-12</v>
      </c>
      <c r="K20" s="3">
        <f t="shared" si="25"/>
        <v>7.5647000738141467E-103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2.7713634770514861E-2</v>
      </c>
      <c r="C21" s="18">
        <f t="shared" si="3"/>
        <v>3.0713964920691224E-2</v>
      </c>
      <c r="D21" s="17"/>
      <c r="F21" s="3">
        <f t="shared" si="25"/>
        <v>3.0707563362266183E-2</v>
      </c>
      <c r="G21" s="3">
        <f t="shared" si="25"/>
        <v>3.0650009344101531E-2</v>
      </c>
      <c r="H21" s="3">
        <f t="shared" si="25"/>
        <v>3.0080368849533773E-2</v>
      </c>
      <c r="I21" s="3">
        <f t="shared" si="25"/>
        <v>2.4934956681461156E-2</v>
      </c>
      <c r="J21" s="3">
        <f t="shared" si="25"/>
        <v>3.8199987912997686E-3</v>
      </c>
      <c r="K21" s="3">
        <f t="shared" si="25"/>
        <v>2.7202530112483258E-11</v>
      </c>
      <c r="L21" s="3">
        <f t="shared" si="25"/>
        <v>9.1215793824773218E-93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2.2766748854605542E-2</v>
      </c>
      <c r="C22" s="18">
        <f t="shared" si="3"/>
        <v>2.5231519844610806E-2</v>
      </c>
      <c r="D22" s="17"/>
      <c r="F22" s="3">
        <f t="shared" si="25"/>
        <v>2.5231045404922763E-2</v>
      </c>
      <c r="G22" s="3">
        <f t="shared" si="25"/>
        <v>2.5226775849159933E-2</v>
      </c>
      <c r="H22" s="3">
        <f t="shared" si="25"/>
        <v>2.5184120008159838E-2</v>
      </c>
      <c r="I22" s="3">
        <f t="shared" si="25"/>
        <v>2.4761508504156746E-2</v>
      </c>
      <c r="J22" s="3">
        <f t="shared" si="25"/>
        <v>2.0906449634184972E-2</v>
      </c>
      <c r="K22" s="3">
        <f t="shared" si="25"/>
        <v>3.8486831824130876E-3</v>
      </c>
      <c r="L22" s="3">
        <f t="shared" si="25"/>
        <v>1.7204058799570762E-10</v>
      </c>
      <c r="M22" s="3">
        <f t="shared" si="25"/>
        <v>5.480478508563652E-84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2.2596794332714297E-2</v>
      </c>
      <c r="C23" s="18">
        <f t="shared" si="3"/>
        <v>2.5043165726982244E-2</v>
      </c>
      <c r="D23" s="17"/>
      <c r="F23" s="3">
        <f t="shared" si="25"/>
        <v>2.5043123247703573E-2</v>
      </c>
      <c r="G23" s="3">
        <f t="shared" si="25"/>
        <v>2.5042740937438003E-2</v>
      </c>
      <c r="H23" s="3">
        <f t="shared" si="25"/>
        <v>2.5038918155768402E-2</v>
      </c>
      <c r="I23" s="3">
        <f t="shared" si="25"/>
        <v>2.5000722419559057E-2</v>
      </c>
      <c r="J23" s="3">
        <f t="shared" si="25"/>
        <v>2.4621955059254866E-2</v>
      </c>
      <c r="K23" s="3">
        <f t="shared" si="25"/>
        <v>2.1135975415699542E-2</v>
      </c>
      <c r="L23" s="3">
        <f t="shared" si="25"/>
        <v>4.592190580952925E-3</v>
      </c>
      <c r="M23" s="3">
        <f t="shared" si="25"/>
        <v>1.0764552665155092E-9</v>
      </c>
      <c r="N23" s="3">
        <f t="shared" si="25"/>
        <v>5.3920861322863345E-76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2.8746333448222198E-2</v>
      </c>
      <c r="C24" s="18">
        <f t="shared" si="3"/>
        <v>3.1858465496793685E-2</v>
      </c>
      <c r="D24" s="17"/>
      <c r="F24" s="3">
        <f t="shared" si="25"/>
        <v>3.1858460621961321E-2</v>
      </c>
      <c r="G24" s="3">
        <f t="shared" si="25"/>
        <v>3.1858416748503628E-2</v>
      </c>
      <c r="H24" s="3">
        <f t="shared" si="25"/>
        <v>3.1857978017249718E-2</v>
      </c>
      <c r="I24" s="3">
        <f t="shared" si="25"/>
        <v>3.1853591037001E-2</v>
      </c>
      <c r="J24" s="3">
        <f t="shared" si="25"/>
        <v>3.1809754446621624E-2</v>
      </c>
      <c r="K24" s="3">
        <f t="shared" si="25"/>
        <v>3.1374692892839284E-2</v>
      </c>
      <c r="L24" s="3">
        <f t="shared" si="25"/>
        <v>2.7338277786485576E-2</v>
      </c>
      <c r="M24" s="3">
        <f t="shared" si="25"/>
        <v>6.8974385236628133E-3</v>
      </c>
      <c r="N24" s="3">
        <f t="shared" si="25"/>
        <v>7.2086626294921712E-9</v>
      </c>
      <c r="O24" s="3">
        <f t="shared" si="25"/>
        <v>1.120787618163766E-68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3.4533221979914146E-2</v>
      </c>
      <c r="C25" s="18">
        <f t="shared" si="3"/>
        <v>3.8271853449478851E-2</v>
      </c>
      <c r="D25" s="17"/>
      <c r="F25" s="3">
        <f t="shared" si="25"/>
        <v>3.8271852921202769E-2</v>
      </c>
      <c r="G25" s="3">
        <f t="shared" si="25"/>
        <v>3.8271848166718359E-2</v>
      </c>
      <c r="H25" s="3">
        <f t="shared" si="25"/>
        <v>3.8271800621906757E-2</v>
      </c>
      <c r="I25" s="3">
        <f t="shared" si="25"/>
        <v>3.8271325177039225E-2</v>
      </c>
      <c r="J25" s="3">
        <f t="shared" si="25"/>
        <v>3.8266571053202802E-2</v>
      </c>
      <c r="K25" s="3">
        <f t="shared" si="25"/>
        <v>3.8219062283795201E-2</v>
      </c>
      <c r="L25" s="3">
        <f t="shared" si="25"/>
        <v>3.7747206610546258E-2</v>
      </c>
      <c r="M25" s="3">
        <f t="shared" si="25"/>
        <v>3.3337476900893948E-2</v>
      </c>
      <c r="N25" s="3">
        <f t="shared" si="25"/>
        <v>9.6252456697656485E-3</v>
      </c>
      <c r="O25" s="3">
        <f t="shared" si="25"/>
        <v>3.8743850077508171E-8</v>
      </c>
      <c r="P25" s="3">
        <f t="shared" si="25"/>
        <v>4.3262568530987906E-62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3.2513709991919944E-2</v>
      </c>
      <c r="C26" s="18">
        <f t="shared" si="3"/>
        <v>3.6033705300750216E-2</v>
      </c>
      <c r="D26" s="17"/>
      <c r="F26" s="3">
        <f t="shared" si="25"/>
        <v>3.603370525588219E-2</v>
      </c>
      <c r="G26" s="3">
        <f t="shared" si="25"/>
        <v>3.6033704852069949E-2</v>
      </c>
      <c r="H26" s="3">
        <f t="shared" si="25"/>
        <v>3.6033700813947828E-2</v>
      </c>
      <c r="I26" s="3">
        <f t="shared" si="25"/>
        <v>3.6033660432751469E-2</v>
      </c>
      <c r="J26" s="3">
        <f t="shared" si="25"/>
        <v>3.6033256623276798E-2</v>
      </c>
      <c r="K26" s="3">
        <f t="shared" si="25"/>
        <v>3.6029218777411651E-2</v>
      </c>
      <c r="L26" s="3">
        <f t="shared" si="25"/>
        <v>3.5988865196599391E-2</v>
      </c>
      <c r="M26" s="3">
        <f t="shared" si="25"/>
        <v>3.5587806887875981E-2</v>
      </c>
      <c r="N26" s="3">
        <f t="shared" si="25"/>
        <v>3.1815001736441272E-2</v>
      </c>
      <c r="O26" s="3">
        <f t="shared" si="25"/>
        <v>1.037383202106359E-2</v>
      </c>
      <c r="P26" s="3">
        <f t="shared" si="25"/>
        <v>1.4093271301064702E-7</v>
      </c>
      <c r="Q26" s="3">
        <f t="shared" si="25"/>
        <v>3.018129165337835E-56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2.4288633368735296E-2</v>
      </c>
      <c r="C27" s="18">
        <f t="shared" si="3"/>
        <v>2.6918166434543336E-2</v>
      </c>
      <c r="D27" s="17"/>
      <c r="F27" s="3">
        <f t="shared" si="25"/>
        <v>2.6918166431519768E-2</v>
      </c>
      <c r="G27" s="3">
        <f t="shared" si="25"/>
        <v>2.6918166404307629E-2</v>
      </c>
      <c r="H27" s="3">
        <f t="shared" si="25"/>
        <v>2.691816613218628E-2</v>
      </c>
      <c r="I27" s="3">
        <f t="shared" si="25"/>
        <v>2.6918163410972917E-2</v>
      </c>
      <c r="J27" s="3">
        <f t="shared" si="25"/>
        <v>2.6918136198854435E-2</v>
      </c>
      <c r="K27" s="3">
        <f t="shared" si="25"/>
        <v>2.6917864079182639E-2</v>
      </c>
      <c r="L27" s="3">
        <f t="shared" si="25"/>
        <v>2.6915143033759616E-2</v>
      </c>
      <c r="M27" s="3">
        <f t="shared" si="25"/>
        <v>2.6887947703366031E-2</v>
      </c>
      <c r="N27" s="3">
        <f t="shared" si="25"/>
        <v>2.6617501141432773E-2</v>
      </c>
      <c r="O27" s="3">
        <f t="shared" si="25"/>
        <v>2.4058223066977157E-2</v>
      </c>
      <c r="P27" s="3">
        <f t="shared" si="25"/>
        <v>8.754396387504448E-3</v>
      </c>
      <c r="Q27" s="3">
        <f t="shared" si="25"/>
        <v>3.5633034122230341E-7</v>
      </c>
      <c r="R27" s="3">
        <f t="shared" si="25"/>
        <v>4.4475288197844307E-51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2.4647663868343973E-2</v>
      </c>
      <c r="C28" s="18">
        <f t="shared" si="3"/>
        <v>2.7316066250347045E-2</v>
      </c>
      <c r="D28" s="17"/>
      <c r="F28" s="3">
        <f t="shared" si="25"/>
        <v>2.7316066250070263E-2</v>
      </c>
      <c r="G28" s="3">
        <f t="shared" si="25"/>
        <v>2.7316066247579218E-2</v>
      </c>
      <c r="H28" s="3">
        <f t="shared" si="25"/>
        <v>2.7316066222668745E-2</v>
      </c>
      <c r="I28" s="3">
        <f t="shared" si="25"/>
        <v>2.7316065973564063E-2</v>
      </c>
      <c r="J28" s="3">
        <f t="shared" si="25"/>
        <v>2.7316063482517351E-2</v>
      </c>
      <c r="K28" s="3">
        <f t="shared" si="25"/>
        <v>2.7316038572062724E-2</v>
      </c>
      <c r="L28" s="3">
        <f t="shared" si="25"/>
        <v>2.7315789468765849E-2</v>
      </c>
      <c r="M28" s="3">
        <f t="shared" si="25"/>
        <v>2.73132985607344E-2</v>
      </c>
      <c r="N28" s="3">
        <f t="shared" si="25"/>
        <v>2.72884019699332E-2</v>
      </c>
      <c r="O28" s="3">
        <f t="shared" si="25"/>
        <v>2.7040680809352111E-2</v>
      </c>
      <c r="P28" s="3">
        <f t="shared" si="25"/>
        <v>2.4683844463690392E-2</v>
      </c>
      <c r="Q28" s="3">
        <f t="shared" si="25"/>
        <v>9.916641103908776E-3</v>
      </c>
      <c r="R28" s="3">
        <f t="shared" si="25"/>
        <v>1.0861318323908122E-6</v>
      </c>
      <c r="S28" s="3">
        <f t="shared" si="25"/>
        <v>2.6981246261591434E-46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2.6716872306718827E-2</v>
      </c>
      <c r="C29" s="18">
        <f t="shared" si="3"/>
        <v>2.9609291080511132E-2</v>
      </c>
      <c r="D29" s="17"/>
      <c r="F29" s="3">
        <f t="shared" si="25"/>
        <v>2.9609291080484067E-2</v>
      </c>
      <c r="G29" s="3">
        <f t="shared" si="25"/>
        <v>2.9609291080240491E-2</v>
      </c>
      <c r="H29" s="3">
        <f t="shared" si="25"/>
        <v>2.9609291077804707E-2</v>
      </c>
      <c r="I29" s="3">
        <f t="shared" si="25"/>
        <v>2.9609291053446892E-2</v>
      </c>
      <c r="J29" s="3">
        <f t="shared" si="25"/>
        <v>2.9609290809868738E-2</v>
      </c>
      <c r="K29" s="3">
        <f t="shared" si="25"/>
        <v>2.96092883740873E-2</v>
      </c>
      <c r="L29" s="3">
        <f t="shared" si="25"/>
        <v>2.9609264016283922E-2</v>
      </c>
      <c r="M29" s="3">
        <f t="shared" si="25"/>
        <v>2.9609020439352214E-2</v>
      </c>
      <c r="N29" s="3">
        <f t="shared" si="25"/>
        <v>2.9606584780238986E-2</v>
      </c>
      <c r="O29" s="3">
        <f t="shared" si="25"/>
        <v>2.9582239206135647E-2</v>
      </c>
      <c r="P29" s="3">
        <f t="shared" si="25"/>
        <v>2.9339881822028895E-2</v>
      </c>
      <c r="Q29" s="3">
        <f t="shared" si="25"/>
        <v>2.7022872820516682E-2</v>
      </c>
      <c r="R29" s="3">
        <f t="shared" si="25"/>
        <v>1.1870338072097706E-2</v>
      </c>
      <c r="S29" s="3">
        <f t="shared" si="25"/>
        <v>3.1752563649849532E-6</v>
      </c>
      <c r="T29" s="3">
        <f t="shared" si="25"/>
        <v>5.9557418865619512E-42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2.2650899040389496E-2</v>
      </c>
      <c r="C30" s="18">
        <f t="shared" si="3"/>
        <v>2.5103127911926253E-2</v>
      </c>
      <c r="D30" s="17"/>
      <c r="F30" s="3">
        <f t="shared" si="25"/>
        <v>2.5103127911924181E-2</v>
      </c>
      <c r="G30" s="3">
        <f t="shared" si="25"/>
        <v>2.5103127911905554E-2</v>
      </c>
      <c r="H30" s="3">
        <f t="shared" si="25"/>
        <v>2.5103127911719269E-2</v>
      </c>
      <c r="I30" s="3">
        <f t="shared" si="25"/>
        <v>2.5103127909856388E-2</v>
      </c>
      <c r="J30" s="3">
        <f t="shared" si="25"/>
        <v>2.5103127891227591E-2</v>
      </c>
      <c r="K30" s="3">
        <f t="shared" si="25"/>
        <v>2.5103127704939644E-2</v>
      </c>
      <c r="L30" s="3">
        <f t="shared" si="25"/>
        <v>2.5103125842060248E-2</v>
      </c>
      <c r="M30" s="3">
        <f t="shared" si="25"/>
        <v>2.5103107213273877E-2</v>
      </c>
      <c r="N30" s="3">
        <f t="shared" si="25"/>
        <v>2.510292092617053E-2</v>
      </c>
      <c r="O30" s="3">
        <f t="shared" si="25"/>
        <v>2.5101058131168121E-2</v>
      </c>
      <c r="P30" s="3">
        <f t="shared" si="25"/>
        <v>2.5082437782164149E-2</v>
      </c>
      <c r="Q30" s="3">
        <f t="shared" si="25"/>
        <v>2.4896992311232165E-2</v>
      </c>
      <c r="R30" s="3">
        <f t="shared" si="25"/>
        <v>2.3116298862922675E-2</v>
      </c>
      <c r="S30" s="3">
        <f t="shared" si="25"/>
        <v>1.1006074687111546E-2</v>
      </c>
      <c r="T30" s="3">
        <f t="shared" si="25"/>
        <v>6.5883096812531984E-6</v>
      </c>
      <c r="U30" s="3">
        <f t="shared" si="25"/>
        <v>3.8921493546120937E-38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2.6936684509983339E-2</v>
      </c>
      <c r="C31" s="18">
        <f t="shared" si="3"/>
        <v>2.985290056573784E-2</v>
      </c>
      <c r="D31" s="17"/>
      <c r="F31" s="3">
        <f t="shared" si="25"/>
        <v>2.9852900565737618E-2</v>
      </c>
      <c r="G31" s="3">
        <f t="shared" si="25"/>
        <v>2.985290056573562E-2</v>
      </c>
      <c r="H31" s="3">
        <f t="shared" si="25"/>
        <v>2.9852900565715636E-2</v>
      </c>
      <c r="I31" s="3">
        <f t="shared" si="25"/>
        <v>2.9852900565515792E-2</v>
      </c>
      <c r="J31" s="3">
        <f t="shared" si="25"/>
        <v>2.9852900563517356E-2</v>
      </c>
      <c r="K31" s="3">
        <f t="shared" si="25"/>
        <v>2.9852900543533008E-2</v>
      </c>
      <c r="L31" s="3">
        <f t="shared" si="25"/>
        <v>2.9852900343689495E-2</v>
      </c>
      <c r="M31" s="3">
        <f t="shared" si="25"/>
        <v>2.9852898345254494E-2</v>
      </c>
      <c r="N31" s="3">
        <f t="shared" si="25"/>
        <v>2.9852878360911824E-2</v>
      </c>
      <c r="O31" s="3">
        <f t="shared" si="25"/>
        <v>2.9852678518220915E-2</v>
      </c>
      <c r="P31" s="3">
        <f t="shared" si="25"/>
        <v>2.9850680164889187E-2</v>
      </c>
      <c r="Q31" s="3">
        <f t="shared" si="25"/>
        <v>2.9830703987487397E-2</v>
      </c>
      <c r="R31" s="3">
        <f t="shared" si="25"/>
        <v>2.963167598630229E-2</v>
      </c>
      <c r="S31" s="3">
        <f t="shared" si="25"/>
        <v>2.7712987875335677E-2</v>
      </c>
      <c r="T31" s="3">
        <f t="shared" si="25"/>
        <v>1.4189095374402142E-2</v>
      </c>
      <c r="U31" s="3">
        <f t="shared" si="25"/>
        <v>1.7565813575860997E-5</v>
      </c>
      <c r="V31" s="3">
        <f t="shared" si="26"/>
        <v>1.485264782480154E-34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2.9081262380772101E-2</v>
      </c>
      <c r="C32" s="18">
        <f t="shared" si="3"/>
        <v>3.2229654464622864E-2</v>
      </c>
      <c r="D32" s="17"/>
      <c r="F32" s="3">
        <f t="shared" si="25"/>
        <v>3.2229654464622844E-2</v>
      </c>
      <c r="G32" s="3">
        <f t="shared" si="25"/>
        <v>3.2229654464622649E-2</v>
      </c>
      <c r="H32" s="3">
        <f t="shared" si="25"/>
        <v>3.2229654464620706E-2</v>
      </c>
      <c r="I32" s="3">
        <f t="shared" si="25"/>
        <v>3.2229654464601236E-2</v>
      </c>
      <c r="J32" s="3">
        <f t="shared" si="25"/>
        <v>3.2229654464406614E-2</v>
      </c>
      <c r="K32" s="3">
        <f t="shared" si="25"/>
        <v>3.222965446246033E-2</v>
      </c>
      <c r="L32" s="3">
        <f t="shared" si="25"/>
        <v>3.222965444299751E-2</v>
      </c>
      <c r="M32" s="3">
        <f t="shared" si="25"/>
        <v>3.2229654248369322E-2</v>
      </c>
      <c r="N32" s="3">
        <f t="shared" si="25"/>
        <v>3.2229652302087457E-2</v>
      </c>
      <c r="O32" s="3">
        <f t="shared" si="25"/>
        <v>3.2229632839275289E-2</v>
      </c>
      <c r="P32" s="3">
        <f t="shared" si="25"/>
        <v>3.2229438211800077E-2</v>
      </c>
      <c r="Q32" s="3">
        <f t="shared" si="25"/>
        <v>3.2227492001688882E-2</v>
      </c>
      <c r="R32" s="3">
        <f t="shared" si="25"/>
        <v>3.2208036363228339E-2</v>
      </c>
      <c r="S32" s="3">
        <f t="shared" si="25"/>
        <v>3.2014124802106497E-2</v>
      </c>
      <c r="T32" s="3">
        <f t="shared" si="25"/>
        <v>3.0138073752665376E-2</v>
      </c>
      <c r="U32" s="3">
        <f t="shared" si="25"/>
        <v>1.6476086686958942E-2</v>
      </c>
      <c r="V32" s="3">
        <f t="shared" si="26"/>
        <v>3.9286183219982971E-5</v>
      </c>
      <c r="W32" s="3">
        <f t="shared" si="26"/>
        <v>2.3339821613539341E-31</v>
      </c>
      <c r="X32" s="3">
        <f t="shared" si="26"/>
        <v>1.2784227162769412E-293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4.9165119236280606E-2</v>
      </c>
      <c r="C33" s="18">
        <f t="shared" si="3"/>
        <v>5.4487827383483636E-2</v>
      </c>
      <c r="D33" s="17"/>
      <c r="F33" s="3">
        <f t="shared" si="25"/>
        <v>5.4487827383483629E-2</v>
      </c>
      <c r="G33" s="3">
        <f t="shared" si="25"/>
        <v>5.4487827383483609E-2</v>
      </c>
      <c r="H33" s="3">
        <f t="shared" si="25"/>
        <v>5.4487827383483303E-2</v>
      </c>
      <c r="I33" s="3">
        <f t="shared" si="25"/>
        <v>5.448782738348034E-2</v>
      </c>
      <c r="J33" s="3">
        <f t="shared" si="25"/>
        <v>5.4487827383450656E-2</v>
      </c>
      <c r="K33" s="3">
        <f t="shared" si="25"/>
        <v>5.4487827383153831E-2</v>
      </c>
      <c r="L33" s="3">
        <f t="shared" si="25"/>
        <v>5.4487827380185615E-2</v>
      </c>
      <c r="M33" s="3">
        <f t="shared" si="25"/>
        <v>5.4487827350503407E-2</v>
      </c>
      <c r="N33" s="3">
        <f t="shared" si="25"/>
        <v>5.448782705368134E-2</v>
      </c>
      <c r="O33" s="3">
        <f t="shared" si="25"/>
        <v>5.4487824085460775E-2</v>
      </c>
      <c r="P33" s="3">
        <f t="shared" si="25"/>
        <v>5.4487794403263998E-2</v>
      </c>
      <c r="Q33" s="3">
        <f t="shared" si="25"/>
        <v>5.4487497582185546E-2</v>
      </c>
      <c r="R33" s="3">
        <f t="shared" si="25"/>
        <v>5.4484529460330521E-2</v>
      </c>
      <c r="S33" s="3">
        <f t="shared" si="25"/>
        <v>5.4454857132937934E-2</v>
      </c>
      <c r="T33" s="3">
        <f t="shared" si="25"/>
        <v>5.4159021185305675E-2</v>
      </c>
      <c r="U33" s="3">
        <f t="shared" ref="P33:AE48" si="27">$C33*EXP(-U$15/$A33)</f>
        <v>5.1287631629324308E-2</v>
      </c>
      <c r="V33" s="3">
        <f t="shared" si="27"/>
        <v>2.974616776263703E-2</v>
      </c>
      <c r="W33" s="3">
        <f t="shared" si="27"/>
        <v>1.2811937356175553E-4</v>
      </c>
      <c r="X33" s="3">
        <f t="shared" si="27"/>
        <v>2.814833054142854E-28</v>
      </c>
      <c r="Y33" s="3">
        <f t="shared" si="27"/>
        <v>7.3761713925616885E-265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5.6887731847778039E-2</v>
      </c>
      <c r="C34" s="18">
        <f t="shared" si="3"/>
        <v>6.3046504540403295E-2</v>
      </c>
      <c r="D34" s="17"/>
      <c r="F34" s="3">
        <f t="shared" ref="F34:O48" si="28">$C34*EXP(-F$15/$A34)</f>
        <v>6.3046504540403295E-2</v>
      </c>
      <c r="G34" s="3">
        <f t="shared" si="28"/>
        <v>6.3046504540403295E-2</v>
      </c>
      <c r="H34" s="3">
        <f t="shared" si="28"/>
        <v>6.3046504540403253E-2</v>
      </c>
      <c r="I34" s="3">
        <f t="shared" si="28"/>
        <v>6.3046504540402948E-2</v>
      </c>
      <c r="J34" s="3">
        <f t="shared" si="28"/>
        <v>6.3046504540399853E-2</v>
      </c>
      <c r="K34" s="3">
        <f t="shared" si="28"/>
        <v>6.3046504540368864E-2</v>
      </c>
      <c r="L34" s="3">
        <f t="shared" si="28"/>
        <v>6.3046504540059056E-2</v>
      </c>
      <c r="M34" s="3">
        <f t="shared" si="28"/>
        <v>6.3046504536960896E-2</v>
      </c>
      <c r="N34" s="3">
        <f t="shared" si="28"/>
        <v>6.3046504505979262E-2</v>
      </c>
      <c r="O34" s="3">
        <f t="shared" si="28"/>
        <v>6.3046504196162936E-2</v>
      </c>
      <c r="P34" s="3">
        <f t="shared" si="27"/>
        <v>6.3046501097999794E-2</v>
      </c>
      <c r="Q34" s="3">
        <f t="shared" si="27"/>
        <v>6.3046470116376652E-2</v>
      </c>
      <c r="R34" s="3">
        <f t="shared" si="27"/>
        <v>6.3046160300982729E-2</v>
      </c>
      <c r="S34" s="3">
        <f t="shared" si="27"/>
        <v>6.304306223077745E-2</v>
      </c>
      <c r="T34" s="3">
        <f t="shared" si="27"/>
        <v>6.3012089900595744E-2</v>
      </c>
      <c r="U34" s="3">
        <f t="shared" si="27"/>
        <v>6.2703202265707941E-2</v>
      </c>
      <c r="V34" s="3">
        <f t="shared" si="27"/>
        <v>5.9696392953736029E-2</v>
      </c>
      <c r="W34" s="3">
        <f t="shared" si="27"/>
        <v>3.6520085535749015E-2</v>
      </c>
      <c r="X34" s="3">
        <f t="shared" si="27"/>
        <v>2.6814440642766675E-4</v>
      </c>
      <c r="Y34" s="3">
        <f t="shared" si="27"/>
        <v>1.2210636425079987E-25</v>
      </c>
      <c r="Z34" s="3">
        <f t="shared" si="27"/>
        <v>4.6820266720599365E-239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5.6691871427777971E-2</v>
      </c>
      <c r="C35" s="18">
        <f t="shared" si="3"/>
        <v>6.2829439903481887E-2</v>
      </c>
      <c r="D35" s="17"/>
      <c r="F35" s="3">
        <f t="shared" si="28"/>
        <v>6.2829439903481887E-2</v>
      </c>
      <c r="G35" s="3">
        <f t="shared" si="28"/>
        <v>6.2829439903481887E-2</v>
      </c>
      <c r="H35" s="3">
        <f t="shared" si="28"/>
        <v>6.2829439903481887E-2</v>
      </c>
      <c r="I35" s="3">
        <f t="shared" si="28"/>
        <v>6.282943990348186E-2</v>
      </c>
      <c r="J35" s="3">
        <f t="shared" si="28"/>
        <v>6.2829439903481582E-2</v>
      </c>
      <c r="K35" s="3">
        <f t="shared" si="28"/>
        <v>6.2829439903478793E-2</v>
      </c>
      <c r="L35" s="3">
        <f t="shared" si="28"/>
        <v>6.282943990345094E-2</v>
      </c>
      <c r="M35" s="3">
        <f t="shared" si="28"/>
        <v>6.2829439903172427E-2</v>
      </c>
      <c r="N35" s="3">
        <f t="shared" si="28"/>
        <v>6.2829439900387238E-2</v>
      </c>
      <c r="O35" s="3">
        <f t="shared" si="28"/>
        <v>6.2829439872535461E-2</v>
      </c>
      <c r="P35" s="3">
        <f t="shared" si="27"/>
        <v>6.2829439594017586E-2</v>
      </c>
      <c r="Q35" s="3">
        <f t="shared" si="27"/>
        <v>6.282943680883897E-2</v>
      </c>
      <c r="R35" s="3">
        <f t="shared" si="27"/>
        <v>6.2829408957059657E-2</v>
      </c>
      <c r="S35" s="3">
        <f t="shared" si="27"/>
        <v>6.2829130439945521E-2</v>
      </c>
      <c r="T35" s="3">
        <f t="shared" si="27"/>
        <v>6.2826345336708556E-2</v>
      </c>
      <c r="U35" s="3">
        <f t="shared" si="27"/>
        <v>6.2798501093661974E-2</v>
      </c>
      <c r="V35" s="3">
        <f t="shared" si="27"/>
        <v>6.2520736483263797E-2</v>
      </c>
      <c r="W35" s="3">
        <f t="shared" si="27"/>
        <v>5.9809773698252744E-2</v>
      </c>
      <c r="X35" s="3">
        <f t="shared" si="27"/>
        <v>3.8393075070501374E-2</v>
      </c>
      <c r="Y35" s="3">
        <f t="shared" si="27"/>
        <v>4.5610022550720403E-4</v>
      </c>
      <c r="Z35" s="3">
        <f t="shared" si="27"/>
        <v>2.5534900855067173E-23</v>
      </c>
      <c r="AA35" s="3">
        <f t="shared" si="27"/>
        <v>7.7245478145381854E-216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4.9848497075141926E-2</v>
      </c>
      <c r="C36" s="18">
        <f t="shared" si="3"/>
        <v>5.5245188990655253E-2</v>
      </c>
      <c r="D36" s="17"/>
      <c r="F36" s="3">
        <f t="shared" si="28"/>
        <v>5.5245188990655253E-2</v>
      </c>
      <c r="G36" s="3">
        <f t="shared" si="28"/>
        <v>5.5245188990655253E-2</v>
      </c>
      <c r="H36" s="3">
        <f t="shared" si="28"/>
        <v>5.5245188990655253E-2</v>
      </c>
      <c r="I36" s="3">
        <f t="shared" si="28"/>
        <v>5.5245188990655253E-2</v>
      </c>
      <c r="J36" s="3">
        <f t="shared" si="28"/>
        <v>5.5245188990655225E-2</v>
      </c>
      <c r="K36" s="3">
        <f t="shared" si="28"/>
        <v>5.524518899065501E-2</v>
      </c>
      <c r="L36" s="3">
        <f t="shared" si="28"/>
        <v>5.5245188990652797E-2</v>
      </c>
      <c r="M36" s="3">
        <f t="shared" si="28"/>
        <v>5.524518899063071E-2</v>
      </c>
      <c r="N36" s="3">
        <f t="shared" si="28"/>
        <v>5.524518899040979E-2</v>
      </c>
      <c r="O36" s="3">
        <f t="shared" si="28"/>
        <v>5.5245188988200612E-2</v>
      </c>
      <c r="P36" s="3">
        <f t="shared" si="27"/>
        <v>5.5245188966108819E-2</v>
      </c>
      <c r="Q36" s="3">
        <f t="shared" si="27"/>
        <v>5.524518874519091E-2</v>
      </c>
      <c r="R36" s="3">
        <f t="shared" si="27"/>
        <v>5.5245186536011841E-2</v>
      </c>
      <c r="S36" s="3">
        <f t="shared" si="27"/>
        <v>5.5245164444226065E-2</v>
      </c>
      <c r="T36" s="3">
        <f t="shared" si="27"/>
        <v>5.5244943526854148E-2</v>
      </c>
      <c r="U36" s="3">
        <f t="shared" si="27"/>
        <v>5.5242734401722303E-2</v>
      </c>
      <c r="V36" s="3">
        <f t="shared" si="27"/>
        <v>5.5220648008417084E-2</v>
      </c>
      <c r="W36" s="3">
        <f t="shared" si="27"/>
        <v>5.5000269158670886E-2</v>
      </c>
      <c r="X36" s="3">
        <f t="shared" si="27"/>
        <v>5.2844278885000928E-2</v>
      </c>
      <c r="Y36" s="3">
        <f t="shared" si="27"/>
        <v>3.5426609180570189E-2</v>
      </c>
      <c r="Z36" s="3">
        <f t="shared" si="27"/>
        <v>6.4959951276239011E-4</v>
      </c>
      <c r="AA36" s="3">
        <f t="shared" si="27"/>
        <v>2.7913013934263066E-21</v>
      </c>
      <c r="AB36" s="3">
        <f t="shared" si="27"/>
        <v>5.9898666133918421E-195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6.0135502270422712E-2</v>
      </c>
      <c r="C37" s="18">
        <f t="shared" si="3"/>
        <v>6.6645884688751614E-2</v>
      </c>
      <c r="D37" s="17"/>
      <c r="F37" s="3">
        <f t="shared" si="28"/>
        <v>6.6645884688751614E-2</v>
      </c>
      <c r="G37" s="3">
        <f t="shared" si="28"/>
        <v>6.6645884688751614E-2</v>
      </c>
      <c r="H37" s="3">
        <f t="shared" si="28"/>
        <v>6.6645884688751614E-2</v>
      </c>
      <c r="I37" s="3">
        <f t="shared" si="28"/>
        <v>6.6645884688751614E-2</v>
      </c>
      <c r="J37" s="3">
        <f t="shared" si="28"/>
        <v>6.6645884688751614E-2</v>
      </c>
      <c r="K37" s="3">
        <f t="shared" si="28"/>
        <v>6.6645884688751586E-2</v>
      </c>
      <c r="L37" s="3">
        <f t="shared" si="28"/>
        <v>6.664588468875135E-2</v>
      </c>
      <c r="M37" s="3">
        <f t="shared" si="28"/>
        <v>6.6645884688748949E-2</v>
      </c>
      <c r="N37" s="3">
        <f t="shared" si="28"/>
        <v>6.6645884688724899E-2</v>
      </c>
      <c r="O37" s="3">
        <f t="shared" si="28"/>
        <v>6.6645884688484494E-2</v>
      </c>
      <c r="P37" s="3">
        <f t="shared" si="27"/>
        <v>6.6645884686080376E-2</v>
      </c>
      <c r="Q37" s="3">
        <f t="shared" si="27"/>
        <v>6.6645884662039148E-2</v>
      </c>
      <c r="R37" s="3">
        <f t="shared" si="27"/>
        <v>6.6645884421627014E-2</v>
      </c>
      <c r="S37" s="3">
        <f t="shared" si="27"/>
        <v>6.6645882017505667E-2</v>
      </c>
      <c r="T37" s="3">
        <f t="shared" si="27"/>
        <v>6.6645857976296977E-2</v>
      </c>
      <c r="U37" s="3">
        <f t="shared" si="27"/>
        <v>6.6645617564687065E-2</v>
      </c>
      <c r="V37" s="3">
        <f t="shared" si="27"/>
        <v>6.6643213496285381E-2</v>
      </c>
      <c r="W37" s="3">
        <f t="shared" si="27"/>
        <v>6.6619177581382902E-2</v>
      </c>
      <c r="X37" s="3">
        <f t="shared" si="27"/>
        <v>6.6379294707871989E-2</v>
      </c>
      <c r="Y37" s="3">
        <f t="shared" si="27"/>
        <v>6.4027463924708608E-2</v>
      </c>
      <c r="Z37" s="3">
        <f t="shared" si="27"/>
        <v>4.4637818798513827E-2</v>
      </c>
      <c r="AA37" s="3">
        <f t="shared" si="27"/>
        <v>1.210792194847493E-3</v>
      </c>
      <c r="AB37" s="3">
        <f t="shared" si="27"/>
        <v>2.6105744947855262E-19</v>
      </c>
      <c r="AC37" s="3">
        <f t="shared" si="27"/>
        <v>5.6676219068661655E-176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2.33420059888838E-2</v>
      </c>
      <c r="C38" s="18">
        <f t="shared" si="3"/>
        <v>2.5869055396656026E-2</v>
      </c>
      <c r="D38" s="17"/>
      <c r="F38" s="3">
        <f t="shared" si="28"/>
        <v>2.5869055396656026E-2</v>
      </c>
      <c r="G38" s="3">
        <f t="shared" si="28"/>
        <v>2.5869055396656026E-2</v>
      </c>
      <c r="H38" s="3">
        <f t="shared" si="28"/>
        <v>2.5869055396656026E-2</v>
      </c>
      <c r="I38" s="3">
        <f t="shared" si="28"/>
        <v>2.5869055396656026E-2</v>
      </c>
      <c r="J38" s="3">
        <f t="shared" si="28"/>
        <v>2.5869055396656026E-2</v>
      </c>
      <c r="K38" s="3">
        <f t="shared" si="28"/>
        <v>2.5869055396656026E-2</v>
      </c>
      <c r="L38" s="3">
        <f t="shared" si="28"/>
        <v>2.5869055396656019E-2</v>
      </c>
      <c r="M38" s="3">
        <f t="shared" si="28"/>
        <v>2.5869055396655932E-2</v>
      </c>
      <c r="N38" s="3">
        <f t="shared" si="28"/>
        <v>2.5869055396655089E-2</v>
      </c>
      <c r="O38" s="3">
        <f t="shared" si="28"/>
        <v>2.5869055396646672E-2</v>
      </c>
      <c r="P38" s="3">
        <f t="shared" si="27"/>
        <v>2.5869055396562493E-2</v>
      </c>
      <c r="Q38" s="3">
        <f t="shared" si="27"/>
        <v>2.5869055395720691E-2</v>
      </c>
      <c r="R38" s="3">
        <f t="shared" si="27"/>
        <v>2.5869055387302664E-2</v>
      </c>
      <c r="S38" s="3">
        <f t="shared" si="27"/>
        <v>2.5869055303122411E-2</v>
      </c>
      <c r="T38" s="3">
        <f t="shared" si="27"/>
        <v>2.5869054461319915E-2</v>
      </c>
      <c r="U38" s="3">
        <f t="shared" si="27"/>
        <v>2.5869046043296449E-2</v>
      </c>
      <c r="V38" s="3">
        <f t="shared" si="27"/>
        <v>2.5868961863212435E-2</v>
      </c>
      <c r="W38" s="3">
        <f t="shared" si="27"/>
        <v>2.5868120077438238E-2</v>
      </c>
      <c r="X38" s="3">
        <f t="shared" si="27"/>
        <v>2.5859703726110683E-2</v>
      </c>
      <c r="Y38" s="3">
        <f t="shared" si="27"/>
        <v>2.5775690673058217E-2</v>
      </c>
      <c r="Z38" s="3">
        <f t="shared" si="27"/>
        <v>2.4950426574709642E-2</v>
      </c>
      <c r="AA38" s="3">
        <f t="shared" si="27"/>
        <v>1.8019992820217878E-2</v>
      </c>
      <c r="AB38" s="3">
        <f t="shared" si="27"/>
        <v>6.9585859935448829E-4</v>
      </c>
      <c r="AC38" s="3">
        <f t="shared" si="27"/>
        <v>5.1307971910063691E-18</v>
      </c>
      <c r="AD38" s="3">
        <f t="shared" si="27"/>
        <v>2.4368194113263989E-159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4.3844736338194162E-2</v>
      </c>
      <c r="C39" s="18">
        <f t="shared" si="3"/>
        <v>4.8591449840458205E-2</v>
      </c>
      <c r="D39" s="17"/>
      <c r="F39" s="3">
        <f t="shared" si="28"/>
        <v>4.8591449840458205E-2</v>
      </c>
      <c r="G39" s="3">
        <f t="shared" si="28"/>
        <v>4.8591449840458205E-2</v>
      </c>
      <c r="H39" s="3">
        <f t="shared" si="28"/>
        <v>4.8591449840458205E-2</v>
      </c>
      <c r="I39" s="3">
        <f t="shared" si="28"/>
        <v>4.8591449840458205E-2</v>
      </c>
      <c r="J39" s="3">
        <f t="shared" si="28"/>
        <v>4.8591449840458205E-2</v>
      </c>
      <c r="K39" s="3">
        <f t="shared" si="28"/>
        <v>4.8591449840458205E-2</v>
      </c>
      <c r="L39" s="3">
        <f t="shared" si="28"/>
        <v>4.8591449840458198E-2</v>
      </c>
      <c r="M39" s="3">
        <f t="shared" si="28"/>
        <v>4.8591449840458156E-2</v>
      </c>
      <c r="N39" s="3">
        <f t="shared" si="28"/>
        <v>4.8591449840457719E-2</v>
      </c>
      <c r="O39" s="3">
        <f t="shared" si="28"/>
        <v>4.8591449840453348E-2</v>
      </c>
      <c r="P39" s="3">
        <f t="shared" si="27"/>
        <v>4.8591449840409612E-2</v>
      </c>
      <c r="Q39" s="3">
        <f t="shared" si="27"/>
        <v>4.8591449839972288E-2</v>
      </c>
      <c r="R39" s="3">
        <f t="shared" si="27"/>
        <v>4.8591449835599057E-2</v>
      </c>
      <c r="S39" s="3">
        <f t="shared" si="27"/>
        <v>4.8591449791866755E-2</v>
      </c>
      <c r="T39" s="3">
        <f t="shared" si="27"/>
        <v>4.8591449354543709E-2</v>
      </c>
      <c r="U39" s="3">
        <f t="shared" si="27"/>
        <v>4.8591444981313466E-2</v>
      </c>
      <c r="V39" s="3">
        <f t="shared" si="27"/>
        <v>4.8591401249032662E-2</v>
      </c>
      <c r="W39" s="3">
        <f t="shared" si="27"/>
        <v>4.8590963928389366E-2</v>
      </c>
      <c r="X39" s="3">
        <f t="shared" si="27"/>
        <v>4.858659093842331E-2</v>
      </c>
      <c r="Y39" s="3">
        <f t="shared" si="27"/>
        <v>4.8542882678246115E-2</v>
      </c>
      <c r="Z39" s="3">
        <f t="shared" si="27"/>
        <v>4.8107956836176684E-2</v>
      </c>
      <c r="AA39" s="3">
        <f t="shared" si="27"/>
        <v>4.396736201226404E-2</v>
      </c>
      <c r="AB39" s="3">
        <f t="shared" si="27"/>
        <v>1.7875795413017936E-2</v>
      </c>
      <c r="AC39" s="3">
        <f t="shared" si="27"/>
        <v>2.2060484098141082E-6</v>
      </c>
      <c r="AD39" s="3">
        <f t="shared" si="27"/>
        <v>1.8076388519151007E-45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2.5747501318077168E-2</v>
      </c>
      <c r="C40" s="18">
        <f t="shared" si="3"/>
        <v>2.853497416803049E-2</v>
      </c>
      <c r="D40" s="17"/>
      <c r="F40" s="3">
        <f t="shared" si="28"/>
        <v>2.853497416803049E-2</v>
      </c>
      <c r="G40" s="3">
        <f t="shared" si="28"/>
        <v>2.853497416803049E-2</v>
      </c>
      <c r="H40" s="3">
        <f t="shared" si="28"/>
        <v>2.853497416803049E-2</v>
      </c>
      <c r="I40" s="3">
        <f t="shared" si="28"/>
        <v>2.853497416803049E-2</v>
      </c>
      <c r="J40" s="3">
        <f t="shared" si="28"/>
        <v>2.853497416803049E-2</v>
      </c>
      <c r="K40" s="3">
        <f t="shared" si="28"/>
        <v>2.853497416803049E-2</v>
      </c>
      <c r="L40" s="3">
        <f t="shared" si="28"/>
        <v>2.853497416803049E-2</v>
      </c>
      <c r="M40" s="3">
        <f t="shared" si="28"/>
        <v>2.8534974168030487E-2</v>
      </c>
      <c r="N40" s="3">
        <f t="shared" si="28"/>
        <v>2.8534974168030462E-2</v>
      </c>
      <c r="O40" s="3">
        <f t="shared" si="28"/>
        <v>2.8534974168030205E-2</v>
      </c>
      <c r="P40" s="3">
        <f t="shared" si="27"/>
        <v>2.8534974168027635E-2</v>
      </c>
      <c r="Q40" s="3">
        <f t="shared" si="27"/>
        <v>2.8534974168001957E-2</v>
      </c>
      <c r="R40" s="3">
        <f t="shared" si="27"/>
        <v>2.8534974167745142E-2</v>
      </c>
      <c r="S40" s="3">
        <f t="shared" si="27"/>
        <v>2.8534974165176991E-2</v>
      </c>
      <c r="T40" s="3">
        <f t="shared" si="27"/>
        <v>2.8534974139495517E-2</v>
      </c>
      <c r="U40" s="3">
        <f t="shared" si="27"/>
        <v>2.853497388268075E-2</v>
      </c>
      <c r="V40" s="3">
        <f t="shared" si="27"/>
        <v>2.8534971314533218E-2</v>
      </c>
      <c r="W40" s="3">
        <f t="shared" si="27"/>
        <v>2.8534945633070592E-2</v>
      </c>
      <c r="X40" s="3">
        <f t="shared" si="27"/>
        <v>2.8534688819715555E-2</v>
      </c>
      <c r="Y40" s="3">
        <f t="shared" si="27"/>
        <v>2.8532120813283803E-2</v>
      </c>
      <c r="Z40" s="3">
        <f t="shared" si="27"/>
        <v>2.8506453456594905E-2</v>
      </c>
      <c r="AA40" s="3">
        <f t="shared" si="27"/>
        <v>2.8251046431095394E-2</v>
      </c>
      <c r="AB40" s="3">
        <f t="shared" si="27"/>
        <v>2.581951234992351E-2</v>
      </c>
      <c r="AC40" s="3">
        <f t="shared" si="27"/>
        <v>1.0497430350776599E-2</v>
      </c>
      <c r="AD40" s="3">
        <f t="shared" si="27"/>
        <v>1.2954858230029039E-6</v>
      </c>
      <c r="AE40" s="3">
        <f t="shared" si="27"/>
        <v>1.0615227187886537E-45</v>
      </c>
      <c r="AF40" s="3">
        <f t="shared" si="29"/>
        <v>0</v>
      </c>
      <c r="AG40" s="3">
        <f t="shared" si="29"/>
        <v>0</v>
      </c>
      <c r="AH40" s="3">
        <f t="shared" si="29"/>
        <v>0</v>
      </c>
      <c r="AI40" s="3">
        <f t="shared" si="29"/>
        <v>0</v>
      </c>
      <c r="AJ40" s="3">
        <f t="shared" si="29"/>
        <v>0</v>
      </c>
    </row>
    <row r="41" spans="1:36" x14ac:dyDescent="0.25">
      <c r="A41" s="3">
        <f t="shared" si="30"/>
        <v>1000000000</v>
      </c>
      <c r="B41" s="106">
        <v>1.68823484769163E-2</v>
      </c>
      <c r="C41" s="18">
        <f t="shared" si="3"/>
        <v>1.8710063230340357E-2</v>
      </c>
      <c r="D41" s="17"/>
      <c r="F41" s="3">
        <f t="shared" si="28"/>
        <v>1.8710063230340357E-2</v>
      </c>
      <c r="G41" s="3">
        <f t="shared" si="28"/>
        <v>1.8710063230340357E-2</v>
      </c>
      <c r="H41" s="3">
        <f t="shared" si="28"/>
        <v>1.8710063230340357E-2</v>
      </c>
      <c r="I41" s="3">
        <f t="shared" si="28"/>
        <v>1.8710063230340357E-2</v>
      </c>
      <c r="J41" s="3">
        <f t="shared" si="28"/>
        <v>1.8710063230340357E-2</v>
      </c>
      <c r="K41" s="3">
        <f t="shared" si="28"/>
        <v>1.8710063230340357E-2</v>
      </c>
      <c r="L41" s="3">
        <f t="shared" si="28"/>
        <v>1.8710063230340357E-2</v>
      </c>
      <c r="M41" s="3">
        <f t="shared" si="28"/>
        <v>1.8710063230340357E-2</v>
      </c>
      <c r="N41" s="3">
        <f t="shared" si="28"/>
        <v>1.8710063230340353E-2</v>
      </c>
      <c r="O41" s="3">
        <f t="shared" si="28"/>
        <v>1.871006323034034E-2</v>
      </c>
      <c r="P41" s="3">
        <f t="shared" si="27"/>
        <v>1.871006323034017E-2</v>
      </c>
      <c r="Q41" s="3">
        <f t="shared" si="27"/>
        <v>1.8710063230338487E-2</v>
      </c>
      <c r="R41" s="3">
        <f t="shared" si="27"/>
        <v>1.8710063230321646E-2</v>
      </c>
      <c r="S41" s="3">
        <f t="shared" si="27"/>
        <v>1.8710063230153257E-2</v>
      </c>
      <c r="T41" s="3">
        <f t="shared" si="27"/>
        <v>1.871006322846935E-2</v>
      </c>
      <c r="U41" s="3">
        <f t="shared" si="27"/>
        <v>1.8710063211630296E-2</v>
      </c>
      <c r="V41" s="3">
        <f t="shared" si="27"/>
        <v>1.8710063043239727E-2</v>
      </c>
      <c r="W41" s="3">
        <f t="shared" si="27"/>
        <v>1.8710061359334128E-2</v>
      </c>
      <c r="X41" s="3">
        <f t="shared" si="27"/>
        <v>1.8710044520286483E-2</v>
      </c>
      <c r="Y41" s="3">
        <f t="shared" si="27"/>
        <v>1.8709876130643552E-2</v>
      </c>
      <c r="Z41" s="3">
        <f t="shared" si="27"/>
        <v>1.8708192317564522E-2</v>
      </c>
      <c r="AA41" s="3">
        <f t="shared" si="27"/>
        <v>1.8691362519024066E-2</v>
      </c>
      <c r="AB41" s="3">
        <f t="shared" si="27"/>
        <v>1.8523894990634893E-2</v>
      </c>
      <c r="AC41" s="3">
        <f t="shared" si="27"/>
        <v>1.6929565304630714E-2</v>
      </c>
      <c r="AD41" s="3">
        <f t="shared" si="27"/>
        <v>6.8830476054599615E-3</v>
      </c>
      <c r="AE41" s="3">
        <f t="shared" si="27"/>
        <v>8.4943555650910268E-7</v>
      </c>
      <c r="AF41" s="3">
        <f t="shared" si="29"/>
        <v>6.960285673301996E-46</v>
      </c>
      <c r="AG41" s="3">
        <f t="shared" si="29"/>
        <v>0</v>
      </c>
      <c r="AH41" s="3">
        <f t="shared" si="29"/>
        <v>0</v>
      </c>
      <c r="AI41" s="3">
        <f t="shared" si="29"/>
        <v>0</v>
      </c>
      <c r="AJ41" s="3">
        <f t="shared" si="29"/>
        <v>0</v>
      </c>
    </row>
    <row r="42" spans="1:36" x14ac:dyDescent="0.25">
      <c r="A42" s="3">
        <f t="shared" si="30"/>
        <v>10000000000</v>
      </c>
      <c r="B42" s="106">
        <v>6.9296446197771016E-3</v>
      </c>
      <c r="C42" s="18">
        <f t="shared" si="3"/>
        <v>7.6798609611155137E-3</v>
      </c>
      <c r="D42" s="17"/>
      <c r="F42" s="3">
        <f t="shared" si="28"/>
        <v>7.6798609611155137E-3</v>
      </c>
      <c r="G42" s="3">
        <f t="shared" si="28"/>
        <v>7.6798609611155137E-3</v>
      </c>
      <c r="H42" s="3">
        <f t="shared" si="28"/>
        <v>7.6798609611155137E-3</v>
      </c>
      <c r="I42" s="3">
        <f t="shared" si="28"/>
        <v>7.6798609611155137E-3</v>
      </c>
      <c r="J42" s="3">
        <f t="shared" si="28"/>
        <v>7.6798609611155137E-3</v>
      </c>
      <c r="K42" s="3">
        <f t="shared" si="28"/>
        <v>7.6798609611155137E-3</v>
      </c>
      <c r="L42" s="3">
        <f t="shared" si="28"/>
        <v>7.6798609611155137E-3</v>
      </c>
      <c r="M42" s="3">
        <f t="shared" si="28"/>
        <v>7.6798609611155137E-3</v>
      </c>
      <c r="N42" s="3">
        <f t="shared" si="28"/>
        <v>7.6798609611155137E-3</v>
      </c>
      <c r="O42" s="3">
        <f t="shared" si="28"/>
        <v>7.6798609611155129E-3</v>
      </c>
      <c r="P42" s="3">
        <f t="shared" si="27"/>
        <v>7.6798609611155059E-3</v>
      </c>
      <c r="Q42" s="3">
        <f t="shared" si="27"/>
        <v>7.6798609611154374E-3</v>
      </c>
      <c r="R42" s="3">
        <f t="shared" si="27"/>
        <v>7.6798609611147452E-3</v>
      </c>
      <c r="S42" s="3">
        <f t="shared" si="27"/>
        <v>7.6798609611078341E-3</v>
      </c>
      <c r="T42" s="3">
        <f t="shared" si="27"/>
        <v>7.6798609610387149E-3</v>
      </c>
      <c r="U42" s="3">
        <f t="shared" si="27"/>
        <v>7.6798609603475274E-3</v>
      </c>
      <c r="V42" s="3">
        <f t="shared" si="27"/>
        <v>7.6798609534356526E-3</v>
      </c>
      <c r="W42" s="3">
        <f t="shared" si="27"/>
        <v>7.6798608843169046E-3</v>
      </c>
      <c r="X42" s="3">
        <f t="shared" si="27"/>
        <v>7.6798601931294562E-3</v>
      </c>
      <c r="Y42" s="3">
        <f t="shared" si="27"/>
        <v>7.6798532812583928E-3</v>
      </c>
      <c r="Z42" s="3">
        <f t="shared" si="27"/>
        <v>7.6797841628898945E-3</v>
      </c>
      <c r="AA42" s="3">
        <f t="shared" si="27"/>
        <v>7.6790930134174274E-3</v>
      </c>
      <c r="AB42" s="3">
        <f t="shared" si="27"/>
        <v>7.6721849388052222E-3</v>
      </c>
      <c r="AC42" s="3">
        <f t="shared" si="27"/>
        <v>7.6034450677691405E-3</v>
      </c>
      <c r="AD42" s="3">
        <f t="shared" si="27"/>
        <v>6.9490255629309243E-3</v>
      </c>
      <c r="AE42" s="3">
        <f t="shared" si="27"/>
        <v>2.8252629586495511E-3</v>
      </c>
      <c r="AF42" s="3">
        <f t="shared" si="29"/>
        <v>3.4866514822029377E-7</v>
      </c>
      <c r="AG42" s="3">
        <f t="shared" si="29"/>
        <v>2.856966626062611E-46</v>
      </c>
      <c r="AH42" s="3">
        <f t="shared" si="29"/>
        <v>0</v>
      </c>
      <c r="AI42" s="3">
        <f t="shared" si="29"/>
        <v>0</v>
      </c>
      <c r="AJ42" s="3">
        <f t="shared" si="29"/>
        <v>0</v>
      </c>
    </row>
    <row r="43" spans="1:36" x14ac:dyDescent="0.25">
      <c r="A43" s="3">
        <f t="shared" si="30"/>
        <v>100000000000</v>
      </c>
      <c r="B43" s="106">
        <v>3.7087127846647397E-3</v>
      </c>
      <c r="C43" s="18">
        <f t="shared" si="3"/>
        <v>4.1102249961922147E-3</v>
      </c>
      <c r="D43" s="17"/>
      <c r="F43" s="3">
        <f t="shared" si="28"/>
        <v>4.1102249961922147E-3</v>
      </c>
      <c r="G43" s="3">
        <f t="shared" si="28"/>
        <v>4.1102249961922147E-3</v>
      </c>
      <c r="H43" s="3">
        <f t="shared" si="28"/>
        <v>4.1102249961922147E-3</v>
      </c>
      <c r="I43" s="3">
        <f t="shared" si="28"/>
        <v>4.1102249961922147E-3</v>
      </c>
      <c r="J43" s="3">
        <f t="shared" si="28"/>
        <v>4.1102249961922147E-3</v>
      </c>
      <c r="K43" s="3">
        <f t="shared" si="28"/>
        <v>4.1102249961922147E-3</v>
      </c>
      <c r="L43" s="3">
        <f t="shared" si="28"/>
        <v>4.1102249961922147E-3</v>
      </c>
      <c r="M43" s="3">
        <f t="shared" si="28"/>
        <v>4.1102249961922147E-3</v>
      </c>
      <c r="N43" s="3">
        <f t="shared" si="28"/>
        <v>4.1102249961922147E-3</v>
      </c>
      <c r="O43" s="3">
        <f t="shared" si="28"/>
        <v>4.1102249961922147E-3</v>
      </c>
      <c r="P43" s="3">
        <f t="shared" si="27"/>
        <v>4.1102249961922138E-3</v>
      </c>
      <c r="Q43" s="3">
        <f t="shared" si="27"/>
        <v>4.1102249961922103E-3</v>
      </c>
      <c r="R43" s="3">
        <f t="shared" si="27"/>
        <v>4.1102249961921739E-3</v>
      </c>
      <c r="S43" s="3">
        <f t="shared" si="27"/>
        <v>4.1102249961918035E-3</v>
      </c>
      <c r="T43" s="3">
        <f t="shared" si="27"/>
        <v>4.1102249961881042E-3</v>
      </c>
      <c r="U43" s="3">
        <f t="shared" si="27"/>
        <v>4.1102249961511121E-3</v>
      </c>
      <c r="V43" s="3">
        <f t="shared" si="27"/>
        <v>4.1102249957811919E-3</v>
      </c>
      <c r="W43" s="3">
        <f t="shared" si="27"/>
        <v>4.1102249920819895E-3</v>
      </c>
      <c r="X43" s="3">
        <f t="shared" si="27"/>
        <v>4.1102249550899646E-3</v>
      </c>
      <c r="Y43" s="3">
        <f t="shared" si="27"/>
        <v>4.1102245851697356E-3</v>
      </c>
      <c r="Z43" s="3">
        <f t="shared" si="27"/>
        <v>4.110220885969274E-3</v>
      </c>
      <c r="AA43" s="3">
        <f t="shared" si="27"/>
        <v>4.1101838941477635E-3</v>
      </c>
      <c r="AB43" s="3">
        <f t="shared" si="27"/>
        <v>4.1098139942430355E-3</v>
      </c>
      <c r="AC43" s="3">
        <f t="shared" si="27"/>
        <v>4.1061168256236544E-3</v>
      </c>
      <c r="AD43" s="3">
        <f t="shared" si="27"/>
        <v>4.0693275741517775E-3</v>
      </c>
      <c r="AE43" s="3">
        <f t="shared" si="27"/>
        <v>3.7190853731014252E-3</v>
      </c>
      <c r="AF43" s="3">
        <f t="shared" si="29"/>
        <v>1.5120672746880856E-3</v>
      </c>
      <c r="AG43" s="3">
        <f t="shared" si="29"/>
        <v>1.8660392613513613E-7</v>
      </c>
      <c r="AH43" s="3">
        <f t="shared" si="29"/>
        <v>1.529034926437499E-46</v>
      </c>
      <c r="AI43" s="3">
        <f t="shared" si="29"/>
        <v>0</v>
      </c>
      <c r="AJ43" s="3">
        <f t="shared" si="29"/>
        <v>0</v>
      </c>
    </row>
    <row r="44" spans="1:36" x14ac:dyDescent="0.25">
      <c r="A44" s="3">
        <f t="shared" si="30"/>
        <v>1000000000000</v>
      </c>
      <c r="B44" s="106">
        <v>2.8032155982579757E-3</v>
      </c>
      <c r="C44" s="18">
        <f t="shared" si="3"/>
        <v>3.1066969837399792E-3</v>
      </c>
      <c r="D44" s="17"/>
      <c r="F44" s="3">
        <f t="shared" si="28"/>
        <v>3.1066969837399792E-3</v>
      </c>
      <c r="G44" s="3">
        <f t="shared" si="28"/>
        <v>3.1066969837399792E-3</v>
      </c>
      <c r="H44" s="3">
        <f t="shared" si="28"/>
        <v>3.1066969837399792E-3</v>
      </c>
      <c r="I44" s="3">
        <f t="shared" si="28"/>
        <v>3.1066969837399792E-3</v>
      </c>
      <c r="J44" s="3">
        <f t="shared" si="28"/>
        <v>3.1066969837399792E-3</v>
      </c>
      <c r="K44" s="3">
        <f t="shared" si="28"/>
        <v>3.1066969837399792E-3</v>
      </c>
      <c r="L44" s="3">
        <f t="shared" si="28"/>
        <v>3.1066969837399792E-3</v>
      </c>
      <c r="M44" s="3">
        <f t="shared" si="28"/>
        <v>3.1066969837399792E-3</v>
      </c>
      <c r="N44" s="3">
        <f t="shared" si="28"/>
        <v>3.1066969837399792E-3</v>
      </c>
      <c r="O44" s="3">
        <f t="shared" si="28"/>
        <v>3.1066969837399792E-3</v>
      </c>
      <c r="P44" s="3">
        <f t="shared" si="27"/>
        <v>3.1066969837399792E-3</v>
      </c>
      <c r="Q44" s="3">
        <f t="shared" si="27"/>
        <v>3.1066969837399787E-3</v>
      </c>
      <c r="R44" s="3">
        <f t="shared" si="27"/>
        <v>3.1066969837399761E-3</v>
      </c>
      <c r="S44" s="3">
        <f t="shared" si="27"/>
        <v>3.1066969837399479E-3</v>
      </c>
      <c r="T44" s="3">
        <f t="shared" si="27"/>
        <v>3.1066969837396682E-3</v>
      </c>
      <c r="U44" s="3">
        <f t="shared" si="27"/>
        <v>3.1066969837368727E-3</v>
      </c>
      <c r="V44" s="3">
        <f t="shared" si="27"/>
        <v>3.106696983708912E-3</v>
      </c>
      <c r="W44" s="3">
        <f t="shared" si="27"/>
        <v>3.1066969834293093E-3</v>
      </c>
      <c r="X44" s="3">
        <f t="shared" si="27"/>
        <v>3.1066969806332824E-3</v>
      </c>
      <c r="Y44" s="3">
        <f t="shared" si="27"/>
        <v>3.1066969526730094E-3</v>
      </c>
      <c r="Z44" s="3">
        <f t="shared" si="27"/>
        <v>3.1066966730702965E-3</v>
      </c>
      <c r="AA44" s="3">
        <f t="shared" si="27"/>
        <v>3.1066938770445487E-3</v>
      </c>
      <c r="AB44" s="3">
        <f t="shared" si="27"/>
        <v>3.1066659169254763E-3</v>
      </c>
      <c r="AC44" s="3">
        <f t="shared" si="27"/>
        <v>3.1063863295745721E-3</v>
      </c>
      <c r="AD44" s="3">
        <f t="shared" si="27"/>
        <v>3.1035918395870775E-3</v>
      </c>
      <c r="AE44" s="3">
        <f t="shared" si="27"/>
        <v>3.0757848322608083E-3</v>
      </c>
      <c r="AF44" s="3">
        <f t="shared" si="29"/>
        <v>2.811055677387386E-3</v>
      </c>
      <c r="AG44" s="3">
        <f t="shared" si="29"/>
        <v>1.142889950267269E-3</v>
      </c>
      <c r="AH44" s="3">
        <f t="shared" si="29"/>
        <v>1.4104382485511862E-7</v>
      </c>
      <c r="AI44" s="3">
        <f t="shared" si="29"/>
        <v>1.1557148813987492E-46</v>
      </c>
      <c r="AJ44" s="3">
        <f t="shared" si="29"/>
        <v>0</v>
      </c>
    </row>
    <row r="45" spans="1:36" x14ac:dyDescent="0.25">
      <c r="A45" s="3">
        <f t="shared" si="30"/>
        <v>10000000000000</v>
      </c>
      <c r="B45" s="106">
        <v>8.7086570496780881E-4</v>
      </c>
      <c r="C45" s="18">
        <f t="shared" si="3"/>
        <v>9.6514726179013565E-4</v>
      </c>
      <c r="D45" s="17"/>
      <c r="F45" s="3">
        <f t="shared" si="28"/>
        <v>9.6514726179013565E-4</v>
      </c>
      <c r="G45" s="3">
        <f t="shared" si="28"/>
        <v>9.6514726179013565E-4</v>
      </c>
      <c r="H45" s="3">
        <f t="shared" si="28"/>
        <v>9.6514726179013565E-4</v>
      </c>
      <c r="I45" s="3">
        <f t="shared" si="28"/>
        <v>9.6514726179013565E-4</v>
      </c>
      <c r="J45" s="3">
        <f t="shared" si="28"/>
        <v>9.6514726179013565E-4</v>
      </c>
      <c r="K45" s="3">
        <f t="shared" si="28"/>
        <v>9.6514726179013565E-4</v>
      </c>
      <c r="L45" s="3">
        <f t="shared" si="28"/>
        <v>9.6514726179013565E-4</v>
      </c>
      <c r="M45" s="3">
        <f t="shared" si="28"/>
        <v>9.6514726179013565E-4</v>
      </c>
      <c r="N45" s="3">
        <f t="shared" si="28"/>
        <v>9.6514726179013565E-4</v>
      </c>
      <c r="O45" s="3">
        <f t="shared" si="28"/>
        <v>9.6514726179013565E-4</v>
      </c>
      <c r="P45" s="3">
        <f t="shared" si="27"/>
        <v>9.6514726179013565E-4</v>
      </c>
      <c r="Q45" s="3">
        <f t="shared" si="27"/>
        <v>9.6514726179013565E-4</v>
      </c>
      <c r="R45" s="3">
        <f t="shared" si="27"/>
        <v>9.6514726179013554E-4</v>
      </c>
      <c r="S45" s="3">
        <f t="shared" si="27"/>
        <v>9.6514726179013468E-4</v>
      </c>
      <c r="T45" s="3">
        <f t="shared" si="27"/>
        <v>9.65147261790126E-4</v>
      </c>
      <c r="U45" s="3">
        <f t="shared" si="27"/>
        <v>9.6514726179003916E-4</v>
      </c>
      <c r="V45" s="3">
        <f t="shared" si="27"/>
        <v>9.6514726178917049E-4</v>
      </c>
      <c r="W45" s="3">
        <f t="shared" si="27"/>
        <v>9.6514726178048419E-4</v>
      </c>
      <c r="X45" s="3">
        <f t="shared" si="27"/>
        <v>9.6514726169362095E-4</v>
      </c>
      <c r="Y45" s="3">
        <f t="shared" si="27"/>
        <v>9.6514726082498842E-4</v>
      </c>
      <c r="Z45" s="3">
        <f t="shared" si="27"/>
        <v>9.6514725213866311E-4</v>
      </c>
      <c r="AA45" s="3">
        <f t="shared" si="27"/>
        <v>9.6514716527541431E-4</v>
      </c>
      <c r="AB45" s="3">
        <f t="shared" si="27"/>
        <v>9.6514629664335642E-4</v>
      </c>
      <c r="AC45" s="3">
        <f t="shared" si="27"/>
        <v>9.6513761036577498E-4</v>
      </c>
      <c r="AD45" s="3">
        <f t="shared" si="27"/>
        <v>9.6505075188953204E-4</v>
      </c>
      <c r="AE45" s="3">
        <f t="shared" si="27"/>
        <v>9.6418259694115878E-4</v>
      </c>
      <c r="AF45" s="3">
        <f t="shared" si="29"/>
        <v>9.5554388607878868E-4</v>
      </c>
      <c r="AG45" s="3">
        <f t="shared" si="29"/>
        <v>8.7330135638266258E-4</v>
      </c>
      <c r="AH45" s="3">
        <f t="shared" si="29"/>
        <v>3.5505783531550284E-4</v>
      </c>
      <c r="AI45" s="3">
        <f t="shared" si="29"/>
        <v>4.3817617895726743E-8</v>
      </c>
      <c r="AJ45" s="3">
        <f t="shared" si="29"/>
        <v>3.5904211419077762E-47</v>
      </c>
    </row>
    <row r="46" spans="1:36" x14ac:dyDescent="0.25">
      <c r="A46" s="3">
        <f t="shared" si="30"/>
        <v>100000000000000</v>
      </c>
      <c r="B46" s="106">
        <v>9.0739642644603906E-4</v>
      </c>
      <c r="C46" s="18">
        <f t="shared" si="3"/>
        <v>1.0056328677851901E-3</v>
      </c>
      <c r="D46" s="17"/>
      <c r="F46" s="3">
        <f t="shared" si="28"/>
        <v>1.0056328677851901E-3</v>
      </c>
      <c r="G46" s="3">
        <f t="shared" si="28"/>
        <v>1.0056328677851901E-3</v>
      </c>
      <c r="H46" s="3">
        <f t="shared" si="28"/>
        <v>1.0056328677851901E-3</v>
      </c>
      <c r="I46" s="3">
        <f t="shared" si="28"/>
        <v>1.0056328677851901E-3</v>
      </c>
      <c r="J46" s="3">
        <f t="shared" si="28"/>
        <v>1.0056328677851901E-3</v>
      </c>
      <c r="K46" s="3">
        <f t="shared" si="28"/>
        <v>1.0056328677851901E-3</v>
      </c>
      <c r="L46" s="3">
        <f t="shared" si="28"/>
        <v>1.0056328677851901E-3</v>
      </c>
      <c r="M46" s="3">
        <f t="shared" si="28"/>
        <v>1.0056328677851901E-3</v>
      </c>
      <c r="N46" s="3">
        <f t="shared" si="28"/>
        <v>1.0056328677851901E-3</v>
      </c>
      <c r="O46" s="3">
        <f t="shared" si="28"/>
        <v>1.0056328677851901E-3</v>
      </c>
      <c r="P46" s="3">
        <f t="shared" si="27"/>
        <v>1.0056328677851901E-3</v>
      </c>
      <c r="Q46" s="3">
        <f t="shared" si="27"/>
        <v>1.0056328677851901E-3</v>
      </c>
      <c r="R46" s="3">
        <f t="shared" si="27"/>
        <v>1.0056328677851901E-3</v>
      </c>
      <c r="S46" s="3">
        <f t="shared" si="27"/>
        <v>1.0056328677851899E-3</v>
      </c>
      <c r="T46" s="3">
        <f t="shared" si="27"/>
        <v>1.005632867785189E-3</v>
      </c>
      <c r="U46" s="3">
        <f t="shared" si="27"/>
        <v>1.0056328677851801E-3</v>
      </c>
      <c r="V46" s="3">
        <f t="shared" si="27"/>
        <v>1.0056328677850895E-3</v>
      </c>
      <c r="W46" s="3">
        <f t="shared" si="27"/>
        <v>1.0056328677841844E-3</v>
      </c>
      <c r="X46" s="3">
        <f t="shared" si="27"/>
        <v>1.0056328677751337E-3</v>
      </c>
      <c r="Y46" s="3">
        <f t="shared" si="27"/>
        <v>1.0056328676846268E-3</v>
      </c>
      <c r="Z46" s="3">
        <f t="shared" si="27"/>
        <v>1.0056328667795572E-3</v>
      </c>
      <c r="AA46" s="3">
        <f t="shared" si="27"/>
        <v>1.0056328577288615E-3</v>
      </c>
      <c r="AB46" s="3">
        <f t="shared" si="27"/>
        <v>1.0056327672219084E-3</v>
      </c>
      <c r="AC46" s="3">
        <f t="shared" si="27"/>
        <v>1.0056318621528251E-3</v>
      </c>
      <c r="AD46" s="3">
        <f t="shared" si="27"/>
        <v>1.0056228115067937E-3</v>
      </c>
      <c r="AE46" s="3">
        <f t="shared" si="27"/>
        <v>1.0055323095264084E-3</v>
      </c>
      <c r="AF46" s="3">
        <f t="shared" si="29"/>
        <v>1.0046277375662753E-3</v>
      </c>
      <c r="AG46" s="3">
        <f t="shared" si="29"/>
        <v>9.9562665356342657E-4</v>
      </c>
      <c r="AH46" s="3">
        <f t="shared" si="29"/>
        <v>9.0993424757884885E-4</v>
      </c>
      <c r="AI46" s="3">
        <f t="shared" si="29"/>
        <v>3.6995165742445069E-4</v>
      </c>
      <c r="AJ46" s="3">
        <f t="shared" si="29"/>
        <v>4.5655661564293849E-8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1.9678640471253041E-2</v>
      </c>
      <c r="C48" s="18">
        <f t="shared" si="3"/>
        <v>2.1809087047795134E-2</v>
      </c>
      <c r="D48" s="17"/>
      <c r="F48" s="3">
        <f t="shared" si="28"/>
        <v>2.1809087047795134E-2</v>
      </c>
      <c r="G48" s="3">
        <f t="shared" si="28"/>
        <v>2.1809087047795134E-2</v>
      </c>
      <c r="H48" s="3">
        <f t="shared" si="28"/>
        <v>2.1809087047795134E-2</v>
      </c>
      <c r="I48" s="3">
        <f t="shared" si="28"/>
        <v>2.1809087047795134E-2</v>
      </c>
      <c r="J48" s="3">
        <f t="shared" si="28"/>
        <v>2.1809087047795134E-2</v>
      </c>
      <c r="K48" s="3">
        <f t="shared" si="28"/>
        <v>2.1809087047795134E-2</v>
      </c>
      <c r="L48" s="3">
        <f t="shared" si="28"/>
        <v>2.1809087047795134E-2</v>
      </c>
      <c r="M48" s="3">
        <f t="shared" si="28"/>
        <v>2.1809087047795134E-2</v>
      </c>
      <c r="N48" s="3">
        <f t="shared" si="28"/>
        <v>2.1809087047795134E-2</v>
      </c>
      <c r="O48" s="3">
        <f t="shared" si="28"/>
        <v>2.1809087047795134E-2</v>
      </c>
      <c r="P48" s="3">
        <f t="shared" si="27"/>
        <v>2.1809087047795134E-2</v>
      </c>
      <c r="Q48" s="3">
        <f t="shared" si="27"/>
        <v>2.1809087047795134E-2</v>
      </c>
      <c r="R48" s="3">
        <f t="shared" si="27"/>
        <v>2.1809087047795134E-2</v>
      </c>
      <c r="S48" s="3">
        <f t="shared" si="27"/>
        <v>2.1809087047795134E-2</v>
      </c>
      <c r="T48" s="3">
        <f t="shared" si="27"/>
        <v>2.1809087047795134E-2</v>
      </c>
      <c r="U48" s="3">
        <f t="shared" si="27"/>
        <v>2.180908704779513E-2</v>
      </c>
      <c r="V48" s="3">
        <f t="shared" si="27"/>
        <v>2.1809087047795113E-2</v>
      </c>
      <c r="W48" s="3">
        <f t="shared" si="27"/>
        <v>2.1809087047794915E-2</v>
      </c>
      <c r="X48" s="3">
        <f t="shared" si="27"/>
        <v>2.1809087047792951E-2</v>
      </c>
      <c r="Y48" s="3">
        <f t="shared" si="27"/>
        <v>2.1809087047773325E-2</v>
      </c>
      <c r="Z48" s="3">
        <f t="shared" si="27"/>
        <v>2.1809087047577044E-2</v>
      </c>
      <c r="AA48" s="3">
        <f t="shared" si="27"/>
        <v>2.1809087045614226E-2</v>
      </c>
      <c r="AB48" s="3">
        <f t="shared" si="27"/>
        <v>2.1809087025986048E-2</v>
      </c>
      <c r="AC48" s="3">
        <f t="shared" si="27"/>
        <v>2.1809086829704265E-2</v>
      </c>
      <c r="AD48" s="3">
        <f t="shared" si="27"/>
        <v>2.1809084866886538E-2</v>
      </c>
      <c r="AE48" s="3">
        <f t="shared" si="27"/>
        <v>2.1809065238718991E-2</v>
      </c>
      <c r="AF48" s="3">
        <f t="shared" si="29"/>
        <v>2.1808868958015107E-2</v>
      </c>
      <c r="AG48" s="3">
        <f t="shared" si="29"/>
        <v>2.1806906248132155E-2</v>
      </c>
      <c r="AH48" s="3">
        <f t="shared" si="29"/>
        <v>2.1787288861656925E-2</v>
      </c>
      <c r="AI48" s="3">
        <f t="shared" si="29"/>
        <v>2.1592083005890706E-2</v>
      </c>
      <c r="AJ48" s="3">
        <f t="shared" si="29"/>
        <v>1.9733678014048437E-2</v>
      </c>
    </row>
    <row r="49" spans="1:36" x14ac:dyDescent="0.25">
      <c r="B49" s="16">
        <f>SUM(B17:B48)</f>
        <v>0.9023138120420553</v>
      </c>
      <c r="C49" s="18">
        <f>SUM(C17:C48)</f>
        <v>1</v>
      </c>
      <c r="F49" s="3">
        <f t="shared" ref="F49:AJ49" si="31">F16-F17</f>
        <v>75.402797593244031</v>
      </c>
      <c r="G49" s="3">
        <f t="shared" si="31"/>
        <v>-97.5223195843555</v>
      </c>
      <c r="H49" s="3">
        <f t="shared" si="31"/>
        <v>25.825864529540922</v>
      </c>
      <c r="I49" s="3">
        <f t="shared" si="31"/>
        <v>-4.2347255863351165</v>
      </c>
      <c r="J49" s="3">
        <f t="shared" si="31"/>
        <v>0.60166603476318414</v>
      </c>
      <c r="K49" s="3">
        <f t="shared" si="31"/>
        <v>-0.10056458701546944</v>
      </c>
      <c r="L49" s="3">
        <f t="shared" si="31"/>
        <v>0.13573023120625294</v>
      </c>
      <c r="M49" s="3">
        <f t="shared" si="31"/>
        <v>-0.40383703850875463</v>
      </c>
      <c r="N49" s="3">
        <f t="shared" si="31"/>
        <v>0.99872982073520689</v>
      </c>
      <c r="O49" s="3">
        <f t="shared" si="31"/>
        <v>-2.0453463949997968</v>
      </c>
      <c r="P49" s="3">
        <f t="shared" si="31"/>
        <v>3.5148188906587166</v>
      </c>
      <c r="Q49" s="3">
        <f t="shared" si="31"/>
        <v>-5.0993737510216306</v>
      </c>
      <c r="R49" s="3">
        <f t="shared" si="31"/>
        <v>6.276269336378391</v>
      </c>
      <c r="S49" s="3">
        <f t="shared" si="31"/>
        <v>-6.5872572782418501</v>
      </c>
      <c r="T49" s="3">
        <f t="shared" si="31"/>
        <v>5.9206641117434629</v>
      </c>
      <c r="U49" s="3">
        <f t="shared" si="31"/>
        <v>-4.5690035241868827</v>
      </c>
      <c r="V49" s="3">
        <f t="shared" si="31"/>
        <v>3.0198474183216604</v>
      </c>
      <c r="W49" s="3">
        <f t="shared" si="31"/>
        <v>-1.7255176702592507</v>
      </c>
      <c r="X49" s="3">
        <f t="shared" si="31"/>
        <v>0.8632253233913616</v>
      </c>
      <c r="Y49" s="3">
        <f t="shared" si="31"/>
        <v>-0.35846622638700865</v>
      </c>
      <c r="Z49" s="3">
        <f t="shared" si="31"/>
        <v>0.11054097744863611</v>
      </c>
      <c r="AA49" s="3">
        <f t="shared" si="31"/>
        <v>-1.9939984250413545E-2</v>
      </c>
      <c r="AB49" s="3">
        <f t="shared" si="31"/>
        <v>-6.319021498939037E-3</v>
      </c>
      <c r="AC49" s="3">
        <f t="shared" si="31"/>
        <v>2.3072319529546803E-3</v>
      </c>
      <c r="AD49" s="3">
        <f t="shared" si="31"/>
        <v>1.1042475937642848E-2</v>
      </c>
      <c r="AE49" s="3">
        <f t="shared" si="31"/>
        <v>-6.0739712859003703E-3</v>
      </c>
      <c r="AF49" s="3">
        <f t="shared" si="31"/>
        <v>1.1218562772342011E-2</v>
      </c>
      <c r="AG49" s="3">
        <f t="shared" si="31"/>
        <v>-3.5653656235695053E-2</v>
      </c>
      <c r="AH49" s="3">
        <f t="shared" si="31"/>
        <v>6.3698143871420143E-2</v>
      </c>
      <c r="AI49" s="3">
        <f t="shared" si="31"/>
        <v>-8.9787061750314479E-2</v>
      </c>
      <c r="AJ49" s="3">
        <f t="shared" si="31"/>
        <v>5.0730003278715685E-2</v>
      </c>
    </row>
    <row r="50" spans="1:36" x14ac:dyDescent="0.25">
      <c r="F50" s="57">
        <f t="shared" ref="F50:AJ50" si="32">F49/F17</f>
        <v>7.7323214771875598E-3</v>
      </c>
      <c r="G50" s="57">
        <f t="shared" si="32"/>
        <v>-1.0103704005019488E-2</v>
      </c>
      <c r="H50" s="57">
        <f t="shared" si="32"/>
        <v>2.782449480134206E-3</v>
      </c>
      <c r="I50" s="57">
        <f t="shared" si="32"/>
        <v>-4.6756254253856847E-4</v>
      </c>
      <c r="J50" s="57">
        <f t="shared" si="32"/>
        <v>6.864183918259594E-5</v>
      </c>
      <c r="K50" s="57">
        <f t="shared" si="32"/>
        <v>-1.1834334796268E-5</v>
      </c>
      <c r="L50" s="57">
        <f t="shared" si="32"/>
        <v>1.6493951544454477E-5</v>
      </c>
      <c r="M50" s="57">
        <f t="shared" si="32"/>
        <v>-5.107076459398504E-5</v>
      </c>
      <c r="N50" s="57">
        <f t="shared" si="32"/>
        <v>1.3256387060128202E-4</v>
      </c>
      <c r="O50" s="57">
        <f t="shared" si="32"/>
        <v>-2.8530792438137933E-4</v>
      </c>
      <c r="P50" s="57">
        <f t="shared" si="32"/>
        <v>5.1205140865276421E-4</v>
      </c>
      <c r="Q50" s="57">
        <f t="shared" si="32"/>
        <v>-7.7454301157566777E-4</v>
      </c>
      <c r="R50" s="57">
        <f t="shared" si="32"/>
        <v>9.9746639209011235E-4</v>
      </c>
      <c r="S50" s="57">
        <f t="shared" si="32"/>
        <v>-1.0958855986474008E-3</v>
      </c>
      <c r="T50" s="57">
        <f t="shared" si="32"/>
        <v>1.0345321040431616E-3</v>
      </c>
      <c r="U50" s="57">
        <f t="shared" si="32"/>
        <v>-8.4789037330221869E-4</v>
      </c>
      <c r="V50" s="57">
        <f t="shared" si="32"/>
        <v>6.1082445627254323E-4</v>
      </c>
      <c r="W50" s="57">
        <f t="shared" si="32"/>
        <v>-3.9729905354488325E-4</v>
      </c>
      <c r="X50" s="57">
        <f t="shared" si="32"/>
        <v>2.3363201816379821E-4</v>
      </c>
      <c r="Y50" s="57">
        <f t="shared" si="32"/>
        <v>-1.167979350750436E-4</v>
      </c>
      <c r="Z50" s="57">
        <f t="shared" si="32"/>
        <v>4.480686059522371E-5</v>
      </c>
      <c r="AA50" s="57">
        <f t="shared" si="32"/>
        <v>-1.0661560730735619E-5</v>
      </c>
      <c r="AB50" s="57">
        <f t="shared" si="32"/>
        <v>-4.6407030585729307E-6</v>
      </c>
      <c r="AC50" s="57">
        <f t="shared" si="32"/>
        <v>2.3573342527823091E-6</v>
      </c>
      <c r="AD50" s="57">
        <f t="shared" si="32"/>
        <v>1.4722541698127508E-5</v>
      </c>
      <c r="AE50" s="57">
        <f t="shared" si="32"/>
        <v>-9.6807499572488009E-6</v>
      </c>
      <c r="AF50" s="57">
        <f t="shared" si="32"/>
        <v>1.9672105265226586E-5</v>
      </c>
      <c r="AG50" s="57">
        <f t="shared" si="32"/>
        <v>-6.6639039052594827E-5</v>
      </c>
      <c r="AH50" s="57">
        <f t="shared" si="32"/>
        <v>1.2344494281983591E-4</v>
      </c>
      <c r="AI50" s="57">
        <f t="shared" si="32"/>
        <v>-1.7805589935692261E-4</v>
      </c>
      <c r="AJ50" s="57">
        <f t="shared" si="32"/>
        <v>1.0562858800631711E-4</v>
      </c>
    </row>
    <row r="51" spans="1:36" x14ac:dyDescent="0.25">
      <c r="A51" s="13" t="s">
        <v>21</v>
      </c>
      <c r="B51" s="3">
        <f>STUTT!D8</f>
        <v>10768.300999999999</v>
      </c>
      <c r="E51" s="11" t="s">
        <v>24</v>
      </c>
      <c r="F51" s="20">
        <f t="shared" ref="F51:AJ51" si="33">(F16-F17)^2</f>
        <v>5685.5818848877279</v>
      </c>
      <c r="G51" s="20">
        <f t="shared" si="33"/>
        <v>9510.6028171131675</v>
      </c>
      <c r="H51" s="20">
        <f t="shared" si="33"/>
        <v>666.97527869819999</v>
      </c>
      <c r="I51" s="20">
        <f t="shared" si="33"/>
        <v>17.932900791561295</v>
      </c>
      <c r="J51" s="20">
        <f t="shared" si="33"/>
        <v>0.36200201738765309</v>
      </c>
      <c r="K51" s="20">
        <f t="shared" si="33"/>
        <v>1.0113236161591925E-2</v>
      </c>
      <c r="L51" s="20">
        <f t="shared" si="33"/>
        <v>1.8422695663302877E-2</v>
      </c>
      <c r="M51" s="20">
        <f t="shared" si="33"/>
        <v>0.16308435367152138</v>
      </c>
      <c r="N51" s="20">
        <f t="shared" si="33"/>
        <v>0.99746125482577852</v>
      </c>
      <c r="O51" s="20">
        <f t="shared" si="33"/>
        <v>4.1834418755386649</v>
      </c>
      <c r="P51" s="20">
        <f t="shared" si="33"/>
        <v>12.353951834131371</v>
      </c>
      <c r="Q51" s="20">
        <f t="shared" si="33"/>
        <v>26.003612652608414</v>
      </c>
      <c r="R51" s="20">
        <f t="shared" si="33"/>
        <v>39.391556782763651</v>
      </c>
      <c r="S51" s="20">
        <f t="shared" si="33"/>
        <v>43.391958449750227</v>
      </c>
      <c r="T51" s="20">
        <f t="shared" si="33"/>
        <v>35.054263524087006</v>
      </c>
      <c r="U51" s="20">
        <f t="shared" si="33"/>
        <v>20.875793204032153</v>
      </c>
      <c r="V51" s="20">
        <f t="shared" si="33"/>
        <v>9.1194784299439977</v>
      </c>
      <c r="W51" s="20">
        <f t="shared" si="33"/>
        <v>2.9774112303769122</v>
      </c>
      <c r="X51" s="20">
        <f t="shared" si="33"/>
        <v>0.74515795894412085</v>
      </c>
      <c r="Y51" s="20">
        <f t="shared" si="33"/>
        <v>0.12849803546014213</v>
      </c>
      <c r="Z51" s="20">
        <f t="shared" si="33"/>
        <v>1.2219307695299877E-2</v>
      </c>
      <c r="AA51" s="20">
        <f t="shared" si="33"/>
        <v>3.9760297190674025E-4</v>
      </c>
      <c r="AB51" s="20">
        <f t="shared" si="33"/>
        <v>3.9930032704053752E-5</v>
      </c>
      <c r="AC51" s="20">
        <f t="shared" si="33"/>
        <v>5.3233192847350683E-6</v>
      </c>
      <c r="AD51" s="20">
        <f t="shared" si="33"/>
        <v>1.219362748334213E-4</v>
      </c>
      <c r="AE51" s="20">
        <f t="shared" si="33"/>
        <v>3.6893127181942197E-5</v>
      </c>
      <c r="AF51" s="20">
        <f t="shared" si="33"/>
        <v>1.2585615067697807E-4</v>
      </c>
      <c r="AG51" s="20">
        <f t="shared" si="33"/>
        <v>1.2711832029731168E-3</v>
      </c>
      <c r="AH51" s="20">
        <f t="shared" si="33"/>
        <v>4.0574535326641393E-3</v>
      </c>
      <c r="AI51" s="20">
        <f t="shared" si="33"/>
        <v>8.0617164577547855E-3</v>
      </c>
      <c r="AJ51" s="20">
        <f t="shared" si="33"/>
        <v>2.5735332326585043E-3</v>
      </c>
    </row>
    <row r="52" spans="1:36" x14ac:dyDescent="0.25">
      <c r="A52" s="13"/>
    </row>
    <row r="53" spans="1:36" x14ac:dyDescent="0.25">
      <c r="E53" s="119" t="s">
        <v>25</v>
      </c>
      <c r="F53" s="119"/>
      <c r="G53" s="104">
        <f>SUM(F51:AJ51)</f>
        <v>16076.897999762001</v>
      </c>
      <c r="I53" s="3">
        <f>G53+C123</f>
        <v>16076.897999762001</v>
      </c>
      <c r="K53" s="3">
        <f>SUM(Z51:AJ51)</f>
        <v>2.8910735997938291E-2</v>
      </c>
    </row>
    <row r="55" spans="1:36" x14ac:dyDescent="0.25">
      <c r="E55" s="30" t="s">
        <v>30</v>
      </c>
      <c r="F55" s="31">
        <f t="shared" ref="F55:AJ55" si="34">ABS(F17-F16)/F16</f>
        <v>7.6729914406765401E-3</v>
      </c>
      <c r="G55" s="31">
        <f t="shared" si="34"/>
        <v>1.0206830802274991E-2</v>
      </c>
      <c r="H55" s="31">
        <f t="shared" si="34"/>
        <v>2.7747289370458096E-3</v>
      </c>
      <c r="I55" s="31">
        <f t="shared" si="34"/>
        <v>4.6778125953362789E-4</v>
      </c>
      <c r="J55" s="31">
        <f t="shared" si="34"/>
        <v>6.8637127803907269E-5</v>
      </c>
      <c r="K55" s="31">
        <f t="shared" si="34"/>
        <v>1.1834474849405507E-5</v>
      </c>
      <c r="L55" s="31">
        <f t="shared" si="34"/>
        <v>1.6493679498504036E-5</v>
      </c>
      <c r="M55" s="31">
        <f t="shared" si="34"/>
        <v>5.1073372950192E-5</v>
      </c>
      <c r="N55" s="31">
        <f t="shared" si="34"/>
        <v>1.325462997507532E-4</v>
      </c>
      <c r="O55" s="31">
        <f t="shared" si="34"/>
        <v>2.8538934822396164E-4</v>
      </c>
      <c r="P55" s="31">
        <f t="shared" si="34"/>
        <v>5.1178934619711049E-4</v>
      </c>
      <c r="Q55" s="31">
        <f t="shared" si="34"/>
        <v>7.7514339347405212E-4</v>
      </c>
      <c r="R55" s="31">
        <f t="shared" si="34"/>
        <v>9.9647244431626302E-4</v>
      </c>
      <c r="S55" s="31">
        <f t="shared" si="34"/>
        <v>1.0970878814571402E-3</v>
      </c>
      <c r="T55" s="31">
        <f t="shared" si="34"/>
        <v>1.0334629534394892E-3</v>
      </c>
      <c r="U55" s="31">
        <f t="shared" si="34"/>
        <v>8.4860990146836258E-4</v>
      </c>
      <c r="V55" s="31">
        <f t="shared" si="34"/>
        <v>6.1045157751962406E-4</v>
      </c>
      <c r="W55" s="31">
        <f t="shared" si="34"/>
        <v>3.9745696282003645E-4</v>
      </c>
      <c r="X55" s="31">
        <f t="shared" si="34"/>
        <v>2.3357744699345958E-4</v>
      </c>
      <c r="Y55" s="31">
        <f t="shared" si="34"/>
        <v>1.1681157842619665E-4</v>
      </c>
      <c r="Z55" s="31">
        <f t="shared" si="34"/>
        <v>4.4804853030419989E-5</v>
      </c>
      <c r="AA55" s="31">
        <f t="shared" si="34"/>
        <v>1.0661674400824736E-5</v>
      </c>
      <c r="AB55" s="31">
        <f t="shared" si="34"/>
        <v>4.6407245947977521E-6</v>
      </c>
      <c r="AC55" s="31">
        <f t="shared" si="34"/>
        <v>2.3573286957706292E-6</v>
      </c>
      <c r="AD55" s="31">
        <f t="shared" si="34"/>
        <v>1.4722324948084568E-5</v>
      </c>
      <c r="AE55" s="31">
        <f t="shared" si="34"/>
        <v>9.6808436750757941E-6</v>
      </c>
      <c r="AF55" s="31">
        <f t="shared" si="34"/>
        <v>1.9671718281113812E-5</v>
      </c>
      <c r="AG55" s="31">
        <f t="shared" si="34"/>
        <v>6.6643480110068474E-5</v>
      </c>
      <c r="AH55" s="31">
        <f t="shared" si="34"/>
        <v>1.2342970604683069E-4</v>
      </c>
      <c r="AI55" s="31">
        <f t="shared" si="34"/>
        <v>1.7808760890629076E-4</v>
      </c>
      <c r="AJ55" s="31">
        <f t="shared" si="34"/>
        <v>1.0561743178612869E-4</v>
      </c>
    </row>
    <row r="56" spans="1:36" x14ac:dyDescent="0.25">
      <c r="E56" s="13" t="s">
        <v>31</v>
      </c>
      <c r="F56" s="32">
        <f>AVERAGE(F55:AJ55)</f>
        <v>9.3191896526434925E-4</v>
      </c>
    </row>
    <row r="57" spans="1:36" x14ac:dyDescent="0.25">
      <c r="A57" s="42"/>
      <c r="B57" s="15"/>
      <c r="C57" s="15"/>
      <c r="D57" s="15"/>
      <c r="F57" s="60">
        <f>AVERAGE(S55:X55)</f>
        <v>7.0344112061635194E-4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-11.391236875275727</v>
      </c>
    </row>
    <row r="119" spans="1:14" x14ac:dyDescent="0.25">
      <c r="L119" s="11">
        <f>L118+1</f>
        <v>2</v>
      </c>
      <c r="M119" s="11">
        <f t="shared" ref="M119:M124" si="35">INDEX($B$125:$K$126,1,L119)</f>
        <v>0</v>
      </c>
      <c r="N119" s="11">
        <f t="shared" ref="N119:N124" si="36">IF(L119=$B$3,0,INDEX($B$125:$K$126,2,L119))</f>
        <v>-7.538343886132532</v>
      </c>
    </row>
    <row r="120" spans="1:14" x14ac:dyDescent="0.25">
      <c r="L120" s="11">
        <f t="shared" ref="L120:L124" si="37">L119+1</f>
        <v>3</v>
      </c>
      <c r="M120" s="11">
        <f t="shared" si="35"/>
        <v>25</v>
      </c>
      <c r="N120" s="11">
        <f t="shared" si="36"/>
        <v>-5.0227358749255249</v>
      </c>
    </row>
    <row r="121" spans="1:14" x14ac:dyDescent="0.25">
      <c r="A121" s="103">
        <f>(A165+A204+A243+A282+A321+A360+A399)*10^9</f>
        <v>6380537098936763</v>
      </c>
      <c r="L121" s="11">
        <f t="shared" si="37"/>
        <v>4</v>
      </c>
      <c r="M121" s="11">
        <f t="shared" si="35"/>
        <v>50</v>
      </c>
      <c r="N121" s="11">
        <f t="shared" si="36"/>
        <v>-2.8024126040835196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5.6120173868915071</v>
      </c>
    </row>
    <row r="124" spans="1:14" x14ac:dyDescent="0.25">
      <c r="B124" s="3"/>
      <c r="C124" s="3"/>
      <c r="D124" s="3"/>
      <c r="E124" s="3"/>
      <c r="F124" s="3"/>
      <c r="G124" s="3"/>
      <c r="H124" s="3"/>
      <c r="I124" s="3"/>
      <c r="J124" s="3"/>
      <c r="K124" s="3"/>
      <c r="L124" s="11">
        <f t="shared" si="37"/>
        <v>7</v>
      </c>
      <c r="M124" s="11">
        <f t="shared" si="35"/>
        <v>160</v>
      </c>
      <c r="N124" s="11">
        <f t="shared" si="36"/>
        <v>11.274352903532849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-11.391236875275727</v>
      </c>
      <c r="C126" s="107">
        <v>-7.538343886132532</v>
      </c>
      <c r="D126" s="107">
        <v>-5.0227358749255249</v>
      </c>
      <c r="E126" s="107">
        <v>-2.8024126040835196</v>
      </c>
      <c r="F126" s="107">
        <v>7.7605870828701927E-3</v>
      </c>
      <c r="G126" s="107">
        <v>5.6120173868915071</v>
      </c>
      <c r="H126" s="107">
        <v>11.274352903532849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10088.69453068879</v>
      </c>
      <c r="C131" s="27">
        <f t="shared" ref="C131:AF131" si="40">($C$17+SUM(C132:C162))*$B$51</f>
        <v>9764.1264705502472</v>
      </c>
      <c r="D131" s="27">
        <f t="shared" si="40"/>
        <v>9764.1011313252675</v>
      </c>
      <c r="E131" s="27">
        <f t="shared" si="40"/>
        <v>9763.9727487144064</v>
      </c>
      <c r="F131" s="27">
        <f t="shared" si="40"/>
        <v>9762.6906924537598</v>
      </c>
      <c r="G131" s="27">
        <f t="shared" si="40"/>
        <v>9750.0454263589963</v>
      </c>
      <c r="H131" s="27">
        <f t="shared" si="40"/>
        <v>9639.5496357712673</v>
      </c>
      <c r="I131" s="27">
        <f t="shared" si="40"/>
        <v>9266.1424613110394</v>
      </c>
      <c r="J131" s="27">
        <f t="shared" si="40"/>
        <v>9044.450892819521</v>
      </c>
      <c r="K131" s="27">
        <f t="shared" si="40"/>
        <v>8749.5019732794663</v>
      </c>
      <c r="L131" s="27">
        <f t="shared" si="40"/>
        <v>8483.0556908824965</v>
      </c>
      <c r="M131" s="27">
        <f t="shared" si="40"/>
        <v>8212.7814982261716</v>
      </c>
      <c r="N131" s="27">
        <f t="shared" si="40"/>
        <v>7887.0407824190406</v>
      </c>
      <c r="O131" s="27">
        <f t="shared" si="40"/>
        <v>7511.0629258385188</v>
      </c>
      <c r="P131" s="27">
        <f t="shared" si="40"/>
        <v>7148.1232766357398</v>
      </c>
      <c r="Q131" s="27">
        <f t="shared" si="40"/>
        <v>6847.5691342549571</v>
      </c>
      <c r="R131" s="27">
        <f t="shared" si="40"/>
        <v>6566.8520074131857</v>
      </c>
      <c r="S131" s="27">
        <f t="shared" si="40"/>
        <v>6274.9597336032648</v>
      </c>
      <c r="T131" s="27">
        <f t="shared" si="40"/>
        <v>5995.6717688710296</v>
      </c>
      <c r="U131" s="27">
        <f t="shared" si="40"/>
        <v>5705.6534756443762</v>
      </c>
      <c r="V131" s="27">
        <f t="shared" si="40"/>
        <v>5368.9681610475454</v>
      </c>
      <c r="W131" s="27">
        <f t="shared" si="40"/>
        <v>4914.517933725374</v>
      </c>
      <c r="X131" s="27">
        <f t="shared" si="40"/>
        <v>4311.0728599230797</v>
      </c>
      <c r="Y131" s="27">
        <f t="shared" si="40"/>
        <v>3664.1629204015235</v>
      </c>
      <c r="Z131" s="27">
        <f t="shared" si="40"/>
        <v>3041.716015645713</v>
      </c>
      <c r="AA131" s="27">
        <f t="shared" si="40"/>
        <v>2437.7343846984845</v>
      </c>
      <c r="AB131" s="27">
        <f t="shared" si="40"/>
        <v>1849.6150121361568</v>
      </c>
      <c r="AC131" s="27">
        <f t="shared" si="40"/>
        <v>1331.6433069997031</v>
      </c>
      <c r="AD131" s="27">
        <f t="shared" si="40"/>
        <v>962.55238122192316</v>
      </c>
      <c r="AE131" s="27">
        <f t="shared" si="40"/>
        <v>740.00885326410037</v>
      </c>
      <c r="AF131" s="27">
        <f t="shared" si="40"/>
        <v>623.16911691506755</v>
      </c>
    </row>
    <row r="132" spans="1:33" x14ac:dyDescent="0.25">
      <c r="B132" s="3">
        <f t="shared" ref="B132:Z133" si="41">$C18*EXP(-B$129/$A18/EXP(-$B$126))</f>
        <v>3.0142106476212474E-2</v>
      </c>
      <c r="C132" s="3">
        <f t="shared" ref="C132:AF132" si="42">$C18*EXP(-C$129/$A18/EXP(-$B$126))</f>
        <v>1.1607395024364493E-6</v>
      </c>
      <c r="D132" s="3">
        <f t="shared" si="42"/>
        <v>8.3242749188411392E-51</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4.3985880940646871E-2</v>
      </c>
      <c r="C133" s="3">
        <f t="shared" si="41"/>
        <v>4.3985766414188165E-2</v>
      </c>
      <c r="D133" s="3">
        <f t="shared" si="41"/>
        <v>4.3984621166001658E-2</v>
      </c>
      <c r="E133" s="3">
        <f t="shared" si="41"/>
        <v>4.3973170324030711E-2</v>
      </c>
      <c r="F133" s="3">
        <f t="shared" si="41"/>
        <v>4.385882573586778E-2</v>
      </c>
      <c r="G133" s="3">
        <f t="shared" si="41"/>
        <v>4.2731606271071219E-2</v>
      </c>
      <c r="H133" s="3">
        <f t="shared" si="41"/>
        <v>3.2936041522765101E-2</v>
      </c>
      <c r="I133" s="3">
        <f t="shared" si="41"/>
        <v>2.4372115920265284E-3</v>
      </c>
      <c r="J133" s="3">
        <f t="shared" si="41"/>
        <v>1.1998074955189706E-14</v>
      </c>
      <c r="K133" s="3">
        <f t="shared" si="41"/>
        <v>1.0029861306877452E-127</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1.707491205584517E-2</v>
      </c>
      <c r="C134" s="3">
        <f t="shared" si="44"/>
        <v>1.7074908045348884E-2</v>
      </c>
      <c r="D134" s="3">
        <f t="shared" si="44"/>
        <v>1.7074867940437832E-2</v>
      </c>
      <c r="E134" s="3">
        <f t="shared" si="44"/>
        <v>1.7074466896508097E-2</v>
      </c>
      <c r="F134" s="3">
        <f t="shared" si="44"/>
        <v>1.7070456975245198E-2</v>
      </c>
      <c r="G134" s="3">
        <f t="shared" si="44"/>
        <v>1.7030409521068553E-2</v>
      </c>
      <c r="H134" s="3">
        <f t="shared" si="44"/>
        <v>1.6635066125398012E-2</v>
      </c>
      <c r="I134" s="3">
        <f t="shared" si="44"/>
        <v>1.3152821728098615E-2</v>
      </c>
      <c r="J134" s="3">
        <f t="shared" si="44"/>
        <v>1.2559228326438137E-3</v>
      </c>
      <c r="K134" s="3">
        <f t="shared" si="44"/>
        <v>7.9141299653760123E-14</v>
      </c>
      <c r="L134" s="3">
        <f t="shared" si="44"/>
        <v>7.812776447147021E-116</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3.0713964848384338E-2</v>
      </c>
      <c r="C135" s="3">
        <f t="shared" si="47"/>
        <v>3.0713964197622373E-2</v>
      </c>
      <c r="D135" s="3">
        <f t="shared" si="47"/>
        <v>3.0713957690003461E-2</v>
      </c>
      <c r="E135" s="3">
        <f t="shared" si="47"/>
        <v>3.0713892613890178E-2</v>
      </c>
      <c r="F135" s="3">
        <f t="shared" si="47"/>
        <v>3.0713241860340815E-2</v>
      </c>
      <c r="G135" s="3">
        <f t="shared" si="47"/>
        <v>3.0706735083133679E-2</v>
      </c>
      <c r="H135" s="3">
        <f t="shared" si="47"/>
        <v>3.0641743080298479E-2</v>
      </c>
      <c r="I135" s="3">
        <f t="shared" si="47"/>
        <v>2.999934091145914E-2</v>
      </c>
      <c r="J135" s="3">
        <f t="shared" si="47"/>
        <v>2.427136369953483E-2</v>
      </c>
      <c r="K135" s="3">
        <f t="shared" si="47"/>
        <v>2.9168817660287462E-3</v>
      </c>
      <c r="L135" s="3">
        <f t="shared" si="47"/>
        <v>1.8330119700067428E-12</v>
      </c>
      <c r="M135" s="3">
        <f t="shared" si="47"/>
        <v>1.7604757815426451E-104</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2.5231519839252422E-2</v>
      </c>
      <c r="C136" s="3">
        <f t="shared" si="49"/>
        <v>2.523151979102697E-2</v>
      </c>
      <c r="D136" s="3">
        <f t="shared" si="49"/>
        <v>2.5231519308772481E-2</v>
      </c>
      <c r="E136" s="3">
        <f t="shared" si="49"/>
        <v>2.5231514486228061E-2</v>
      </c>
      <c r="F136" s="3">
        <f t="shared" si="49"/>
        <v>2.523146626083456E-2</v>
      </c>
      <c r="G136" s="3">
        <f t="shared" si="49"/>
        <v>2.5230984011969087E-2</v>
      </c>
      <c r="H136" s="3">
        <f t="shared" si="49"/>
        <v>2.5226162030232379E-2</v>
      </c>
      <c r="I136" s="3">
        <f t="shared" si="49"/>
        <v>2.5177992868836773E-2</v>
      </c>
      <c r="J136" s="3">
        <f t="shared" si="49"/>
        <v>2.4701331211167136E-2</v>
      </c>
      <c r="K136" s="3">
        <f t="shared" si="49"/>
        <v>2.040388593940554E-2</v>
      </c>
      <c r="L136" s="3">
        <f t="shared" si="49"/>
        <v>3.0174366983285071E-3</v>
      </c>
      <c r="M136" s="3">
        <f t="shared" si="49"/>
        <v>1.5097011178446059E-11</v>
      </c>
      <c r="N136" s="3">
        <f t="shared" si="49"/>
        <v>1.4839492996309962E-94</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2.5043165726502482E-2</v>
      </c>
      <c r="C137" s="3">
        <f t="shared" si="51"/>
        <v>2.504316572218462E-2</v>
      </c>
      <c r="D137" s="3">
        <f t="shared" si="51"/>
        <v>2.5043165679006007E-2</v>
      </c>
      <c r="E137" s="3">
        <f t="shared" si="51"/>
        <v>2.5043165247219876E-2</v>
      </c>
      <c r="F137" s="3">
        <f t="shared" si="51"/>
        <v>2.5043160929358963E-2</v>
      </c>
      <c r="G137" s="3">
        <f t="shared" si="51"/>
        <v>2.5043117750790798E-2</v>
      </c>
      <c r="H137" s="3">
        <f t="shared" si="51"/>
        <v>2.5042685969203719E-2</v>
      </c>
      <c r="I137" s="3">
        <f t="shared" si="51"/>
        <v>2.5038368562763286E-2</v>
      </c>
      <c r="J137" s="3">
        <f t="shared" si="51"/>
        <v>2.499523541528997E-2</v>
      </c>
      <c r="K137" s="3">
        <f t="shared" si="51"/>
        <v>2.4567969650976271E-2</v>
      </c>
      <c r="L137" s="3">
        <f t="shared" si="51"/>
        <v>2.0677099695519112E-2</v>
      </c>
      <c r="M137" s="3">
        <f t="shared" si="51"/>
        <v>3.6871700673262175E-3</v>
      </c>
      <c r="N137" s="3">
        <f t="shared" si="51"/>
        <v>1.1987500747585276E-10</v>
      </c>
      <c r="O137" s="3">
        <f t="shared" si="51"/>
        <v>1.5815518149376981E-85</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3.1858465496738625E-2</v>
      </c>
      <c r="C138" s="3">
        <f t="shared" si="53"/>
        <v>3.1858465496243119E-2</v>
      </c>
      <c r="D138" s="3">
        <f t="shared" si="53"/>
        <v>3.1858465491288034E-2</v>
      </c>
      <c r="E138" s="3">
        <f t="shared" si="53"/>
        <v>3.1858465441737212E-2</v>
      </c>
      <c r="F138" s="3">
        <f t="shared" si="53"/>
        <v>3.1858464946228938E-2</v>
      </c>
      <c r="G138" s="3">
        <f t="shared" si="53"/>
        <v>3.1858459991146663E-2</v>
      </c>
      <c r="H138" s="3">
        <f t="shared" si="53"/>
        <v>3.1858410440366296E-2</v>
      </c>
      <c r="I138" s="3">
        <f t="shared" si="53"/>
        <v>3.1857914936801346E-2</v>
      </c>
      <c r="J138" s="3">
        <f t="shared" si="53"/>
        <v>3.1852960325001574E-2</v>
      </c>
      <c r="K138" s="3">
        <f t="shared" si="53"/>
        <v>3.1803456567593327E-2</v>
      </c>
      <c r="L138" s="3">
        <f t="shared" si="53"/>
        <v>3.1312630776011277E-2</v>
      </c>
      <c r="M138" s="3">
        <f t="shared" si="53"/>
        <v>2.6802289118586752E-2</v>
      </c>
      <c r="N138" s="3">
        <f t="shared" si="53"/>
        <v>5.6584201793763219E-3</v>
      </c>
      <c r="O138" s="3">
        <f t="shared" si="53"/>
        <v>9.9524099369771554E-10</v>
      </c>
      <c r="P138" s="3">
        <f t="shared" si="53"/>
        <v>2.8200634458076645E-77</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3.8271853449472884E-2</v>
      </c>
      <c r="C139" s="3">
        <f t="shared" si="55"/>
        <v>3.8271853449419184E-2</v>
      </c>
      <c r="D139" s="3">
        <f t="shared" si="55"/>
        <v>3.8271853448882218E-2</v>
      </c>
      <c r="E139" s="3">
        <f t="shared" si="55"/>
        <v>3.8271853443512485E-2</v>
      </c>
      <c r="F139" s="3">
        <f t="shared" si="55"/>
        <v>3.827185338981523E-2</v>
      </c>
      <c r="G139" s="3">
        <f t="shared" si="55"/>
        <v>3.8271852852842611E-2</v>
      </c>
      <c r="H139" s="3">
        <f t="shared" si="55"/>
        <v>3.827184748311685E-2</v>
      </c>
      <c r="I139" s="3">
        <f t="shared" si="55"/>
        <v>3.8271793785900662E-2</v>
      </c>
      <c r="J139" s="3">
        <f t="shared" si="55"/>
        <v>3.8271256817882501E-2</v>
      </c>
      <c r="K139" s="3">
        <f t="shared" si="55"/>
        <v>3.8265887552046164E-2</v>
      </c>
      <c r="L139" s="3">
        <f t="shared" si="55"/>
        <v>3.8212236306712458E-2</v>
      </c>
      <c r="M139" s="3">
        <f t="shared" si="55"/>
        <v>3.7679843738126613E-2</v>
      </c>
      <c r="N139" s="3">
        <f t="shared" si="55"/>
        <v>3.2747298298916983E-2</v>
      </c>
      <c r="O139" s="3">
        <f t="shared" si="55"/>
        <v>8.0508049293451442E-3</v>
      </c>
      <c r="P139" s="3">
        <f t="shared" si="55"/>
        <v>6.4934811410168584E-9</v>
      </c>
      <c r="Q139" s="3">
        <f t="shared" si="55"/>
        <v>7.5658962352058769E-70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3.6033705300749709E-2</v>
      </c>
      <c r="C140" s="3">
        <f t="shared" si="57"/>
        <v>3.603370530074515E-2</v>
      </c>
      <c r="D140" s="3">
        <f t="shared" si="57"/>
        <v>3.6033705300699541E-2</v>
      </c>
      <c r="E140" s="3">
        <f t="shared" si="57"/>
        <v>3.6033705300243475E-2</v>
      </c>
      <c r="F140" s="3">
        <f t="shared" si="57"/>
        <v>3.6033705295682811E-2</v>
      </c>
      <c r="G140" s="3">
        <f t="shared" si="57"/>
        <v>3.603370525007616E-2</v>
      </c>
      <c r="H140" s="3">
        <f t="shared" si="57"/>
        <v>3.6033704794009677E-2</v>
      </c>
      <c r="I140" s="3">
        <f t="shared" si="57"/>
        <v>3.6033700233345144E-2</v>
      </c>
      <c r="J140" s="3">
        <f t="shared" si="57"/>
        <v>3.6033654626731547E-2</v>
      </c>
      <c r="K140" s="3">
        <f t="shared" si="57"/>
        <v>3.6033198563770311E-2</v>
      </c>
      <c r="L140" s="3">
        <f t="shared" si="57"/>
        <v>3.6028638251616847E-2</v>
      </c>
      <c r="M140" s="3">
        <f t="shared" si="57"/>
        <v>3.5983066861109754E-2</v>
      </c>
      <c r="N140" s="3">
        <f t="shared" si="57"/>
        <v>3.5530511249436757E-2</v>
      </c>
      <c r="O140" s="3">
        <f t="shared" si="57"/>
        <v>3.130648180337707E-2</v>
      </c>
      <c r="P140" s="3">
        <f t="shared" si="57"/>
        <v>8.8300333863414356E-3</v>
      </c>
      <c r="Q140" s="3">
        <f t="shared" si="57"/>
        <v>2.8134756131046064E-8</v>
      </c>
      <c r="R140" s="3">
        <f t="shared" si="57"/>
        <v>3.0342492237955286E-63</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2.6918166434543304E-2</v>
      </c>
      <c r="C141" s="3">
        <f t="shared" si="59"/>
        <v>2.6918166434542996E-2</v>
      </c>
      <c r="D141" s="3">
        <f t="shared" si="59"/>
        <v>2.6918166434539918E-2</v>
      </c>
      <c r="E141" s="3">
        <f t="shared" si="59"/>
        <v>2.6918166434509189E-2</v>
      </c>
      <c r="F141" s="3">
        <f t="shared" si="59"/>
        <v>2.6918166434201852E-2</v>
      </c>
      <c r="G141" s="3">
        <f t="shared" si="59"/>
        <v>2.6918166431128508E-2</v>
      </c>
      <c r="H141" s="3">
        <f t="shared" si="59"/>
        <v>2.6918166400395061E-2</v>
      </c>
      <c r="I141" s="3">
        <f t="shared" si="59"/>
        <v>2.691816609306057E-2</v>
      </c>
      <c r="J141" s="3">
        <f t="shared" si="59"/>
        <v>2.6918163019715856E-2</v>
      </c>
      <c r="K141" s="3">
        <f t="shared" si="59"/>
        <v>2.6918132286288039E-2</v>
      </c>
      <c r="L141" s="3">
        <f t="shared" si="59"/>
        <v>2.6917824953939781E-2</v>
      </c>
      <c r="M141" s="3">
        <f t="shared" si="59"/>
        <v>2.6914751823440379E-2</v>
      </c>
      <c r="N141" s="3">
        <f t="shared" si="59"/>
        <v>2.6884039808613602E-2</v>
      </c>
      <c r="O141" s="3">
        <f t="shared" si="59"/>
        <v>2.6578840552910571E-2</v>
      </c>
      <c r="P141" s="3">
        <f t="shared" si="59"/>
        <v>2.3711064498617207E-2</v>
      </c>
      <c r="Q141" s="3">
        <f t="shared" si="59"/>
        <v>7.570093656829203E-3</v>
      </c>
      <c r="R141" s="3">
        <f t="shared" si="59"/>
        <v>8.3291994109111297E-8</v>
      </c>
      <c r="S141" s="3">
        <f t="shared" si="59"/>
        <v>2.1658248433958574E-57</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2.7316066250347042E-2</v>
      </c>
      <c r="C142" s="3">
        <f t="shared" si="61"/>
        <v>2.7316066250347014E-2</v>
      </c>
      <c r="D142" s="3">
        <f t="shared" si="61"/>
        <v>2.7316066250346733E-2</v>
      </c>
      <c r="E142" s="3">
        <f t="shared" si="61"/>
        <v>2.7316066250343919E-2</v>
      </c>
      <c r="F142" s="3">
        <f t="shared" si="61"/>
        <v>2.7316066250315785E-2</v>
      </c>
      <c r="G142" s="3">
        <f t="shared" si="61"/>
        <v>2.7316066250034444E-2</v>
      </c>
      <c r="H142" s="3">
        <f t="shared" si="61"/>
        <v>2.7316066247221053E-2</v>
      </c>
      <c r="I142" s="3">
        <f t="shared" si="61"/>
        <v>2.7316066219087113E-2</v>
      </c>
      <c r="J142" s="3">
        <f t="shared" si="61"/>
        <v>2.7316065937747696E-2</v>
      </c>
      <c r="K142" s="3">
        <f t="shared" si="61"/>
        <v>2.7316063124353734E-2</v>
      </c>
      <c r="L142" s="3">
        <f t="shared" si="61"/>
        <v>2.7316034990430026E-2</v>
      </c>
      <c r="M142" s="3">
        <f t="shared" si="61"/>
        <v>2.7315753652786653E-2</v>
      </c>
      <c r="N142" s="3">
        <f t="shared" si="61"/>
        <v>2.7312940435715832E-2</v>
      </c>
      <c r="O142" s="3">
        <f t="shared" si="61"/>
        <v>2.7284824195229141E-2</v>
      </c>
      <c r="P142" s="3">
        <f t="shared" si="61"/>
        <v>2.7005248758541218E-2</v>
      </c>
      <c r="Q142" s="3">
        <f t="shared" si="61"/>
        <v>2.4362306637584721E-2</v>
      </c>
      <c r="R142" s="3">
        <f t="shared" si="61"/>
        <v>8.6980246773926597E-3</v>
      </c>
      <c r="S142" s="3">
        <f t="shared" si="61"/>
        <v>2.9271362534934545E-7</v>
      </c>
      <c r="T142" s="3">
        <f t="shared" si="61"/>
        <v>5.4533826233669353E-52</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2.9609291080511132E-2</v>
      </c>
      <c r="C143" s="3">
        <f t="shared" si="63"/>
        <v>2.9609291080511128E-2</v>
      </c>
      <c r="D143" s="3">
        <f t="shared" si="63"/>
        <v>2.9609291080511101E-2</v>
      </c>
      <c r="E143" s="3">
        <f t="shared" si="63"/>
        <v>2.9609291080510827E-2</v>
      </c>
      <c r="F143" s="3">
        <f t="shared" si="63"/>
        <v>2.9609291080508075E-2</v>
      </c>
      <c r="G143" s="3">
        <f t="shared" si="63"/>
        <v>2.9609291080480566E-2</v>
      </c>
      <c r="H143" s="3">
        <f t="shared" si="63"/>
        <v>2.9609291080205467E-2</v>
      </c>
      <c r="I143" s="3">
        <f t="shared" si="63"/>
        <v>2.960929107745449E-2</v>
      </c>
      <c r="J143" s="3">
        <f t="shared" si="63"/>
        <v>2.9609291049944718E-2</v>
      </c>
      <c r="K143" s="3">
        <f t="shared" si="63"/>
        <v>2.9609290774846978E-2</v>
      </c>
      <c r="L143" s="3">
        <f t="shared" si="63"/>
        <v>2.960928802386974E-2</v>
      </c>
      <c r="M143" s="3">
        <f t="shared" si="63"/>
        <v>2.9609260514111408E-2</v>
      </c>
      <c r="N143" s="3">
        <f t="shared" si="63"/>
        <v>2.9608985417933859E-2</v>
      </c>
      <c r="O143" s="3">
        <f t="shared" si="63"/>
        <v>2.9606234596728172E-2</v>
      </c>
      <c r="P143" s="3">
        <f t="shared" si="63"/>
        <v>2.9578740436823753E-2</v>
      </c>
      <c r="Q143" s="3">
        <f t="shared" si="63"/>
        <v>2.9305199234375728E-2</v>
      </c>
      <c r="R143" s="3">
        <f t="shared" si="63"/>
        <v>2.6705130116318108E-2</v>
      </c>
      <c r="S143" s="3">
        <f t="shared" si="63"/>
        <v>1.0546173175978023E-2</v>
      </c>
      <c r="T143" s="3">
        <f t="shared" si="63"/>
        <v>9.729642878826386E-7</v>
      </c>
      <c r="U143" s="3">
        <f t="shared" si="63"/>
        <v>4.3462721332259676E-47</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2.5103127911926253E-2</v>
      </c>
      <c r="C144" s="3">
        <f t="shared" si="65"/>
        <v>2.5103127911926253E-2</v>
      </c>
      <c r="D144" s="3">
        <f t="shared" si="65"/>
        <v>2.5103127911926249E-2</v>
      </c>
      <c r="E144" s="3">
        <f t="shared" si="65"/>
        <v>2.5103127911926232E-2</v>
      </c>
      <c r="F144" s="3">
        <f t="shared" si="65"/>
        <v>2.510312791192602E-2</v>
      </c>
      <c r="G144" s="3">
        <f t="shared" si="65"/>
        <v>2.5103127911923914E-2</v>
      </c>
      <c r="H144" s="3">
        <f t="shared" si="65"/>
        <v>2.5103127911902876E-2</v>
      </c>
      <c r="I144" s="3">
        <f t="shared" si="65"/>
        <v>2.5103127911692481E-2</v>
      </c>
      <c r="J144" s="3">
        <f t="shared" si="65"/>
        <v>2.5103127909588543E-2</v>
      </c>
      <c r="K144" s="3">
        <f t="shared" si="65"/>
        <v>2.5103127888549136E-2</v>
      </c>
      <c r="L144" s="3">
        <f t="shared" si="65"/>
        <v>2.5103127678155094E-2</v>
      </c>
      <c r="M144" s="3">
        <f t="shared" si="65"/>
        <v>2.5103125574214756E-2</v>
      </c>
      <c r="N144" s="3">
        <f t="shared" si="65"/>
        <v>2.5103104534821084E-2</v>
      </c>
      <c r="O144" s="3">
        <f t="shared" si="65"/>
        <v>2.5102894141854213E-2</v>
      </c>
      <c r="P144" s="3">
        <f t="shared" si="65"/>
        <v>2.5100790309166537E-2</v>
      </c>
      <c r="Q144" s="3">
        <f t="shared" si="65"/>
        <v>2.5079761677385536E-2</v>
      </c>
      <c r="R144" s="3">
        <f t="shared" si="65"/>
        <v>2.4870441869394286E-2</v>
      </c>
      <c r="S144" s="3">
        <f t="shared" si="65"/>
        <v>2.2870963597048641E-2</v>
      </c>
      <c r="T144" s="3">
        <f t="shared" si="65"/>
        <v>9.8922270349985492E-3</v>
      </c>
      <c r="U144" s="3">
        <f t="shared" si="65"/>
        <v>2.2666799397746879E-6</v>
      </c>
      <c r="V144" s="3">
        <f t="shared" si="65"/>
        <v>9.0438106288979164E-43</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2.985290056573784E-2</v>
      </c>
      <c r="C145" s="3">
        <f t="shared" si="68"/>
        <v>2.985290056573784E-2</v>
      </c>
      <c r="D145" s="3">
        <f t="shared" si="68"/>
        <v>2.985290056573784E-2</v>
      </c>
      <c r="E145" s="3">
        <f t="shared" si="68"/>
        <v>2.9852900565737837E-2</v>
      </c>
      <c r="F145" s="3">
        <f t="shared" si="68"/>
        <v>2.9852900565737812E-2</v>
      </c>
      <c r="G145" s="3">
        <f t="shared" si="68"/>
        <v>2.9852900565737587E-2</v>
      </c>
      <c r="H145" s="3">
        <f t="shared" si="68"/>
        <v>2.9852900565735332E-2</v>
      </c>
      <c r="I145" s="3">
        <f t="shared" si="68"/>
        <v>2.985290056571276E-2</v>
      </c>
      <c r="J145" s="3">
        <f t="shared" si="68"/>
        <v>2.9852900565487058E-2</v>
      </c>
      <c r="K145" s="3">
        <f t="shared" si="68"/>
        <v>2.985290056323002E-2</v>
      </c>
      <c r="L145" s="3">
        <f t="shared" si="68"/>
        <v>2.9852900540659647E-2</v>
      </c>
      <c r="M145" s="3">
        <f t="shared" si="68"/>
        <v>2.9852900314955921E-2</v>
      </c>
      <c r="N145" s="3">
        <f t="shared" si="68"/>
        <v>2.985289805791877E-2</v>
      </c>
      <c r="O145" s="3">
        <f t="shared" si="68"/>
        <v>2.9852875487556597E-2</v>
      </c>
      <c r="P145" s="3">
        <f t="shared" si="68"/>
        <v>2.9852649784873436E-2</v>
      </c>
      <c r="Q145" s="3">
        <f t="shared" si="68"/>
        <v>2.9850392851893091E-2</v>
      </c>
      <c r="R145" s="3">
        <f t="shared" si="68"/>
        <v>2.9827832904590873E-2</v>
      </c>
      <c r="S145" s="3">
        <f t="shared" si="68"/>
        <v>2.9603169062338151E-2</v>
      </c>
      <c r="T145" s="3">
        <f t="shared" si="68"/>
        <v>2.7447528477891635E-2</v>
      </c>
      <c r="U145" s="3">
        <f t="shared" si="68"/>
        <v>1.2887053569654987E-2</v>
      </c>
      <c r="V145" s="3">
        <f t="shared" si="68"/>
        <v>6.7089959319275055E-6</v>
      </c>
      <c r="W145" s="3">
        <f t="shared" si="68"/>
        <v>9.8106204834270089E-39</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3.2229654464622864E-2</v>
      </c>
      <c r="C146" s="3">
        <f t="shared" si="70"/>
        <v>3.2229654464622864E-2</v>
      </c>
      <c r="D146" s="3">
        <f t="shared" si="70"/>
        <v>3.2229654464622864E-2</v>
      </c>
      <c r="E146" s="3">
        <f t="shared" si="70"/>
        <v>3.2229654464622864E-2</v>
      </c>
      <c r="F146" s="3">
        <f t="shared" si="70"/>
        <v>3.2229654464622857E-2</v>
      </c>
      <c r="G146" s="3">
        <f t="shared" si="70"/>
        <v>3.2229654464622837E-2</v>
      </c>
      <c r="H146" s="3">
        <f t="shared" si="70"/>
        <v>3.2229654464622622E-2</v>
      </c>
      <c r="I146" s="3">
        <f t="shared" si="70"/>
        <v>3.2229654464620422E-2</v>
      </c>
      <c r="J146" s="3">
        <f t="shared" si="70"/>
        <v>3.222965446459844E-2</v>
      </c>
      <c r="K146" s="3">
        <f t="shared" si="70"/>
        <v>3.2229654464378629E-2</v>
      </c>
      <c r="L146" s="3">
        <f t="shared" si="70"/>
        <v>3.2229654462180492E-2</v>
      </c>
      <c r="M146" s="3">
        <f t="shared" si="70"/>
        <v>3.2229654440199137E-2</v>
      </c>
      <c r="N146" s="3">
        <f t="shared" si="70"/>
        <v>3.2229654220385602E-2</v>
      </c>
      <c r="O146" s="3">
        <f t="shared" si="70"/>
        <v>3.2229652022250324E-2</v>
      </c>
      <c r="P146" s="3">
        <f t="shared" si="70"/>
        <v>3.2229630040905781E-2</v>
      </c>
      <c r="Q146" s="3">
        <f t="shared" si="70"/>
        <v>3.2229410228284919E-2</v>
      </c>
      <c r="R146" s="3">
        <f t="shared" si="70"/>
        <v>3.2227212184528745E-2</v>
      </c>
      <c r="S146" s="3">
        <f t="shared" si="70"/>
        <v>3.2205239990134887E-2</v>
      </c>
      <c r="T146" s="3">
        <f t="shared" si="70"/>
        <v>3.1986340286623997E-2</v>
      </c>
      <c r="U146" s="3">
        <f t="shared" si="70"/>
        <v>2.987752969412908E-2</v>
      </c>
      <c r="V146" s="3">
        <f t="shared" si="70"/>
        <v>1.5105879706940247E-2</v>
      </c>
      <c r="W146" s="3">
        <f t="shared" si="70"/>
        <v>1.6487673338689106E-5</v>
      </c>
      <c r="X146" s="3">
        <f t="shared" si="70"/>
        <v>3.9563335519095631E-35</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5.4487827383483636E-2</v>
      </c>
      <c r="C147" s="3">
        <f t="shared" si="72"/>
        <v>5.4487827383483636E-2</v>
      </c>
      <c r="D147" s="3">
        <f t="shared" si="72"/>
        <v>5.4487827383483636E-2</v>
      </c>
      <c r="E147" s="3">
        <f t="shared" si="72"/>
        <v>5.4487827383483636E-2</v>
      </c>
      <c r="F147" s="3">
        <f t="shared" si="72"/>
        <v>5.4487827383483636E-2</v>
      </c>
      <c r="G147" s="3">
        <f t="shared" si="72"/>
        <v>5.4487827383483629E-2</v>
      </c>
      <c r="H147" s="3">
        <f t="shared" si="72"/>
        <v>5.4487827383483602E-2</v>
      </c>
      <c r="I147" s="3">
        <f t="shared" si="72"/>
        <v>5.4487827383483262E-2</v>
      </c>
      <c r="J147" s="3">
        <f t="shared" si="72"/>
        <v>5.448782738347991E-2</v>
      </c>
      <c r="K147" s="3">
        <f t="shared" si="72"/>
        <v>5.4487827383446388E-2</v>
      </c>
      <c r="L147" s="3">
        <f t="shared" si="72"/>
        <v>5.4487827383111156E-2</v>
      </c>
      <c r="M147" s="3">
        <f t="shared" si="72"/>
        <v>5.4487827379758845E-2</v>
      </c>
      <c r="N147" s="3">
        <f t="shared" si="72"/>
        <v>5.4487827346235689E-2</v>
      </c>
      <c r="O147" s="3">
        <f t="shared" si="72"/>
        <v>5.4487827011004152E-2</v>
      </c>
      <c r="P147" s="3">
        <f t="shared" si="72"/>
        <v>5.4487823658688914E-2</v>
      </c>
      <c r="Q147" s="3">
        <f t="shared" si="72"/>
        <v>5.448779013554788E-2</v>
      </c>
      <c r="R147" s="3">
        <f t="shared" si="72"/>
        <v>5.4487454905271876E-2</v>
      </c>
      <c r="S147" s="3">
        <f t="shared" si="72"/>
        <v>5.4484102715945532E-2</v>
      </c>
      <c r="T147" s="3">
        <f t="shared" si="72"/>
        <v>5.445059216346642E-2</v>
      </c>
      <c r="U147" s="3">
        <f t="shared" si="72"/>
        <v>5.411661813974266E-2</v>
      </c>
      <c r="V147" s="3">
        <f t="shared" si="72"/>
        <v>5.0887494108849594E-2</v>
      </c>
      <c r="W147" s="3">
        <f t="shared" si="72"/>
        <v>2.7505226659567568E-2</v>
      </c>
      <c r="X147" s="3">
        <f t="shared" si="72"/>
        <v>5.8540558104437677E-5</v>
      </c>
      <c r="Y147" s="3">
        <f t="shared" si="72"/>
        <v>1.1165371103172481E-31</v>
      </c>
      <c r="Z147" s="3">
        <f t="shared" si="72"/>
        <v>7.1127279811087123E-299</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6.3046504540403295E-2</v>
      </c>
      <c r="C148" s="3">
        <f t="shared" si="74"/>
        <v>6.3046504540403295E-2</v>
      </c>
      <c r="D148" s="3">
        <f t="shared" si="74"/>
        <v>6.3046504540403295E-2</v>
      </c>
      <c r="E148" s="3">
        <f t="shared" si="74"/>
        <v>6.3046504540403295E-2</v>
      </c>
      <c r="F148" s="3">
        <f t="shared" si="74"/>
        <v>6.3046504540403295E-2</v>
      </c>
      <c r="G148" s="3">
        <f t="shared" si="74"/>
        <v>6.3046504540403295E-2</v>
      </c>
      <c r="H148" s="3">
        <f t="shared" si="74"/>
        <v>6.3046504540403281E-2</v>
      </c>
      <c r="I148" s="3">
        <f t="shared" si="74"/>
        <v>6.3046504540403253E-2</v>
      </c>
      <c r="J148" s="3">
        <f t="shared" si="74"/>
        <v>6.3046504540402906E-2</v>
      </c>
      <c r="K148" s="3">
        <f t="shared" si="74"/>
        <v>6.3046504540399409E-2</v>
      </c>
      <c r="L148" s="3">
        <f t="shared" si="74"/>
        <v>6.3046504540364423E-2</v>
      </c>
      <c r="M148" s="3">
        <f t="shared" si="74"/>
        <v>6.3046504540014509E-2</v>
      </c>
      <c r="N148" s="3">
        <f t="shared" si="74"/>
        <v>6.3046504536515433E-2</v>
      </c>
      <c r="O148" s="3">
        <f t="shared" si="74"/>
        <v>6.30465045015247E-2</v>
      </c>
      <c r="P148" s="3">
        <f t="shared" si="74"/>
        <v>6.304650415161743E-2</v>
      </c>
      <c r="Q148" s="3">
        <f t="shared" si="74"/>
        <v>6.3046500652544732E-2</v>
      </c>
      <c r="R148" s="3">
        <f t="shared" si="74"/>
        <v>6.3046465661828449E-2</v>
      </c>
      <c r="S148" s="3">
        <f t="shared" si="74"/>
        <v>6.3046115755733725E-2</v>
      </c>
      <c r="T148" s="3">
        <f t="shared" si="74"/>
        <v>6.3042616801592941E-2</v>
      </c>
      <c r="U148" s="3">
        <f t="shared" si="74"/>
        <v>6.3007637938643224E-2</v>
      </c>
      <c r="V148" s="3">
        <f t="shared" si="74"/>
        <v>6.2658914965395232E-2</v>
      </c>
      <c r="W148" s="3">
        <f t="shared" si="74"/>
        <v>5.9276094644850959E-2</v>
      </c>
      <c r="X148" s="3">
        <f t="shared" si="74"/>
        <v>3.4028805876584356E-2</v>
      </c>
      <c r="Y148" s="3">
        <f t="shared" si="74"/>
        <v>1.3228724572944306E-4</v>
      </c>
      <c r="Z148" s="3">
        <f t="shared" si="74"/>
        <v>1.0428710823643833E-28</v>
      </c>
      <c r="AA148" s="3">
        <f>$C34*EXP(-AA$129/$A34/EXP(-$B$126))</f>
        <v>9.6684561679816692E-270</v>
      </c>
      <c r="AB148" s="3">
        <f t="shared" si="67"/>
        <v>0</v>
      </c>
      <c r="AC148" s="3">
        <f t="shared" si="67"/>
        <v>0</v>
      </c>
      <c r="AD148" s="3">
        <f t="shared" si="67"/>
        <v>0</v>
      </c>
      <c r="AE148" s="3">
        <f t="shared" si="67"/>
        <v>0</v>
      </c>
      <c r="AF148" s="3">
        <f t="shared" si="67"/>
        <v>0</v>
      </c>
    </row>
    <row r="149" spans="1:32" x14ac:dyDescent="0.25">
      <c r="B149" s="3">
        <f t="shared" ref="B149:Z149" si="75">$C35*EXP(-B$129/$A35/EXP(-$B$126))</f>
        <v>6.2829439903481887E-2</v>
      </c>
      <c r="C149" s="3">
        <f t="shared" si="75"/>
        <v>6.2829439903481887E-2</v>
      </c>
      <c r="D149" s="3">
        <f t="shared" si="75"/>
        <v>6.2829439903481887E-2</v>
      </c>
      <c r="E149" s="3">
        <f t="shared" si="75"/>
        <v>6.2829439903481887E-2</v>
      </c>
      <c r="F149" s="3">
        <f t="shared" si="75"/>
        <v>6.2829439903481887E-2</v>
      </c>
      <c r="G149" s="3">
        <f t="shared" si="75"/>
        <v>6.2829439903481887E-2</v>
      </c>
      <c r="H149" s="3">
        <f t="shared" si="75"/>
        <v>6.2829439903481887E-2</v>
      </c>
      <c r="I149" s="3">
        <f t="shared" si="75"/>
        <v>6.2829439903481873E-2</v>
      </c>
      <c r="J149" s="3">
        <f t="shared" si="75"/>
        <v>6.2829439903481846E-2</v>
      </c>
      <c r="K149" s="3">
        <f t="shared" si="75"/>
        <v>6.282943990348154E-2</v>
      </c>
      <c r="L149" s="3">
        <f t="shared" si="75"/>
        <v>6.282943990347839E-2</v>
      </c>
      <c r="M149" s="3">
        <f t="shared" si="75"/>
        <v>6.2829439903446929E-2</v>
      </c>
      <c r="N149" s="3">
        <f t="shared" si="75"/>
        <v>6.2829439903132375E-2</v>
      </c>
      <c r="O149" s="3">
        <f t="shared" si="75"/>
        <v>6.2829439899986794E-2</v>
      </c>
      <c r="P149" s="3">
        <f t="shared" si="75"/>
        <v>6.2829439868530915E-2</v>
      </c>
      <c r="Q149" s="3">
        <f t="shared" si="75"/>
        <v>6.2829439553972188E-2</v>
      </c>
      <c r="R149" s="3">
        <f t="shared" si="75"/>
        <v>6.2829436408384953E-2</v>
      </c>
      <c r="S149" s="3">
        <f t="shared" si="75"/>
        <v>6.2829404952521345E-2</v>
      </c>
      <c r="T149" s="3">
        <f t="shared" si="75"/>
        <v>6.2829090394751319E-2</v>
      </c>
      <c r="U149" s="3">
        <f t="shared" si="75"/>
        <v>6.2825944903666289E-2</v>
      </c>
      <c r="V149" s="3">
        <f t="shared" si="75"/>
        <v>6.2794498652730624E-2</v>
      </c>
      <c r="W149" s="3">
        <f t="shared" si="75"/>
        <v>6.2480900532795182E-2</v>
      </c>
      <c r="X149" s="3">
        <f t="shared" si="75"/>
        <v>5.9429778277361574E-2</v>
      </c>
      <c r="Y149" s="3">
        <f t="shared" si="75"/>
        <v>3.6022380232475351E-2</v>
      </c>
      <c r="Z149" s="3">
        <f t="shared" si="75"/>
        <v>2.4113228808439143E-4</v>
      </c>
      <c r="AA149" s="3">
        <f t="shared" ref="AA149" si="76">$C35*EXP(-AA$129/$A35/EXP(-$B$126))</f>
        <v>4.3559709801592262E-26</v>
      </c>
      <c r="AB149" s="3">
        <f t="shared" si="67"/>
        <v>1.6120595626633491E-243</v>
      </c>
      <c r="AC149" s="3">
        <f t="shared" si="67"/>
        <v>0</v>
      </c>
      <c r="AD149" s="3">
        <f t="shared" si="67"/>
        <v>0</v>
      </c>
      <c r="AE149" s="3">
        <f t="shared" si="67"/>
        <v>0</v>
      </c>
      <c r="AF149" s="3">
        <f t="shared" si="67"/>
        <v>0</v>
      </c>
    </row>
    <row r="150" spans="1:32" x14ac:dyDescent="0.25">
      <c r="B150" s="3">
        <f t="shared" ref="B150:Z150" si="77">$C36*EXP(-B$129/$A36/EXP(-$B$126))</f>
        <v>5.5245188990655253E-2</v>
      </c>
      <c r="C150" s="3">
        <f t="shared" si="77"/>
        <v>5.5245188990655253E-2</v>
      </c>
      <c r="D150" s="3">
        <f t="shared" si="77"/>
        <v>5.5245188990655253E-2</v>
      </c>
      <c r="E150" s="3">
        <f t="shared" si="77"/>
        <v>5.5245188990655253E-2</v>
      </c>
      <c r="F150" s="3">
        <f t="shared" si="77"/>
        <v>5.5245188990655253E-2</v>
      </c>
      <c r="G150" s="3">
        <f t="shared" si="77"/>
        <v>5.5245188990655253E-2</v>
      </c>
      <c r="H150" s="3">
        <f t="shared" si="77"/>
        <v>5.5245188990655253E-2</v>
      </c>
      <c r="I150" s="3">
        <f t="shared" si="77"/>
        <v>5.5245188990655253E-2</v>
      </c>
      <c r="J150" s="3">
        <f t="shared" si="77"/>
        <v>5.5245188990655253E-2</v>
      </c>
      <c r="K150" s="3">
        <f t="shared" si="77"/>
        <v>5.5245188990655225E-2</v>
      </c>
      <c r="L150" s="3">
        <f t="shared" si="77"/>
        <v>5.5245188990654975E-2</v>
      </c>
      <c r="M150" s="3">
        <f t="shared" si="77"/>
        <v>5.5245188990652477E-2</v>
      </c>
      <c r="N150" s="3">
        <f t="shared" si="77"/>
        <v>5.5245188990627532E-2</v>
      </c>
      <c r="O150" s="3">
        <f t="shared" si="77"/>
        <v>5.524518899037803E-2</v>
      </c>
      <c r="P150" s="3">
        <f t="shared" si="77"/>
        <v>5.524518898788297E-2</v>
      </c>
      <c r="Q150" s="3">
        <f t="shared" si="77"/>
        <v>5.5245188962932457E-2</v>
      </c>
      <c r="R150" s="3">
        <f t="shared" si="77"/>
        <v>5.5245188713427248E-2</v>
      </c>
      <c r="S150" s="3">
        <f t="shared" si="77"/>
        <v>5.524518621837525E-2</v>
      </c>
      <c r="T150" s="3">
        <f t="shared" si="77"/>
        <v>5.5245161267861498E-2</v>
      </c>
      <c r="U150" s="3">
        <f t="shared" si="77"/>
        <v>5.5244911763343722E-2</v>
      </c>
      <c r="V150" s="3">
        <f t="shared" si="77"/>
        <v>5.5242416780141385E-2</v>
      </c>
      <c r="W150" s="3">
        <f t="shared" si="77"/>
        <v>5.521747314462315E-2</v>
      </c>
      <c r="X150" s="3">
        <f t="shared" si="77"/>
        <v>5.4968655405748433E-2</v>
      </c>
      <c r="Y150" s="3">
        <f t="shared" si="77"/>
        <v>5.2541318284313167E-2</v>
      </c>
      <c r="Z150" s="3">
        <f t="shared" si="77"/>
        <v>3.3447177869900348E-2</v>
      </c>
      <c r="AA150" s="3">
        <f t="shared" ref="AA150" si="78">$C36*EXP(-AA$129/$A36/EXP(-$B$126))</f>
        <v>3.6554817906708949E-4</v>
      </c>
      <c r="AB150" s="3">
        <f t="shared" si="67"/>
        <v>8.8878368964400219E-24</v>
      </c>
      <c r="AC150" s="3">
        <f t="shared" si="67"/>
        <v>6.416683061901175E-220</v>
      </c>
      <c r="AD150" s="3">
        <f t="shared" si="67"/>
        <v>0</v>
      </c>
      <c r="AE150" s="3">
        <f t="shared" si="67"/>
        <v>0</v>
      </c>
      <c r="AF150" s="3">
        <f t="shared" si="67"/>
        <v>0</v>
      </c>
    </row>
    <row r="151" spans="1:32" x14ac:dyDescent="0.25">
      <c r="B151" s="3">
        <f t="shared" ref="B151:Z151" si="79">$C37*EXP(-B$129/$A37/EXP(-$B$126))</f>
        <v>6.6645884688751614E-2</v>
      </c>
      <c r="C151" s="3">
        <f t="shared" si="79"/>
        <v>6.6645884688751614E-2</v>
      </c>
      <c r="D151" s="3">
        <f t="shared" si="79"/>
        <v>6.6645884688751614E-2</v>
      </c>
      <c r="E151" s="3">
        <f t="shared" si="79"/>
        <v>6.6645884688751614E-2</v>
      </c>
      <c r="F151" s="3">
        <f t="shared" si="79"/>
        <v>6.6645884688751614E-2</v>
      </c>
      <c r="G151" s="3">
        <f t="shared" si="79"/>
        <v>6.6645884688751614E-2</v>
      </c>
      <c r="H151" s="3">
        <f t="shared" si="79"/>
        <v>6.6645884688751614E-2</v>
      </c>
      <c r="I151" s="3">
        <f t="shared" si="79"/>
        <v>6.6645884688751614E-2</v>
      </c>
      <c r="J151" s="3">
        <f t="shared" si="79"/>
        <v>6.6645884688751614E-2</v>
      </c>
      <c r="K151" s="3">
        <f t="shared" si="79"/>
        <v>6.6645884688751614E-2</v>
      </c>
      <c r="L151" s="3">
        <f t="shared" si="79"/>
        <v>6.6645884688751586E-2</v>
      </c>
      <c r="M151" s="3">
        <f t="shared" si="79"/>
        <v>6.6645884688751308E-2</v>
      </c>
      <c r="N151" s="3">
        <f t="shared" si="79"/>
        <v>6.6645884688748588E-2</v>
      </c>
      <c r="O151" s="3">
        <f t="shared" si="79"/>
        <v>6.6645884688721443E-2</v>
      </c>
      <c r="P151" s="3">
        <f t="shared" si="79"/>
        <v>6.6645884688449925E-2</v>
      </c>
      <c r="Q151" s="3">
        <f t="shared" si="79"/>
        <v>6.6645884685734708E-2</v>
      </c>
      <c r="R151" s="3">
        <f t="shared" si="79"/>
        <v>6.6645884658582497E-2</v>
      </c>
      <c r="S151" s="3">
        <f t="shared" si="79"/>
        <v>6.6645884387060469E-2</v>
      </c>
      <c r="T151" s="3">
        <f t="shared" si="79"/>
        <v>6.6645881671840199E-2</v>
      </c>
      <c r="U151" s="3">
        <f t="shared" si="79"/>
        <v>6.6645854519643638E-2</v>
      </c>
      <c r="V151" s="3">
        <f t="shared" si="79"/>
        <v>6.6645582998286421E-2</v>
      </c>
      <c r="W151" s="3">
        <f t="shared" si="79"/>
        <v>6.6642867845554565E-2</v>
      </c>
      <c r="X151" s="3">
        <f t="shared" si="79"/>
        <v>6.6615722401361502E-2</v>
      </c>
      <c r="Y151" s="3">
        <f t="shared" si="79"/>
        <v>6.6344875355987112E-2</v>
      </c>
      <c r="Z151" s="3">
        <f t="shared" si="79"/>
        <v>6.3696238850084339E-2</v>
      </c>
      <c r="AA151" s="3">
        <f t="shared" ref="AA151" si="80">$C37*EXP(-AA$129/$A37/EXP(-$B$126))</f>
        <v>4.238164910534347E-2</v>
      </c>
      <c r="AB151" s="3">
        <f t="shared" si="67"/>
        <v>7.2080614159284872E-4</v>
      </c>
      <c r="AC151" s="3">
        <f t="shared" si="67"/>
        <v>1.4595693921835944E-21</v>
      </c>
      <c r="AD151" s="3">
        <f t="shared" si="67"/>
        <v>1.6915601215861898E-198</v>
      </c>
      <c r="AE151" s="3">
        <f t="shared" si="67"/>
        <v>0</v>
      </c>
      <c r="AF151" s="3">
        <f t="shared" si="67"/>
        <v>0</v>
      </c>
    </row>
    <row r="152" spans="1:32" x14ac:dyDescent="0.25">
      <c r="B152" s="3">
        <f t="shared" ref="B152:Z152" si="81">$C38*EXP(-B$129/$A38/EXP(-$B$126))</f>
        <v>2.5869055396656026E-2</v>
      </c>
      <c r="C152" s="3">
        <f t="shared" si="81"/>
        <v>2.5869055396656026E-2</v>
      </c>
      <c r="D152" s="3">
        <f t="shared" si="81"/>
        <v>2.5869055396656026E-2</v>
      </c>
      <c r="E152" s="3">
        <f t="shared" si="81"/>
        <v>2.5869055396656026E-2</v>
      </c>
      <c r="F152" s="3">
        <f t="shared" si="81"/>
        <v>2.5869055396656026E-2</v>
      </c>
      <c r="G152" s="3">
        <f t="shared" si="81"/>
        <v>2.5869055396656026E-2</v>
      </c>
      <c r="H152" s="3">
        <f t="shared" si="81"/>
        <v>2.5869055396656026E-2</v>
      </c>
      <c r="I152" s="3">
        <f t="shared" si="81"/>
        <v>2.5869055396656026E-2</v>
      </c>
      <c r="J152" s="3">
        <f t="shared" si="81"/>
        <v>2.5869055396656026E-2</v>
      </c>
      <c r="K152" s="3">
        <f t="shared" si="81"/>
        <v>2.5869055396656026E-2</v>
      </c>
      <c r="L152" s="3">
        <f t="shared" si="81"/>
        <v>2.5869055396656026E-2</v>
      </c>
      <c r="M152" s="3">
        <f t="shared" si="81"/>
        <v>2.5869055396656015E-2</v>
      </c>
      <c r="N152" s="3">
        <f t="shared" si="81"/>
        <v>2.5869055396655918E-2</v>
      </c>
      <c r="O152" s="3">
        <f t="shared" si="81"/>
        <v>2.5869055396654968E-2</v>
      </c>
      <c r="P152" s="3">
        <f t="shared" si="81"/>
        <v>2.5869055396645461E-2</v>
      </c>
      <c r="Q152" s="3">
        <f t="shared" si="81"/>
        <v>2.5869055396550388E-2</v>
      </c>
      <c r="R152" s="3">
        <f t="shared" si="81"/>
        <v>2.5869055395599656E-2</v>
      </c>
      <c r="S152" s="3">
        <f t="shared" si="81"/>
        <v>2.586905538609232E-2</v>
      </c>
      <c r="T152" s="3">
        <f t="shared" si="81"/>
        <v>2.5869055291018947E-2</v>
      </c>
      <c r="U152" s="3">
        <f t="shared" si="81"/>
        <v>2.5869054340285236E-2</v>
      </c>
      <c r="V152" s="3">
        <f t="shared" si="81"/>
        <v>2.5869044832950085E-2</v>
      </c>
      <c r="W152" s="3">
        <f t="shared" si="81"/>
        <v>2.5868949759790726E-2</v>
      </c>
      <c r="X152" s="3">
        <f t="shared" si="81"/>
        <v>2.5867999047414474E-2</v>
      </c>
      <c r="Y152" s="3">
        <f t="shared" si="81"/>
        <v>2.5858493845125036E-2</v>
      </c>
      <c r="Z152" s="3">
        <f t="shared" si="81"/>
        <v>2.5763633708511001E-2</v>
      </c>
      <c r="AA152" s="3">
        <f t="shared" ref="AA152" si="82">$C38*EXP(-AA$129/$A38/EXP(-$B$126))</f>
        <v>2.4833962585652673E-2</v>
      </c>
      <c r="AB152" s="3">
        <f t="shared" si="67"/>
        <v>1.7196302943400743E-2</v>
      </c>
      <c r="AC152" s="3">
        <f t="shared" si="67"/>
        <v>4.3583864563301642E-4</v>
      </c>
      <c r="AD152" s="3">
        <f t="shared" si="67"/>
        <v>4.766858119772071E-20</v>
      </c>
      <c r="AE152" s="3">
        <f t="shared" si="67"/>
        <v>1.1676081582297778E-179</v>
      </c>
      <c r="AF152" s="3">
        <f t="shared" si="67"/>
        <v>0</v>
      </c>
    </row>
    <row r="153" spans="1:32" x14ac:dyDescent="0.25">
      <c r="B153" s="3">
        <f t="shared" ref="B153:Z153" si="83">$C39*EXP(-B$129/$A39/EXP(-$B$126))</f>
        <v>4.8591449840458205E-2</v>
      </c>
      <c r="C153" s="3">
        <f t="shared" si="83"/>
        <v>4.8591449840458205E-2</v>
      </c>
      <c r="D153" s="3">
        <f t="shared" si="83"/>
        <v>4.8591449840458205E-2</v>
      </c>
      <c r="E153" s="3">
        <f t="shared" si="83"/>
        <v>4.8591449840458205E-2</v>
      </c>
      <c r="F153" s="3">
        <f t="shared" si="83"/>
        <v>4.8591449840458205E-2</v>
      </c>
      <c r="G153" s="3">
        <f t="shared" si="83"/>
        <v>4.8591449840458205E-2</v>
      </c>
      <c r="H153" s="3">
        <f t="shared" si="83"/>
        <v>4.8591449840458205E-2</v>
      </c>
      <c r="I153" s="3">
        <f t="shared" si="83"/>
        <v>4.8591449840458205E-2</v>
      </c>
      <c r="J153" s="3">
        <f t="shared" si="83"/>
        <v>4.8591449840458205E-2</v>
      </c>
      <c r="K153" s="3">
        <f t="shared" si="83"/>
        <v>4.8591449840458205E-2</v>
      </c>
      <c r="L153" s="3">
        <f t="shared" si="83"/>
        <v>4.8591449840458205E-2</v>
      </c>
      <c r="M153" s="3">
        <f t="shared" si="83"/>
        <v>4.8591449840458198E-2</v>
      </c>
      <c r="N153" s="3">
        <f t="shared" si="83"/>
        <v>4.8591449840458149E-2</v>
      </c>
      <c r="O153" s="3">
        <f t="shared" si="83"/>
        <v>4.8591449840457657E-2</v>
      </c>
      <c r="P153" s="3">
        <f t="shared" si="83"/>
        <v>4.8591449840452716E-2</v>
      </c>
      <c r="Q153" s="3">
        <f t="shared" si="83"/>
        <v>4.8591449840403325E-2</v>
      </c>
      <c r="R153" s="3">
        <f t="shared" si="83"/>
        <v>4.8591449839909408E-2</v>
      </c>
      <c r="S153" s="3">
        <f t="shared" si="83"/>
        <v>4.8591449834970275E-2</v>
      </c>
      <c r="T153" s="3">
        <f t="shared" si="83"/>
        <v>4.8591449785578909E-2</v>
      </c>
      <c r="U153" s="3">
        <f t="shared" si="83"/>
        <v>4.8591449291665235E-2</v>
      </c>
      <c r="V153" s="3">
        <f t="shared" si="83"/>
        <v>4.8591444352528802E-2</v>
      </c>
      <c r="W153" s="3">
        <f t="shared" si="83"/>
        <v>4.8591394961192066E-2</v>
      </c>
      <c r="X153" s="3">
        <f t="shared" si="83"/>
        <v>4.8590901050585944E-2</v>
      </c>
      <c r="Y153" s="3">
        <f t="shared" si="83"/>
        <v>4.8585962220637699E-2</v>
      </c>
      <c r="Z153" s="3">
        <f t="shared" si="83"/>
        <v>4.853660152206915E-2</v>
      </c>
      <c r="AA153" s="3">
        <f t="shared" ref="AA153" si="84">$C39*EXP(-AA$129/$A39/EXP(-$B$126))</f>
        <v>4.8045744275488252E-2</v>
      </c>
      <c r="AB153" s="3">
        <f t="shared" si="67"/>
        <v>4.3402079394400286E-2</v>
      </c>
      <c r="AC153" s="3">
        <f t="shared" si="67"/>
        <v>1.5706038350695922E-2</v>
      </c>
      <c r="AD153" s="3">
        <f t="shared" si="67"/>
        <v>6.0482233233506096E-7</v>
      </c>
      <c r="AE153" s="3">
        <f t="shared" si="67"/>
        <v>4.337499810115577E-51</v>
      </c>
      <c r="AF153" s="3">
        <f t="shared" si="67"/>
        <v>0</v>
      </c>
    </row>
    <row r="154" spans="1:32" x14ac:dyDescent="0.25">
      <c r="B154" s="3">
        <f t="shared" ref="B154:Z154" si="85">$C40*EXP(-B$129/$A40/EXP(-$B$126))</f>
        <v>2.853497416803049E-2</v>
      </c>
      <c r="C154" s="3">
        <f t="shared" si="85"/>
        <v>2.853497416803049E-2</v>
      </c>
      <c r="D154" s="3">
        <f t="shared" si="85"/>
        <v>2.853497416803049E-2</v>
      </c>
      <c r="E154" s="3">
        <f t="shared" si="85"/>
        <v>2.853497416803049E-2</v>
      </c>
      <c r="F154" s="3">
        <f t="shared" si="85"/>
        <v>2.853497416803049E-2</v>
      </c>
      <c r="G154" s="3">
        <f t="shared" si="85"/>
        <v>2.853497416803049E-2</v>
      </c>
      <c r="H154" s="3">
        <f t="shared" si="85"/>
        <v>2.853497416803049E-2</v>
      </c>
      <c r="I154" s="3">
        <f t="shared" si="85"/>
        <v>2.853497416803049E-2</v>
      </c>
      <c r="J154" s="3">
        <f t="shared" si="85"/>
        <v>2.853497416803049E-2</v>
      </c>
      <c r="K154" s="3">
        <f t="shared" si="85"/>
        <v>2.853497416803049E-2</v>
      </c>
      <c r="L154" s="3">
        <f t="shared" si="85"/>
        <v>2.853497416803049E-2</v>
      </c>
      <c r="M154" s="3">
        <f t="shared" si="85"/>
        <v>2.853497416803049E-2</v>
      </c>
      <c r="N154" s="3">
        <f t="shared" si="85"/>
        <v>2.8534974168030487E-2</v>
      </c>
      <c r="O154" s="3">
        <f t="shared" si="85"/>
        <v>2.8534974168030459E-2</v>
      </c>
      <c r="P154" s="3">
        <f t="shared" si="85"/>
        <v>2.8534974168030167E-2</v>
      </c>
      <c r="Q154" s="3">
        <f t="shared" si="85"/>
        <v>2.8534974168027267E-2</v>
      </c>
      <c r="R154" s="3">
        <f t="shared" si="85"/>
        <v>2.8534974167998262E-2</v>
      </c>
      <c r="S154" s="3">
        <f t="shared" si="85"/>
        <v>2.8534974167708213E-2</v>
      </c>
      <c r="T154" s="3">
        <f t="shared" si="85"/>
        <v>2.8534974164807745E-2</v>
      </c>
      <c r="U154" s="3">
        <f t="shared" si="85"/>
        <v>2.8534974135803023E-2</v>
      </c>
      <c r="V154" s="3">
        <f t="shared" si="85"/>
        <v>2.8534973845755825E-2</v>
      </c>
      <c r="W154" s="3">
        <f t="shared" si="85"/>
        <v>2.8534970945284014E-2</v>
      </c>
      <c r="X154" s="3">
        <f t="shared" si="85"/>
        <v>2.8534941940582106E-2</v>
      </c>
      <c r="Y154" s="3">
        <f t="shared" si="85"/>
        <v>2.8534651895184546E-2</v>
      </c>
      <c r="Z154" s="3">
        <f t="shared" si="85"/>
        <v>2.853175160335427E-2</v>
      </c>
      <c r="AA154" s="3">
        <f t="shared" ref="AA154:AF154" si="86">$C40*EXP(-AA$129/$A40/EXP(-$B$126))</f>
        <v>2.8502764893486712E-2</v>
      </c>
      <c r="AB154" s="3">
        <f t="shared" si="86"/>
        <v>2.8214512559025302E-2</v>
      </c>
      <c r="AC154" s="3">
        <f t="shared" si="86"/>
        <v>2.5487554259532301E-2</v>
      </c>
      <c r="AD154" s="3">
        <f t="shared" si="86"/>
        <v>9.2232563566367991E-3</v>
      </c>
      <c r="AE154" s="3">
        <f t="shared" si="86"/>
        <v>3.5517749904756028E-7</v>
      </c>
      <c r="AF154" s="3">
        <f t="shared" si="86"/>
        <v>2.5471650967786398E-51</v>
      </c>
    </row>
    <row r="155" spans="1:32" x14ac:dyDescent="0.25">
      <c r="B155" s="3">
        <f t="shared" ref="B155:Z155" si="87">$C41*EXP(-B$129/$A41/EXP(-$B$126))</f>
        <v>1.8710063230340357E-2</v>
      </c>
      <c r="C155" s="3">
        <f t="shared" si="87"/>
        <v>1.8710063230340357E-2</v>
      </c>
      <c r="D155" s="3">
        <f t="shared" si="87"/>
        <v>1.8710063230340357E-2</v>
      </c>
      <c r="E155" s="3">
        <f t="shared" si="87"/>
        <v>1.8710063230340357E-2</v>
      </c>
      <c r="F155" s="3">
        <f t="shared" si="87"/>
        <v>1.8710063230340357E-2</v>
      </c>
      <c r="G155" s="3">
        <f t="shared" si="87"/>
        <v>1.8710063230340357E-2</v>
      </c>
      <c r="H155" s="3">
        <f t="shared" si="87"/>
        <v>1.8710063230340357E-2</v>
      </c>
      <c r="I155" s="3">
        <f t="shared" si="87"/>
        <v>1.8710063230340357E-2</v>
      </c>
      <c r="J155" s="3">
        <f t="shared" si="87"/>
        <v>1.8710063230340357E-2</v>
      </c>
      <c r="K155" s="3">
        <f t="shared" si="87"/>
        <v>1.8710063230340357E-2</v>
      </c>
      <c r="L155" s="3">
        <f t="shared" si="87"/>
        <v>1.8710063230340357E-2</v>
      </c>
      <c r="M155" s="3">
        <f t="shared" si="87"/>
        <v>1.8710063230340357E-2</v>
      </c>
      <c r="N155" s="3">
        <f t="shared" si="87"/>
        <v>1.8710063230340357E-2</v>
      </c>
      <c r="O155" s="3">
        <f t="shared" si="87"/>
        <v>1.8710063230340353E-2</v>
      </c>
      <c r="P155" s="3">
        <f t="shared" si="87"/>
        <v>1.8710063230340336E-2</v>
      </c>
      <c r="Q155" s="3">
        <f t="shared" si="87"/>
        <v>1.8710063230340145E-2</v>
      </c>
      <c r="R155" s="3">
        <f t="shared" si="87"/>
        <v>1.8710063230338244E-2</v>
      </c>
      <c r="S155" s="3">
        <f t="shared" si="87"/>
        <v>1.8710063230319224E-2</v>
      </c>
      <c r="T155" s="3">
        <f t="shared" si="87"/>
        <v>1.8710063230129043E-2</v>
      </c>
      <c r="U155" s="3">
        <f t="shared" si="87"/>
        <v>1.8710063228227238E-2</v>
      </c>
      <c r="V155" s="3">
        <f t="shared" si="87"/>
        <v>1.8710063209209166E-2</v>
      </c>
      <c r="W155" s="3">
        <f t="shared" si="87"/>
        <v>1.8710063019028465E-2</v>
      </c>
      <c r="X155" s="3">
        <f t="shared" si="87"/>
        <v>1.8710061117221555E-2</v>
      </c>
      <c r="Y155" s="3">
        <f t="shared" si="87"/>
        <v>1.8710042099163104E-2</v>
      </c>
      <c r="Z155" s="3">
        <f t="shared" si="87"/>
        <v>1.8709851919641789E-2</v>
      </c>
      <c r="AA155" s="3">
        <f t="shared" ref="AA155:AF155" si="88">$C41*EXP(-AA$129/$A41/EXP(-$B$126))</f>
        <v>1.8707950230745514E-2</v>
      </c>
      <c r="AB155" s="3">
        <f t="shared" si="88"/>
        <v>1.8688943969472314E-2</v>
      </c>
      <c r="AC155" s="3">
        <f t="shared" si="88"/>
        <v>1.8499940139564925E-2</v>
      </c>
      <c r="AD155" s="3">
        <f t="shared" si="88"/>
        <v>1.6711904099666275E-2</v>
      </c>
      <c r="AE155" s="3">
        <f t="shared" si="88"/>
        <v>6.0475859766381534E-3</v>
      </c>
      <c r="AF155" s="3">
        <f t="shared" si="88"/>
        <v>2.3288591137465451E-7</v>
      </c>
    </row>
    <row r="156" spans="1:32" x14ac:dyDescent="0.25">
      <c r="B156" s="3">
        <f t="shared" ref="B156:Z156" si="89">$C42*EXP(-B$129/$A42/EXP(-$B$126))</f>
        <v>7.6798609611155137E-3</v>
      </c>
      <c r="C156" s="3">
        <f t="shared" si="89"/>
        <v>7.6798609611155137E-3</v>
      </c>
      <c r="D156" s="3">
        <f t="shared" si="89"/>
        <v>7.6798609611155137E-3</v>
      </c>
      <c r="E156" s="3">
        <f t="shared" si="89"/>
        <v>7.6798609611155137E-3</v>
      </c>
      <c r="F156" s="3">
        <f t="shared" si="89"/>
        <v>7.6798609611155137E-3</v>
      </c>
      <c r="G156" s="3">
        <f t="shared" si="89"/>
        <v>7.6798609611155137E-3</v>
      </c>
      <c r="H156" s="3">
        <f t="shared" si="89"/>
        <v>7.6798609611155137E-3</v>
      </c>
      <c r="I156" s="3">
        <f t="shared" si="89"/>
        <v>7.6798609611155137E-3</v>
      </c>
      <c r="J156" s="3">
        <f t="shared" si="89"/>
        <v>7.6798609611155137E-3</v>
      </c>
      <c r="K156" s="3">
        <f t="shared" si="89"/>
        <v>7.6798609611155137E-3</v>
      </c>
      <c r="L156" s="3">
        <f t="shared" si="89"/>
        <v>7.6798609611155137E-3</v>
      </c>
      <c r="M156" s="3">
        <f t="shared" si="89"/>
        <v>7.6798609611155137E-3</v>
      </c>
      <c r="N156" s="3">
        <f t="shared" si="89"/>
        <v>7.6798609611155137E-3</v>
      </c>
      <c r="O156" s="3">
        <f t="shared" si="89"/>
        <v>7.6798609611155137E-3</v>
      </c>
      <c r="P156" s="3">
        <f t="shared" si="89"/>
        <v>7.6798609611155129E-3</v>
      </c>
      <c r="Q156" s="3">
        <f t="shared" si="89"/>
        <v>7.679860961115505E-3</v>
      </c>
      <c r="R156" s="3">
        <f t="shared" si="89"/>
        <v>7.679860961115427E-3</v>
      </c>
      <c r="S156" s="3">
        <f t="shared" si="89"/>
        <v>7.6798609611146464E-3</v>
      </c>
      <c r="T156" s="3">
        <f t="shared" si="89"/>
        <v>7.6798609611068401E-3</v>
      </c>
      <c r="U156" s="3">
        <f t="shared" si="89"/>
        <v>7.6798609610287767E-3</v>
      </c>
      <c r="V156" s="3">
        <f t="shared" si="89"/>
        <v>7.6798609602481485E-3</v>
      </c>
      <c r="W156" s="3">
        <f t="shared" si="89"/>
        <v>7.6798609524418608E-3</v>
      </c>
      <c r="X156" s="3">
        <f t="shared" si="89"/>
        <v>7.6798608743789843E-3</v>
      </c>
      <c r="Y156" s="3">
        <f t="shared" si="89"/>
        <v>7.679860093750269E-3</v>
      </c>
      <c r="Z156" s="3">
        <f t="shared" si="89"/>
        <v>7.6798522874674752E-3</v>
      </c>
      <c r="AA156" s="3">
        <f t="shared" ref="AA156:AF156" si="90">$C42*EXP(-AA$129/$A42/EXP(-$B$126))</f>
        <v>7.6797742250759495E-3</v>
      </c>
      <c r="AB156" s="3">
        <f t="shared" si="90"/>
        <v>7.6789936448002499E-3</v>
      </c>
      <c r="AC156" s="3">
        <f t="shared" si="90"/>
        <v>7.6711922043576491E-3</v>
      </c>
      <c r="AD156" s="3">
        <f t="shared" si="90"/>
        <v>7.5936123951962729E-3</v>
      </c>
      <c r="AE156" s="3">
        <f t="shared" si="90"/>
        <v>6.8596828509274151E-3</v>
      </c>
      <c r="AF156" s="3">
        <f t="shared" si="90"/>
        <v>2.4823336446911683E-3</v>
      </c>
    </row>
    <row r="157" spans="1:32" x14ac:dyDescent="0.25">
      <c r="B157" s="3">
        <f t="shared" ref="B157:Z157" si="91">$C43*EXP(-B$129/$A43/EXP(-$B$126))</f>
        <v>4.1102249961922147E-3</v>
      </c>
      <c r="C157" s="3">
        <f t="shared" si="91"/>
        <v>4.1102249961922147E-3</v>
      </c>
      <c r="D157" s="3">
        <f t="shared" si="91"/>
        <v>4.1102249961922147E-3</v>
      </c>
      <c r="E157" s="3">
        <f t="shared" si="91"/>
        <v>4.1102249961922147E-3</v>
      </c>
      <c r="F157" s="3">
        <f t="shared" si="91"/>
        <v>4.1102249961922147E-3</v>
      </c>
      <c r="G157" s="3">
        <f t="shared" si="91"/>
        <v>4.1102249961922147E-3</v>
      </c>
      <c r="H157" s="3">
        <f t="shared" si="91"/>
        <v>4.1102249961922147E-3</v>
      </c>
      <c r="I157" s="3">
        <f t="shared" si="91"/>
        <v>4.1102249961922147E-3</v>
      </c>
      <c r="J157" s="3">
        <f t="shared" si="91"/>
        <v>4.1102249961922147E-3</v>
      </c>
      <c r="K157" s="3">
        <f t="shared" si="91"/>
        <v>4.1102249961922147E-3</v>
      </c>
      <c r="L157" s="3">
        <f t="shared" si="91"/>
        <v>4.1102249961922147E-3</v>
      </c>
      <c r="M157" s="3">
        <f t="shared" si="91"/>
        <v>4.1102249961922147E-3</v>
      </c>
      <c r="N157" s="3">
        <f t="shared" si="91"/>
        <v>4.1102249961922147E-3</v>
      </c>
      <c r="O157" s="3">
        <f t="shared" si="91"/>
        <v>4.1102249961922147E-3</v>
      </c>
      <c r="P157" s="3">
        <f t="shared" si="91"/>
        <v>4.1102249961922147E-3</v>
      </c>
      <c r="Q157" s="3">
        <f t="shared" si="91"/>
        <v>4.1102249961922138E-3</v>
      </c>
      <c r="R157" s="3">
        <f t="shared" si="91"/>
        <v>4.1102249961922103E-3</v>
      </c>
      <c r="S157" s="3">
        <f t="shared" si="91"/>
        <v>4.1102249961921678E-3</v>
      </c>
      <c r="T157" s="3">
        <f t="shared" si="91"/>
        <v>4.1102249961917506E-3</v>
      </c>
      <c r="U157" s="3">
        <f t="shared" si="91"/>
        <v>4.1102249961875725E-3</v>
      </c>
      <c r="V157" s="3">
        <f t="shared" si="91"/>
        <v>4.1102249961457935E-3</v>
      </c>
      <c r="W157" s="3">
        <f t="shared" si="91"/>
        <v>4.1102249957280053E-3</v>
      </c>
      <c r="X157" s="3">
        <f t="shared" si="91"/>
        <v>4.1102249915501172E-3</v>
      </c>
      <c r="Y157" s="3">
        <f t="shared" si="91"/>
        <v>4.1102249497712373E-3</v>
      </c>
      <c r="Z157" s="3">
        <f t="shared" si="91"/>
        <v>4.1102245319824676E-3</v>
      </c>
      <c r="AA157" s="3">
        <f t="shared" ref="AA157:AF157" si="92">$C43*EXP(-AA$129/$A43/EXP(-$B$126))</f>
        <v>4.1102203540971096E-3</v>
      </c>
      <c r="AB157" s="3">
        <f t="shared" si="92"/>
        <v>4.1101785754770886E-3</v>
      </c>
      <c r="AC157" s="3">
        <f t="shared" si="92"/>
        <v>4.1097608126325572E-3</v>
      </c>
      <c r="AD157" s="3">
        <f t="shared" si="92"/>
        <v>4.1055855188771315E-3</v>
      </c>
      <c r="AE157" s="3">
        <f t="shared" si="92"/>
        <v>4.0640651746379061E-3</v>
      </c>
      <c r="AF157" s="3">
        <f t="shared" si="92"/>
        <v>3.6712695793046733E-3</v>
      </c>
    </row>
    <row r="158" spans="1:32" x14ac:dyDescent="0.25">
      <c r="B158" s="3">
        <f t="shared" ref="B158:Z158" si="93">$C44*EXP(-B$129/$A44/EXP(-$B$126))</f>
        <v>3.1066969837399792E-3</v>
      </c>
      <c r="C158" s="3">
        <f t="shared" si="93"/>
        <v>3.1066969837399792E-3</v>
      </c>
      <c r="D158" s="3">
        <f t="shared" si="93"/>
        <v>3.1066969837399792E-3</v>
      </c>
      <c r="E158" s="3">
        <f t="shared" si="93"/>
        <v>3.1066969837399792E-3</v>
      </c>
      <c r="F158" s="3">
        <f t="shared" si="93"/>
        <v>3.1066969837399792E-3</v>
      </c>
      <c r="G158" s="3">
        <f t="shared" si="93"/>
        <v>3.1066969837399792E-3</v>
      </c>
      <c r="H158" s="3">
        <f t="shared" si="93"/>
        <v>3.1066969837399792E-3</v>
      </c>
      <c r="I158" s="3">
        <f t="shared" si="93"/>
        <v>3.1066969837399792E-3</v>
      </c>
      <c r="J158" s="3">
        <f t="shared" si="93"/>
        <v>3.1066969837399792E-3</v>
      </c>
      <c r="K158" s="3">
        <f t="shared" si="93"/>
        <v>3.1066969837399792E-3</v>
      </c>
      <c r="L158" s="3">
        <f t="shared" si="93"/>
        <v>3.1066969837399792E-3</v>
      </c>
      <c r="M158" s="3">
        <f t="shared" si="93"/>
        <v>3.1066969837399792E-3</v>
      </c>
      <c r="N158" s="3">
        <f t="shared" si="93"/>
        <v>3.1066969837399792E-3</v>
      </c>
      <c r="O158" s="3">
        <f t="shared" si="93"/>
        <v>3.1066969837399792E-3</v>
      </c>
      <c r="P158" s="3">
        <f t="shared" si="93"/>
        <v>3.1066969837399792E-3</v>
      </c>
      <c r="Q158" s="3">
        <f t="shared" si="93"/>
        <v>3.1066969837399792E-3</v>
      </c>
      <c r="R158" s="3">
        <f t="shared" si="93"/>
        <v>3.1066969837399787E-3</v>
      </c>
      <c r="S158" s="3">
        <f t="shared" si="93"/>
        <v>3.1066969837399757E-3</v>
      </c>
      <c r="T158" s="3">
        <f t="shared" si="93"/>
        <v>3.106696983739944E-3</v>
      </c>
      <c r="U158" s="3">
        <f t="shared" si="93"/>
        <v>3.1066969837396283E-3</v>
      </c>
      <c r="V158" s="3">
        <f t="shared" si="93"/>
        <v>3.1066969837364703E-3</v>
      </c>
      <c r="W158" s="3">
        <f t="shared" si="93"/>
        <v>3.1066969837048918E-3</v>
      </c>
      <c r="X158" s="3">
        <f t="shared" si="93"/>
        <v>3.1066969833891084E-3</v>
      </c>
      <c r="Y158" s="3">
        <f t="shared" si="93"/>
        <v>3.1066969802312685E-3</v>
      </c>
      <c r="Z158" s="3">
        <f t="shared" si="93"/>
        <v>3.1066969486528706E-3</v>
      </c>
      <c r="AA158" s="3">
        <f t="shared" ref="AA158:AF158" si="94">$C44*EXP(-AA$129/$A44/EXP(-$B$126))</f>
        <v>3.1066966328689148E-3</v>
      </c>
      <c r="AB158" s="3">
        <f t="shared" si="94"/>
        <v>3.1066934750311188E-3</v>
      </c>
      <c r="AC158" s="3">
        <f t="shared" si="94"/>
        <v>3.1066618968297005E-3</v>
      </c>
      <c r="AD158" s="3">
        <f t="shared" si="94"/>
        <v>3.106346132468814E-3</v>
      </c>
      <c r="AE158" s="3">
        <f t="shared" si="94"/>
        <v>3.1031902535258787E-3</v>
      </c>
      <c r="AF158" s="3">
        <f t="shared" si="94"/>
        <v>3.0718072688154679E-3</v>
      </c>
    </row>
    <row r="159" spans="1:32" x14ac:dyDescent="0.25">
      <c r="A159" s="11" t="s">
        <v>75</v>
      </c>
      <c r="B159" s="3">
        <f t="shared" ref="B159:Z159" si="95">$C45*EXP(-B$129/$A45/EXP(-$B$126))</f>
        <v>9.6514726179013565E-4</v>
      </c>
      <c r="C159" s="3">
        <f t="shared" si="95"/>
        <v>9.6514726179013565E-4</v>
      </c>
      <c r="D159" s="3">
        <f t="shared" si="95"/>
        <v>9.6514726179013565E-4</v>
      </c>
      <c r="E159" s="3">
        <f t="shared" si="95"/>
        <v>9.6514726179013565E-4</v>
      </c>
      <c r="F159" s="3">
        <f t="shared" si="95"/>
        <v>9.6514726179013565E-4</v>
      </c>
      <c r="G159" s="3">
        <f t="shared" si="95"/>
        <v>9.6514726179013565E-4</v>
      </c>
      <c r="H159" s="3">
        <f t="shared" si="95"/>
        <v>9.6514726179013565E-4</v>
      </c>
      <c r="I159" s="3">
        <f t="shared" si="95"/>
        <v>9.6514726179013565E-4</v>
      </c>
      <c r="J159" s="3">
        <f t="shared" si="95"/>
        <v>9.6514726179013565E-4</v>
      </c>
      <c r="K159" s="3">
        <f t="shared" si="95"/>
        <v>9.6514726179013565E-4</v>
      </c>
      <c r="L159" s="3">
        <f t="shared" si="95"/>
        <v>9.6514726179013565E-4</v>
      </c>
      <c r="M159" s="3">
        <f t="shared" si="95"/>
        <v>9.6514726179013565E-4</v>
      </c>
      <c r="N159" s="3">
        <f t="shared" si="95"/>
        <v>9.6514726179013565E-4</v>
      </c>
      <c r="O159" s="3">
        <f t="shared" si="95"/>
        <v>9.6514726179013565E-4</v>
      </c>
      <c r="P159" s="3">
        <f t="shared" si="95"/>
        <v>9.6514726179013565E-4</v>
      </c>
      <c r="Q159" s="3">
        <f t="shared" si="95"/>
        <v>9.6514726179013565E-4</v>
      </c>
      <c r="R159" s="3">
        <f t="shared" si="95"/>
        <v>9.6514726179013565E-4</v>
      </c>
      <c r="S159" s="3">
        <f t="shared" si="95"/>
        <v>9.6514726179013554E-4</v>
      </c>
      <c r="T159" s="3">
        <f t="shared" si="95"/>
        <v>9.6514726179013457E-4</v>
      </c>
      <c r="U159" s="3">
        <f t="shared" si="95"/>
        <v>9.651472617901247E-4</v>
      </c>
      <c r="V159" s="3">
        <f t="shared" si="95"/>
        <v>9.6514726179002669E-4</v>
      </c>
      <c r="W159" s="3">
        <f t="shared" si="95"/>
        <v>9.6514726178904559E-4</v>
      </c>
      <c r="X159" s="3">
        <f t="shared" si="95"/>
        <v>9.6514726177923519E-4</v>
      </c>
      <c r="Y159" s="3">
        <f t="shared" si="95"/>
        <v>9.651472616811317E-4</v>
      </c>
      <c r="Z159" s="3">
        <f t="shared" si="95"/>
        <v>9.6514726070009603E-4</v>
      </c>
      <c r="AA159" s="3">
        <f t="shared" ref="AA159:AF159" si="96">$C45*EXP(-AA$129/$A45/EXP(-$B$126))</f>
        <v>9.6514725088973994E-4</v>
      </c>
      <c r="AB159" s="3">
        <f t="shared" si="96"/>
        <v>9.6514715278618417E-4</v>
      </c>
      <c r="AC159" s="3">
        <f t="shared" si="96"/>
        <v>9.6514617175117573E-4</v>
      </c>
      <c r="AD159" s="3">
        <f t="shared" si="96"/>
        <v>9.6513636145593594E-4</v>
      </c>
      <c r="AE159" s="3">
        <f t="shared" si="96"/>
        <v>9.6503826398782887E-4</v>
      </c>
      <c r="AF159" s="3">
        <f t="shared" si="96"/>
        <v>9.6405783752967836E-4</v>
      </c>
    </row>
    <row r="160" spans="1:32" x14ac:dyDescent="0.25">
      <c r="B160" s="3">
        <f t="shared" ref="B160:Z160" si="97">$C46*EXP(-B$129/$A46/EXP(-$B$126))</f>
        <v>1.0056328677851901E-3</v>
      </c>
      <c r="C160" s="3">
        <f t="shared" si="97"/>
        <v>1.0056328677851901E-3</v>
      </c>
      <c r="D160" s="3">
        <f t="shared" si="97"/>
        <v>1.0056328677851901E-3</v>
      </c>
      <c r="E160" s="3">
        <f t="shared" si="97"/>
        <v>1.0056328677851901E-3</v>
      </c>
      <c r="F160" s="3">
        <f t="shared" si="97"/>
        <v>1.0056328677851901E-3</v>
      </c>
      <c r="G160" s="3">
        <f t="shared" si="97"/>
        <v>1.0056328677851901E-3</v>
      </c>
      <c r="H160" s="3">
        <f t="shared" si="97"/>
        <v>1.0056328677851901E-3</v>
      </c>
      <c r="I160" s="3">
        <f t="shared" si="97"/>
        <v>1.0056328677851901E-3</v>
      </c>
      <c r="J160" s="3">
        <f t="shared" si="97"/>
        <v>1.0056328677851901E-3</v>
      </c>
      <c r="K160" s="3">
        <f t="shared" si="97"/>
        <v>1.0056328677851901E-3</v>
      </c>
      <c r="L160" s="3">
        <f t="shared" si="97"/>
        <v>1.0056328677851901E-3</v>
      </c>
      <c r="M160" s="3">
        <f t="shared" si="97"/>
        <v>1.0056328677851901E-3</v>
      </c>
      <c r="N160" s="3">
        <f t="shared" si="97"/>
        <v>1.0056328677851901E-3</v>
      </c>
      <c r="O160" s="3">
        <f t="shared" si="97"/>
        <v>1.0056328677851901E-3</v>
      </c>
      <c r="P160" s="3">
        <f t="shared" si="97"/>
        <v>1.0056328677851901E-3</v>
      </c>
      <c r="Q160" s="3">
        <f t="shared" si="97"/>
        <v>1.0056328677851901E-3</v>
      </c>
      <c r="R160" s="3">
        <f t="shared" si="97"/>
        <v>1.0056328677851901E-3</v>
      </c>
      <c r="S160" s="3">
        <f t="shared" si="97"/>
        <v>1.0056328677851901E-3</v>
      </c>
      <c r="T160" s="3">
        <f t="shared" si="97"/>
        <v>1.0056328677851899E-3</v>
      </c>
      <c r="U160" s="3">
        <f t="shared" si="97"/>
        <v>1.005632867785189E-3</v>
      </c>
      <c r="V160" s="3">
        <f t="shared" si="97"/>
        <v>1.0056328677851786E-3</v>
      </c>
      <c r="W160" s="3">
        <f t="shared" si="97"/>
        <v>1.0056328677850764E-3</v>
      </c>
      <c r="X160" s="3">
        <f t="shared" si="97"/>
        <v>1.0056328677840543E-3</v>
      </c>
      <c r="Y160" s="3">
        <f t="shared" si="97"/>
        <v>1.0056328677738324E-3</v>
      </c>
      <c r="Z160" s="3">
        <f t="shared" si="97"/>
        <v>1.0056328676716136E-3</v>
      </c>
      <c r="AA160" s="3">
        <f t="shared" ref="AA160:AF160" si="98">$C46*EXP(-AA$129/$A46/EXP(-$B$126))</f>
        <v>1.0056328666494258E-3</v>
      </c>
      <c r="AB160" s="3">
        <f t="shared" si="98"/>
        <v>1.0056328564275489E-3</v>
      </c>
      <c r="AC160" s="3">
        <f t="shared" si="98"/>
        <v>1.0056327542087851E-3</v>
      </c>
      <c r="AD160" s="3">
        <f t="shared" si="98"/>
        <v>1.0056317320217179E-3</v>
      </c>
      <c r="AE160" s="3">
        <f t="shared" si="98"/>
        <v>1.0056215102081912E-3</v>
      </c>
      <c r="AF160" s="3">
        <f t="shared" si="98"/>
        <v>1.005519297787268E-3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2.1809087047795134E-2</v>
      </c>
      <c r="C162" s="3">
        <f t="shared" si="101"/>
        <v>2.1809087047795134E-2</v>
      </c>
      <c r="D162" s="3">
        <f t="shared" si="101"/>
        <v>2.1809087047795134E-2</v>
      </c>
      <c r="E162" s="3">
        <f t="shared" si="101"/>
        <v>2.1809087047795134E-2</v>
      </c>
      <c r="F162" s="3">
        <f t="shared" si="101"/>
        <v>2.1809087047795134E-2</v>
      </c>
      <c r="G162" s="3">
        <f t="shared" si="101"/>
        <v>2.1809087047795134E-2</v>
      </c>
      <c r="H162" s="3">
        <f t="shared" si="101"/>
        <v>2.1809087047795134E-2</v>
      </c>
      <c r="I162" s="3">
        <f t="shared" si="101"/>
        <v>2.1809087047795134E-2</v>
      </c>
      <c r="J162" s="3">
        <f t="shared" si="101"/>
        <v>2.1809087047795134E-2</v>
      </c>
      <c r="K162" s="3">
        <f t="shared" si="101"/>
        <v>2.1809087047795134E-2</v>
      </c>
      <c r="L162" s="3">
        <f t="shared" si="101"/>
        <v>2.1809087047795134E-2</v>
      </c>
      <c r="M162" s="3">
        <f t="shared" si="101"/>
        <v>2.1809087047795134E-2</v>
      </c>
      <c r="N162" s="3">
        <f t="shared" si="101"/>
        <v>2.1809087047795134E-2</v>
      </c>
      <c r="O162" s="3">
        <f t="shared" si="101"/>
        <v>2.1809087047795134E-2</v>
      </c>
      <c r="P162" s="3">
        <f t="shared" si="101"/>
        <v>2.1809087047795134E-2</v>
      </c>
      <c r="Q162" s="3">
        <f t="shared" si="101"/>
        <v>2.1809087047795134E-2</v>
      </c>
      <c r="R162" s="3">
        <f t="shared" si="101"/>
        <v>2.1809087047795134E-2</v>
      </c>
      <c r="S162" s="3">
        <f t="shared" si="101"/>
        <v>2.1809087047795134E-2</v>
      </c>
      <c r="T162" s="3">
        <f t="shared" si="101"/>
        <v>2.1809087047795134E-2</v>
      </c>
      <c r="U162" s="3">
        <f t="shared" si="101"/>
        <v>2.1809087047795134E-2</v>
      </c>
      <c r="V162" s="3">
        <f t="shared" si="101"/>
        <v>2.180908704779513E-2</v>
      </c>
      <c r="W162" s="3">
        <f t="shared" si="101"/>
        <v>2.1809087047795109E-2</v>
      </c>
      <c r="X162" s="3">
        <f t="shared" si="101"/>
        <v>2.1809087047794887E-2</v>
      </c>
      <c r="Y162" s="3">
        <f t="shared" si="101"/>
        <v>2.180908704779267E-2</v>
      </c>
      <c r="Z162" s="3">
        <f t="shared" si="101"/>
        <v>2.1809087047770501E-2</v>
      </c>
      <c r="AA162" s="3">
        <f t="shared" ref="AA162:AF162" si="102">$C48*EXP(-AA$129/$A48/EXP(-$B$126))</f>
        <v>2.180908704754882E-2</v>
      </c>
      <c r="AB162" s="3">
        <f t="shared" si="102"/>
        <v>2.180908704533201E-2</v>
      </c>
      <c r="AC162" s="3">
        <f t="shared" si="102"/>
        <v>2.1809087023163899E-2</v>
      </c>
      <c r="AD162" s="3">
        <f t="shared" si="102"/>
        <v>2.1809086801482795E-2</v>
      </c>
      <c r="AE162" s="3">
        <f t="shared" si="102"/>
        <v>2.180908458467188E-2</v>
      </c>
      <c r="AF162" s="3">
        <f t="shared" si="102"/>
        <v>2.1809062416575108E-2</v>
      </c>
    </row>
    <row r="163" spans="1:34" x14ac:dyDescent="0.25">
      <c r="A163" s="79">
        <f>AVERAGE(B163:AF163)</f>
        <v>3.8264136129990876E-2</v>
      </c>
      <c r="B163" s="80">
        <f>IF($A$64&lt;=B129,IF($B$64&gt;=B129,ABS((B131-B130)/B130),0),0)</f>
        <v>7.1986412307199474E-2</v>
      </c>
      <c r="C163" s="80">
        <f t="shared" ref="C163:AF163" si="103">IF($A$64&lt;=C129,IF($B$64&gt;=C129,ABS((C131-C130)/C130),0),0)</f>
        <v>9.4719856787560591E-2</v>
      </c>
      <c r="D163" s="80">
        <f t="shared" si="103"/>
        <v>6.8742661369992145E-2</v>
      </c>
      <c r="E163" s="80">
        <f t="shared" si="103"/>
        <v>5.0237224757282407E-2</v>
      </c>
      <c r="F163" s="80">
        <f t="shared" si="103"/>
        <v>3.2329702305362425E-2</v>
      </c>
      <c r="G163" s="80">
        <f t="shared" si="103"/>
        <v>1.2938116616411529E-2</v>
      </c>
      <c r="H163" s="80">
        <f t="shared" si="103"/>
        <v>1.6643212429713994E-3</v>
      </c>
      <c r="I163" s="80">
        <f t="shared" si="103"/>
        <v>1.4278953170886323E-2</v>
      </c>
      <c r="J163" s="80">
        <f t="shared" si="103"/>
        <v>9.895309099735879E-3</v>
      </c>
      <c r="K163" s="80">
        <f t="shared" si="103"/>
        <v>9.9194659575091767E-3</v>
      </c>
      <c r="L163" s="80">
        <f t="shared" si="103"/>
        <v>1.0181230182180938E-2</v>
      </c>
      <c r="M163" s="80">
        <f t="shared" si="103"/>
        <v>8.7737630217548726E-3</v>
      </c>
      <c r="N163" s="80">
        <f t="shared" si="103"/>
        <v>6.2368905663204906E-3</v>
      </c>
      <c r="O163" s="80">
        <f t="shared" si="103"/>
        <v>4.917481547311856E-3</v>
      </c>
      <c r="P163" s="80">
        <f t="shared" si="103"/>
        <v>5.2306522096733331E-3</v>
      </c>
      <c r="Q163" s="80">
        <f t="shared" si="103"/>
        <v>7.0135549567021012E-3</v>
      </c>
      <c r="R163" s="80">
        <f t="shared" si="103"/>
        <v>4.7860845602694423E-3</v>
      </c>
      <c r="S163" s="80">
        <f t="shared" si="103"/>
        <v>5.9473772611029971E-3</v>
      </c>
      <c r="T163" s="80">
        <f t="shared" si="103"/>
        <v>2.2953099262836879E-3</v>
      </c>
      <c r="U163" s="80">
        <f t="shared" si="103"/>
        <v>1.3912436274160142E-3</v>
      </c>
      <c r="V163" s="80">
        <f t="shared" si="103"/>
        <v>1.9484985269610278E-2</v>
      </c>
      <c r="W163" s="80">
        <f t="shared" si="103"/>
        <v>5.2452636975892517E-2</v>
      </c>
      <c r="X163" s="80">
        <f t="shared" si="103"/>
        <v>7.3710263684479471E-2</v>
      </c>
      <c r="Y163" s="80">
        <f t="shared" si="103"/>
        <v>7.4237111583131912E-2</v>
      </c>
      <c r="Z163" s="80">
        <f t="shared" si="103"/>
        <v>7.6842278371332978E-2</v>
      </c>
      <c r="AA163" s="80">
        <f t="shared" si="103"/>
        <v>8.3147444874015847E-2</v>
      </c>
      <c r="AB163" s="80">
        <f t="shared" si="103"/>
        <v>0.10356774489974767</v>
      </c>
      <c r="AC163" s="80">
        <f t="shared" si="103"/>
        <v>9.2047803504249751E-2</v>
      </c>
      <c r="AD163" s="80">
        <f t="shared" si="103"/>
        <v>9.3468311047318134E-2</v>
      </c>
      <c r="AE163" s="80">
        <f t="shared" si="103"/>
        <v>5.4906186438485022E-2</v>
      </c>
      <c r="AF163" s="80">
        <f t="shared" si="103"/>
        <v>3.8837841907526309E-2</v>
      </c>
    </row>
    <row r="164" spans="1:34" x14ac:dyDescent="0.25">
      <c r="B164" s="21">
        <f>(B131-B130)^2</f>
        <v>612438.28815964388</v>
      </c>
      <c r="C164" s="21">
        <f t="shared" ref="C164:AF164" si="104">(C131-C130)^2</f>
        <v>1043717.2673941802</v>
      </c>
      <c r="D164" s="21">
        <f t="shared" si="104"/>
        <v>519490.73359374912</v>
      </c>
      <c r="E164" s="21">
        <f t="shared" si="104"/>
        <v>266731.37814982224</v>
      </c>
      <c r="F164" s="21">
        <f t="shared" si="104"/>
        <v>106386.77640019738</v>
      </c>
      <c r="G164" s="21">
        <f t="shared" si="104"/>
        <v>16333.025420646041</v>
      </c>
      <c r="H164" s="21">
        <f t="shared" si="104"/>
        <v>258.24660220186058</v>
      </c>
      <c r="I164" s="21">
        <f t="shared" si="104"/>
        <v>18017.006087380498</v>
      </c>
      <c r="J164" s="21">
        <f t="shared" si="104"/>
        <v>8170.7308279040408</v>
      </c>
      <c r="K164" s="21">
        <f t="shared" si="104"/>
        <v>7684.2627362721514</v>
      </c>
      <c r="L164" s="21">
        <f t="shared" si="104"/>
        <v>7613.665259331151</v>
      </c>
      <c r="M164" s="21">
        <f t="shared" si="104"/>
        <v>5284.5347630019023</v>
      </c>
      <c r="N164" s="21">
        <f t="shared" si="104"/>
        <v>2450.1838852664869</v>
      </c>
      <c r="O164" s="21">
        <f t="shared" si="104"/>
        <v>1377.748939343408</v>
      </c>
      <c r="P164" s="21">
        <f t="shared" si="104"/>
        <v>1412.7033233735103</v>
      </c>
      <c r="Q164" s="21">
        <f t="shared" si="104"/>
        <v>2339.1744941379948</v>
      </c>
      <c r="R164" s="21">
        <f t="shared" si="104"/>
        <v>997.33787732970006</v>
      </c>
      <c r="S164" s="21">
        <f t="shared" si="104"/>
        <v>1409.4644022165805</v>
      </c>
      <c r="T164" s="21">
        <f t="shared" si="104"/>
        <v>190.26300038023706</v>
      </c>
      <c r="U164" s="21">
        <f t="shared" si="104"/>
        <v>63.186808500661186</v>
      </c>
      <c r="V164" s="21">
        <f t="shared" si="104"/>
        <v>10529.800735045057</v>
      </c>
      <c r="W164" s="21">
        <f t="shared" si="104"/>
        <v>59991.729218500732</v>
      </c>
      <c r="X164" s="21">
        <f t="shared" si="104"/>
        <v>87589.580428958987</v>
      </c>
      <c r="Y164" s="21">
        <f t="shared" si="104"/>
        <v>64119.684899058149</v>
      </c>
      <c r="Z164" s="21">
        <f t="shared" si="104"/>
        <v>47112.223205605871</v>
      </c>
      <c r="AA164" s="21">
        <f t="shared" si="104"/>
        <v>35018.329349093437</v>
      </c>
      <c r="AB164" s="21">
        <f t="shared" si="104"/>
        <v>30131.012549979212</v>
      </c>
      <c r="AC164" s="21">
        <f t="shared" si="104"/>
        <v>12598.515686244486</v>
      </c>
      <c r="AD164" s="21">
        <f t="shared" si="104"/>
        <v>6769.6331169526838</v>
      </c>
      <c r="AE164" s="21">
        <f t="shared" si="104"/>
        <v>1483.5039720231223</v>
      </c>
      <c r="AF164" s="21">
        <f t="shared" si="104"/>
        <v>542.78333011463917</v>
      </c>
    </row>
    <row r="165" spans="1:34" x14ac:dyDescent="0.25">
      <c r="A165" s="71">
        <f>SUM(B165:AF165)</f>
        <v>2978252.7746164557</v>
      </c>
      <c r="B165" s="60">
        <f>IF($A$64&lt;=B129,IF($B$64&gt;=B129,ABS(B164),0),0)</f>
        <v>612438.28815964388</v>
      </c>
      <c r="C165" s="60">
        <f t="shared" ref="C165:AF165" si="105">IF($A$64&lt;=C129,IF($B$64&gt;=C129,ABS(C164),0),0)</f>
        <v>1043717.2673941802</v>
      </c>
      <c r="D165" s="60">
        <f t="shared" si="105"/>
        <v>519490.73359374912</v>
      </c>
      <c r="E165" s="60">
        <f t="shared" si="105"/>
        <v>266731.37814982224</v>
      </c>
      <c r="F165" s="60">
        <f t="shared" si="105"/>
        <v>106386.77640019738</v>
      </c>
      <c r="G165" s="60">
        <f t="shared" si="105"/>
        <v>16333.025420646041</v>
      </c>
      <c r="H165" s="60">
        <f t="shared" si="105"/>
        <v>258.24660220186058</v>
      </c>
      <c r="I165" s="60">
        <f t="shared" si="105"/>
        <v>18017.006087380498</v>
      </c>
      <c r="J165" s="60">
        <f t="shared" si="105"/>
        <v>8170.7308279040408</v>
      </c>
      <c r="K165" s="60">
        <f t="shared" si="105"/>
        <v>7684.2627362721514</v>
      </c>
      <c r="L165" s="60">
        <f t="shared" si="105"/>
        <v>7613.665259331151</v>
      </c>
      <c r="M165" s="60">
        <f t="shared" si="105"/>
        <v>5284.5347630019023</v>
      </c>
      <c r="N165" s="60">
        <f t="shared" si="105"/>
        <v>2450.1838852664869</v>
      </c>
      <c r="O165" s="60">
        <f t="shared" si="105"/>
        <v>1377.748939343408</v>
      </c>
      <c r="P165" s="60">
        <f t="shared" si="105"/>
        <v>1412.7033233735103</v>
      </c>
      <c r="Q165" s="60">
        <f t="shared" si="105"/>
        <v>2339.1744941379948</v>
      </c>
      <c r="R165" s="60">
        <f t="shared" si="105"/>
        <v>997.33787732970006</v>
      </c>
      <c r="S165" s="60">
        <f t="shared" si="105"/>
        <v>1409.4644022165805</v>
      </c>
      <c r="T165" s="60">
        <f t="shared" si="105"/>
        <v>190.26300038023706</v>
      </c>
      <c r="U165" s="60">
        <f t="shared" si="105"/>
        <v>63.186808500661186</v>
      </c>
      <c r="V165" s="60">
        <f t="shared" si="105"/>
        <v>10529.800735045057</v>
      </c>
      <c r="W165" s="60">
        <f t="shared" si="105"/>
        <v>59991.729218500732</v>
      </c>
      <c r="X165" s="60">
        <f t="shared" si="105"/>
        <v>87589.580428958987</v>
      </c>
      <c r="Y165" s="60">
        <f t="shared" si="105"/>
        <v>64119.684899058149</v>
      </c>
      <c r="Z165" s="60">
        <f t="shared" si="105"/>
        <v>47112.223205605871</v>
      </c>
      <c r="AA165" s="60">
        <f t="shared" si="105"/>
        <v>35018.329349093437</v>
      </c>
      <c r="AB165" s="60">
        <f t="shared" si="105"/>
        <v>30131.012549979212</v>
      </c>
      <c r="AC165" s="60">
        <f t="shared" si="105"/>
        <v>12598.515686244486</v>
      </c>
      <c r="AD165" s="60">
        <f t="shared" si="105"/>
        <v>6769.6331169526838</v>
      </c>
      <c r="AE165" s="60">
        <f t="shared" si="105"/>
        <v>1483.5039720231223</v>
      </c>
      <c r="AF165" s="60">
        <f t="shared" si="105"/>
        <v>542.78333011463917</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9764.1086742047082</v>
      </c>
      <c r="C170" s="27">
        <f t="shared" ref="C170:AF170" si="106">($C$17+SUM(C171:C201))*$B$51</f>
        <v>9764.0481635892284</v>
      </c>
      <c r="D170" s="27">
        <f t="shared" si="106"/>
        <v>9763.4434507682417</v>
      </c>
      <c r="E170" s="27">
        <f t="shared" si="106"/>
        <v>9757.4354784575407</v>
      </c>
      <c r="F170" s="27">
        <f t="shared" si="106"/>
        <v>9701.0997533208247</v>
      </c>
      <c r="G170" s="27">
        <f t="shared" si="106"/>
        <v>9386.3830710953353</v>
      </c>
      <c r="H170" s="27">
        <f t="shared" si="106"/>
        <v>9122.6269151392207</v>
      </c>
      <c r="I170" s="27">
        <f t="shared" si="106"/>
        <v>8856.2944922327224</v>
      </c>
      <c r="J170" s="27">
        <f t="shared" si="106"/>
        <v>8577.6326614134778</v>
      </c>
      <c r="K170" s="27">
        <f t="shared" si="106"/>
        <v>8313.6955955590856</v>
      </c>
      <c r="L170" s="27">
        <f t="shared" si="106"/>
        <v>8011.4405098533216</v>
      </c>
      <c r="M170" s="27">
        <f t="shared" si="106"/>
        <v>7650.2835567987959</v>
      </c>
      <c r="N170" s="27">
        <f t="shared" si="106"/>
        <v>7272.9641384982342</v>
      </c>
      <c r="O170" s="27">
        <f t="shared" si="106"/>
        <v>6944.2217616242988</v>
      </c>
      <c r="P170" s="27">
        <f t="shared" si="106"/>
        <v>6663.0622804613567</v>
      </c>
      <c r="Q170" s="27">
        <f t="shared" si="106"/>
        <v>6372.7509589077545</v>
      </c>
      <c r="R170" s="27">
        <f t="shared" si="106"/>
        <v>6080.9276922520767</v>
      </c>
      <c r="S170" s="27">
        <f t="shared" si="106"/>
        <v>5802.0851640357532</v>
      </c>
      <c r="T170" s="27">
        <f t="shared" si="106"/>
        <v>5477.7785011342648</v>
      </c>
      <c r="U170" s="27">
        <f t="shared" si="106"/>
        <v>5076.3603945375389</v>
      </c>
      <c r="V170" s="27">
        <f t="shared" si="106"/>
        <v>4495.9463807360826</v>
      </c>
      <c r="W170" s="27">
        <f t="shared" si="106"/>
        <v>3849.5124110699694</v>
      </c>
      <c r="X170" s="27">
        <f t="shared" si="106"/>
        <v>3215.2696021243369</v>
      </c>
      <c r="Y170" s="27">
        <f t="shared" si="106"/>
        <v>2622.2246832562378</v>
      </c>
      <c r="Z170" s="27">
        <f t="shared" si="106"/>
        <v>2002.1715435709295</v>
      </c>
      <c r="AA170" s="27">
        <f t="shared" si="106"/>
        <v>1523.8956618620045</v>
      </c>
      <c r="AB170" s="27">
        <f t="shared" si="106"/>
        <v>1057.8222763320389</v>
      </c>
      <c r="AC170" s="27">
        <f t="shared" si="106"/>
        <v>799.52957567909982</v>
      </c>
      <c r="AD170" s="27">
        <f t="shared" si="106"/>
        <v>648.62304718324958</v>
      </c>
      <c r="AE170" s="27">
        <f t="shared" si="106"/>
        <v>581.89133007618693</v>
      </c>
      <c r="AF170" s="27">
        <f t="shared" si="106"/>
        <v>543.09135259594291</v>
      </c>
      <c r="AG170" s="27"/>
      <c r="AH170" s="27"/>
    </row>
    <row r="171" spans="1:34" x14ac:dyDescent="0.25">
      <c r="B171" s="3">
        <f t="shared" ref="B171:AF171" si="107">$C18*EXP(-B$168/$A18/EXP(-$C$126))</f>
        <v>7.1303254257038789E-25</v>
      </c>
      <c r="C171" s="3">
        <f t="shared" si="107"/>
        <v>6.3693084598863197E-233</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4.3985293942119426E-2</v>
      </c>
      <c r="C172" s="3">
        <f t="shared" si="108"/>
        <v>4.3979896796695443E-2</v>
      </c>
      <c r="D172" s="3">
        <f t="shared" si="108"/>
        <v>4.3925961752698237E-2</v>
      </c>
      <c r="E172" s="3">
        <f t="shared" si="108"/>
        <v>4.339023585975018E-2</v>
      </c>
      <c r="F172" s="3">
        <f t="shared" si="108"/>
        <v>3.837950142247179E-2</v>
      </c>
      <c r="G172" s="3">
        <f t="shared" si="108"/>
        <v>1.1250517676603074E-2</v>
      </c>
      <c r="H172" s="3">
        <f t="shared" si="108"/>
        <v>5.2711367520192198E-8</v>
      </c>
      <c r="I172" s="3">
        <f t="shared" si="108"/>
        <v>2.6867178149191362E-61</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1.7074891500185419E-2</v>
      </c>
      <c r="C173" s="3">
        <f t="shared" si="109"/>
        <v>1.7074702489913239E-2</v>
      </c>
      <c r="D173" s="3">
        <f t="shared" si="109"/>
        <v>1.7072812502261173E-2</v>
      </c>
      <c r="E173" s="3">
        <f t="shared" si="109"/>
        <v>1.705392412800287E-2</v>
      </c>
      <c r="F173" s="3">
        <f t="shared" si="109"/>
        <v>1.6866185914556717E-2</v>
      </c>
      <c r="G173" s="3">
        <f t="shared" si="109"/>
        <v>1.5098800620999102E-2</v>
      </c>
      <c r="H173" s="3">
        <f t="shared" si="109"/>
        <v>4.9911212615280399E-3</v>
      </c>
      <c r="I173" s="3">
        <f t="shared" si="109"/>
        <v>7.775974575770348E-8</v>
      </c>
      <c r="J173" s="3">
        <f t="shared" si="109"/>
        <v>6.5512162867312748E-56</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3.0713961512924957E-2</v>
      </c>
      <c r="C174" s="3">
        <f t="shared" si="110"/>
        <v>3.071393084304555E-2</v>
      </c>
      <c r="D174" s="3">
        <f t="shared" si="110"/>
        <v>3.0713624145935901E-2</v>
      </c>
      <c r="E174" s="3">
        <f t="shared" si="110"/>
        <v>3.071055734327495E-2</v>
      </c>
      <c r="F174" s="3">
        <f t="shared" si="110"/>
        <v>3.0679906153994418E-2</v>
      </c>
      <c r="G174" s="3">
        <f t="shared" si="110"/>
        <v>3.0375071789799039E-2</v>
      </c>
      <c r="H174" s="3">
        <f t="shared" si="110"/>
        <v>2.7488445147089511E-2</v>
      </c>
      <c r="I174" s="3">
        <f t="shared" si="110"/>
        <v>1.0126953046424811E-2</v>
      </c>
      <c r="J174" s="3">
        <f t="shared" si="110"/>
        <v>4.6640694493533066E-7</v>
      </c>
      <c r="K174" s="3">
        <f t="shared" si="110"/>
        <v>2.0027517988172163E-50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2.5231519592074432E-2</v>
      </c>
      <c r="C175" s="3">
        <f t="shared" si="111"/>
        <v>2.5231517319247183E-2</v>
      </c>
      <c r="D175" s="3">
        <f t="shared" si="111"/>
        <v>2.523149459098593E-2</v>
      </c>
      <c r="E175" s="3">
        <f t="shared" si="111"/>
        <v>2.5231267309499456E-2</v>
      </c>
      <c r="F175" s="3">
        <f t="shared" si="111"/>
        <v>2.5228994607234101E-2</v>
      </c>
      <c r="G175" s="3">
        <f t="shared" si="111"/>
        <v>2.5206278840769224E-2</v>
      </c>
      <c r="H175" s="3">
        <f t="shared" si="111"/>
        <v>2.4980243052410492E-2</v>
      </c>
      <c r="I175" s="3">
        <f t="shared" si="111"/>
        <v>2.2828422067583683E-2</v>
      </c>
      <c r="J175" s="3">
        <f t="shared" si="111"/>
        <v>9.2740243498350763E-3</v>
      </c>
      <c r="K175" s="3">
        <f t="shared" si="111"/>
        <v>1.1355117051677004E-6</v>
      </c>
      <c r="L175" s="3">
        <f t="shared" si="111"/>
        <v>8.5985545545000352E-46</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2.5043165704371421E-2</v>
      </c>
      <c r="C176" s="3">
        <f t="shared" si="112"/>
        <v>2.5043165500874025E-2</v>
      </c>
      <c r="D176" s="3">
        <f t="shared" si="112"/>
        <v>2.5043163465900155E-2</v>
      </c>
      <c r="E176" s="3">
        <f t="shared" si="112"/>
        <v>2.5043143116170539E-2</v>
      </c>
      <c r="F176" s="3">
        <f t="shared" si="112"/>
        <v>2.5042939619783863E-2</v>
      </c>
      <c r="G176" s="3">
        <f t="shared" si="112"/>
        <v>2.5040904746861613E-2</v>
      </c>
      <c r="H176" s="3">
        <f t="shared" si="112"/>
        <v>2.5020565109360265E-2</v>
      </c>
      <c r="I176" s="3">
        <f t="shared" si="112"/>
        <v>2.4818075178902319E-2</v>
      </c>
      <c r="J176" s="3">
        <f t="shared" si="112"/>
        <v>2.2881153266178938E-2</v>
      </c>
      <c r="K176" s="3">
        <f t="shared" si="112"/>
        <v>1.0152571437343695E-2</v>
      </c>
      <c r="L176" s="3">
        <f t="shared" si="112"/>
        <v>3.0030149383728746E-6</v>
      </c>
      <c r="M176" s="3">
        <f t="shared" si="112"/>
        <v>1.5394722968782444E-41</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3.185846549419892E-2</v>
      </c>
      <c r="C177" s="3">
        <f t="shared" si="113"/>
        <v>3.1858465470846004E-2</v>
      </c>
      <c r="D177" s="3">
        <f t="shared" si="113"/>
        <v>3.185846523731687E-2</v>
      </c>
      <c r="E177" s="3">
        <f t="shared" si="113"/>
        <v>3.185846290202559E-2</v>
      </c>
      <c r="F177" s="3">
        <f t="shared" si="113"/>
        <v>3.1858439549122278E-2</v>
      </c>
      <c r="G177" s="3">
        <f t="shared" si="113"/>
        <v>3.1858206021030601E-2</v>
      </c>
      <c r="H177" s="3">
        <f t="shared" si="113"/>
        <v>3.1855870834260919E-2</v>
      </c>
      <c r="I177" s="3">
        <f t="shared" si="113"/>
        <v>3.1832528378720179E-2</v>
      </c>
      <c r="J177" s="3">
        <f t="shared" si="113"/>
        <v>3.160004249117232E-2</v>
      </c>
      <c r="K177" s="3">
        <f t="shared" si="113"/>
        <v>2.9366553716907013E-2</v>
      </c>
      <c r="L177" s="3">
        <f t="shared" si="113"/>
        <v>1.4109322178830897E-2</v>
      </c>
      <c r="M177" s="3">
        <f t="shared" si="113"/>
        <v>9.2477870784306745E-6</v>
      </c>
      <c r="N177" s="3">
        <f t="shared" si="113"/>
        <v>1.3531767806738878E-37</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3.8271853449197667E-2</v>
      </c>
      <c r="C178" s="3">
        <f t="shared" si="114"/>
        <v>3.8271853446666948E-2</v>
      </c>
      <c r="D178" s="3">
        <f t="shared" si="114"/>
        <v>3.8271853421359858E-2</v>
      </c>
      <c r="E178" s="3">
        <f t="shared" si="114"/>
        <v>3.8271853168288898E-2</v>
      </c>
      <c r="F178" s="3">
        <f t="shared" si="114"/>
        <v>3.827185063757943E-2</v>
      </c>
      <c r="G178" s="3">
        <f t="shared" si="114"/>
        <v>3.8271825330493912E-2</v>
      </c>
      <c r="H178" s="3">
        <f t="shared" si="114"/>
        <v>3.827157226055912E-2</v>
      </c>
      <c r="I178" s="3">
        <f t="shared" si="114"/>
        <v>3.8269041653246835E-2</v>
      </c>
      <c r="J178" s="3">
        <f t="shared" si="114"/>
        <v>3.8243744781435926E-2</v>
      </c>
      <c r="K178" s="3">
        <f t="shared" si="114"/>
        <v>3.7991693947299149E-2</v>
      </c>
      <c r="L178" s="3">
        <f t="shared" si="114"/>
        <v>3.5560767468489816E-2</v>
      </c>
      <c r="M178" s="3">
        <f t="shared" si="114"/>
        <v>1.8356750204797823E-2</v>
      </c>
      <c r="N178" s="3">
        <f t="shared" si="114"/>
        <v>2.4662808275598089E-5</v>
      </c>
      <c r="O178" s="3">
        <f t="shared" si="114"/>
        <v>4.7261751601962685E-34</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3.6033705300726332E-2</v>
      </c>
      <c r="C179" s="3">
        <f t="shared" si="115"/>
        <v>3.6033705300511393E-2</v>
      </c>
      <c r="D179" s="3">
        <f t="shared" si="115"/>
        <v>3.6033705298361987E-2</v>
      </c>
      <c r="E179" s="3">
        <f t="shared" si="115"/>
        <v>3.6033705276867938E-2</v>
      </c>
      <c r="F179" s="3">
        <f t="shared" si="115"/>
        <v>3.60337050619274E-2</v>
      </c>
      <c r="G179" s="3">
        <f t="shared" si="115"/>
        <v>3.6033702912522121E-2</v>
      </c>
      <c r="H179" s="3">
        <f t="shared" si="115"/>
        <v>3.6033681418476411E-2</v>
      </c>
      <c r="I179" s="3">
        <f t="shared" si="115"/>
        <v>3.6033466478724463E-2</v>
      </c>
      <c r="J179" s="3">
        <f t="shared" si="115"/>
        <v>3.6031317151719658E-2</v>
      </c>
      <c r="K179" s="3">
        <f t="shared" si="115"/>
        <v>3.6009830931587376E-2</v>
      </c>
      <c r="L179" s="3">
        <f t="shared" si="115"/>
        <v>3.5795672168366384E-2</v>
      </c>
      <c r="M179" s="3">
        <f t="shared" si="115"/>
        <v>3.3722900287304063E-2</v>
      </c>
      <c r="N179" s="3">
        <f t="shared" si="115"/>
        <v>1.8572436520954156E-2</v>
      </c>
      <c r="O179" s="3">
        <f t="shared" si="115"/>
        <v>4.7676956606817369E-5</v>
      </c>
      <c r="P179" s="3">
        <f t="shared" si="115"/>
        <v>5.9252263955855816E-31</v>
      </c>
      <c r="Q179" s="3">
        <f t="shared" si="115"/>
        <v>5.2079785538858367E-290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2.6918166434541726E-2</v>
      </c>
      <c r="C180" s="3">
        <f t="shared" si="116"/>
        <v>2.6918166434527241E-2</v>
      </c>
      <c r="D180" s="3">
        <f t="shared" si="116"/>
        <v>2.6918166434382398E-2</v>
      </c>
      <c r="E180" s="3">
        <f t="shared" si="116"/>
        <v>2.6918166432933953E-2</v>
      </c>
      <c r="F180" s="3">
        <f t="shared" si="116"/>
        <v>2.6918166418449522E-2</v>
      </c>
      <c r="G180" s="3">
        <f t="shared" si="116"/>
        <v>2.6918166273605201E-2</v>
      </c>
      <c r="H180" s="3">
        <f t="shared" si="116"/>
        <v>2.6918164825162051E-2</v>
      </c>
      <c r="I180" s="3">
        <f t="shared" si="116"/>
        <v>2.6918150340734821E-2</v>
      </c>
      <c r="J180" s="3">
        <f t="shared" si="116"/>
        <v>2.6918005496891172E-2</v>
      </c>
      <c r="K180" s="3">
        <f t="shared" si="116"/>
        <v>2.6916557101320463E-2</v>
      </c>
      <c r="L180" s="3">
        <f t="shared" si="116"/>
        <v>2.6902077431336237E-2</v>
      </c>
      <c r="M180" s="3">
        <f t="shared" si="116"/>
        <v>2.6757708451747176E-2</v>
      </c>
      <c r="N180" s="3">
        <f t="shared" si="116"/>
        <v>2.5355951234570046E-2</v>
      </c>
      <c r="O180" s="3">
        <f t="shared" si="116"/>
        <v>1.4804365960254057E-2</v>
      </c>
      <c r="P180" s="3">
        <f t="shared" si="116"/>
        <v>6.8153608592923259E-5</v>
      </c>
      <c r="Q180" s="3">
        <f t="shared" si="116"/>
        <v>2.9139311859660709E-28</v>
      </c>
      <c r="R180" s="3">
        <f t="shared" si="116"/>
        <v>5.9481737807107404E-262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2.7316066250346896E-2</v>
      </c>
      <c r="C181" s="3">
        <f t="shared" si="117"/>
        <v>2.7316066250345571E-2</v>
      </c>
      <c r="D181" s="3">
        <f t="shared" si="117"/>
        <v>2.7316066250332314E-2</v>
      </c>
      <c r="E181" s="3">
        <f t="shared" si="117"/>
        <v>2.7316066250199719E-2</v>
      </c>
      <c r="F181" s="3">
        <f t="shared" si="117"/>
        <v>2.731606624887379E-2</v>
      </c>
      <c r="G181" s="3">
        <f t="shared" si="117"/>
        <v>2.7316066235614486E-2</v>
      </c>
      <c r="H181" s="3">
        <f t="shared" si="117"/>
        <v>2.7316066103021439E-2</v>
      </c>
      <c r="I181" s="3">
        <f t="shared" si="117"/>
        <v>2.7316064777091035E-2</v>
      </c>
      <c r="J181" s="3">
        <f t="shared" si="117"/>
        <v>2.7316051517790495E-2</v>
      </c>
      <c r="K181" s="3">
        <f t="shared" si="117"/>
        <v>2.731591892513912E-2</v>
      </c>
      <c r="L181" s="3">
        <f t="shared" si="117"/>
        <v>2.731459303402322E-2</v>
      </c>
      <c r="M181" s="3">
        <f t="shared" si="117"/>
        <v>2.7301337662017408E-2</v>
      </c>
      <c r="N181" s="3">
        <f t="shared" si="117"/>
        <v>2.716913722246991E-2</v>
      </c>
      <c r="O181" s="3">
        <f t="shared" si="117"/>
        <v>2.5881834543095693E-2</v>
      </c>
      <c r="P181" s="3">
        <f t="shared" si="117"/>
        <v>1.5928950002628457E-2</v>
      </c>
      <c r="Q181" s="3">
        <f t="shared" si="117"/>
        <v>1.2419613335087261E-4</v>
      </c>
      <c r="R181" s="3">
        <f t="shared" si="117"/>
        <v>1.0311392860740508E-25</v>
      </c>
      <c r="S181" s="3">
        <f t="shared" si="117"/>
        <v>1.6047593706721806E-236</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2.9609291080511118E-2</v>
      </c>
      <c r="C182" s="3">
        <f t="shared" si="118"/>
        <v>2.9609291080510986E-2</v>
      </c>
      <c r="D182" s="3">
        <f t="shared" si="118"/>
        <v>2.9609291080509692E-2</v>
      </c>
      <c r="E182" s="3">
        <f t="shared" si="118"/>
        <v>2.9609291080496727E-2</v>
      </c>
      <c r="F182" s="3">
        <f t="shared" si="118"/>
        <v>2.9609291080367077E-2</v>
      </c>
      <c r="G182" s="3">
        <f t="shared" si="118"/>
        <v>2.9609291079070562E-2</v>
      </c>
      <c r="H182" s="3">
        <f t="shared" si="118"/>
        <v>2.9609291066105423E-2</v>
      </c>
      <c r="I182" s="3">
        <f t="shared" si="118"/>
        <v>2.9609290936454029E-2</v>
      </c>
      <c r="J182" s="3">
        <f t="shared" si="118"/>
        <v>2.9609289639940136E-2</v>
      </c>
      <c r="K182" s="3">
        <f t="shared" si="118"/>
        <v>2.9609276674804334E-2</v>
      </c>
      <c r="L182" s="3">
        <f t="shared" si="118"/>
        <v>2.9609147023758556E-2</v>
      </c>
      <c r="M182" s="3">
        <f t="shared" si="118"/>
        <v>2.9607850544524247E-2</v>
      </c>
      <c r="N182" s="3">
        <f t="shared" si="118"/>
        <v>2.9594888874022826E-2</v>
      </c>
      <c r="O182" s="3">
        <f t="shared" si="118"/>
        <v>2.9465583847989189E-2</v>
      </c>
      <c r="P182" s="3">
        <f t="shared" si="118"/>
        <v>2.8203202383841778E-2</v>
      </c>
      <c r="Q182" s="3">
        <f t="shared" si="118"/>
        <v>1.8202546696627787E-2</v>
      </c>
      <c r="R182" s="3">
        <f t="shared" si="118"/>
        <v>2.2828083567028219E-4</v>
      </c>
      <c r="S182" s="3">
        <f t="shared" si="118"/>
        <v>2.1970627057585918E-23</v>
      </c>
      <c r="T182" s="3">
        <f t="shared" si="118"/>
        <v>1.4982091215862605E-213</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2.5103127911926253E-2</v>
      </c>
      <c r="C183" s="3">
        <f t="shared" si="119"/>
        <v>2.5103127911926242E-2</v>
      </c>
      <c r="D183" s="3">
        <f t="shared" si="119"/>
        <v>2.5103127911926142E-2</v>
      </c>
      <c r="E183" s="3">
        <f t="shared" si="119"/>
        <v>2.5103127911925153E-2</v>
      </c>
      <c r="F183" s="3">
        <f t="shared" si="119"/>
        <v>2.5103127911915237E-2</v>
      </c>
      <c r="G183" s="3">
        <f t="shared" si="119"/>
        <v>2.510312791181608E-2</v>
      </c>
      <c r="H183" s="3">
        <f t="shared" si="119"/>
        <v>2.5103127910824505E-2</v>
      </c>
      <c r="I183" s="3">
        <f t="shared" si="119"/>
        <v>2.5103127900908802E-2</v>
      </c>
      <c r="J183" s="3">
        <f t="shared" si="119"/>
        <v>2.5103127801751751E-2</v>
      </c>
      <c r="K183" s="3">
        <f t="shared" si="119"/>
        <v>2.5103126810181252E-2</v>
      </c>
      <c r="L183" s="3">
        <f t="shared" si="119"/>
        <v>2.5103116894478437E-2</v>
      </c>
      <c r="M183" s="3">
        <f t="shared" si="119"/>
        <v>2.5103017737665705E-2</v>
      </c>
      <c r="N183" s="3">
        <f t="shared" si="119"/>
        <v>2.5102026191079818E-2</v>
      </c>
      <c r="O183" s="3">
        <f t="shared" si="119"/>
        <v>2.5092112879051564E-2</v>
      </c>
      <c r="P183" s="3">
        <f t="shared" si="119"/>
        <v>2.499319482737947E-2</v>
      </c>
      <c r="Q183" s="3">
        <f t="shared" si="119"/>
        <v>2.4025210143266931E-2</v>
      </c>
      <c r="R183" s="3">
        <f t="shared" si="119"/>
        <v>1.6185324058941259E-2</v>
      </c>
      <c r="S183" s="3">
        <f t="shared" si="119"/>
        <v>3.1164735156955685E-4</v>
      </c>
      <c r="T183" s="3">
        <f t="shared" si="119"/>
        <v>2.1831513970889398E-21</v>
      </c>
      <c r="U183" s="3">
        <f t="shared" si="119"/>
        <v>6.2128088335610753E-193</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2.985290056573784E-2</v>
      </c>
      <c r="C184" s="3">
        <f t="shared" si="120"/>
        <v>2.985290056573784E-2</v>
      </c>
      <c r="D184" s="3">
        <f t="shared" si="120"/>
        <v>2.9852900565737826E-2</v>
      </c>
      <c r="E184" s="3">
        <f t="shared" si="120"/>
        <v>2.9852900565737722E-2</v>
      </c>
      <c r="F184" s="3">
        <f t="shared" si="120"/>
        <v>2.9852900565736657E-2</v>
      </c>
      <c r="G184" s="3">
        <f t="shared" si="120"/>
        <v>2.985290056572602E-2</v>
      </c>
      <c r="H184" s="3">
        <f t="shared" si="120"/>
        <v>2.9852900565619647E-2</v>
      </c>
      <c r="I184" s="3">
        <f t="shared" si="120"/>
        <v>2.9852900564555925E-2</v>
      </c>
      <c r="J184" s="3">
        <f t="shared" si="120"/>
        <v>2.9852900553918687E-2</v>
      </c>
      <c r="K184" s="3">
        <f t="shared" si="120"/>
        <v>2.9852900447546304E-2</v>
      </c>
      <c r="L184" s="3">
        <f t="shared" si="120"/>
        <v>2.9852899383822486E-2</v>
      </c>
      <c r="M184" s="3">
        <f t="shared" si="120"/>
        <v>2.9852888746586391E-2</v>
      </c>
      <c r="N184" s="3">
        <f t="shared" si="120"/>
        <v>2.9852782374433905E-2</v>
      </c>
      <c r="O184" s="3">
        <f t="shared" si="120"/>
        <v>2.9851718673755294E-2</v>
      </c>
      <c r="P184" s="3">
        <f t="shared" si="120"/>
        <v>2.984108375131762E-2</v>
      </c>
      <c r="Q184" s="3">
        <f t="shared" si="120"/>
        <v>2.9734942687249351E-2</v>
      </c>
      <c r="R184" s="3">
        <f t="shared" si="120"/>
        <v>2.8694076236871365E-2</v>
      </c>
      <c r="S184" s="3">
        <f t="shared" si="120"/>
        <v>2.0092948390292405E-2</v>
      </c>
      <c r="T184" s="3">
        <f t="shared" si="120"/>
        <v>5.6958412658867979E-4</v>
      </c>
      <c r="U184" s="3">
        <f t="shared" si="120"/>
        <v>1.9085342903627797E-19</v>
      </c>
      <c r="V184" s="3">
        <f t="shared" si="120"/>
        <v>3.4050293752510313E-174</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3.2229654464622864E-2</v>
      </c>
      <c r="C185" s="3">
        <f t="shared" si="121"/>
        <v>3.2229654464622864E-2</v>
      </c>
      <c r="D185" s="3">
        <f t="shared" si="121"/>
        <v>3.2229654464622864E-2</v>
      </c>
      <c r="E185" s="3">
        <f t="shared" si="121"/>
        <v>3.2229654464622851E-2</v>
      </c>
      <c r="F185" s="3">
        <f t="shared" si="121"/>
        <v>3.2229654464622746E-2</v>
      </c>
      <c r="G185" s="3">
        <f t="shared" si="121"/>
        <v>3.2229654464621713E-2</v>
      </c>
      <c r="H185" s="3">
        <f t="shared" si="121"/>
        <v>3.2229654464611353E-2</v>
      </c>
      <c r="I185" s="3">
        <f t="shared" si="121"/>
        <v>3.2229654464507755E-2</v>
      </c>
      <c r="J185" s="3">
        <f t="shared" si="121"/>
        <v>3.2229654463471792E-2</v>
      </c>
      <c r="K185" s="3">
        <f t="shared" si="121"/>
        <v>3.2229654453112155E-2</v>
      </c>
      <c r="L185" s="3">
        <f t="shared" si="121"/>
        <v>3.2229654349515767E-2</v>
      </c>
      <c r="M185" s="3">
        <f t="shared" si="121"/>
        <v>3.2229653313551945E-2</v>
      </c>
      <c r="N185" s="3">
        <f t="shared" si="121"/>
        <v>3.2229642953915526E-2</v>
      </c>
      <c r="O185" s="3">
        <f t="shared" si="121"/>
        <v>3.2229539357734462E-2</v>
      </c>
      <c r="P185" s="3">
        <f t="shared" si="121"/>
        <v>3.2228503414238101E-2</v>
      </c>
      <c r="Q185" s="3">
        <f t="shared" si="121"/>
        <v>3.2218145810487452E-2</v>
      </c>
      <c r="R185" s="3">
        <f t="shared" si="121"/>
        <v>3.2114752676676989E-2</v>
      </c>
      <c r="S185" s="3">
        <f t="shared" si="121"/>
        <v>3.109889603877997E-2</v>
      </c>
      <c r="T185" s="3">
        <f t="shared" si="121"/>
        <v>2.2550121196103199E-2</v>
      </c>
      <c r="U185" s="3">
        <f t="shared" si="121"/>
        <v>9.0612467795418174E-4</v>
      </c>
      <c r="V185" s="3">
        <f t="shared" si="121"/>
        <v>9.9444035295183599E-18</v>
      </c>
      <c r="W185" s="3">
        <f t="shared" si="121"/>
        <v>2.5204990918184938E-157</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5.4487827383483636E-2</v>
      </c>
      <c r="C186" s="3">
        <f t="shared" si="122"/>
        <v>5.4487827383483636E-2</v>
      </c>
      <c r="D186" s="3">
        <f t="shared" si="122"/>
        <v>5.4487827383483636E-2</v>
      </c>
      <c r="E186" s="3">
        <f t="shared" si="122"/>
        <v>5.4487827383483636E-2</v>
      </c>
      <c r="F186" s="3">
        <f t="shared" si="122"/>
        <v>5.4487827383483615E-2</v>
      </c>
      <c r="G186" s="3">
        <f t="shared" si="122"/>
        <v>5.4487827383483463E-2</v>
      </c>
      <c r="H186" s="3">
        <f t="shared" si="122"/>
        <v>5.4487827383481881E-2</v>
      </c>
      <c r="I186" s="3">
        <f t="shared" si="122"/>
        <v>5.4487827383466081E-2</v>
      </c>
      <c r="J186" s="3">
        <f t="shared" si="122"/>
        <v>5.4487827383308089E-2</v>
      </c>
      <c r="K186" s="3">
        <f t="shared" si="122"/>
        <v>5.4487827381728172E-2</v>
      </c>
      <c r="L186" s="3">
        <f t="shared" si="122"/>
        <v>5.4487827365928977E-2</v>
      </c>
      <c r="M186" s="3">
        <f t="shared" si="122"/>
        <v>5.4487827207936997E-2</v>
      </c>
      <c r="N186" s="3">
        <f t="shared" si="122"/>
        <v>5.448782562801726E-2</v>
      </c>
      <c r="O186" s="3">
        <f t="shared" si="122"/>
        <v>5.4487809828822419E-2</v>
      </c>
      <c r="P186" s="3">
        <f t="shared" si="122"/>
        <v>5.4487651837125936E-2</v>
      </c>
      <c r="Q186" s="3">
        <f t="shared" si="122"/>
        <v>5.4486071945356936E-2</v>
      </c>
      <c r="R186" s="3">
        <f t="shared" si="122"/>
        <v>5.4470275546976255E-2</v>
      </c>
      <c r="S186" s="3">
        <f t="shared" si="122"/>
        <v>5.4312563224027832E-2</v>
      </c>
      <c r="T186" s="3">
        <f t="shared" si="122"/>
        <v>5.2760338168384761E-2</v>
      </c>
      <c r="U186" s="3">
        <f t="shared" si="122"/>
        <v>3.9480285270556428E-2</v>
      </c>
      <c r="V186" s="3">
        <f t="shared" si="122"/>
        <v>2.1732385377580621E-3</v>
      </c>
      <c r="W186" s="3">
        <f t="shared" si="122"/>
        <v>5.5510936505902048E-16</v>
      </c>
      <c r="X186" s="3">
        <f t="shared" si="122"/>
        <v>6.5628143541756543E-142</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6.3046504540403295E-2</v>
      </c>
      <c r="C187" s="3">
        <f t="shared" si="123"/>
        <v>6.3046504540403295E-2</v>
      </c>
      <c r="D187" s="3">
        <f t="shared" si="123"/>
        <v>6.3046504540403295E-2</v>
      </c>
      <c r="E187" s="3">
        <f t="shared" si="123"/>
        <v>6.3046504540403295E-2</v>
      </c>
      <c r="F187" s="3">
        <f t="shared" si="123"/>
        <v>6.3046504540403295E-2</v>
      </c>
      <c r="G187" s="3">
        <f t="shared" si="123"/>
        <v>6.3046504540403267E-2</v>
      </c>
      <c r="H187" s="3">
        <f t="shared" si="123"/>
        <v>6.3046504540403114E-2</v>
      </c>
      <c r="I187" s="3">
        <f t="shared" si="123"/>
        <v>6.3046504540401463E-2</v>
      </c>
      <c r="J187" s="3">
        <f t="shared" si="123"/>
        <v>6.3046504540384976E-2</v>
      </c>
      <c r="K187" s="3">
        <f t="shared" si="123"/>
        <v>6.3046504540220066E-2</v>
      </c>
      <c r="L187" s="3">
        <f t="shared" si="123"/>
        <v>6.3046504538570983E-2</v>
      </c>
      <c r="M187" s="3">
        <f t="shared" si="123"/>
        <v>6.3046504522080132E-2</v>
      </c>
      <c r="N187" s="3">
        <f t="shared" si="123"/>
        <v>6.3046504357171587E-2</v>
      </c>
      <c r="O187" s="3">
        <f t="shared" si="123"/>
        <v>6.3046502708086219E-2</v>
      </c>
      <c r="P187" s="3">
        <f t="shared" si="123"/>
        <v>6.3046486217234937E-2</v>
      </c>
      <c r="Q187" s="3">
        <f t="shared" si="123"/>
        <v>6.3046321308959305E-2</v>
      </c>
      <c r="R187" s="3">
        <f t="shared" si="123"/>
        <v>6.3044672249926728E-2</v>
      </c>
      <c r="S187" s="3">
        <f t="shared" si="123"/>
        <v>6.3028184031746273E-2</v>
      </c>
      <c r="T187" s="3">
        <f t="shared" si="123"/>
        <v>6.2863538835045168E-2</v>
      </c>
      <c r="U187" s="3">
        <f t="shared" si="123"/>
        <v>6.1240557620975626E-2</v>
      </c>
      <c r="V187" s="3">
        <f t="shared" si="123"/>
        <v>4.7145717132563408E-2</v>
      </c>
      <c r="W187" s="3">
        <f t="shared" si="123"/>
        <v>3.4472544673007626E-3</v>
      </c>
      <c r="X187" s="3">
        <f t="shared" si="123"/>
        <v>1.5058590110859929E-14</v>
      </c>
      <c r="Y187" s="3">
        <f t="shared" si="123"/>
        <v>3.8097282875923163E-128</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6.2829439903481887E-2</v>
      </c>
      <c r="C188" s="3">
        <f t="shared" si="124"/>
        <v>6.2829439903481887E-2</v>
      </c>
      <c r="D188" s="3">
        <f t="shared" si="124"/>
        <v>6.2829439903481887E-2</v>
      </c>
      <c r="E188" s="3">
        <f t="shared" si="124"/>
        <v>6.2829439903481887E-2</v>
      </c>
      <c r="F188" s="3">
        <f t="shared" si="124"/>
        <v>6.2829439903481887E-2</v>
      </c>
      <c r="G188" s="3">
        <f t="shared" si="124"/>
        <v>6.2829439903481887E-2</v>
      </c>
      <c r="H188" s="3">
        <f t="shared" si="124"/>
        <v>6.2829439903481873E-2</v>
      </c>
      <c r="I188" s="3">
        <f t="shared" si="124"/>
        <v>6.2829439903481721E-2</v>
      </c>
      <c r="J188" s="3">
        <f t="shared" si="124"/>
        <v>6.2829439903480236E-2</v>
      </c>
      <c r="K188" s="3">
        <f t="shared" si="124"/>
        <v>6.2829439903465414E-2</v>
      </c>
      <c r="L188" s="3">
        <f t="shared" si="124"/>
        <v>6.2829439903317172E-2</v>
      </c>
      <c r="M188" s="3">
        <f t="shared" si="124"/>
        <v>6.2829439901834677E-2</v>
      </c>
      <c r="N188" s="3">
        <f t="shared" si="124"/>
        <v>6.2829439887009772E-2</v>
      </c>
      <c r="O188" s="3">
        <f t="shared" si="124"/>
        <v>6.282943973876072E-2</v>
      </c>
      <c r="P188" s="3">
        <f t="shared" si="124"/>
        <v>6.282943825627027E-2</v>
      </c>
      <c r="Q188" s="3">
        <f t="shared" si="124"/>
        <v>6.2829423431367701E-2</v>
      </c>
      <c r="R188" s="3">
        <f t="shared" si="124"/>
        <v>6.2829275182534325E-2</v>
      </c>
      <c r="S188" s="3">
        <f t="shared" si="124"/>
        <v>6.2827792713439481E-2</v>
      </c>
      <c r="T188" s="3">
        <f t="shared" si="124"/>
        <v>6.2812969946208094E-2</v>
      </c>
      <c r="U188" s="3">
        <f t="shared" si="124"/>
        <v>6.2664934477758824E-2</v>
      </c>
      <c r="V188" s="3">
        <f t="shared" si="124"/>
        <v>6.120363343330118E-2</v>
      </c>
      <c r="W188" s="3">
        <f t="shared" si="124"/>
        <v>4.8339634234005488E-2</v>
      </c>
      <c r="X188" s="3">
        <f t="shared" si="124"/>
        <v>4.5663048910383423E-3</v>
      </c>
      <c r="Y188" s="3">
        <f t="shared" si="124"/>
        <v>2.5833328399763711E-13</v>
      </c>
      <c r="Z188" s="3">
        <f t="shared" si="124"/>
        <v>8.6763078825798466E-116</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5.5245188990655253E-2</v>
      </c>
      <c r="C189" s="3">
        <f t="shared" si="125"/>
        <v>5.5245188990655253E-2</v>
      </c>
      <c r="D189" s="3">
        <f t="shared" si="125"/>
        <v>5.5245188990655253E-2</v>
      </c>
      <c r="E189" s="3">
        <f t="shared" si="125"/>
        <v>5.5245188990655253E-2</v>
      </c>
      <c r="F189" s="3">
        <f t="shared" si="125"/>
        <v>5.5245188990655253E-2</v>
      </c>
      <c r="G189" s="3">
        <f t="shared" si="125"/>
        <v>5.5245188990655253E-2</v>
      </c>
      <c r="H189" s="3">
        <f t="shared" si="125"/>
        <v>5.5245188990655253E-2</v>
      </c>
      <c r="I189" s="3">
        <f t="shared" si="125"/>
        <v>5.5245188990655239E-2</v>
      </c>
      <c r="J189" s="3">
        <f t="shared" si="125"/>
        <v>5.5245188990655121E-2</v>
      </c>
      <c r="K189" s="3">
        <f t="shared" si="125"/>
        <v>5.5245188990653948E-2</v>
      </c>
      <c r="L189" s="3">
        <f t="shared" si="125"/>
        <v>5.5245188990642187E-2</v>
      </c>
      <c r="M189" s="3">
        <f t="shared" si="125"/>
        <v>5.52451889905246E-2</v>
      </c>
      <c r="N189" s="3">
        <f t="shared" si="125"/>
        <v>5.5245188989348701E-2</v>
      </c>
      <c r="O189" s="3">
        <f t="shared" si="125"/>
        <v>5.5245188977589711E-2</v>
      </c>
      <c r="P189" s="3">
        <f t="shared" si="125"/>
        <v>5.5245188859999877E-2</v>
      </c>
      <c r="Q189" s="3">
        <f t="shared" si="125"/>
        <v>5.5245187684101554E-2</v>
      </c>
      <c r="R189" s="3">
        <f t="shared" si="125"/>
        <v>5.524517592511969E-2</v>
      </c>
      <c r="S189" s="3">
        <f t="shared" si="125"/>
        <v>5.5245058335438725E-2</v>
      </c>
      <c r="T189" s="3">
        <f t="shared" si="125"/>
        <v>5.5243882452394963E-2</v>
      </c>
      <c r="U189" s="3">
        <f t="shared" si="125"/>
        <v>5.5232124998436868E-2</v>
      </c>
      <c r="V189" s="3">
        <f t="shared" si="125"/>
        <v>5.5114687998472627E-2</v>
      </c>
      <c r="W189" s="3">
        <f t="shared" si="125"/>
        <v>5.3953964255398265E-2</v>
      </c>
      <c r="X189" s="3">
        <f t="shared" si="125"/>
        <v>4.3609732859279382E-2</v>
      </c>
      <c r="Y189" s="3">
        <f t="shared" si="125"/>
        <v>5.1901999683013613E-3</v>
      </c>
      <c r="Z189" s="3">
        <f t="shared" si="125"/>
        <v>2.9593118584424587E-12</v>
      </c>
      <c r="AA189" s="3">
        <f t="shared" si="125"/>
        <v>1.0746255741908341E-104</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6.6645884688751614E-2</v>
      </c>
      <c r="C190" s="3">
        <f t="shared" si="126"/>
        <v>6.6645884688751614E-2</v>
      </c>
      <c r="D190" s="3">
        <f t="shared" si="126"/>
        <v>6.6645884688751614E-2</v>
      </c>
      <c r="E190" s="3">
        <f t="shared" si="126"/>
        <v>6.6645884688751614E-2</v>
      </c>
      <c r="F190" s="3">
        <f t="shared" si="126"/>
        <v>6.6645884688751614E-2</v>
      </c>
      <c r="G190" s="3">
        <f t="shared" si="126"/>
        <v>6.6645884688751614E-2</v>
      </c>
      <c r="H190" s="3">
        <f t="shared" si="126"/>
        <v>6.6645884688751614E-2</v>
      </c>
      <c r="I190" s="3">
        <f t="shared" si="126"/>
        <v>6.6645884688751614E-2</v>
      </c>
      <c r="J190" s="3">
        <f t="shared" si="126"/>
        <v>6.66458846887516E-2</v>
      </c>
      <c r="K190" s="3">
        <f t="shared" si="126"/>
        <v>6.6645884688751475E-2</v>
      </c>
      <c r="L190" s="3">
        <f t="shared" si="126"/>
        <v>6.6645884688750198E-2</v>
      </c>
      <c r="M190" s="3">
        <f t="shared" si="126"/>
        <v>6.6645884688737389E-2</v>
      </c>
      <c r="N190" s="3">
        <f t="shared" si="126"/>
        <v>6.6645884688609436E-2</v>
      </c>
      <c r="O190" s="3">
        <f t="shared" si="126"/>
        <v>6.6645884687329765E-2</v>
      </c>
      <c r="P190" s="3">
        <f t="shared" si="126"/>
        <v>6.6645884674533154E-2</v>
      </c>
      <c r="Q190" s="3">
        <f t="shared" si="126"/>
        <v>6.6645884546566961E-2</v>
      </c>
      <c r="R190" s="3">
        <f t="shared" si="126"/>
        <v>6.664588326690507E-2</v>
      </c>
      <c r="S190" s="3">
        <f t="shared" si="126"/>
        <v>6.6645870470287513E-2</v>
      </c>
      <c r="T190" s="3">
        <f t="shared" si="126"/>
        <v>6.6645742504247082E-2</v>
      </c>
      <c r="U190" s="3">
        <f t="shared" si="126"/>
        <v>6.6644462857356521E-2</v>
      </c>
      <c r="V190" s="3">
        <f t="shared" si="126"/>
        <v>6.6631667739731643E-2</v>
      </c>
      <c r="W190" s="3">
        <f t="shared" si="126"/>
        <v>6.6503851595596353E-2</v>
      </c>
      <c r="X190" s="3">
        <f t="shared" si="126"/>
        <v>6.523909792493239E-2</v>
      </c>
      <c r="Y190" s="3">
        <f t="shared" si="126"/>
        <v>5.384178345109384E-2</v>
      </c>
      <c r="Z190" s="3">
        <f t="shared" si="126"/>
        <v>7.8928588020815271E-3</v>
      </c>
      <c r="AA190" s="3">
        <f t="shared" si="126"/>
        <v>3.6172897697360646E-11</v>
      </c>
      <c r="AB190" s="3">
        <f t="shared" si="126"/>
        <v>1.4786757989562182E-94</v>
      </c>
      <c r="AC190" s="3">
        <f t="shared" si="126"/>
        <v>0</v>
      </c>
      <c r="AD190" s="3">
        <f t="shared" si="126"/>
        <v>0</v>
      </c>
      <c r="AE190" s="3">
        <f t="shared" si="126"/>
        <v>0</v>
      </c>
      <c r="AF190" s="3">
        <f t="shared" si="126"/>
        <v>0</v>
      </c>
      <c r="AG190" s="3"/>
      <c r="AH190" s="3"/>
    </row>
    <row r="191" spans="2:34" x14ac:dyDescent="0.25">
      <c r="B191" s="3">
        <f t="shared" ref="B191:AF191" si="127">$C38*EXP(-B$168/$A38/EXP(-$C$126))</f>
        <v>2.5869055396656026E-2</v>
      </c>
      <c r="C191" s="3">
        <f t="shared" si="127"/>
        <v>2.5869055396656026E-2</v>
      </c>
      <c r="D191" s="3">
        <f t="shared" si="127"/>
        <v>2.5869055396656026E-2</v>
      </c>
      <c r="E191" s="3">
        <f t="shared" si="127"/>
        <v>2.5869055396656026E-2</v>
      </c>
      <c r="F191" s="3">
        <f t="shared" si="127"/>
        <v>2.5869055396656026E-2</v>
      </c>
      <c r="G191" s="3">
        <f t="shared" si="127"/>
        <v>2.5869055396656026E-2</v>
      </c>
      <c r="H191" s="3">
        <f t="shared" si="127"/>
        <v>2.5869055396656026E-2</v>
      </c>
      <c r="I191" s="3">
        <f t="shared" si="127"/>
        <v>2.5869055396656026E-2</v>
      </c>
      <c r="J191" s="3">
        <f t="shared" si="127"/>
        <v>2.5869055396656026E-2</v>
      </c>
      <c r="K191" s="3">
        <f t="shared" si="127"/>
        <v>2.5869055396656019E-2</v>
      </c>
      <c r="L191" s="3">
        <f t="shared" si="127"/>
        <v>2.5869055396655977E-2</v>
      </c>
      <c r="M191" s="3">
        <f t="shared" si="127"/>
        <v>2.586905539665553E-2</v>
      </c>
      <c r="N191" s="3">
        <f t="shared" si="127"/>
        <v>2.5869055396651047E-2</v>
      </c>
      <c r="O191" s="3">
        <f t="shared" si="127"/>
        <v>2.5869055396606239E-2</v>
      </c>
      <c r="P191" s="3">
        <f t="shared" si="127"/>
        <v>2.5869055396158167E-2</v>
      </c>
      <c r="Q191" s="3">
        <f t="shared" si="127"/>
        <v>2.5869055391677432E-2</v>
      </c>
      <c r="R191" s="3">
        <f t="shared" si="127"/>
        <v>2.5869055346870104E-2</v>
      </c>
      <c r="S191" s="3">
        <f t="shared" si="127"/>
        <v>2.586905489879681E-2</v>
      </c>
      <c r="T191" s="3">
        <f t="shared" si="127"/>
        <v>2.5869050418064279E-2</v>
      </c>
      <c r="U191" s="3">
        <f t="shared" si="127"/>
        <v>2.5869005610781676E-2</v>
      </c>
      <c r="V191" s="3">
        <f t="shared" si="127"/>
        <v>2.5868557542224148E-2</v>
      </c>
      <c r="W191" s="3">
        <f t="shared" si="127"/>
        <v>2.5864077283473345E-2</v>
      </c>
      <c r="X191" s="3">
        <f t="shared" si="127"/>
        <v>2.5819317351072679E-2</v>
      </c>
      <c r="Y191" s="3">
        <f t="shared" si="127"/>
        <v>2.5375956327596476E-2</v>
      </c>
      <c r="Z191" s="3">
        <f t="shared" si="127"/>
        <v>2.134022748389601E-2</v>
      </c>
      <c r="AA191" s="3">
        <f t="shared" si="127"/>
        <v>3.7754203191971798E-3</v>
      </c>
      <c r="AB191" s="3">
        <f t="shared" si="127"/>
        <v>1.1340388973465521E-10</v>
      </c>
      <c r="AC191" s="3">
        <f t="shared" si="127"/>
        <v>6.7803852889129701E-86</v>
      </c>
      <c r="AD191" s="3">
        <f t="shared" si="127"/>
        <v>0</v>
      </c>
      <c r="AE191" s="3">
        <f t="shared" si="127"/>
        <v>0</v>
      </c>
      <c r="AF191" s="3">
        <f t="shared" si="127"/>
        <v>0</v>
      </c>
      <c r="AG191" s="3"/>
      <c r="AH191" s="3"/>
    </row>
    <row r="192" spans="2:34" x14ac:dyDescent="0.25">
      <c r="B192" s="3">
        <f t="shared" ref="B192:AF192" si="128">$C39*EXP(-B$168/$A39/EXP(-$C$126))</f>
        <v>4.8591449840458205E-2</v>
      </c>
      <c r="C192" s="3">
        <f t="shared" si="128"/>
        <v>4.8591449840458205E-2</v>
      </c>
      <c r="D192" s="3">
        <f t="shared" si="128"/>
        <v>4.8591449840458205E-2</v>
      </c>
      <c r="E192" s="3">
        <f t="shared" si="128"/>
        <v>4.8591449840458205E-2</v>
      </c>
      <c r="F192" s="3">
        <f t="shared" si="128"/>
        <v>4.8591449840458205E-2</v>
      </c>
      <c r="G192" s="3">
        <f t="shared" si="128"/>
        <v>4.8591449840458205E-2</v>
      </c>
      <c r="H192" s="3">
        <f t="shared" si="128"/>
        <v>4.8591449840458205E-2</v>
      </c>
      <c r="I192" s="3">
        <f t="shared" si="128"/>
        <v>4.8591449840458205E-2</v>
      </c>
      <c r="J192" s="3">
        <f t="shared" si="128"/>
        <v>4.8591449840458205E-2</v>
      </c>
      <c r="K192" s="3">
        <f t="shared" si="128"/>
        <v>4.8591449840458205E-2</v>
      </c>
      <c r="L192" s="3">
        <f t="shared" si="128"/>
        <v>4.8591449840458177E-2</v>
      </c>
      <c r="M192" s="3">
        <f t="shared" si="128"/>
        <v>4.8591449840457948E-2</v>
      </c>
      <c r="N192" s="3">
        <f t="shared" si="128"/>
        <v>4.8591449840455624E-2</v>
      </c>
      <c r="O192" s="3">
        <f t="shared" si="128"/>
        <v>4.8591449840432344E-2</v>
      </c>
      <c r="P192" s="3">
        <f t="shared" si="128"/>
        <v>4.8591449840199565E-2</v>
      </c>
      <c r="Q192" s="3">
        <f t="shared" si="128"/>
        <v>4.8591449837871788E-2</v>
      </c>
      <c r="R192" s="3">
        <f t="shared" si="128"/>
        <v>4.8591449814594026E-2</v>
      </c>
      <c r="S192" s="3">
        <f t="shared" si="128"/>
        <v>4.8591449581816416E-2</v>
      </c>
      <c r="T192" s="3">
        <f t="shared" si="128"/>
        <v>4.8591447254040326E-2</v>
      </c>
      <c r="U192" s="3">
        <f t="shared" si="128"/>
        <v>4.8591423976285623E-2</v>
      </c>
      <c r="V192" s="3">
        <f t="shared" si="128"/>
        <v>4.8591191199351937E-2</v>
      </c>
      <c r="W192" s="3">
        <f t="shared" si="128"/>
        <v>4.858886349134553E-2</v>
      </c>
      <c r="X192" s="3">
        <f t="shared" si="128"/>
        <v>4.8565592543247375E-2</v>
      </c>
      <c r="Y192" s="3">
        <f t="shared" si="128"/>
        <v>4.8333495173366658E-2</v>
      </c>
      <c r="Z192" s="3">
        <f t="shared" si="128"/>
        <v>4.60726613879038E-2</v>
      </c>
      <c r="AA192" s="3">
        <f t="shared" si="128"/>
        <v>2.8536077967789154E-2</v>
      </c>
      <c r="AB192" s="3">
        <f t="shared" si="128"/>
        <v>2.3708501885028656E-4</v>
      </c>
      <c r="AC192" s="3">
        <f t="shared" si="128"/>
        <v>3.7153728680982162E-25</v>
      </c>
      <c r="AD192" s="3">
        <f t="shared" si="128"/>
        <v>3.3188325115008788E-233</v>
      </c>
      <c r="AE192" s="3">
        <f t="shared" si="128"/>
        <v>0</v>
      </c>
      <c r="AF192" s="3">
        <f t="shared" si="128"/>
        <v>0</v>
      </c>
      <c r="AG192" s="3"/>
      <c r="AH192" s="3"/>
    </row>
    <row r="193" spans="1:34" x14ac:dyDescent="0.25">
      <c r="B193" s="3">
        <f t="shared" ref="B193:AF193" si="129">$C40*EXP(-B$168/$A40/EXP(-$C$126))</f>
        <v>2.853497416803049E-2</v>
      </c>
      <c r="C193" s="3">
        <f t="shared" si="129"/>
        <v>2.853497416803049E-2</v>
      </c>
      <c r="D193" s="3">
        <f t="shared" si="129"/>
        <v>2.853497416803049E-2</v>
      </c>
      <c r="E193" s="3">
        <f t="shared" si="129"/>
        <v>2.853497416803049E-2</v>
      </c>
      <c r="F193" s="3">
        <f t="shared" si="129"/>
        <v>2.853497416803049E-2</v>
      </c>
      <c r="G193" s="3">
        <f t="shared" si="129"/>
        <v>2.853497416803049E-2</v>
      </c>
      <c r="H193" s="3">
        <f t="shared" si="129"/>
        <v>2.853497416803049E-2</v>
      </c>
      <c r="I193" s="3">
        <f t="shared" si="129"/>
        <v>2.853497416803049E-2</v>
      </c>
      <c r="J193" s="3">
        <f t="shared" si="129"/>
        <v>2.853497416803049E-2</v>
      </c>
      <c r="K193" s="3">
        <f t="shared" si="129"/>
        <v>2.853497416803049E-2</v>
      </c>
      <c r="L193" s="3">
        <f t="shared" si="129"/>
        <v>2.853497416803049E-2</v>
      </c>
      <c r="M193" s="3">
        <f t="shared" si="129"/>
        <v>2.8534974168030473E-2</v>
      </c>
      <c r="N193" s="3">
        <f t="shared" si="129"/>
        <v>2.8534974168030337E-2</v>
      </c>
      <c r="O193" s="3">
        <f t="shared" si="129"/>
        <v>2.8534974168028974E-2</v>
      </c>
      <c r="P193" s="3">
        <f t="shared" si="129"/>
        <v>2.8534974168015304E-2</v>
      </c>
      <c r="Q193" s="3">
        <f t="shared" si="129"/>
        <v>2.8534974167878605E-2</v>
      </c>
      <c r="R193" s="3">
        <f t="shared" si="129"/>
        <v>2.8534974166511635E-2</v>
      </c>
      <c r="S193" s="3">
        <f t="shared" si="129"/>
        <v>2.8534974152841938E-2</v>
      </c>
      <c r="T193" s="3">
        <f t="shared" si="129"/>
        <v>2.8534974016144986E-2</v>
      </c>
      <c r="U193" s="3">
        <f t="shared" si="129"/>
        <v>2.8534972649175476E-2</v>
      </c>
      <c r="V193" s="3">
        <f t="shared" si="129"/>
        <v>2.8534958979483969E-2</v>
      </c>
      <c r="W193" s="3">
        <f t="shared" si="129"/>
        <v>2.8534822282929088E-2</v>
      </c>
      <c r="X193" s="3">
        <f t="shared" si="129"/>
        <v>2.8533455353396187E-2</v>
      </c>
      <c r="Y193" s="3">
        <f t="shared" si="129"/>
        <v>2.8519789659019367E-2</v>
      </c>
      <c r="Z193" s="3">
        <f t="shared" si="129"/>
        <v>2.8383492173026267E-2</v>
      </c>
      <c r="AA193" s="3">
        <f t="shared" si="129"/>
        <v>2.7055834038144305E-2</v>
      </c>
      <c r="AB193" s="3">
        <f t="shared" si="129"/>
        <v>1.6757603453720883E-2</v>
      </c>
      <c r="AC193" s="3">
        <f t="shared" si="129"/>
        <v>1.3922644643723096E-4</v>
      </c>
      <c r="AD193" s="3">
        <f t="shared" si="129"/>
        <v>2.1818255920306208E-25</v>
      </c>
      <c r="AE193" s="3">
        <f t="shared" si="129"/>
        <v>1.9489601626343304E-233</v>
      </c>
      <c r="AF193" s="3">
        <f t="shared" si="129"/>
        <v>0</v>
      </c>
      <c r="AG193" s="3"/>
      <c r="AH193" s="3"/>
    </row>
    <row r="194" spans="1:34" x14ac:dyDescent="0.25">
      <c r="B194" s="3">
        <f t="shared" ref="B194:AF194" si="130">$C41*EXP(-B$168/$A41/EXP(-$C$126))</f>
        <v>1.8710063230340357E-2</v>
      </c>
      <c r="C194" s="3">
        <f t="shared" si="130"/>
        <v>1.8710063230340357E-2</v>
      </c>
      <c r="D194" s="3">
        <f t="shared" si="130"/>
        <v>1.8710063230340357E-2</v>
      </c>
      <c r="E194" s="3">
        <f t="shared" si="130"/>
        <v>1.8710063230340357E-2</v>
      </c>
      <c r="F194" s="3">
        <f t="shared" si="130"/>
        <v>1.8710063230340357E-2</v>
      </c>
      <c r="G194" s="3">
        <f t="shared" si="130"/>
        <v>1.8710063230340357E-2</v>
      </c>
      <c r="H194" s="3">
        <f t="shared" si="130"/>
        <v>1.8710063230340357E-2</v>
      </c>
      <c r="I194" s="3">
        <f t="shared" si="130"/>
        <v>1.8710063230340357E-2</v>
      </c>
      <c r="J194" s="3">
        <f t="shared" si="130"/>
        <v>1.8710063230340357E-2</v>
      </c>
      <c r="K194" s="3">
        <f t="shared" si="130"/>
        <v>1.8710063230340357E-2</v>
      </c>
      <c r="L194" s="3">
        <f t="shared" si="130"/>
        <v>1.8710063230340357E-2</v>
      </c>
      <c r="M194" s="3">
        <f t="shared" si="130"/>
        <v>1.8710063230340357E-2</v>
      </c>
      <c r="N194" s="3">
        <f t="shared" si="130"/>
        <v>1.8710063230340346E-2</v>
      </c>
      <c r="O194" s="3">
        <f t="shared" si="130"/>
        <v>1.8710063230340256E-2</v>
      </c>
      <c r="P194" s="3">
        <f t="shared" si="130"/>
        <v>1.8710063230339361E-2</v>
      </c>
      <c r="Q194" s="3">
        <f t="shared" si="130"/>
        <v>1.87100632303304E-2</v>
      </c>
      <c r="R194" s="3">
        <f t="shared" si="130"/>
        <v>1.8710063230240766E-2</v>
      </c>
      <c r="S194" s="3">
        <f t="shared" si="130"/>
        <v>1.8710063229344459E-2</v>
      </c>
      <c r="T194" s="3">
        <f t="shared" si="130"/>
        <v>1.8710063220381393E-2</v>
      </c>
      <c r="U194" s="3">
        <f t="shared" si="130"/>
        <v>1.8710063130750732E-2</v>
      </c>
      <c r="V194" s="3">
        <f t="shared" si="130"/>
        <v>1.871006223444412E-2</v>
      </c>
      <c r="W194" s="3">
        <f t="shared" si="130"/>
        <v>1.8710053271380377E-2</v>
      </c>
      <c r="X194" s="3">
        <f t="shared" si="130"/>
        <v>1.8709963640979096E-2</v>
      </c>
      <c r="Y194" s="3">
        <f t="shared" si="130"/>
        <v>1.8709067360581526E-2</v>
      </c>
      <c r="Z194" s="3">
        <f t="shared" si="130"/>
        <v>1.8700106917709867E-2</v>
      </c>
      <c r="AA194" s="3">
        <f t="shared" si="130"/>
        <v>1.8610738181433797E-2</v>
      </c>
      <c r="AB194" s="3">
        <f t="shared" si="130"/>
        <v>1.7740207600062261E-2</v>
      </c>
      <c r="AC194" s="3">
        <f t="shared" si="130"/>
        <v>1.0987773052178242E-2</v>
      </c>
      <c r="AD194" s="3">
        <f t="shared" si="130"/>
        <v>9.1289222861629839E-5</v>
      </c>
      <c r="AE194" s="3">
        <f t="shared" si="130"/>
        <v>1.430598624133441E-25</v>
      </c>
      <c r="AF194" s="3">
        <f t="shared" si="130"/>
        <v>1.2779113680487206E-233</v>
      </c>
      <c r="AG194" s="3"/>
      <c r="AH194" s="3"/>
    </row>
    <row r="195" spans="1:34" x14ac:dyDescent="0.25">
      <c r="B195" s="3">
        <f t="shared" ref="B195:AF195" si="131">$C42*EXP(-B$168/$A42/EXP(-$C$126))</f>
        <v>7.6798609611155137E-3</v>
      </c>
      <c r="C195" s="3">
        <f t="shared" si="131"/>
        <v>7.6798609611155137E-3</v>
      </c>
      <c r="D195" s="3">
        <f t="shared" si="131"/>
        <v>7.6798609611155137E-3</v>
      </c>
      <c r="E195" s="3">
        <f t="shared" si="131"/>
        <v>7.6798609611155137E-3</v>
      </c>
      <c r="F195" s="3">
        <f t="shared" si="131"/>
        <v>7.6798609611155137E-3</v>
      </c>
      <c r="G195" s="3">
        <f t="shared" si="131"/>
        <v>7.6798609611155137E-3</v>
      </c>
      <c r="H195" s="3">
        <f t="shared" si="131"/>
        <v>7.6798609611155137E-3</v>
      </c>
      <c r="I195" s="3">
        <f t="shared" si="131"/>
        <v>7.6798609611155137E-3</v>
      </c>
      <c r="J195" s="3">
        <f t="shared" si="131"/>
        <v>7.6798609611155137E-3</v>
      </c>
      <c r="K195" s="3">
        <f t="shared" si="131"/>
        <v>7.6798609611155137E-3</v>
      </c>
      <c r="L195" s="3">
        <f t="shared" si="131"/>
        <v>7.6798609611155137E-3</v>
      </c>
      <c r="M195" s="3">
        <f t="shared" si="131"/>
        <v>7.6798609611155137E-3</v>
      </c>
      <c r="N195" s="3">
        <f t="shared" si="131"/>
        <v>7.6798609611155137E-3</v>
      </c>
      <c r="O195" s="3">
        <f t="shared" si="131"/>
        <v>7.6798609611155094E-3</v>
      </c>
      <c r="P195" s="3">
        <f t="shared" si="131"/>
        <v>7.679860961115473E-3</v>
      </c>
      <c r="Q195" s="3">
        <f t="shared" si="131"/>
        <v>7.6798609611151052E-3</v>
      </c>
      <c r="R195" s="3">
        <f t="shared" si="131"/>
        <v>7.6798609611114258E-3</v>
      </c>
      <c r="S195" s="3">
        <f t="shared" si="131"/>
        <v>7.6798609610746358E-3</v>
      </c>
      <c r="T195" s="3">
        <f t="shared" si="131"/>
        <v>7.6798609607067313E-3</v>
      </c>
      <c r="U195" s="3">
        <f t="shared" si="131"/>
        <v>7.679860957027689E-3</v>
      </c>
      <c r="V195" s="3">
        <f t="shared" si="131"/>
        <v>7.6798609202372728E-3</v>
      </c>
      <c r="W195" s="3">
        <f t="shared" si="131"/>
        <v>7.67986055233311E-3</v>
      </c>
      <c r="X195" s="3">
        <f t="shared" si="131"/>
        <v>7.6798568732924519E-3</v>
      </c>
      <c r="Y195" s="3">
        <f t="shared" si="131"/>
        <v>7.6798200829828068E-3</v>
      </c>
      <c r="Z195" s="3">
        <f t="shared" si="131"/>
        <v>7.679452189579627E-3</v>
      </c>
      <c r="AA195" s="3">
        <f t="shared" si="131"/>
        <v>7.675774224702803E-3</v>
      </c>
      <c r="AB195" s="3">
        <f t="shared" si="131"/>
        <v>7.6390913198712542E-3</v>
      </c>
      <c r="AC195" s="3">
        <f t="shared" si="131"/>
        <v>7.2817673629702907E-3</v>
      </c>
      <c r="AD195" s="3">
        <f t="shared" si="131"/>
        <v>4.510116736333749E-3</v>
      </c>
      <c r="AE195" s="3">
        <f t="shared" si="131"/>
        <v>3.7471200935799901E-5</v>
      </c>
      <c r="AF195" s="3">
        <f t="shared" si="131"/>
        <v>5.872133294927469E-26</v>
      </c>
      <c r="AG195" s="3"/>
      <c r="AH195" s="3"/>
    </row>
    <row r="196" spans="1:34" x14ac:dyDescent="0.25">
      <c r="B196" s="3">
        <f t="shared" ref="B196:AF196" si="132">$C43*EXP(-B$168/$A43/EXP(-$C$126))</f>
        <v>4.1102249961922147E-3</v>
      </c>
      <c r="C196" s="3">
        <f t="shared" si="132"/>
        <v>4.1102249961922147E-3</v>
      </c>
      <c r="D196" s="3">
        <f t="shared" si="132"/>
        <v>4.1102249961922147E-3</v>
      </c>
      <c r="E196" s="3">
        <f t="shared" si="132"/>
        <v>4.1102249961922147E-3</v>
      </c>
      <c r="F196" s="3">
        <f t="shared" si="132"/>
        <v>4.1102249961922147E-3</v>
      </c>
      <c r="G196" s="3">
        <f t="shared" si="132"/>
        <v>4.1102249961922147E-3</v>
      </c>
      <c r="H196" s="3">
        <f t="shared" si="132"/>
        <v>4.1102249961922147E-3</v>
      </c>
      <c r="I196" s="3">
        <f t="shared" si="132"/>
        <v>4.1102249961922147E-3</v>
      </c>
      <c r="J196" s="3">
        <f t="shared" si="132"/>
        <v>4.1102249961922147E-3</v>
      </c>
      <c r="K196" s="3">
        <f t="shared" si="132"/>
        <v>4.1102249961922147E-3</v>
      </c>
      <c r="L196" s="3">
        <f t="shared" si="132"/>
        <v>4.1102249961922147E-3</v>
      </c>
      <c r="M196" s="3">
        <f t="shared" si="132"/>
        <v>4.1102249961922147E-3</v>
      </c>
      <c r="N196" s="3">
        <f t="shared" si="132"/>
        <v>4.1102249961922147E-3</v>
      </c>
      <c r="O196" s="3">
        <f t="shared" si="132"/>
        <v>4.1102249961922147E-3</v>
      </c>
      <c r="P196" s="3">
        <f t="shared" si="132"/>
        <v>4.1102249961922121E-3</v>
      </c>
      <c r="Q196" s="3">
        <f t="shared" si="132"/>
        <v>4.110224996192193E-3</v>
      </c>
      <c r="R196" s="3">
        <f t="shared" si="132"/>
        <v>4.1102249961919961E-3</v>
      </c>
      <c r="S196" s="3">
        <f t="shared" si="132"/>
        <v>4.1102249961900272E-3</v>
      </c>
      <c r="T196" s="3">
        <f t="shared" si="132"/>
        <v>4.1102249961703372E-3</v>
      </c>
      <c r="U196" s="3">
        <f t="shared" si="132"/>
        <v>4.1102249959734365E-3</v>
      </c>
      <c r="V196" s="3">
        <f t="shared" si="132"/>
        <v>4.1102249940044308E-3</v>
      </c>
      <c r="W196" s="3">
        <f t="shared" si="132"/>
        <v>4.1102249743143748E-3</v>
      </c>
      <c r="X196" s="3">
        <f t="shared" si="132"/>
        <v>4.1102247774138199E-3</v>
      </c>
      <c r="Y196" s="3">
        <f t="shared" si="132"/>
        <v>4.110222808408788E-3</v>
      </c>
      <c r="Z196" s="3">
        <f t="shared" si="132"/>
        <v>4.1102031184103516E-3</v>
      </c>
      <c r="AA196" s="3">
        <f t="shared" si="132"/>
        <v>4.1100062236137736E-3</v>
      </c>
      <c r="AB196" s="3">
        <f t="shared" si="132"/>
        <v>4.1080377943351213E-3</v>
      </c>
      <c r="AC196" s="3">
        <f t="shared" si="132"/>
        <v>4.0884052784425839E-3</v>
      </c>
      <c r="AD196" s="3">
        <f t="shared" si="132"/>
        <v>3.8971671991558836E-3</v>
      </c>
      <c r="AE196" s="3">
        <f t="shared" si="132"/>
        <v>2.4137929891287001E-3</v>
      </c>
      <c r="AF196" s="3">
        <f t="shared" si="132"/>
        <v>2.005440821174644E-5</v>
      </c>
      <c r="AG196" s="3"/>
      <c r="AH196" s="3"/>
    </row>
    <row r="197" spans="1:34" x14ac:dyDescent="0.25">
      <c r="B197" s="3">
        <f t="shared" ref="B197:AF197" si="133">$C44*EXP(-B$168/$A44/EXP(-$C$126))</f>
        <v>3.1066969837399792E-3</v>
      </c>
      <c r="C197" s="3">
        <f t="shared" si="133"/>
        <v>3.1066969837399792E-3</v>
      </c>
      <c r="D197" s="3">
        <f t="shared" si="133"/>
        <v>3.1066969837399792E-3</v>
      </c>
      <c r="E197" s="3">
        <f t="shared" si="133"/>
        <v>3.1066969837399792E-3</v>
      </c>
      <c r="F197" s="3">
        <f t="shared" si="133"/>
        <v>3.1066969837399792E-3</v>
      </c>
      <c r="G197" s="3">
        <f t="shared" si="133"/>
        <v>3.1066969837399792E-3</v>
      </c>
      <c r="H197" s="3">
        <f t="shared" si="133"/>
        <v>3.1066969837399792E-3</v>
      </c>
      <c r="I197" s="3">
        <f t="shared" si="133"/>
        <v>3.1066969837399792E-3</v>
      </c>
      <c r="J197" s="3">
        <f t="shared" si="133"/>
        <v>3.1066969837399792E-3</v>
      </c>
      <c r="K197" s="3">
        <f t="shared" si="133"/>
        <v>3.1066969837399792E-3</v>
      </c>
      <c r="L197" s="3">
        <f t="shared" si="133"/>
        <v>3.1066969837399792E-3</v>
      </c>
      <c r="M197" s="3">
        <f t="shared" si="133"/>
        <v>3.1066969837399792E-3</v>
      </c>
      <c r="N197" s="3">
        <f t="shared" si="133"/>
        <v>3.1066969837399792E-3</v>
      </c>
      <c r="O197" s="3">
        <f t="shared" si="133"/>
        <v>3.1066969837399792E-3</v>
      </c>
      <c r="P197" s="3">
        <f t="shared" si="133"/>
        <v>3.1066969837399792E-3</v>
      </c>
      <c r="Q197" s="3">
        <f t="shared" si="133"/>
        <v>3.1066969837399774E-3</v>
      </c>
      <c r="R197" s="3">
        <f t="shared" si="133"/>
        <v>3.1066969837399627E-3</v>
      </c>
      <c r="S197" s="3">
        <f t="shared" si="133"/>
        <v>3.1066969837398139E-3</v>
      </c>
      <c r="T197" s="3">
        <f t="shared" si="133"/>
        <v>3.1066969837383255E-3</v>
      </c>
      <c r="U197" s="3">
        <f t="shared" si="133"/>
        <v>3.1066969837234429E-3</v>
      </c>
      <c r="V197" s="3">
        <f t="shared" si="133"/>
        <v>3.1066969835746162E-3</v>
      </c>
      <c r="W197" s="3">
        <f t="shared" si="133"/>
        <v>3.1066969820863514E-3</v>
      </c>
      <c r="X197" s="3">
        <f t="shared" si="133"/>
        <v>3.106696967203702E-3</v>
      </c>
      <c r="Y197" s="3">
        <f t="shared" si="133"/>
        <v>3.1066968183772119E-3</v>
      </c>
      <c r="Z197" s="3">
        <f t="shared" si="133"/>
        <v>3.1066953301127011E-3</v>
      </c>
      <c r="AA197" s="3">
        <f t="shared" si="133"/>
        <v>3.1066804475068073E-3</v>
      </c>
      <c r="AB197" s="3">
        <f t="shared" si="133"/>
        <v>3.1065316253690387E-3</v>
      </c>
      <c r="AC197" s="3">
        <f t="shared" si="133"/>
        <v>3.1050437960389271E-3</v>
      </c>
      <c r="AD197" s="3">
        <f t="shared" si="133"/>
        <v>3.0902046380942702E-3</v>
      </c>
      <c r="AE197" s="3">
        <f t="shared" si="133"/>
        <v>2.94565810727257E-3</v>
      </c>
      <c r="AF197" s="3">
        <f t="shared" si="133"/>
        <v>1.824455694188512E-3</v>
      </c>
      <c r="AG197" s="3"/>
      <c r="AH197" s="3"/>
    </row>
    <row r="198" spans="1:34" x14ac:dyDescent="0.25">
      <c r="B198" s="3">
        <f t="shared" ref="B198:AF198" si="134">$C45*EXP(-B$168/$A45/EXP(-$C$126))</f>
        <v>9.6514726179013565E-4</v>
      </c>
      <c r="C198" s="3">
        <f t="shared" si="134"/>
        <v>9.6514726179013565E-4</v>
      </c>
      <c r="D198" s="3">
        <f t="shared" si="134"/>
        <v>9.6514726179013565E-4</v>
      </c>
      <c r="E198" s="3">
        <f t="shared" si="134"/>
        <v>9.6514726179013565E-4</v>
      </c>
      <c r="F198" s="3">
        <f t="shared" si="134"/>
        <v>9.6514726179013565E-4</v>
      </c>
      <c r="G198" s="3">
        <f t="shared" si="134"/>
        <v>9.6514726179013565E-4</v>
      </c>
      <c r="H198" s="3">
        <f t="shared" si="134"/>
        <v>9.6514726179013565E-4</v>
      </c>
      <c r="I198" s="3">
        <f t="shared" si="134"/>
        <v>9.6514726179013565E-4</v>
      </c>
      <c r="J198" s="3">
        <f t="shared" si="134"/>
        <v>9.6514726179013565E-4</v>
      </c>
      <c r="K198" s="3">
        <f t="shared" si="134"/>
        <v>9.6514726179013565E-4</v>
      </c>
      <c r="L198" s="3">
        <f t="shared" si="134"/>
        <v>9.6514726179013565E-4</v>
      </c>
      <c r="M198" s="3">
        <f t="shared" si="134"/>
        <v>9.6514726179013565E-4</v>
      </c>
      <c r="N198" s="3">
        <f t="shared" si="134"/>
        <v>9.6514726179013565E-4</v>
      </c>
      <c r="O198" s="3">
        <f t="shared" si="134"/>
        <v>9.6514726179013565E-4</v>
      </c>
      <c r="P198" s="3">
        <f t="shared" si="134"/>
        <v>9.6514726179013565E-4</v>
      </c>
      <c r="Q198" s="3">
        <f t="shared" si="134"/>
        <v>9.6514726179013565E-4</v>
      </c>
      <c r="R198" s="3">
        <f t="shared" si="134"/>
        <v>9.6514726179013511E-4</v>
      </c>
      <c r="S198" s="3">
        <f t="shared" si="134"/>
        <v>9.6514726179013056E-4</v>
      </c>
      <c r="T198" s="3">
        <f t="shared" si="134"/>
        <v>9.6514726179008437E-4</v>
      </c>
      <c r="U198" s="3">
        <f t="shared" si="134"/>
        <v>9.6514726178962196E-4</v>
      </c>
      <c r="V198" s="3">
        <f t="shared" si="134"/>
        <v>9.6514726178499838E-4</v>
      </c>
      <c r="W198" s="3">
        <f t="shared" si="134"/>
        <v>9.651472617387629E-4</v>
      </c>
      <c r="X198" s="3">
        <f t="shared" si="134"/>
        <v>9.6514726127640857E-4</v>
      </c>
      <c r="Y198" s="3">
        <f t="shared" si="134"/>
        <v>9.6514725665286527E-4</v>
      </c>
      <c r="Z198" s="3">
        <f t="shared" si="134"/>
        <v>9.6514721041743247E-4</v>
      </c>
      <c r="AA198" s="3">
        <f t="shared" si="134"/>
        <v>9.6514674806322644E-4</v>
      </c>
      <c r="AB198" s="3">
        <f t="shared" si="134"/>
        <v>9.6514212453334826E-4</v>
      </c>
      <c r="AC198" s="3">
        <f t="shared" si="134"/>
        <v>9.6509589045274335E-4</v>
      </c>
      <c r="AD198" s="3">
        <f t="shared" si="134"/>
        <v>9.6463367144281607E-4</v>
      </c>
      <c r="AE198" s="3">
        <f t="shared" si="134"/>
        <v>9.6002363939510886E-4</v>
      </c>
      <c r="AF198" s="3">
        <f t="shared" si="134"/>
        <v>9.1511784743857224E-4</v>
      </c>
      <c r="AG198" s="3"/>
      <c r="AH198" s="3"/>
    </row>
    <row r="199" spans="1:34" x14ac:dyDescent="0.25">
      <c r="B199" s="3">
        <f t="shared" ref="B199:AF199" si="135">$C46*EXP(-B$168/$A46/EXP(-$C$126))</f>
        <v>1.0056328677851901E-3</v>
      </c>
      <c r="C199" s="3">
        <f t="shared" si="135"/>
        <v>1.0056328677851901E-3</v>
      </c>
      <c r="D199" s="3">
        <f t="shared" si="135"/>
        <v>1.0056328677851901E-3</v>
      </c>
      <c r="E199" s="3">
        <f t="shared" si="135"/>
        <v>1.0056328677851901E-3</v>
      </c>
      <c r="F199" s="3">
        <f t="shared" si="135"/>
        <v>1.0056328677851901E-3</v>
      </c>
      <c r="G199" s="3">
        <f t="shared" si="135"/>
        <v>1.0056328677851901E-3</v>
      </c>
      <c r="H199" s="3">
        <f t="shared" si="135"/>
        <v>1.0056328677851901E-3</v>
      </c>
      <c r="I199" s="3">
        <f t="shared" si="135"/>
        <v>1.0056328677851901E-3</v>
      </c>
      <c r="J199" s="3">
        <f t="shared" si="135"/>
        <v>1.0056328677851901E-3</v>
      </c>
      <c r="K199" s="3">
        <f t="shared" si="135"/>
        <v>1.0056328677851901E-3</v>
      </c>
      <c r="L199" s="3">
        <f t="shared" si="135"/>
        <v>1.0056328677851901E-3</v>
      </c>
      <c r="M199" s="3">
        <f t="shared" si="135"/>
        <v>1.0056328677851901E-3</v>
      </c>
      <c r="N199" s="3">
        <f t="shared" si="135"/>
        <v>1.0056328677851901E-3</v>
      </c>
      <c r="O199" s="3">
        <f t="shared" si="135"/>
        <v>1.0056328677851901E-3</v>
      </c>
      <c r="P199" s="3">
        <f t="shared" si="135"/>
        <v>1.0056328677851901E-3</v>
      </c>
      <c r="Q199" s="3">
        <f t="shared" si="135"/>
        <v>1.0056328677851901E-3</v>
      </c>
      <c r="R199" s="3">
        <f t="shared" si="135"/>
        <v>1.0056328677851901E-3</v>
      </c>
      <c r="S199" s="3">
        <f t="shared" si="135"/>
        <v>1.0056328677851894E-3</v>
      </c>
      <c r="T199" s="3">
        <f t="shared" si="135"/>
        <v>1.0056328677851846E-3</v>
      </c>
      <c r="U199" s="3">
        <f t="shared" si="135"/>
        <v>1.0056328677851365E-3</v>
      </c>
      <c r="V199" s="3">
        <f t="shared" si="135"/>
        <v>1.0056328677846549E-3</v>
      </c>
      <c r="W199" s="3">
        <f t="shared" si="135"/>
        <v>1.0056328677798374E-3</v>
      </c>
      <c r="X199" s="3">
        <f t="shared" si="135"/>
        <v>1.0056328677316624E-3</v>
      </c>
      <c r="Y199" s="3">
        <f t="shared" si="135"/>
        <v>1.0056328672499134E-3</v>
      </c>
      <c r="Z199" s="3">
        <f t="shared" si="135"/>
        <v>1.0056328624324234E-3</v>
      </c>
      <c r="AA199" s="3">
        <f t="shared" si="135"/>
        <v>1.0056328142575256E-3</v>
      </c>
      <c r="AB199" s="3">
        <f t="shared" si="135"/>
        <v>1.0056323325086727E-3</v>
      </c>
      <c r="AC199" s="3">
        <f t="shared" si="135"/>
        <v>1.005627515032838E-3</v>
      </c>
      <c r="AD199" s="3">
        <f t="shared" si="135"/>
        <v>1.0055793415437667E-3</v>
      </c>
      <c r="AE199" s="3">
        <f t="shared" si="135"/>
        <v>1.0050977335582289E-3</v>
      </c>
      <c r="AF199" s="3">
        <f t="shared" si="135"/>
        <v>1.0002943217554345E-3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2.1809087047795134E-2</v>
      </c>
      <c r="C201" s="3">
        <f t="shared" si="137"/>
        <v>2.1809087047795134E-2</v>
      </c>
      <c r="D201" s="3">
        <f t="shared" si="137"/>
        <v>2.1809087047795134E-2</v>
      </c>
      <c r="E201" s="3">
        <f t="shared" si="137"/>
        <v>2.1809087047795134E-2</v>
      </c>
      <c r="F201" s="3">
        <f t="shared" si="137"/>
        <v>2.1809087047795134E-2</v>
      </c>
      <c r="G201" s="3">
        <f t="shared" si="137"/>
        <v>2.1809087047795134E-2</v>
      </c>
      <c r="H201" s="3">
        <f t="shared" si="137"/>
        <v>2.1809087047795134E-2</v>
      </c>
      <c r="I201" s="3">
        <f t="shared" si="137"/>
        <v>2.1809087047795134E-2</v>
      </c>
      <c r="J201" s="3">
        <f t="shared" si="137"/>
        <v>2.1809087047795134E-2</v>
      </c>
      <c r="K201" s="3">
        <f t="shared" si="137"/>
        <v>2.1809087047795134E-2</v>
      </c>
      <c r="L201" s="3">
        <f t="shared" si="137"/>
        <v>2.1809087047795134E-2</v>
      </c>
      <c r="M201" s="3">
        <f t="shared" si="137"/>
        <v>2.1809087047795134E-2</v>
      </c>
      <c r="N201" s="3">
        <f t="shared" si="137"/>
        <v>2.1809087047795134E-2</v>
      </c>
      <c r="O201" s="3">
        <f t="shared" si="137"/>
        <v>2.1809087047795134E-2</v>
      </c>
      <c r="P201" s="3">
        <f t="shared" si="137"/>
        <v>2.1809087047795134E-2</v>
      </c>
      <c r="Q201" s="3">
        <f t="shared" si="137"/>
        <v>2.1809087047795134E-2</v>
      </c>
      <c r="R201" s="3">
        <f t="shared" si="137"/>
        <v>2.1809087047795134E-2</v>
      </c>
      <c r="S201" s="3">
        <f t="shared" si="137"/>
        <v>2.1809087047795134E-2</v>
      </c>
      <c r="T201" s="3">
        <f t="shared" si="137"/>
        <v>2.1809087047795134E-2</v>
      </c>
      <c r="U201" s="3">
        <f t="shared" si="137"/>
        <v>2.1809087047795123E-2</v>
      </c>
      <c r="V201" s="3">
        <f t="shared" si="137"/>
        <v>2.1809087047795019E-2</v>
      </c>
      <c r="W201" s="3">
        <f t="shared" si="137"/>
        <v>2.1809087047793975E-2</v>
      </c>
      <c r="X201" s="3">
        <f t="shared" si="137"/>
        <v>2.1809087047783525E-2</v>
      </c>
      <c r="Y201" s="3">
        <f t="shared" si="137"/>
        <v>2.180908704767905E-2</v>
      </c>
      <c r="Z201" s="3">
        <f t="shared" si="137"/>
        <v>2.1809087046634281E-2</v>
      </c>
      <c r="AA201" s="3">
        <f t="shared" si="137"/>
        <v>2.1809087036186628E-2</v>
      </c>
      <c r="AB201" s="3">
        <f t="shared" si="137"/>
        <v>2.1809086931710076E-2</v>
      </c>
      <c r="AC201" s="3">
        <f t="shared" si="137"/>
        <v>2.1809085886944558E-2</v>
      </c>
      <c r="AD201" s="3">
        <f t="shared" si="137"/>
        <v>2.1809075439292135E-2</v>
      </c>
      <c r="AE201" s="3">
        <f t="shared" si="137"/>
        <v>2.1808970963043201E-2</v>
      </c>
      <c r="AF201" s="3">
        <f t="shared" si="137"/>
        <v>2.1807926228080563E-2</v>
      </c>
      <c r="AG201" s="3"/>
      <c r="AH201" s="3"/>
    </row>
    <row r="202" spans="1:34" x14ac:dyDescent="0.25">
      <c r="A202" s="79">
        <f>AVERAGE(B202:AF202)</f>
        <v>1.8974650491036148E-2</v>
      </c>
      <c r="B202" s="80">
        <f>IF($A$64&lt;=B168,IF($B$64&gt;=B168,ABS((B170-B169)/B169),0),0)</f>
        <v>8.587467752528645E-2</v>
      </c>
      <c r="C202" s="80">
        <f t="shared" ref="C202:AF202" si="138">IF($A$64&lt;=C168,IF($B$64&gt;=C168,ABS((C170-C169)/C169),0),0)</f>
        <v>5.5735115998693394E-2</v>
      </c>
      <c r="D202" s="80">
        <f t="shared" si="138"/>
        <v>3.7537776308542575E-2</v>
      </c>
      <c r="E202" s="80">
        <f t="shared" si="138"/>
        <v>1.8943623322741798E-2</v>
      </c>
      <c r="F202" s="80">
        <f t="shared" si="138"/>
        <v>3.3123817830469989E-3</v>
      </c>
      <c r="G202" s="80">
        <f t="shared" si="138"/>
        <v>1.1791903527753691E-2</v>
      </c>
      <c r="H202" s="80">
        <f t="shared" si="138"/>
        <v>1.2961361583649132E-2</v>
      </c>
      <c r="I202" s="80">
        <f t="shared" si="138"/>
        <v>1.1840789155794802E-2</v>
      </c>
      <c r="J202" s="80">
        <f t="shared" si="138"/>
        <v>1.1690468179676032E-2</v>
      </c>
      <c r="K202" s="80">
        <f t="shared" si="138"/>
        <v>1.1709559595676877E-2</v>
      </c>
      <c r="L202" s="80">
        <f t="shared" si="138"/>
        <v>1.1509168056138816E-2</v>
      </c>
      <c r="M202" s="80">
        <f t="shared" si="138"/>
        <v>1.1397974047265898E-2</v>
      </c>
      <c r="N202" s="80">
        <f t="shared" si="138"/>
        <v>1.1383532626025558E-2</v>
      </c>
      <c r="O202" s="80">
        <f t="shared" si="138"/>
        <v>1.2115484398406876E-2</v>
      </c>
      <c r="P202" s="80">
        <f t="shared" si="138"/>
        <v>1.1475637887111043E-2</v>
      </c>
      <c r="Q202" s="80">
        <f t="shared" si="138"/>
        <v>1.2149593702019283E-2</v>
      </c>
      <c r="R202" s="80">
        <f t="shared" si="138"/>
        <v>1.2515900374531305E-2</v>
      </c>
      <c r="S202" s="80">
        <f t="shared" si="138"/>
        <v>1.0635135092641312E-2</v>
      </c>
      <c r="T202" s="80">
        <f t="shared" si="138"/>
        <v>3.5221002852284834E-3</v>
      </c>
      <c r="U202" s="80">
        <f t="shared" si="138"/>
        <v>2.7593304826034715E-2</v>
      </c>
      <c r="V202" s="80">
        <f t="shared" si="138"/>
        <v>4.4883475858508069E-2</v>
      </c>
      <c r="W202" s="80">
        <f t="shared" si="138"/>
        <v>4.2026164343563314E-2</v>
      </c>
      <c r="X202" s="80">
        <f t="shared" si="138"/>
        <v>2.8249998384981347E-2</v>
      </c>
      <c r="Y202" s="80">
        <f t="shared" si="138"/>
        <v>2.1735073467720557E-2</v>
      </c>
      <c r="Z202" s="80">
        <f t="shared" si="138"/>
        <v>1.4000669538843948E-3</v>
      </c>
      <c r="AA202" s="80">
        <f t="shared" si="138"/>
        <v>3.696161496967474E-2</v>
      </c>
      <c r="AB202" s="80">
        <f t="shared" si="138"/>
        <v>4.126183825960277E-3</v>
      </c>
      <c r="AC202" s="80">
        <f t="shared" si="138"/>
        <v>1.1563128715237297E-2</v>
      </c>
      <c r="AD202" s="80">
        <f t="shared" si="138"/>
        <v>5.9881786833566606E-3</v>
      </c>
      <c r="AE202" s="80">
        <f t="shared" si="138"/>
        <v>5.1168681888815633E-3</v>
      </c>
      <c r="AF202" s="80">
        <f t="shared" si="138"/>
        <v>4.6792355408723082E-4</v>
      </c>
    </row>
    <row r="203" spans="1:34" x14ac:dyDescent="0.25">
      <c r="B203" s="21">
        <f>(B170-B169)^2</f>
        <v>841364.08221490099</v>
      </c>
      <c r="C203" s="21">
        <f t="shared" ref="C203:AF203" si="139">(C170-C169)^2</f>
        <v>332146.71875643585</v>
      </c>
      <c r="D203" s="21">
        <f t="shared" si="139"/>
        <v>145002.57984297638</v>
      </c>
      <c r="E203" s="21">
        <f t="shared" si="139"/>
        <v>35498.462675939983</v>
      </c>
      <c r="F203" s="21">
        <f t="shared" si="139"/>
        <v>1039.4523596996967</v>
      </c>
      <c r="G203" s="21">
        <f t="shared" si="139"/>
        <v>12544.910526222064</v>
      </c>
      <c r="H203" s="21">
        <f t="shared" si="139"/>
        <v>14350.689672218779</v>
      </c>
      <c r="I203" s="21">
        <f t="shared" si="139"/>
        <v>11261.896928487271</v>
      </c>
      <c r="J203" s="21">
        <f t="shared" si="139"/>
        <v>10294.677058380787</v>
      </c>
      <c r="K203" s="21">
        <f t="shared" si="139"/>
        <v>9702.8690732017931</v>
      </c>
      <c r="L203" s="21">
        <f t="shared" si="139"/>
        <v>8700.8923644280076</v>
      </c>
      <c r="M203" s="21">
        <f t="shared" si="139"/>
        <v>7779.7815105606505</v>
      </c>
      <c r="N203" s="21">
        <f t="shared" si="139"/>
        <v>7013.2823730149848</v>
      </c>
      <c r="O203" s="21">
        <f t="shared" si="139"/>
        <v>7252.9781949388407</v>
      </c>
      <c r="P203" s="21">
        <f t="shared" si="139"/>
        <v>5983.105527681917</v>
      </c>
      <c r="Q203" s="21">
        <f t="shared" si="139"/>
        <v>6143.2054235074156</v>
      </c>
      <c r="R203" s="21">
        <f t="shared" si="139"/>
        <v>5940.2353359453546</v>
      </c>
      <c r="S203" s="21">
        <f t="shared" si="139"/>
        <v>3889.9252289246333</v>
      </c>
      <c r="T203" s="21">
        <f t="shared" si="139"/>
        <v>374.86684155358842</v>
      </c>
      <c r="U203" s="21">
        <f t="shared" si="139"/>
        <v>18581.030642862072</v>
      </c>
      <c r="V203" s="21">
        <f t="shared" si="139"/>
        <v>37297.47986667751</v>
      </c>
      <c r="W203" s="21">
        <f t="shared" si="139"/>
        <v>24104.254806337594</v>
      </c>
      <c r="X203" s="21">
        <f t="shared" si="139"/>
        <v>7803.2264239144379</v>
      </c>
      <c r="Y203" s="21">
        <f t="shared" si="139"/>
        <v>3111.611899319259</v>
      </c>
      <c r="Z203" s="21">
        <f t="shared" si="139"/>
        <v>7.8358289449212979</v>
      </c>
      <c r="AA203" s="21">
        <f t="shared" si="139"/>
        <v>2950.4413216820121</v>
      </c>
      <c r="AB203" s="21">
        <f t="shared" si="139"/>
        <v>19.209405916490613</v>
      </c>
      <c r="AC203" s="21">
        <f t="shared" si="139"/>
        <v>83.52833125569272</v>
      </c>
      <c r="AD203" s="21">
        <f t="shared" si="139"/>
        <v>15.268316558792495</v>
      </c>
      <c r="AE203" s="21">
        <f t="shared" si="139"/>
        <v>8.7752421422791631</v>
      </c>
      <c r="AF203" s="21">
        <f t="shared" si="139"/>
        <v>6.4640114632843818E-2</v>
      </c>
      <c r="AG203" s="3"/>
      <c r="AH203" s="3"/>
    </row>
    <row r="204" spans="1:34" x14ac:dyDescent="0.25">
      <c r="A204" s="71">
        <f>SUM(B204:AF204)</f>
        <v>1560267.3386347448</v>
      </c>
      <c r="B204" s="60">
        <f>IF($A$64&lt;=B168,IF($B$64&gt;=B168,ABS(B203),0),0)</f>
        <v>841364.08221490099</v>
      </c>
      <c r="C204" s="60">
        <f t="shared" ref="C204" si="140">IF($A$64&lt;=C168,IF($B$64&gt;=C168,ABS(C203),0),0)</f>
        <v>332146.71875643585</v>
      </c>
      <c r="D204" s="60">
        <f t="shared" ref="D204" si="141">IF($A$64&lt;=D168,IF($B$64&gt;=D168,ABS(D203),0),0)</f>
        <v>145002.57984297638</v>
      </c>
      <c r="E204" s="60">
        <f t="shared" ref="E204" si="142">IF($A$64&lt;=E168,IF($B$64&gt;=E168,ABS(E203),0),0)</f>
        <v>35498.462675939983</v>
      </c>
      <c r="F204" s="60">
        <f t="shared" ref="F204" si="143">IF($A$64&lt;=F168,IF($B$64&gt;=F168,ABS(F203),0),0)</f>
        <v>1039.4523596996967</v>
      </c>
      <c r="G204" s="60">
        <f t="shared" ref="G204" si="144">IF($A$64&lt;=G168,IF($B$64&gt;=G168,ABS(G203),0),0)</f>
        <v>12544.910526222064</v>
      </c>
      <c r="H204" s="60">
        <f t="shared" ref="H204" si="145">IF($A$64&lt;=H168,IF($B$64&gt;=H168,ABS(H203),0),0)</f>
        <v>14350.689672218779</v>
      </c>
      <c r="I204" s="60">
        <f t="shared" ref="I204" si="146">IF($A$64&lt;=I168,IF($B$64&gt;=I168,ABS(I203),0),0)</f>
        <v>11261.896928487271</v>
      </c>
      <c r="J204" s="60">
        <f t="shared" ref="J204" si="147">IF($A$64&lt;=J168,IF($B$64&gt;=J168,ABS(J203),0),0)</f>
        <v>10294.677058380787</v>
      </c>
      <c r="K204" s="60">
        <f t="shared" ref="K204" si="148">IF($A$64&lt;=K168,IF($B$64&gt;=K168,ABS(K203),0),0)</f>
        <v>9702.8690732017931</v>
      </c>
      <c r="L204" s="60">
        <f t="shared" ref="L204" si="149">IF($A$64&lt;=L168,IF($B$64&gt;=L168,ABS(L203),0),0)</f>
        <v>8700.8923644280076</v>
      </c>
      <c r="M204" s="60">
        <f t="shared" ref="M204" si="150">IF($A$64&lt;=M168,IF($B$64&gt;=M168,ABS(M203),0),0)</f>
        <v>7779.7815105606505</v>
      </c>
      <c r="N204" s="60">
        <f t="shared" ref="N204" si="151">IF($A$64&lt;=N168,IF($B$64&gt;=N168,ABS(N203),0),0)</f>
        <v>7013.2823730149848</v>
      </c>
      <c r="O204" s="60">
        <f t="shared" ref="O204" si="152">IF($A$64&lt;=O168,IF($B$64&gt;=O168,ABS(O203),0),0)</f>
        <v>7252.9781949388407</v>
      </c>
      <c r="P204" s="60">
        <f t="shared" ref="P204" si="153">IF($A$64&lt;=P168,IF($B$64&gt;=P168,ABS(P203),0),0)</f>
        <v>5983.105527681917</v>
      </c>
      <c r="Q204" s="60">
        <f t="shared" ref="Q204" si="154">IF($A$64&lt;=Q168,IF($B$64&gt;=Q168,ABS(Q203),0),0)</f>
        <v>6143.2054235074156</v>
      </c>
      <c r="R204" s="60">
        <f t="shared" ref="R204" si="155">IF($A$64&lt;=R168,IF($B$64&gt;=R168,ABS(R203),0),0)</f>
        <v>5940.2353359453546</v>
      </c>
      <c r="S204" s="60">
        <f t="shared" ref="S204" si="156">IF($A$64&lt;=S168,IF($B$64&gt;=S168,ABS(S203),0),0)</f>
        <v>3889.9252289246333</v>
      </c>
      <c r="T204" s="60">
        <f t="shared" ref="T204" si="157">IF($A$64&lt;=T168,IF($B$64&gt;=T168,ABS(T203),0),0)</f>
        <v>374.86684155358842</v>
      </c>
      <c r="U204" s="60">
        <f t="shared" ref="U204" si="158">IF($A$64&lt;=U168,IF($B$64&gt;=U168,ABS(U203),0),0)</f>
        <v>18581.030642862072</v>
      </c>
      <c r="V204" s="60">
        <f t="shared" ref="V204" si="159">IF($A$64&lt;=V168,IF($B$64&gt;=V168,ABS(V203),0),0)</f>
        <v>37297.47986667751</v>
      </c>
      <c r="W204" s="60">
        <f t="shared" ref="W204" si="160">IF($A$64&lt;=W168,IF($B$64&gt;=W168,ABS(W203),0),0)</f>
        <v>24104.254806337594</v>
      </c>
      <c r="X204" s="60">
        <f t="shared" ref="X204" si="161">IF($A$64&lt;=X168,IF($B$64&gt;=X168,ABS(X203),0),0)</f>
        <v>7803.2264239144379</v>
      </c>
      <c r="Y204" s="60">
        <f t="shared" ref="Y204" si="162">IF($A$64&lt;=Y168,IF($B$64&gt;=Y168,ABS(Y203),0),0)</f>
        <v>3111.611899319259</v>
      </c>
      <c r="Z204" s="60">
        <f t="shared" ref="Z204" si="163">IF($A$64&lt;=Z168,IF($B$64&gt;=Z168,ABS(Z203),0),0)</f>
        <v>7.8358289449212979</v>
      </c>
      <c r="AA204" s="60">
        <f t="shared" ref="AA204" si="164">IF($A$64&lt;=AA168,IF($B$64&gt;=AA168,ABS(AA203),0),0)</f>
        <v>2950.4413216820121</v>
      </c>
      <c r="AB204" s="60">
        <f t="shared" ref="AB204" si="165">IF($A$64&lt;=AB168,IF($B$64&gt;=AB168,ABS(AB203),0),0)</f>
        <v>19.209405916490613</v>
      </c>
      <c r="AC204" s="60">
        <f t="shared" ref="AC204" si="166">IF($A$64&lt;=AC168,IF($B$64&gt;=AC168,ABS(AC203),0),0)</f>
        <v>83.52833125569272</v>
      </c>
      <c r="AD204" s="60">
        <f t="shared" ref="AD204" si="167">IF($A$64&lt;=AD168,IF($B$64&gt;=AD168,ABS(AD203),0),0)</f>
        <v>15.268316558792495</v>
      </c>
      <c r="AE204" s="60">
        <f t="shared" ref="AE204" si="168">IF($A$64&lt;=AE168,IF($B$64&gt;=AE168,ABS(AE203),0),0)</f>
        <v>8.7752421422791631</v>
      </c>
      <c r="AF204" s="60">
        <f t="shared" ref="AF204" si="169">IF($A$64&lt;=AF168,IF($B$64&gt;=AF168,ABS(AF203),0),0)</f>
        <v>6.4640114632843818E-2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9764.0322025513706</v>
      </c>
      <c r="C209" s="27">
        <f t="shared" ref="C209:AF209" si="170">($C$17+SUM(C210:C240))*$B$51</f>
        <v>9763.2840513644824</v>
      </c>
      <c r="D209" s="27">
        <f t="shared" si="170"/>
        <v>9755.8624232461225</v>
      </c>
      <c r="E209" s="27">
        <f t="shared" si="170"/>
        <v>9687.31225325169</v>
      </c>
      <c r="F209" s="27">
        <f t="shared" si="170"/>
        <v>9347.2707427133209</v>
      </c>
      <c r="G209" s="27">
        <f t="shared" si="170"/>
        <v>9100.6170299556579</v>
      </c>
      <c r="H209" s="27">
        <f t="shared" si="170"/>
        <v>8824.6215157005427</v>
      </c>
      <c r="I209" s="27">
        <f t="shared" si="170"/>
        <v>8550.545565659464</v>
      </c>
      <c r="J209" s="27">
        <f t="shared" si="170"/>
        <v>8285.7569072954284</v>
      </c>
      <c r="K209" s="27">
        <f t="shared" si="170"/>
        <v>7977.4262738929065</v>
      </c>
      <c r="L209" s="27">
        <f t="shared" si="170"/>
        <v>7612.4383873722909</v>
      </c>
      <c r="M209" s="27">
        <f t="shared" si="170"/>
        <v>7239.3639960956734</v>
      </c>
      <c r="N209" s="27">
        <f t="shared" si="170"/>
        <v>6918.775232819442</v>
      </c>
      <c r="O209" s="27">
        <f t="shared" si="170"/>
        <v>6638.0887923693108</v>
      </c>
      <c r="P209" s="27">
        <f t="shared" si="170"/>
        <v>6347.386229288396</v>
      </c>
      <c r="Q209" s="27">
        <f t="shared" si="170"/>
        <v>6058.7637670294807</v>
      </c>
      <c r="R209" s="27">
        <f t="shared" si="170"/>
        <v>5777.1761398395629</v>
      </c>
      <c r="S209" s="27">
        <f t="shared" si="170"/>
        <v>5449.4584703606306</v>
      </c>
      <c r="T209" s="27">
        <f t="shared" si="170"/>
        <v>5034.484943487817</v>
      </c>
      <c r="U209" s="27">
        <f t="shared" si="170"/>
        <v>4445.1261120057652</v>
      </c>
      <c r="V209" s="27">
        <f t="shared" si="170"/>
        <v>3795.963110498783</v>
      </c>
      <c r="W209" s="27">
        <f t="shared" si="170"/>
        <v>3163.0981335657425</v>
      </c>
      <c r="X209" s="27">
        <f t="shared" si="170"/>
        <v>2567.632850403289</v>
      </c>
      <c r="Y209" s="27">
        <f t="shared" si="170"/>
        <v>1951.48922166291</v>
      </c>
      <c r="Z209" s="27">
        <f t="shared" si="170"/>
        <v>1468.5841199977531</v>
      </c>
      <c r="AA209" s="27">
        <f t="shared" si="170"/>
        <v>1032.06044522977</v>
      </c>
      <c r="AB209" s="27">
        <f t="shared" si="170"/>
        <v>783.36354565221006</v>
      </c>
      <c r="AC209" s="27">
        <f t="shared" si="170"/>
        <v>641.5819798473583</v>
      </c>
      <c r="AD209" s="27">
        <f t="shared" si="170"/>
        <v>578.10322842078369</v>
      </c>
      <c r="AE209" s="27">
        <f t="shared" si="170"/>
        <v>540.46388163114841</v>
      </c>
      <c r="AF209" s="27">
        <f t="shared" si="170"/>
        <v>518.02496811341564</v>
      </c>
      <c r="AG209" s="27"/>
      <c r="AH209" s="27"/>
    </row>
    <row r="210" spans="1:34" x14ac:dyDescent="0.25">
      <c r="B210" s="3">
        <f t="shared" ref="B210:AF210" si="171">$C18*EXP(-B$207/$A18/EXP(-$D$126))</f>
        <v>8.3632942482849172E-288</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4.3978473182042135E-2</v>
      </c>
      <c r="C211" s="3">
        <f t="shared" si="172"/>
        <v>4.3911745135724982E-2</v>
      </c>
      <c r="D211" s="3">
        <f t="shared" si="172"/>
        <v>4.3250007916752493E-2</v>
      </c>
      <c r="E211" s="3">
        <f t="shared" si="172"/>
        <v>3.7157041965885991E-2</v>
      </c>
      <c r="F211" s="3">
        <f t="shared" si="172"/>
        <v>8.1393654730623766E-3</v>
      </c>
      <c r="G211" s="3">
        <f t="shared" si="172"/>
        <v>2.0705452005314315E-9</v>
      </c>
      <c r="H211" s="3">
        <f t="shared" si="172"/>
        <v>2.3497755308335869E-75</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1.7074652630820131E-2</v>
      </c>
      <c r="C212" s="3">
        <f t="shared" si="173"/>
        <v>1.7072313973069606E-2</v>
      </c>
      <c r="D212" s="3">
        <f t="shared" si="173"/>
        <v>1.7048945005822144E-2</v>
      </c>
      <c r="E212" s="3">
        <f t="shared" si="173"/>
        <v>1.6817007466653884E-2</v>
      </c>
      <c r="F212" s="3">
        <f t="shared" si="173"/>
        <v>1.4664281479786096E-2</v>
      </c>
      <c r="G212" s="3">
        <f t="shared" si="173"/>
        <v>3.7271897324930702E-3</v>
      </c>
      <c r="H212" s="3">
        <f t="shared" si="173"/>
        <v>4.1936156938818481E-9</v>
      </c>
      <c r="I212" s="3">
        <f t="shared" si="173"/>
        <v>1.3635149592804303E-68</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3.0713922752574663E-2</v>
      </c>
      <c r="C213" s="3">
        <f t="shared" si="174"/>
        <v>3.0713543242130815E-2</v>
      </c>
      <c r="D213" s="3">
        <f t="shared" si="174"/>
        <v>3.0709748395596766E-2</v>
      </c>
      <c r="E213" s="3">
        <f t="shared" si="174"/>
        <v>3.0671825708910052E-2</v>
      </c>
      <c r="F213" s="3">
        <f t="shared" si="174"/>
        <v>3.0295164960636042E-2</v>
      </c>
      <c r="G213" s="3">
        <f t="shared" si="174"/>
        <v>2.6773815172228446E-2</v>
      </c>
      <c r="H213" s="3">
        <f t="shared" si="174"/>
        <v>7.7817926521613744E-3</v>
      </c>
      <c r="I213" s="3">
        <f t="shared" si="174"/>
        <v>3.3479085934946578E-8</v>
      </c>
      <c r="J213" s="3">
        <f t="shared" si="174"/>
        <v>7.272989591666478E-62</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2.523151671969304E-2</v>
      </c>
      <c r="C214" s="3">
        <f t="shared" si="175"/>
        <v>2.5231488595450539E-2</v>
      </c>
      <c r="D214" s="3">
        <f t="shared" si="175"/>
        <v>2.5231207354749756E-2</v>
      </c>
      <c r="E214" s="3">
        <f t="shared" si="175"/>
        <v>2.5228395120151549E-2</v>
      </c>
      <c r="F214" s="3">
        <f t="shared" si="175"/>
        <v>2.5200290008028745E-2</v>
      </c>
      <c r="G214" s="3">
        <f t="shared" si="175"/>
        <v>2.4920955186282255E-2</v>
      </c>
      <c r="H214" s="3">
        <f t="shared" si="175"/>
        <v>2.2292364687740315E-2</v>
      </c>
      <c r="I214" s="3">
        <f t="shared" si="175"/>
        <v>7.3125809878393355E-3</v>
      </c>
      <c r="J214" s="3">
        <f t="shared" si="175"/>
        <v>1.0549118888611369E-7</v>
      </c>
      <c r="K214" s="3">
        <f t="shared" si="175"/>
        <v>4.1178560960283882E-56</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2.5043165447192994E-2</v>
      </c>
      <c r="C215" s="3">
        <f t="shared" si="176"/>
        <v>2.5043162929089879E-2</v>
      </c>
      <c r="D215" s="3">
        <f t="shared" si="176"/>
        <v>2.5043137748072666E-2</v>
      </c>
      <c r="E215" s="3">
        <f t="shared" si="176"/>
        <v>2.5042885939293127E-2</v>
      </c>
      <c r="F215" s="3">
        <f t="shared" si="176"/>
        <v>2.5040367990750094E-2</v>
      </c>
      <c r="G215" s="3">
        <f t="shared" si="176"/>
        <v>2.501520242537706E-2</v>
      </c>
      <c r="H215" s="3">
        <f t="shared" si="176"/>
        <v>2.4764933612500501E-2</v>
      </c>
      <c r="I215" s="3">
        <f t="shared" si="176"/>
        <v>2.2395905859953279E-2</v>
      </c>
      <c r="J215" s="3">
        <f t="shared" si="176"/>
        <v>8.1937608698480716E-3</v>
      </c>
      <c r="K215" s="3">
        <f t="shared" si="176"/>
        <v>3.5207063530384753E-7</v>
      </c>
      <c r="L215" s="3">
        <f t="shared" si="176"/>
        <v>7.5525740442857553E-51</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3.1858465464685688E-2</v>
      </c>
      <c r="C216" s="3">
        <f t="shared" si="177"/>
        <v>3.1858465175713689E-2</v>
      </c>
      <c r="D216" s="3">
        <f t="shared" si="177"/>
        <v>3.185846228599392E-2</v>
      </c>
      <c r="E216" s="3">
        <f t="shared" si="177"/>
        <v>3.1858433388810607E-2</v>
      </c>
      <c r="F216" s="3">
        <f t="shared" si="177"/>
        <v>3.1858144418419033E-2</v>
      </c>
      <c r="G216" s="3">
        <f t="shared" si="177"/>
        <v>3.1855254858659483E-2</v>
      </c>
      <c r="H216" s="3">
        <f t="shared" si="177"/>
        <v>3.1826373671841296E-2</v>
      </c>
      <c r="I216" s="3">
        <f t="shared" si="177"/>
        <v>3.1538998056726032E-2</v>
      </c>
      <c r="J216" s="3">
        <f t="shared" si="177"/>
        <v>2.8804161754098938E-2</v>
      </c>
      <c r="K216" s="3">
        <f t="shared" si="177"/>
        <v>1.1628634713262455E-2</v>
      </c>
      <c r="L216" s="3">
        <f t="shared" si="177"/>
        <v>1.3374070281046295E-6</v>
      </c>
      <c r="M216" s="3">
        <f t="shared" si="177"/>
        <v>5.4151729080361057E-46</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3.8271853445999371E-2</v>
      </c>
      <c r="C217" s="3">
        <f t="shared" si="178"/>
        <v>3.8271853414684039E-2</v>
      </c>
      <c r="D217" s="3">
        <f t="shared" si="178"/>
        <v>3.8271853101530744E-2</v>
      </c>
      <c r="E217" s="3">
        <f t="shared" si="178"/>
        <v>3.8271849969997954E-2</v>
      </c>
      <c r="F217" s="3">
        <f t="shared" si="178"/>
        <v>3.8271818654684084E-2</v>
      </c>
      <c r="G217" s="3">
        <f t="shared" si="178"/>
        <v>3.827150550295471E-2</v>
      </c>
      <c r="H217" s="3">
        <f t="shared" si="178"/>
        <v>3.8268374126584168E-2</v>
      </c>
      <c r="I217" s="3">
        <f t="shared" si="178"/>
        <v>3.8237074450935243E-2</v>
      </c>
      <c r="J217" s="3">
        <f t="shared" si="178"/>
        <v>3.7925482244306696E-2</v>
      </c>
      <c r="K217" s="3">
        <f t="shared" si="178"/>
        <v>3.4945854406602181E-2</v>
      </c>
      <c r="L217" s="3">
        <f t="shared" si="178"/>
        <v>1.5418466346328671E-2</v>
      </c>
      <c r="M217" s="3">
        <f t="shared" si="178"/>
        <v>4.3101890286156153E-6</v>
      </c>
      <c r="N217" s="3">
        <f t="shared" si="178"/>
        <v>1.2561679719493454E-41</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3.6033705300454688E-2</v>
      </c>
      <c r="C218" s="3">
        <f t="shared" si="179"/>
        <v>3.6033705297794989E-2</v>
      </c>
      <c r="D218" s="3">
        <f t="shared" si="179"/>
        <v>3.6033705271197973E-2</v>
      </c>
      <c r="E218" s="3">
        <f t="shared" si="179"/>
        <v>3.6033705005227755E-2</v>
      </c>
      <c r="F218" s="3">
        <f t="shared" si="179"/>
        <v>3.6033702345525727E-2</v>
      </c>
      <c r="G218" s="3">
        <f t="shared" si="179"/>
        <v>3.6033675748516222E-2</v>
      </c>
      <c r="H218" s="3">
        <f t="shared" si="179"/>
        <v>3.6033409779500924E-2</v>
      </c>
      <c r="I218" s="3">
        <f t="shared" si="179"/>
        <v>3.6030750197318807E-2</v>
      </c>
      <c r="J218" s="3">
        <f t="shared" si="179"/>
        <v>3.6004165169636448E-2</v>
      </c>
      <c r="K218" s="3">
        <f t="shared" si="179"/>
        <v>3.5739391364595474E-2</v>
      </c>
      <c r="L218" s="3">
        <f t="shared" si="179"/>
        <v>3.3196417763721481E-2</v>
      </c>
      <c r="M218" s="3">
        <f t="shared" si="179"/>
        <v>1.5868355167618545E-2</v>
      </c>
      <c r="N218" s="3">
        <f t="shared" si="179"/>
        <v>9.8841384961346035E-6</v>
      </c>
      <c r="O218" s="3">
        <f t="shared" si="179"/>
        <v>8.6897627521186569E-38</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2.6918166434523421E-2</v>
      </c>
      <c r="C219" s="3">
        <f t="shared" si="180"/>
        <v>2.6918166434344189E-2</v>
      </c>
      <c r="D219" s="3">
        <f t="shared" si="180"/>
        <v>2.6918166432551866E-2</v>
      </c>
      <c r="E219" s="3">
        <f t="shared" si="180"/>
        <v>2.6918166414628644E-2</v>
      </c>
      <c r="F219" s="3">
        <f t="shared" si="180"/>
        <v>2.6918166235396397E-2</v>
      </c>
      <c r="G219" s="3">
        <f t="shared" si="180"/>
        <v>2.6918164443074009E-2</v>
      </c>
      <c r="H219" s="3">
        <f t="shared" si="180"/>
        <v>2.6918146519856707E-2</v>
      </c>
      <c r="I219" s="3">
        <f t="shared" si="180"/>
        <v>2.6917967288340054E-2</v>
      </c>
      <c r="J219" s="3">
        <f t="shared" si="180"/>
        <v>2.6916175038808842E-2</v>
      </c>
      <c r="K219" s="3">
        <f t="shared" si="180"/>
        <v>2.6898259105412221E-2</v>
      </c>
      <c r="L219" s="3">
        <f t="shared" si="180"/>
        <v>2.6719754349270031E-2</v>
      </c>
      <c r="M219" s="3">
        <f t="shared" si="180"/>
        <v>2.4998580263436061E-2</v>
      </c>
      <c r="N219" s="3">
        <f t="shared" si="180"/>
        <v>1.2845297879689924E-2</v>
      </c>
      <c r="O219" s="3">
        <f t="shared" si="180"/>
        <v>1.6482858594105124E-5</v>
      </c>
      <c r="P219" s="3">
        <f t="shared" si="180"/>
        <v>1.994876719851754E-34</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2.7316066250345224E-2</v>
      </c>
      <c r="C220" s="3">
        <f t="shared" si="181"/>
        <v>2.7316066250328817E-2</v>
      </c>
      <c r="D220" s="3">
        <f t="shared" si="181"/>
        <v>2.7316066250164743E-2</v>
      </c>
      <c r="E220" s="3">
        <f t="shared" si="181"/>
        <v>2.7316066248524017E-2</v>
      </c>
      <c r="F220" s="3">
        <f t="shared" si="181"/>
        <v>2.7316066232116784E-2</v>
      </c>
      <c r="G220" s="3">
        <f t="shared" si="181"/>
        <v>2.7316066068044424E-2</v>
      </c>
      <c r="H220" s="3">
        <f t="shared" si="181"/>
        <v>2.7316064427320902E-2</v>
      </c>
      <c r="I220" s="3">
        <f t="shared" si="181"/>
        <v>2.7316048020091067E-2</v>
      </c>
      <c r="J220" s="3">
        <f t="shared" si="181"/>
        <v>2.731588394833474E-2</v>
      </c>
      <c r="K220" s="3">
        <f t="shared" si="181"/>
        <v>2.7314243284972138E-2</v>
      </c>
      <c r="L220" s="3">
        <f t="shared" si="181"/>
        <v>2.7297842070208741E-2</v>
      </c>
      <c r="M220" s="3">
        <f t="shared" si="181"/>
        <v>2.7134370606487143E-2</v>
      </c>
      <c r="N220" s="3">
        <f t="shared" si="181"/>
        <v>2.555254181503884E-2</v>
      </c>
      <c r="O220" s="3">
        <f t="shared" si="181"/>
        <v>1.4014501692920445E-2</v>
      </c>
      <c r="P220" s="3">
        <f t="shared" si="181"/>
        <v>3.4515421988157739E-5</v>
      </c>
      <c r="Q220" s="3">
        <f t="shared" si="181"/>
        <v>2.833795188431452E-31</v>
      </c>
      <c r="R220" s="3">
        <f t="shared" si="181"/>
        <v>3.9438570902407341E-292</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2.9609291080510955E-2</v>
      </c>
      <c r="C221" s="3">
        <f t="shared" si="182"/>
        <v>2.9609291080509349E-2</v>
      </c>
      <c r="D221" s="3">
        <f t="shared" si="182"/>
        <v>2.9609291080493306E-2</v>
      </c>
      <c r="E221" s="3">
        <f t="shared" si="182"/>
        <v>2.9609291080332875E-2</v>
      </c>
      <c r="F221" s="3">
        <f t="shared" si="182"/>
        <v>2.9609291078728551E-2</v>
      </c>
      <c r="G221" s="3">
        <f t="shared" si="182"/>
        <v>2.9609291062685318E-2</v>
      </c>
      <c r="H221" s="3">
        <f t="shared" si="182"/>
        <v>2.9609290902252998E-2</v>
      </c>
      <c r="I221" s="3">
        <f t="shared" si="182"/>
        <v>2.9609289297929851E-2</v>
      </c>
      <c r="J221" s="3">
        <f t="shared" si="182"/>
        <v>2.9609273254703149E-2</v>
      </c>
      <c r="K221" s="3">
        <f t="shared" si="182"/>
        <v>2.9609112822914237E-2</v>
      </c>
      <c r="L221" s="3">
        <f t="shared" si="182"/>
        <v>2.9607508552834005E-2</v>
      </c>
      <c r="M221" s="3">
        <f t="shared" si="182"/>
        <v>2.9591470631963167E-2</v>
      </c>
      <c r="N221" s="3">
        <f t="shared" si="182"/>
        <v>2.9431568459522692E-2</v>
      </c>
      <c r="O221" s="3">
        <f t="shared" si="182"/>
        <v>2.7879307714126951E-2</v>
      </c>
      <c r="P221" s="3">
        <f t="shared" si="182"/>
        <v>1.6216897388435951E-2</v>
      </c>
      <c r="Q221" s="3">
        <f t="shared" si="182"/>
        <v>7.191601304726518E-5</v>
      </c>
      <c r="R221" s="3">
        <f t="shared" si="182"/>
        <v>2.1154557258728557E-28</v>
      </c>
      <c r="S221" s="3">
        <f t="shared" si="182"/>
        <v>1.0260944055050051E-263</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2.5103127911926239E-2</v>
      </c>
      <c r="C222" s="3">
        <f t="shared" si="183"/>
        <v>2.5103127911926117E-2</v>
      </c>
      <c r="D222" s="3">
        <f t="shared" si="183"/>
        <v>2.5103127911924889E-2</v>
      </c>
      <c r="E222" s="3">
        <f t="shared" si="183"/>
        <v>2.5103127911912618E-2</v>
      </c>
      <c r="F222" s="3">
        <f t="shared" si="183"/>
        <v>2.5103127911789921E-2</v>
      </c>
      <c r="G222" s="3">
        <f t="shared" si="183"/>
        <v>2.5103127910562937E-2</v>
      </c>
      <c r="H222" s="3">
        <f t="shared" si="183"/>
        <v>2.5103127898293116E-2</v>
      </c>
      <c r="I222" s="3">
        <f t="shared" si="183"/>
        <v>2.5103127775594893E-2</v>
      </c>
      <c r="J222" s="3">
        <f t="shared" si="183"/>
        <v>2.5103126548612666E-2</v>
      </c>
      <c r="K222" s="3">
        <f t="shared" si="183"/>
        <v>2.5103114278793699E-2</v>
      </c>
      <c r="L222" s="3">
        <f t="shared" si="183"/>
        <v>2.5102991580933886E-2</v>
      </c>
      <c r="M222" s="3">
        <f t="shared" si="183"/>
        <v>2.5101764635319723E-2</v>
      </c>
      <c r="N222" s="3">
        <f t="shared" si="183"/>
        <v>2.5089498476976869E-2</v>
      </c>
      <c r="O222" s="3">
        <f t="shared" si="183"/>
        <v>2.4967166077808876E-2</v>
      </c>
      <c r="P222" s="3">
        <f t="shared" si="183"/>
        <v>2.377617289429142E-2</v>
      </c>
      <c r="Q222" s="3">
        <f t="shared" si="183"/>
        <v>1.4583741257265893E-2</v>
      </c>
      <c r="R222" s="3">
        <f t="shared" si="183"/>
        <v>1.0993575264397256E-4</v>
      </c>
      <c r="S222" s="3">
        <f t="shared" si="183"/>
        <v>6.5138685334317525E-26</v>
      </c>
      <c r="T222" s="3">
        <f t="shared" si="183"/>
        <v>3.4740762019198747E-238</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2.985290056573784E-2</v>
      </c>
      <c r="C223" s="3">
        <f t="shared" si="184"/>
        <v>2.9852900565737826E-2</v>
      </c>
      <c r="D223" s="3">
        <f t="shared" si="184"/>
        <v>2.9852900565737694E-2</v>
      </c>
      <c r="E223" s="3">
        <f t="shared" si="184"/>
        <v>2.985290056573638E-2</v>
      </c>
      <c r="F223" s="3">
        <f t="shared" si="184"/>
        <v>2.9852900565723213E-2</v>
      </c>
      <c r="G223" s="3">
        <f t="shared" si="184"/>
        <v>2.9852900565591589E-2</v>
      </c>
      <c r="H223" s="3">
        <f t="shared" si="184"/>
        <v>2.9852900564275323E-2</v>
      </c>
      <c r="I223" s="3">
        <f t="shared" si="184"/>
        <v>2.9852900551112664E-2</v>
      </c>
      <c r="J223" s="3">
        <f t="shared" si="184"/>
        <v>2.9852900419486093E-2</v>
      </c>
      <c r="K223" s="3">
        <f t="shared" si="184"/>
        <v>2.985289910322041E-2</v>
      </c>
      <c r="L223" s="3">
        <f t="shared" si="184"/>
        <v>2.9852885940566752E-2</v>
      </c>
      <c r="M223" s="3">
        <f t="shared" si="184"/>
        <v>2.9852754314349392E-2</v>
      </c>
      <c r="N223" s="3">
        <f t="shared" si="184"/>
        <v>2.9851438084095225E-2</v>
      </c>
      <c r="O223" s="3">
        <f t="shared" si="184"/>
        <v>2.9838278972978093E-2</v>
      </c>
      <c r="P223" s="3">
        <f t="shared" si="184"/>
        <v>2.9707006484224946E-2</v>
      </c>
      <c r="Q223" s="3">
        <f t="shared" si="184"/>
        <v>2.8425630113440202E-2</v>
      </c>
      <c r="R223" s="3">
        <f t="shared" si="184"/>
        <v>1.8290357551142594E-2</v>
      </c>
      <c r="S223" s="3">
        <f t="shared" si="184"/>
        <v>2.2250672649081079E-4</v>
      </c>
      <c r="T223" s="3">
        <f t="shared" si="184"/>
        <v>1.5796200402323485E-23</v>
      </c>
      <c r="U223" s="3">
        <f t="shared" si="184"/>
        <v>5.136266378246694E-215</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3.2229654464622864E-2</v>
      </c>
      <c r="C224" s="3">
        <f t="shared" si="185"/>
        <v>3.2229654464622864E-2</v>
      </c>
      <c r="D224" s="3">
        <f t="shared" si="185"/>
        <v>3.2229654464622851E-2</v>
      </c>
      <c r="E224" s="3">
        <f t="shared" si="185"/>
        <v>3.2229654464622719E-2</v>
      </c>
      <c r="F224" s="3">
        <f t="shared" si="185"/>
        <v>3.2229654464621442E-2</v>
      </c>
      <c r="G224" s="3">
        <f t="shared" si="185"/>
        <v>3.2229654464608619E-2</v>
      </c>
      <c r="H224" s="3">
        <f t="shared" si="185"/>
        <v>3.222965446448043E-2</v>
      </c>
      <c r="I224" s="3">
        <f t="shared" si="185"/>
        <v>3.2229654463198518E-2</v>
      </c>
      <c r="J224" s="3">
        <f t="shared" si="185"/>
        <v>3.2229654450379362E-2</v>
      </c>
      <c r="K224" s="3">
        <f t="shared" si="185"/>
        <v>3.2229654322187849E-2</v>
      </c>
      <c r="L224" s="3">
        <f t="shared" si="185"/>
        <v>3.222965304027274E-2</v>
      </c>
      <c r="M224" s="3">
        <f t="shared" si="185"/>
        <v>3.2229640221124449E-2</v>
      </c>
      <c r="N224" s="3">
        <f t="shared" si="185"/>
        <v>3.222951202992197E-2</v>
      </c>
      <c r="O224" s="3">
        <f t="shared" si="185"/>
        <v>3.2228230145939799E-2</v>
      </c>
      <c r="P224" s="3">
        <f t="shared" si="185"/>
        <v>3.2215414109966874E-2</v>
      </c>
      <c r="Q224" s="3">
        <f t="shared" si="185"/>
        <v>3.2087533722921488E-2</v>
      </c>
      <c r="R224" s="3">
        <f t="shared" si="185"/>
        <v>3.0836319445093054E-2</v>
      </c>
      <c r="S224" s="3">
        <f t="shared" si="185"/>
        <v>2.0716887867684396E-2</v>
      </c>
      <c r="T224" s="3">
        <f t="shared" si="185"/>
        <v>3.8810059524293231E-4</v>
      </c>
      <c r="U224" s="3">
        <f t="shared" si="185"/>
        <v>2.0660567349090837E-21</v>
      </c>
      <c r="V224" s="3">
        <f t="shared" si="185"/>
        <v>3.7767791317759493E-194</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5.4487827383483636E-2</v>
      </c>
      <c r="C225" s="3">
        <f t="shared" si="186"/>
        <v>5.4487827383483636E-2</v>
      </c>
      <c r="D225" s="3">
        <f t="shared" si="186"/>
        <v>5.4487827383483636E-2</v>
      </c>
      <c r="E225" s="3">
        <f t="shared" si="186"/>
        <v>5.4487827383483615E-2</v>
      </c>
      <c r="F225" s="3">
        <f t="shared" si="186"/>
        <v>5.4487827383483421E-2</v>
      </c>
      <c r="G225" s="3">
        <f t="shared" si="186"/>
        <v>5.4487827383481464E-2</v>
      </c>
      <c r="H225" s="3">
        <f t="shared" si="186"/>
        <v>5.4487827383461911E-2</v>
      </c>
      <c r="I225" s="3">
        <f t="shared" si="186"/>
        <v>5.4487827383266407E-2</v>
      </c>
      <c r="J225" s="3">
        <f t="shared" si="186"/>
        <v>5.4487827381311402E-2</v>
      </c>
      <c r="K225" s="3">
        <f t="shared" si="186"/>
        <v>5.4487827361761262E-2</v>
      </c>
      <c r="L225" s="3">
        <f t="shared" si="186"/>
        <v>5.4487827166259939E-2</v>
      </c>
      <c r="M225" s="3">
        <f t="shared" si="186"/>
        <v>5.4487825211246711E-2</v>
      </c>
      <c r="N225" s="3">
        <f t="shared" si="186"/>
        <v>5.4487805661118278E-2</v>
      </c>
      <c r="O225" s="3">
        <f t="shared" si="186"/>
        <v>5.4487610160219795E-2</v>
      </c>
      <c r="P225" s="3">
        <f t="shared" si="186"/>
        <v>5.4485655189814415E-2</v>
      </c>
      <c r="Q225" s="3">
        <f t="shared" si="186"/>
        <v>5.4466109343195096E-2</v>
      </c>
      <c r="R225" s="3">
        <f t="shared" si="186"/>
        <v>5.4271036108846434E-2</v>
      </c>
      <c r="S225" s="3">
        <f t="shared" si="186"/>
        <v>5.2358320405165366E-2</v>
      </c>
      <c r="T225" s="3">
        <f t="shared" si="186"/>
        <v>3.6573088877550661E-2</v>
      </c>
      <c r="U225" s="3">
        <f t="shared" si="186"/>
        <v>1.0113954391834652E-3</v>
      </c>
      <c r="V225" s="3">
        <f t="shared" si="186"/>
        <v>2.6455409350306954E-19</v>
      </c>
      <c r="W225" s="3">
        <f t="shared" si="186"/>
        <v>3.9668834026262978E-175</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6.3046504540403295E-2</v>
      </c>
      <c r="C226" s="3">
        <f t="shared" si="187"/>
        <v>6.3046504540403295E-2</v>
      </c>
      <c r="D226" s="3">
        <f t="shared" si="187"/>
        <v>6.3046504540403295E-2</v>
      </c>
      <c r="E226" s="3">
        <f t="shared" si="187"/>
        <v>6.3046504540403295E-2</v>
      </c>
      <c r="F226" s="3">
        <f t="shared" si="187"/>
        <v>6.3046504540403267E-2</v>
      </c>
      <c r="G226" s="3">
        <f t="shared" si="187"/>
        <v>6.3046504540403073E-2</v>
      </c>
      <c r="H226" s="3">
        <f t="shared" si="187"/>
        <v>6.3046504540401033E-2</v>
      </c>
      <c r="I226" s="3">
        <f t="shared" si="187"/>
        <v>6.3046504540380618E-2</v>
      </c>
      <c r="J226" s="3">
        <f t="shared" si="187"/>
        <v>6.3046504540176559E-2</v>
      </c>
      <c r="K226" s="3">
        <f t="shared" si="187"/>
        <v>6.3046504538135956E-2</v>
      </c>
      <c r="L226" s="3">
        <f t="shared" si="187"/>
        <v>6.3046504517729959E-2</v>
      </c>
      <c r="M226" s="3">
        <f t="shared" si="187"/>
        <v>6.3046504313669996E-2</v>
      </c>
      <c r="N226" s="3">
        <f t="shared" si="187"/>
        <v>6.3046502273070307E-2</v>
      </c>
      <c r="O226" s="3">
        <f t="shared" si="187"/>
        <v>6.3046481867077162E-2</v>
      </c>
      <c r="P226" s="3">
        <f t="shared" si="187"/>
        <v>6.3046277807508835E-2</v>
      </c>
      <c r="Q226" s="3">
        <f t="shared" si="187"/>
        <v>6.3044237248151155E-2</v>
      </c>
      <c r="R226" s="3">
        <f t="shared" si="187"/>
        <v>6.3023835286688812E-2</v>
      </c>
      <c r="S226" s="3">
        <f t="shared" si="187"/>
        <v>6.2820178448926012E-2</v>
      </c>
      <c r="T226" s="3">
        <f t="shared" si="187"/>
        <v>6.0819457044681967E-2</v>
      </c>
      <c r="U226" s="3">
        <f t="shared" si="187"/>
        <v>4.4002390285176628E-2</v>
      </c>
      <c r="V226" s="3">
        <f t="shared" si="187"/>
        <v>1.7290739541359745E-3</v>
      </c>
      <c r="W226" s="3">
        <f t="shared" si="187"/>
        <v>1.5177022220677013E-17</v>
      </c>
      <c r="X226" s="3">
        <f t="shared" si="187"/>
        <v>4.120183714506446E-158</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6.2829439903481887E-2</v>
      </c>
      <c r="C227" s="3">
        <f t="shared" si="188"/>
        <v>6.2829439903481887E-2</v>
      </c>
      <c r="D227" s="3">
        <f t="shared" si="188"/>
        <v>6.2829439903481887E-2</v>
      </c>
      <c r="E227" s="3">
        <f t="shared" si="188"/>
        <v>6.2829439903481887E-2</v>
      </c>
      <c r="F227" s="3">
        <f t="shared" si="188"/>
        <v>6.2829439903481887E-2</v>
      </c>
      <c r="G227" s="3">
        <f t="shared" si="188"/>
        <v>6.282943990348186E-2</v>
      </c>
      <c r="H227" s="3">
        <f t="shared" si="188"/>
        <v>6.2829439903481679E-2</v>
      </c>
      <c r="I227" s="3">
        <f t="shared" si="188"/>
        <v>6.2829439903479847E-2</v>
      </c>
      <c r="J227" s="3">
        <f t="shared" si="188"/>
        <v>6.2829439903461501E-2</v>
      </c>
      <c r="K227" s="3">
        <f t="shared" si="188"/>
        <v>6.282943990327805E-2</v>
      </c>
      <c r="L227" s="3">
        <f t="shared" si="188"/>
        <v>6.2829439901443601E-2</v>
      </c>
      <c r="M227" s="3">
        <f t="shared" si="188"/>
        <v>6.2829439883099081E-2</v>
      </c>
      <c r="N227" s="3">
        <f t="shared" si="188"/>
        <v>6.282943969965378E-2</v>
      </c>
      <c r="O227" s="3">
        <f t="shared" si="188"/>
        <v>6.2829437865200816E-2</v>
      </c>
      <c r="P227" s="3">
        <f t="shared" si="188"/>
        <v>6.2829419520674112E-2</v>
      </c>
      <c r="Q227" s="3">
        <f t="shared" si="188"/>
        <v>6.2829236075701761E-2</v>
      </c>
      <c r="R227" s="3">
        <f t="shared" si="188"/>
        <v>6.2827401655436432E-2</v>
      </c>
      <c r="S227" s="3">
        <f t="shared" si="188"/>
        <v>6.2809060398293579E-2</v>
      </c>
      <c r="T227" s="3">
        <f t="shared" si="188"/>
        <v>6.2625942059941944E-2</v>
      </c>
      <c r="U227" s="3">
        <f t="shared" si="188"/>
        <v>6.0823866590767058E-2</v>
      </c>
      <c r="V227" s="3">
        <f t="shared" si="188"/>
        <v>4.542255457514089E-2</v>
      </c>
      <c r="W227" s="3">
        <f t="shared" si="188"/>
        <v>2.450455725937536E-3</v>
      </c>
      <c r="X227" s="3">
        <f t="shared" si="188"/>
        <v>5.1168172775558763E-16</v>
      </c>
      <c r="Y227" s="3">
        <f t="shared" si="188"/>
        <v>8.0636262774701159E-143</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5.5245188990655253E-2</v>
      </c>
      <c r="C228" s="3">
        <f t="shared" si="189"/>
        <v>5.5245188990655253E-2</v>
      </c>
      <c r="D228" s="3">
        <f t="shared" si="189"/>
        <v>5.5245188990655253E-2</v>
      </c>
      <c r="E228" s="3">
        <f t="shared" si="189"/>
        <v>5.5245188990655253E-2</v>
      </c>
      <c r="F228" s="3">
        <f t="shared" si="189"/>
        <v>5.5245188990655253E-2</v>
      </c>
      <c r="G228" s="3">
        <f t="shared" si="189"/>
        <v>5.5245188990655253E-2</v>
      </c>
      <c r="H228" s="3">
        <f t="shared" si="189"/>
        <v>5.5245188990655232E-2</v>
      </c>
      <c r="I228" s="3">
        <f t="shared" si="189"/>
        <v>5.5245188990655093E-2</v>
      </c>
      <c r="J228" s="3">
        <f t="shared" si="189"/>
        <v>5.5245188990653636E-2</v>
      </c>
      <c r="K228" s="3">
        <f t="shared" si="189"/>
        <v>5.5245188990639085E-2</v>
      </c>
      <c r="L228" s="3">
        <f t="shared" si="189"/>
        <v>5.5245188990493577E-2</v>
      </c>
      <c r="M228" s="3">
        <f t="shared" si="189"/>
        <v>5.5245188989038505E-2</v>
      </c>
      <c r="N228" s="3">
        <f t="shared" si="189"/>
        <v>5.5245188974487783E-2</v>
      </c>
      <c r="O228" s="3">
        <f t="shared" si="189"/>
        <v>5.52451888289806E-2</v>
      </c>
      <c r="P228" s="3">
        <f t="shared" si="189"/>
        <v>5.5245187373908718E-2</v>
      </c>
      <c r="Q228" s="3">
        <f t="shared" si="189"/>
        <v>5.5245172823192024E-2</v>
      </c>
      <c r="R228" s="3">
        <f t="shared" si="189"/>
        <v>5.5245027316235866E-2</v>
      </c>
      <c r="S228" s="3">
        <f t="shared" si="189"/>
        <v>5.5243572267752436E-2</v>
      </c>
      <c r="T228" s="3">
        <f t="shared" si="189"/>
        <v>5.5229023890527439E-2</v>
      </c>
      <c r="U228" s="3">
        <f t="shared" si="189"/>
        <v>5.5083750673963254E-2</v>
      </c>
      <c r="V228" s="3">
        <f t="shared" si="189"/>
        <v>5.3651870323305782E-2</v>
      </c>
      <c r="W228" s="3">
        <f t="shared" si="189"/>
        <v>4.1228590702610236E-2</v>
      </c>
      <c r="X228" s="3">
        <f t="shared" si="189"/>
        <v>2.9602931841736712E-3</v>
      </c>
      <c r="Y228" s="3">
        <f t="shared" si="189"/>
        <v>1.0781944199563849E-14</v>
      </c>
      <c r="Z228" s="3">
        <f t="shared" si="189"/>
        <v>4.4291524232476258E-129</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6.6645884688751614E-2</v>
      </c>
      <c r="C229" s="3">
        <f t="shared" si="190"/>
        <v>6.6645884688751614E-2</v>
      </c>
      <c r="D229" s="3">
        <f t="shared" si="190"/>
        <v>6.6645884688751614E-2</v>
      </c>
      <c r="E229" s="3">
        <f t="shared" si="190"/>
        <v>6.6645884688751614E-2</v>
      </c>
      <c r="F229" s="3">
        <f t="shared" si="190"/>
        <v>6.6645884688751614E-2</v>
      </c>
      <c r="G229" s="3">
        <f t="shared" si="190"/>
        <v>6.6645884688751614E-2</v>
      </c>
      <c r="H229" s="3">
        <f t="shared" si="190"/>
        <v>6.6645884688751614E-2</v>
      </c>
      <c r="I229" s="3">
        <f t="shared" si="190"/>
        <v>6.66458846887516E-2</v>
      </c>
      <c r="J229" s="3">
        <f t="shared" si="190"/>
        <v>6.6645884688751433E-2</v>
      </c>
      <c r="K229" s="3">
        <f t="shared" si="190"/>
        <v>6.6645884688749851E-2</v>
      </c>
      <c r="L229" s="3">
        <f t="shared" si="190"/>
        <v>6.6645884688734017E-2</v>
      </c>
      <c r="M229" s="3">
        <f t="shared" si="190"/>
        <v>6.6645884688575671E-2</v>
      </c>
      <c r="N229" s="3">
        <f t="shared" si="190"/>
        <v>6.6645884686992202E-2</v>
      </c>
      <c r="O229" s="3">
        <f t="shared" si="190"/>
        <v>6.6645884671157493E-2</v>
      </c>
      <c r="P229" s="3">
        <f t="shared" si="190"/>
        <v>6.6645884512810477E-2</v>
      </c>
      <c r="Q229" s="3">
        <f t="shared" si="190"/>
        <v>6.6645882929340206E-2</v>
      </c>
      <c r="R229" s="3">
        <f t="shared" si="190"/>
        <v>6.6645867094639585E-2</v>
      </c>
      <c r="S229" s="3">
        <f t="shared" si="190"/>
        <v>6.6645708747840413E-2</v>
      </c>
      <c r="T229" s="3">
        <f t="shared" si="190"/>
        <v>6.6644125300540688E-2</v>
      </c>
      <c r="U229" s="3">
        <f t="shared" si="190"/>
        <v>6.6628292896573391E-2</v>
      </c>
      <c r="V229" s="3">
        <f t="shared" si="190"/>
        <v>6.6470175578119572E-2</v>
      </c>
      <c r="W229" s="3">
        <f t="shared" si="190"/>
        <v>6.4909493936032153E-2</v>
      </c>
      <c r="X229" s="3">
        <f t="shared" si="190"/>
        <v>5.118258255434003E-2</v>
      </c>
      <c r="Y229" s="3">
        <f t="shared" si="190"/>
        <v>4.7562198344929712E-3</v>
      </c>
      <c r="Z229" s="3">
        <f t="shared" si="190"/>
        <v>2.2838057422395768E-13</v>
      </c>
      <c r="AA229" s="3">
        <f t="shared" si="190"/>
        <v>1.4880981251830446E-116</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2.5869055396656026E-2</v>
      </c>
      <c r="C230" s="3">
        <f t="shared" si="191"/>
        <v>2.5869055396656026E-2</v>
      </c>
      <c r="D230" s="3">
        <f t="shared" si="191"/>
        <v>2.5869055396656026E-2</v>
      </c>
      <c r="E230" s="3">
        <f t="shared" si="191"/>
        <v>2.5869055396656026E-2</v>
      </c>
      <c r="F230" s="3">
        <f t="shared" si="191"/>
        <v>2.5869055396656026E-2</v>
      </c>
      <c r="G230" s="3">
        <f t="shared" si="191"/>
        <v>2.5869055396656026E-2</v>
      </c>
      <c r="H230" s="3">
        <f t="shared" si="191"/>
        <v>2.5869055396656026E-2</v>
      </c>
      <c r="I230" s="3">
        <f t="shared" si="191"/>
        <v>2.5869055396656026E-2</v>
      </c>
      <c r="J230" s="3">
        <f t="shared" si="191"/>
        <v>2.5869055396656019E-2</v>
      </c>
      <c r="K230" s="3">
        <f t="shared" si="191"/>
        <v>2.5869055396655967E-2</v>
      </c>
      <c r="L230" s="3">
        <f t="shared" si="191"/>
        <v>2.5869055396655408E-2</v>
      </c>
      <c r="M230" s="3">
        <f t="shared" si="191"/>
        <v>2.5869055396649864E-2</v>
      </c>
      <c r="N230" s="3">
        <f t="shared" si="191"/>
        <v>2.5869055396594419E-2</v>
      </c>
      <c r="O230" s="3">
        <f t="shared" si="191"/>
        <v>2.5869055396039967E-2</v>
      </c>
      <c r="P230" s="3">
        <f t="shared" si="191"/>
        <v>2.5869055390495454E-2</v>
      </c>
      <c r="Q230" s="3">
        <f t="shared" si="191"/>
        <v>2.5869055335050278E-2</v>
      </c>
      <c r="R230" s="3">
        <f t="shared" si="191"/>
        <v>2.5869054780598554E-2</v>
      </c>
      <c r="S230" s="3">
        <f t="shared" si="191"/>
        <v>2.5869049236081968E-2</v>
      </c>
      <c r="T230" s="3">
        <f t="shared" si="191"/>
        <v>2.5868993790981454E-2</v>
      </c>
      <c r="U230" s="3">
        <f t="shared" si="191"/>
        <v>2.5868439346512218E-2</v>
      </c>
      <c r="V230" s="3">
        <f t="shared" si="191"/>
        <v>2.5862895555358621E-2</v>
      </c>
      <c r="W230" s="3">
        <f t="shared" si="191"/>
        <v>2.5807522945899837E-2</v>
      </c>
      <c r="X230" s="3">
        <f t="shared" si="191"/>
        <v>2.5260275568641823E-2</v>
      </c>
      <c r="Y230" s="3">
        <f t="shared" si="191"/>
        <v>2.0387111723285254E-2</v>
      </c>
      <c r="Z230" s="3">
        <f t="shared" si="191"/>
        <v>2.3907374877935E-3</v>
      </c>
      <c r="AA230" s="3">
        <f t="shared" si="191"/>
        <v>1.1756925812303628E-12</v>
      </c>
      <c r="AB230" s="3">
        <f t="shared" si="191"/>
        <v>9.7255157174544706E-106</v>
      </c>
      <c r="AC230" s="3">
        <f t="shared" si="191"/>
        <v>0</v>
      </c>
      <c r="AD230" s="3">
        <f t="shared" si="191"/>
        <v>0</v>
      </c>
      <c r="AE230" s="3">
        <f t="shared" si="191"/>
        <v>0</v>
      </c>
      <c r="AF230" s="3">
        <f t="shared" si="191"/>
        <v>0</v>
      </c>
      <c r="AG230" s="3"/>
      <c r="AH230" s="3"/>
    </row>
    <row r="231" spans="2:34" x14ac:dyDescent="0.25">
      <c r="B231" s="3">
        <f t="shared" ref="B231:AF231" si="192">$C39*EXP(-B$207/$A39/EXP(-$D$126))</f>
        <v>4.8591449840458205E-2</v>
      </c>
      <c r="C231" s="3">
        <f t="shared" si="192"/>
        <v>4.8591449840458205E-2</v>
      </c>
      <c r="D231" s="3">
        <f t="shared" si="192"/>
        <v>4.8591449840458205E-2</v>
      </c>
      <c r="E231" s="3">
        <f t="shared" si="192"/>
        <v>4.8591449840458205E-2</v>
      </c>
      <c r="F231" s="3">
        <f t="shared" si="192"/>
        <v>4.8591449840458205E-2</v>
      </c>
      <c r="G231" s="3">
        <f t="shared" si="192"/>
        <v>4.8591449840458205E-2</v>
      </c>
      <c r="H231" s="3">
        <f t="shared" si="192"/>
        <v>4.8591449840458205E-2</v>
      </c>
      <c r="I231" s="3">
        <f t="shared" si="192"/>
        <v>4.8591449840458205E-2</v>
      </c>
      <c r="J231" s="3">
        <f t="shared" si="192"/>
        <v>4.8591449840458198E-2</v>
      </c>
      <c r="K231" s="3">
        <f t="shared" si="192"/>
        <v>4.859144984045817E-2</v>
      </c>
      <c r="L231" s="3">
        <f t="shared" si="192"/>
        <v>4.8591449840457886E-2</v>
      </c>
      <c r="M231" s="3">
        <f t="shared" si="192"/>
        <v>4.8591449840455006E-2</v>
      </c>
      <c r="N231" s="3">
        <f t="shared" si="192"/>
        <v>4.8591449840426196E-2</v>
      </c>
      <c r="O231" s="3">
        <f t="shared" si="192"/>
        <v>4.8591449840138155E-2</v>
      </c>
      <c r="P231" s="3">
        <f t="shared" si="192"/>
        <v>4.8591449837257737E-2</v>
      </c>
      <c r="Q231" s="3">
        <f t="shared" si="192"/>
        <v>4.8591449808453528E-2</v>
      </c>
      <c r="R231" s="3">
        <f t="shared" si="192"/>
        <v>4.859144952041148E-2</v>
      </c>
      <c r="S231" s="3">
        <f t="shared" si="192"/>
        <v>4.8591446639991091E-2</v>
      </c>
      <c r="T231" s="3">
        <f t="shared" si="192"/>
        <v>4.8591417835796583E-2</v>
      </c>
      <c r="U231" s="3">
        <f t="shared" si="192"/>
        <v>4.859112979479055E-2</v>
      </c>
      <c r="V231" s="3">
        <f t="shared" si="192"/>
        <v>4.8588249478638545E-2</v>
      </c>
      <c r="W231" s="3">
        <f t="shared" si="192"/>
        <v>4.8559455705890292E-2</v>
      </c>
      <c r="X231" s="3">
        <f t="shared" si="192"/>
        <v>4.8272454799612237E-2</v>
      </c>
      <c r="Y231" s="3">
        <f t="shared" si="192"/>
        <v>4.5494105302274226E-2</v>
      </c>
      <c r="Z231" s="3">
        <f t="shared" si="192"/>
        <v>2.5148527891600568E-2</v>
      </c>
      <c r="AA231" s="3">
        <f t="shared" si="192"/>
        <v>6.7001876063926377E-5</v>
      </c>
      <c r="AB231" s="3">
        <f t="shared" si="192"/>
        <v>1.2073436847781573E-30</v>
      </c>
      <c r="AC231" s="3">
        <f t="shared" si="192"/>
        <v>4.3578314709152645E-288</v>
      </c>
      <c r="AD231" s="3">
        <f t="shared" si="192"/>
        <v>0</v>
      </c>
      <c r="AE231" s="3">
        <f t="shared" si="192"/>
        <v>0</v>
      </c>
      <c r="AF231" s="3">
        <f t="shared" si="192"/>
        <v>0</v>
      </c>
      <c r="AG231" s="3"/>
      <c r="AH231" s="3"/>
    </row>
    <row r="232" spans="2:34" x14ac:dyDescent="0.25">
      <c r="B232" s="3">
        <f t="shared" ref="B232:AF232" si="193">$C40*EXP(-B$207/$A40/EXP(-$D$126))</f>
        <v>2.853497416803049E-2</v>
      </c>
      <c r="C232" s="3">
        <f t="shared" si="193"/>
        <v>2.853497416803049E-2</v>
      </c>
      <c r="D232" s="3">
        <f t="shared" si="193"/>
        <v>2.853497416803049E-2</v>
      </c>
      <c r="E232" s="3">
        <f t="shared" si="193"/>
        <v>2.853497416803049E-2</v>
      </c>
      <c r="F232" s="3">
        <f t="shared" si="193"/>
        <v>2.853497416803049E-2</v>
      </c>
      <c r="G232" s="3">
        <f t="shared" si="193"/>
        <v>2.853497416803049E-2</v>
      </c>
      <c r="H232" s="3">
        <f t="shared" si="193"/>
        <v>2.853497416803049E-2</v>
      </c>
      <c r="I232" s="3">
        <f t="shared" si="193"/>
        <v>2.853497416803049E-2</v>
      </c>
      <c r="J232" s="3">
        <f t="shared" si="193"/>
        <v>2.853497416803049E-2</v>
      </c>
      <c r="K232" s="3">
        <f t="shared" si="193"/>
        <v>2.8534974168030487E-2</v>
      </c>
      <c r="L232" s="3">
        <f t="shared" si="193"/>
        <v>2.8534974168030473E-2</v>
      </c>
      <c r="M232" s="3">
        <f t="shared" si="193"/>
        <v>2.8534974168030303E-2</v>
      </c>
      <c r="N232" s="3">
        <f t="shared" si="193"/>
        <v>2.8534974168028613E-2</v>
      </c>
      <c r="O232" s="3">
        <f t="shared" si="193"/>
        <v>2.8534974168011693E-2</v>
      </c>
      <c r="P232" s="3">
        <f t="shared" si="193"/>
        <v>2.8534974167842543E-2</v>
      </c>
      <c r="Q232" s="3">
        <f t="shared" si="193"/>
        <v>2.8534974166151039E-2</v>
      </c>
      <c r="R232" s="3">
        <f t="shared" si="193"/>
        <v>2.8534974149235979E-2</v>
      </c>
      <c r="S232" s="3">
        <f t="shared" si="193"/>
        <v>2.853497398008539E-2</v>
      </c>
      <c r="T232" s="3">
        <f t="shared" si="193"/>
        <v>2.8534972288579544E-2</v>
      </c>
      <c r="U232" s="3">
        <f t="shared" si="193"/>
        <v>2.8534955373526606E-2</v>
      </c>
      <c r="V232" s="3">
        <f t="shared" si="193"/>
        <v>2.853478622354871E-2</v>
      </c>
      <c r="W232" s="3">
        <f t="shared" si="193"/>
        <v>2.8533094778916721E-2</v>
      </c>
      <c r="X232" s="3">
        <f t="shared" si="193"/>
        <v>2.8516185846084521E-2</v>
      </c>
      <c r="Y232" s="3">
        <f t="shared" si="193"/>
        <v>2.8347646659175413E-2</v>
      </c>
      <c r="Z232" s="3">
        <f t="shared" si="193"/>
        <v>2.6716081200712997E-2</v>
      </c>
      <c r="AA232" s="3">
        <f t="shared" si="193"/>
        <v>1.4768289402908863E-2</v>
      </c>
      <c r="AB232" s="3">
        <f t="shared" si="193"/>
        <v>3.9346362559073847E-5</v>
      </c>
      <c r="AC232" s="3">
        <f t="shared" si="193"/>
        <v>7.0900376445228938E-31</v>
      </c>
      <c r="AD232" s="3">
        <f t="shared" si="193"/>
        <v>2.5591047161482429E-288</v>
      </c>
      <c r="AE232" s="3">
        <f t="shared" si="193"/>
        <v>0</v>
      </c>
      <c r="AF232" s="3">
        <f t="shared" si="193"/>
        <v>0</v>
      </c>
      <c r="AG232" s="3"/>
      <c r="AH232" s="3"/>
    </row>
    <row r="233" spans="2:34" x14ac:dyDescent="0.25">
      <c r="B233" s="3">
        <f t="shared" ref="B233:AF233" si="194">$C41*EXP(-B$207/$A41/EXP(-$D$126))</f>
        <v>1.8710063230340357E-2</v>
      </c>
      <c r="C233" s="3">
        <f t="shared" si="194"/>
        <v>1.8710063230340357E-2</v>
      </c>
      <c r="D233" s="3">
        <f t="shared" si="194"/>
        <v>1.8710063230340357E-2</v>
      </c>
      <c r="E233" s="3">
        <f t="shared" si="194"/>
        <v>1.8710063230340357E-2</v>
      </c>
      <c r="F233" s="3">
        <f t="shared" si="194"/>
        <v>1.8710063230340357E-2</v>
      </c>
      <c r="G233" s="3">
        <f t="shared" si="194"/>
        <v>1.8710063230340357E-2</v>
      </c>
      <c r="H233" s="3">
        <f t="shared" si="194"/>
        <v>1.8710063230340357E-2</v>
      </c>
      <c r="I233" s="3">
        <f t="shared" si="194"/>
        <v>1.8710063230340357E-2</v>
      </c>
      <c r="J233" s="3">
        <f t="shared" si="194"/>
        <v>1.8710063230340357E-2</v>
      </c>
      <c r="K233" s="3">
        <f t="shared" si="194"/>
        <v>1.8710063230340357E-2</v>
      </c>
      <c r="L233" s="3">
        <f t="shared" si="194"/>
        <v>1.8710063230340353E-2</v>
      </c>
      <c r="M233" s="3">
        <f t="shared" si="194"/>
        <v>1.8710063230340343E-2</v>
      </c>
      <c r="N233" s="3">
        <f t="shared" si="194"/>
        <v>1.8710063230340235E-2</v>
      </c>
      <c r="O233" s="3">
        <f t="shared" si="194"/>
        <v>1.8710063230339125E-2</v>
      </c>
      <c r="P233" s="3">
        <f t="shared" si="194"/>
        <v>1.8710063230328033E-2</v>
      </c>
      <c r="Q233" s="3">
        <f t="shared" si="194"/>
        <v>1.8710063230217122E-2</v>
      </c>
      <c r="R233" s="3">
        <f t="shared" si="194"/>
        <v>1.871006322910802E-2</v>
      </c>
      <c r="S233" s="3">
        <f t="shared" si="194"/>
        <v>1.8710063218017006E-2</v>
      </c>
      <c r="T233" s="3">
        <f t="shared" si="194"/>
        <v>1.8710063107106857E-2</v>
      </c>
      <c r="U233" s="3">
        <f t="shared" si="194"/>
        <v>1.8710061998005404E-2</v>
      </c>
      <c r="V233" s="3">
        <f t="shared" si="194"/>
        <v>1.8710050906994489E-2</v>
      </c>
      <c r="W233" s="3">
        <f t="shared" si="194"/>
        <v>1.8709939997246919E-2</v>
      </c>
      <c r="X233" s="3">
        <f t="shared" si="194"/>
        <v>1.8708830935930489E-2</v>
      </c>
      <c r="Y233" s="3">
        <f t="shared" si="194"/>
        <v>1.8697743937898352E-2</v>
      </c>
      <c r="Z233" s="3">
        <f t="shared" si="194"/>
        <v>1.8587234679144842E-2</v>
      </c>
      <c r="AA233" s="3">
        <f t="shared" si="194"/>
        <v>1.7517435466693758E-2</v>
      </c>
      <c r="AB233" s="3">
        <f t="shared" si="194"/>
        <v>9.683402091247165E-3</v>
      </c>
      <c r="AC233" s="3">
        <f t="shared" si="194"/>
        <v>2.5798969609334655E-5</v>
      </c>
      <c r="AD233" s="3">
        <f t="shared" si="194"/>
        <v>4.6488583397120603E-31</v>
      </c>
      <c r="AE233" s="3">
        <f t="shared" si="194"/>
        <v>1.677976323729773E-288</v>
      </c>
      <c r="AF233" s="3">
        <f t="shared" si="194"/>
        <v>0</v>
      </c>
      <c r="AG233" s="3"/>
      <c r="AH233" s="3"/>
    </row>
    <row r="234" spans="2:34" x14ac:dyDescent="0.25">
      <c r="B234" s="3">
        <f t="shared" ref="B234:AF234" si="195">$C42*EXP(-B$207/$A42/EXP(-$D$126))</f>
        <v>7.6798609611155137E-3</v>
      </c>
      <c r="C234" s="3">
        <f t="shared" si="195"/>
        <v>7.6798609611155137E-3</v>
      </c>
      <c r="D234" s="3">
        <f t="shared" si="195"/>
        <v>7.6798609611155137E-3</v>
      </c>
      <c r="E234" s="3">
        <f t="shared" si="195"/>
        <v>7.6798609611155137E-3</v>
      </c>
      <c r="F234" s="3">
        <f t="shared" si="195"/>
        <v>7.6798609611155137E-3</v>
      </c>
      <c r="G234" s="3">
        <f t="shared" si="195"/>
        <v>7.6798609611155137E-3</v>
      </c>
      <c r="H234" s="3">
        <f t="shared" si="195"/>
        <v>7.6798609611155137E-3</v>
      </c>
      <c r="I234" s="3">
        <f t="shared" si="195"/>
        <v>7.6798609611155137E-3</v>
      </c>
      <c r="J234" s="3">
        <f t="shared" si="195"/>
        <v>7.6798609611155137E-3</v>
      </c>
      <c r="K234" s="3">
        <f t="shared" si="195"/>
        <v>7.6798609611155137E-3</v>
      </c>
      <c r="L234" s="3">
        <f t="shared" si="195"/>
        <v>7.6798609611155137E-3</v>
      </c>
      <c r="M234" s="3">
        <f t="shared" si="195"/>
        <v>7.6798609611155129E-3</v>
      </c>
      <c r="N234" s="3">
        <f t="shared" si="195"/>
        <v>7.6798609611155085E-3</v>
      </c>
      <c r="O234" s="3">
        <f t="shared" si="195"/>
        <v>7.6798609611154634E-3</v>
      </c>
      <c r="P234" s="3">
        <f t="shared" si="195"/>
        <v>7.6798609611150081E-3</v>
      </c>
      <c r="Q234" s="3">
        <f t="shared" si="195"/>
        <v>7.6798609611104553E-3</v>
      </c>
      <c r="R234" s="3">
        <f t="shared" si="195"/>
        <v>7.6798609610649301E-3</v>
      </c>
      <c r="S234" s="3">
        <f t="shared" si="195"/>
        <v>7.6798609606096805E-3</v>
      </c>
      <c r="T234" s="3">
        <f t="shared" si="195"/>
        <v>7.6798609560571867E-3</v>
      </c>
      <c r="U234" s="3">
        <f t="shared" si="195"/>
        <v>7.6798609105322461E-3</v>
      </c>
      <c r="V234" s="3">
        <f t="shared" si="195"/>
        <v>7.6798604552828515E-3</v>
      </c>
      <c r="W234" s="3">
        <f t="shared" si="195"/>
        <v>7.679855902790393E-3</v>
      </c>
      <c r="X234" s="3">
        <f t="shared" si="195"/>
        <v>7.6798103780142297E-3</v>
      </c>
      <c r="Y234" s="3">
        <f t="shared" si="195"/>
        <v>7.6793551450947744E-3</v>
      </c>
      <c r="Z234" s="3">
        <f t="shared" si="195"/>
        <v>7.6748042997921836E-3</v>
      </c>
      <c r="AA234" s="3">
        <f t="shared" si="195"/>
        <v>7.6294439110166585E-3</v>
      </c>
      <c r="AB234" s="3">
        <f t="shared" si="195"/>
        <v>7.1903267842176304E-3</v>
      </c>
      <c r="AC234" s="3">
        <f t="shared" si="195"/>
        <v>3.9747156797823712E-3</v>
      </c>
      <c r="AD234" s="3">
        <f t="shared" si="195"/>
        <v>1.0589622124763419E-5</v>
      </c>
      <c r="AE234" s="3">
        <f t="shared" si="195"/>
        <v>1.9082022993388604E-31</v>
      </c>
      <c r="AF234" s="3">
        <f t="shared" si="195"/>
        <v>6.8875367782784283E-289</v>
      </c>
      <c r="AG234" s="3"/>
      <c r="AH234" s="3"/>
    </row>
    <row r="235" spans="2:34" x14ac:dyDescent="0.25">
      <c r="B235" s="3">
        <f t="shared" ref="B235:AF235" si="196">$C43*EXP(-B$207/$A43/EXP(-$D$126))</f>
        <v>4.1102249961922147E-3</v>
      </c>
      <c r="C235" s="3">
        <f t="shared" si="196"/>
        <v>4.1102249961922147E-3</v>
      </c>
      <c r="D235" s="3">
        <f t="shared" si="196"/>
        <v>4.1102249961922147E-3</v>
      </c>
      <c r="E235" s="3">
        <f t="shared" si="196"/>
        <v>4.1102249961922147E-3</v>
      </c>
      <c r="F235" s="3">
        <f t="shared" si="196"/>
        <v>4.1102249961922147E-3</v>
      </c>
      <c r="G235" s="3">
        <f t="shared" si="196"/>
        <v>4.1102249961922147E-3</v>
      </c>
      <c r="H235" s="3">
        <f t="shared" si="196"/>
        <v>4.1102249961922147E-3</v>
      </c>
      <c r="I235" s="3">
        <f t="shared" si="196"/>
        <v>4.1102249961922147E-3</v>
      </c>
      <c r="J235" s="3">
        <f t="shared" si="196"/>
        <v>4.1102249961922147E-3</v>
      </c>
      <c r="K235" s="3">
        <f t="shared" si="196"/>
        <v>4.1102249961922147E-3</v>
      </c>
      <c r="L235" s="3">
        <f t="shared" si="196"/>
        <v>4.1102249961922147E-3</v>
      </c>
      <c r="M235" s="3">
        <f t="shared" si="196"/>
        <v>4.1102249961922147E-3</v>
      </c>
      <c r="N235" s="3">
        <f t="shared" si="196"/>
        <v>4.1102249961922138E-3</v>
      </c>
      <c r="O235" s="3">
        <f t="shared" si="196"/>
        <v>4.1102249961922121E-3</v>
      </c>
      <c r="P235" s="3">
        <f t="shared" si="196"/>
        <v>4.1102249961921878E-3</v>
      </c>
      <c r="Q235" s="3">
        <f t="shared" si="196"/>
        <v>4.110224996191944E-3</v>
      </c>
      <c r="R235" s="3">
        <f t="shared" si="196"/>
        <v>4.1102249961895076E-3</v>
      </c>
      <c r="S235" s="3">
        <f t="shared" si="196"/>
        <v>4.1102249961651426E-3</v>
      </c>
      <c r="T235" s="3">
        <f t="shared" si="196"/>
        <v>4.1102249959214954E-3</v>
      </c>
      <c r="U235" s="3">
        <f t="shared" si="196"/>
        <v>4.1102249934850225E-3</v>
      </c>
      <c r="V235" s="3">
        <f t="shared" si="196"/>
        <v>4.110224969120291E-3</v>
      </c>
      <c r="W235" s="3">
        <f t="shared" si="196"/>
        <v>4.1102247254729838E-3</v>
      </c>
      <c r="X235" s="3">
        <f t="shared" si="196"/>
        <v>4.1102222890007098E-3</v>
      </c>
      <c r="Y235" s="3">
        <f t="shared" si="196"/>
        <v>4.1101979243574078E-3</v>
      </c>
      <c r="Z235" s="3">
        <f t="shared" si="196"/>
        <v>4.1099542858678423E-3</v>
      </c>
      <c r="AA235" s="3">
        <f t="shared" si="196"/>
        <v>4.1075186951441012E-3</v>
      </c>
      <c r="AB235" s="3">
        <f t="shared" si="196"/>
        <v>4.0832420311880556E-3</v>
      </c>
      <c r="AC235" s="3">
        <f t="shared" si="196"/>
        <v>3.8482286370701349E-3</v>
      </c>
      <c r="AD235" s="3">
        <f t="shared" si="196"/>
        <v>2.1272488945458276E-3</v>
      </c>
      <c r="AE235" s="3">
        <f t="shared" si="196"/>
        <v>5.6675153076092319E-6</v>
      </c>
      <c r="AF235" s="3">
        <f t="shared" si="196"/>
        <v>1.0212607791007212E-31</v>
      </c>
      <c r="AG235" s="3"/>
      <c r="AH235" s="3"/>
    </row>
    <row r="236" spans="2:34" x14ac:dyDescent="0.25">
      <c r="B236" s="3">
        <f t="shared" ref="B236:AF236" si="197">$C44*EXP(-B$207/$A44/EXP(-$D$126))</f>
        <v>3.1066969837399792E-3</v>
      </c>
      <c r="C236" s="3">
        <f t="shared" si="197"/>
        <v>3.1066969837399792E-3</v>
      </c>
      <c r="D236" s="3">
        <f t="shared" si="197"/>
        <v>3.1066969837399792E-3</v>
      </c>
      <c r="E236" s="3">
        <f t="shared" si="197"/>
        <v>3.1066969837399792E-3</v>
      </c>
      <c r="F236" s="3">
        <f t="shared" si="197"/>
        <v>3.1066969837399792E-3</v>
      </c>
      <c r="G236" s="3">
        <f t="shared" si="197"/>
        <v>3.1066969837399792E-3</v>
      </c>
      <c r="H236" s="3">
        <f t="shared" si="197"/>
        <v>3.1066969837399792E-3</v>
      </c>
      <c r="I236" s="3">
        <f t="shared" si="197"/>
        <v>3.1066969837399792E-3</v>
      </c>
      <c r="J236" s="3">
        <f t="shared" si="197"/>
        <v>3.1066969837399792E-3</v>
      </c>
      <c r="K236" s="3">
        <f t="shared" si="197"/>
        <v>3.1066969837399792E-3</v>
      </c>
      <c r="L236" s="3">
        <f t="shared" si="197"/>
        <v>3.1066969837399792E-3</v>
      </c>
      <c r="M236" s="3">
        <f t="shared" si="197"/>
        <v>3.1066969837399792E-3</v>
      </c>
      <c r="N236" s="3">
        <f t="shared" si="197"/>
        <v>3.1066969837399792E-3</v>
      </c>
      <c r="O236" s="3">
        <f t="shared" si="197"/>
        <v>3.1066969837399787E-3</v>
      </c>
      <c r="P236" s="3">
        <f t="shared" si="197"/>
        <v>3.106696983739977E-3</v>
      </c>
      <c r="Q236" s="3">
        <f t="shared" si="197"/>
        <v>3.1066969837399588E-3</v>
      </c>
      <c r="R236" s="3">
        <f t="shared" si="197"/>
        <v>3.1066969837397745E-3</v>
      </c>
      <c r="S236" s="3">
        <f t="shared" si="197"/>
        <v>3.1066969837379326E-3</v>
      </c>
      <c r="T236" s="3">
        <f t="shared" si="197"/>
        <v>3.1066969837195168E-3</v>
      </c>
      <c r="U236" s="3">
        <f t="shared" si="197"/>
        <v>3.1066969835353568E-3</v>
      </c>
      <c r="V236" s="3">
        <f t="shared" si="197"/>
        <v>3.1066969816937588E-3</v>
      </c>
      <c r="W236" s="3">
        <f t="shared" si="197"/>
        <v>3.1066969632777748E-3</v>
      </c>
      <c r="X236" s="3">
        <f t="shared" si="197"/>
        <v>3.1066967791179407E-3</v>
      </c>
      <c r="Y236" s="3">
        <f t="shared" si="197"/>
        <v>3.1066949375202005E-3</v>
      </c>
      <c r="Z236" s="3">
        <f t="shared" si="197"/>
        <v>3.1066765216028413E-3</v>
      </c>
      <c r="AA236" s="3">
        <f t="shared" si="197"/>
        <v>3.106492368433281E-3</v>
      </c>
      <c r="AB236" s="3">
        <f t="shared" si="197"/>
        <v>3.1046514370093124E-3</v>
      </c>
      <c r="AC236" s="3">
        <f t="shared" si="197"/>
        <v>3.0863020184841981E-3</v>
      </c>
      <c r="AD236" s="3">
        <f t="shared" si="197"/>
        <v>2.9086680925261227E-3</v>
      </c>
      <c r="AE236" s="3">
        <f t="shared" si="197"/>
        <v>1.6078724961461138E-3</v>
      </c>
      <c r="AF236" s="3">
        <f t="shared" si="197"/>
        <v>4.2837685839002567E-6</v>
      </c>
      <c r="AG236" s="3"/>
      <c r="AH236" s="3"/>
    </row>
    <row r="237" spans="2:34" x14ac:dyDescent="0.25">
      <c r="B237" s="3">
        <f t="shared" ref="B237:AF237" si="198">$C45*EXP(-B$207/$A45/EXP(-$D$126))</f>
        <v>9.6514726179013565E-4</v>
      </c>
      <c r="C237" s="3">
        <f t="shared" si="198"/>
        <v>9.6514726179013565E-4</v>
      </c>
      <c r="D237" s="3">
        <f t="shared" si="198"/>
        <v>9.6514726179013565E-4</v>
      </c>
      <c r="E237" s="3">
        <f t="shared" si="198"/>
        <v>9.6514726179013565E-4</v>
      </c>
      <c r="F237" s="3">
        <f t="shared" si="198"/>
        <v>9.6514726179013565E-4</v>
      </c>
      <c r="G237" s="3">
        <f t="shared" si="198"/>
        <v>9.6514726179013565E-4</v>
      </c>
      <c r="H237" s="3">
        <f t="shared" si="198"/>
        <v>9.6514726179013565E-4</v>
      </c>
      <c r="I237" s="3">
        <f t="shared" si="198"/>
        <v>9.6514726179013565E-4</v>
      </c>
      <c r="J237" s="3">
        <f t="shared" si="198"/>
        <v>9.6514726179013565E-4</v>
      </c>
      <c r="K237" s="3">
        <f t="shared" si="198"/>
        <v>9.6514726179013565E-4</v>
      </c>
      <c r="L237" s="3">
        <f t="shared" si="198"/>
        <v>9.6514726179013565E-4</v>
      </c>
      <c r="M237" s="3">
        <f t="shared" si="198"/>
        <v>9.6514726179013565E-4</v>
      </c>
      <c r="N237" s="3">
        <f t="shared" si="198"/>
        <v>9.6514726179013565E-4</v>
      </c>
      <c r="O237" s="3">
        <f t="shared" si="198"/>
        <v>9.6514726179013565E-4</v>
      </c>
      <c r="P237" s="3">
        <f t="shared" si="198"/>
        <v>9.6514726179013554E-4</v>
      </c>
      <c r="Q237" s="3">
        <f t="shared" si="198"/>
        <v>9.65147261790135E-4</v>
      </c>
      <c r="R237" s="3">
        <f t="shared" si="198"/>
        <v>9.6514726179012936E-4</v>
      </c>
      <c r="S237" s="3">
        <f t="shared" si="198"/>
        <v>9.6514726179007212E-4</v>
      </c>
      <c r="T237" s="3">
        <f t="shared" si="198"/>
        <v>9.6514726178949988E-4</v>
      </c>
      <c r="U237" s="3">
        <f t="shared" si="198"/>
        <v>9.6514726178377865E-4</v>
      </c>
      <c r="V237" s="3">
        <f t="shared" si="198"/>
        <v>9.6514726172656638E-4</v>
      </c>
      <c r="W237" s="3">
        <f t="shared" si="198"/>
        <v>9.6514726115444309E-4</v>
      </c>
      <c r="X237" s="3">
        <f t="shared" si="198"/>
        <v>9.6514725543321036E-4</v>
      </c>
      <c r="Y237" s="3">
        <f t="shared" si="198"/>
        <v>9.6514719822088477E-4</v>
      </c>
      <c r="Z237" s="3">
        <f t="shared" si="198"/>
        <v>9.651466260978146E-4</v>
      </c>
      <c r="AA237" s="3">
        <f t="shared" si="198"/>
        <v>9.6514090488576665E-4</v>
      </c>
      <c r="AB237" s="3">
        <f t="shared" si="198"/>
        <v>9.650836946305402E-4</v>
      </c>
      <c r="AC237" s="3">
        <f t="shared" si="198"/>
        <v>9.6451177856267585E-4</v>
      </c>
      <c r="AD237" s="3">
        <f t="shared" si="198"/>
        <v>9.5881122548728851E-4</v>
      </c>
      <c r="AE237" s="3">
        <f t="shared" si="198"/>
        <v>9.0362628207736584E-4</v>
      </c>
      <c r="AF237" s="3">
        <f t="shared" si="198"/>
        <v>4.9951242270655121E-4</v>
      </c>
      <c r="AG237" s="3"/>
      <c r="AH237" s="3"/>
    </row>
    <row r="238" spans="2:34" x14ac:dyDescent="0.25">
      <c r="B238" s="3">
        <f t="shared" ref="B238:AF238" si="199">$C46*EXP(-B$207/$A46/EXP(-$D$126))</f>
        <v>1.0056328677851901E-3</v>
      </c>
      <c r="C238" s="3">
        <f t="shared" si="199"/>
        <v>1.0056328677851901E-3</v>
      </c>
      <c r="D238" s="3">
        <f t="shared" si="199"/>
        <v>1.0056328677851901E-3</v>
      </c>
      <c r="E238" s="3">
        <f t="shared" si="199"/>
        <v>1.0056328677851901E-3</v>
      </c>
      <c r="F238" s="3">
        <f t="shared" si="199"/>
        <v>1.0056328677851901E-3</v>
      </c>
      <c r="G238" s="3">
        <f t="shared" si="199"/>
        <v>1.0056328677851901E-3</v>
      </c>
      <c r="H238" s="3">
        <f t="shared" si="199"/>
        <v>1.0056328677851901E-3</v>
      </c>
      <c r="I238" s="3">
        <f t="shared" si="199"/>
        <v>1.0056328677851901E-3</v>
      </c>
      <c r="J238" s="3">
        <f t="shared" si="199"/>
        <v>1.0056328677851901E-3</v>
      </c>
      <c r="K238" s="3">
        <f t="shared" si="199"/>
        <v>1.0056328677851901E-3</v>
      </c>
      <c r="L238" s="3">
        <f t="shared" si="199"/>
        <v>1.0056328677851901E-3</v>
      </c>
      <c r="M238" s="3">
        <f t="shared" si="199"/>
        <v>1.0056328677851901E-3</v>
      </c>
      <c r="N238" s="3">
        <f t="shared" si="199"/>
        <v>1.0056328677851901E-3</v>
      </c>
      <c r="O238" s="3">
        <f t="shared" si="199"/>
        <v>1.0056328677851901E-3</v>
      </c>
      <c r="P238" s="3">
        <f t="shared" si="199"/>
        <v>1.0056328677851901E-3</v>
      </c>
      <c r="Q238" s="3">
        <f t="shared" si="199"/>
        <v>1.0056328677851899E-3</v>
      </c>
      <c r="R238" s="3">
        <f t="shared" si="199"/>
        <v>1.0056328677851894E-3</v>
      </c>
      <c r="S238" s="3">
        <f t="shared" si="199"/>
        <v>1.0056328677851836E-3</v>
      </c>
      <c r="T238" s="3">
        <f t="shared" si="199"/>
        <v>1.0056328677851239E-3</v>
      </c>
      <c r="U238" s="3">
        <f t="shared" si="199"/>
        <v>1.0056328677845276E-3</v>
      </c>
      <c r="V238" s="3">
        <f t="shared" si="199"/>
        <v>1.0056328677785665E-3</v>
      </c>
      <c r="W238" s="3">
        <f t="shared" si="199"/>
        <v>1.0056328677189542E-3</v>
      </c>
      <c r="X238" s="3">
        <f t="shared" si="199"/>
        <v>1.0056328671228317E-3</v>
      </c>
      <c r="Y238" s="3">
        <f t="shared" si="199"/>
        <v>1.0056328611616071E-3</v>
      </c>
      <c r="Z238" s="3">
        <f t="shared" si="199"/>
        <v>1.0056328015493621E-3</v>
      </c>
      <c r="AA238" s="3">
        <f t="shared" si="199"/>
        <v>1.0056322054271052E-3</v>
      </c>
      <c r="AB238" s="3">
        <f t="shared" si="199"/>
        <v>1.0056262442239743E-3</v>
      </c>
      <c r="AC238" s="3">
        <f t="shared" si="199"/>
        <v>1.0055666341361588E-3</v>
      </c>
      <c r="AD238" s="3">
        <f t="shared" si="199"/>
        <v>1.004970727564977E-3</v>
      </c>
      <c r="AE238" s="3">
        <f t="shared" si="199"/>
        <v>9.9903105000061177E-4</v>
      </c>
      <c r="AF238" s="3">
        <f t="shared" si="199"/>
        <v>9.4153123096061208E-4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2.1809087047795134E-2</v>
      </c>
      <c r="C240" s="3">
        <f t="shared" si="201"/>
        <v>2.1809087047795134E-2</v>
      </c>
      <c r="D240" s="3">
        <f t="shared" si="201"/>
        <v>2.1809087047795134E-2</v>
      </c>
      <c r="E240" s="3">
        <f t="shared" si="201"/>
        <v>2.1809087047795134E-2</v>
      </c>
      <c r="F240" s="3">
        <f t="shared" si="201"/>
        <v>2.1809087047795134E-2</v>
      </c>
      <c r="G240" s="3">
        <f t="shared" si="201"/>
        <v>2.1809087047795134E-2</v>
      </c>
      <c r="H240" s="3">
        <f t="shared" si="201"/>
        <v>2.1809087047795134E-2</v>
      </c>
      <c r="I240" s="3">
        <f t="shared" si="201"/>
        <v>2.1809087047795134E-2</v>
      </c>
      <c r="J240" s="3">
        <f t="shared" si="201"/>
        <v>2.1809087047795134E-2</v>
      </c>
      <c r="K240" s="3">
        <f t="shared" si="201"/>
        <v>2.1809087047795134E-2</v>
      </c>
      <c r="L240" s="3">
        <f t="shared" si="201"/>
        <v>2.1809087047795134E-2</v>
      </c>
      <c r="M240" s="3">
        <f t="shared" si="201"/>
        <v>2.1809087047795134E-2</v>
      </c>
      <c r="N240" s="3">
        <f t="shared" si="201"/>
        <v>2.1809087047795134E-2</v>
      </c>
      <c r="O240" s="3">
        <f t="shared" si="201"/>
        <v>2.1809087047795134E-2</v>
      </c>
      <c r="P240" s="3">
        <f t="shared" si="201"/>
        <v>2.1809087047795134E-2</v>
      </c>
      <c r="Q240" s="3">
        <f t="shared" si="201"/>
        <v>2.1809087047795134E-2</v>
      </c>
      <c r="R240" s="3">
        <f t="shared" si="201"/>
        <v>2.1809087047795134E-2</v>
      </c>
      <c r="S240" s="3">
        <f t="shared" si="201"/>
        <v>2.180908704779513E-2</v>
      </c>
      <c r="T240" s="3">
        <f t="shared" si="201"/>
        <v>2.180908704779512E-2</v>
      </c>
      <c r="U240" s="3">
        <f t="shared" si="201"/>
        <v>2.1809087047794991E-2</v>
      </c>
      <c r="V240" s="3">
        <f t="shared" si="201"/>
        <v>2.1809087047793697E-2</v>
      </c>
      <c r="W240" s="3">
        <f t="shared" si="201"/>
        <v>2.1809087047780767E-2</v>
      </c>
      <c r="X240" s="3">
        <f t="shared" si="201"/>
        <v>2.1809087047651488E-2</v>
      </c>
      <c r="Y240" s="3">
        <f t="shared" si="201"/>
        <v>2.1809087046358682E-2</v>
      </c>
      <c r="Z240" s="3">
        <f t="shared" si="201"/>
        <v>2.1809087033430617E-2</v>
      </c>
      <c r="AA240" s="3">
        <f t="shared" si="201"/>
        <v>2.1809086904149969E-2</v>
      </c>
      <c r="AB240" s="3">
        <f t="shared" si="201"/>
        <v>2.1809085611343534E-2</v>
      </c>
      <c r="AC240" s="3">
        <f t="shared" si="201"/>
        <v>2.1809072683283401E-2</v>
      </c>
      <c r="AD240" s="3">
        <f t="shared" si="201"/>
        <v>2.1808943403103565E-2</v>
      </c>
      <c r="AE240" s="3">
        <f t="shared" si="201"/>
        <v>2.1807650643453656E-2</v>
      </c>
      <c r="AF240" s="3">
        <f t="shared" si="201"/>
        <v>2.17947272608758E-2</v>
      </c>
      <c r="AG240" s="3"/>
      <c r="AH240" s="3"/>
    </row>
    <row r="241" spans="1:34" x14ac:dyDescent="0.25">
      <c r="A241" s="79">
        <f>AVERAGE(B241:AF241)</f>
        <v>1.2238261322288148E-2</v>
      </c>
      <c r="B241" s="80">
        <f>IF($A$64&lt;=B207,IF($B$64&gt;=B207,ABS((B209-B208)/B208),0),0)</f>
        <v>5.5225576641996732E-2</v>
      </c>
      <c r="C241" s="80">
        <f t="shared" ref="C241:AF241" si="202">IF($A$64&lt;=C207,IF($B$64&gt;=C207,ABS((C209-C208)/C208),0),0)</f>
        <v>3.2550492750446455E-2</v>
      </c>
      <c r="D241" s="80">
        <f t="shared" si="202"/>
        <v>1.3393005878128694E-2</v>
      </c>
      <c r="E241" s="80">
        <f t="shared" si="202"/>
        <v>1.2148093424847624E-3</v>
      </c>
      <c r="F241" s="80">
        <f t="shared" si="202"/>
        <v>9.6010619018482915E-3</v>
      </c>
      <c r="G241" s="80">
        <f t="shared" si="202"/>
        <v>8.9300177708134549E-3</v>
      </c>
      <c r="H241" s="80">
        <f t="shared" si="202"/>
        <v>8.4504893408243603E-3</v>
      </c>
      <c r="I241" s="80">
        <f t="shared" si="202"/>
        <v>8.2422232297564135E-3</v>
      </c>
      <c r="J241" s="80">
        <f t="shared" si="202"/>
        <v>8.2139791112150872E-3</v>
      </c>
      <c r="K241" s="80">
        <f t="shared" si="202"/>
        <v>8.0037151150284171E-3</v>
      </c>
      <c r="L241" s="80">
        <f t="shared" si="202"/>
        <v>7.9205554719140644E-3</v>
      </c>
      <c r="M241" s="80">
        <f t="shared" si="202"/>
        <v>7.6942877158505127E-3</v>
      </c>
      <c r="N241" s="80">
        <f t="shared" si="202"/>
        <v>8.4696295071224198E-3</v>
      </c>
      <c r="O241" s="80">
        <f t="shared" si="202"/>
        <v>7.5516649456628376E-3</v>
      </c>
      <c r="P241" s="80">
        <f t="shared" si="202"/>
        <v>8.6030106976133953E-3</v>
      </c>
      <c r="Q241" s="80">
        <f t="shared" si="202"/>
        <v>8.1561432065073297E-3</v>
      </c>
      <c r="R241" s="80">
        <f t="shared" si="202"/>
        <v>7.6715383949144591E-3</v>
      </c>
      <c r="S241" s="80">
        <f t="shared" si="202"/>
        <v>2.2159871867898045E-3</v>
      </c>
      <c r="T241" s="80">
        <f t="shared" si="202"/>
        <v>1.9829774999792726E-2</v>
      </c>
      <c r="U241" s="80">
        <f t="shared" si="202"/>
        <v>3.4480671095856869E-2</v>
      </c>
      <c r="V241" s="80">
        <f t="shared" si="202"/>
        <v>3.1760950674064099E-2</v>
      </c>
      <c r="W241" s="80">
        <f t="shared" si="202"/>
        <v>2.11394639388119E-2</v>
      </c>
      <c r="X241" s="80">
        <f t="shared" si="202"/>
        <v>1.5641229932853454E-2</v>
      </c>
      <c r="Y241" s="80">
        <f t="shared" si="202"/>
        <v>1.0819787755460821E-3</v>
      </c>
      <c r="Z241" s="80">
        <f t="shared" si="202"/>
        <v>2.5273776149524856E-2</v>
      </c>
      <c r="AA241" s="80">
        <f t="shared" si="202"/>
        <v>1.2468817723464939E-3</v>
      </c>
      <c r="AB241" s="80">
        <f t="shared" si="202"/>
        <v>9.2677494349188774E-3</v>
      </c>
      <c r="AC241" s="80">
        <f t="shared" si="202"/>
        <v>3.2660367728765032E-3</v>
      </c>
      <c r="AD241" s="80">
        <f t="shared" si="202"/>
        <v>3.9314204144705808E-3</v>
      </c>
      <c r="AE241" s="80">
        <f t="shared" si="202"/>
        <v>1.5392285365328087E-4</v>
      </c>
      <c r="AF241" s="80">
        <f t="shared" si="202"/>
        <v>2.040559672993987E-4</v>
      </c>
    </row>
    <row r="242" spans="1:34" x14ac:dyDescent="0.25">
      <c r="B242" s="21">
        <f>(B209-B208)^2</f>
        <v>325748.6836350254</v>
      </c>
      <c r="C242" s="21">
        <f t="shared" ref="C242:AF242" si="203">(C209-C208)^2</f>
        <v>107907.18638136488</v>
      </c>
      <c r="D242" s="21">
        <f t="shared" si="203"/>
        <v>17538.767610104165</v>
      </c>
      <c r="E242" s="21">
        <f t="shared" si="203"/>
        <v>138.1555430076279</v>
      </c>
      <c r="F242" s="21">
        <f t="shared" si="203"/>
        <v>8210.8449620167794</v>
      </c>
      <c r="G242" s="21">
        <f t="shared" si="203"/>
        <v>6724.1544346357023</v>
      </c>
      <c r="H242" s="21">
        <f t="shared" si="203"/>
        <v>5656.2302874003371</v>
      </c>
      <c r="I242" s="21">
        <f t="shared" si="203"/>
        <v>5049.6952290646677</v>
      </c>
      <c r="J242" s="21">
        <f t="shared" si="203"/>
        <v>4709.0748973751615</v>
      </c>
      <c r="K242" s="21">
        <f t="shared" si="203"/>
        <v>4142.750237459969</v>
      </c>
      <c r="L242" s="21">
        <f t="shared" si="203"/>
        <v>3693.7369035889751</v>
      </c>
      <c r="M242" s="21">
        <f t="shared" si="203"/>
        <v>3150.9875583028115</v>
      </c>
      <c r="N242" s="21">
        <f t="shared" si="203"/>
        <v>3492.8121420675652</v>
      </c>
      <c r="O242" s="21">
        <f t="shared" si="203"/>
        <v>2551.2659056158113</v>
      </c>
      <c r="P242" s="21">
        <f t="shared" si="203"/>
        <v>3033.8603427662042</v>
      </c>
      <c r="Q242" s="21">
        <f t="shared" si="203"/>
        <v>2482.2819466052324</v>
      </c>
      <c r="R242" s="21">
        <f t="shared" si="203"/>
        <v>1994.7351845158109</v>
      </c>
      <c r="S242" s="21">
        <f t="shared" si="203"/>
        <v>146.47654990111693</v>
      </c>
      <c r="T242" s="21">
        <f t="shared" si="203"/>
        <v>9582.7529233277055</v>
      </c>
      <c r="U242" s="21">
        <f t="shared" si="203"/>
        <v>21952.037325696136</v>
      </c>
      <c r="V242" s="21">
        <f t="shared" si="203"/>
        <v>13654.404968029919</v>
      </c>
      <c r="W242" s="21">
        <f t="shared" si="203"/>
        <v>4287.8852126151496</v>
      </c>
      <c r="X242" s="21">
        <f t="shared" si="203"/>
        <v>1563.6048259136603</v>
      </c>
      <c r="Y242" s="21">
        <f t="shared" si="203"/>
        <v>4.4679684805042559</v>
      </c>
      <c r="Z242" s="21">
        <f t="shared" si="203"/>
        <v>1310.5639757591143</v>
      </c>
      <c r="AA242" s="21">
        <f t="shared" si="203"/>
        <v>1.6601392713175556</v>
      </c>
      <c r="AB242" s="21">
        <f t="shared" si="203"/>
        <v>51.744296939829766</v>
      </c>
      <c r="AC242" s="21">
        <f t="shared" si="203"/>
        <v>4.4196506442446051</v>
      </c>
      <c r="AD242" s="21">
        <f t="shared" si="203"/>
        <v>5.1250920841515271</v>
      </c>
      <c r="AE242" s="21">
        <f t="shared" si="203"/>
        <v>6.9184033685932931E-3</v>
      </c>
      <c r="AF242" s="21">
        <f t="shared" si="203"/>
        <v>1.1178338155391964E-2</v>
      </c>
      <c r="AG242" s="3"/>
      <c r="AH242" s="3"/>
    </row>
    <row r="243" spans="1:34" x14ac:dyDescent="0.25">
      <c r="A243" s="71">
        <f>SUM(B243:AF243)</f>
        <v>558790.38422632171</v>
      </c>
      <c r="B243" s="60">
        <f>IF($A$64&lt;=B207,IF($B$64&gt;=B207,ABS(B242),0),0)</f>
        <v>325748.6836350254</v>
      </c>
      <c r="C243" s="60">
        <f t="shared" ref="C243" si="204">IF($A$64&lt;=C207,IF($B$64&gt;=C207,ABS(C242),0),0)</f>
        <v>107907.18638136488</v>
      </c>
      <c r="D243" s="60">
        <f t="shared" ref="D243" si="205">IF($A$64&lt;=D207,IF($B$64&gt;=D207,ABS(D242),0),0)</f>
        <v>17538.767610104165</v>
      </c>
      <c r="E243" s="60">
        <f t="shared" ref="E243" si="206">IF($A$64&lt;=E207,IF($B$64&gt;=E207,ABS(E242),0),0)</f>
        <v>138.1555430076279</v>
      </c>
      <c r="F243" s="60">
        <f t="shared" ref="F243" si="207">IF($A$64&lt;=F207,IF($B$64&gt;=F207,ABS(F242),0),0)</f>
        <v>8210.8449620167794</v>
      </c>
      <c r="G243" s="60">
        <f t="shared" ref="G243" si="208">IF($A$64&lt;=G207,IF($B$64&gt;=G207,ABS(G242),0),0)</f>
        <v>6724.1544346357023</v>
      </c>
      <c r="H243" s="60">
        <f t="shared" ref="H243" si="209">IF($A$64&lt;=H207,IF($B$64&gt;=H207,ABS(H242),0),0)</f>
        <v>5656.2302874003371</v>
      </c>
      <c r="I243" s="60">
        <f t="shared" ref="I243" si="210">IF($A$64&lt;=I207,IF($B$64&gt;=I207,ABS(I242),0),0)</f>
        <v>5049.6952290646677</v>
      </c>
      <c r="J243" s="60">
        <f t="shared" ref="J243" si="211">IF($A$64&lt;=J207,IF($B$64&gt;=J207,ABS(J242),0),0)</f>
        <v>4709.0748973751615</v>
      </c>
      <c r="K243" s="60">
        <f t="shared" ref="K243" si="212">IF($A$64&lt;=K207,IF($B$64&gt;=K207,ABS(K242),0),0)</f>
        <v>4142.750237459969</v>
      </c>
      <c r="L243" s="60">
        <f t="shared" ref="L243" si="213">IF($A$64&lt;=L207,IF($B$64&gt;=L207,ABS(L242),0),0)</f>
        <v>3693.7369035889751</v>
      </c>
      <c r="M243" s="60">
        <f t="shared" ref="M243" si="214">IF($A$64&lt;=M207,IF($B$64&gt;=M207,ABS(M242),0),0)</f>
        <v>3150.9875583028115</v>
      </c>
      <c r="N243" s="60">
        <f t="shared" ref="N243" si="215">IF($A$64&lt;=N207,IF($B$64&gt;=N207,ABS(N242),0),0)</f>
        <v>3492.8121420675652</v>
      </c>
      <c r="O243" s="60">
        <f t="shared" ref="O243" si="216">IF($A$64&lt;=O207,IF($B$64&gt;=O207,ABS(O242),0),0)</f>
        <v>2551.2659056158113</v>
      </c>
      <c r="P243" s="60">
        <f t="shared" ref="P243" si="217">IF($A$64&lt;=P207,IF($B$64&gt;=P207,ABS(P242),0),0)</f>
        <v>3033.8603427662042</v>
      </c>
      <c r="Q243" s="60">
        <f t="shared" ref="Q243" si="218">IF($A$64&lt;=Q207,IF($B$64&gt;=Q207,ABS(Q242),0),0)</f>
        <v>2482.2819466052324</v>
      </c>
      <c r="R243" s="60">
        <f t="shared" ref="R243" si="219">IF($A$64&lt;=R207,IF($B$64&gt;=R207,ABS(R242),0),0)</f>
        <v>1994.7351845158109</v>
      </c>
      <c r="S243" s="60">
        <f t="shared" ref="S243" si="220">IF($A$64&lt;=S207,IF($B$64&gt;=S207,ABS(S242),0),0)</f>
        <v>146.47654990111693</v>
      </c>
      <c r="T243" s="60">
        <f t="shared" ref="T243" si="221">IF($A$64&lt;=T207,IF($B$64&gt;=T207,ABS(T242),0),0)</f>
        <v>9582.7529233277055</v>
      </c>
      <c r="U243" s="60">
        <f t="shared" ref="U243" si="222">IF($A$64&lt;=U207,IF($B$64&gt;=U207,ABS(U242),0),0)</f>
        <v>21952.037325696136</v>
      </c>
      <c r="V243" s="60">
        <f t="shared" ref="V243" si="223">IF($A$64&lt;=V207,IF($B$64&gt;=V207,ABS(V242),0),0)</f>
        <v>13654.404968029919</v>
      </c>
      <c r="W243" s="60">
        <f t="shared" ref="W243" si="224">IF($A$64&lt;=W207,IF($B$64&gt;=W207,ABS(W242),0),0)</f>
        <v>4287.8852126151496</v>
      </c>
      <c r="X243" s="60">
        <f t="shared" ref="X243" si="225">IF($A$64&lt;=X207,IF($B$64&gt;=X207,ABS(X242),0),0)</f>
        <v>1563.6048259136603</v>
      </c>
      <c r="Y243" s="60">
        <f t="shared" ref="Y243" si="226">IF($A$64&lt;=Y207,IF($B$64&gt;=Y207,ABS(Y242),0),0)</f>
        <v>4.4679684805042559</v>
      </c>
      <c r="Z243" s="60">
        <f t="shared" ref="Z243" si="227">IF($A$64&lt;=Z207,IF($B$64&gt;=Z207,ABS(Z242),0),0)</f>
        <v>1310.5639757591143</v>
      </c>
      <c r="AA243" s="60">
        <f t="shared" ref="AA243" si="228">IF($A$64&lt;=AA207,IF($B$64&gt;=AA207,ABS(AA242),0),0)</f>
        <v>1.6601392713175556</v>
      </c>
      <c r="AB243" s="60">
        <f t="shared" ref="AB243" si="229">IF($A$64&lt;=AB207,IF($B$64&gt;=AB207,ABS(AB242),0),0)</f>
        <v>51.744296939829766</v>
      </c>
      <c r="AC243" s="60">
        <f t="shared" ref="AC243" si="230">IF($A$64&lt;=AC207,IF($B$64&gt;=AC207,ABS(AC242),0),0)</f>
        <v>4.4196506442446051</v>
      </c>
      <c r="AD243" s="60">
        <f t="shared" ref="AD243" si="231">IF($A$64&lt;=AD207,IF($B$64&gt;=AD207,ABS(AD242),0),0)</f>
        <v>5.1250920841515271</v>
      </c>
      <c r="AE243" s="60">
        <f t="shared" ref="AE243" si="232">IF($A$64&lt;=AE207,IF($B$64&gt;=AE207,ABS(AE242),0),0)</f>
        <v>6.9184033685932931E-3</v>
      </c>
      <c r="AF243" s="60">
        <f t="shared" ref="AF243" si="233">IF($A$64&lt;=AF207,IF($B$64&gt;=AF207,ABS(AF242),0),0)</f>
        <v>1.1178338155391964E-2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9763.3496530273951</v>
      </c>
      <c r="C248" s="27">
        <f t="shared" ref="C248:AF248" si="234">($C$17+SUM(C249:C279))*$B$51</f>
        <v>9756.5092880401116</v>
      </c>
      <c r="D248" s="27">
        <f t="shared" si="234"/>
        <v>9692.9353532250279</v>
      </c>
      <c r="E248" s="27">
        <f t="shared" si="234"/>
        <v>9362.0543606468837</v>
      </c>
      <c r="F248" s="27">
        <f t="shared" si="234"/>
        <v>9109.1749701099907</v>
      </c>
      <c r="G248" s="27">
        <f t="shared" si="234"/>
        <v>8836.8427738124155</v>
      </c>
      <c r="H248" s="27">
        <f t="shared" si="234"/>
        <v>8561.0766942979662</v>
      </c>
      <c r="I248" s="27">
        <f t="shared" si="234"/>
        <v>8296.6957297135523</v>
      </c>
      <c r="J248" s="27">
        <f t="shared" si="234"/>
        <v>7990.7843734352928</v>
      </c>
      <c r="K248" s="27">
        <f t="shared" si="234"/>
        <v>7627.3223117365287</v>
      </c>
      <c r="L248" s="27">
        <f t="shared" si="234"/>
        <v>7252.5934736964264</v>
      </c>
      <c r="M248" s="27">
        <f t="shared" si="234"/>
        <v>6928.8118233549285</v>
      </c>
      <c r="N248" s="27">
        <f t="shared" si="234"/>
        <v>6647.9563049379803</v>
      </c>
      <c r="O248" s="27">
        <f t="shared" si="234"/>
        <v>6357.385203529012</v>
      </c>
      <c r="P248" s="27">
        <f t="shared" si="234"/>
        <v>6067.444420467612</v>
      </c>
      <c r="Q248" s="27">
        <f t="shared" si="234"/>
        <v>5786.9452366734395</v>
      </c>
      <c r="R248" s="27">
        <f t="shared" si="234"/>
        <v>5460.5021126331631</v>
      </c>
      <c r="S248" s="27">
        <f t="shared" si="234"/>
        <v>5050.8769347424413</v>
      </c>
      <c r="T248" s="27">
        <f t="shared" si="234"/>
        <v>4464.6384418588577</v>
      </c>
      <c r="U248" s="27">
        <f t="shared" si="234"/>
        <v>3816.2648992837221</v>
      </c>
      <c r="V248" s="27">
        <f t="shared" si="234"/>
        <v>3182.7225071167277</v>
      </c>
      <c r="W248" s="27">
        <f t="shared" si="234"/>
        <v>2588.3307704657491</v>
      </c>
      <c r="X248" s="27">
        <f t="shared" si="234"/>
        <v>1970.2531424181741</v>
      </c>
      <c r="Y248" s="27">
        <f t="shared" si="234"/>
        <v>1489.9779032028132</v>
      </c>
      <c r="Z248" s="27">
        <f t="shared" si="234"/>
        <v>1042.0720767172475</v>
      </c>
      <c r="AA248" s="27">
        <f t="shared" si="234"/>
        <v>789.64816879950138</v>
      </c>
      <c r="AB248" s="27">
        <f t="shared" si="234"/>
        <v>644.29062670378119</v>
      </c>
      <c r="AC248" s="27">
        <f t="shared" si="234"/>
        <v>579.57340191457467</v>
      </c>
      <c r="AD248" s="27">
        <f t="shared" si="234"/>
        <v>541.48746670630192</v>
      </c>
      <c r="AE248" s="27">
        <f t="shared" si="234"/>
        <v>518.40869446704687</v>
      </c>
      <c r="AF248" s="27">
        <f t="shared" si="234"/>
        <v>507.12338902919942</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4.3917596038863284E-2</v>
      </c>
      <c r="C250" s="3">
        <f t="shared" si="236"/>
        <v>4.3307669799131657E-2</v>
      </c>
      <c r="D250" s="3">
        <f t="shared" si="236"/>
        <v>3.7655410658761254E-2</v>
      </c>
      <c r="E250" s="3">
        <f t="shared" si="236"/>
        <v>9.2993608971623856E-3</v>
      </c>
      <c r="F250" s="3">
        <f t="shared" si="236"/>
        <v>7.8471191131860636E-9</v>
      </c>
      <c r="G250" s="3">
        <f t="shared" si="236"/>
        <v>1.436420746569601E-69</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1.7072519162445083E-2</v>
      </c>
      <c r="C251" s="3">
        <f t="shared" si="237"/>
        <v>1.7050994201726427E-2</v>
      </c>
      <c r="D251" s="3">
        <f t="shared" si="237"/>
        <v>1.6837231584998502E-2</v>
      </c>
      <c r="E251" s="3">
        <f t="shared" si="237"/>
        <v>1.4841591432772043E-2</v>
      </c>
      <c r="F251" s="3">
        <f t="shared" si="237"/>
        <v>4.2031833734126082E-3</v>
      </c>
      <c r="G251" s="3">
        <f t="shared" si="237"/>
        <v>1.394944706690587E-8</v>
      </c>
      <c r="H251" s="3">
        <f t="shared" si="237"/>
        <v>2.2612238139247184E-63</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3.0713576541546918E-2</v>
      </c>
      <c r="C252" s="3">
        <f t="shared" si="238"/>
        <v>3.0710081350238772E-2</v>
      </c>
      <c r="D252" s="3">
        <f t="shared" si="238"/>
        <v>3.0675151306007082E-2</v>
      </c>
      <c r="E252" s="3">
        <f t="shared" si="238"/>
        <v>3.0328028568049198E-2</v>
      </c>
      <c r="F252" s="3">
        <f t="shared" si="238"/>
        <v>2.7065674208498262E-2</v>
      </c>
      <c r="G252" s="3">
        <f t="shared" si="238"/>
        <v>8.6729240565652024E-3</v>
      </c>
      <c r="H252" s="3">
        <f t="shared" si="238"/>
        <v>9.8999381275791126E-8</v>
      </c>
      <c r="I252" s="3">
        <f t="shared" si="238"/>
        <v>3.7179354758429025E-57</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2.5231491063170918E-2</v>
      </c>
      <c r="C253" s="3">
        <f t="shared" si="239"/>
        <v>2.5231232031689324E-2</v>
      </c>
      <c r="D253" s="3">
        <f t="shared" si="239"/>
        <v>2.5228641863128638E-2</v>
      </c>
      <c r="E253" s="3">
        <f t="shared" si="239"/>
        <v>2.5202754797493863E-2</v>
      </c>
      <c r="F253" s="3">
        <f t="shared" si="239"/>
        <v>2.4945340600158312E-2</v>
      </c>
      <c r="G253" s="3">
        <f t="shared" si="239"/>
        <v>2.2511460810464227E-2</v>
      </c>
      <c r="H253" s="3">
        <f t="shared" si="239"/>
        <v>8.0639175355279365E-3</v>
      </c>
      <c r="I253" s="3">
        <f t="shared" si="239"/>
        <v>2.805240341316647E-7</v>
      </c>
      <c r="J253" s="3">
        <f t="shared" si="239"/>
        <v>7.2813189336612757E-52</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2.5043163150037243E-2</v>
      </c>
      <c r="C254" s="3">
        <f t="shared" si="240"/>
        <v>2.5043139957544175E-2</v>
      </c>
      <c r="D254" s="3">
        <f t="shared" si="240"/>
        <v>2.5042908033794786E-2</v>
      </c>
      <c r="E254" s="3">
        <f t="shared" si="240"/>
        <v>2.5040588914428754E-2</v>
      </c>
      <c r="F254" s="3">
        <f t="shared" si="240"/>
        <v>2.5017409529506429E-2</v>
      </c>
      <c r="G254" s="3">
        <f t="shared" si="240"/>
        <v>2.4786792517735089E-2</v>
      </c>
      <c r="H254" s="3">
        <f t="shared" si="240"/>
        <v>2.2594371579005845E-2</v>
      </c>
      <c r="I254" s="3">
        <f t="shared" si="240"/>
        <v>8.9495174578745687E-3</v>
      </c>
      <c r="J254" s="3">
        <f t="shared" si="240"/>
        <v>8.5073274217465665E-7</v>
      </c>
      <c r="K254" s="3">
        <f t="shared" si="240"/>
        <v>5.125407859828652E-47</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3.1858465201069129E-2</v>
      </c>
      <c r="C255" s="3">
        <f t="shared" si="241"/>
        <v>3.1858462539548257E-2</v>
      </c>
      <c r="D255" s="3">
        <f t="shared" si="241"/>
        <v>3.185843592435178E-2</v>
      </c>
      <c r="E255" s="3">
        <f t="shared" si="241"/>
        <v>3.1858169773609883E-2</v>
      </c>
      <c r="F255" s="3">
        <f t="shared" si="241"/>
        <v>3.1855508388478608E-2</v>
      </c>
      <c r="G255" s="3">
        <f t="shared" si="241"/>
        <v>3.1828906762155003E-2</v>
      </c>
      <c r="H255" s="3">
        <f t="shared" si="241"/>
        <v>3.1564109227454312E-2</v>
      </c>
      <c r="I255" s="3">
        <f t="shared" si="241"/>
        <v>2.9034322283443367E-2</v>
      </c>
      <c r="J255" s="3">
        <f t="shared" si="241"/>
        <v>1.2591957511728424E-2</v>
      </c>
      <c r="K255" s="3">
        <f t="shared" si="241"/>
        <v>2.9642089443241152E-6</v>
      </c>
      <c r="L255" s="3">
        <f t="shared" si="241"/>
        <v>1.5490464876639521E-42</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3.8271853417431757E-2</v>
      </c>
      <c r="C256" s="3">
        <f t="shared" si="242"/>
        <v>3.8271853129007938E-2</v>
      </c>
      <c r="D256" s="3">
        <f t="shared" si="242"/>
        <v>3.8271850244769826E-2</v>
      </c>
      <c r="E256" s="3">
        <f t="shared" si="242"/>
        <v>3.8271821402400708E-2</v>
      </c>
      <c r="F256" s="3">
        <f t="shared" si="242"/>
        <v>3.8271532979904981E-2</v>
      </c>
      <c r="G256" s="3">
        <f t="shared" si="242"/>
        <v>3.8268648874492883E-2</v>
      </c>
      <c r="H256" s="3">
        <f t="shared" si="242"/>
        <v>3.8239819771555252E-2</v>
      </c>
      <c r="I256" s="3">
        <f t="shared" si="242"/>
        <v>3.7952720534767941E-2</v>
      </c>
      <c r="J256" s="3">
        <f t="shared" si="242"/>
        <v>3.5197650173647288E-2</v>
      </c>
      <c r="K256" s="3">
        <f t="shared" si="242"/>
        <v>1.6566137084929312E-2</v>
      </c>
      <c r="L256" s="3">
        <f t="shared" si="242"/>
        <v>8.8368412571213357E-6</v>
      </c>
      <c r="M256" s="3">
        <f t="shared" si="242"/>
        <v>1.6483714361875796E-38</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3.6033705298028358E-2</v>
      </c>
      <c r="C257" s="3">
        <f t="shared" si="243"/>
        <v>3.603370527353169E-2</v>
      </c>
      <c r="D257" s="3">
        <f t="shared" si="243"/>
        <v>3.6033705028564934E-2</v>
      </c>
      <c r="E257" s="3">
        <f t="shared" si="243"/>
        <v>3.6033702578897486E-2</v>
      </c>
      <c r="F257" s="3">
        <f t="shared" si="243"/>
        <v>3.6033678082232186E-2</v>
      </c>
      <c r="G257" s="3">
        <f t="shared" si="243"/>
        <v>3.6033433116495081E-2</v>
      </c>
      <c r="H257" s="3">
        <f t="shared" si="243"/>
        <v>3.6030983550715698E-2</v>
      </c>
      <c r="I257" s="3">
        <f t="shared" si="243"/>
        <v>3.6006497049784376E-2</v>
      </c>
      <c r="J257" s="3">
        <f t="shared" si="243"/>
        <v>3.5762545427623811E-2</v>
      </c>
      <c r="K257" s="3">
        <f t="shared" si="243"/>
        <v>3.3412111606372842E-2</v>
      </c>
      <c r="L257" s="3">
        <f t="shared" si="243"/>
        <v>1.6930076975333504E-2</v>
      </c>
      <c r="M257" s="3">
        <f t="shared" si="243"/>
        <v>1.8889002568140241E-5</v>
      </c>
      <c r="N257" s="3">
        <f t="shared" si="243"/>
        <v>5.6455980592222252E-35</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2.6918166434359916E-2</v>
      </c>
      <c r="C258" s="3">
        <f t="shared" si="244"/>
        <v>2.6918166432709129E-2</v>
      </c>
      <c r="D258" s="3">
        <f t="shared" si="244"/>
        <v>2.6918166416201289E-2</v>
      </c>
      <c r="E258" s="3">
        <f t="shared" si="244"/>
        <v>2.6918166251122873E-2</v>
      </c>
      <c r="F258" s="3">
        <f t="shared" si="244"/>
        <v>2.6918164600338784E-2</v>
      </c>
      <c r="G258" s="3">
        <f t="shared" si="244"/>
        <v>2.6918148092503424E-2</v>
      </c>
      <c r="H258" s="3">
        <f t="shared" si="244"/>
        <v>2.6917983014706642E-2</v>
      </c>
      <c r="I258" s="3">
        <f t="shared" si="244"/>
        <v>2.6916332292417224E-2</v>
      </c>
      <c r="J258" s="3">
        <f t="shared" si="244"/>
        <v>2.6899830636101216E-2</v>
      </c>
      <c r="K258" s="3">
        <f t="shared" si="244"/>
        <v>2.6735369469733199E-2</v>
      </c>
      <c r="L258" s="3">
        <f t="shared" si="244"/>
        <v>2.5145057660891451E-2</v>
      </c>
      <c r="M258" s="3">
        <f t="shared" si="244"/>
        <v>1.3618117975854011E-2</v>
      </c>
      <c r="N258" s="3">
        <f t="shared" si="244"/>
        <v>2.9563895321976603E-5</v>
      </c>
      <c r="O258" s="3">
        <f t="shared" si="244"/>
        <v>6.8739646207589868E-32</v>
      </c>
      <c r="P258" s="3">
        <f t="shared" si="244"/>
        <v>3.1744146831890681E-298</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2.7316066250330253E-2</v>
      </c>
      <c r="C259" s="3">
        <f t="shared" si="245"/>
        <v>2.7316066250179141E-2</v>
      </c>
      <c r="D259" s="3">
        <f t="shared" si="245"/>
        <v>2.7316066248667982E-2</v>
      </c>
      <c r="E259" s="3">
        <f t="shared" si="245"/>
        <v>2.7316066233556414E-2</v>
      </c>
      <c r="F259" s="3">
        <f t="shared" si="245"/>
        <v>2.7316066082440721E-2</v>
      </c>
      <c r="G259" s="3">
        <f t="shared" si="245"/>
        <v>2.7316064571283844E-2</v>
      </c>
      <c r="H259" s="3">
        <f t="shared" si="245"/>
        <v>2.7316049459719702E-2</v>
      </c>
      <c r="I259" s="3">
        <f t="shared" si="245"/>
        <v>2.7315898344538053E-2</v>
      </c>
      <c r="J259" s="3">
        <f t="shared" si="245"/>
        <v>2.7314387238699941E-2</v>
      </c>
      <c r="K259" s="3">
        <f t="shared" si="245"/>
        <v>2.729928077721714E-2</v>
      </c>
      <c r="L259" s="3">
        <f t="shared" si="245"/>
        <v>2.7148674912678201E-2</v>
      </c>
      <c r="M259" s="3">
        <f t="shared" si="245"/>
        <v>2.5687566021065464E-2</v>
      </c>
      <c r="N259" s="3">
        <f t="shared" si="245"/>
        <v>1.4772912927890989E-2</v>
      </c>
      <c r="O259" s="3">
        <f t="shared" si="245"/>
        <v>5.8465270678091198E-5</v>
      </c>
      <c r="P259" s="3">
        <f t="shared" si="245"/>
        <v>5.5108200608130898E-29</v>
      </c>
      <c r="Q259" s="3">
        <f t="shared" si="245"/>
        <v>3.0506957051605383E-269</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2.9609291080509491E-2</v>
      </c>
      <c r="C260" s="3">
        <f t="shared" si="246"/>
        <v>2.9609291080494714E-2</v>
      </c>
      <c r="D260" s="3">
        <f t="shared" si="246"/>
        <v>2.9609291080346951E-2</v>
      </c>
      <c r="E260" s="3">
        <f t="shared" si="246"/>
        <v>2.960929107886932E-2</v>
      </c>
      <c r="F260" s="3">
        <f t="shared" si="246"/>
        <v>2.9609291064093012E-2</v>
      </c>
      <c r="G260" s="3">
        <f t="shared" si="246"/>
        <v>2.9609290916329904E-2</v>
      </c>
      <c r="H260" s="3">
        <f t="shared" si="246"/>
        <v>2.9609289438698901E-2</v>
      </c>
      <c r="I260" s="3">
        <f t="shared" si="246"/>
        <v>2.9609274662392899E-2</v>
      </c>
      <c r="J260" s="3">
        <f t="shared" si="246"/>
        <v>2.960912689973844E-2</v>
      </c>
      <c r="K260" s="3">
        <f t="shared" si="246"/>
        <v>2.960764931375014E-2</v>
      </c>
      <c r="L260" s="3">
        <f t="shared" si="246"/>
        <v>2.9592877508743322E-2</v>
      </c>
      <c r="M260" s="3">
        <f t="shared" si="246"/>
        <v>2.9445564198578068E-2</v>
      </c>
      <c r="N260" s="3">
        <f t="shared" si="246"/>
        <v>2.8012167622594245E-2</v>
      </c>
      <c r="O260" s="3">
        <f t="shared" si="246"/>
        <v>1.7006505340170022E-2</v>
      </c>
      <c r="P260" s="3">
        <f t="shared" si="246"/>
        <v>1.1569077036079654E-4</v>
      </c>
      <c r="Q260" s="3">
        <f t="shared" si="246"/>
        <v>2.455472330850787E-26</v>
      </c>
      <c r="R260" s="3">
        <f t="shared" si="246"/>
        <v>4.5551046834342109E-243</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2.5103127911926128E-2</v>
      </c>
      <c r="C261" s="3">
        <f t="shared" si="247"/>
        <v>2.5103127911924997E-2</v>
      </c>
      <c r="D261" s="3">
        <f t="shared" si="247"/>
        <v>2.5103127911913697E-2</v>
      </c>
      <c r="E261" s="3">
        <f t="shared" si="247"/>
        <v>2.5103127911800686E-2</v>
      </c>
      <c r="F261" s="3">
        <f t="shared" si="247"/>
        <v>2.5103127910670601E-2</v>
      </c>
      <c r="G261" s="3">
        <f t="shared" si="247"/>
        <v>2.5103127899369717E-2</v>
      </c>
      <c r="H261" s="3">
        <f t="shared" si="247"/>
        <v>2.5103127786360872E-2</v>
      </c>
      <c r="I261" s="3">
        <f t="shared" si="247"/>
        <v>2.510312665627247E-2</v>
      </c>
      <c r="J261" s="3">
        <f t="shared" si="247"/>
        <v>2.510311535539126E-2</v>
      </c>
      <c r="K261" s="3">
        <f t="shared" si="247"/>
        <v>2.5103002346858971E-2</v>
      </c>
      <c r="L261" s="3">
        <f t="shared" si="247"/>
        <v>2.5101872289516339E-2</v>
      </c>
      <c r="M261" s="3">
        <f t="shared" si="247"/>
        <v>2.5090574513649513E-2</v>
      </c>
      <c r="N261" s="3">
        <f t="shared" si="247"/>
        <v>2.4977876045515785E-2</v>
      </c>
      <c r="O261" s="3">
        <f t="shared" si="247"/>
        <v>2.3878360763278195E-2</v>
      </c>
      <c r="P261" s="3">
        <f t="shared" si="247"/>
        <v>1.5222800042025683E-2</v>
      </c>
      <c r="Q261" s="3">
        <f t="shared" si="247"/>
        <v>1.6880871988963309E-4</v>
      </c>
      <c r="R261" s="3">
        <f t="shared" si="247"/>
        <v>4.746770276832667E-24</v>
      </c>
      <c r="S261" s="3">
        <f t="shared" si="247"/>
        <v>1.4670049907646161E-219</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2.9852900565737826E-2</v>
      </c>
      <c r="C262" s="3">
        <f t="shared" si="248"/>
        <v>2.9852900565737705E-2</v>
      </c>
      <c r="D262" s="3">
        <f t="shared" si="248"/>
        <v>2.9852900565736494E-2</v>
      </c>
      <c r="E262" s="3">
        <f t="shared" si="248"/>
        <v>2.9852900565724372E-2</v>
      </c>
      <c r="F262" s="3">
        <f t="shared" si="248"/>
        <v>2.9852900565603139E-2</v>
      </c>
      <c r="G262" s="3">
        <f t="shared" si="248"/>
        <v>2.9852900564390817E-2</v>
      </c>
      <c r="H262" s="3">
        <f t="shared" si="248"/>
        <v>2.9852900552267601E-2</v>
      </c>
      <c r="I262" s="3">
        <f t="shared" si="248"/>
        <v>2.985290043103548E-2</v>
      </c>
      <c r="J262" s="3">
        <f t="shared" si="248"/>
        <v>2.9852899218714264E-2</v>
      </c>
      <c r="K262" s="3">
        <f t="shared" si="248"/>
        <v>2.9852887095504835E-2</v>
      </c>
      <c r="L262" s="3">
        <f t="shared" si="248"/>
        <v>2.9852765863681279E-2</v>
      </c>
      <c r="M262" s="3">
        <f t="shared" si="248"/>
        <v>2.9851553572522966E-2</v>
      </c>
      <c r="N262" s="3">
        <f t="shared" si="248"/>
        <v>2.9839433368256684E-2</v>
      </c>
      <c r="O262" s="3">
        <f t="shared" si="248"/>
        <v>2.9718501650926345E-2</v>
      </c>
      <c r="P262" s="3">
        <f t="shared" si="248"/>
        <v>2.8535815204237182E-2</v>
      </c>
      <c r="Q262" s="3">
        <f t="shared" si="248"/>
        <v>1.901183467793752E-2</v>
      </c>
      <c r="R262" s="3">
        <f t="shared" si="248"/>
        <v>3.2761326772711997E-4</v>
      </c>
      <c r="S262" s="3">
        <f t="shared" si="248"/>
        <v>7.5637297971078588E-22</v>
      </c>
      <c r="T262" s="3">
        <f t="shared" si="248"/>
        <v>3.2544773220769234E-198</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3.2229654464622864E-2</v>
      </c>
      <c r="C263" s="3">
        <f t="shared" si="249"/>
        <v>3.2229654464622851E-2</v>
      </c>
      <c r="D263" s="3">
        <f t="shared" si="249"/>
        <v>3.2229654464622733E-2</v>
      </c>
      <c r="E263" s="3">
        <f t="shared" si="249"/>
        <v>3.2229654464621553E-2</v>
      </c>
      <c r="F263" s="3">
        <f t="shared" si="249"/>
        <v>3.222965446460975E-2</v>
      </c>
      <c r="G263" s="3">
        <f t="shared" si="249"/>
        <v>3.2229654464491678E-2</v>
      </c>
      <c r="H263" s="3">
        <f t="shared" si="249"/>
        <v>3.2229654463310997E-2</v>
      </c>
      <c r="I263" s="3">
        <f t="shared" si="249"/>
        <v>3.2229654451504164E-2</v>
      </c>
      <c r="J263" s="3">
        <f t="shared" si="249"/>
        <v>3.2229654333435831E-2</v>
      </c>
      <c r="K263" s="3">
        <f t="shared" si="249"/>
        <v>3.2229653152752551E-2</v>
      </c>
      <c r="L263" s="3">
        <f t="shared" si="249"/>
        <v>3.2229641345922169E-2</v>
      </c>
      <c r="M263" s="3">
        <f t="shared" si="249"/>
        <v>3.2229523277856185E-2</v>
      </c>
      <c r="N263" s="3">
        <f t="shared" si="249"/>
        <v>3.2228342620984889E-2</v>
      </c>
      <c r="O263" s="3">
        <f t="shared" si="249"/>
        <v>3.2216538430801078E-2</v>
      </c>
      <c r="P263" s="3">
        <f t="shared" si="249"/>
        <v>3.2098734059799017E-2</v>
      </c>
      <c r="Q263" s="3">
        <f t="shared" si="249"/>
        <v>3.0944124605669185E-2</v>
      </c>
      <c r="R263" s="3">
        <f t="shared" si="249"/>
        <v>2.1452660860766023E-2</v>
      </c>
      <c r="S263" s="3">
        <f t="shared" si="249"/>
        <v>5.5018763616156206E-4</v>
      </c>
      <c r="T263" s="3">
        <f t="shared" si="249"/>
        <v>6.7734108915152247E-20</v>
      </c>
      <c r="U263" s="3">
        <f t="shared" si="249"/>
        <v>5.4171813242744591E-179</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5.4487827383483636E-2</v>
      </c>
      <c r="C264" s="3">
        <f t="shared" si="250"/>
        <v>5.4487827383483636E-2</v>
      </c>
      <c r="D264" s="3">
        <f t="shared" si="250"/>
        <v>5.4487827383483615E-2</v>
      </c>
      <c r="E264" s="3">
        <f t="shared" si="250"/>
        <v>5.4487827383483435E-2</v>
      </c>
      <c r="F264" s="3">
        <f t="shared" si="250"/>
        <v>5.4487827383481631E-2</v>
      </c>
      <c r="G264" s="3">
        <f t="shared" si="250"/>
        <v>5.4487827383463631E-2</v>
      </c>
      <c r="H264" s="3">
        <f t="shared" si="250"/>
        <v>5.4487827383283567E-2</v>
      </c>
      <c r="I264" s="3">
        <f t="shared" si="250"/>
        <v>5.4487827381482938E-2</v>
      </c>
      <c r="J264" s="3">
        <f t="shared" si="250"/>
        <v>5.4487827363476668E-2</v>
      </c>
      <c r="K264" s="3">
        <f t="shared" si="250"/>
        <v>5.4487827183413926E-2</v>
      </c>
      <c r="L264" s="3">
        <f t="shared" si="250"/>
        <v>5.4487825382786563E-2</v>
      </c>
      <c r="M264" s="3">
        <f t="shared" si="250"/>
        <v>5.4487807376516199E-2</v>
      </c>
      <c r="N264" s="3">
        <f t="shared" si="250"/>
        <v>5.4487627314139829E-2</v>
      </c>
      <c r="O264" s="3">
        <f t="shared" si="250"/>
        <v>5.4485826723103051E-2</v>
      </c>
      <c r="P264" s="3">
        <f t="shared" si="250"/>
        <v>5.4467824085026151E-2</v>
      </c>
      <c r="Q264" s="3">
        <f t="shared" si="250"/>
        <v>5.428812453359326E-2</v>
      </c>
      <c r="R264" s="3">
        <f t="shared" si="250"/>
        <v>5.2523415840782788E-2</v>
      </c>
      <c r="S264" s="3">
        <f t="shared" si="250"/>
        <v>3.7742807514346076E-2</v>
      </c>
      <c r="T264" s="3">
        <f t="shared" si="250"/>
        <v>1.3856278352274421E-3</v>
      </c>
      <c r="U264" s="3">
        <f t="shared" si="250"/>
        <v>6.1626934900053038E-18</v>
      </c>
      <c r="V264" s="3">
        <f t="shared" si="250"/>
        <v>1.8664237726048488E-161</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6.3046504540403295E-2</v>
      </c>
      <c r="C265" s="3">
        <f t="shared" si="251"/>
        <v>6.3046504540403295E-2</v>
      </c>
      <c r="D265" s="3">
        <f t="shared" si="251"/>
        <v>6.3046504540403295E-2</v>
      </c>
      <c r="E265" s="3">
        <f t="shared" si="251"/>
        <v>6.3046504540403267E-2</v>
      </c>
      <c r="F265" s="3">
        <f t="shared" si="251"/>
        <v>6.3046504540403087E-2</v>
      </c>
      <c r="G265" s="3">
        <f t="shared" si="251"/>
        <v>6.3046504540401213E-2</v>
      </c>
      <c r="H265" s="3">
        <f t="shared" si="251"/>
        <v>6.3046504540382409E-2</v>
      </c>
      <c r="I265" s="3">
        <f t="shared" si="251"/>
        <v>6.3046504540194476E-2</v>
      </c>
      <c r="J265" s="3">
        <f t="shared" si="251"/>
        <v>6.3046504538315007E-2</v>
      </c>
      <c r="K265" s="3">
        <f t="shared" si="251"/>
        <v>6.3046504519520458E-2</v>
      </c>
      <c r="L265" s="3">
        <f t="shared" si="251"/>
        <v>6.3046504331574951E-2</v>
      </c>
      <c r="M265" s="3">
        <f t="shared" si="251"/>
        <v>6.3046502452119818E-2</v>
      </c>
      <c r="N265" s="3">
        <f t="shared" si="251"/>
        <v>6.304648365757172E-2</v>
      </c>
      <c r="O265" s="3">
        <f t="shared" si="251"/>
        <v>6.3046295712398809E-2</v>
      </c>
      <c r="P265" s="3">
        <f t="shared" si="251"/>
        <v>6.3044416291484606E-2</v>
      </c>
      <c r="Q265" s="3">
        <f t="shared" si="251"/>
        <v>6.3025625163489293E-2</v>
      </c>
      <c r="R265" s="3">
        <f t="shared" si="251"/>
        <v>6.2838021658636195E-2</v>
      </c>
      <c r="S265" s="3">
        <f t="shared" si="251"/>
        <v>6.0992427336322506E-2</v>
      </c>
      <c r="T265" s="3">
        <f t="shared" si="251"/>
        <v>4.5269954297936815E-2</v>
      </c>
      <c r="U265" s="3">
        <f t="shared" si="251"/>
        <v>2.2969494730629442E-3</v>
      </c>
      <c r="V265" s="3">
        <f t="shared" si="251"/>
        <v>2.5975582829376941E-16</v>
      </c>
      <c r="W265" s="3">
        <f t="shared" si="251"/>
        <v>8.8859505069627675E-146</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6.2829439903481887E-2</v>
      </c>
      <c r="C266" s="3">
        <f t="shared" si="252"/>
        <v>6.2829439903481887E-2</v>
      </c>
      <c r="D266" s="3">
        <f t="shared" si="252"/>
        <v>6.2829439903481887E-2</v>
      </c>
      <c r="E266" s="3">
        <f t="shared" si="252"/>
        <v>6.2829439903481887E-2</v>
      </c>
      <c r="F266" s="3">
        <f t="shared" si="252"/>
        <v>6.282943990348186E-2</v>
      </c>
      <c r="G266" s="3">
        <f t="shared" si="252"/>
        <v>6.2829439903481693E-2</v>
      </c>
      <c r="H266" s="3">
        <f t="shared" si="252"/>
        <v>6.2829439903480014E-2</v>
      </c>
      <c r="I266" s="3">
        <f t="shared" si="252"/>
        <v>6.2829439903463111E-2</v>
      </c>
      <c r="J266" s="3">
        <f t="shared" si="252"/>
        <v>6.2829439903294163E-2</v>
      </c>
      <c r="K266" s="3">
        <f t="shared" si="252"/>
        <v>6.282943990160457E-2</v>
      </c>
      <c r="L266" s="3">
        <f t="shared" si="252"/>
        <v>6.2829439884708682E-2</v>
      </c>
      <c r="M266" s="3">
        <f t="shared" si="252"/>
        <v>6.2829439715749918E-2</v>
      </c>
      <c r="N266" s="3">
        <f t="shared" si="252"/>
        <v>6.2829438026162268E-2</v>
      </c>
      <c r="O266" s="3">
        <f t="shared" si="252"/>
        <v>6.282942113028829E-2</v>
      </c>
      <c r="P266" s="3">
        <f t="shared" si="252"/>
        <v>6.2829252171798342E-2</v>
      </c>
      <c r="Q266" s="3">
        <f t="shared" si="252"/>
        <v>6.2827562611888307E-2</v>
      </c>
      <c r="R266" s="3">
        <f t="shared" si="252"/>
        <v>6.2810669511481274E-2</v>
      </c>
      <c r="S266" s="3">
        <f t="shared" si="252"/>
        <v>6.2641988128303586E-2</v>
      </c>
      <c r="T266" s="3">
        <f t="shared" si="252"/>
        <v>6.0979889791629292E-2</v>
      </c>
      <c r="U266" s="3">
        <f t="shared" si="252"/>
        <v>4.6601259824180688E-2</v>
      </c>
      <c r="V266" s="3">
        <f t="shared" si="252"/>
        <v>3.1659779256044511E-3</v>
      </c>
      <c r="W266" s="3">
        <f t="shared" si="252"/>
        <v>6.631474912631492E-15</v>
      </c>
      <c r="X266" s="3">
        <f t="shared" si="252"/>
        <v>1.0780343922133885E-131</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5.5245188990655253E-2</v>
      </c>
      <c r="C267" s="3">
        <f t="shared" si="253"/>
        <v>5.5245188990655253E-2</v>
      </c>
      <c r="D267" s="3">
        <f t="shared" si="253"/>
        <v>5.5245188990655253E-2</v>
      </c>
      <c r="E267" s="3">
        <f t="shared" si="253"/>
        <v>5.5245188990655253E-2</v>
      </c>
      <c r="F267" s="3">
        <f t="shared" si="253"/>
        <v>5.5245188990655253E-2</v>
      </c>
      <c r="G267" s="3">
        <f t="shared" si="253"/>
        <v>5.5245188990655239E-2</v>
      </c>
      <c r="H267" s="3">
        <f t="shared" si="253"/>
        <v>5.5245188990655107E-2</v>
      </c>
      <c r="I267" s="3">
        <f t="shared" si="253"/>
        <v>5.5245188990653761E-2</v>
      </c>
      <c r="J267" s="3">
        <f t="shared" si="253"/>
        <v>5.5245188990640362E-2</v>
      </c>
      <c r="K267" s="3">
        <f t="shared" si="253"/>
        <v>5.5245188990506344E-2</v>
      </c>
      <c r="L267" s="3">
        <f t="shared" si="253"/>
        <v>5.524518898916618E-2</v>
      </c>
      <c r="M267" s="3">
        <f t="shared" si="253"/>
        <v>5.5245188975764518E-2</v>
      </c>
      <c r="N267" s="3">
        <f t="shared" si="253"/>
        <v>5.5245188841747915E-2</v>
      </c>
      <c r="O267" s="3">
        <f t="shared" si="253"/>
        <v>5.524518750158193E-2</v>
      </c>
      <c r="P267" s="3">
        <f t="shared" si="253"/>
        <v>5.5245174099923799E-2</v>
      </c>
      <c r="Q267" s="3">
        <f t="shared" si="253"/>
        <v>5.524504008352131E-2</v>
      </c>
      <c r="R267" s="3">
        <f t="shared" si="253"/>
        <v>5.5243699937377017E-2</v>
      </c>
      <c r="S267" s="3">
        <f t="shared" si="253"/>
        <v>5.5230300263829475E-2</v>
      </c>
      <c r="T267" s="3">
        <f t="shared" si="253"/>
        <v>5.5096482157525675E-2</v>
      </c>
      <c r="U267" s="3">
        <f t="shared" si="253"/>
        <v>5.3776004715420343E-2</v>
      </c>
      <c r="V267" s="3">
        <f t="shared" si="253"/>
        <v>4.2192490335147846E-2</v>
      </c>
      <c r="W267" s="3">
        <f t="shared" si="253"/>
        <v>3.7299363717581743E-3</v>
      </c>
      <c r="X267" s="3">
        <f t="shared" si="253"/>
        <v>1.0873367353712069E-13</v>
      </c>
      <c r="Y267" s="3">
        <f t="shared" si="253"/>
        <v>4.8193718376801906E-119</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6.6645884688751614E-2</v>
      </c>
      <c r="C268" s="3">
        <f t="shared" si="254"/>
        <v>6.6645884688751614E-2</v>
      </c>
      <c r="D268" s="3">
        <f t="shared" si="254"/>
        <v>6.6645884688751614E-2</v>
      </c>
      <c r="E268" s="3">
        <f t="shared" si="254"/>
        <v>6.6645884688751614E-2</v>
      </c>
      <c r="F268" s="3">
        <f t="shared" si="254"/>
        <v>6.6645884688751614E-2</v>
      </c>
      <c r="G268" s="3">
        <f t="shared" si="254"/>
        <v>6.6645884688751614E-2</v>
      </c>
      <c r="H268" s="3">
        <f t="shared" si="254"/>
        <v>6.66458846887516E-2</v>
      </c>
      <c r="I268" s="3">
        <f t="shared" si="254"/>
        <v>6.6645884688751447E-2</v>
      </c>
      <c r="J268" s="3">
        <f t="shared" si="254"/>
        <v>6.664588468874999E-2</v>
      </c>
      <c r="K268" s="3">
        <f t="shared" si="254"/>
        <v>6.6645884688735404E-2</v>
      </c>
      <c r="L268" s="3">
        <f t="shared" si="254"/>
        <v>6.6645884688589563E-2</v>
      </c>
      <c r="M268" s="3">
        <f t="shared" si="254"/>
        <v>6.6645884687131146E-2</v>
      </c>
      <c r="N268" s="3">
        <f t="shared" si="254"/>
        <v>6.6645884672546896E-2</v>
      </c>
      <c r="O268" s="3">
        <f t="shared" si="254"/>
        <v>6.6645884526704405E-2</v>
      </c>
      <c r="P268" s="3">
        <f t="shared" si="254"/>
        <v>6.6645883068279552E-2</v>
      </c>
      <c r="Q268" s="3">
        <f t="shared" si="254"/>
        <v>6.6645868484032714E-2</v>
      </c>
      <c r="R268" s="3">
        <f t="shared" si="254"/>
        <v>6.6645722641739888E-2</v>
      </c>
      <c r="S268" s="3">
        <f t="shared" si="254"/>
        <v>6.6644264236364756E-2</v>
      </c>
      <c r="T268" s="3">
        <f t="shared" si="254"/>
        <v>6.6629681937780308E-2</v>
      </c>
      <c r="U268" s="3">
        <f t="shared" si="254"/>
        <v>6.6484034326592847E-2</v>
      </c>
      <c r="V268" s="3">
        <f t="shared" si="254"/>
        <v>6.5044954510731862E-2</v>
      </c>
      <c r="W268" s="3">
        <f t="shared" si="254"/>
        <v>5.2260806399571147E-2</v>
      </c>
      <c r="X268" s="3">
        <f t="shared" si="254"/>
        <v>5.858696909846038E-3</v>
      </c>
      <c r="Y268" s="3">
        <f t="shared" si="254"/>
        <v>1.8367509554460259E-12</v>
      </c>
      <c r="Z268" s="3">
        <f t="shared" si="254"/>
        <v>1.6847780977575077E-107</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2.5869055396656026E-2</v>
      </c>
      <c r="C269" s="3">
        <f t="shared" si="255"/>
        <v>2.5869055396656026E-2</v>
      </c>
      <c r="D269" s="3">
        <f t="shared" si="255"/>
        <v>2.5869055396656026E-2</v>
      </c>
      <c r="E269" s="3">
        <f t="shared" si="255"/>
        <v>2.5869055396656026E-2</v>
      </c>
      <c r="F269" s="3">
        <f t="shared" si="255"/>
        <v>2.5869055396656026E-2</v>
      </c>
      <c r="G269" s="3">
        <f t="shared" si="255"/>
        <v>2.5869055396656026E-2</v>
      </c>
      <c r="H269" s="3">
        <f t="shared" si="255"/>
        <v>2.5869055396656026E-2</v>
      </c>
      <c r="I269" s="3">
        <f t="shared" si="255"/>
        <v>2.5869055396656019E-2</v>
      </c>
      <c r="J269" s="3">
        <f t="shared" si="255"/>
        <v>2.5869055396655967E-2</v>
      </c>
      <c r="K269" s="3">
        <f t="shared" si="255"/>
        <v>2.5869055396655457E-2</v>
      </c>
      <c r="L269" s="3">
        <f t="shared" si="255"/>
        <v>2.586905539665035E-2</v>
      </c>
      <c r="M269" s="3">
        <f t="shared" si="255"/>
        <v>2.5869055396599287E-2</v>
      </c>
      <c r="N269" s="3">
        <f t="shared" si="255"/>
        <v>2.5869055396088615E-2</v>
      </c>
      <c r="O269" s="3">
        <f t="shared" si="255"/>
        <v>2.5869055390981947E-2</v>
      </c>
      <c r="P269" s="3">
        <f t="shared" si="255"/>
        <v>2.5869055339915237E-2</v>
      </c>
      <c r="Q269" s="3">
        <f t="shared" si="255"/>
        <v>2.5869054829248131E-2</v>
      </c>
      <c r="R269" s="3">
        <f t="shared" si="255"/>
        <v>2.5869049722577638E-2</v>
      </c>
      <c r="S269" s="3">
        <f t="shared" si="255"/>
        <v>2.5868998655928132E-2</v>
      </c>
      <c r="T269" s="3">
        <f t="shared" si="255"/>
        <v>2.5868487994977495E-2</v>
      </c>
      <c r="U269" s="3">
        <f t="shared" si="255"/>
        <v>2.5863381939870395E-2</v>
      </c>
      <c r="V269" s="3">
        <f t="shared" si="255"/>
        <v>2.5812376788254748E-2</v>
      </c>
      <c r="W269" s="3">
        <f t="shared" si="255"/>
        <v>2.5307824966806846E-2</v>
      </c>
      <c r="X269" s="3">
        <f t="shared" si="255"/>
        <v>2.0774141429774715E-2</v>
      </c>
      <c r="Y269" s="3">
        <f t="shared" si="255"/>
        <v>2.8853978385013283E-3</v>
      </c>
      <c r="Z269" s="3">
        <f t="shared" si="255"/>
        <v>7.7096006702033135E-12</v>
      </c>
      <c r="AA269" s="3">
        <f t="shared" si="255"/>
        <v>1.4298606017699782E-97</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4.8591449840458205E-2</v>
      </c>
      <c r="C270" s="3">
        <f t="shared" si="256"/>
        <v>4.8591449840458205E-2</v>
      </c>
      <c r="D270" s="3">
        <f t="shared" si="256"/>
        <v>4.8591449840458205E-2</v>
      </c>
      <c r="E270" s="3">
        <f t="shared" si="256"/>
        <v>4.8591449840458205E-2</v>
      </c>
      <c r="F270" s="3">
        <f t="shared" si="256"/>
        <v>4.8591449840458205E-2</v>
      </c>
      <c r="G270" s="3">
        <f t="shared" si="256"/>
        <v>4.8591449840458205E-2</v>
      </c>
      <c r="H270" s="3">
        <f t="shared" si="256"/>
        <v>4.8591449840458205E-2</v>
      </c>
      <c r="I270" s="3">
        <f t="shared" si="256"/>
        <v>4.8591449840458198E-2</v>
      </c>
      <c r="J270" s="3">
        <f t="shared" si="256"/>
        <v>4.8591449840458177E-2</v>
      </c>
      <c r="K270" s="3">
        <f t="shared" si="256"/>
        <v>4.8591449840457906E-2</v>
      </c>
      <c r="L270" s="3">
        <f t="shared" si="256"/>
        <v>4.8591449840455263E-2</v>
      </c>
      <c r="M270" s="3">
        <f t="shared" si="256"/>
        <v>4.8591449840428728E-2</v>
      </c>
      <c r="N270" s="3">
        <f t="shared" si="256"/>
        <v>4.8591449840163434E-2</v>
      </c>
      <c r="O270" s="3">
        <f t="shared" si="256"/>
        <v>4.8591449837510479E-2</v>
      </c>
      <c r="P270" s="3">
        <f t="shared" si="256"/>
        <v>4.8591449810980916E-2</v>
      </c>
      <c r="Q270" s="3">
        <f t="shared" si="256"/>
        <v>4.8591449545685325E-2</v>
      </c>
      <c r="R270" s="3">
        <f t="shared" si="256"/>
        <v>4.8591446892729477E-2</v>
      </c>
      <c r="S270" s="3">
        <f t="shared" si="256"/>
        <v>4.8591420363178948E-2</v>
      </c>
      <c r="T270" s="3">
        <f t="shared" si="256"/>
        <v>4.8591155068470351E-2</v>
      </c>
      <c r="U270" s="3">
        <f t="shared" si="256"/>
        <v>4.858850220104672E-2</v>
      </c>
      <c r="V270" s="3">
        <f t="shared" si="256"/>
        <v>4.8561981491437159E-2</v>
      </c>
      <c r="W270" s="3">
        <f t="shared" si="256"/>
        <v>4.8297569251436988E-2</v>
      </c>
      <c r="X270" s="3">
        <f t="shared" si="256"/>
        <v>4.5731349955603649E-2</v>
      </c>
      <c r="Y270" s="3">
        <f t="shared" si="256"/>
        <v>2.649119192814519E-2</v>
      </c>
      <c r="Z270" s="3">
        <f t="shared" si="256"/>
        <v>1.1271358778110568E-4</v>
      </c>
      <c r="AA270" s="3">
        <f t="shared" si="256"/>
        <v>2.1914119370481799E-28</v>
      </c>
      <c r="AB270" s="3">
        <f t="shared" si="256"/>
        <v>1.6912254794746623E-265</v>
      </c>
      <c r="AC270" s="3">
        <f t="shared" si="256"/>
        <v>0</v>
      </c>
      <c r="AD270" s="3">
        <f t="shared" si="256"/>
        <v>0</v>
      </c>
      <c r="AE270" s="3">
        <f t="shared" si="256"/>
        <v>0</v>
      </c>
      <c r="AF270" s="3">
        <f t="shared" si="256"/>
        <v>0</v>
      </c>
      <c r="AG270" s="3"/>
      <c r="AH270" s="3"/>
    </row>
    <row r="271" spans="2:34" x14ac:dyDescent="0.25">
      <c r="B271" s="3">
        <f t="shared" ref="B271:AF271" si="257">$C40*EXP(-B$246/$A40/EXP(-$E$126))</f>
        <v>2.853497416803049E-2</v>
      </c>
      <c r="C271" s="3">
        <f t="shared" si="257"/>
        <v>2.853497416803049E-2</v>
      </c>
      <c r="D271" s="3">
        <f t="shared" si="257"/>
        <v>2.853497416803049E-2</v>
      </c>
      <c r="E271" s="3">
        <f t="shared" si="257"/>
        <v>2.853497416803049E-2</v>
      </c>
      <c r="F271" s="3">
        <f t="shared" si="257"/>
        <v>2.853497416803049E-2</v>
      </c>
      <c r="G271" s="3">
        <f t="shared" si="257"/>
        <v>2.853497416803049E-2</v>
      </c>
      <c r="H271" s="3">
        <f t="shared" si="257"/>
        <v>2.853497416803049E-2</v>
      </c>
      <c r="I271" s="3">
        <f t="shared" si="257"/>
        <v>2.853497416803049E-2</v>
      </c>
      <c r="J271" s="3">
        <f t="shared" si="257"/>
        <v>2.8534974168030487E-2</v>
      </c>
      <c r="K271" s="3">
        <f t="shared" si="257"/>
        <v>2.8534974168030473E-2</v>
      </c>
      <c r="L271" s="3">
        <f t="shared" si="257"/>
        <v>2.8534974168030316E-2</v>
      </c>
      <c r="M271" s="3">
        <f t="shared" si="257"/>
        <v>2.8534974168028759E-2</v>
      </c>
      <c r="N271" s="3">
        <f t="shared" si="257"/>
        <v>2.8534974168013181E-2</v>
      </c>
      <c r="O271" s="3">
        <f t="shared" si="257"/>
        <v>2.8534974167857385E-2</v>
      </c>
      <c r="P271" s="3">
        <f t="shared" si="257"/>
        <v>2.8534974166299458E-2</v>
      </c>
      <c r="Q271" s="3">
        <f t="shared" si="257"/>
        <v>2.8534974150720167E-2</v>
      </c>
      <c r="R271" s="3">
        <f t="shared" si="257"/>
        <v>2.8534973994927267E-2</v>
      </c>
      <c r="S271" s="3">
        <f t="shared" si="257"/>
        <v>2.8534972436998315E-2</v>
      </c>
      <c r="T271" s="3">
        <f t="shared" si="257"/>
        <v>2.8534956857713453E-2</v>
      </c>
      <c r="U271" s="3">
        <f t="shared" si="257"/>
        <v>2.8534801065332661E-2</v>
      </c>
      <c r="V271" s="3">
        <f t="shared" si="257"/>
        <v>2.8533243188305874E-2</v>
      </c>
      <c r="W271" s="3">
        <f t="shared" si="257"/>
        <v>2.8517669095206959E-2</v>
      </c>
      <c r="X271" s="3">
        <f t="shared" si="257"/>
        <v>2.8362394937656844E-2</v>
      </c>
      <c r="Y271" s="3">
        <f t="shared" si="257"/>
        <v>2.6855401391332662E-2</v>
      </c>
      <c r="Z271" s="3">
        <f t="shared" si="257"/>
        <v>1.5556759056004999E-2</v>
      </c>
      <c r="AA271" s="3">
        <f t="shared" si="257"/>
        <v>6.6190231538264366E-5</v>
      </c>
      <c r="AB271" s="3">
        <f t="shared" si="257"/>
        <v>1.2868906612273624E-28</v>
      </c>
      <c r="AC271" s="3">
        <f t="shared" si="257"/>
        <v>9.9315981572015177E-266</v>
      </c>
      <c r="AD271" s="3">
        <f t="shared" si="257"/>
        <v>0</v>
      </c>
      <c r="AE271" s="3">
        <f t="shared" si="257"/>
        <v>0</v>
      </c>
      <c r="AF271" s="3">
        <f t="shared" si="257"/>
        <v>0</v>
      </c>
      <c r="AG271" s="3"/>
      <c r="AH271" s="3"/>
    </row>
    <row r="272" spans="2:34" x14ac:dyDescent="0.25">
      <c r="B272" s="3">
        <f t="shared" ref="B272:AF272" si="258">$C41*EXP(-B$246/$A41/EXP(-$E$126))</f>
        <v>1.8710063230340357E-2</v>
      </c>
      <c r="C272" s="3">
        <f t="shared" si="258"/>
        <v>1.8710063230340357E-2</v>
      </c>
      <c r="D272" s="3">
        <f t="shared" si="258"/>
        <v>1.8710063230340357E-2</v>
      </c>
      <c r="E272" s="3">
        <f t="shared" si="258"/>
        <v>1.8710063230340357E-2</v>
      </c>
      <c r="F272" s="3">
        <f t="shared" si="258"/>
        <v>1.8710063230340357E-2</v>
      </c>
      <c r="G272" s="3">
        <f t="shared" si="258"/>
        <v>1.8710063230340357E-2</v>
      </c>
      <c r="H272" s="3">
        <f t="shared" si="258"/>
        <v>1.8710063230340357E-2</v>
      </c>
      <c r="I272" s="3">
        <f t="shared" si="258"/>
        <v>1.8710063230340357E-2</v>
      </c>
      <c r="J272" s="3">
        <f t="shared" si="258"/>
        <v>1.8710063230340357E-2</v>
      </c>
      <c r="K272" s="3">
        <f t="shared" si="258"/>
        <v>1.8710063230340353E-2</v>
      </c>
      <c r="L272" s="3">
        <f t="shared" si="258"/>
        <v>1.8710063230340346E-2</v>
      </c>
      <c r="M272" s="3">
        <f t="shared" si="258"/>
        <v>1.8710063230340242E-2</v>
      </c>
      <c r="N272" s="3">
        <f t="shared" si="258"/>
        <v>1.8710063230339222E-2</v>
      </c>
      <c r="O272" s="3">
        <f t="shared" si="258"/>
        <v>1.8710063230329008E-2</v>
      </c>
      <c r="P272" s="3">
        <f t="shared" si="258"/>
        <v>1.8710063230226854E-2</v>
      </c>
      <c r="Q272" s="3">
        <f t="shared" si="258"/>
        <v>1.8710063229205338E-2</v>
      </c>
      <c r="R272" s="3">
        <f t="shared" si="258"/>
        <v>1.8710063218990172E-2</v>
      </c>
      <c r="S272" s="3">
        <f t="shared" si="258"/>
        <v>1.871006311683851E-2</v>
      </c>
      <c r="T272" s="3">
        <f t="shared" si="258"/>
        <v>1.871006209532193E-2</v>
      </c>
      <c r="U272" s="3">
        <f t="shared" si="258"/>
        <v>1.8710051880159194E-2</v>
      </c>
      <c r="V272" s="3">
        <f t="shared" si="258"/>
        <v>1.8709949728838562E-2</v>
      </c>
      <c r="W272" s="3">
        <f t="shared" si="258"/>
        <v>1.8708928246306124E-2</v>
      </c>
      <c r="X272" s="3">
        <f t="shared" si="258"/>
        <v>1.8698716487749061E-2</v>
      </c>
      <c r="Y272" s="3">
        <f t="shared" si="258"/>
        <v>1.8596904960298814E-2</v>
      </c>
      <c r="Z272" s="3">
        <f t="shared" si="258"/>
        <v>1.760878615656673E-2</v>
      </c>
      <c r="AA272" s="3">
        <f t="shared" si="258"/>
        <v>1.0200392819108456E-2</v>
      </c>
      <c r="AB272" s="3">
        <f t="shared" si="258"/>
        <v>4.3400194092317689E-5</v>
      </c>
      <c r="AC272" s="3">
        <f t="shared" si="258"/>
        <v>8.43799805120354E-29</v>
      </c>
      <c r="AD272" s="3">
        <f t="shared" si="258"/>
        <v>6.5120377682962409E-266</v>
      </c>
      <c r="AE272" s="3">
        <f t="shared" si="258"/>
        <v>0</v>
      </c>
      <c r="AF272" s="3">
        <f t="shared" si="258"/>
        <v>0</v>
      </c>
      <c r="AG272" s="3"/>
      <c r="AH272" s="3"/>
    </row>
    <row r="273" spans="1:34" x14ac:dyDescent="0.25">
      <c r="B273" s="3">
        <f t="shared" ref="B273:AF273" si="259">$C42*EXP(-B$246/$A42/EXP(-$E$126))</f>
        <v>7.6798609611155137E-3</v>
      </c>
      <c r="C273" s="3">
        <f t="shared" si="259"/>
        <v>7.6798609611155137E-3</v>
      </c>
      <c r="D273" s="3">
        <f t="shared" si="259"/>
        <v>7.6798609611155137E-3</v>
      </c>
      <c r="E273" s="3">
        <f t="shared" si="259"/>
        <v>7.6798609611155137E-3</v>
      </c>
      <c r="F273" s="3">
        <f t="shared" si="259"/>
        <v>7.6798609611155137E-3</v>
      </c>
      <c r="G273" s="3">
        <f t="shared" si="259"/>
        <v>7.6798609611155137E-3</v>
      </c>
      <c r="H273" s="3">
        <f t="shared" si="259"/>
        <v>7.6798609611155137E-3</v>
      </c>
      <c r="I273" s="3">
        <f t="shared" si="259"/>
        <v>7.6798609611155137E-3</v>
      </c>
      <c r="J273" s="3">
        <f t="shared" si="259"/>
        <v>7.6798609611155137E-3</v>
      </c>
      <c r="K273" s="3">
        <f t="shared" si="259"/>
        <v>7.6798609611155137E-3</v>
      </c>
      <c r="L273" s="3">
        <f t="shared" si="259"/>
        <v>7.6798609611155129E-3</v>
      </c>
      <c r="M273" s="3">
        <f t="shared" si="259"/>
        <v>7.6798609611155094E-3</v>
      </c>
      <c r="N273" s="3">
        <f t="shared" si="259"/>
        <v>7.6798609611154669E-3</v>
      </c>
      <c r="O273" s="3">
        <f t="shared" si="259"/>
        <v>7.679860961115048E-3</v>
      </c>
      <c r="P273" s="3">
        <f t="shared" si="259"/>
        <v>7.6798609611108551E-3</v>
      </c>
      <c r="Q273" s="3">
        <f t="shared" si="259"/>
        <v>7.6798609610689251E-3</v>
      </c>
      <c r="R273" s="3">
        <f t="shared" si="259"/>
        <v>7.6798609606496268E-3</v>
      </c>
      <c r="S273" s="3">
        <f t="shared" si="259"/>
        <v>7.6798609564566389E-3</v>
      </c>
      <c r="T273" s="3">
        <f t="shared" si="259"/>
        <v>7.679860914526767E-3</v>
      </c>
      <c r="U273" s="3">
        <f t="shared" si="259"/>
        <v>7.679860495228061E-3</v>
      </c>
      <c r="V273" s="3">
        <f t="shared" si="259"/>
        <v>7.6798563022422561E-3</v>
      </c>
      <c r="W273" s="3">
        <f t="shared" si="259"/>
        <v>7.6798143725101235E-3</v>
      </c>
      <c r="X273" s="3">
        <f t="shared" si="259"/>
        <v>7.6793950877794013E-3</v>
      </c>
      <c r="Y273" s="3">
        <f t="shared" si="259"/>
        <v>7.675203499278538E-3</v>
      </c>
      <c r="Z273" s="3">
        <f t="shared" si="259"/>
        <v>7.6334132409864785E-3</v>
      </c>
      <c r="AA273" s="3">
        <f t="shared" si="259"/>
        <v>7.227823215324755E-3</v>
      </c>
      <c r="AB273" s="3">
        <f t="shared" si="259"/>
        <v>4.1869232420594553E-3</v>
      </c>
      <c r="AC273" s="3">
        <f t="shared" si="259"/>
        <v>1.7814341523653073E-5</v>
      </c>
      <c r="AD273" s="3">
        <f t="shared" si="259"/>
        <v>3.4635185902697784E-29</v>
      </c>
      <c r="AE273" s="3">
        <f t="shared" si="259"/>
        <v>2.6729757146383697E-266</v>
      </c>
      <c r="AF273" s="3">
        <f t="shared" si="259"/>
        <v>0</v>
      </c>
      <c r="AG273" s="3"/>
      <c r="AH273" s="3"/>
    </row>
    <row r="274" spans="1:34" x14ac:dyDescent="0.25">
      <c r="B274" s="3">
        <f t="shared" ref="B274:AF274" si="260">$C43*EXP(-B$246/$A43/EXP(-$E$126))</f>
        <v>4.1102249961922147E-3</v>
      </c>
      <c r="C274" s="3">
        <f t="shared" si="260"/>
        <v>4.1102249961922147E-3</v>
      </c>
      <c r="D274" s="3">
        <f t="shared" si="260"/>
        <v>4.1102249961922147E-3</v>
      </c>
      <c r="E274" s="3">
        <f t="shared" si="260"/>
        <v>4.1102249961922147E-3</v>
      </c>
      <c r="F274" s="3">
        <f t="shared" si="260"/>
        <v>4.1102249961922147E-3</v>
      </c>
      <c r="G274" s="3">
        <f t="shared" si="260"/>
        <v>4.1102249961922147E-3</v>
      </c>
      <c r="H274" s="3">
        <f t="shared" si="260"/>
        <v>4.1102249961922147E-3</v>
      </c>
      <c r="I274" s="3">
        <f t="shared" si="260"/>
        <v>4.1102249961922147E-3</v>
      </c>
      <c r="J274" s="3">
        <f t="shared" si="260"/>
        <v>4.1102249961922147E-3</v>
      </c>
      <c r="K274" s="3">
        <f t="shared" si="260"/>
        <v>4.1102249961922147E-3</v>
      </c>
      <c r="L274" s="3">
        <f t="shared" si="260"/>
        <v>4.1102249961922147E-3</v>
      </c>
      <c r="M274" s="3">
        <f t="shared" si="260"/>
        <v>4.1102249961922138E-3</v>
      </c>
      <c r="N274" s="3">
        <f t="shared" si="260"/>
        <v>4.1102249961922121E-3</v>
      </c>
      <c r="O274" s="3">
        <f t="shared" si="260"/>
        <v>4.1102249961921895E-3</v>
      </c>
      <c r="P274" s="3">
        <f t="shared" si="260"/>
        <v>4.1102249961919657E-3</v>
      </c>
      <c r="Q274" s="3">
        <f t="shared" si="260"/>
        <v>4.110224996189721E-3</v>
      </c>
      <c r="R274" s="3">
        <f t="shared" si="260"/>
        <v>4.1102249961672806E-3</v>
      </c>
      <c r="S274" s="3">
        <f t="shared" si="260"/>
        <v>4.1102249959428742E-3</v>
      </c>
      <c r="T274" s="3">
        <f t="shared" si="260"/>
        <v>4.1102249936988073E-3</v>
      </c>
      <c r="U274" s="3">
        <f t="shared" si="260"/>
        <v>4.1102249712581399E-3</v>
      </c>
      <c r="V274" s="3">
        <f t="shared" si="260"/>
        <v>4.1102247468514696E-3</v>
      </c>
      <c r="W274" s="3">
        <f t="shared" si="260"/>
        <v>4.1102225027854445E-3</v>
      </c>
      <c r="X274" s="3">
        <f t="shared" si="260"/>
        <v>4.110200062192578E-3</v>
      </c>
      <c r="Y274" s="3">
        <f t="shared" si="260"/>
        <v>4.1099756630023502E-3</v>
      </c>
      <c r="Z274" s="3">
        <f t="shared" si="260"/>
        <v>4.1077323448072385E-3</v>
      </c>
      <c r="AA274" s="3">
        <f t="shared" si="260"/>
        <v>4.0853663976762895E-3</v>
      </c>
      <c r="AB274" s="3">
        <f t="shared" si="260"/>
        <v>3.8682965483493666E-3</v>
      </c>
      <c r="AC274" s="3">
        <f t="shared" si="260"/>
        <v>2.2408213708274287E-3</v>
      </c>
      <c r="AD274" s="3">
        <f t="shared" si="260"/>
        <v>9.5341507081904618E-6</v>
      </c>
      <c r="AE274" s="3">
        <f t="shared" si="260"/>
        <v>1.8536586478038898E-29</v>
      </c>
      <c r="AF274" s="3">
        <f t="shared" si="260"/>
        <v>1.4305638672559459E-266</v>
      </c>
      <c r="AG274" s="3"/>
      <c r="AH274" s="3"/>
    </row>
    <row r="275" spans="1:34" x14ac:dyDescent="0.25">
      <c r="B275" s="3">
        <f t="shared" ref="B275:AF275" si="261">$C44*EXP(-B$246/$A44/EXP(-$E$126))</f>
        <v>3.1066969837399792E-3</v>
      </c>
      <c r="C275" s="3">
        <f t="shared" si="261"/>
        <v>3.1066969837399792E-3</v>
      </c>
      <c r="D275" s="3">
        <f t="shared" si="261"/>
        <v>3.1066969837399792E-3</v>
      </c>
      <c r="E275" s="3">
        <f t="shared" si="261"/>
        <v>3.1066969837399792E-3</v>
      </c>
      <c r="F275" s="3">
        <f t="shared" si="261"/>
        <v>3.1066969837399792E-3</v>
      </c>
      <c r="G275" s="3">
        <f t="shared" si="261"/>
        <v>3.1066969837399792E-3</v>
      </c>
      <c r="H275" s="3">
        <f t="shared" si="261"/>
        <v>3.1066969837399792E-3</v>
      </c>
      <c r="I275" s="3">
        <f t="shared" si="261"/>
        <v>3.1066969837399792E-3</v>
      </c>
      <c r="J275" s="3">
        <f t="shared" si="261"/>
        <v>3.1066969837399792E-3</v>
      </c>
      <c r="K275" s="3">
        <f t="shared" si="261"/>
        <v>3.1066969837399792E-3</v>
      </c>
      <c r="L275" s="3">
        <f t="shared" si="261"/>
        <v>3.1066969837399792E-3</v>
      </c>
      <c r="M275" s="3">
        <f t="shared" si="261"/>
        <v>3.1066969837399792E-3</v>
      </c>
      <c r="N275" s="3">
        <f t="shared" si="261"/>
        <v>3.1066969837399787E-3</v>
      </c>
      <c r="O275" s="3">
        <f t="shared" si="261"/>
        <v>3.1066969837399774E-3</v>
      </c>
      <c r="P275" s="3">
        <f t="shared" si="261"/>
        <v>3.1066969837399601E-3</v>
      </c>
      <c r="Q275" s="3">
        <f t="shared" si="261"/>
        <v>3.106696983739791E-3</v>
      </c>
      <c r="R275" s="3">
        <f t="shared" si="261"/>
        <v>3.1066969837380944E-3</v>
      </c>
      <c r="S275" s="3">
        <f t="shared" si="261"/>
        <v>3.1066969837211327E-3</v>
      </c>
      <c r="T275" s="3">
        <f t="shared" si="261"/>
        <v>3.1066969835515162E-3</v>
      </c>
      <c r="U275" s="3">
        <f t="shared" si="261"/>
        <v>3.106696981855347E-3</v>
      </c>
      <c r="V275" s="3">
        <f t="shared" si="261"/>
        <v>3.1066969648936588E-3</v>
      </c>
      <c r="W275" s="3">
        <f t="shared" si="261"/>
        <v>3.1066967952767827E-3</v>
      </c>
      <c r="X275" s="3">
        <f t="shared" si="261"/>
        <v>3.1066950991085296E-3</v>
      </c>
      <c r="Y275" s="3">
        <f t="shared" si="261"/>
        <v>3.1066781374769316E-3</v>
      </c>
      <c r="Z275" s="3">
        <f t="shared" si="261"/>
        <v>3.1065085262541687E-3</v>
      </c>
      <c r="AA275" s="3">
        <f t="shared" si="261"/>
        <v>3.1048129232453844E-3</v>
      </c>
      <c r="AB275" s="3">
        <f t="shared" si="261"/>
        <v>3.0879077123251602E-3</v>
      </c>
      <c r="AC275" s="3">
        <f t="shared" si="261"/>
        <v>2.923836342317535E-3</v>
      </c>
      <c r="AD275" s="3">
        <f t="shared" si="261"/>
        <v>1.6937157942202592E-3</v>
      </c>
      <c r="AE275" s="3">
        <f t="shared" si="261"/>
        <v>7.2063493543779055E-6</v>
      </c>
      <c r="AF275" s="3">
        <f t="shared" si="261"/>
        <v>1.4010804117416653E-29</v>
      </c>
      <c r="AG275" s="3"/>
      <c r="AH275" s="3"/>
    </row>
    <row r="276" spans="1:34" x14ac:dyDescent="0.25">
      <c r="B276" s="3">
        <f t="shared" ref="B276:AF276" si="262">$C45*EXP(-B$246/$A45/EXP(-$E$126))</f>
        <v>9.6514726179013565E-4</v>
      </c>
      <c r="C276" s="3">
        <f t="shared" si="262"/>
        <v>9.6514726179013565E-4</v>
      </c>
      <c r="D276" s="3">
        <f t="shared" si="262"/>
        <v>9.6514726179013565E-4</v>
      </c>
      <c r="E276" s="3">
        <f t="shared" si="262"/>
        <v>9.6514726179013565E-4</v>
      </c>
      <c r="F276" s="3">
        <f t="shared" si="262"/>
        <v>9.6514726179013565E-4</v>
      </c>
      <c r="G276" s="3">
        <f t="shared" si="262"/>
        <v>9.6514726179013565E-4</v>
      </c>
      <c r="H276" s="3">
        <f t="shared" si="262"/>
        <v>9.6514726179013565E-4</v>
      </c>
      <c r="I276" s="3">
        <f t="shared" si="262"/>
        <v>9.6514726179013565E-4</v>
      </c>
      <c r="J276" s="3">
        <f t="shared" si="262"/>
        <v>9.6514726179013565E-4</v>
      </c>
      <c r="K276" s="3">
        <f t="shared" si="262"/>
        <v>9.6514726179013565E-4</v>
      </c>
      <c r="L276" s="3">
        <f t="shared" si="262"/>
        <v>9.6514726179013565E-4</v>
      </c>
      <c r="M276" s="3">
        <f t="shared" si="262"/>
        <v>9.6514726179013565E-4</v>
      </c>
      <c r="N276" s="3">
        <f t="shared" si="262"/>
        <v>9.6514726179013565E-4</v>
      </c>
      <c r="O276" s="3">
        <f t="shared" si="262"/>
        <v>9.6514726179013554E-4</v>
      </c>
      <c r="P276" s="3">
        <f t="shared" si="262"/>
        <v>9.6514726179013511E-4</v>
      </c>
      <c r="Q276" s="3">
        <f t="shared" si="262"/>
        <v>9.651472617901298E-4</v>
      </c>
      <c r="R276" s="3">
        <f t="shared" si="262"/>
        <v>9.651472617900771E-4</v>
      </c>
      <c r="S276" s="3">
        <f t="shared" si="262"/>
        <v>9.6514726178955018E-4</v>
      </c>
      <c r="T276" s="3">
        <f t="shared" si="262"/>
        <v>9.6514726178428074E-4</v>
      </c>
      <c r="U276" s="3">
        <f t="shared" si="262"/>
        <v>9.6514726173158646E-4</v>
      </c>
      <c r="V276" s="3">
        <f t="shared" si="262"/>
        <v>9.6514726120464328E-4</v>
      </c>
      <c r="W276" s="3">
        <f t="shared" si="262"/>
        <v>9.6514725593521179E-4</v>
      </c>
      <c r="X276" s="3">
        <f t="shared" si="262"/>
        <v>9.6514720324089869E-4</v>
      </c>
      <c r="Y276" s="3">
        <f t="shared" si="262"/>
        <v>9.651466762979256E-4</v>
      </c>
      <c r="Z276" s="3">
        <f t="shared" si="262"/>
        <v>9.6514140688401821E-4</v>
      </c>
      <c r="AA276" s="3">
        <f t="shared" si="262"/>
        <v>9.650887143272367E-4</v>
      </c>
      <c r="AB276" s="3">
        <f t="shared" si="262"/>
        <v>9.6456194695675407E-4</v>
      </c>
      <c r="AC276" s="3">
        <f t="shared" si="262"/>
        <v>9.593100610744053E-4</v>
      </c>
      <c r="AD276" s="3">
        <f t="shared" si="262"/>
        <v>9.083385519990712E-4</v>
      </c>
      <c r="AE276" s="3">
        <f t="shared" si="262"/>
        <v>5.2618107578502281E-4</v>
      </c>
      <c r="AF276" s="3">
        <f t="shared" si="262"/>
        <v>2.2387726847141636E-6</v>
      </c>
      <c r="AG276" s="3"/>
      <c r="AH276" s="3"/>
    </row>
    <row r="277" spans="1:34" x14ac:dyDescent="0.25">
      <c r="B277" s="3">
        <f t="shared" ref="B277:AF277" si="263">$C46*EXP(-B$246/$A46/EXP(-$E$126))</f>
        <v>1.0056328677851901E-3</v>
      </c>
      <c r="C277" s="3">
        <f t="shared" si="263"/>
        <v>1.0056328677851901E-3</v>
      </c>
      <c r="D277" s="3">
        <f t="shared" si="263"/>
        <v>1.0056328677851901E-3</v>
      </c>
      <c r="E277" s="3">
        <f t="shared" si="263"/>
        <v>1.0056328677851901E-3</v>
      </c>
      <c r="F277" s="3">
        <f t="shared" si="263"/>
        <v>1.0056328677851901E-3</v>
      </c>
      <c r="G277" s="3">
        <f t="shared" si="263"/>
        <v>1.0056328677851901E-3</v>
      </c>
      <c r="H277" s="3">
        <f t="shared" si="263"/>
        <v>1.0056328677851901E-3</v>
      </c>
      <c r="I277" s="3">
        <f t="shared" si="263"/>
        <v>1.0056328677851901E-3</v>
      </c>
      <c r="J277" s="3">
        <f t="shared" si="263"/>
        <v>1.0056328677851901E-3</v>
      </c>
      <c r="K277" s="3">
        <f t="shared" si="263"/>
        <v>1.0056328677851901E-3</v>
      </c>
      <c r="L277" s="3">
        <f t="shared" si="263"/>
        <v>1.0056328677851901E-3</v>
      </c>
      <c r="M277" s="3">
        <f t="shared" si="263"/>
        <v>1.0056328677851901E-3</v>
      </c>
      <c r="N277" s="3">
        <f t="shared" si="263"/>
        <v>1.0056328677851901E-3</v>
      </c>
      <c r="O277" s="3">
        <f t="shared" si="263"/>
        <v>1.0056328677851901E-3</v>
      </c>
      <c r="P277" s="3">
        <f t="shared" si="263"/>
        <v>1.0056328677851899E-3</v>
      </c>
      <c r="Q277" s="3">
        <f t="shared" si="263"/>
        <v>1.0056328677851894E-3</v>
      </c>
      <c r="R277" s="3">
        <f t="shared" si="263"/>
        <v>1.005632867785184E-3</v>
      </c>
      <c r="S277" s="3">
        <f t="shared" si="263"/>
        <v>1.0056328677851291E-3</v>
      </c>
      <c r="T277" s="3">
        <f t="shared" si="263"/>
        <v>1.0056328677845801E-3</v>
      </c>
      <c r="U277" s="3">
        <f t="shared" si="263"/>
        <v>1.0056328677790895E-3</v>
      </c>
      <c r="V277" s="3">
        <f t="shared" si="263"/>
        <v>1.0056328677241848E-3</v>
      </c>
      <c r="W277" s="3">
        <f t="shared" si="263"/>
        <v>1.0056328671751377E-3</v>
      </c>
      <c r="X277" s="3">
        <f t="shared" si="263"/>
        <v>1.0056328616846663E-3</v>
      </c>
      <c r="Y277" s="3">
        <f t="shared" si="263"/>
        <v>1.0056328067799534E-3</v>
      </c>
      <c r="Z277" s="3">
        <f t="shared" si="263"/>
        <v>1.0056322577329901E-3</v>
      </c>
      <c r="AA277" s="3">
        <f t="shared" si="263"/>
        <v>1.0056267672798448E-3</v>
      </c>
      <c r="AB277" s="3">
        <f t="shared" si="263"/>
        <v>1.0055718643970568E-3</v>
      </c>
      <c r="AC277" s="3">
        <f t="shared" si="263"/>
        <v>1.005023000402508E-3</v>
      </c>
      <c r="AD277" s="3">
        <f t="shared" si="263"/>
        <v>9.9955081054067178E-4</v>
      </c>
      <c r="AE277" s="3">
        <f t="shared" si="263"/>
        <v>9.4644116927028823E-4</v>
      </c>
      <c r="AF277" s="3">
        <f t="shared" si="263"/>
        <v>5.4825310619909082E-4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2.1809087047795134E-2</v>
      </c>
      <c r="C279" s="3">
        <f t="shared" si="265"/>
        <v>2.1809087047795134E-2</v>
      </c>
      <c r="D279" s="3">
        <f t="shared" si="265"/>
        <v>2.1809087047795134E-2</v>
      </c>
      <c r="E279" s="3">
        <f t="shared" si="265"/>
        <v>2.1809087047795134E-2</v>
      </c>
      <c r="F279" s="3">
        <f t="shared" si="265"/>
        <v>2.1809087047795134E-2</v>
      </c>
      <c r="G279" s="3">
        <f t="shared" si="265"/>
        <v>2.1809087047795134E-2</v>
      </c>
      <c r="H279" s="3">
        <f t="shared" si="265"/>
        <v>2.1809087047795134E-2</v>
      </c>
      <c r="I279" s="3">
        <f t="shared" si="265"/>
        <v>2.1809087047795134E-2</v>
      </c>
      <c r="J279" s="3">
        <f t="shared" si="265"/>
        <v>2.1809087047795134E-2</v>
      </c>
      <c r="K279" s="3">
        <f t="shared" si="265"/>
        <v>2.1809087047795134E-2</v>
      </c>
      <c r="L279" s="3">
        <f t="shared" si="265"/>
        <v>2.1809087047795134E-2</v>
      </c>
      <c r="M279" s="3">
        <f t="shared" si="265"/>
        <v>2.1809087047795134E-2</v>
      </c>
      <c r="N279" s="3">
        <f t="shared" si="265"/>
        <v>2.1809087047795134E-2</v>
      </c>
      <c r="O279" s="3">
        <f t="shared" si="265"/>
        <v>2.1809087047795134E-2</v>
      </c>
      <c r="P279" s="3">
        <f t="shared" si="265"/>
        <v>2.1809087047795134E-2</v>
      </c>
      <c r="Q279" s="3">
        <f t="shared" si="265"/>
        <v>2.1809087047795134E-2</v>
      </c>
      <c r="R279" s="3">
        <f t="shared" si="265"/>
        <v>2.180908704779513E-2</v>
      </c>
      <c r="S279" s="3">
        <f t="shared" si="265"/>
        <v>2.1809087047795123E-2</v>
      </c>
      <c r="T279" s="3">
        <f t="shared" si="265"/>
        <v>2.1809087047795002E-2</v>
      </c>
      <c r="U279" s="3">
        <f t="shared" si="265"/>
        <v>2.1809087047793812E-2</v>
      </c>
      <c r="V279" s="3">
        <f t="shared" si="265"/>
        <v>2.1809087047781905E-2</v>
      </c>
      <c r="W279" s="3">
        <f t="shared" si="265"/>
        <v>2.1809087047662833E-2</v>
      </c>
      <c r="X279" s="3">
        <f t="shared" si="265"/>
        <v>2.1809087046472119E-2</v>
      </c>
      <c r="Y279" s="3">
        <f t="shared" si="265"/>
        <v>2.180908703456497E-2</v>
      </c>
      <c r="Z279" s="3">
        <f t="shared" si="265"/>
        <v>2.1809086915493516E-2</v>
      </c>
      <c r="AA279" s="3">
        <f t="shared" si="265"/>
        <v>2.1809085724778993E-2</v>
      </c>
      <c r="AB279" s="3">
        <f t="shared" si="265"/>
        <v>2.1809073817637331E-2</v>
      </c>
      <c r="AC279" s="3">
        <f t="shared" si="265"/>
        <v>2.1808954746578284E-2</v>
      </c>
      <c r="AD279" s="3">
        <f t="shared" si="265"/>
        <v>2.1807764071742314E-2</v>
      </c>
      <c r="AE279" s="3">
        <f t="shared" si="265"/>
        <v>2.1795860898111086E-2</v>
      </c>
      <c r="AF279" s="3">
        <f t="shared" si="265"/>
        <v>2.1677185913569572E-2</v>
      </c>
      <c r="AG279" s="3"/>
      <c r="AH279" s="3"/>
    </row>
    <row r="280" spans="1:34" x14ac:dyDescent="0.25">
      <c r="A280" s="79">
        <f>AVERAGE(B280:AF280)</f>
        <v>6.996281418954118E-3</v>
      </c>
      <c r="B280" s="80">
        <f>IF($D$61&lt;=B246,IF($E$61&gt;=B246,ABS((B248-B247)/B247),0),0)</f>
        <v>3.4164937027169058E-2</v>
      </c>
      <c r="C280" s="80">
        <f t="shared" ref="C280:AF280" si="266">IF($D$61&lt;=C246,IF($E$61&gt;=C246,ABS((C248-C247)/C247),0),0)</f>
        <v>1.0827937534658298E-2</v>
      </c>
      <c r="D280" s="80">
        <f t="shared" si="266"/>
        <v>4.6830238732486545E-3</v>
      </c>
      <c r="E280" s="80">
        <f t="shared" si="266"/>
        <v>5.3401006025162899E-3</v>
      </c>
      <c r="F280" s="80">
        <f t="shared" si="266"/>
        <v>5.3670196326686377E-3</v>
      </c>
      <c r="G280" s="80">
        <f t="shared" si="266"/>
        <v>4.6990713804417918E-3</v>
      </c>
      <c r="H280" s="80">
        <f t="shared" si="266"/>
        <v>4.5191075889368833E-3</v>
      </c>
      <c r="I280" s="80">
        <f t="shared" si="266"/>
        <v>4.5577670125763565E-3</v>
      </c>
      <c r="J280" s="80">
        <f t="shared" si="266"/>
        <v>4.4466587394931178E-3</v>
      </c>
      <c r="K280" s="80">
        <f t="shared" si="266"/>
        <v>4.4537623074625355E-3</v>
      </c>
      <c r="L280" s="80">
        <f t="shared" si="266"/>
        <v>4.3823066315952465E-3</v>
      </c>
      <c r="M280" s="80">
        <f t="shared" si="266"/>
        <v>5.1758597685175878E-3</v>
      </c>
      <c r="N280" s="80">
        <f t="shared" si="266"/>
        <v>4.4592020072210256E-3</v>
      </c>
      <c r="O280" s="80">
        <f t="shared" si="266"/>
        <v>5.4548219390317676E-3</v>
      </c>
      <c r="P280" s="80">
        <f t="shared" si="266"/>
        <v>5.5079258228414672E-3</v>
      </c>
      <c r="Q280" s="80">
        <f t="shared" si="266"/>
        <v>5.0992579922350522E-3</v>
      </c>
      <c r="R280" s="80">
        <f t="shared" si="266"/>
        <v>3.5809917204628269E-3</v>
      </c>
      <c r="S280" s="80">
        <f t="shared" si="266"/>
        <v>9.9018603158564835E-3</v>
      </c>
      <c r="T280" s="80">
        <f t="shared" si="266"/>
        <v>1.9629790274382667E-2</v>
      </c>
      <c r="U280" s="80">
        <f t="shared" si="266"/>
        <v>1.8865050762632309E-2</v>
      </c>
      <c r="V280" s="80">
        <f t="shared" si="266"/>
        <v>1.0865041094916348E-2</v>
      </c>
      <c r="W280" s="80">
        <f t="shared" si="266"/>
        <v>8.1993691761228331E-3</v>
      </c>
      <c r="X280" s="80">
        <f t="shared" si="266"/>
        <v>7.9628052989440395E-3</v>
      </c>
      <c r="Y280" s="80">
        <f t="shared" si="266"/>
        <v>2.4741055483646395E-2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119275.98167371115</v>
      </c>
      <c r="C281" s="21">
        <f t="shared" ref="C281:AF281" si="267">(C248-C247)^2</f>
        <v>11406.088164861518</v>
      </c>
      <c r="D281" s="21">
        <f t="shared" si="267"/>
        <v>2041.292537349005</v>
      </c>
      <c r="E281" s="21">
        <f t="shared" si="267"/>
        <v>2526.3410332629046</v>
      </c>
      <c r="F281" s="21">
        <f t="shared" si="267"/>
        <v>2416.01009688662</v>
      </c>
      <c r="G281" s="21">
        <f t="shared" si="267"/>
        <v>1740.642254223168</v>
      </c>
      <c r="H281" s="21">
        <f t="shared" si="267"/>
        <v>1510.4149666014953</v>
      </c>
      <c r="I281" s="21">
        <f t="shared" si="267"/>
        <v>1443.0535361841021</v>
      </c>
      <c r="J281" s="21">
        <f t="shared" si="267"/>
        <v>1273.8472563335158</v>
      </c>
      <c r="K281" s="21">
        <f t="shared" si="267"/>
        <v>1164.3281513820641</v>
      </c>
      <c r="L281" s="21">
        <f t="shared" si="267"/>
        <v>1019.0769575171543</v>
      </c>
      <c r="M281" s="21">
        <f t="shared" si="267"/>
        <v>1299.5407595245883</v>
      </c>
      <c r="N281" s="21">
        <f t="shared" si="267"/>
        <v>886.69136971207763</v>
      </c>
      <c r="O281" s="21">
        <f t="shared" si="267"/>
        <v>1215.8197068270276</v>
      </c>
      <c r="P281" s="21">
        <f t="shared" si="267"/>
        <v>1129.2370703653453</v>
      </c>
      <c r="Q281" s="21">
        <f t="shared" si="267"/>
        <v>879.73770520154369</v>
      </c>
      <c r="R281" s="21">
        <f t="shared" si="267"/>
        <v>385.11265066416809</v>
      </c>
      <c r="S281" s="21">
        <f t="shared" si="267"/>
        <v>2452.4988963175183</v>
      </c>
      <c r="T281" s="21">
        <f t="shared" si="267"/>
        <v>7387.8637357749558</v>
      </c>
      <c r="U281" s="21">
        <f t="shared" si="267"/>
        <v>4992.9779885734015</v>
      </c>
      <c r="V281" s="21">
        <f t="shared" si="267"/>
        <v>1170.2373148990687</v>
      </c>
      <c r="W281" s="21">
        <f t="shared" si="267"/>
        <v>443.10595819735596</v>
      </c>
      <c r="X281" s="21">
        <f t="shared" si="267"/>
        <v>250.10382868213605</v>
      </c>
      <c r="Y281" s="21">
        <f t="shared" si="267"/>
        <v>1294.0999769294358</v>
      </c>
      <c r="Z281" s="21">
        <f t="shared" si="267"/>
        <v>50.525356544103239</v>
      </c>
      <c r="AA281" s="21">
        <f t="shared" si="267"/>
        <v>30.486054345213407</v>
      </c>
      <c r="AB281" s="21">
        <f t="shared" si="267"/>
        <v>18.759629719319452</v>
      </c>
      <c r="AC281" s="21">
        <f t="shared" si="267"/>
        <v>2.9171028093531599</v>
      </c>
      <c r="AD281" s="21">
        <f t="shared" si="267"/>
        <v>0.413030851026846</v>
      </c>
      <c r="AE281" s="21">
        <f t="shared" si="267"/>
        <v>0.42989585979174244</v>
      </c>
      <c r="AF281" s="21">
        <f t="shared" si="267"/>
        <v>0.30992295087776517</v>
      </c>
      <c r="AG281" s="3"/>
      <c r="AH281" s="3"/>
    </row>
    <row r="282" spans="1:34" s="3" customFormat="1" x14ac:dyDescent="0.25">
      <c r="A282" s="71">
        <f>SUM(B282:AF282)</f>
        <v>169604.10358998139</v>
      </c>
      <c r="B282" s="21">
        <f>IF($D$61&lt;=B246,IF($E$61&gt;=B246,ABS(B281),0),0)</f>
        <v>119275.98167371115</v>
      </c>
      <c r="C282" s="21">
        <f t="shared" ref="C282:AF282" si="268">IF($D$61&lt;=C246,IF($E$61&gt;=C246,ABS(C281),0),0)</f>
        <v>11406.088164861518</v>
      </c>
      <c r="D282" s="21">
        <f t="shared" si="268"/>
        <v>2041.292537349005</v>
      </c>
      <c r="E282" s="21">
        <f t="shared" si="268"/>
        <v>2526.3410332629046</v>
      </c>
      <c r="F282" s="21">
        <f t="shared" si="268"/>
        <v>2416.01009688662</v>
      </c>
      <c r="G282" s="21">
        <f t="shared" si="268"/>
        <v>1740.642254223168</v>
      </c>
      <c r="H282" s="21">
        <f t="shared" si="268"/>
        <v>1510.4149666014953</v>
      </c>
      <c r="I282" s="21">
        <f t="shared" si="268"/>
        <v>1443.0535361841021</v>
      </c>
      <c r="J282" s="21">
        <f t="shared" si="268"/>
        <v>1273.8472563335158</v>
      </c>
      <c r="K282" s="21">
        <f t="shared" si="268"/>
        <v>1164.3281513820641</v>
      </c>
      <c r="L282" s="21">
        <f t="shared" si="268"/>
        <v>1019.0769575171543</v>
      </c>
      <c r="M282" s="21">
        <f t="shared" si="268"/>
        <v>1299.5407595245883</v>
      </c>
      <c r="N282" s="21">
        <f t="shared" si="268"/>
        <v>886.69136971207763</v>
      </c>
      <c r="O282" s="21">
        <f t="shared" si="268"/>
        <v>1215.8197068270276</v>
      </c>
      <c r="P282" s="21">
        <f t="shared" si="268"/>
        <v>1129.2370703653453</v>
      </c>
      <c r="Q282" s="21">
        <f t="shared" si="268"/>
        <v>879.73770520154369</v>
      </c>
      <c r="R282" s="21">
        <f t="shared" si="268"/>
        <v>385.11265066416809</v>
      </c>
      <c r="S282" s="21">
        <f t="shared" si="268"/>
        <v>2452.4988963175183</v>
      </c>
      <c r="T282" s="21">
        <f t="shared" si="268"/>
        <v>7387.8637357749558</v>
      </c>
      <c r="U282" s="21">
        <f t="shared" si="268"/>
        <v>4992.9779885734015</v>
      </c>
      <c r="V282" s="21">
        <f t="shared" si="268"/>
        <v>1170.2373148990687</v>
      </c>
      <c r="W282" s="21">
        <f t="shared" si="268"/>
        <v>443.10595819735596</v>
      </c>
      <c r="X282" s="21">
        <f t="shared" si="268"/>
        <v>250.10382868213605</v>
      </c>
      <c r="Y282" s="21">
        <f t="shared" si="268"/>
        <v>1294.0999769294358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9751.5416880808934</v>
      </c>
      <c r="C287" s="27">
        <f t="shared" ref="C287:AF287" si="269">($C$17+SUM(C288:C318))*$B$51</f>
        <v>9651.3663990825098</v>
      </c>
      <c r="D287" s="27">
        <f t="shared" si="269"/>
        <v>9280.6593388262336</v>
      </c>
      <c r="E287" s="27">
        <f t="shared" si="269"/>
        <v>9056.2207431227944</v>
      </c>
      <c r="F287" s="27">
        <f t="shared" si="269"/>
        <v>8764.2641657532295</v>
      </c>
      <c r="G287" s="27">
        <f t="shared" si="269"/>
        <v>8496.7482560050757</v>
      </c>
      <c r="H287" s="27">
        <f t="shared" si="269"/>
        <v>8228.0435149233545</v>
      </c>
      <c r="I287" s="27">
        <f t="shared" si="269"/>
        <v>7906.095486660126</v>
      </c>
      <c r="J287" s="27">
        <f t="shared" si="269"/>
        <v>7532.4833960543137</v>
      </c>
      <c r="K287" s="27">
        <f t="shared" si="269"/>
        <v>7167.5779421971092</v>
      </c>
      <c r="L287" s="27">
        <f t="shared" si="269"/>
        <v>6863.1357508843994</v>
      </c>
      <c r="M287" s="27">
        <f t="shared" si="269"/>
        <v>6582.6528543950753</v>
      </c>
      <c r="N287" s="27">
        <f t="shared" si="269"/>
        <v>6291.1229675862105</v>
      </c>
      <c r="O287" s="27">
        <f t="shared" si="269"/>
        <v>6009.9434347741753</v>
      </c>
      <c r="P287" s="27">
        <f t="shared" si="269"/>
        <v>5721.9481128154903</v>
      </c>
      <c r="Q287" s="27">
        <f t="shared" si="269"/>
        <v>5387.4448890609438</v>
      </c>
      <c r="R287" s="27">
        <f t="shared" si="269"/>
        <v>4942.0575553609169</v>
      </c>
      <c r="S287" s="27">
        <f t="shared" si="269"/>
        <v>4341.1176990713457</v>
      </c>
      <c r="T287" s="27">
        <f t="shared" si="269"/>
        <v>3692.88330727944</v>
      </c>
      <c r="U287" s="27">
        <f t="shared" si="269"/>
        <v>3067.3838542587464</v>
      </c>
      <c r="V287" s="27">
        <f t="shared" si="269"/>
        <v>2465.1995222487644</v>
      </c>
      <c r="W287" s="27">
        <f t="shared" si="269"/>
        <v>1868.9280619074077</v>
      </c>
      <c r="X287" s="27">
        <f t="shared" si="269"/>
        <v>1359.7170524719083</v>
      </c>
      <c r="Y287" s="27">
        <f t="shared" si="269"/>
        <v>977.71845753454261</v>
      </c>
      <c r="Z287" s="27">
        <f t="shared" si="269"/>
        <v>749.40049036380549</v>
      </c>
      <c r="AA287" s="27">
        <f t="shared" si="269"/>
        <v>627.15711689648992</v>
      </c>
      <c r="AB287" s="27">
        <f t="shared" si="269"/>
        <v>570.12657223568988</v>
      </c>
      <c r="AC287" s="27">
        <f t="shared" si="269"/>
        <v>534.92256533785769</v>
      </c>
      <c r="AD287" s="27">
        <f t="shared" si="269"/>
        <v>515.96523906667471</v>
      </c>
      <c r="AE287" s="27">
        <f t="shared" si="269"/>
        <v>504.21427076135319</v>
      </c>
      <c r="AF287" s="27">
        <f t="shared" si="269"/>
        <v>480.10221535102937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4.2864928513660173E-2</v>
      </c>
      <c r="C289" s="3">
        <f t="shared" si="271"/>
        <v>3.3978191355807909E-2</v>
      </c>
      <c r="D289" s="3">
        <f t="shared" si="271"/>
        <v>3.3279883584619633E-3</v>
      </c>
      <c r="E289" s="3">
        <f t="shared" si="271"/>
        <v>2.703940957723778E-13</v>
      </c>
      <c r="F289" s="3">
        <f t="shared" si="271"/>
        <v>3.3896219453903878E-114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1.703519592645009E-2</v>
      </c>
      <c r="C290" s="3">
        <f t="shared" si="272"/>
        <v>1.6681878238617522E-2</v>
      </c>
      <c r="D290" s="3">
        <f t="shared" si="272"/>
        <v>1.352767272038145E-2</v>
      </c>
      <c r="E290" s="3">
        <f t="shared" si="272"/>
        <v>1.6634298671310004E-3</v>
      </c>
      <c r="F290" s="3">
        <f t="shared" si="272"/>
        <v>1.3146754970461615E-12</v>
      </c>
      <c r="G290" s="3">
        <f t="shared" si="272"/>
        <v>1.250141880079027E-103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3.0707513494380764E-2</v>
      </c>
      <c r="C291" s="3">
        <f t="shared" si="273"/>
        <v>3.0649511603539556E-2</v>
      </c>
      <c r="D291" s="3">
        <f t="shared" si="273"/>
        <v>3.0075484307594717E-2</v>
      </c>
      <c r="E291" s="3">
        <f t="shared" si="273"/>
        <v>2.4894496113412171E-2</v>
      </c>
      <c r="F291" s="3">
        <f t="shared" si="273"/>
        <v>3.7584644498166648E-3</v>
      </c>
      <c r="G291" s="3">
        <f t="shared" si="273"/>
        <v>2.3124987794257196E-11</v>
      </c>
      <c r="H291" s="3">
        <f t="shared" si="273"/>
        <v>1.7980102640889664E-93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2.5231041708703269E-2</v>
      </c>
      <c r="C292" s="3">
        <f t="shared" si="274"/>
        <v>2.5226738893244036E-2</v>
      </c>
      <c r="D292" s="3">
        <f t="shared" si="274"/>
        <v>2.5183751076318893E-2</v>
      </c>
      <c r="E292" s="3">
        <f t="shared" si="274"/>
        <v>2.4757881334846223E-2</v>
      </c>
      <c r="F292" s="3">
        <f t="shared" si="274"/>
        <v>2.087584517175041E-2</v>
      </c>
      <c r="G292" s="3">
        <f t="shared" si="274"/>
        <v>3.7927129012141126E-3</v>
      </c>
      <c r="H292" s="3">
        <f t="shared" si="274"/>
        <v>1.4859663898389204E-10</v>
      </c>
      <c r="I292" s="3">
        <f t="shared" si="274"/>
        <v>1.2664824088934171E-84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2.5043122916757206E-2</v>
      </c>
      <c r="C293" s="3">
        <f t="shared" si="275"/>
        <v>2.5042737628025044E-2</v>
      </c>
      <c r="D293" s="3">
        <f t="shared" si="275"/>
        <v>2.5038885066710335E-2</v>
      </c>
      <c r="E293" s="3">
        <f t="shared" si="275"/>
        <v>2.5000392035701733E-2</v>
      </c>
      <c r="F293" s="3">
        <f t="shared" si="275"/>
        <v>2.4618701468171057E-2</v>
      </c>
      <c r="G293" s="3">
        <f t="shared" si="275"/>
        <v>2.1108062545493293E-2</v>
      </c>
      <c r="H293" s="3">
        <f t="shared" si="275"/>
        <v>4.5319037325947586E-3</v>
      </c>
      <c r="I293" s="3">
        <f t="shared" si="275"/>
        <v>9.4319982526722458E-10</v>
      </c>
      <c r="J293" s="3">
        <f t="shared" si="275"/>
        <v>1.4382489596919532E-76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3.1858460583982583E-2</v>
      </c>
      <c r="C294" s="3">
        <f t="shared" si="276"/>
        <v>3.1858416368716787E-2</v>
      </c>
      <c r="D294" s="3">
        <f t="shared" si="276"/>
        <v>3.1857974219433857E-2</v>
      </c>
      <c r="E294" s="3">
        <f t="shared" si="276"/>
        <v>3.1853553064092502E-2</v>
      </c>
      <c r="F294" s="3">
        <f t="shared" si="276"/>
        <v>3.1809375242150217E-2</v>
      </c>
      <c r="G294" s="3">
        <f t="shared" si="276"/>
        <v>3.1370952912500187E-2</v>
      </c>
      <c r="H294" s="3">
        <f t="shared" si="276"/>
        <v>2.7305707015681222E-2</v>
      </c>
      <c r="I294" s="3">
        <f t="shared" si="276"/>
        <v>6.8157017480819154E-3</v>
      </c>
      <c r="J294" s="3">
        <f t="shared" si="276"/>
        <v>6.3985577478636427E-9</v>
      </c>
      <c r="K294" s="3">
        <f t="shared" si="276"/>
        <v>3.4024931226786929E-69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3.8271852917087089E-2</v>
      </c>
      <c r="C295" s="3">
        <f t="shared" si="277"/>
        <v>3.8271848125561544E-2</v>
      </c>
      <c r="D295" s="3">
        <f t="shared" si="277"/>
        <v>3.827180021033913E-2</v>
      </c>
      <c r="E295" s="3">
        <f t="shared" si="277"/>
        <v>3.8271321061414294E-2</v>
      </c>
      <c r="F295" s="3">
        <f t="shared" si="277"/>
        <v>3.8266529902085879E-2</v>
      </c>
      <c r="G295" s="3">
        <f t="shared" si="277"/>
        <v>3.8218651285514819E-2</v>
      </c>
      <c r="H295" s="3">
        <f t="shared" si="277"/>
        <v>3.7743147566355439E-2</v>
      </c>
      <c r="I295" s="3">
        <f t="shared" si="277"/>
        <v>3.3301645685031148E-2</v>
      </c>
      <c r="J295" s="3">
        <f t="shared" si="277"/>
        <v>9.522292180918903E-3</v>
      </c>
      <c r="K295" s="3">
        <f t="shared" si="277"/>
        <v>3.4793616881544389E-8</v>
      </c>
      <c r="L295" s="3">
        <f t="shared" si="277"/>
        <v>1.4759794670885255E-62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3.6033705255532629E-2</v>
      </c>
      <c r="C296" s="3">
        <f t="shared" si="278"/>
        <v>3.6033704848574384E-2</v>
      </c>
      <c r="D296" s="3">
        <f t="shared" si="278"/>
        <v>3.6033700778992143E-2</v>
      </c>
      <c r="E296" s="3">
        <f t="shared" si="278"/>
        <v>3.603366008319505E-2</v>
      </c>
      <c r="F296" s="3">
        <f t="shared" si="278"/>
        <v>3.6033253127751921E-2</v>
      </c>
      <c r="G296" s="3">
        <f t="shared" si="278"/>
        <v>3.6029183826095192E-2</v>
      </c>
      <c r="H296" s="3">
        <f t="shared" si="278"/>
        <v>3.5988516076421881E-2</v>
      </c>
      <c r="I296" s="3">
        <f t="shared" si="278"/>
        <v>3.5584354742598724E-2</v>
      </c>
      <c r="J296" s="3">
        <f t="shared" si="278"/>
        <v>3.1784153508518882E-2</v>
      </c>
      <c r="K296" s="3">
        <f t="shared" si="278"/>
        <v>1.0273683783852759E-2</v>
      </c>
      <c r="L296" s="3">
        <f t="shared" si="278"/>
        <v>1.2790326827729619E-7</v>
      </c>
      <c r="M296" s="3">
        <f t="shared" si="278"/>
        <v>1.1440265906700147E-56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2.6918166431496207E-2</v>
      </c>
      <c r="C297" s="3">
        <f t="shared" si="279"/>
        <v>2.6918166404072071E-2</v>
      </c>
      <c r="D297" s="3">
        <f t="shared" si="279"/>
        <v>2.6918166129830681E-2</v>
      </c>
      <c r="E297" s="3">
        <f t="shared" si="279"/>
        <v>2.6918163387416951E-2</v>
      </c>
      <c r="F297" s="3">
        <f t="shared" si="279"/>
        <v>2.6918135963295016E-2</v>
      </c>
      <c r="G297" s="3">
        <f t="shared" si="279"/>
        <v>2.6917861723612335E-2</v>
      </c>
      <c r="H297" s="3">
        <f t="shared" si="279"/>
        <v>2.6915119480446986E-2</v>
      </c>
      <c r="I297" s="3">
        <f t="shared" si="279"/>
        <v>2.688771240915137E-2</v>
      </c>
      <c r="J297" s="3">
        <f t="shared" si="279"/>
        <v>2.6615171957564607E-2</v>
      </c>
      <c r="K297" s="3">
        <f t="shared" si="279"/>
        <v>2.403717903121844E-2</v>
      </c>
      <c r="L297" s="3">
        <f t="shared" si="279"/>
        <v>8.6781212777346448E-3</v>
      </c>
      <c r="M297" s="3">
        <f t="shared" si="279"/>
        <v>3.264734624438576E-7</v>
      </c>
      <c r="N297" s="3">
        <f t="shared" si="279"/>
        <v>1.8538286332233924E-51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2.7316066250068109E-2</v>
      </c>
      <c r="C298" s="3">
        <f t="shared" si="280"/>
        <v>2.7316066247557651E-2</v>
      </c>
      <c r="D298" s="3">
        <f t="shared" si="280"/>
        <v>2.7316066222453111E-2</v>
      </c>
      <c r="E298" s="3">
        <f t="shared" si="280"/>
        <v>2.7316065971407708E-2</v>
      </c>
      <c r="F298" s="3">
        <f t="shared" si="280"/>
        <v>2.7316063460953804E-2</v>
      </c>
      <c r="G298" s="3">
        <f t="shared" si="280"/>
        <v>2.7316038356427447E-2</v>
      </c>
      <c r="H298" s="3">
        <f t="shared" si="280"/>
        <v>2.7315787312432869E-2</v>
      </c>
      <c r="I298" s="3">
        <f t="shared" si="280"/>
        <v>2.7313276999378612E-2</v>
      </c>
      <c r="J298" s="3">
        <f t="shared" si="280"/>
        <v>2.7288186553676409E-2</v>
      </c>
      <c r="K298" s="3">
        <f t="shared" si="280"/>
        <v>2.7038546277865574E-2</v>
      </c>
      <c r="L298" s="3">
        <f t="shared" si="280"/>
        <v>2.4664366503229188E-2</v>
      </c>
      <c r="M298" s="3">
        <f t="shared" si="280"/>
        <v>9.8386664189036247E-3</v>
      </c>
      <c r="N298" s="3">
        <f t="shared" si="280"/>
        <v>1.003688490392064E-6</v>
      </c>
      <c r="O298" s="3">
        <f t="shared" si="280"/>
        <v>1.225253702951385E-46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2.9609291080483859E-2</v>
      </c>
      <c r="C299" s="3">
        <f t="shared" si="281"/>
        <v>2.9609291080238381E-2</v>
      </c>
      <c r="D299" s="3">
        <f t="shared" si="281"/>
        <v>2.9609291077783623E-2</v>
      </c>
      <c r="E299" s="3">
        <f t="shared" si="281"/>
        <v>2.9609291053236043E-2</v>
      </c>
      <c r="F299" s="3">
        <f t="shared" si="281"/>
        <v>2.9609290807760223E-2</v>
      </c>
      <c r="G299" s="3">
        <f t="shared" si="281"/>
        <v>2.9609288353002149E-2</v>
      </c>
      <c r="H299" s="3">
        <f t="shared" si="281"/>
        <v>2.9609263805432617E-2</v>
      </c>
      <c r="I299" s="3">
        <f t="shared" si="281"/>
        <v>2.9609018330856607E-2</v>
      </c>
      <c r="J299" s="3">
        <f t="shared" si="281"/>
        <v>2.9606563697024128E-2</v>
      </c>
      <c r="K299" s="3">
        <f t="shared" si="281"/>
        <v>2.9582028548029958E-2</v>
      </c>
      <c r="L299" s="3">
        <f t="shared" si="281"/>
        <v>2.9337792566436493E-2</v>
      </c>
      <c r="M299" s="3">
        <f t="shared" si="281"/>
        <v>2.7003636342101341E-2</v>
      </c>
      <c r="N299" s="3">
        <f t="shared" si="281"/>
        <v>1.1786108159678401E-2</v>
      </c>
      <c r="O299" s="3">
        <f t="shared" si="281"/>
        <v>2.9570055357393845E-6</v>
      </c>
      <c r="P299" s="3">
        <f t="shared" si="281"/>
        <v>2.921926523452989E-42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2.5103127911924168E-2</v>
      </c>
      <c r="C300" s="3">
        <f t="shared" si="282"/>
        <v>2.5103127911905391E-2</v>
      </c>
      <c r="D300" s="3">
        <f t="shared" si="282"/>
        <v>2.5103127911717652E-2</v>
      </c>
      <c r="E300" s="3">
        <f t="shared" si="282"/>
        <v>2.5103127909840262E-2</v>
      </c>
      <c r="F300" s="3">
        <f t="shared" si="282"/>
        <v>2.5103127891066331E-2</v>
      </c>
      <c r="G300" s="3">
        <f t="shared" si="282"/>
        <v>2.5103127703327056E-2</v>
      </c>
      <c r="H300" s="3">
        <f t="shared" si="282"/>
        <v>2.510312582593438E-2</v>
      </c>
      <c r="I300" s="3">
        <f t="shared" si="282"/>
        <v>2.5103107052015333E-2</v>
      </c>
      <c r="J300" s="3">
        <f t="shared" si="282"/>
        <v>2.5102919313597059E-2</v>
      </c>
      <c r="K300" s="3">
        <f t="shared" si="282"/>
        <v>2.5101042006634683E-2</v>
      </c>
      <c r="L300" s="3">
        <f t="shared" si="282"/>
        <v>2.508227665690977E-2</v>
      </c>
      <c r="M300" s="3">
        <f t="shared" si="282"/>
        <v>2.4895393017617319E-2</v>
      </c>
      <c r="N300" s="3">
        <f t="shared" si="282"/>
        <v>2.3101454072066194E-2</v>
      </c>
      <c r="O300" s="3">
        <f t="shared" si="282"/>
        <v>1.0935599936337937E-2</v>
      </c>
      <c r="P300" s="3">
        <f t="shared" si="282"/>
        <v>6.1783938102714743E-6</v>
      </c>
      <c r="Q300" s="3">
        <f t="shared" si="282"/>
        <v>2.0474123385865196E-38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2.9852900565737615E-2</v>
      </c>
      <c r="C301" s="3">
        <f t="shared" si="283"/>
        <v>2.9852900565735602E-2</v>
      </c>
      <c r="D301" s="3">
        <f t="shared" si="283"/>
        <v>2.9852900565715462E-2</v>
      </c>
      <c r="E301" s="3">
        <f t="shared" si="283"/>
        <v>2.9852900565514064E-2</v>
      </c>
      <c r="F301" s="3">
        <f t="shared" si="283"/>
        <v>2.9852900563500057E-2</v>
      </c>
      <c r="G301" s="3">
        <f t="shared" si="283"/>
        <v>2.9852900543360011E-2</v>
      </c>
      <c r="H301" s="3">
        <f t="shared" si="283"/>
        <v>2.985290034195957E-2</v>
      </c>
      <c r="I301" s="3">
        <f t="shared" si="283"/>
        <v>2.9852898327955204E-2</v>
      </c>
      <c r="J301" s="3">
        <f t="shared" si="283"/>
        <v>2.985287818791901E-2</v>
      </c>
      <c r="K301" s="3">
        <f t="shared" si="283"/>
        <v>2.9852676788304382E-2</v>
      </c>
      <c r="L301" s="3">
        <f t="shared" si="283"/>
        <v>2.9850662866886368E-2</v>
      </c>
      <c r="M301" s="3">
        <f t="shared" si="283"/>
        <v>2.9830531123668787E-2</v>
      </c>
      <c r="N301" s="3">
        <f t="shared" si="283"/>
        <v>2.9629958926223623E-2</v>
      </c>
      <c r="O301" s="3">
        <f t="shared" si="283"/>
        <v>2.7696933279292027E-2</v>
      </c>
      <c r="P301" s="3">
        <f t="shared" si="283"/>
        <v>1.4107109536592338E-2</v>
      </c>
      <c r="Q301" s="3">
        <f t="shared" si="283"/>
        <v>1.6576833495586981E-5</v>
      </c>
      <c r="R301" s="3">
        <f t="shared" si="283"/>
        <v>8.3202608656502632E-35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3.2229654464622844E-2</v>
      </c>
      <c r="C302" s="3">
        <f t="shared" si="284"/>
        <v>3.2229654464622649E-2</v>
      </c>
      <c r="D302" s="3">
        <f t="shared" si="284"/>
        <v>3.2229654464620686E-2</v>
      </c>
      <c r="E302" s="3">
        <f t="shared" si="284"/>
        <v>3.2229654464601069E-2</v>
      </c>
      <c r="F302" s="3">
        <f t="shared" si="284"/>
        <v>3.2229654464404928E-2</v>
      </c>
      <c r="G302" s="3">
        <f t="shared" si="284"/>
        <v>3.2229654462443483E-2</v>
      </c>
      <c r="H302" s="3">
        <f t="shared" si="284"/>
        <v>3.2229654442829034E-2</v>
      </c>
      <c r="I302" s="3">
        <f t="shared" si="284"/>
        <v>3.222965424668453E-2</v>
      </c>
      <c r="J302" s="3">
        <f t="shared" si="284"/>
        <v>3.2229652285239621E-2</v>
      </c>
      <c r="K302" s="3">
        <f t="shared" si="284"/>
        <v>3.2229632670797058E-2</v>
      </c>
      <c r="L302" s="3">
        <f t="shared" si="284"/>
        <v>3.2229436527027935E-2</v>
      </c>
      <c r="M302" s="3">
        <f t="shared" si="284"/>
        <v>3.2227475154988777E-2</v>
      </c>
      <c r="N302" s="3">
        <f t="shared" si="284"/>
        <v>3.2207867998326339E-2</v>
      </c>
      <c r="O302" s="3">
        <f t="shared" si="284"/>
        <v>3.2012451329022473E-2</v>
      </c>
      <c r="P302" s="3">
        <f t="shared" si="284"/>
        <v>3.0122323394536198E-2</v>
      </c>
      <c r="Q302" s="3">
        <f t="shared" si="284"/>
        <v>1.6390183774325943E-2</v>
      </c>
      <c r="R302" s="3">
        <f t="shared" si="284"/>
        <v>3.7285278042238321E-5</v>
      </c>
      <c r="S302" s="3">
        <f t="shared" si="284"/>
        <v>1.3837990093917349E-31</v>
      </c>
      <c r="T302" s="3">
        <f t="shared" si="284"/>
        <v>6.8616618015375937E-296</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5.4487827383483629E-2</v>
      </c>
      <c r="C303" s="3">
        <f t="shared" si="285"/>
        <v>5.4487827383483609E-2</v>
      </c>
      <c r="D303" s="3">
        <f t="shared" si="285"/>
        <v>5.4487827383483303E-2</v>
      </c>
      <c r="E303" s="3">
        <f t="shared" si="285"/>
        <v>5.4487827383480313E-2</v>
      </c>
      <c r="F303" s="3">
        <f t="shared" si="285"/>
        <v>5.4487827383450399E-2</v>
      </c>
      <c r="G303" s="3">
        <f t="shared" si="285"/>
        <v>5.4487827383151263E-2</v>
      </c>
      <c r="H303" s="3">
        <f t="shared" si="285"/>
        <v>5.448782738015992E-2</v>
      </c>
      <c r="I303" s="3">
        <f t="shared" si="285"/>
        <v>5.4487827350246466E-2</v>
      </c>
      <c r="J303" s="3">
        <f t="shared" si="285"/>
        <v>5.448782705111193E-2</v>
      </c>
      <c r="K303" s="3">
        <f t="shared" si="285"/>
        <v>5.4487824059766612E-2</v>
      </c>
      <c r="L303" s="3">
        <f t="shared" si="285"/>
        <v>5.4487794146322488E-2</v>
      </c>
      <c r="M303" s="3">
        <f t="shared" si="285"/>
        <v>5.4487495012784527E-2</v>
      </c>
      <c r="N303" s="3">
        <f t="shared" si="285"/>
        <v>5.4484503767725394E-2</v>
      </c>
      <c r="O303" s="3">
        <f t="shared" si="285"/>
        <v>5.4454600347353714E-2</v>
      </c>
      <c r="P303" s="3">
        <f t="shared" si="285"/>
        <v>5.4156467334002235E-2</v>
      </c>
      <c r="Q303" s="3">
        <f t="shared" si="285"/>
        <v>5.1263452242055654E-2</v>
      </c>
      <c r="R303" s="3">
        <f t="shared" si="285"/>
        <v>2.9606227562593984E-2</v>
      </c>
      <c r="S303" s="3">
        <f t="shared" si="285"/>
        <v>1.2221803767084363E-4</v>
      </c>
      <c r="T303" s="3">
        <f t="shared" si="285"/>
        <v>1.7565383710095724E-28</v>
      </c>
      <c r="U303" s="3">
        <f t="shared" si="285"/>
        <v>6.6051242191958341E-267</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6.3046504540403295E-2</v>
      </c>
      <c r="C304" s="3">
        <f t="shared" si="286"/>
        <v>6.3046504540403295E-2</v>
      </c>
      <c r="D304" s="3">
        <f t="shared" si="286"/>
        <v>6.3046504540403253E-2</v>
      </c>
      <c r="E304" s="3">
        <f t="shared" si="286"/>
        <v>6.3046504540402948E-2</v>
      </c>
      <c r="F304" s="3">
        <f t="shared" si="286"/>
        <v>6.3046504540399825E-2</v>
      </c>
      <c r="G304" s="3">
        <f t="shared" si="286"/>
        <v>6.30465045403686E-2</v>
      </c>
      <c r="H304" s="3">
        <f t="shared" si="286"/>
        <v>6.3046504540056378E-2</v>
      </c>
      <c r="I304" s="3">
        <f t="shared" si="286"/>
        <v>6.304650453693407E-2</v>
      </c>
      <c r="J304" s="3">
        <f t="shared" si="286"/>
        <v>6.3046504505711073E-2</v>
      </c>
      <c r="K304" s="3">
        <f t="shared" si="286"/>
        <v>6.304650419348104E-2</v>
      </c>
      <c r="L304" s="3">
        <f t="shared" si="286"/>
        <v>6.3046501071180788E-2</v>
      </c>
      <c r="M304" s="3">
        <f t="shared" si="286"/>
        <v>6.3046469848186765E-2</v>
      </c>
      <c r="N304" s="3">
        <f t="shared" si="286"/>
        <v>6.3046157619097043E-2</v>
      </c>
      <c r="O304" s="3">
        <f t="shared" si="286"/>
        <v>6.304303541324352E-2</v>
      </c>
      <c r="P304" s="3">
        <f t="shared" si="286"/>
        <v>6.3011821857520925E-2</v>
      </c>
      <c r="Q304" s="3">
        <f t="shared" si="286"/>
        <v>6.2700535025589532E-2</v>
      </c>
      <c r="R304" s="3">
        <f t="shared" si="286"/>
        <v>5.9671004435557007E-2</v>
      </c>
      <c r="S304" s="3">
        <f t="shared" si="286"/>
        <v>3.6365064714307303E-2</v>
      </c>
      <c r="T304" s="3">
        <f t="shared" si="286"/>
        <v>2.5697716230139284E-4</v>
      </c>
      <c r="U304" s="3">
        <f t="shared" si="286"/>
        <v>7.9798765355899661E-26</v>
      </c>
      <c r="V304" s="3">
        <f t="shared" si="286"/>
        <v>6.6529246007460977E-241</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6.2829439903481887E-2</v>
      </c>
      <c r="C305" s="3">
        <f t="shared" si="287"/>
        <v>6.2829439903481887E-2</v>
      </c>
      <c r="D305" s="3">
        <f t="shared" si="287"/>
        <v>6.2829439903481887E-2</v>
      </c>
      <c r="E305" s="3">
        <f t="shared" si="287"/>
        <v>6.282943990348186E-2</v>
      </c>
      <c r="F305" s="3">
        <f t="shared" si="287"/>
        <v>6.2829439903481568E-2</v>
      </c>
      <c r="G305" s="3">
        <f t="shared" si="287"/>
        <v>6.2829439903478765E-2</v>
      </c>
      <c r="H305" s="3">
        <f t="shared" si="287"/>
        <v>6.2829439903450704E-2</v>
      </c>
      <c r="I305" s="3">
        <f t="shared" si="287"/>
        <v>6.2829439903170012E-2</v>
      </c>
      <c r="J305" s="3">
        <f t="shared" si="287"/>
        <v>6.2829439900363132E-2</v>
      </c>
      <c r="K305" s="3">
        <f t="shared" si="287"/>
        <v>6.2829439872294363E-2</v>
      </c>
      <c r="L305" s="3">
        <f t="shared" si="287"/>
        <v>6.2829439591606626E-2</v>
      </c>
      <c r="M305" s="3">
        <f t="shared" si="287"/>
        <v>6.2829436784729298E-2</v>
      </c>
      <c r="N305" s="3">
        <f t="shared" si="287"/>
        <v>6.2829408715963E-2</v>
      </c>
      <c r="O305" s="3">
        <f t="shared" si="287"/>
        <v>6.2829128028989642E-2</v>
      </c>
      <c r="P305" s="3">
        <f t="shared" si="287"/>
        <v>6.2826321228222654E-2</v>
      </c>
      <c r="Q305" s="3">
        <f t="shared" si="287"/>
        <v>6.2798260116066512E-2</v>
      </c>
      <c r="R305" s="3">
        <f t="shared" si="287"/>
        <v>6.2518337407438007E-2</v>
      </c>
      <c r="S305" s="3">
        <f t="shared" si="287"/>
        <v>5.9786827166295513E-2</v>
      </c>
      <c r="T305" s="3">
        <f t="shared" si="287"/>
        <v>3.8246030794759085E-2</v>
      </c>
      <c r="U305" s="3">
        <f t="shared" si="287"/>
        <v>4.389297423457881E-4</v>
      </c>
      <c r="V305" s="3">
        <f t="shared" si="287"/>
        <v>1.7397282162934034E-23</v>
      </c>
      <c r="W305" s="3">
        <f t="shared" si="287"/>
        <v>1.6647360290649037E-217</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5.5245188990655253E-2</v>
      </c>
      <c r="C306" s="3">
        <f t="shared" si="288"/>
        <v>5.5245188990655253E-2</v>
      </c>
      <c r="D306" s="3">
        <f t="shared" si="288"/>
        <v>5.5245188990655253E-2</v>
      </c>
      <c r="E306" s="3">
        <f t="shared" si="288"/>
        <v>5.5245188990655253E-2</v>
      </c>
      <c r="F306" s="3">
        <f t="shared" si="288"/>
        <v>5.5245188990655225E-2</v>
      </c>
      <c r="G306" s="3">
        <f t="shared" si="288"/>
        <v>5.524518899065501E-2</v>
      </c>
      <c r="H306" s="3">
        <f t="shared" si="288"/>
        <v>5.5245188990652783E-2</v>
      </c>
      <c r="I306" s="3">
        <f t="shared" si="288"/>
        <v>5.5245188990630516E-2</v>
      </c>
      <c r="J306" s="3">
        <f t="shared" si="288"/>
        <v>5.5245188990407881E-2</v>
      </c>
      <c r="K306" s="3">
        <f t="shared" si="288"/>
        <v>5.5245188988181489E-2</v>
      </c>
      <c r="L306" s="3">
        <f t="shared" si="288"/>
        <v>5.5245188965917583E-2</v>
      </c>
      <c r="M306" s="3">
        <f t="shared" si="288"/>
        <v>5.5245188743278544E-2</v>
      </c>
      <c r="N306" s="3">
        <f t="shared" si="288"/>
        <v>5.5245186516888263E-2</v>
      </c>
      <c r="O306" s="3">
        <f t="shared" si="288"/>
        <v>5.5245164252990316E-2</v>
      </c>
      <c r="P306" s="3">
        <f t="shared" si="288"/>
        <v>5.5244941614504328E-2</v>
      </c>
      <c r="Q306" s="3">
        <f t="shared" si="288"/>
        <v>5.5242715278991793E-2</v>
      </c>
      <c r="R306" s="3">
        <f t="shared" si="288"/>
        <v>5.522045685786358E-2</v>
      </c>
      <c r="S306" s="3">
        <f t="shared" si="288"/>
        <v>5.4998365311377188E-2</v>
      </c>
      <c r="T306" s="3">
        <f t="shared" si="288"/>
        <v>5.2825989562266376E-2</v>
      </c>
      <c r="U306" s="3">
        <f t="shared" si="288"/>
        <v>3.5304189020598759E-2</v>
      </c>
      <c r="V306" s="3">
        <f t="shared" si="288"/>
        <v>6.2749782428697155E-4</v>
      </c>
      <c r="W306" s="3">
        <f t="shared" si="288"/>
        <v>1.974567892336904E-21</v>
      </c>
      <c r="X306" s="3">
        <f t="shared" si="288"/>
        <v>1.8796220709563591E-196</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6.6645884688751614E-2</v>
      </c>
      <c r="C307" s="3">
        <f t="shared" si="289"/>
        <v>6.6645884688751614E-2</v>
      </c>
      <c r="D307" s="3">
        <f t="shared" si="289"/>
        <v>6.6645884688751614E-2</v>
      </c>
      <c r="E307" s="3">
        <f t="shared" si="289"/>
        <v>6.6645884688751614E-2</v>
      </c>
      <c r="F307" s="3">
        <f t="shared" si="289"/>
        <v>6.6645884688751614E-2</v>
      </c>
      <c r="G307" s="3">
        <f t="shared" si="289"/>
        <v>6.6645884688751586E-2</v>
      </c>
      <c r="H307" s="3">
        <f t="shared" si="289"/>
        <v>6.664588468875135E-2</v>
      </c>
      <c r="I307" s="3">
        <f t="shared" si="289"/>
        <v>6.6645884688748921E-2</v>
      </c>
      <c r="J307" s="3">
        <f t="shared" si="289"/>
        <v>6.6645884688724691E-2</v>
      </c>
      <c r="K307" s="3">
        <f t="shared" si="289"/>
        <v>6.6645884688482412E-2</v>
      </c>
      <c r="L307" s="3">
        <f t="shared" si="289"/>
        <v>6.6645884686059559E-2</v>
      </c>
      <c r="M307" s="3">
        <f t="shared" si="289"/>
        <v>6.6645884661831051E-2</v>
      </c>
      <c r="N307" s="3">
        <f t="shared" si="289"/>
        <v>6.6645884419545914E-2</v>
      </c>
      <c r="O307" s="3">
        <f t="shared" si="289"/>
        <v>6.6645881996694592E-2</v>
      </c>
      <c r="P307" s="3">
        <f t="shared" si="289"/>
        <v>6.6645857768186198E-2</v>
      </c>
      <c r="Q307" s="3">
        <f t="shared" si="289"/>
        <v>6.6645615483586843E-2</v>
      </c>
      <c r="R307" s="3">
        <f t="shared" si="289"/>
        <v>6.6643192686036884E-2</v>
      </c>
      <c r="S307" s="3">
        <f t="shared" si="289"/>
        <v>6.6618969554245608E-2</v>
      </c>
      <c r="T307" s="3">
        <f t="shared" si="289"/>
        <v>6.637722195628315E-2</v>
      </c>
      <c r="U307" s="3">
        <f t="shared" si="289"/>
        <v>6.4007473597701731E-2</v>
      </c>
      <c r="V307" s="3">
        <f t="shared" si="289"/>
        <v>4.4498648527402727E-2</v>
      </c>
      <c r="W307" s="3">
        <f t="shared" si="289"/>
        <v>1.1735677746017676E-3</v>
      </c>
      <c r="X307" s="3">
        <f t="shared" si="289"/>
        <v>1.9103886063889255E-19</v>
      </c>
      <c r="Y307" s="3">
        <f t="shared" si="289"/>
        <v>2.4960722775896412E-177</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2.5869055396656026E-2</v>
      </c>
      <c r="C308" s="3">
        <f t="shared" si="290"/>
        <v>2.5869055396656026E-2</v>
      </c>
      <c r="D308" s="3">
        <f t="shared" si="290"/>
        <v>2.5869055396656026E-2</v>
      </c>
      <c r="E308" s="3">
        <f t="shared" si="290"/>
        <v>2.5869055396656026E-2</v>
      </c>
      <c r="F308" s="3">
        <f t="shared" si="290"/>
        <v>2.5869055396656026E-2</v>
      </c>
      <c r="G308" s="3">
        <f t="shared" si="290"/>
        <v>2.5869055396656026E-2</v>
      </c>
      <c r="H308" s="3">
        <f t="shared" si="290"/>
        <v>2.5869055396656019E-2</v>
      </c>
      <c r="I308" s="3">
        <f t="shared" si="290"/>
        <v>2.5869055396655932E-2</v>
      </c>
      <c r="J308" s="3">
        <f t="shared" si="290"/>
        <v>2.5869055396655082E-2</v>
      </c>
      <c r="K308" s="3">
        <f t="shared" si="290"/>
        <v>2.5869055396646599E-2</v>
      </c>
      <c r="L308" s="3">
        <f t="shared" si="290"/>
        <v>2.5869055396561761E-2</v>
      </c>
      <c r="M308" s="3">
        <f t="shared" si="290"/>
        <v>2.5869055395713401E-2</v>
      </c>
      <c r="N308" s="3">
        <f t="shared" si="290"/>
        <v>2.5869055387229795E-2</v>
      </c>
      <c r="O308" s="3">
        <f t="shared" si="290"/>
        <v>2.5869055302393716E-2</v>
      </c>
      <c r="P308" s="3">
        <f t="shared" si="290"/>
        <v>2.5869054454032918E-2</v>
      </c>
      <c r="Q308" s="3">
        <f t="shared" si="290"/>
        <v>2.586904597042651E-2</v>
      </c>
      <c r="R308" s="3">
        <f t="shared" si="290"/>
        <v>2.5868961134515419E-2</v>
      </c>
      <c r="S308" s="3">
        <f t="shared" si="290"/>
        <v>2.5868112790706155E-2</v>
      </c>
      <c r="T308" s="3">
        <f t="shared" si="290"/>
        <v>2.5859630882590016E-2</v>
      </c>
      <c r="U308" s="3">
        <f t="shared" si="290"/>
        <v>2.5774964613596733E-2</v>
      </c>
      <c r="V308" s="3">
        <f t="shared" si="290"/>
        <v>2.4943399334428708E-2</v>
      </c>
      <c r="W308" s="3">
        <f t="shared" si="290"/>
        <v>1.7969304129374593E-2</v>
      </c>
      <c r="X308" s="3">
        <f t="shared" si="290"/>
        <v>6.7653061437466394E-4</v>
      </c>
      <c r="Y308" s="3">
        <f t="shared" si="290"/>
        <v>3.8712338209316832E-18</v>
      </c>
      <c r="Z308" s="3">
        <f t="shared" si="290"/>
        <v>1.457031348036554E-160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4.8591449840458205E-2</v>
      </c>
      <c r="C309" s="3">
        <f t="shared" si="291"/>
        <v>4.8591449840458205E-2</v>
      </c>
      <c r="D309" s="3">
        <f t="shared" si="291"/>
        <v>4.8591449840458205E-2</v>
      </c>
      <c r="E309" s="3">
        <f t="shared" si="291"/>
        <v>4.8591449840458205E-2</v>
      </c>
      <c r="F309" s="3">
        <f t="shared" si="291"/>
        <v>4.8591449840458205E-2</v>
      </c>
      <c r="G309" s="3">
        <f t="shared" si="291"/>
        <v>4.8591449840458205E-2</v>
      </c>
      <c r="H309" s="3">
        <f t="shared" si="291"/>
        <v>4.8591449840458198E-2</v>
      </c>
      <c r="I309" s="3">
        <f t="shared" si="291"/>
        <v>4.8591449840458156E-2</v>
      </c>
      <c r="J309" s="3">
        <f t="shared" si="291"/>
        <v>4.8591449840457712E-2</v>
      </c>
      <c r="K309" s="3">
        <f t="shared" si="291"/>
        <v>4.8591449840453306E-2</v>
      </c>
      <c r="L309" s="3">
        <f t="shared" si="291"/>
        <v>4.8591449840409237E-2</v>
      </c>
      <c r="M309" s="3">
        <f t="shared" si="291"/>
        <v>4.8591449839968506E-2</v>
      </c>
      <c r="N309" s="3">
        <f t="shared" si="291"/>
        <v>4.8591449835561205E-2</v>
      </c>
      <c r="O309" s="3">
        <f t="shared" si="291"/>
        <v>4.8591449791488189E-2</v>
      </c>
      <c r="P309" s="3">
        <f t="shared" si="291"/>
        <v>4.8591449350758056E-2</v>
      </c>
      <c r="Q309" s="3">
        <f t="shared" si="291"/>
        <v>4.8591444943456949E-2</v>
      </c>
      <c r="R309" s="3">
        <f t="shared" si="291"/>
        <v>4.8591400870467816E-2</v>
      </c>
      <c r="S309" s="3">
        <f t="shared" si="291"/>
        <v>4.8590960142775148E-2</v>
      </c>
      <c r="T309" s="3">
        <f t="shared" si="291"/>
        <v>4.8586553085701298E-2</v>
      </c>
      <c r="U309" s="3">
        <f t="shared" si="291"/>
        <v>4.8542504492873118E-2</v>
      </c>
      <c r="V309" s="3">
        <f t="shared" si="291"/>
        <v>4.8104208997818643E-2</v>
      </c>
      <c r="W309" s="3">
        <f t="shared" si="291"/>
        <v>4.3933121354245472E-2</v>
      </c>
      <c r="X309" s="3">
        <f t="shared" si="291"/>
        <v>1.7737070141241373E-2</v>
      </c>
      <c r="Y309" s="3">
        <f t="shared" si="291"/>
        <v>2.0407044774166507E-6</v>
      </c>
      <c r="Z309" s="3">
        <f t="shared" si="291"/>
        <v>8.2939699277678141E-46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2.853497416803049E-2</v>
      </c>
      <c r="C310" s="3">
        <f t="shared" si="292"/>
        <v>2.853497416803049E-2</v>
      </c>
      <c r="D310" s="3">
        <f t="shared" si="292"/>
        <v>2.853497416803049E-2</v>
      </c>
      <c r="E310" s="3">
        <f t="shared" si="292"/>
        <v>2.853497416803049E-2</v>
      </c>
      <c r="F310" s="3">
        <f t="shared" si="292"/>
        <v>2.853497416803049E-2</v>
      </c>
      <c r="G310" s="3">
        <f t="shared" si="292"/>
        <v>2.853497416803049E-2</v>
      </c>
      <c r="H310" s="3">
        <f t="shared" si="292"/>
        <v>2.853497416803049E-2</v>
      </c>
      <c r="I310" s="3">
        <f t="shared" si="292"/>
        <v>2.8534974168030487E-2</v>
      </c>
      <c r="J310" s="3">
        <f t="shared" si="292"/>
        <v>2.8534974168030462E-2</v>
      </c>
      <c r="K310" s="3">
        <f t="shared" si="292"/>
        <v>2.8534974168030202E-2</v>
      </c>
      <c r="L310" s="3">
        <f t="shared" si="292"/>
        <v>2.8534974168027614E-2</v>
      </c>
      <c r="M310" s="3">
        <f t="shared" si="292"/>
        <v>2.8534974168001735E-2</v>
      </c>
      <c r="N310" s="3">
        <f t="shared" si="292"/>
        <v>2.8534974167742918E-2</v>
      </c>
      <c r="O310" s="3">
        <f t="shared" si="292"/>
        <v>2.8534974165154763E-2</v>
      </c>
      <c r="P310" s="3">
        <f t="shared" si="292"/>
        <v>2.8534974139273209E-2</v>
      </c>
      <c r="Q310" s="3">
        <f t="shared" si="292"/>
        <v>2.8534973880457653E-2</v>
      </c>
      <c r="R310" s="3">
        <f t="shared" si="292"/>
        <v>2.8534971292302251E-2</v>
      </c>
      <c r="S310" s="3">
        <f t="shared" si="292"/>
        <v>2.853494541076115E-2</v>
      </c>
      <c r="T310" s="3">
        <f t="shared" si="292"/>
        <v>2.8534686596641243E-2</v>
      </c>
      <c r="U310" s="3">
        <f t="shared" si="292"/>
        <v>2.8532098584549154E-2</v>
      </c>
      <c r="V310" s="3">
        <f t="shared" si="292"/>
        <v>2.8506231369995621E-2</v>
      </c>
      <c r="W310" s="3">
        <f t="shared" si="292"/>
        <v>2.8248845540381411E-2</v>
      </c>
      <c r="X310" s="3">
        <f t="shared" si="292"/>
        <v>2.5799404773482301E-2</v>
      </c>
      <c r="Y310" s="3">
        <f t="shared" si="292"/>
        <v>1.0415964947715066E-2</v>
      </c>
      <c r="Z310" s="3">
        <f t="shared" si="292"/>
        <v>1.1983888058261565E-6</v>
      </c>
      <c r="AA310" s="3">
        <f t="shared" si="292"/>
        <v>4.8705732884352347E-46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1.8710063230340357E-2</v>
      </c>
      <c r="C311" s="3">
        <f t="shared" si="293"/>
        <v>1.8710063230340357E-2</v>
      </c>
      <c r="D311" s="3">
        <f t="shared" si="293"/>
        <v>1.8710063230340357E-2</v>
      </c>
      <c r="E311" s="3">
        <f t="shared" si="293"/>
        <v>1.8710063230340357E-2</v>
      </c>
      <c r="F311" s="3">
        <f t="shared" si="293"/>
        <v>1.8710063230340357E-2</v>
      </c>
      <c r="G311" s="3">
        <f t="shared" si="293"/>
        <v>1.8710063230340357E-2</v>
      </c>
      <c r="H311" s="3">
        <f t="shared" si="293"/>
        <v>1.8710063230340357E-2</v>
      </c>
      <c r="I311" s="3">
        <f t="shared" si="293"/>
        <v>1.8710063230340357E-2</v>
      </c>
      <c r="J311" s="3">
        <f t="shared" si="293"/>
        <v>1.8710063230340353E-2</v>
      </c>
      <c r="K311" s="3">
        <f t="shared" si="293"/>
        <v>1.871006323034034E-2</v>
      </c>
      <c r="L311" s="3">
        <f t="shared" si="293"/>
        <v>1.871006323034017E-2</v>
      </c>
      <c r="M311" s="3">
        <f t="shared" si="293"/>
        <v>1.871006323033847E-2</v>
      </c>
      <c r="N311" s="3">
        <f t="shared" si="293"/>
        <v>1.87100632303215E-2</v>
      </c>
      <c r="O311" s="3">
        <f t="shared" si="293"/>
        <v>1.8710063230151799E-2</v>
      </c>
      <c r="P311" s="3">
        <f t="shared" si="293"/>
        <v>1.8710063228454775E-2</v>
      </c>
      <c r="Q311" s="3">
        <f t="shared" si="293"/>
        <v>1.8710063211484527E-2</v>
      </c>
      <c r="R311" s="3">
        <f t="shared" si="293"/>
        <v>1.8710063041782066E-2</v>
      </c>
      <c r="S311" s="3">
        <f t="shared" si="293"/>
        <v>1.8710061344757535E-2</v>
      </c>
      <c r="T311" s="3">
        <f t="shared" si="293"/>
        <v>1.871004437452067E-2</v>
      </c>
      <c r="U311" s="3">
        <f t="shared" si="293"/>
        <v>1.8709874672998606E-2</v>
      </c>
      <c r="V311" s="3">
        <f t="shared" si="293"/>
        <v>1.870817774243197E-2</v>
      </c>
      <c r="W311" s="3">
        <f t="shared" si="293"/>
        <v>1.8691216899326263E-2</v>
      </c>
      <c r="X311" s="3">
        <f t="shared" si="293"/>
        <v>1.8522451891223653E-2</v>
      </c>
      <c r="Y311" s="3">
        <f t="shared" si="293"/>
        <v>1.6916380991779802E-2</v>
      </c>
      <c r="Z311" s="3">
        <f t="shared" si="293"/>
        <v>6.8296316523425368E-3</v>
      </c>
      <c r="AA311" s="3">
        <f t="shared" si="293"/>
        <v>7.8577012894794021E-7</v>
      </c>
      <c r="AB311" s="3">
        <f t="shared" si="293"/>
        <v>3.1935803991975297E-46</v>
      </c>
      <c r="AC311" s="3">
        <f t="shared" si="293"/>
        <v>0</v>
      </c>
      <c r="AD311" s="3">
        <f t="shared" si="293"/>
        <v>0</v>
      </c>
      <c r="AE311" s="3">
        <f t="shared" si="293"/>
        <v>0</v>
      </c>
      <c r="AF311" s="3">
        <f t="shared" si="293"/>
        <v>0</v>
      </c>
      <c r="AG311" s="3"/>
      <c r="AH311" s="3"/>
    </row>
    <row r="312" spans="1:34" x14ac:dyDescent="0.25">
      <c r="B312" s="3">
        <f t="shared" ref="B312:AF312" si="294">$C42*EXP(-B$285/$A42/EXP(-$F$126))</f>
        <v>7.6798609611155137E-3</v>
      </c>
      <c r="C312" s="3">
        <f t="shared" si="294"/>
        <v>7.6798609611155137E-3</v>
      </c>
      <c r="D312" s="3">
        <f t="shared" si="294"/>
        <v>7.6798609611155137E-3</v>
      </c>
      <c r="E312" s="3">
        <f t="shared" si="294"/>
        <v>7.6798609611155137E-3</v>
      </c>
      <c r="F312" s="3">
        <f t="shared" si="294"/>
        <v>7.6798609611155137E-3</v>
      </c>
      <c r="G312" s="3">
        <f t="shared" si="294"/>
        <v>7.6798609611155137E-3</v>
      </c>
      <c r="H312" s="3">
        <f t="shared" si="294"/>
        <v>7.6798609611155137E-3</v>
      </c>
      <c r="I312" s="3">
        <f t="shared" si="294"/>
        <v>7.6798609611155137E-3</v>
      </c>
      <c r="J312" s="3">
        <f t="shared" si="294"/>
        <v>7.6798609611155137E-3</v>
      </c>
      <c r="K312" s="3">
        <f t="shared" si="294"/>
        <v>7.6798609611155129E-3</v>
      </c>
      <c r="L312" s="3">
        <f t="shared" si="294"/>
        <v>7.6798609611155059E-3</v>
      </c>
      <c r="M312" s="3">
        <f t="shared" si="294"/>
        <v>7.6798609611154365E-3</v>
      </c>
      <c r="N312" s="3">
        <f t="shared" si="294"/>
        <v>7.6798609611147392E-3</v>
      </c>
      <c r="O312" s="3">
        <f t="shared" si="294"/>
        <v>7.6798609611077743E-3</v>
      </c>
      <c r="P312" s="3">
        <f t="shared" si="294"/>
        <v>7.6798609610381164E-3</v>
      </c>
      <c r="Q312" s="3">
        <f t="shared" si="294"/>
        <v>7.6798609603415443E-3</v>
      </c>
      <c r="R312" s="3">
        <f t="shared" si="294"/>
        <v>7.6798609533758212E-3</v>
      </c>
      <c r="S312" s="3">
        <f t="shared" si="294"/>
        <v>7.6798608837185837E-3</v>
      </c>
      <c r="T312" s="3">
        <f t="shared" si="294"/>
        <v>7.6798601871462474E-3</v>
      </c>
      <c r="U312" s="3">
        <f t="shared" si="294"/>
        <v>7.6798532214263568E-3</v>
      </c>
      <c r="V312" s="3">
        <f t="shared" si="294"/>
        <v>7.6797835645749457E-3</v>
      </c>
      <c r="W312" s="3">
        <f t="shared" si="294"/>
        <v>7.6790870308084914E-3</v>
      </c>
      <c r="X312" s="3">
        <f t="shared" si="294"/>
        <v>7.6721251667446703E-3</v>
      </c>
      <c r="Y312" s="3">
        <f t="shared" si="294"/>
        <v>7.6028527232807792E-3</v>
      </c>
      <c r="Z312" s="3">
        <f t="shared" si="294"/>
        <v>6.9436138393939003E-3</v>
      </c>
      <c r="AA312" s="3">
        <f t="shared" si="294"/>
        <v>2.8033374799380706E-3</v>
      </c>
      <c r="AB312" s="3">
        <f t="shared" si="294"/>
        <v>3.2253259988625986E-7</v>
      </c>
      <c r="AC312" s="3">
        <f t="shared" si="294"/>
        <v>1.3108589282696211E-46</v>
      </c>
      <c r="AD312" s="3">
        <f t="shared" si="294"/>
        <v>0</v>
      </c>
      <c r="AE312" s="3">
        <f t="shared" si="294"/>
        <v>0</v>
      </c>
      <c r="AF312" s="3">
        <f t="shared" si="294"/>
        <v>0</v>
      </c>
      <c r="AG312" s="3"/>
      <c r="AH312" s="3"/>
    </row>
    <row r="313" spans="1:34" x14ac:dyDescent="0.25">
      <c r="B313" s="3">
        <f t="shared" ref="B313:AF313" si="295">$C43*EXP(-B$285/$A43/EXP(-$F$126))</f>
        <v>4.1102249961922147E-3</v>
      </c>
      <c r="C313" s="3">
        <f t="shared" si="295"/>
        <v>4.1102249961922147E-3</v>
      </c>
      <c r="D313" s="3">
        <f t="shared" si="295"/>
        <v>4.1102249961922147E-3</v>
      </c>
      <c r="E313" s="3">
        <f t="shared" si="295"/>
        <v>4.1102249961922147E-3</v>
      </c>
      <c r="F313" s="3">
        <f t="shared" si="295"/>
        <v>4.1102249961922147E-3</v>
      </c>
      <c r="G313" s="3">
        <f t="shared" si="295"/>
        <v>4.1102249961922147E-3</v>
      </c>
      <c r="H313" s="3">
        <f t="shared" si="295"/>
        <v>4.1102249961922147E-3</v>
      </c>
      <c r="I313" s="3">
        <f t="shared" si="295"/>
        <v>4.1102249961922147E-3</v>
      </c>
      <c r="J313" s="3">
        <f t="shared" si="295"/>
        <v>4.1102249961922147E-3</v>
      </c>
      <c r="K313" s="3">
        <f t="shared" si="295"/>
        <v>4.1102249961922147E-3</v>
      </c>
      <c r="L313" s="3">
        <f t="shared" si="295"/>
        <v>4.1102249961922138E-3</v>
      </c>
      <c r="M313" s="3">
        <f t="shared" si="295"/>
        <v>4.1102249961922103E-3</v>
      </c>
      <c r="N313" s="3">
        <f t="shared" si="295"/>
        <v>4.110224996192173E-3</v>
      </c>
      <c r="O313" s="3">
        <f t="shared" si="295"/>
        <v>4.1102249961918001E-3</v>
      </c>
      <c r="P313" s="3">
        <f t="shared" si="295"/>
        <v>4.110224996188073E-3</v>
      </c>
      <c r="Q313" s="3">
        <f t="shared" si="295"/>
        <v>4.1102249961507921E-3</v>
      </c>
      <c r="R313" s="3">
        <f t="shared" si="295"/>
        <v>4.1102249957779904E-3</v>
      </c>
      <c r="S313" s="3">
        <f t="shared" si="295"/>
        <v>4.1102249920499682E-3</v>
      </c>
      <c r="T313" s="3">
        <f t="shared" si="295"/>
        <v>4.1102249547697468E-3</v>
      </c>
      <c r="U313" s="3">
        <f t="shared" si="295"/>
        <v>4.1102245819675505E-3</v>
      </c>
      <c r="V313" s="3">
        <f t="shared" si="295"/>
        <v>4.110220853947453E-3</v>
      </c>
      <c r="W313" s="3">
        <f t="shared" si="295"/>
        <v>4.1101835739324535E-3</v>
      </c>
      <c r="X313" s="3">
        <f t="shared" si="295"/>
        <v>4.1098107923792362E-3</v>
      </c>
      <c r="Y313" s="3">
        <f t="shared" si="295"/>
        <v>4.1060848359016269E-3</v>
      </c>
      <c r="Z313" s="3">
        <f t="shared" si="295"/>
        <v>4.0690105542037927E-3</v>
      </c>
      <c r="AA313" s="3">
        <f t="shared" si="295"/>
        <v>3.7161890444482137E-3</v>
      </c>
      <c r="AB313" s="3">
        <f t="shared" si="295"/>
        <v>1.5003328629442148E-3</v>
      </c>
      <c r="AC313" s="3">
        <f t="shared" si="295"/>
        <v>1.7261791077358384E-7</v>
      </c>
      <c r="AD313" s="3">
        <f t="shared" si="295"/>
        <v>7.0156545290800785E-47</v>
      </c>
      <c r="AE313" s="3">
        <f t="shared" si="295"/>
        <v>0</v>
      </c>
      <c r="AF313" s="3">
        <f t="shared" si="295"/>
        <v>0</v>
      </c>
      <c r="AG313" s="3"/>
      <c r="AH313" s="3"/>
    </row>
    <row r="314" spans="1:34" x14ac:dyDescent="0.25">
      <c r="B314" s="3">
        <f t="shared" ref="B314:AF314" si="296">$C44*EXP(-B$285/$A44/EXP(-$F$126))</f>
        <v>3.1066969837399792E-3</v>
      </c>
      <c r="C314" s="3">
        <f t="shared" si="296"/>
        <v>3.1066969837399792E-3</v>
      </c>
      <c r="D314" s="3">
        <f t="shared" si="296"/>
        <v>3.1066969837399792E-3</v>
      </c>
      <c r="E314" s="3">
        <f t="shared" si="296"/>
        <v>3.1066969837399792E-3</v>
      </c>
      <c r="F314" s="3">
        <f t="shared" si="296"/>
        <v>3.1066969837399792E-3</v>
      </c>
      <c r="G314" s="3">
        <f t="shared" si="296"/>
        <v>3.1066969837399792E-3</v>
      </c>
      <c r="H314" s="3">
        <f t="shared" si="296"/>
        <v>3.1066969837399792E-3</v>
      </c>
      <c r="I314" s="3">
        <f t="shared" si="296"/>
        <v>3.1066969837399792E-3</v>
      </c>
      <c r="J314" s="3">
        <f t="shared" si="296"/>
        <v>3.1066969837399792E-3</v>
      </c>
      <c r="K314" s="3">
        <f t="shared" si="296"/>
        <v>3.1066969837399792E-3</v>
      </c>
      <c r="L314" s="3">
        <f t="shared" si="296"/>
        <v>3.1066969837399792E-3</v>
      </c>
      <c r="M314" s="3">
        <f t="shared" si="296"/>
        <v>3.1066969837399787E-3</v>
      </c>
      <c r="N314" s="3">
        <f t="shared" si="296"/>
        <v>3.1066969837399761E-3</v>
      </c>
      <c r="O314" s="3">
        <f t="shared" si="296"/>
        <v>3.1066969837399479E-3</v>
      </c>
      <c r="P314" s="3">
        <f t="shared" si="296"/>
        <v>3.1066969837396661E-3</v>
      </c>
      <c r="Q314" s="3">
        <f t="shared" si="296"/>
        <v>3.1066969837368484E-3</v>
      </c>
      <c r="R314" s="3">
        <f t="shared" si="296"/>
        <v>3.10669698370867E-3</v>
      </c>
      <c r="S314" s="3">
        <f t="shared" si="296"/>
        <v>3.1066969834268893E-3</v>
      </c>
      <c r="T314" s="3">
        <f t="shared" si="296"/>
        <v>3.1066969806090787E-3</v>
      </c>
      <c r="U314" s="3">
        <f t="shared" si="296"/>
        <v>3.1066969524309734E-3</v>
      </c>
      <c r="V314" s="3">
        <f t="shared" si="296"/>
        <v>3.1066966706499379E-3</v>
      </c>
      <c r="W314" s="3">
        <f t="shared" si="296"/>
        <v>3.1066938528409851E-3</v>
      </c>
      <c r="X314" s="3">
        <f t="shared" si="296"/>
        <v>3.1066656748920257E-3</v>
      </c>
      <c r="Y314" s="3">
        <f t="shared" si="296"/>
        <v>3.1063839094587356E-3</v>
      </c>
      <c r="Z314" s="3">
        <f t="shared" si="296"/>
        <v>3.1035676602847221E-3</v>
      </c>
      <c r="AA314" s="3">
        <f t="shared" si="296"/>
        <v>3.0755452140119044E-3</v>
      </c>
      <c r="AB314" s="3">
        <f t="shared" si="296"/>
        <v>2.8088664990579305E-3</v>
      </c>
      <c r="AC314" s="3">
        <f t="shared" si="296"/>
        <v>1.1340205424843813E-3</v>
      </c>
      <c r="AD314" s="3">
        <f t="shared" si="296"/>
        <v>1.3047255156021903E-7</v>
      </c>
      <c r="AE314" s="3">
        <f t="shared" si="296"/>
        <v>5.3027541763885326E-47</v>
      </c>
      <c r="AF314" s="3">
        <f t="shared" si="296"/>
        <v>0</v>
      </c>
      <c r="AG314" s="3"/>
      <c r="AH314" s="3"/>
    </row>
    <row r="315" spans="1:34" x14ac:dyDescent="0.25">
      <c r="B315" s="3">
        <f t="shared" ref="B315:AF315" si="297">$C45*EXP(-B$285/$A45/EXP(-$F$126))</f>
        <v>9.6514726179013565E-4</v>
      </c>
      <c r="C315" s="3">
        <f t="shared" si="297"/>
        <v>9.6514726179013565E-4</v>
      </c>
      <c r="D315" s="3">
        <f t="shared" si="297"/>
        <v>9.6514726179013565E-4</v>
      </c>
      <c r="E315" s="3">
        <f t="shared" si="297"/>
        <v>9.6514726179013565E-4</v>
      </c>
      <c r="F315" s="3">
        <f t="shared" si="297"/>
        <v>9.6514726179013565E-4</v>
      </c>
      <c r="G315" s="3">
        <f t="shared" si="297"/>
        <v>9.6514726179013565E-4</v>
      </c>
      <c r="H315" s="3">
        <f t="shared" si="297"/>
        <v>9.6514726179013565E-4</v>
      </c>
      <c r="I315" s="3">
        <f t="shared" si="297"/>
        <v>9.6514726179013565E-4</v>
      </c>
      <c r="J315" s="3">
        <f t="shared" si="297"/>
        <v>9.6514726179013565E-4</v>
      </c>
      <c r="K315" s="3">
        <f t="shared" si="297"/>
        <v>9.6514726179013565E-4</v>
      </c>
      <c r="L315" s="3">
        <f t="shared" si="297"/>
        <v>9.6514726179013565E-4</v>
      </c>
      <c r="M315" s="3">
        <f t="shared" si="297"/>
        <v>9.6514726179013565E-4</v>
      </c>
      <c r="N315" s="3">
        <f t="shared" si="297"/>
        <v>9.6514726179013554E-4</v>
      </c>
      <c r="O315" s="3">
        <f t="shared" si="297"/>
        <v>9.6514726179013468E-4</v>
      </c>
      <c r="P315" s="3">
        <f t="shared" si="297"/>
        <v>9.6514726179012589E-4</v>
      </c>
      <c r="Q315" s="3">
        <f t="shared" si="297"/>
        <v>9.651472617900384E-4</v>
      </c>
      <c r="R315" s="3">
        <f t="shared" si="297"/>
        <v>9.6514726178916301E-4</v>
      </c>
      <c r="S315" s="3">
        <f t="shared" si="297"/>
        <v>9.6514726178040895E-4</v>
      </c>
      <c r="T315" s="3">
        <f t="shared" si="297"/>
        <v>9.6514726169286906E-4</v>
      </c>
      <c r="U315" s="3">
        <f t="shared" si="297"/>
        <v>9.6514726081746915E-4</v>
      </c>
      <c r="V315" s="3">
        <f t="shared" si="297"/>
        <v>9.6514725206347065E-4</v>
      </c>
      <c r="W315" s="3">
        <f t="shared" si="297"/>
        <v>9.6514716452348953E-4</v>
      </c>
      <c r="X315" s="3">
        <f t="shared" si="297"/>
        <v>9.6514628912411544E-4</v>
      </c>
      <c r="Y315" s="3">
        <f t="shared" si="297"/>
        <v>9.6513753517404454E-4</v>
      </c>
      <c r="Z315" s="3">
        <f t="shared" si="297"/>
        <v>9.6505000004016108E-4</v>
      </c>
      <c r="AA315" s="3">
        <f t="shared" si="297"/>
        <v>9.6417508523738383E-4</v>
      </c>
      <c r="AB315" s="3">
        <f t="shared" si="297"/>
        <v>9.5546944467107646E-4</v>
      </c>
      <c r="AC315" s="3">
        <f t="shared" si="297"/>
        <v>8.7262125160215043E-4</v>
      </c>
      <c r="AD315" s="3">
        <f t="shared" si="297"/>
        <v>3.523024057772642E-4</v>
      </c>
      <c r="AE315" s="3">
        <f t="shared" si="297"/>
        <v>4.0533475435870587E-8</v>
      </c>
      <c r="AF315" s="3">
        <f t="shared" si="297"/>
        <v>1.6473890759459897E-47</v>
      </c>
      <c r="AG315" s="3"/>
      <c r="AH315" s="3"/>
    </row>
    <row r="316" spans="1:34" x14ac:dyDescent="0.25">
      <c r="B316" s="3">
        <f t="shared" ref="B316:AF316" si="298">$C46*EXP(-B$285/$A46/EXP(-$F$126))</f>
        <v>1.0056328677851901E-3</v>
      </c>
      <c r="C316" s="3">
        <f t="shared" si="298"/>
        <v>1.0056328677851901E-3</v>
      </c>
      <c r="D316" s="3">
        <f t="shared" si="298"/>
        <v>1.0056328677851901E-3</v>
      </c>
      <c r="E316" s="3">
        <f t="shared" si="298"/>
        <v>1.0056328677851901E-3</v>
      </c>
      <c r="F316" s="3">
        <f t="shared" si="298"/>
        <v>1.0056328677851901E-3</v>
      </c>
      <c r="G316" s="3">
        <f t="shared" si="298"/>
        <v>1.0056328677851901E-3</v>
      </c>
      <c r="H316" s="3">
        <f t="shared" si="298"/>
        <v>1.0056328677851901E-3</v>
      </c>
      <c r="I316" s="3">
        <f t="shared" si="298"/>
        <v>1.0056328677851901E-3</v>
      </c>
      <c r="J316" s="3">
        <f t="shared" si="298"/>
        <v>1.0056328677851901E-3</v>
      </c>
      <c r="K316" s="3">
        <f t="shared" si="298"/>
        <v>1.0056328677851901E-3</v>
      </c>
      <c r="L316" s="3">
        <f t="shared" si="298"/>
        <v>1.0056328677851901E-3</v>
      </c>
      <c r="M316" s="3">
        <f t="shared" si="298"/>
        <v>1.0056328677851901E-3</v>
      </c>
      <c r="N316" s="3">
        <f t="shared" si="298"/>
        <v>1.0056328677851901E-3</v>
      </c>
      <c r="O316" s="3">
        <f t="shared" si="298"/>
        <v>1.0056328677851899E-3</v>
      </c>
      <c r="P316" s="3">
        <f t="shared" si="298"/>
        <v>1.005632867785189E-3</v>
      </c>
      <c r="Q316" s="3">
        <f t="shared" si="298"/>
        <v>1.0056328677851799E-3</v>
      </c>
      <c r="R316" s="3">
        <f t="shared" si="298"/>
        <v>1.0056328677850886E-3</v>
      </c>
      <c r="S316" s="3">
        <f t="shared" si="298"/>
        <v>1.0056328677841766E-3</v>
      </c>
      <c r="T316" s="3">
        <f t="shared" si="298"/>
        <v>1.0056328677750554E-3</v>
      </c>
      <c r="U316" s="3">
        <f t="shared" si="298"/>
        <v>1.0056328676838434E-3</v>
      </c>
      <c r="V316" s="3">
        <f t="shared" si="298"/>
        <v>1.0056328667717225E-3</v>
      </c>
      <c r="W316" s="3">
        <f t="shared" si="298"/>
        <v>1.0056328576505149E-3</v>
      </c>
      <c r="X316" s="3">
        <f t="shared" si="298"/>
        <v>1.005632766438442E-3</v>
      </c>
      <c r="Y316" s="3">
        <f t="shared" si="298"/>
        <v>1.0056318543181701E-3</v>
      </c>
      <c r="Z316" s="3">
        <f t="shared" si="298"/>
        <v>1.0056227331609511E-3</v>
      </c>
      <c r="AA316" s="3">
        <f t="shared" si="298"/>
        <v>1.0055315261387648E-3</v>
      </c>
      <c r="AB316" s="3">
        <f t="shared" si="298"/>
        <v>1.0046199107645961E-3</v>
      </c>
      <c r="AC316" s="3">
        <f t="shared" si="298"/>
        <v>9.9554908951772774E-4</v>
      </c>
      <c r="AD316" s="3">
        <f t="shared" si="298"/>
        <v>9.0922561403876878E-4</v>
      </c>
      <c r="AE316" s="3">
        <f t="shared" si="298"/>
        <v>3.6708064424519814E-4</v>
      </c>
      <c r="AF316" s="3">
        <f t="shared" si="298"/>
        <v>4.2233757228167381E-8</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2.1809087047795134E-2</v>
      </c>
      <c r="C318" s="3">
        <f t="shared" si="300"/>
        <v>2.1809087047795134E-2</v>
      </c>
      <c r="D318" s="3">
        <f t="shared" si="300"/>
        <v>2.1809087047795134E-2</v>
      </c>
      <c r="E318" s="3">
        <f t="shared" si="300"/>
        <v>2.1809087047795134E-2</v>
      </c>
      <c r="F318" s="3">
        <f t="shared" si="300"/>
        <v>2.1809087047795134E-2</v>
      </c>
      <c r="G318" s="3">
        <f t="shared" si="300"/>
        <v>2.1809087047795134E-2</v>
      </c>
      <c r="H318" s="3">
        <f t="shared" si="300"/>
        <v>2.1809087047795134E-2</v>
      </c>
      <c r="I318" s="3">
        <f t="shared" si="300"/>
        <v>2.1809087047795134E-2</v>
      </c>
      <c r="J318" s="3">
        <f t="shared" si="300"/>
        <v>2.1809087047795134E-2</v>
      </c>
      <c r="K318" s="3">
        <f t="shared" si="300"/>
        <v>2.1809087047795134E-2</v>
      </c>
      <c r="L318" s="3">
        <f t="shared" si="300"/>
        <v>2.1809087047795134E-2</v>
      </c>
      <c r="M318" s="3">
        <f t="shared" si="300"/>
        <v>2.1809087047795134E-2</v>
      </c>
      <c r="N318" s="3">
        <f t="shared" si="300"/>
        <v>2.1809087047795134E-2</v>
      </c>
      <c r="O318" s="3">
        <f t="shared" si="300"/>
        <v>2.1809087047795134E-2</v>
      </c>
      <c r="P318" s="3">
        <f t="shared" si="300"/>
        <v>2.1809087047795134E-2</v>
      </c>
      <c r="Q318" s="3">
        <f t="shared" si="300"/>
        <v>2.180908704779513E-2</v>
      </c>
      <c r="R318" s="3">
        <f t="shared" si="300"/>
        <v>2.1809087047795113E-2</v>
      </c>
      <c r="S318" s="3">
        <f t="shared" si="300"/>
        <v>2.1809087047794912E-2</v>
      </c>
      <c r="T318" s="3">
        <f t="shared" si="300"/>
        <v>2.1809087047792934E-2</v>
      </c>
      <c r="U318" s="3">
        <f t="shared" si="300"/>
        <v>2.1809087047773155E-2</v>
      </c>
      <c r="V318" s="3">
        <f t="shared" si="300"/>
        <v>2.1809087047575344E-2</v>
      </c>
      <c r="W318" s="3">
        <f t="shared" si="300"/>
        <v>2.1809087045597236E-2</v>
      </c>
      <c r="X318" s="3">
        <f t="shared" si="300"/>
        <v>2.1809087025816139E-2</v>
      </c>
      <c r="Y318" s="3">
        <f t="shared" si="300"/>
        <v>2.1809086828005166E-2</v>
      </c>
      <c r="Z318" s="3">
        <f t="shared" si="300"/>
        <v>2.1809084849895563E-2</v>
      </c>
      <c r="AA318" s="3">
        <f t="shared" si="300"/>
        <v>2.1809065068809395E-2</v>
      </c>
      <c r="AB318" s="3">
        <f t="shared" si="300"/>
        <v>2.1808867258934501E-2</v>
      </c>
      <c r="AC318" s="3">
        <f t="shared" si="300"/>
        <v>2.1806889258861161E-2</v>
      </c>
      <c r="AD318" s="3">
        <f t="shared" si="300"/>
        <v>2.178711912237672E-2</v>
      </c>
      <c r="AE318" s="3">
        <f t="shared" si="300"/>
        <v>2.1590400880058695E-2</v>
      </c>
      <c r="AF318" s="3">
        <f t="shared" si="300"/>
        <v>1.9718309929874108E-2</v>
      </c>
      <c r="AG318" s="3"/>
      <c r="AH318" s="3"/>
    </row>
    <row r="319" spans="1:34" x14ac:dyDescent="0.25">
      <c r="A319" s="79">
        <f>AVERAGE(B319:AF319)</f>
        <v>1.1588063132899676E-3</v>
      </c>
      <c r="B319" s="80">
        <f>IF($A$64&lt;=B285,IF($B$64&gt;=B285,ABS((B287-B286)/B286),0),0)</f>
        <v>7.6827611930777879E-3</v>
      </c>
      <c r="C319" s="80">
        <f t="shared" ref="C319:AF319" si="301">IF($A$64&lt;=C285,IF($B$64&gt;=C285,ABS((C287-C286)/C286),0),0)</f>
        <v>1.0126340985844851E-2</v>
      </c>
      <c r="D319" s="80">
        <f t="shared" si="301"/>
        <v>2.8866606633852791E-3</v>
      </c>
      <c r="E319" s="80">
        <f t="shared" si="301"/>
        <v>3.7895241727353799E-4</v>
      </c>
      <c r="F319" s="80">
        <f t="shared" si="301"/>
        <v>1.8634110070566559E-4</v>
      </c>
      <c r="G319" s="80">
        <f t="shared" si="301"/>
        <v>9.9771483630969451E-5</v>
      </c>
      <c r="H319" s="80">
        <f t="shared" si="301"/>
        <v>1.4380415614885839E-4</v>
      </c>
      <c r="I319" s="80">
        <f t="shared" si="301"/>
        <v>1.1409339495566398E-4</v>
      </c>
      <c r="J319" s="80">
        <f t="shared" si="301"/>
        <v>3.2743455480249516E-4</v>
      </c>
      <c r="K319" s="80">
        <f t="shared" si="301"/>
        <v>9.9739715863839468E-5</v>
      </c>
      <c r="L319" s="80">
        <f t="shared" si="301"/>
        <v>6.6550565600727155E-4</v>
      </c>
      <c r="M319" s="80">
        <f t="shared" si="301"/>
        <v>6.1304010030593275E-4</v>
      </c>
      <c r="N319" s="80">
        <f t="shared" si="301"/>
        <v>1.1692703069706217E-3</v>
      </c>
      <c r="O319" s="80">
        <f t="shared" si="301"/>
        <v>9.3799771753369206E-4</v>
      </c>
      <c r="P319" s="80">
        <f t="shared" si="301"/>
        <v>1.2232944664583938E-3</v>
      </c>
      <c r="Q319" s="80">
        <f t="shared" si="301"/>
        <v>6.2060628107374772E-4</v>
      </c>
      <c r="R319" s="80">
        <f t="shared" si="301"/>
        <v>9.8037650539879251E-4</v>
      </c>
      <c r="S319" s="80">
        <f t="shared" si="301"/>
        <v>6.3873203936565121E-5</v>
      </c>
      <c r="T319" s="80">
        <f t="shared" si="301"/>
        <v>7.5422767917486641E-4</v>
      </c>
      <c r="U319" s="80">
        <f t="shared" si="301"/>
        <v>4.4711808314326564E-4</v>
      </c>
      <c r="V319" s="80">
        <f t="shared" si="301"/>
        <v>7.9676483464766125E-4</v>
      </c>
      <c r="W319" s="80">
        <f t="shared" si="301"/>
        <v>7.0620796965064248E-4</v>
      </c>
      <c r="X319" s="80">
        <f t="shared" si="301"/>
        <v>1.41622109819525E-3</v>
      </c>
      <c r="Y319" s="80">
        <f t="shared" si="301"/>
        <v>1.0524198144863514E-3</v>
      </c>
      <c r="Z319" s="80">
        <f t="shared" si="301"/>
        <v>8.6560317694714655E-4</v>
      </c>
      <c r="AA319" s="80">
        <f t="shared" si="301"/>
        <v>4.2168087296704632E-4</v>
      </c>
      <c r="AB319" s="80">
        <f t="shared" si="301"/>
        <v>2.8465845485216778E-4</v>
      </c>
      <c r="AC319" s="80">
        <f t="shared" si="301"/>
        <v>1.2775385908859609E-4</v>
      </c>
      <c r="AD319" s="80">
        <f t="shared" si="301"/>
        <v>1.9947336398696585E-4</v>
      </c>
      <c r="AE319" s="80">
        <f t="shared" si="301"/>
        <v>8.0770055981448766E-5</v>
      </c>
      <c r="AF319" s="80">
        <f t="shared" si="301"/>
        <v>4.5023254549362706E-4</v>
      </c>
    </row>
    <row r="320" spans="1:34" x14ac:dyDescent="0.25">
      <c r="B320" s="21">
        <f>(B287-B286)^2</f>
        <v>5700.0696086281769</v>
      </c>
      <c r="C320" s="21">
        <f t="shared" ref="C320:AF320" si="302">(C287-C286)^2</f>
        <v>9361.1953577825225</v>
      </c>
      <c r="D320" s="21">
        <f t="shared" si="302"/>
        <v>721.8718038487558</v>
      </c>
      <c r="E320" s="21">
        <f t="shared" si="302"/>
        <v>11.76885660868202</v>
      </c>
      <c r="F320" s="21">
        <f t="shared" si="302"/>
        <v>2.6681491339403265</v>
      </c>
      <c r="G320" s="21">
        <f t="shared" si="302"/>
        <v>0.71879496701924539</v>
      </c>
      <c r="H320" s="21">
        <f t="shared" si="302"/>
        <v>1.4004285349468735</v>
      </c>
      <c r="I320" s="21">
        <f t="shared" si="302"/>
        <v>0.8138497282197823</v>
      </c>
      <c r="J320" s="21">
        <f t="shared" si="302"/>
        <v>6.0870916050430361</v>
      </c>
      <c r="K320" s="21">
        <f t="shared" si="302"/>
        <v>0.51096890671622097</v>
      </c>
      <c r="L320" s="21">
        <f t="shared" si="302"/>
        <v>20.889446044618911</v>
      </c>
      <c r="M320" s="21">
        <f t="shared" si="302"/>
        <v>16.264748626925087</v>
      </c>
      <c r="N320" s="21">
        <f t="shared" si="302"/>
        <v>54.237841789623303</v>
      </c>
      <c r="O320" s="21">
        <f t="shared" si="302"/>
        <v>31.719766343974001</v>
      </c>
      <c r="P320" s="21">
        <f t="shared" si="302"/>
        <v>49.11487504335232</v>
      </c>
      <c r="Q320" s="21">
        <f t="shared" si="302"/>
        <v>11.165010349708746</v>
      </c>
      <c r="R320" s="21">
        <f t="shared" si="302"/>
        <v>23.520868262613835</v>
      </c>
      <c r="S320" s="21">
        <f t="shared" si="302"/>
        <v>7.6894628956341415E-2</v>
      </c>
      <c r="T320" s="21">
        <f t="shared" si="302"/>
        <v>7.7694712274497038</v>
      </c>
      <c r="U320" s="21">
        <f t="shared" si="302"/>
        <v>1.8826481967561814</v>
      </c>
      <c r="V320" s="21">
        <f t="shared" si="302"/>
        <v>3.8641751486112432</v>
      </c>
      <c r="W320" s="21">
        <f t="shared" si="302"/>
        <v>1.7444720670090932</v>
      </c>
      <c r="X320" s="21">
        <f t="shared" si="302"/>
        <v>3.7186918693754372</v>
      </c>
      <c r="Y320" s="21">
        <f t="shared" si="302"/>
        <v>1.0610119171532271</v>
      </c>
      <c r="Z320" s="21">
        <f t="shared" si="302"/>
        <v>0.42151963379721402</v>
      </c>
      <c r="AA320" s="21">
        <f t="shared" si="302"/>
        <v>6.9998197868712392E-2</v>
      </c>
      <c r="AB320" s="21">
        <f t="shared" si="302"/>
        <v>2.6353483348355803E-2</v>
      </c>
      <c r="AC320" s="21">
        <f t="shared" si="302"/>
        <v>4.6713334117996236E-3</v>
      </c>
      <c r="AD320" s="21">
        <f t="shared" si="302"/>
        <v>1.0597025736345257E-2</v>
      </c>
      <c r="AE320" s="21">
        <f t="shared" si="302"/>
        <v>1.6582915254085219E-3</v>
      </c>
      <c r="AF320" s="21">
        <f t="shared" si="302"/>
        <v>4.6766228293543717E-2</v>
      </c>
      <c r="AG320" s="3"/>
      <c r="AH320" s="3"/>
    </row>
    <row r="321" spans="1:34" x14ac:dyDescent="0.25">
      <c r="A321" s="71">
        <f>SUM(B321:AF321)</f>
        <v>16034.71639545413</v>
      </c>
      <c r="B321" s="60">
        <f>IF($A$64&lt;=B285,IF($B$64&gt;=B285,ABS(B320),0),0)</f>
        <v>5700.0696086281769</v>
      </c>
      <c r="C321" s="60">
        <f t="shared" ref="C321" si="303">IF($A$64&lt;=C285,IF($B$64&gt;=C285,ABS(C320),0),0)</f>
        <v>9361.1953577825225</v>
      </c>
      <c r="D321" s="60">
        <f t="shared" ref="D321" si="304">IF($A$64&lt;=D285,IF($B$64&gt;=D285,ABS(D320),0),0)</f>
        <v>721.8718038487558</v>
      </c>
      <c r="E321" s="60">
        <f t="shared" ref="E321" si="305">IF($A$64&lt;=E285,IF($B$64&gt;=E285,ABS(E320),0),0)</f>
        <v>11.76885660868202</v>
      </c>
      <c r="F321" s="60">
        <f t="shared" ref="F321" si="306">IF($A$64&lt;=F285,IF($B$64&gt;=F285,ABS(F320),0),0)</f>
        <v>2.6681491339403265</v>
      </c>
      <c r="G321" s="60">
        <f t="shared" ref="G321" si="307">IF($A$64&lt;=G285,IF($B$64&gt;=G285,ABS(G320),0),0)</f>
        <v>0.71879496701924539</v>
      </c>
      <c r="H321" s="60">
        <f t="shared" ref="H321" si="308">IF($A$64&lt;=H285,IF($B$64&gt;=H285,ABS(H320),0),0)</f>
        <v>1.4004285349468735</v>
      </c>
      <c r="I321" s="60">
        <f t="shared" ref="I321" si="309">IF($A$64&lt;=I285,IF($B$64&gt;=I285,ABS(I320),0),0)</f>
        <v>0.8138497282197823</v>
      </c>
      <c r="J321" s="60">
        <f t="shared" ref="J321" si="310">IF($A$64&lt;=J285,IF($B$64&gt;=J285,ABS(J320),0),0)</f>
        <v>6.0870916050430361</v>
      </c>
      <c r="K321" s="60">
        <f t="shared" ref="K321" si="311">IF($A$64&lt;=K285,IF($B$64&gt;=K285,ABS(K320),0),0)</f>
        <v>0.51096890671622097</v>
      </c>
      <c r="L321" s="60">
        <f t="shared" ref="L321" si="312">IF($A$64&lt;=L285,IF($B$64&gt;=L285,ABS(L320),0),0)</f>
        <v>20.889446044618911</v>
      </c>
      <c r="M321" s="60">
        <f t="shared" ref="M321" si="313">IF($A$64&lt;=M285,IF($B$64&gt;=M285,ABS(M320),0),0)</f>
        <v>16.264748626925087</v>
      </c>
      <c r="N321" s="60">
        <f t="shared" ref="N321" si="314">IF($A$64&lt;=N285,IF($B$64&gt;=N285,ABS(N320),0),0)</f>
        <v>54.237841789623303</v>
      </c>
      <c r="O321" s="60">
        <f t="shared" ref="O321" si="315">IF($A$64&lt;=O285,IF($B$64&gt;=O285,ABS(O320),0),0)</f>
        <v>31.719766343974001</v>
      </c>
      <c r="P321" s="60">
        <f t="shared" ref="P321" si="316">IF($A$64&lt;=P285,IF($B$64&gt;=P285,ABS(P320),0),0)</f>
        <v>49.11487504335232</v>
      </c>
      <c r="Q321" s="60">
        <f t="shared" ref="Q321" si="317">IF($A$64&lt;=Q285,IF($B$64&gt;=Q285,ABS(Q320),0),0)</f>
        <v>11.165010349708746</v>
      </c>
      <c r="R321" s="60">
        <f t="shared" ref="R321" si="318">IF($A$64&lt;=R285,IF($B$64&gt;=R285,ABS(R320),0),0)</f>
        <v>23.520868262613835</v>
      </c>
      <c r="S321" s="60">
        <f t="shared" ref="S321" si="319">IF($A$64&lt;=S285,IF($B$64&gt;=S285,ABS(S320),0),0)</f>
        <v>7.6894628956341415E-2</v>
      </c>
      <c r="T321" s="60">
        <f t="shared" ref="T321" si="320">IF($A$64&lt;=T285,IF($B$64&gt;=T285,ABS(T320),0),0)</f>
        <v>7.7694712274497038</v>
      </c>
      <c r="U321" s="60">
        <f t="shared" ref="U321" si="321">IF($A$64&lt;=U285,IF($B$64&gt;=U285,ABS(U320),0),0)</f>
        <v>1.8826481967561814</v>
      </c>
      <c r="V321" s="60">
        <f t="shared" ref="V321" si="322">IF($A$64&lt;=V285,IF($B$64&gt;=V285,ABS(V320),0),0)</f>
        <v>3.8641751486112432</v>
      </c>
      <c r="W321" s="60">
        <f t="shared" ref="W321" si="323">IF($A$64&lt;=W285,IF($B$64&gt;=W285,ABS(W320),0),0)</f>
        <v>1.7444720670090932</v>
      </c>
      <c r="X321" s="60">
        <f t="shared" ref="X321" si="324">IF($A$64&lt;=X285,IF($B$64&gt;=X285,ABS(X320),0),0)</f>
        <v>3.7186918693754372</v>
      </c>
      <c r="Y321" s="60">
        <f t="shared" ref="Y321" si="325">IF($A$64&lt;=Y285,IF($B$64&gt;=Y285,ABS(Y320),0),0)</f>
        <v>1.0610119171532271</v>
      </c>
      <c r="Z321" s="60">
        <f t="shared" ref="Z321" si="326">IF($A$64&lt;=Z285,IF($B$64&gt;=Z285,ABS(Z320),0),0)</f>
        <v>0.42151963379721402</v>
      </c>
      <c r="AA321" s="60">
        <f t="shared" ref="AA321" si="327">IF($A$64&lt;=AA285,IF($B$64&gt;=AA285,ABS(AA320),0),0)</f>
        <v>6.9998197868712392E-2</v>
      </c>
      <c r="AB321" s="60">
        <f t="shared" ref="AB321" si="328">IF($A$64&lt;=AB285,IF($B$64&gt;=AB285,ABS(AB320),0),0)</f>
        <v>2.6353483348355803E-2</v>
      </c>
      <c r="AC321" s="60">
        <f t="shared" ref="AC321" si="329">IF($A$64&lt;=AC285,IF($B$64&gt;=AC285,ABS(AC320),0),0)</f>
        <v>4.6713334117996236E-3</v>
      </c>
      <c r="AD321" s="60">
        <f t="shared" ref="AD321" si="330">IF($A$64&lt;=AD285,IF($B$64&gt;=AD285,ABS(AD320),0),0)</f>
        <v>1.0597025736345257E-2</v>
      </c>
      <c r="AE321" s="60">
        <f t="shared" ref="AE321" si="331">IF($A$64&lt;=AE285,IF($B$64&gt;=AE285,ABS(AE320),0),0)</f>
        <v>1.6582915254085219E-3</v>
      </c>
      <c r="AF321" s="60">
        <f t="shared" ref="AF321" si="332">IF($A$64&lt;=AF285,IF($B$64&gt;=AF285,ABS(AF320),0),0)</f>
        <v>4.6766228293543717E-2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9184.8330465578165</v>
      </c>
      <c r="C326" s="27">
        <f t="shared" ref="C326:AF326" si="333">($C$17+SUM(C327:C357))*$B$51</f>
        <v>8948.0925116952967</v>
      </c>
      <c r="D326" s="27">
        <f t="shared" si="333"/>
        <v>8653.8188538782942</v>
      </c>
      <c r="E326" s="27">
        <f t="shared" si="333"/>
        <v>8389.8156410701104</v>
      </c>
      <c r="F326" s="27">
        <f t="shared" si="333"/>
        <v>8103.0019023235582</v>
      </c>
      <c r="G326" s="27">
        <f t="shared" si="333"/>
        <v>7752.9841890113066</v>
      </c>
      <c r="H326" s="27">
        <f t="shared" si="333"/>
        <v>7366.9889749153926</v>
      </c>
      <c r="I326" s="27">
        <f t="shared" si="333"/>
        <v>7018.4980707462901</v>
      </c>
      <c r="J326" s="27">
        <f t="shared" si="333"/>
        <v>6735.0133826542806</v>
      </c>
      <c r="K326" s="27">
        <f t="shared" si="333"/>
        <v>6448.3091439473765</v>
      </c>
      <c r="L326" s="27">
        <f t="shared" si="333"/>
        <v>6152.719691699469</v>
      </c>
      <c r="M326" s="27">
        <f t="shared" si="333"/>
        <v>5879.7978931078378</v>
      </c>
      <c r="N326" s="27">
        <f t="shared" si="333"/>
        <v>5569.6410797485814</v>
      </c>
      <c r="O326" s="27">
        <f t="shared" si="333"/>
        <v>5204.2612758880041</v>
      </c>
      <c r="P326" s="27">
        <f t="shared" si="333"/>
        <v>4670.6785342769845</v>
      </c>
      <c r="Q326" s="27">
        <f t="shared" si="333"/>
        <v>4042.9261321248782</v>
      </c>
      <c r="R326" s="27">
        <f t="shared" si="333"/>
        <v>3406.7272576701462</v>
      </c>
      <c r="S326" s="27">
        <f t="shared" si="333"/>
        <v>2809.9715251557345</v>
      </c>
      <c r="T326" s="27">
        <f t="shared" si="333"/>
        <v>2193.1508737691147</v>
      </c>
      <c r="U326" s="27">
        <f t="shared" si="333"/>
        <v>1685.6552699827153</v>
      </c>
      <c r="V326" s="27">
        <f t="shared" si="333"/>
        <v>1147.6518055767197</v>
      </c>
      <c r="W326" s="27">
        <f t="shared" si="333"/>
        <v>855.02381672445665</v>
      </c>
      <c r="X326" s="27">
        <f t="shared" si="333"/>
        <v>676.20907580613994</v>
      </c>
      <c r="Y326" s="27">
        <f t="shared" si="333"/>
        <v>595.37528114347117</v>
      </c>
      <c r="Z326" s="27">
        <f t="shared" si="333"/>
        <v>551.83158198810338</v>
      </c>
      <c r="AA326" s="27">
        <f t="shared" si="333"/>
        <v>523.15944199896762</v>
      </c>
      <c r="AB326" s="27">
        <f t="shared" si="333"/>
        <v>510.88322289913748</v>
      </c>
      <c r="AC326" s="27">
        <f t="shared" si="333"/>
        <v>496.97674224995137</v>
      </c>
      <c r="AD326" s="27">
        <f t="shared" si="333"/>
        <v>446.38495039282145</v>
      </c>
      <c r="AE326" s="27">
        <f t="shared" si="333"/>
        <v>282.97939897690105</v>
      </c>
      <c r="AF326" s="27">
        <f t="shared" si="333"/>
        <v>267.769064029351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3.9677474986329111E-5</v>
      </c>
      <c r="C328" s="3">
        <f t="shared" si="335"/>
        <v>1.5689875059431317E-32</v>
      </c>
      <c r="D328" s="3">
        <f t="shared" si="335"/>
        <v>1.4668107107512454E-306</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9.0718311341120451E-3</v>
      </c>
      <c r="C329" s="3">
        <f t="shared" si="336"/>
        <v>3.0600124505404039E-5</v>
      </c>
      <c r="D329" s="3">
        <f t="shared" si="336"/>
        <v>5.8345256519758807E-30</v>
      </c>
      <c r="E329" s="3">
        <f t="shared" si="336"/>
        <v>3.7053492945650735E-277</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2.9010749468803304E-2</v>
      </c>
      <c r="C330" s="3">
        <f t="shared" si="337"/>
        <v>1.7360671949506967E-2</v>
      </c>
      <c r="D330" s="3">
        <f t="shared" si="337"/>
        <v>1.0224506404149439E-4</v>
      </c>
      <c r="E330" s="3">
        <f t="shared" si="337"/>
        <v>5.1333462352459851E-27</v>
      </c>
      <c r="F330" s="3">
        <f t="shared" si="337"/>
        <v>5.2237528525904009E-250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2.5102000029815236E-2</v>
      </c>
      <c r="C331" s="3">
        <f t="shared" si="338"/>
        <v>2.3965834424977912E-2</v>
      </c>
      <c r="D331" s="3">
        <f t="shared" si="338"/>
        <v>1.5081163294170263E-2</v>
      </c>
      <c r="E331" s="3">
        <f t="shared" si="338"/>
        <v>1.4684451214842827E-4</v>
      </c>
      <c r="F331" s="3">
        <f t="shared" si="338"/>
        <v>1.1248290000855127E-24</v>
      </c>
      <c r="G331" s="3">
        <f t="shared" si="338"/>
        <v>7.823018260793348E-226</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2.5031542014002438E-2</v>
      </c>
      <c r="C332" s="3">
        <f t="shared" si="339"/>
        <v>2.4927171077008054E-2</v>
      </c>
      <c r="D332" s="3">
        <f t="shared" si="339"/>
        <v>2.3907099837336517E-2</v>
      </c>
      <c r="E332" s="3">
        <f t="shared" si="339"/>
        <v>1.5742217341985394E-2</v>
      </c>
      <c r="F332" s="3">
        <f t="shared" si="339"/>
        <v>2.4124370700781862E-4</v>
      </c>
      <c r="G332" s="3">
        <f t="shared" si="339"/>
        <v>1.7232841177922018E-22</v>
      </c>
      <c r="H332" s="3">
        <f t="shared" si="339"/>
        <v>5.9616408204594616E-204</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3.1857131303331128E-2</v>
      </c>
      <c r="C333" s="3">
        <f t="shared" si="340"/>
        <v>3.184512607623468E-2</v>
      </c>
      <c r="D333" s="3">
        <f t="shared" si="340"/>
        <v>3.1725322350761885E-2</v>
      </c>
      <c r="E333" s="3">
        <f t="shared" si="340"/>
        <v>3.0551796492413408E-2</v>
      </c>
      <c r="F333" s="3">
        <f t="shared" si="340"/>
        <v>2.0957710767089265E-2</v>
      </c>
      <c r="G333" s="3">
        <f t="shared" si="340"/>
        <v>4.8352033318780209E-4</v>
      </c>
      <c r="H333" s="3">
        <f t="shared" si="340"/>
        <v>2.0659686955542163E-20</v>
      </c>
      <c r="I333" s="3">
        <f t="shared" si="340"/>
        <v>4.1899967251325103E-184</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3.8271708862789307E-2</v>
      </c>
      <c r="C334" s="3">
        <f t="shared" si="341"/>
        <v>3.8270407607163548E-2</v>
      </c>
      <c r="D334" s="3">
        <f t="shared" si="341"/>
        <v>3.8257397484038579E-2</v>
      </c>
      <c r="E334" s="3">
        <f t="shared" si="341"/>
        <v>3.8127539260229708E-2</v>
      </c>
      <c r="F334" s="3">
        <f t="shared" si="341"/>
        <v>3.685295481402006E-2</v>
      </c>
      <c r="G334" s="3">
        <f t="shared" si="341"/>
        <v>2.6230567812678397E-2</v>
      </c>
      <c r="H334" s="3">
        <f t="shared" si="341"/>
        <v>8.7530914078783647E-4</v>
      </c>
      <c r="I334" s="3">
        <f t="shared" si="341"/>
        <v>1.4986464289781127E-18</v>
      </c>
      <c r="J334" s="3">
        <f t="shared" si="341"/>
        <v>3.2439666220051637E-166</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3.603369302056042E-2</v>
      </c>
      <c r="C335" s="3">
        <f t="shared" si="342"/>
        <v>3.6033582499040623E-2</v>
      </c>
      <c r="D335" s="3">
        <f t="shared" si="342"/>
        <v>3.6032477302486814E-2</v>
      </c>
      <c r="E335" s="3">
        <f t="shared" si="342"/>
        <v>3.6021427201156586E-2</v>
      </c>
      <c r="F335" s="3">
        <f t="shared" si="342"/>
        <v>3.591111239725147E-2</v>
      </c>
      <c r="G335" s="3">
        <f t="shared" si="342"/>
        <v>3.4826375699735103E-2</v>
      </c>
      <c r="H335" s="3">
        <f t="shared" si="342"/>
        <v>2.5627279559984735E-2</v>
      </c>
      <c r="I335" s="3">
        <f t="shared" si="342"/>
        <v>1.1930118670021726E-3</v>
      </c>
      <c r="J335" s="3">
        <f t="shared" si="342"/>
        <v>5.7025268029351688E-17</v>
      </c>
      <c r="K335" s="3">
        <f t="shared" si="342"/>
        <v>3.5505288902022463E-150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2.691816560700468E-2</v>
      </c>
      <c r="C336" s="3">
        <f t="shared" si="343"/>
        <v>2.6918158159157938E-2</v>
      </c>
      <c r="D336" s="3">
        <f t="shared" si="343"/>
        <v>2.6918083680803829E-2</v>
      </c>
      <c r="E336" s="3">
        <f t="shared" si="343"/>
        <v>2.6917338908596503E-2</v>
      </c>
      <c r="F336" s="3">
        <f t="shared" si="343"/>
        <v>2.690989231978292E-2</v>
      </c>
      <c r="G336" s="3">
        <f t="shared" si="343"/>
        <v>2.6835539641682355E-2</v>
      </c>
      <c r="H336" s="3">
        <f t="shared" si="343"/>
        <v>2.6103218820008184E-2</v>
      </c>
      <c r="I336" s="3">
        <f t="shared" si="343"/>
        <v>1.9793900096505401E-2</v>
      </c>
      <c r="J336" s="3">
        <f t="shared" si="343"/>
        <v>1.2442409007595086E-3</v>
      </c>
      <c r="K336" s="3">
        <f t="shared" si="343"/>
        <v>1.1984929057343604E-15</v>
      </c>
      <c r="L336" s="3">
        <f t="shared" si="343"/>
        <v>8.2403452925868714E-136</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2.7316066174592694E-2</v>
      </c>
      <c r="C337" s="3">
        <f t="shared" si="344"/>
        <v>2.7316065492803566E-2</v>
      </c>
      <c r="D337" s="3">
        <f t="shared" si="344"/>
        <v>2.7316058674913209E-2</v>
      </c>
      <c r="E337" s="3">
        <f t="shared" si="344"/>
        <v>2.7315990496103199E-2</v>
      </c>
      <c r="F337" s="3">
        <f t="shared" si="344"/>
        <v>2.7315308717362353E-2</v>
      </c>
      <c r="G337" s="3">
        <f t="shared" si="344"/>
        <v>2.7308491865790738E-2</v>
      </c>
      <c r="H337" s="3">
        <f t="shared" si="344"/>
        <v>2.7240416847390377E-2</v>
      </c>
      <c r="I337" s="3">
        <f t="shared" si="344"/>
        <v>2.6568930624268391E-2</v>
      </c>
      <c r="J337" s="3">
        <f t="shared" si="344"/>
        <v>2.0700332995954744E-2</v>
      </c>
      <c r="K337" s="3">
        <f t="shared" si="344"/>
        <v>1.7061212874627037E-3</v>
      </c>
      <c r="L337" s="3">
        <f t="shared" si="344"/>
        <v>2.4679457068468026E-14</v>
      </c>
      <c r="M337" s="3">
        <f t="shared" si="344"/>
        <v>9.899029001195467E-123</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2.9609291073103762E-2</v>
      </c>
      <c r="C338" s="3">
        <f t="shared" si="345"/>
        <v>2.9609291006437433E-2</v>
      </c>
      <c r="D338" s="3">
        <f t="shared" si="345"/>
        <v>2.9609290339774184E-2</v>
      </c>
      <c r="E338" s="3">
        <f t="shared" si="345"/>
        <v>2.9609283673142493E-2</v>
      </c>
      <c r="F338" s="3">
        <f t="shared" si="345"/>
        <v>2.9609217006908141E-2</v>
      </c>
      <c r="G338" s="3">
        <f t="shared" si="345"/>
        <v>2.9608550352820128E-2</v>
      </c>
      <c r="H338" s="3">
        <f t="shared" si="345"/>
        <v>2.9601884637421843E-2</v>
      </c>
      <c r="I338" s="3">
        <f t="shared" si="345"/>
        <v>2.9535309962896533E-2</v>
      </c>
      <c r="J338" s="3">
        <f t="shared" si="345"/>
        <v>2.8877742864291438E-2</v>
      </c>
      <c r="K338" s="3">
        <f t="shared" si="345"/>
        <v>2.3055808967224495E-2</v>
      </c>
      <c r="L338" s="3">
        <f t="shared" si="345"/>
        <v>2.4263394850048826E-3</v>
      </c>
      <c r="M338" s="3">
        <f t="shared" si="345"/>
        <v>4.0426260734046793E-13</v>
      </c>
      <c r="N338" s="3">
        <f t="shared" si="345"/>
        <v>6.6647466058511205E-111</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2.5103127911359737E-2</v>
      </c>
      <c r="C339" s="3">
        <f t="shared" si="346"/>
        <v>2.5103127906261114E-2</v>
      </c>
      <c r="D339" s="3">
        <f t="shared" si="346"/>
        <v>2.5103127855274882E-2</v>
      </c>
      <c r="E339" s="3">
        <f t="shared" si="346"/>
        <v>2.5103127345412538E-2</v>
      </c>
      <c r="F339" s="3">
        <f t="shared" si="346"/>
        <v>2.5103122246789678E-2</v>
      </c>
      <c r="G339" s="3">
        <f t="shared" si="346"/>
        <v>2.5103071260618035E-2</v>
      </c>
      <c r="H339" s="3">
        <f t="shared" si="346"/>
        <v>2.5102561404597164E-2</v>
      </c>
      <c r="I339" s="3">
        <f t="shared" si="346"/>
        <v>2.5097463413902545E-2</v>
      </c>
      <c r="J339" s="3">
        <f t="shared" si="346"/>
        <v>2.5046540415589846E-2</v>
      </c>
      <c r="K339" s="3">
        <f t="shared" si="346"/>
        <v>2.454295876053526E-2</v>
      </c>
      <c r="L339" s="3">
        <f t="shared" si="346"/>
        <v>2.0031737717009737E-2</v>
      </c>
      <c r="M339" s="3">
        <f t="shared" si="346"/>
        <v>2.6280625689207413E-3</v>
      </c>
      <c r="N339" s="3">
        <f t="shared" si="346"/>
        <v>3.9701457966586205E-12</v>
      </c>
      <c r="O339" s="3">
        <f t="shared" si="346"/>
        <v>2.4576158904479444E-100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2.9852900565677066E-2</v>
      </c>
      <c r="C340" s="3">
        <f t="shared" si="347"/>
        <v>2.9852900565130104E-2</v>
      </c>
      <c r="D340" s="3">
        <f t="shared" si="347"/>
        <v>2.9852900559660469E-2</v>
      </c>
      <c r="E340" s="3">
        <f t="shared" si="347"/>
        <v>2.9852900504964135E-2</v>
      </c>
      <c r="F340" s="3">
        <f t="shared" si="347"/>
        <v>2.9852899958000789E-2</v>
      </c>
      <c r="G340" s="3">
        <f t="shared" si="347"/>
        <v>2.9852894488367872E-2</v>
      </c>
      <c r="H340" s="3">
        <f t="shared" si="347"/>
        <v>2.9852839792093834E-2</v>
      </c>
      <c r="I340" s="3">
        <f t="shared" si="347"/>
        <v>2.9852292834865211E-2</v>
      </c>
      <c r="J340" s="3">
        <f t="shared" si="347"/>
        <v>2.9846823813716377E-2</v>
      </c>
      <c r="K340" s="3">
        <f t="shared" si="347"/>
        <v>2.9792188678626364E-2</v>
      </c>
      <c r="L340" s="3">
        <f t="shared" si="347"/>
        <v>2.9251307812876246E-2</v>
      </c>
      <c r="M340" s="3">
        <f t="shared" si="347"/>
        <v>2.435421131371291E-2</v>
      </c>
      <c r="N340" s="3">
        <f t="shared" si="347"/>
        <v>3.8981800077610208E-3</v>
      </c>
      <c r="O340" s="3">
        <f t="shared" si="347"/>
        <v>4.3026903112108417E-11</v>
      </c>
      <c r="P340" s="3">
        <f t="shared" si="347"/>
        <v>1.1548406865791731E-90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3.2229654464616946E-2</v>
      </c>
      <c r="C341" s="3">
        <f t="shared" si="348"/>
        <v>3.2229654464563676E-2</v>
      </c>
      <c r="D341" s="3">
        <f t="shared" si="348"/>
        <v>3.2229654464030991E-2</v>
      </c>
      <c r="E341" s="3">
        <f t="shared" si="348"/>
        <v>3.2229654458704099E-2</v>
      </c>
      <c r="F341" s="3">
        <f t="shared" si="348"/>
        <v>3.2229654405435168E-2</v>
      </c>
      <c r="G341" s="3">
        <f t="shared" si="348"/>
        <v>3.2229653872745921E-2</v>
      </c>
      <c r="H341" s="3">
        <f t="shared" si="348"/>
        <v>3.2229648545853931E-2</v>
      </c>
      <c r="I341" s="3">
        <f t="shared" si="348"/>
        <v>3.222959527698243E-2</v>
      </c>
      <c r="J341" s="3">
        <f t="shared" si="348"/>
        <v>3.2229062593109731E-2</v>
      </c>
      <c r="K341" s="3">
        <f t="shared" si="348"/>
        <v>3.2223736238583399E-2</v>
      </c>
      <c r="L341" s="3">
        <f t="shared" si="348"/>
        <v>3.2170521083791405E-2</v>
      </c>
      <c r="M341" s="3">
        <f t="shared" si="348"/>
        <v>3.164317912099486E-2</v>
      </c>
      <c r="N341" s="3">
        <f t="shared" si="348"/>
        <v>2.6822561596647893E-2</v>
      </c>
      <c r="O341" s="3">
        <f t="shared" si="348"/>
        <v>5.1369065829952156E-3</v>
      </c>
      <c r="P341" s="3">
        <f t="shared" si="348"/>
        <v>3.4096973689817888E-10</v>
      </c>
      <c r="Q341" s="3">
        <f t="shared" si="348"/>
        <v>5.6605352558294793E-82</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5.4487827383482734E-2</v>
      </c>
      <c r="C342" s="3">
        <f t="shared" si="349"/>
        <v>5.4487827383474609E-2</v>
      </c>
      <c r="D342" s="3">
        <f t="shared" si="349"/>
        <v>5.4487827383393375E-2</v>
      </c>
      <c r="E342" s="3">
        <f t="shared" si="349"/>
        <v>5.4487827382580983E-2</v>
      </c>
      <c r="F342" s="3">
        <f t="shared" si="349"/>
        <v>5.4487827374457086E-2</v>
      </c>
      <c r="G342" s="3">
        <f t="shared" si="349"/>
        <v>5.4487827293218126E-2</v>
      </c>
      <c r="H342" s="3">
        <f t="shared" si="349"/>
        <v>5.4487826480828505E-2</v>
      </c>
      <c r="I342" s="3">
        <f t="shared" si="349"/>
        <v>5.4487818356933004E-2</v>
      </c>
      <c r="J342" s="3">
        <f t="shared" si="349"/>
        <v>5.4487737118044617E-2</v>
      </c>
      <c r="K342" s="3">
        <f t="shared" si="349"/>
        <v>5.4486924735822458E-2</v>
      </c>
      <c r="L342" s="3">
        <f t="shared" si="349"/>
        <v>5.4478801579740589E-2</v>
      </c>
      <c r="M342" s="3">
        <f t="shared" si="349"/>
        <v>5.439763659615824E-2</v>
      </c>
      <c r="N342" s="3">
        <f t="shared" si="349"/>
        <v>5.3592607902401911E-2</v>
      </c>
      <c r="O342" s="3">
        <f t="shared" si="349"/>
        <v>4.6169320973861706E-2</v>
      </c>
      <c r="P342" s="3">
        <f t="shared" si="349"/>
        <v>1.0395357992229629E-2</v>
      </c>
      <c r="Q342" s="3">
        <f t="shared" si="349"/>
        <v>3.480960356946253E-9</v>
      </c>
      <c r="R342" s="3">
        <f t="shared" si="349"/>
        <v>6.1701447185383191E-74</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6.3046504540403198E-2</v>
      </c>
      <c r="C343" s="3">
        <f t="shared" si="350"/>
        <v>6.3046504540402351E-2</v>
      </c>
      <c r="D343" s="3">
        <f t="shared" si="350"/>
        <v>6.3046504540393872E-2</v>
      </c>
      <c r="E343" s="3">
        <f t="shared" si="350"/>
        <v>6.3046504540309078E-2</v>
      </c>
      <c r="F343" s="3">
        <f t="shared" si="350"/>
        <v>6.3046504539461132E-2</v>
      </c>
      <c r="G343" s="3">
        <f t="shared" si="350"/>
        <v>6.3046504530981581E-2</v>
      </c>
      <c r="H343" s="3">
        <f t="shared" si="350"/>
        <v>6.3046504446186147E-2</v>
      </c>
      <c r="I343" s="3">
        <f t="shared" si="350"/>
        <v>6.3046503598231787E-2</v>
      </c>
      <c r="J343" s="3">
        <f t="shared" si="350"/>
        <v>6.3046495118688817E-2</v>
      </c>
      <c r="K343" s="3">
        <f t="shared" si="350"/>
        <v>6.3046410323321922E-2</v>
      </c>
      <c r="L343" s="3">
        <f t="shared" si="350"/>
        <v>6.3045562375925498E-2</v>
      </c>
      <c r="M343" s="3">
        <f t="shared" si="350"/>
        <v>6.3037083529185217E-2</v>
      </c>
      <c r="N343" s="3">
        <f t="shared" si="350"/>
        <v>6.2952357752974378E-2</v>
      </c>
      <c r="O343" s="3">
        <f t="shared" si="350"/>
        <v>6.2111338024484174E-2</v>
      </c>
      <c r="P343" s="3">
        <f t="shared" si="350"/>
        <v>5.4294986829114399E-2</v>
      </c>
      <c r="Q343" s="3">
        <f t="shared" si="350"/>
        <v>1.4146473895845545E-2</v>
      </c>
      <c r="R343" s="3">
        <f t="shared" si="350"/>
        <v>2.0395431902443183E-8</v>
      </c>
      <c r="S343" s="3">
        <f t="shared" si="350"/>
        <v>7.9137066394848532E-67</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6.2829439903481873E-2</v>
      </c>
      <c r="C344" s="3">
        <f t="shared" si="351"/>
        <v>6.2829439903481804E-2</v>
      </c>
      <c r="D344" s="3">
        <f t="shared" si="351"/>
        <v>6.2829439903481041E-2</v>
      </c>
      <c r="E344" s="3">
        <f t="shared" si="351"/>
        <v>6.2829439903473422E-2</v>
      </c>
      <c r="F344" s="3">
        <f t="shared" si="351"/>
        <v>6.2829439903397191E-2</v>
      </c>
      <c r="G344" s="3">
        <f t="shared" si="351"/>
        <v>6.2829439902634898E-2</v>
      </c>
      <c r="H344" s="3">
        <f t="shared" si="351"/>
        <v>6.2829439895011982E-2</v>
      </c>
      <c r="I344" s="3">
        <f t="shared" si="351"/>
        <v>6.2829439818782792E-2</v>
      </c>
      <c r="J344" s="3">
        <f t="shared" si="351"/>
        <v>6.2829439056491007E-2</v>
      </c>
      <c r="K344" s="3">
        <f t="shared" si="351"/>
        <v>6.2829431433573599E-2</v>
      </c>
      <c r="L344" s="3">
        <f t="shared" si="351"/>
        <v>6.2829355204450391E-2</v>
      </c>
      <c r="M344" s="3">
        <f t="shared" si="351"/>
        <v>6.2828592918305004E-2</v>
      </c>
      <c r="N344" s="3">
        <f t="shared" si="351"/>
        <v>6.2820970565502718E-2</v>
      </c>
      <c r="O344" s="3">
        <f t="shared" si="351"/>
        <v>6.274479787980361E-2</v>
      </c>
      <c r="P344" s="3">
        <f t="shared" si="351"/>
        <v>6.1988132505425834E-2</v>
      </c>
      <c r="Q344" s="3">
        <f t="shared" si="351"/>
        <v>5.4905624222070362E-2</v>
      </c>
      <c r="R344" s="3">
        <f t="shared" si="351"/>
        <v>1.6319229135154809E-2</v>
      </c>
      <c r="S344" s="3">
        <f t="shared" si="351"/>
        <v>8.7806710878809263E-8</v>
      </c>
      <c r="T344" s="3">
        <f t="shared" si="351"/>
        <v>1.7856995944665117E-60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5.5245188990655253E-2</v>
      </c>
      <c r="C345" s="3">
        <f t="shared" si="352"/>
        <v>5.5245188990655246E-2</v>
      </c>
      <c r="D345" s="3">
        <f t="shared" si="352"/>
        <v>5.5245188990655184E-2</v>
      </c>
      <c r="E345" s="3">
        <f t="shared" si="352"/>
        <v>5.524518899065458E-2</v>
      </c>
      <c r="F345" s="3">
        <f t="shared" si="352"/>
        <v>5.5245188990648536E-2</v>
      </c>
      <c r="G345" s="3">
        <f t="shared" si="352"/>
        <v>5.5245188990588071E-2</v>
      </c>
      <c r="H345" s="3">
        <f t="shared" si="352"/>
        <v>5.5245188989983422E-2</v>
      </c>
      <c r="I345" s="3">
        <f t="shared" si="352"/>
        <v>5.5245188983937002E-2</v>
      </c>
      <c r="J345" s="3">
        <f t="shared" si="352"/>
        <v>5.5245188923472681E-2</v>
      </c>
      <c r="K345" s="3">
        <f t="shared" si="352"/>
        <v>5.5245188318829574E-2</v>
      </c>
      <c r="L345" s="3">
        <f t="shared" si="352"/>
        <v>5.5245182272398816E-2</v>
      </c>
      <c r="M345" s="3">
        <f t="shared" si="352"/>
        <v>5.5245121808127629E-2</v>
      </c>
      <c r="N345" s="3">
        <f t="shared" si="352"/>
        <v>5.524451716905545E-2</v>
      </c>
      <c r="O345" s="3">
        <f t="shared" si="352"/>
        <v>5.5238471142288061E-2</v>
      </c>
      <c r="P345" s="3">
        <f t="shared" si="352"/>
        <v>5.517804725531459E-2</v>
      </c>
      <c r="Q345" s="3">
        <f t="shared" si="352"/>
        <v>5.4577431766129184E-2</v>
      </c>
      <c r="R345" s="3">
        <f t="shared" si="352"/>
        <v>4.8919361618684216E-2</v>
      </c>
      <c r="S345" s="3">
        <f t="shared" si="352"/>
        <v>1.6374107508792663E-2</v>
      </c>
      <c r="T345" s="3">
        <f t="shared" si="352"/>
        <v>2.8901887283209389E-7</v>
      </c>
      <c r="U345" s="3">
        <f t="shared" si="352"/>
        <v>8.4842187431810862E-55</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6.6645884688751614E-2</v>
      </c>
      <c r="C346" s="3">
        <f t="shared" si="353"/>
        <v>6.6645884688751614E-2</v>
      </c>
      <c r="D346" s="3">
        <f t="shared" si="353"/>
        <v>6.66458846887516E-2</v>
      </c>
      <c r="E346" s="3">
        <f t="shared" si="353"/>
        <v>6.6645884688751544E-2</v>
      </c>
      <c r="F346" s="3">
        <f t="shared" si="353"/>
        <v>6.6645884688750878E-2</v>
      </c>
      <c r="G346" s="3">
        <f t="shared" si="353"/>
        <v>6.66458846887443E-2</v>
      </c>
      <c r="H346" s="3">
        <f t="shared" si="353"/>
        <v>6.6645884688678506E-2</v>
      </c>
      <c r="I346" s="3">
        <f t="shared" si="353"/>
        <v>6.6645884688020504E-2</v>
      </c>
      <c r="J346" s="3">
        <f t="shared" si="353"/>
        <v>6.6645884681440518E-2</v>
      </c>
      <c r="K346" s="3">
        <f t="shared" si="353"/>
        <v>6.6645884615640721E-2</v>
      </c>
      <c r="L346" s="3">
        <f t="shared" si="353"/>
        <v>6.6645883957642718E-2</v>
      </c>
      <c r="M346" s="3">
        <f t="shared" si="353"/>
        <v>6.664587737766306E-2</v>
      </c>
      <c r="N346" s="3">
        <f t="shared" si="353"/>
        <v>6.6645811577902156E-2</v>
      </c>
      <c r="O346" s="3">
        <f t="shared" si="353"/>
        <v>6.6645153583866107E-2</v>
      </c>
      <c r="P346" s="3">
        <f t="shared" si="353"/>
        <v>6.6638574000795758E-2</v>
      </c>
      <c r="Q346" s="3">
        <f t="shared" si="353"/>
        <v>6.6572813886045301E-2</v>
      </c>
      <c r="R346" s="3">
        <f t="shared" si="353"/>
        <v>6.5918771321097025E-2</v>
      </c>
      <c r="S346" s="3">
        <f t="shared" si="353"/>
        <v>5.9721540538281603E-2</v>
      </c>
      <c r="T346" s="3">
        <f t="shared" si="353"/>
        <v>2.2251023043905954E-2</v>
      </c>
      <c r="U346" s="3">
        <f t="shared" si="353"/>
        <v>1.1469376219640321E-6</v>
      </c>
      <c r="V346" s="3">
        <f t="shared" si="353"/>
        <v>1.5185809627420329E-49</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2.5869055396656026E-2</v>
      </c>
      <c r="C347" s="3">
        <f t="shared" si="354"/>
        <v>2.5869055396656026E-2</v>
      </c>
      <c r="D347" s="3">
        <f t="shared" si="354"/>
        <v>2.5869055396656026E-2</v>
      </c>
      <c r="E347" s="3">
        <f t="shared" si="354"/>
        <v>2.5869055396656022E-2</v>
      </c>
      <c r="F347" s="3">
        <f t="shared" si="354"/>
        <v>2.5869055396656002E-2</v>
      </c>
      <c r="G347" s="3">
        <f t="shared" si="354"/>
        <v>2.5869055396655769E-2</v>
      </c>
      <c r="H347" s="3">
        <f t="shared" si="354"/>
        <v>2.5869055396653465E-2</v>
      </c>
      <c r="I347" s="3">
        <f t="shared" si="354"/>
        <v>2.5869055396630428E-2</v>
      </c>
      <c r="J347" s="3">
        <f t="shared" si="354"/>
        <v>2.5869055396400029E-2</v>
      </c>
      <c r="K347" s="3">
        <f t="shared" si="354"/>
        <v>2.5869055394096053E-2</v>
      </c>
      <c r="L347" s="3">
        <f t="shared" si="354"/>
        <v>2.5869055371056264E-2</v>
      </c>
      <c r="M347" s="3">
        <f t="shared" si="354"/>
        <v>2.5869055140658428E-2</v>
      </c>
      <c r="N347" s="3">
        <f t="shared" si="354"/>
        <v>2.5869052836680159E-2</v>
      </c>
      <c r="O347" s="3">
        <f t="shared" si="354"/>
        <v>2.5869029796908766E-2</v>
      </c>
      <c r="P347" s="3">
        <f t="shared" si="354"/>
        <v>2.5868799400323422E-2</v>
      </c>
      <c r="Q347" s="3">
        <f t="shared" si="354"/>
        <v>2.5866495547325556E-2</v>
      </c>
      <c r="R347" s="3">
        <f t="shared" si="354"/>
        <v>2.5843468299186396E-2</v>
      </c>
      <c r="S347" s="3">
        <f t="shared" si="354"/>
        <v>2.5614320292841476E-2</v>
      </c>
      <c r="T347" s="3">
        <f t="shared" si="354"/>
        <v>2.3431668841235122E-2</v>
      </c>
      <c r="U347" s="3">
        <f t="shared" si="354"/>
        <v>9.6162793517074498E-3</v>
      </c>
      <c r="V347" s="3">
        <f t="shared" si="354"/>
        <v>1.3033035341954126E-6</v>
      </c>
      <c r="W347" s="3">
        <f t="shared" si="354"/>
        <v>2.7254021361441287E-45</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4.8591449840458205E-2</v>
      </c>
      <c r="C348" s="3">
        <f t="shared" si="355"/>
        <v>4.8591449840458205E-2</v>
      </c>
      <c r="D348" s="3">
        <f t="shared" si="355"/>
        <v>4.8591449840458205E-2</v>
      </c>
      <c r="E348" s="3">
        <f t="shared" si="355"/>
        <v>4.8591449840458205E-2</v>
      </c>
      <c r="F348" s="3">
        <f t="shared" si="355"/>
        <v>4.8591449840458191E-2</v>
      </c>
      <c r="G348" s="3">
        <f t="shared" si="355"/>
        <v>4.8591449840458073E-2</v>
      </c>
      <c r="H348" s="3">
        <f t="shared" si="355"/>
        <v>4.8591449840456873E-2</v>
      </c>
      <c r="I348" s="3">
        <f t="shared" si="355"/>
        <v>4.859144984044491E-2</v>
      </c>
      <c r="J348" s="3">
        <f t="shared" si="355"/>
        <v>4.8591449840325214E-2</v>
      </c>
      <c r="K348" s="3">
        <f t="shared" si="355"/>
        <v>4.8591449839128276E-2</v>
      </c>
      <c r="L348" s="3">
        <f t="shared" si="355"/>
        <v>4.8591449827158927E-2</v>
      </c>
      <c r="M348" s="3">
        <f t="shared" si="355"/>
        <v>4.8591449707465428E-2</v>
      </c>
      <c r="N348" s="3">
        <f t="shared" si="355"/>
        <v>4.8591448510530495E-2</v>
      </c>
      <c r="O348" s="3">
        <f t="shared" si="355"/>
        <v>4.8591436541182739E-2</v>
      </c>
      <c r="P348" s="3">
        <f t="shared" si="355"/>
        <v>4.8591316847867369E-2</v>
      </c>
      <c r="Q348" s="3">
        <f t="shared" si="355"/>
        <v>4.8590119930929522E-2</v>
      </c>
      <c r="R348" s="3">
        <f t="shared" si="355"/>
        <v>4.8578152382987523E-2</v>
      </c>
      <c r="S348" s="3">
        <f t="shared" si="355"/>
        <v>4.8458638899539164E-2</v>
      </c>
      <c r="T348" s="3">
        <f t="shared" si="355"/>
        <v>4.7279556985703505E-2</v>
      </c>
      <c r="U348" s="3">
        <f t="shared" si="355"/>
        <v>3.6956877294111873E-2</v>
      </c>
      <c r="V348" s="3">
        <f t="shared" si="355"/>
        <v>3.1471247810814567E-3</v>
      </c>
      <c r="W348" s="3">
        <f t="shared" si="355"/>
        <v>6.3110396669982243E-14</v>
      </c>
      <c r="X348" s="3">
        <f t="shared" si="355"/>
        <v>6.6369780539529157E-121</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2.853497416803049E-2</v>
      </c>
      <c r="C349" s="3">
        <f t="shared" si="356"/>
        <v>2.853497416803049E-2</v>
      </c>
      <c r="D349" s="3">
        <f t="shared" si="356"/>
        <v>2.853497416803049E-2</v>
      </c>
      <c r="E349" s="3">
        <f t="shared" si="356"/>
        <v>2.853497416803049E-2</v>
      </c>
      <c r="F349" s="3">
        <f t="shared" si="356"/>
        <v>2.853497416803049E-2</v>
      </c>
      <c r="G349" s="3">
        <f t="shared" si="356"/>
        <v>2.8534974168030483E-2</v>
      </c>
      <c r="H349" s="3">
        <f t="shared" si="356"/>
        <v>2.853497416803041E-2</v>
      </c>
      <c r="I349" s="3">
        <f t="shared" si="356"/>
        <v>2.8534974168029706E-2</v>
      </c>
      <c r="J349" s="3">
        <f t="shared" si="356"/>
        <v>2.853497416802268E-2</v>
      </c>
      <c r="K349" s="3">
        <f t="shared" si="356"/>
        <v>2.8534974167952393E-2</v>
      </c>
      <c r="L349" s="3">
        <f t="shared" si="356"/>
        <v>2.85349741672495E-2</v>
      </c>
      <c r="M349" s="3">
        <f t="shared" si="356"/>
        <v>2.8534974160220584E-2</v>
      </c>
      <c r="N349" s="3">
        <f t="shared" si="356"/>
        <v>2.8534974089931456E-2</v>
      </c>
      <c r="O349" s="3">
        <f t="shared" si="356"/>
        <v>2.8534973387040152E-2</v>
      </c>
      <c r="P349" s="3">
        <f t="shared" si="356"/>
        <v>2.8534966358128067E-2</v>
      </c>
      <c r="Q349" s="3">
        <f t="shared" si="356"/>
        <v>2.853489606910246E-2</v>
      </c>
      <c r="R349" s="3">
        <f t="shared" si="356"/>
        <v>2.8534193188369018E-2</v>
      </c>
      <c r="S349" s="3">
        <f t="shared" si="356"/>
        <v>2.8527165333211355E-2</v>
      </c>
      <c r="T349" s="3">
        <f t="shared" si="356"/>
        <v>2.8456981912586381E-2</v>
      </c>
      <c r="U349" s="3">
        <f t="shared" si="356"/>
        <v>2.7764574666789839E-2</v>
      </c>
      <c r="V349" s="3">
        <f t="shared" si="356"/>
        <v>2.1702656380516234E-2</v>
      </c>
      <c r="W349" s="3">
        <f t="shared" si="356"/>
        <v>1.8481260515292571E-3</v>
      </c>
      <c r="X349" s="3">
        <f t="shared" si="356"/>
        <v>3.7061119695438155E-14</v>
      </c>
      <c r="Y349" s="3">
        <f t="shared" si="356"/>
        <v>3.8975169077100722E-121</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1.8710063230340357E-2</v>
      </c>
      <c r="C350" s="3">
        <f t="shared" si="357"/>
        <v>1.8710063230340357E-2</v>
      </c>
      <c r="D350" s="3">
        <f t="shared" si="357"/>
        <v>1.8710063230340357E-2</v>
      </c>
      <c r="E350" s="3">
        <f t="shared" si="357"/>
        <v>1.8710063230340357E-2</v>
      </c>
      <c r="F350" s="3">
        <f t="shared" si="357"/>
        <v>1.8710063230340357E-2</v>
      </c>
      <c r="G350" s="3">
        <f t="shared" si="357"/>
        <v>1.8710063230340357E-2</v>
      </c>
      <c r="H350" s="3">
        <f t="shared" si="357"/>
        <v>1.8710063230340353E-2</v>
      </c>
      <c r="I350" s="3">
        <f t="shared" si="357"/>
        <v>1.8710063230340305E-2</v>
      </c>
      <c r="J350" s="3">
        <f t="shared" si="357"/>
        <v>1.8710063230339843E-2</v>
      </c>
      <c r="K350" s="3">
        <f t="shared" si="357"/>
        <v>1.8710063230335236E-2</v>
      </c>
      <c r="L350" s="3">
        <f t="shared" si="357"/>
        <v>1.8710063230289148E-2</v>
      </c>
      <c r="M350" s="3">
        <f t="shared" si="357"/>
        <v>1.871006322982827E-2</v>
      </c>
      <c r="N350" s="3">
        <f t="shared" si="357"/>
        <v>1.8710063225219491E-2</v>
      </c>
      <c r="O350" s="3">
        <f t="shared" si="357"/>
        <v>1.8710063179131695E-2</v>
      </c>
      <c r="P350" s="3">
        <f t="shared" si="357"/>
        <v>1.871006271825373E-2</v>
      </c>
      <c r="Q350" s="3">
        <f t="shared" si="357"/>
        <v>1.871005810947474E-2</v>
      </c>
      <c r="R350" s="3">
        <f t="shared" si="357"/>
        <v>1.8710012021747244E-2</v>
      </c>
      <c r="S350" s="3">
        <f t="shared" si="357"/>
        <v>1.8709551150716184E-2</v>
      </c>
      <c r="T350" s="3">
        <f t="shared" si="357"/>
        <v>1.8704943064737228E-2</v>
      </c>
      <c r="U350" s="3">
        <f t="shared" si="357"/>
        <v>1.8658924581248078E-2</v>
      </c>
      <c r="V350" s="3">
        <f t="shared" si="357"/>
        <v>1.8204920898829701E-2</v>
      </c>
      <c r="W350" s="3">
        <f t="shared" si="357"/>
        <v>1.4230188916755371E-2</v>
      </c>
      <c r="X350" s="3">
        <f t="shared" si="357"/>
        <v>1.2117955698201462E-3</v>
      </c>
      <c r="Y350" s="3">
        <f t="shared" si="357"/>
        <v>2.4300561437540648E-14</v>
      </c>
      <c r="Z350" s="3">
        <f t="shared" si="357"/>
        <v>2.5555582197188742E-121</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7.6798609611155137E-3</v>
      </c>
      <c r="C351" s="3">
        <f t="shared" si="358"/>
        <v>7.6798609611155137E-3</v>
      </c>
      <c r="D351" s="3">
        <f t="shared" si="358"/>
        <v>7.6798609611155137E-3</v>
      </c>
      <c r="E351" s="3">
        <f t="shared" si="358"/>
        <v>7.6798609611155137E-3</v>
      </c>
      <c r="F351" s="3">
        <f t="shared" si="358"/>
        <v>7.6798609611155137E-3</v>
      </c>
      <c r="G351" s="3">
        <f t="shared" si="358"/>
        <v>7.6798609611155137E-3</v>
      </c>
      <c r="H351" s="3">
        <f t="shared" si="358"/>
        <v>7.6798609611155137E-3</v>
      </c>
      <c r="I351" s="3">
        <f t="shared" si="358"/>
        <v>7.679860961115512E-3</v>
      </c>
      <c r="J351" s="3">
        <f t="shared" si="358"/>
        <v>7.679860961115492E-3</v>
      </c>
      <c r="K351" s="3">
        <f t="shared" si="358"/>
        <v>7.679860961115303E-3</v>
      </c>
      <c r="L351" s="3">
        <f t="shared" si="358"/>
        <v>7.6798609611134121E-3</v>
      </c>
      <c r="M351" s="3">
        <f t="shared" si="358"/>
        <v>7.6798609610944949E-3</v>
      </c>
      <c r="N351" s="3">
        <f t="shared" si="358"/>
        <v>7.679860960905319E-3</v>
      </c>
      <c r="O351" s="3">
        <f t="shared" si="358"/>
        <v>7.6798609590135675E-3</v>
      </c>
      <c r="P351" s="3">
        <f t="shared" si="358"/>
        <v>7.6798609400960541E-3</v>
      </c>
      <c r="Q351" s="3">
        <f t="shared" si="358"/>
        <v>7.6798607509209228E-3</v>
      </c>
      <c r="R351" s="3">
        <f t="shared" si="358"/>
        <v>7.6798588591698675E-3</v>
      </c>
      <c r="S351" s="3">
        <f t="shared" si="358"/>
        <v>7.6798399416849392E-3</v>
      </c>
      <c r="T351" s="3">
        <f t="shared" si="358"/>
        <v>7.6796507693985619E-3</v>
      </c>
      <c r="U351" s="3">
        <f t="shared" si="358"/>
        <v>7.6777593028022409E-3</v>
      </c>
      <c r="V351" s="3">
        <f t="shared" si="358"/>
        <v>7.6588702402433841E-3</v>
      </c>
      <c r="W351" s="3">
        <f t="shared" si="358"/>
        <v>7.4725167729203252E-3</v>
      </c>
      <c r="X351" s="3">
        <f t="shared" si="358"/>
        <v>5.8410210048819916E-3</v>
      </c>
      <c r="Y351" s="3">
        <f t="shared" si="358"/>
        <v>4.9740192616896765E-4</v>
      </c>
      <c r="Z351" s="3">
        <f t="shared" si="358"/>
        <v>9.9745752229594469E-15</v>
      </c>
      <c r="AA351" s="3">
        <f t="shared" si="358"/>
        <v>1.0489719657200655E-121</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4.1102249961922147E-3</v>
      </c>
      <c r="C352" s="3">
        <f t="shared" si="359"/>
        <v>4.1102249961922147E-3</v>
      </c>
      <c r="D352" s="3">
        <f t="shared" si="359"/>
        <v>4.1102249961922147E-3</v>
      </c>
      <c r="E352" s="3">
        <f t="shared" si="359"/>
        <v>4.1102249961922147E-3</v>
      </c>
      <c r="F352" s="3">
        <f t="shared" si="359"/>
        <v>4.1102249961922147E-3</v>
      </c>
      <c r="G352" s="3">
        <f t="shared" si="359"/>
        <v>4.1102249961922147E-3</v>
      </c>
      <c r="H352" s="3">
        <f t="shared" si="359"/>
        <v>4.1102249961922147E-3</v>
      </c>
      <c r="I352" s="3">
        <f t="shared" si="359"/>
        <v>4.1102249961922147E-3</v>
      </c>
      <c r="J352" s="3">
        <f t="shared" si="359"/>
        <v>4.1102249961922138E-3</v>
      </c>
      <c r="K352" s="3">
        <f t="shared" si="359"/>
        <v>4.1102249961922034E-3</v>
      </c>
      <c r="L352" s="3">
        <f t="shared" si="359"/>
        <v>4.1102249961921019E-3</v>
      </c>
      <c r="M352" s="3">
        <f t="shared" si="359"/>
        <v>4.1102249961910897E-3</v>
      </c>
      <c r="N352" s="3">
        <f t="shared" si="359"/>
        <v>4.110224996180965E-3</v>
      </c>
      <c r="O352" s="3">
        <f t="shared" si="359"/>
        <v>4.1102249960797196E-3</v>
      </c>
      <c r="P352" s="3">
        <f t="shared" si="359"/>
        <v>4.110224995067263E-3</v>
      </c>
      <c r="Q352" s="3">
        <f t="shared" si="359"/>
        <v>4.1102249849427003E-3</v>
      </c>
      <c r="R352" s="3">
        <f t="shared" si="359"/>
        <v>4.1102248836970712E-3</v>
      </c>
      <c r="S352" s="3">
        <f t="shared" si="359"/>
        <v>4.1102238712409193E-3</v>
      </c>
      <c r="T352" s="3">
        <f t="shared" si="359"/>
        <v>4.1102137466931168E-3</v>
      </c>
      <c r="U352" s="3">
        <f t="shared" si="359"/>
        <v>4.1101125025867465E-3</v>
      </c>
      <c r="V352" s="3">
        <f t="shared" si="359"/>
        <v>4.109100198676165E-3</v>
      </c>
      <c r="W352" s="3">
        <f t="shared" si="359"/>
        <v>4.0989908623903721E-3</v>
      </c>
      <c r="X352" s="3">
        <f t="shared" si="359"/>
        <v>3.9992553745480152E-3</v>
      </c>
      <c r="Y352" s="3">
        <f t="shared" si="359"/>
        <v>3.1260866126491095E-3</v>
      </c>
      <c r="Z352" s="3">
        <f t="shared" si="359"/>
        <v>2.6620714104658578E-4</v>
      </c>
      <c r="AA352" s="3">
        <f t="shared" si="359"/>
        <v>5.3383451361146066E-15</v>
      </c>
      <c r="AB352" s="3">
        <f t="shared" si="359"/>
        <v>5.614047982948433E-122</v>
      </c>
      <c r="AC352" s="3">
        <f t="shared" si="359"/>
        <v>0</v>
      </c>
      <c r="AD352" s="3">
        <f t="shared" si="359"/>
        <v>0</v>
      </c>
      <c r="AE352" s="3">
        <f t="shared" si="359"/>
        <v>0</v>
      </c>
      <c r="AF352" s="3">
        <f t="shared" si="359"/>
        <v>0</v>
      </c>
      <c r="AG352" s="3"/>
      <c r="AH352" s="3"/>
    </row>
    <row r="353" spans="1:34" x14ac:dyDescent="0.25">
      <c r="B353" s="3">
        <f t="shared" ref="B353:AF353" si="360">$C44*EXP(-B$363/$A44/EXP(-$G$126))</f>
        <v>3.1066969837399792E-3</v>
      </c>
      <c r="C353" s="3">
        <f t="shared" si="360"/>
        <v>3.1066969837399792E-3</v>
      </c>
      <c r="D353" s="3">
        <f t="shared" si="360"/>
        <v>3.1066969837399792E-3</v>
      </c>
      <c r="E353" s="3">
        <f t="shared" si="360"/>
        <v>3.1066969837399792E-3</v>
      </c>
      <c r="F353" s="3">
        <f t="shared" si="360"/>
        <v>3.1066969837399792E-3</v>
      </c>
      <c r="G353" s="3">
        <f t="shared" si="360"/>
        <v>3.1066969837399792E-3</v>
      </c>
      <c r="H353" s="3">
        <f t="shared" si="360"/>
        <v>3.1066969837399792E-3</v>
      </c>
      <c r="I353" s="3">
        <f t="shared" si="360"/>
        <v>3.1066969837399792E-3</v>
      </c>
      <c r="J353" s="3">
        <f t="shared" si="360"/>
        <v>3.1066969837399792E-3</v>
      </c>
      <c r="K353" s="3">
        <f t="shared" si="360"/>
        <v>3.1066969837399783E-3</v>
      </c>
      <c r="L353" s="3">
        <f t="shared" si="360"/>
        <v>3.1066969837399705E-3</v>
      </c>
      <c r="M353" s="3">
        <f t="shared" si="360"/>
        <v>3.1066969837398942E-3</v>
      </c>
      <c r="N353" s="3">
        <f t="shared" si="360"/>
        <v>3.1066969837391292E-3</v>
      </c>
      <c r="O353" s="3">
        <f t="shared" si="360"/>
        <v>3.1066969837314764E-3</v>
      </c>
      <c r="P353" s="3">
        <f t="shared" si="360"/>
        <v>3.1066969836549504E-3</v>
      </c>
      <c r="Q353" s="3">
        <f t="shared" si="360"/>
        <v>3.1066969828896893E-3</v>
      </c>
      <c r="R353" s="3">
        <f t="shared" si="360"/>
        <v>3.106696975237079E-3</v>
      </c>
      <c r="S353" s="3">
        <f t="shared" si="360"/>
        <v>3.1066968987109788E-3</v>
      </c>
      <c r="T353" s="3">
        <f t="shared" si="360"/>
        <v>3.1066961334500804E-3</v>
      </c>
      <c r="U353" s="3">
        <f t="shared" si="360"/>
        <v>3.1066884808514635E-3</v>
      </c>
      <c r="V353" s="3">
        <f t="shared" si="360"/>
        <v>3.1066119559020576E-3</v>
      </c>
      <c r="W353" s="3">
        <f t="shared" si="360"/>
        <v>3.1058468100746283E-3</v>
      </c>
      <c r="X353" s="3">
        <f t="shared" si="360"/>
        <v>3.098205709021576E-3</v>
      </c>
      <c r="Y353" s="3">
        <f t="shared" si="360"/>
        <v>3.0228210428442418E-3</v>
      </c>
      <c r="Z353" s="3">
        <f t="shared" si="360"/>
        <v>2.3628399563099599E-3</v>
      </c>
      <c r="AA353" s="3">
        <f t="shared" si="360"/>
        <v>2.0121159374624059E-4</v>
      </c>
      <c r="AB353" s="3">
        <f t="shared" si="360"/>
        <v>4.0349666375671703E-15</v>
      </c>
      <c r="AC353" s="3">
        <f t="shared" si="360"/>
        <v>4.2433555222293668E-122</v>
      </c>
      <c r="AD353" s="3">
        <f t="shared" si="360"/>
        <v>0</v>
      </c>
      <c r="AE353" s="3">
        <f t="shared" si="360"/>
        <v>0</v>
      </c>
      <c r="AF353" s="3">
        <f t="shared" si="360"/>
        <v>0</v>
      </c>
      <c r="AG353" s="3"/>
      <c r="AH353" s="3"/>
    </row>
    <row r="354" spans="1:34" x14ac:dyDescent="0.25">
      <c r="B354" s="3">
        <f t="shared" ref="B354:AF354" si="361">$C45*EXP(-B$363/$A45/EXP(-$G$126))</f>
        <v>9.6514726179013565E-4</v>
      </c>
      <c r="C354" s="3">
        <f t="shared" si="361"/>
        <v>9.6514726179013565E-4</v>
      </c>
      <c r="D354" s="3">
        <f t="shared" si="361"/>
        <v>9.6514726179013565E-4</v>
      </c>
      <c r="E354" s="3">
        <f t="shared" si="361"/>
        <v>9.6514726179013565E-4</v>
      </c>
      <c r="F354" s="3">
        <f t="shared" si="361"/>
        <v>9.6514726179013565E-4</v>
      </c>
      <c r="G354" s="3">
        <f t="shared" si="361"/>
        <v>9.6514726179013565E-4</v>
      </c>
      <c r="H354" s="3">
        <f t="shared" si="361"/>
        <v>9.6514726179013565E-4</v>
      </c>
      <c r="I354" s="3">
        <f t="shared" si="361"/>
        <v>9.6514726179013565E-4</v>
      </c>
      <c r="J354" s="3">
        <f t="shared" si="361"/>
        <v>9.6514726179013565E-4</v>
      </c>
      <c r="K354" s="3">
        <f t="shared" si="361"/>
        <v>9.6514726179013565E-4</v>
      </c>
      <c r="L354" s="3">
        <f t="shared" si="361"/>
        <v>9.6514726179013543E-4</v>
      </c>
      <c r="M354" s="3">
        <f t="shared" si="361"/>
        <v>9.6514726179013294E-4</v>
      </c>
      <c r="N354" s="3">
        <f t="shared" si="361"/>
        <v>9.651472617901092E-4</v>
      </c>
      <c r="O354" s="3">
        <f t="shared" si="361"/>
        <v>9.6514726178987154E-4</v>
      </c>
      <c r="P354" s="3">
        <f t="shared" si="361"/>
        <v>9.651472617874941E-4</v>
      </c>
      <c r="Q354" s="3">
        <f t="shared" si="361"/>
        <v>9.6514726176372004E-4</v>
      </c>
      <c r="R354" s="3">
        <f t="shared" si="361"/>
        <v>9.651472615259789E-4</v>
      </c>
      <c r="S354" s="3">
        <f t="shared" si="361"/>
        <v>9.6514725914856781E-4</v>
      </c>
      <c r="T354" s="3">
        <f t="shared" si="361"/>
        <v>9.6514723537445774E-4</v>
      </c>
      <c r="U354" s="3">
        <f t="shared" si="361"/>
        <v>9.6514699763338915E-4</v>
      </c>
      <c r="V354" s="3">
        <f t="shared" si="361"/>
        <v>9.6514462022592425E-4</v>
      </c>
      <c r="W354" s="3">
        <f t="shared" si="361"/>
        <v>9.6512084647336176E-4</v>
      </c>
      <c r="X354" s="3">
        <f t="shared" si="361"/>
        <v>9.6488314115350635E-4</v>
      </c>
      <c r="Y354" s="3">
        <f t="shared" si="361"/>
        <v>9.6250930559857017E-4</v>
      </c>
      <c r="Z354" s="3">
        <f t="shared" si="361"/>
        <v>9.3908980104990668E-4</v>
      </c>
      <c r="AA354" s="3">
        <f t="shared" si="361"/>
        <v>7.3405566291680257E-4</v>
      </c>
      <c r="AB354" s="3">
        <f t="shared" si="361"/>
        <v>6.2509739366607998E-5</v>
      </c>
      <c r="AC354" s="3">
        <f t="shared" si="361"/>
        <v>1.2535297204860741E-15</v>
      </c>
      <c r="AD354" s="3">
        <f t="shared" si="361"/>
        <v>1.3182692050485803E-122</v>
      </c>
      <c r="AE354" s="3">
        <f t="shared" si="361"/>
        <v>0</v>
      </c>
      <c r="AF354" s="3">
        <f t="shared" si="361"/>
        <v>0</v>
      </c>
      <c r="AG354" s="3"/>
      <c r="AH354" s="3"/>
    </row>
    <row r="355" spans="1:34" x14ac:dyDescent="0.25">
      <c r="B355" s="3">
        <f t="shared" ref="B355:AF355" si="362">$C46*EXP(-B$363/$A46/EXP(-$G$126))</f>
        <v>1.0056328677851901E-3</v>
      </c>
      <c r="C355" s="3">
        <f t="shared" si="362"/>
        <v>1.0056328677851901E-3</v>
      </c>
      <c r="D355" s="3">
        <f t="shared" si="362"/>
        <v>1.0056328677851901E-3</v>
      </c>
      <c r="E355" s="3">
        <f t="shared" si="362"/>
        <v>1.0056328677851901E-3</v>
      </c>
      <c r="F355" s="3">
        <f t="shared" si="362"/>
        <v>1.0056328677851901E-3</v>
      </c>
      <c r="G355" s="3">
        <f t="shared" si="362"/>
        <v>1.0056328677851901E-3</v>
      </c>
      <c r="H355" s="3">
        <f t="shared" si="362"/>
        <v>1.0056328677851901E-3</v>
      </c>
      <c r="I355" s="3">
        <f t="shared" si="362"/>
        <v>1.0056328677851901E-3</v>
      </c>
      <c r="J355" s="3">
        <f t="shared" si="362"/>
        <v>1.0056328677851901E-3</v>
      </c>
      <c r="K355" s="3">
        <f t="shared" si="362"/>
        <v>1.0056328677851901E-3</v>
      </c>
      <c r="L355" s="3">
        <f t="shared" si="362"/>
        <v>1.0056328677851901E-3</v>
      </c>
      <c r="M355" s="3">
        <f t="shared" si="362"/>
        <v>1.0056328677851899E-3</v>
      </c>
      <c r="N355" s="3">
        <f t="shared" si="362"/>
        <v>1.0056328677851873E-3</v>
      </c>
      <c r="O355" s="3">
        <f t="shared" si="362"/>
        <v>1.0056328677851625E-3</v>
      </c>
      <c r="P355" s="3">
        <f t="shared" si="362"/>
        <v>1.0056328677849149E-3</v>
      </c>
      <c r="Q355" s="3">
        <f t="shared" si="362"/>
        <v>1.0056328677824377E-3</v>
      </c>
      <c r="R355" s="3">
        <f t="shared" si="362"/>
        <v>1.0056328677576663E-3</v>
      </c>
      <c r="S355" s="3">
        <f t="shared" si="362"/>
        <v>1.0056328675099526E-3</v>
      </c>
      <c r="T355" s="3">
        <f t="shared" si="362"/>
        <v>1.0056328650328149E-3</v>
      </c>
      <c r="U355" s="3">
        <f t="shared" si="362"/>
        <v>1.0056328402614379E-3</v>
      </c>
      <c r="V355" s="3">
        <f t="shared" si="362"/>
        <v>1.0056325925477034E-3</v>
      </c>
      <c r="W355" s="3">
        <f t="shared" si="362"/>
        <v>1.0056301154137142E-3</v>
      </c>
      <c r="X355" s="3">
        <f t="shared" si="362"/>
        <v>1.0056053444094189E-3</v>
      </c>
      <c r="Y355" s="3">
        <f t="shared" si="362"/>
        <v>1.0053576679231895E-3</v>
      </c>
      <c r="Z355" s="3">
        <f t="shared" si="362"/>
        <v>1.0028842556769246E-3</v>
      </c>
      <c r="AA355" s="3">
        <f t="shared" si="362"/>
        <v>9.7848235924746351E-4</v>
      </c>
      <c r="AB355" s="3">
        <f t="shared" si="362"/>
        <v>7.648475322240485E-4</v>
      </c>
      <c r="AC355" s="3">
        <f t="shared" si="362"/>
        <v>6.5131872567458673E-5</v>
      </c>
      <c r="AD355" s="3">
        <f t="shared" si="362"/>
        <v>1.3061122769267979E-15</v>
      </c>
      <c r="AE355" s="3">
        <f t="shared" si="362"/>
        <v>1.3735674271375278E-122</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2.1809087047795134E-2</v>
      </c>
      <c r="C357" s="3">
        <f t="shared" si="364"/>
        <v>2.1809087047795134E-2</v>
      </c>
      <c r="D357" s="3">
        <f t="shared" si="364"/>
        <v>2.1809087047795134E-2</v>
      </c>
      <c r="E357" s="3">
        <f t="shared" si="364"/>
        <v>2.1809087047795134E-2</v>
      </c>
      <c r="F357" s="3">
        <f t="shared" si="364"/>
        <v>2.1809087047795134E-2</v>
      </c>
      <c r="G357" s="3">
        <f t="shared" si="364"/>
        <v>2.1809087047795134E-2</v>
      </c>
      <c r="H357" s="3">
        <f t="shared" si="364"/>
        <v>2.1809087047795134E-2</v>
      </c>
      <c r="I357" s="3">
        <f t="shared" si="364"/>
        <v>2.1809087047795134E-2</v>
      </c>
      <c r="J357" s="3">
        <f t="shared" si="364"/>
        <v>2.1809087047795134E-2</v>
      </c>
      <c r="K357" s="3">
        <f t="shared" si="364"/>
        <v>2.1809087047795134E-2</v>
      </c>
      <c r="L357" s="3">
        <f t="shared" si="364"/>
        <v>2.1809087047795134E-2</v>
      </c>
      <c r="M357" s="3">
        <f t="shared" si="364"/>
        <v>2.1809087047795134E-2</v>
      </c>
      <c r="N357" s="3">
        <f t="shared" si="364"/>
        <v>2.1809087047795134E-2</v>
      </c>
      <c r="O357" s="3">
        <f t="shared" si="364"/>
        <v>2.180908704779513E-2</v>
      </c>
      <c r="P357" s="3">
        <f t="shared" si="364"/>
        <v>2.1809087047795075E-2</v>
      </c>
      <c r="Q357" s="3">
        <f t="shared" si="364"/>
        <v>2.1809087047794537E-2</v>
      </c>
      <c r="R357" s="3">
        <f t="shared" si="364"/>
        <v>2.1809087047789166E-2</v>
      </c>
      <c r="S357" s="3">
        <f t="shared" si="364"/>
        <v>2.1809087047735445E-2</v>
      </c>
      <c r="T357" s="3">
        <f t="shared" si="364"/>
        <v>2.1809087047198229E-2</v>
      </c>
      <c r="U357" s="3">
        <f t="shared" si="364"/>
        <v>2.1809087041826079E-2</v>
      </c>
      <c r="V357" s="3">
        <f t="shared" si="364"/>
        <v>2.1809086988104572E-2</v>
      </c>
      <c r="W357" s="3">
        <f t="shared" si="364"/>
        <v>2.1809086450889519E-2</v>
      </c>
      <c r="X357" s="3">
        <f t="shared" si="364"/>
        <v>2.1809081078739731E-2</v>
      </c>
      <c r="Y357" s="3">
        <f t="shared" si="364"/>
        <v>2.1809027357314614E-2</v>
      </c>
      <c r="Z357" s="3">
        <f t="shared" si="364"/>
        <v>2.1808490150341527E-2</v>
      </c>
      <c r="AA357" s="3">
        <f t="shared" si="364"/>
        <v>2.1803118808352912E-2</v>
      </c>
      <c r="AB357" s="3">
        <f t="shared" si="364"/>
        <v>2.1749478096407329E-2</v>
      </c>
      <c r="AC357" s="3">
        <f t="shared" si="364"/>
        <v>2.1220275938831197E-2</v>
      </c>
      <c r="AD357" s="3">
        <f t="shared" si="364"/>
        <v>1.6587192943785786E-2</v>
      </c>
      <c r="AE357" s="3">
        <f t="shared" si="364"/>
        <v>1.4125101952346165E-3</v>
      </c>
      <c r="AF357" s="3">
        <f t="shared" si="364"/>
        <v>2.8325562194905358E-14</v>
      </c>
      <c r="AG357" s="3"/>
      <c r="AH357" s="3"/>
    </row>
    <row r="358" spans="1:34" x14ac:dyDescent="0.25">
      <c r="A358" s="79">
        <f>AVERAGE(B358:AF358)</f>
        <v>4.3530255880935516E-2</v>
      </c>
      <c r="B358" s="80">
        <f>IF($A$64&lt;=B324,IF($B$64&gt;=B324,ABS((B326-B325)/B325),0),0)</f>
        <v>3.8250416579420532E-3</v>
      </c>
      <c r="C358" s="80">
        <f t="shared" ref="C358:AF358" si="365">IF($A$64&lt;=C324,IF($B$64&gt;=C324,ABS((C326-C325)/C325),0),0)</f>
        <v>1.4490883322705475E-2</v>
      </c>
      <c r="D358" s="80">
        <f t="shared" si="365"/>
        <v>1.405535373430483E-2</v>
      </c>
      <c r="E358" s="80">
        <f t="shared" si="365"/>
        <v>1.4034113416046039E-2</v>
      </c>
      <c r="F358" s="80">
        <f t="shared" si="365"/>
        <v>1.5530059030854278E-2</v>
      </c>
      <c r="G358" s="80">
        <f t="shared" si="365"/>
        <v>1.6742273391605521E-2</v>
      </c>
      <c r="H358" s="80">
        <f t="shared" si="365"/>
        <v>1.5987456783877353E-2</v>
      </c>
      <c r="I358" s="80">
        <f t="shared" si="365"/>
        <v>1.3590311555286715E-2</v>
      </c>
      <c r="J358" s="80">
        <f t="shared" si="365"/>
        <v>1.3704533049832801E-2</v>
      </c>
      <c r="K358" s="80">
        <f t="shared" si="365"/>
        <v>1.3847314262928036E-2</v>
      </c>
      <c r="L358" s="80">
        <f t="shared" si="365"/>
        <v>1.2430724921272632E-2</v>
      </c>
      <c r="M358" s="80">
        <f t="shared" si="365"/>
        <v>1.4746900321387323E-2</v>
      </c>
      <c r="N358" s="80">
        <f t="shared" si="365"/>
        <v>1.3129711004478867E-2</v>
      </c>
      <c r="O358" s="80">
        <f t="shared" si="365"/>
        <v>1.2036944481633866E-2</v>
      </c>
      <c r="P358" s="80">
        <f t="shared" si="365"/>
        <v>1.7800795790787905E-2</v>
      </c>
      <c r="Q358" s="80">
        <f t="shared" si="365"/>
        <v>5.0946331533335679E-2</v>
      </c>
      <c r="R358" s="80">
        <f t="shared" si="365"/>
        <v>5.6015635917696822E-2</v>
      </c>
      <c r="S358" s="80">
        <f t="shared" si="365"/>
        <v>2.9336281934318028E-2</v>
      </c>
      <c r="T358" s="80">
        <f t="shared" si="365"/>
        <v>6.7492144699653036E-3</v>
      </c>
      <c r="U358" s="80">
        <f t="shared" si="365"/>
        <v>5.9660022343997809E-2</v>
      </c>
      <c r="V358" s="80">
        <f t="shared" si="365"/>
        <v>1.1675350541790894E-2</v>
      </c>
      <c r="W358" s="80">
        <f t="shared" si="365"/>
        <v>3.2501638033793363E-2</v>
      </c>
      <c r="X358" s="80">
        <f t="shared" si="365"/>
        <v>2.0371190830385322E-3</v>
      </c>
      <c r="Y358" s="80">
        <f t="shared" si="365"/>
        <v>8.0281466060456996E-3</v>
      </c>
      <c r="Z358" s="80">
        <f t="shared" si="365"/>
        <v>9.5300427063125777E-4</v>
      </c>
      <c r="AA358" s="80">
        <f t="shared" si="365"/>
        <v>6.4540816373939442E-4</v>
      </c>
      <c r="AB358" s="80">
        <f t="shared" si="365"/>
        <v>1.5622629522479294E-3</v>
      </c>
      <c r="AC358" s="80">
        <f t="shared" si="365"/>
        <v>5.0431655198231746E-3</v>
      </c>
      <c r="AD358" s="80">
        <f t="shared" si="365"/>
        <v>5.3641943027659018E-2</v>
      </c>
      <c r="AE358" s="80">
        <f t="shared" si="365"/>
        <v>0.39626406675233355</v>
      </c>
      <c r="AF358" s="80">
        <f t="shared" si="365"/>
        <v>0.42842592443364086</v>
      </c>
    </row>
    <row r="359" spans="1:34" x14ac:dyDescent="0.25">
      <c r="B359" s="21">
        <f>(B326-B325)^2</f>
        <v>1224.8948839777565</v>
      </c>
      <c r="C359" s="21">
        <f t="shared" ref="C359:AF359" si="366">(C326-C325)^2</f>
        <v>16336.324555114299</v>
      </c>
      <c r="D359" s="21">
        <f t="shared" si="366"/>
        <v>14387.185255110315</v>
      </c>
      <c r="E359" s="21">
        <f t="shared" si="366"/>
        <v>13482.476386043301</v>
      </c>
      <c r="F359" s="21">
        <f t="shared" si="366"/>
        <v>15355.095760834727</v>
      </c>
      <c r="G359" s="21">
        <f t="shared" si="366"/>
        <v>16298.39706618713</v>
      </c>
      <c r="H359" s="21">
        <f t="shared" si="366"/>
        <v>13438.850243682762</v>
      </c>
      <c r="I359" s="21">
        <f t="shared" si="366"/>
        <v>8855.687736242302</v>
      </c>
      <c r="J359" s="21">
        <f t="shared" si="366"/>
        <v>8290.5364682236232</v>
      </c>
      <c r="K359" s="21">
        <f t="shared" si="366"/>
        <v>7756.7123693227122</v>
      </c>
      <c r="L359" s="21">
        <f t="shared" si="366"/>
        <v>5706.8510649946229</v>
      </c>
      <c r="M359" s="21">
        <f t="shared" si="366"/>
        <v>7301.4786438589963</v>
      </c>
      <c r="N359" s="21">
        <f t="shared" si="366"/>
        <v>5209.963120244216</v>
      </c>
      <c r="O359" s="21">
        <f t="shared" si="366"/>
        <v>3831.4041478067475</v>
      </c>
      <c r="P359" s="21">
        <f t="shared" si="366"/>
        <v>7165.3867291373163</v>
      </c>
      <c r="Q359" s="21">
        <f t="shared" si="366"/>
        <v>47101.626392647027</v>
      </c>
      <c r="R359" s="21">
        <f t="shared" si="366"/>
        <v>40866.144890489079</v>
      </c>
      <c r="S359" s="21">
        <f t="shared" si="366"/>
        <v>7212.3432276491803</v>
      </c>
      <c r="T359" s="21">
        <f t="shared" si="366"/>
        <v>222.0882806337641</v>
      </c>
      <c r="U359" s="21">
        <f t="shared" si="366"/>
        <v>9006.8151268794281</v>
      </c>
      <c r="V359" s="21">
        <f t="shared" si="366"/>
        <v>175.41947582532461</v>
      </c>
      <c r="W359" s="21">
        <f t="shared" si="366"/>
        <v>724.41164722908184</v>
      </c>
      <c r="X359" s="21">
        <f t="shared" si="366"/>
        <v>1.8898494373294847</v>
      </c>
      <c r="Y359" s="21">
        <f t="shared" si="366"/>
        <v>22.483652845596112</v>
      </c>
      <c r="Z359" s="21">
        <f t="shared" si="366"/>
        <v>0.27709644969754188</v>
      </c>
      <c r="AA359" s="21">
        <f t="shared" si="366"/>
        <v>0.11415575747052414</v>
      </c>
      <c r="AB359" s="21">
        <f t="shared" si="366"/>
        <v>0.63901282601772347</v>
      </c>
      <c r="AC359" s="21">
        <f t="shared" si="366"/>
        <v>6.2188365864814958</v>
      </c>
      <c r="AD359" s="21">
        <f t="shared" si="366"/>
        <v>640.20214020666879</v>
      </c>
      <c r="AE359" s="21">
        <f t="shared" si="366"/>
        <v>34497.28957080406</v>
      </c>
      <c r="AF359" s="21">
        <f t="shared" si="366"/>
        <v>40283.504081621933</v>
      </c>
      <c r="AG359" s="3"/>
      <c r="AH359" s="3"/>
    </row>
    <row r="360" spans="1:34" x14ac:dyDescent="0.25">
      <c r="A360" s="71">
        <f>SUM(B360:AF360)</f>
        <v>325402.71186866902</v>
      </c>
      <c r="B360" s="60">
        <f>IF($A$64&lt;=B324,IF($B$64&gt;=B324,ABS(B359),0),0)</f>
        <v>1224.8948839777565</v>
      </c>
      <c r="C360" s="60">
        <f t="shared" ref="C360:AF360" si="367">IF($A$64&lt;=C324,IF($B$64&gt;=C324,ABS(C359),0),0)</f>
        <v>16336.324555114299</v>
      </c>
      <c r="D360" s="60">
        <f t="shared" si="367"/>
        <v>14387.185255110315</v>
      </c>
      <c r="E360" s="60">
        <f t="shared" si="367"/>
        <v>13482.476386043301</v>
      </c>
      <c r="F360" s="60">
        <f t="shared" si="367"/>
        <v>15355.095760834727</v>
      </c>
      <c r="G360" s="60">
        <f t="shared" si="367"/>
        <v>16298.39706618713</v>
      </c>
      <c r="H360" s="60">
        <f t="shared" si="367"/>
        <v>13438.850243682762</v>
      </c>
      <c r="I360" s="60">
        <f t="shared" si="367"/>
        <v>8855.687736242302</v>
      </c>
      <c r="J360" s="60">
        <f t="shared" si="367"/>
        <v>8290.5364682236232</v>
      </c>
      <c r="K360" s="60">
        <f t="shared" si="367"/>
        <v>7756.7123693227122</v>
      </c>
      <c r="L360" s="60">
        <f t="shared" si="367"/>
        <v>5706.8510649946229</v>
      </c>
      <c r="M360" s="60">
        <f t="shared" si="367"/>
        <v>7301.4786438589963</v>
      </c>
      <c r="N360" s="60">
        <f t="shared" si="367"/>
        <v>5209.963120244216</v>
      </c>
      <c r="O360" s="60">
        <f t="shared" si="367"/>
        <v>3831.4041478067475</v>
      </c>
      <c r="P360" s="60">
        <f t="shared" si="367"/>
        <v>7165.3867291373163</v>
      </c>
      <c r="Q360" s="60">
        <f t="shared" si="367"/>
        <v>47101.626392647027</v>
      </c>
      <c r="R360" s="60">
        <f t="shared" si="367"/>
        <v>40866.144890489079</v>
      </c>
      <c r="S360" s="60">
        <f t="shared" si="367"/>
        <v>7212.3432276491803</v>
      </c>
      <c r="T360" s="60">
        <f t="shared" si="367"/>
        <v>222.0882806337641</v>
      </c>
      <c r="U360" s="60">
        <f t="shared" si="367"/>
        <v>9006.8151268794281</v>
      </c>
      <c r="V360" s="60">
        <f t="shared" si="367"/>
        <v>175.41947582532461</v>
      </c>
      <c r="W360" s="60">
        <f t="shared" si="367"/>
        <v>724.41164722908184</v>
      </c>
      <c r="X360" s="60">
        <f t="shared" si="367"/>
        <v>1.8898494373294847</v>
      </c>
      <c r="Y360" s="60">
        <f t="shared" si="367"/>
        <v>22.483652845596112</v>
      </c>
      <c r="Z360" s="60">
        <f t="shared" si="367"/>
        <v>0.27709644969754188</v>
      </c>
      <c r="AA360" s="60">
        <f t="shared" si="367"/>
        <v>0.11415575747052414</v>
      </c>
      <c r="AB360" s="60">
        <f t="shared" si="367"/>
        <v>0.63901282601772347</v>
      </c>
      <c r="AC360" s="60">
        <f t="shared" si="367"/>
        <v>6.2188365864814958</v>
      </c>
      <c r="AD360" s="60">
        <f t="shared" si="367"/>
        <v>640.20214020666879</v>
      </c>
      <c r="AE360" s="60">
        <f t="shared" si="367"/>
        <v>34497.28957080406</v>
      </c>
      <c r="AF360" s="60">
        <f t="shared" si="367"/>
        <v>40283.504081621933</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8527.5984269719247</v>
      </c>
      <c r="C365" s="27">
        <f t="shared" ref="C365:AF365" si="368">($C$17+SUM(C366:C396))*$B$51</f>
        <v>8261.5417129921043</v>
      </c>
      <c r="D365" s="27">
        <f t="shared" si="368"/>
        <v>7947.6649656769041</v>
      </c>
      <c r="E365" s="27">
        <f t="shared" si="368"/>
        <v>7579.164958999444</v>
      </c>
      <c r="F365" s="27">
        <f t="shared" si="368"/>
        <v>7209.6521704400147</v>
      </c>
      <c r="G365" s="27">
        <f t="shared" si="368"/>
        <v>6896.0359651705894</v>
      </c>
      <c r="H365" s="27">
        <f t="shared" si="368"/>
        <v>6615.6057275546937</v>
      </c>
      <c r="I365" s="27">
        <f t="shared" si="368"/>
        <v>6324.6240044687702</v>
      </c>
      <c r="J365" s="27">
        <f t="shared" si="368"/>
        <v>6039.0933952996529</v>
      </c>
      <c r="K365" s="27">
        <f t="shared" si="368"/>
        <v>5754.9939864295666</v>
      </c>
      <c r="L365" s="27">
        <f t="shared" si="368"/>
        <v>5424.5559737274816</v>
      </c>
      <c r="M365" s="27">
        <f t="shared" si="368"/>
        <v>4997.3926119473244</v>
      </c>
      <c r="N365" s="27">
        <f t="shared" si="368"/>
        <v>4402.4383701863717</v>
      </c>
      <c r="O365" s="27">
        <f t="shared" si="368"/>
        <v>3752.7147186178026</v>
      </c>
      <c r="P365" s="27">
        <f t="shared" si="368"/>
        <v>3122.1226723263467</v>
      </c>
      <c r="Q365" s="27">
        <f t="shared" si="368"/>
        <v>2523.9433496327802</v>
      </c>
      <c r="R365" s="27">
        <f t="shared" si="368"/>
        <v>1914.0821897391725</v>
      </c>
      <c r="S365" s="27">
        <f t="shared" si="368"/>
        <v>1422.2227352752143</v>
      </c>
      <c r="T365" s="27">
        <f t="shared" si="368"/>
        <v>1009.7443993236792</v>
      </c>
      <c r="U365" s="27">
        <f t="shared" si="368"/>
        <v>769.37266408153653</v>
      </c>
      <c r="V365" s="27">
        <f t="shared" si="368"/>
        <v>635.62070883029276</v>
      </c>
      <c r="W365" s="27">
        <f t="shared" si="368"/>
        <v>574.82935574600981</v>
      </c>
      <c r="X365" s="27">
        <f t="shared" si="368"/>
        <v>538.18088267149483</v>
      </c>
      <c r="Y365" s="27">
        <f t="shared" si="368"/>
        <v>517.17969858926745</v>
      </c>
      <c r="Z365" s="27">
        <f t="shared" si="368"/>
        <v>505.70280582583064</v>
      </c>
      <c r="AA365" s="27">
        <f t="shared" si="368"/>
        <v>484.82980136646825</v>
      </c>
      <c r="AB365" s="27">
        <f t="shared" si="368"/>
        <v>374.59298920119437</v>
      </c>
      <c r="AC365" s="27">
        <f t="shared" si="368"/>
        <v>267.85811184351394</v>
      </c>
      <c r="AD365" s="27">
        <f t="shared" si="368"/>
        <v>267.76906402904598</v>
      </c>
      <c r="AE365" s="27">
        <f t="shared" si="368"/>
        <v>267.76906402904598</v>
      </c>
      <c r="AF365" s="27">
        <f t="shared" si="368"/>
        <v>267.76906402904598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1.5089788122409164E-81</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2.2700566984983505E-9</v>
      </c>
      <c r="C369" s="3">
        <f t="shared" si="372"/>
        <v>1.4939776155468916E-73</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5.7364194383026151E-3</v>
      </c>
      <c r="C370" s="3">
        <f t="shared" si="373"/>
        <v>9.3093269808535953E-9</v>
      </c>
      <c r="D370" s="3">
        <f t="shared" si="373"/>
        <v>1.1794842454233837E-66</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2.1910787611873685E-2</v>
      </c>
      <c r="C371" s="3">
        <f t="shared" si="374"/>
        <v>6.5822874404931437E-3</v>
      </c>
      <c r="D371" s="3">
        <f t="shared" si="374"/>
        <v>3.9406275301133375E-8</v>
      </c>
      <c r="E371" s="3">
        <f t="shared" si="374"/>
        <v>2.3305092080380357E-60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3.1476754957894454E-2</v>
      </c>
      <c r="C372" s="3">
        <f t="shared" si="375"/>
        <v>2.8240725458975664E-2</v>
      </c>
      <c r="D372" s="3">
        <f t="shared" si="375"/>
        <v>9.5440961497132958E-3</v>
      </c>
      <c r="E372" s="3">
        <f t="shared" si="375"/>
        <v>1.8549165501983947E-7</v>
      </c>
      <c r="F372" s="3">
        <f t="shared" si="375"/>
        <v>1.4263302040574267E-54</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3.8230261037156772E-2</v>
      </c>
      <c r="C373" s="3">
        <f t="shared" si="376"/>
        <v>3.7857957490907521E-2</v>
      </c>
      <c r="D373" s="3">
        <f t="shared" si="376"/>
        <v>3.432861939765499E-2</v>
      </c>
      <c r="E373" s="3">
        <f t="shared" si="376"/>
        <v>1.2901729190294213E-2</v>
      </c>
      <c r="F373" s="3">
        <f t="shared" si="376"/>
        <v>7.2537696914573939E-7</v>
      </c>
      <c r="G373" s="3">
        <f t="shared" si="376"/>
        <v>2.2894025939098228E-49</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3.6030170988442599E-2</v>
      </c>
      <c r="C374" s="3">
        <f t="shared" si="377"/>
        <v>3.5998377773193674E-2</v>
      </c>
      <c r="D374" s="3">
        <f t="shared" si="377"/>
        <v>3.568198454091457E-2</v>
      </c>
      <c r="E374" s="3">
        <f t="shared" si="377"/>
        <v>3.2667034100688254E-2</v>
      </c>
      <c r="F374" s="3">
        <f t="shared" si="377"/>
        <v>1.351191042309844E-2</v>
      </c>
      <c r="G374" s="3">
        <f t="shared" si="377"/>
        <v>1.980556667393929E-6</v>
      </c>
      <c r="H374" s="3">
        <f t="shared" si="377"/>
        <v>9.067601538609406E-45</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2.6917928253362693E-2</v>
      </c>
      <c r="C375" s="3">
        <f t="shared" si="378"/>
        <v>2.6915784717572583E-2</v>
      </c>
      <c r="D375" s="3">
        <f t="shared" si="378"/>
        <v>2.6894358745633427E-2</v>
      </c>
      <c r="E375" s="3">
        <f t="shared" si="378"/>
        <v>2.6681034862733811E-2</v>
      </c>
      <c r="F375" s="3">
        <f t="shared" si="378"/>
        <v>2.4638679985714066E-2</v>
      </c>
      <c r="G375" s="3">
        <f t="shared" si="378"/>
        <v>1.1111305848951812E-2</v>
      </c>
      <c r="H375" s="3">
        <f t="shared" si="378"/>
        <v>3.8658211240095963E-6</v>
      </c>
      <c r="I375" s="3">
        <f t="shared" si="378"/>
        <v>1.0046349490063644E-40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2.7316044446733995E-2</v>
      </c>
      <c r="C376" s="3">
        <f t="shared" si="379"/>
        <v>2.7315848214999688E-2</v>
      </c>
      <c r="D376" s="3">
        <f t="shared" si="379"/>
        <v>2.7313885975187389E-2</v>
      </c>
      <c r="E376" s="3">
        <f t="shared" si="379"/>
        <v>2.7294271328079364E-2</v>
      </c>
      <c r="F376" s="3">
        <f t="shared" si="379"/>
        <v>2.7098897902229416E-2</v>
      </c>
      <c r="G376" s="3">
        <f t="shared" si="379"/>
        <v>2.5220452301103508E-2</v>
      </c>
      <c r="H376" s="3">
        <f t="shared" si="379"/>
        <v>1.2296040723302313E-2</v>
      </c>
      <c r="I376" s="3">
        <f t="shared" si="379"/>
        <v>9.3301690399838898E-6</v>
      </c>
      <c r="J376" s="3">
        <f t="shared" si="379"/>
        <v>5.903800936774445E-37</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2.9609288948521606E-2</v>
      </c>
      <c r="C377" s="3">
        <f t="shared" si="380"/>
        <v>2.9609269760622781E-2</v>
      </c>
      <c r="D377" s="3">
        <f t="shared" si="380"/>
        <v>2.9609077882318445E-2</v>
      </c>
      <c r="E377" s="3">
        <f t="shared" si="380"/>
        <v>2.9607159167662794E-2</v>
      </c>
      <c r="F377" s="3">
        <f t="shared" si="380"/>
        <v>2.9587978858241503E-2</v>
      </c>
      <c r="G377" s="3">
        <f t="shared" si="380"/>
        <v>2.9396857841020245E-2</v>
      </c>
      <c r="H377" s="3">
        <f t="shared" si="380"/>
        <v>2.7552247890122495E-2</v>
      </c>
      <c r="I377" s="3">
        <f t="shared" si="380"/>
        <v>1.4411802002145124E-2</v>
      </c>
      <c r="J377" s="3">
        <f t="shared" si="380"/>
        <v>2.2096871192025082E-5</v>
      </c>
      <c r="K377" s="3">
        <f t="shared" si="380"/>
        <v>1.5865572790153509E-33</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2.5103127748872238E-2</v>
      </c>
      <c r="C378" s="3">
        <f t="shared" si="381"/>
        <v>2.5103126281386133E-2</v>
      </c>
      <c r="D378" s="3">
        <f t="shared" si="381"/>
        <v>2.5103111606529834E-2</v>
      </c>
      <c r="E378" s="3">
        <f t="shared" si="381"/>
        <v>2.5102964858438687E-2</v>
      </c>
      <c r="F378" s="3">
        <f t="shared" si="381"/>
        <v>2.5101497424708751E-2</v>
      </c>
      <c r="G378" s="3">
        <f t="shared" si="381"/>
        <v>2.5086827804546585E-2</v>
      </c>
      <c r="H378" s="3">
        <f t="shared" si="381"/>
        <v>2.494060229793995E-2</v>
      </c>
      <c r="I378" s="3">
        <f t="shared" si="381"/>
        <v>2.3524414364110107E-2</v>
      </c>
      <c r="J378" s="3">
        <f t="shared" si="381"/>
        <v>1.3111055456518883E-2</v>
      </c>
      <c r="K378" s="3">
        <f t="shared" si="381"/>
        <v>3.7916303623845481E-5</v>
      </c>
      <c r="L378" s="3">
        <f t="shared" si="381"/>
        <v>1.5513485070181746E-30</v>
      </c>
      <c r="M378" s="3">
        <f t="shared" si="381"/>
        <v>2.0395913879555926E-284</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2.985290054824595E-2</v>
      </c>
      <c r="C379" s="3">
        <f t="shared" si="382"/>
        <v>2.9852900390818921E-2</v>
      </c>
      <c r="D379" s="3">
        <f t="shared" si="382"/>
        <v>2.9852898816548686E-2</v>
      </c>
      <c r="E379" s="3">
        <f t="shared" si="382"/>
        <v>2.9852883073850887E-2</v>
      </c>
      <c r="F379" s="3">
        <f t="shared" si="382"/>
        <v>2.985272564732951E-2</v>
      </c>
      <c r="G379" s="3">
        <f t="shared" si="382"/>
        <v>2.9851151427774624E-2</v>
      </c>
      <c r="H379" s="3">
        <f t="shared" si="382"/>
        <v>2.9835413797223886E-2</v>
      </c>
      <c r="I379" s="3">
        <f t="shared" si="382"/>
        <v>2.9678493102075661E-2</v>
      </c>
      <c r="J379" s="3">
        <f t="shared" si="382"/>
        <v>2.8153970614820212E-2</v>
      </c>
      <c r="K379" s="3">
        <f t="shared" si="382"/>
        <v>1.6615664720468232E-2</v>
      </c>
      <c r="L379" s="3">
        <f t="shared" si="382"/>
        <v>8.5172303360468097E-5</v>
      </c>
      <c r="M379" s="3">
        <f t="shared" si="382"/>
        <v>1.0668543023432485E-27</v>
      </c>
      <c r="N379" s="3">
        <f t="shared" si="382"/>
        <v>1.0143137663475661E-256</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3.2229654462919324E-2</v>
      </c>
      <c r="C380" s="3">
        <f t="shared" si="383"/>
        <v>3.2229654447587457E-2</v>
      </c>
      <c r="D380" s="3">
        <f t="shared" si="383"/>
        <v>3.22296542942688E-2</v>
      </c>
      <c r="E380" s="3">
        <f t="shared" si="383"/>
        <v>3.2229652761082285E-2</v>
      </c>
      <c r="F380" s="3">
        <f t="shared" si="383"/>
        <v>3.2229637429221109E-2</v>
      </c>
      <c r="G380" s="3">
        <f t="shared" si="383"/>
        <v>3.2229484111010447E-2</v>
      </c>
      <c r="H380" s="3">
        <f t="shared" si="383"/>
        <v>3.2227950969017233E-2</v>
      </c>
      <c r="I380" s="3">
        <f t="shared" si="383"/>
        <v>3.2212623559710607E-2</v>
      </c>
      <c r="J380" s="3">
        <f t="shared" si="383"/>
        <v>3.2059749824182145E-2</v>
      </c>
      <c r="K380" s="3">
        <f t="shared" si="383"/>
        <v>3.057035242408835E-2</v>
      </c>
      <c r="L380" s="3">
        <f t="shared" si="383"/>
        <v>1.8997813033539354E-2</v>
      </c>
      <c r="M380" s="3">
        <f t="shared" si="383"/>
        <v>1.6320567183291453E-4</v>
      </c>
      <c r="N380" s="3">
        <f t="shared" si="383"/>
        <v>3.5731531471896464E-25</v>
      </c>
      <c r="O380" s="3">
        <f t="shared" si="383"/>
        <v>9.0409790279885555E-232</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5.4487827383223837E-2</v>
      </c>
      <c r="C381" s="3">
        <f t="shared" si="384"/>
        <v>5.4487827380885617E-2</v>
      </c>
      <c r="D381" s="3">
        <f t="shared" si="384"/>
        <v>5.4487827357503411E-2</v>
      </c>
      <c r="E381" s="3">
        <f t="shared" si="384"/>
        <v>5.4487827123681373E-2</v>
      </c>
      <c r="F381" s="3">
        <f t="shared" si="384"/>
        <v>5.4487824785461082E-2</v>
      </c>
      <c r="G381" s="3">
        <f t="shared" si="384"/>
        <v>5.4487801403263626E-2</v>
      </c>
      <c r="H381" s="3">
        <f t="shared" si="384"/>
        <v>5.4487567581840972E-2</v>
      </c>
      <c r="I381" s="3">
        <f t="shared" si="384"/>
        <v>5.4485229422800117E-2</v>
      </c>
      <c r="J381" s="3">
        <f t="shared" si="384"/>
        <v>5.4461853350083612E-2</v>
      </c>
      <c r="K381" s="3">
        <f t="shared" si="384"/>
        <v>5.4228643517044955E-2</v>
      </c>
      <c r="L381" s="3">
        <f t="shared" si="384"/>
        <v>5.1950769855396872E-2</v>
      </c>
      <c r="M381" s="3">
        <f t="shared" si="384"/>
        <v>3.3823960176485188E-2</v>
      </c>
      <c r="N381" s="3">
        <f t="shared" si="384"/>
        <v>4.6296602370182423E-4</v>
      </c>
      <c r="O381" s="3">
        <f t="shared" si="384"/>
        <v>1.0685522853792822E-22</v>
      </c>
      <c r="P381" s="3">
        <f t="shared" si="384"/>
        <v>4.5841872832822382E-209</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6.3046504540376178E-2</v>
      </c>
      <c r="C382" s="3">
        <f t="shared" si="385"/>
        <v>6.3046504540132123E-2</v>
      </c>
      <c r="D382" s="3">
        <f t="shared" si="385"/>
        <v>6.3046504537691533E-2</v>
      </c>
      <c r="E382" s="3">
        <f t="shared" si="385"/>
        <v>6.3046504513285709E-2</v>
      </c>
      <c r="F382" s="3">
        <f t="shared" si="385"/>
        <v>6.3046504269227421E-2</v>
      </c>
      <c r="G382" s="3">
        <f t="shared" si="385"/>
        <v>6.3046501828644658E-2</v>
      </c>
      <c r="H382" s="3">
        <f t="shared" si="385"/>
        <v>6.3046477422822211E-2</v>
      </c>
      <c r="I382" s="3">
        <f t="shared" si="385"/>
        <v>6.3046233365117374E-2</v>
      </c>
      <c r="J382" s="3">
        <f t="shared" si="385"/>
        <v>6.3043792840030505E-2</v>
      </c>
      <c r="K382" s="3">
        <f t="shared" si="385"/>
        <v>6.3019392784569847E-2</v>
      </c>
      <c r="L382" s="3">
        <f t="shared" si="385"/>
        <v>6.2775911027399545E-2</v>
      </c>
      <c r="M382" s="3">
        <f t="shared" si="385"/>
        <v>6.0392237756770724E-2</v>
      </c>
      <c r="N382" s="3">
        <f t="shared" si="385"/>
        <v>4.1007387554190665E-2</v>
      </c>
      <c r="O382" s="3">
        <f t="shared" si="385"/>
        <v>8.5442098902116514E-4</v>
      </c>
      <c r="P382" s="3">
        <f t="shared" si="385"/>
        <v>1.3175586751320513E-20</v>
      </c>
      <c r="Q382" s="3">
        <f t="shared" si="385"/>
        <v>1.0017296530087202E-188</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6.2829439903479459E-2</v>
      </c>
      <c r="C383" s="3">
        <f t="shared" si="386"/>
        <v>6.2829439903457504E-2</v>
      </c>
      <c r="D383" s="3">
        <f t="shared" si="386"/>
        <v>6.282943990323811E-2</v>
      </c>
      <c r="E383" s="3">
        <f t="shared" si="386"/>
        <v>6.2829439901044074E-2</v>
      </c>
      <c r="F383" s="3">
        <f t="shared" si="386"/>
        <v>6.2829439879103791E-2</v>
      </c>
      <c r="G383" s="3">
        <f t="shared" si="386"/>
        <v>6.282943965970092E-2</v>
      </c>
      <c r="H383" s="3">
        <f t="shared" si="386"/>
        <v>6.2829437465672197E-2</v>
      </c>
      <c r="I383" s="3">
        <f t="shared" si="386"/>
        <v>6.2829415525389287E-2</v>
      </c>
      <c r="J383" s="3">
        <f t="shared" si="386"/>
        <v>6.2829196122981518E-2</v>
      </c>
      <c r="K383" s="3">
        <f t="shared" si="386"/>
        <v>6.2827002141042157E-2</v>
      </c>
      <c r="L383" s="3">
        <f t="shared" si="386"/>
        <v>6.2805066534942888E-2</v>
      </c>
      <c r="M383" s="3">
        <f t="shared" si="386"/>
        <v>6.2586131259499342E-2</v>
      </c>
      <c r="N383" s="3">
        <f t="shared" si="386"/>
        <v>6.0438318423061341E-2</v>
      </c>
      <c r="O383" s="3">
        <f t="shared" si="386"/>
        <v>4.2624081226035372E-2</v>
      </c>
      <c r="P383" s="3">
        <f t="shared" si="386"/>
        <v>1.2974230636687673E-3</v>
      </c>
      <c r="Q383" s="3">
        <f t="shared" si="386"/>
        <v>8.8582400556894485E-19</v>
      </c>
      <c r="R383" s="3">
        <f t="shared" si="386"/>
        <v>1.9498704599884694E-170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5.5245188990655059E-2</v>
      </c>
      <c r="C384" s="3">
        <f t="shared" si="387"/>
        <v>5.5245188990653324E-2</v>
      </c>
      <c r="D384" s="3">
        <f t="shared" si="387"/>
        <v>5.5245188990635914E-2</v>
      </c>
      <c r="E384" s="3">
        <f t="shared" si="387"/>
        <v>5.5245188990461887E-2</v>
      </c>
      <c r="F384" s="3">
        <f t="shared" si="387"/>
        <v>5.5245188988721605E-2</v>
      </c>
      <c r="G384" s="3">
        <f t="shared" si="387"/>
        <v>5.5245188971318762E-2</v>
      </c>
      <c r="H384" s="3">
        <f t="shared" si="387"/>
        <v>5.5245188797290339E-2</v>
      </c>
      <c r="I384" s="3">
        <f t="shared" si="387"/>
        <v>5.5245187057006151E-2</v>
      </c>
      <c r="J384" s="3">
        <f t="shared" si="387"/>
        <v>5.5245169654167293E-2</v>
      </c>
      <c r="K384" s="3">
        <f t="shared" si="387"/>
        <v>5.5244995626080227E-2</v>
      </c>
      <c r="L384" s="3">
        <f t="shared" si="387"/>
        <v>5.524325537536063E-2</v>
      </c>
      <c r="M384" s="3">
        <f t="shared" si="387"/>
        <v>5.5225855882921962E-2</v>
      </c>
      <c r="N384" s="3">
        <f t="shared" si="387"/>
        <v>5.5052162083174476E-2</v>
      </c>
      <c r="O384" s="3">
        <f t="shared" si="387"/>
        <v>5.3344988514304907E-2</v>
      </c>
      <c r="P384" s="3">
        <f t="shared" si="387"/>
        <v>3.8930150896352905E-2</v>
      </c>
      <c r="Q384" s="3">
        <f t="shared" si="387"/>
        <v>1.6680562751450829E-3</v>
      </c>
      <c r="R384" s="3">
        <f t="shared" si="387"/>
        <v>3.4790190815287897E-17</v>
      </c>
      <c r="S384" s="3">
        <f t="shared" si="387"/>
        <v>5.418984826877121E-154</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6.6645884688751586E-2</v>
      </c>
      <c r="C385" s="3">
        <f t="shared" si="388"/>
        <v>6.6645884688751406E-2</v>
      </c>
      <c r="D385" s="3">
        <f t="shared" si="388"/>
        <v>6.6645884688749518E-2</v>
      </c>
      <c r="E385" s="3">
        <f t="shared" si="388"/>
        <v>6.6645884688730575E-2</v>
      </c>
      <c r="F385" s="3">
        <f t="shared" si="388"/>
        <v>6.6645884688541185E-2</v>
      </c>
      <c r="G385" s="3">
        <f t="shared" si="388"/>
        <v>6.6645884686647339E-2</v>
      </c>
      <c r="H385" s="3">
        <f t="shared" si="388"/>
        <v>6.6645884667708835E-2</v>
      </c>
      <c r="I385" s="3">
        <f t="shared" si="388"/>
        <v>6.66458844783238E-2</v>
      </c>
      <c r="J385" s="3">
        <f t="shared" si="388"/>
        <v>6.6645882584473529E-2</v>
      </c>
      <c r="K385" s="3">
        <f t="shared" si="388"/>
        <v>6.664586364597383E-2</v>
      </c>
      <c r="L385" s="3">
        <f t="shared" si="388"/>
        <v>6.6645674261272672E-2</v>
      </c>
      <c r="M385" s="3">
        <f t="shared" si="388"/>
        <v>6.6643780443860115E-2</v>
      </c>
      <c r="N385" s="3">
        <f t="shared" si="388"/>
        <v>6.6624845229313362E-2</v>
      </c>
      <c r="O385" s="3">
        <f t="shared" si="388"/>
        <v>6.6435788730790285E-2</v>
      </c>
      <c r="P385" s="3">
        <f t="shared" si="388"/>
        <v>6.4574479941100382E-2</v>
      </c>
      <c r="Q385" s="3">
        <f t="shared" si="388"/>
        <v>4.8601439865678699E-2</v>
      </c>
      <c r="R385" s="3">
        <f t="shared" si="388"/>
        <v>2.8348580824134849E-3</v>
      </c>
      <c r="S385" s="3">
        <f t="shared" si="388"/>
        <v>1.2922697747383495E-15</v>
      </c>
      <c r="T385" s="3">
        <f t="shared" si="388"/>
        <v>5.0069335748035669E-139</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2.5869055396656026E-2</v>
      </c>
      <c r="C386" s="3">
        <f t="shared" si="389"/>
        <v>2.5869055396656019E-2</v>
      </c>
      <c r="D386" s="3">
        <f t="shared" si="389"/>
        <v>2.586905539665595E-2</v>
      </c>
      <c r="E386" s="3">
        <f t="shared" si="389"/>
        <v>2.5869055396655287E-2</v>
      </c>
      <c r="F386" s="3">
        <f t="shared" si="389"/>
        <v>2.586905539664866E-2</v>
      </c>
      <c r="G386" s="3">
        <f t="shared" si="389"/>
        <v>2.5869055396582345E-2</v>
      </c>
      <c r="H386" s="3">
        <f t="shared" si="389"/>
        <v>2.5869055395919213E-2</v>
      </c>
      <c r="I386" s="3">
        <f t="shared" si="389"/>
        <v>2.5869055389287902E-2</v>
      </c>
      <c r="J386" s="3">
        <f t="shared" si="389"/>
        <v>2.5869055322974781E-2</v>
      </c>
      <c r="K386" s="3">
        <f t="shared" si="389"/>
        <v>2.5869054659843575E-2</v>
      </c>
      <c r="L386" s="3">
        <f t="shared" si="389"/>
        <v>2.5869048028532463E-2</v>
      </c>
      <c r="M386" s="3">
        <f t="shared" si="389"/>
        <v>2.5868981715514851E-2</v>
      </c>
      <c r="N386" s="3">
        <f t="shared" si="389"/>
        <v>2.5868318594687949E-2</v>
      </c>
      <c r="O386" s="3">
        <f t="shared" si="389"/>
        <v>2.5861688321254662E-2</v>
      </c>
      <c r="P386" s="3">
        <f t="shared" si="389"/>
        <v>2.5795478981887946E-2</v>
      </c>
      <c r="Q386" s="3">
        <f t="shared" si="389"/>
        <v>2.5142637107229221E-2</v>
      </c>
      <c r="R386" s="3">
        <f t="shared" si="389"/>
        <v>1.9457325016155051E-2</v>
      </c>
      <c r="S386" s="3">
        <f t="shared" si="389"/>
        <v>1.49901575320085E-3</v>
      </c>
      <c r="T386" s="3">
        <f t="shared" si="389"/>
        <v>1.1041722579019126E-14</v>
      </c>
      <c r="U386" s="3">
        <f t="shared" si="389"/>
        <v>5.1921015297319793E-126</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4.8591449840458205E-2</v>
      </c>
      <c r="C387" s="3">
        <f t="shared" si="390"/>
        <v>4.8591449840458198E-2</v>
      </c>
      <c r="D387" s="3">
        <f t="shared" si="390"/>
        <v>4.859144984045817E-2</v>
      </c>
      <c r="E387" s="3">
        <f t="shared" si="390"/>
        <v>4.8591449840457823E-2</v>
      </c>
      <c r="F387" s="3">
        <f t="shared" si="390"/>
        <v>4.8591449840454375E-2</v>
      </c>
      <c r="G387" s="3">
        <f t="shared" si="390"/>
        <v>4.859144984041993E-2</v>
      </c>
      <c r="H387" s="3">
        <f t="shared" si="390"/>
        <v>4.8591449840075428E-2</v>
      </c>
      <c r="I387" s="3">
        <f t="shared" si="390"/>
        <v>4.8591449836630406E-2</v>
      </c>
      <c r="J387" s="3">
        <f t="shared" si="390"/>
        <v>4.8591449802180213E-2</v>
      </c>
      <c r="K387" s="3">
        <f t="shared" si="390"/>
        <v>4.8591449457678321E-2</v>
      </c>
      <c r="L387" s="3">
        <f t="shared" si="390"/>
        <v>4.8591446012659481E-2</v>
      </c>
      <c r="M387" s="3">
        <f t="shared" si="390"/>
        <v>4.8591411562484532E-2</v>
      </c>
      <c r="N387" s="3">
        <f t="shared" si="390"/>
        <v>4.8591067062078351E-2</v>
      </c>
      <c r="O387" s="3">
        <f t="shared" si="390"/>
        <v>4.8587622192346698E-2</v>
      </c>
      <c r="P387" s="3">
        <f t="shared" si="390"/>
        <v>4.8553186924519418E-2</v>
      </c>
      <c r="Q387" s="3">
        <f t="shared" si="390"/>
        <v>4.8210173679001371E-2</v>
      </c>
      <c r="R387" s="3">
        <f t="shared" si="390"/>
        <v>4.4910536522349324E-2</v>
      </c>
      <c r="S387" s="3">
        <f t="shared" si="390"/>
        <v>2.2102617941958409E-2</v>
      </c>
      <c r="T387" s="3">
        <f t="shared" si="390"/>
        <v>1.8424616195117072E-5</v>
      </c>
      <c r="U387" s="3">
        <f t="shared" si="390"/>
        <v>2.9850099345539427E-36</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2.853497416803049E-2</v>
      </c>
      <c r="C388" s="3">
        <f t="shared" si="391"/>
        <v>2.853497416803049E-2</v>
      </c>
      <c r="D388" s="3">
        <f t="shared" si="391"/>
        <v>2.8534974168030487E-2</v>
      </c>
      <c r="E388" s="3">
        <f t="shared" si="391"/>
        <v>2.8534974168030469E-2</v>
      </c>
      <c r="F388" s="3">
        <f t="shared" si="391"/>
        <v>2.8534974168030264E-2</v>
      </c>
      <c r="G388" s="3">
        <f t="shared" si="391"/>
        <v>2.8534974168028242E-2</v>
      </c>
      <c r="H388" s="3">
        <f t="shared" si="391"/>
        <v>2.8534974168008011E-2</v>
      </c>
      <c r="I388" s="3">
        <f t="shared" si="391"/>
        <v>2.8534974167805708E-2</v>
      </c>
      <c r="J388" s="3">
        <f t="shared" si="391"/>
        <v>2.8534974165782646E-2</v>
      </c>
      <c r="K388" s="3">
        <f t="shared" si="391"/>
        <v>2.8534974145552019E-2</v>
      </c>
      <c r="L388" s="3">
        <f t="shared" si="391"/>
        <v>2.8534973943245796E-2</v>
      </c>
      <c r="M388" s="3">
        <f t="shared" si="391"/>
        <v>2.8534971920183633E-2</v>
      </c>
      <c r="N388" s="3">
        <f t="shared" si="391"/>
        <v>2.8534951689569904E-2</v>
      </c>
      <c r="O388" s="3">
        <f t="shared" si="391"/>
        <v>2.8534749384221465E-2</v>
      </c>
      <c r="P388" s="3">
        <f t="shared" si="391"/>
        <v>2.8532726409621456E-2</v>
      </c>
      <c r="Q388" s="3">
        <f t="shared" si="391"/>
        <v>2.8512504549990863E-2</v>
      </c>
      <c r="R388" s="3">
        <f t="shared" si="391"/>
        <v>2.8311072525791407E-2</v>
      </c>
      <c r="S388" s="3">
        <f t="shared" si="391"/>
        <v>2.6373384695152848E-2</v>
      </c>
      <c r="T388" s="3">
        <f t="shared" si="391"/>
        <v>1.2979601022204921E-2</v>
      </c>
      <c r="U388" s="3">
        <f t="shared" si="391"/>
        <v>1.0819721348297688E-5</v>
      </c>
      <c r="V388" s="3">
        <f t="shared" si="391"/>
        <v>1.7529252914551014E-36</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1.8710063230340357E-2</v>
      </c>
      <c r="C389" s="3">
        <f t="shared" si="392"/>
        <v>1.8710063230340357E-2</v>
      </c>
      <c r="D389" s="3">
        <f t="shared" si="392"/>
        <v>1.8710063230340357E-2</v>
      </c>
      <c r="E389" s="3">
        <f t="shared" si="392"/>
        <v>1.8710063230340353E-2</v>
      </c>
      <c r="F389" s="3">
        <f t="shared" si="392"/>
        <v>1.8710063230340343E-2</v>
      </c>
      <c r="G389" s="3">
        <f t="shared" si="392"/>
        <v>1.8710063230340208E-2</v>
      </c>
      <c r="H389" s="3">
        <f t="shared" si="392"/>
        <v>1.8710063230338882E-2</v>
      </c>
      <c r="I389" s="3">
        <f t="shared" si="392"/>
        <v>1.8710063230325619E-2</v>
      </c>
      <c r="J389" s="3">
        <f t="shared" si="392"/>
        <v>1.8710063230192968E-2</v>
      </c>
      <c r="K389" s="3">
        <f t="shared" si="392"/>
        <v>1.871006322886647E-2</v>
      </c>
      <c r="L389" s="3">
        <f t="shared" si="392"/>
        <v>1.8710063215601477E-2</v>
      </c>
      <c r="M389" s="3">
        <f t="shared" si="392"/>
        <v>1.8710063082951551E-2</v>
      </c>
      <c r="N389" s="3">
        <f t="shared" si="392"/>
        <v>1.8710061756452328E-2</v>
      </c>
      <c r="O389" s="3">
        <f t="shared" si="392"/>
        <v>1.8710048491465306E-2</v>
      </c>
      <c r="P389" s="3">
        <f t="shared" si="392"/>
        <v>1.8709915842112308E-2</v>
      </c>
      <c r="Q389" s="3">
        <f t="shared" si="392"/>
        <v>1.870858940030596E-2</v>
      </c>
      <c r="R389" s="3">
        <f t="shared" si="392"/>
        <v>1.8695330153246703E-2</v>
      </c>
      <c r="S389" s="3">
        <f t="shared" si="392"/>
        <v>1.85632534291819E-2</v>
      </c>
      <c r="T389" s="3">
        <f t="shared" si="392"/>
        <v>1.7292733203075426E-2</v>
      </c>
      <c r="U389" s="3">
        <f t="shared" si="392"/>
        <v>8.5105791370269895E-3</v>
      </c>
      <c r="V389" s="3">
        <f t="shared" si="392"/>
        <v>7.0943702058127912E-6</v>
      </c>
      <c r="W389" s="3">
        <f t="shared" si="392"/>
        <v>1.1493734968203564E-36</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7.6798609611155137E-3</v>
      </c>
      <c r="C390" s="3">
        <f t="shared" si="393"/>
        <v>7.6798609611155137E-3</v>
      </c>
      <c r="D390" s="3">
        <f t="shared" si="393"/>
        <v>7.6798609611155137E-3</v>
      </c>
      <c r="E390" s="3">
        <f t="shared" si="393"/>
        <v>7.6798609611155137E-3</v>
      </c>
      <c r="F390" s="3">
        <f t="shared" si="393"/>
        <v>7.6798609611155129E-3</v>
      </c>
      <c r="G390" s="3">
        <f t="shared" si="393"/>
        <v>7.6798609611155077E-3</v>
      </c>
      <c r="H390" s="3">
        <f t="shared" si="393"/>
        <v>7.679860961115453E-3</v>
      </c>
      <c r="I390" s="3">
        <f t="shared" si="393"/>
        <v>7.6798609611149083E-3</v>
      </c>
      <c r="J390" s="3">
        <f t="shared" si="393"/>
        <v>7.6798609611094639E-3</v>
      </c>
      <c r="K390" s="3">
        <f t="shared" si="393"/>
        <v>7.6798609610550161E-3</v>
      </c>
      <c r="L390" s="3">
        <f t="shared" si="393"/>
        <v>7.6798609605105315E-3</v>
      </c>
      <c r="M390" s="3">
        <f t="shared" si="393"/>
        <v>7.6798609550656916E-3</v>
      </c>
      <c r="N390" s="3">
        <f t="shared" si="393"/>
        <v>7.6798609006172927E-3</v>
      </c>
      <c r="O390" s="3">
        <f t="shared" si="393"/>
        <v>7.6798603561333183E-3</v>
      </c>
      <c r="P390" s="3">
        <f t="shared" si="393"/>
        <v>7.6798549112957071E-3</v>
      </c>
      <c r="Q390" s="3">
        <f t="shared" si="393"/>
        <v>7.6798004631319005E-3</v>
      </c>
      <c r="R390" s="3">
        <f t="shared" si="393"/>
        <v>7.6792560027246666E-3</v>
      </c>
      <c r="S390" s="3">
        <f t="shared" si="393"/>
        <v>7.6738135211782089E-3</v>
      </c>
      <c r="T390" s="3">
        <f t="shared" si="393"/>
        <v>7.6196004025730043E-3</v>
      </c>
      <c r="U390" s="3">
        <f t="shared" si="393"/>
        <v>7.0980939509560984E-3</v>
      </c>
      <c r="V390" s="3">
        <f t="shared" si="393"/>
        <v>3.4933107208825168E-3</v>
      </c>
      <c r="W390" s="3">
        <f t="shared" si="393"/>
        <v>2.9120038835021919E-6</v>
      </c>
      <c r="X390" s="3">
        <f t="shared" si="393"/>
        <v>4.7177973368136543E-37</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4.1102249961922147E-3</v>
      </c>
      <c r="C391" s="3">
        <f t="shared" si="394"/>
        <v>4.1102249961922147E-3</v>
      </c>
      <c r="D391" s="3">
        <f t="shared" si="394"/>
        <v>4.1102249961922147E-3</v>
      </c>
      <c r="E391" s="3">
        <f t="shared" si="394"/>
        <v>4.1102249961922147E-3</v>
      </c>
      <c r="F391" s="3">
        <f t="shared" si="394"/>
        <v>4.1102249961922147E-3</v>
      </c>
      <c r="G391" s="3">
        <f t="shared" si="394"/>
        <v>4.1102249961922138E-3</v>
      </c>
      <c r="H391" s="3">
        <f t="shared" si="394"/>
        <v>4.1102249961922112E-3</v>
      </c>
      <c r="I391" s="3">
        <f t="shared" si="394"/>
        <v>4.1102249961921826E-3</v>
      </c>
      <c r="J391" s="3">
        <f t="shared" si="394"/>
        <v>4.1102249961918903E-3</v>
      </c>
      <c r="K391" s="3">
        <f t="shared" si="394"/>
        <v>4.1102249961889768E-3</v>
      </c>
      <c r="L391" s="3">
        <f t="shared" si="394"/>
        <v>4.110224996159836E-3</v>
      </c>
      <c r="M391" s="3">
        <f t="shared" si="394"/>
        <v>4.1102249958684311E-3</v>
      </c>
      <c r="N391" s="3">
        <f t="shared" si="394"/>
        <v>4.1102249929543784E-3</v>
      </c>
      <c r="O391" s="3">
        <f t="shared" si="394"/>
        <v>4.1102249638138551E-3</v>
      </c>
      <c r="P391" s="3">
        <f t="shared" si="394"/>
        <v>4.1102246724086262E-3</v>
      </c>
      <c r="Q391" s="3">
        <f t="shared" si="394"/>
        <v>4.1102217583574782E-3</v>
      </c>
      <c r="R391" s="3">
        <f t="shared" si="394"/>
        <v>4.1101926179596231E-3</v>
      </c>
      <c r="S391" s="3">
        <f t="shared" si="394"/>
        <v>4.1099012253437176E-3</v>
      </c>
      <c r="T391" s="3">
        <f t="shared" si="394"/>
        <v>4.1069884351504025E-3</v>
      </c>
      <c r="U391" s="3">
        <f t="shared" si="394"/>
        <v>4.0779738323677662E-3</v>
      </c>
      <c r="V391" s="3">
        <f t="shared" si="394"/>
        <v>3.7988660641458832E-3</v>
      </c>
      <c r="W391" s="3">
        <f t="shared" si="394"/>
        <v>1.8696032541651634E-3</v>
      </c>
      <c r="X391" s="3">
        <f t="shared" si="394"/>
        <v>1.5584906043977383E-6</v>
      </c>
      <c r="Y391" s="3">
        <f t="shared" si="394"/>
        <v>2.5249426570248656E-37</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3.1066969837399792E-3</v>
      </c>
      <c r="C392" s="3">
        <f t="shared" si="395"/>
        <v>3.1066969837399792E-3</v>
      </c>
      <c r="D392" s="3">
        <f t="shared" si="395"/>
        <v>3.1066969837399792E-3</v>
      </c>
      <c r="E392" s="3">
        <f t="shared" si="395"/>
        <v>3.1066969837399792E-3</v>
      </c>
      <c r="F392" s="3">
        <f t="shared" si="395"/>
        <v>3.1066969837399792E-3</v>
      </c>
      <c r="G392" s="3">
        <f t="shared" si="395"/>
        <v>3.1066969837399792E-3</v>
      </c>
      <c r="H392" s="3">
        <f t="shared" si="395"/>
        <v>3.1066969837399787E-3</v>
      </c>
      <c r="I392" s="3">
        <f t="shared" si="395"/>
        <v>3.1066969837399766E-3</v>
      </c>
      <c r="J392" s="3">
        <f t="shared" si="395"/>
        <v>3.1066969837399549E-3</v>
      </c>
      <c r="K392" s="3">
        <f t="shared" si="395"/>
        <v>3.1066969837397341E-3</v>
      </c>
      <c r="L392" s="3">
        <f t="shared" si="395"/>
        <v>3.1066969837375319E-3</v>
      </c>
      <c r="M392" s="3">
        <f t="shared" si="395"/>
        <v>3.1066969837155061E-3</v>
      </c>
      <c r="N392" s="3">
        <f t="shared" si="395"/>
        <v>3.1066969834952487E-3</v>
      </c>
      <c r="O392" s="3">
        <f t="shared" si="395"/>
        <v>3.1066969812926738E-3</v>
      </c>
      <c r="P392" s="3">
        <f t="shared" si="395"/>
        <v>3.1066969592669267E-3</v>
      </c>
      <c r="Q392" s="3">
        <f t="shared" si="395"/>
        <v>3.1066967390094599E-3</v>
      </c>
      <c r="R392" s="3">
        <f t="shared" si="395"/>
        <v>3.1066945364356543E-3</v>
      </c>
      <c r="S392" s="3">
        <f t="shared" si="395"/>
        <v>3.106672510783481E-3</v>
      </c>
      <c r="T392" s="3">
        <f t="shared" si="395"/>
        <v>3.1064522628501544E-3</v>
      </c>
      <c r="U392" s="3">
        <f t="shared" si="395"/>
        <v>3.1042506421320127E-3</v>
      </c>
      <c r="V392" s="3">
        <f t="shared" si="395"/>
        <v>3.0823200716564945E-3</v>
      </c>
      <c r="W392" s="3">
        <f t="shared" si="395"/>
        <v>2.8713575908977476E-3</v>
      </c>
      <c r="X392" s="3">
        <f t="shared" si="395"/>
        <v>1.4131320781432322E-3</v>
      </c>
      <c r="Y392" s="3">
        <f t="shared" si="395"/>
        <v>1.1779788367680701E-6</v>
      </c>
      <c r="Z392" s="3">
        <f t="shared" si="395"/>
        <v>1.9084677223175358E-37</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9.6514726179013565E-4</v>
      </c>
      <c r="C393" s="3">
        <f t="shared" si="396"/>
        <v>9.6514726179013565E-4</v>
      </c>
      <c r="D393" s="3">
        <f t="shared" si="396"/>
        <v>9.6514726179013565E-4</v>
      </c>
      <c r="E393" s="3">
        <f t="shared" si="396"/>
        <v>9.6514726179013565E-4</v>
      </c>
      <c r="F393" s="3">
        <f t="shared" si="396"/>
        <v>9.6514726179013565E-4</v>
      </c>
      <c r="G393" s="3">
        <f t="shared" si="396"/>
        <v>9.6514726179013565E-4</v>
      </c>
      <c r="H393" s="3">
        <f t="shared" si="396"/>
        <v>9.6514726179013565E-4</v>
      </c>
      <c r="I393" s="3">
        <f t="shared" si="396"/>
        <v>9.6514726179013554E-4</v>
      </c>
      <c r="J393" s="3">
        <f t="shared" si="396"/>
        <v>9.6514726179013489E-4</v>
      </c>
      <c r="K393" s="3">
        <f t="shared" si="396"/>
        <v>9.6514726179012806E-4</v>
      </c>
      <c r="L393" s="3">
        <f t="shared" si="396"/>
        <v>9.6514726179005954E-4</v>
      </c>
      <c r="M393" s="3">
        <f t="shared" si="396"/>
        <v>9.6514726178937541E-4</v>
      </c>
      <c r="N393" s="3">
        <f t="shared" si="396"/>
        <v>9.6514726178253268E-4</v>
      </c>
      <c r="O393" s="3">
        <f t="shared" si="396"/>
        <v>9.6514726171410608E-4</v>
      </c>
      <c r="P393" s="3">
        <f t="shared" si="396"/>
        <v>9.6514726102983942E-4</v>
      </c>
      <c r="Q393" s="3">
        <f t="shared" si="396"/>
        <v>9.6514725418717345E-4</v>
      </c>
      <c r="R393" s="3">
        <f t="shared" si="396"/>
        <v>9.6514718576051577E-4</v>
      </c>
      <c r="S393" s="3">
        <f t="shared" si="396"/>
        <v>9.6514650149420701E-4</v>
      </c>
      <c r="T393" s="3">
        <f t="shared" si="396"/>
        <v>9.6513965885780084E-4</v>
      </c>
      <c r="U393" s="3">
        <f t="shared" si="396"/>
        <v>9.6507123516186987E-4</v>
      </c>
      <c r="V393" s="3">
        <f t="shared" si="396"/>
        <v>9.6438726494567687E-4</v>
      </c>
      <c r="W393" s="3">
        <f t="shared" si="396"/>
        <v>9.5757416725551802E-4</v>
      </c>
      <c r="X393" s="3">
        <f t="shared" si="396"/>
        <v>8.9203515211808289E-4</v>
      </c>
      <c r="Y393" s="3">
        <f t="shared" si="396"/>
        <v>4.3901306207399886E-4</v>
      </c>
      <c r="Z393" s="3">
        <f t="shared" si="396"/>
        <v>3.6595878346164091E-7</v>
      </c>
      <c r="AA393" s="3">
        <f t="shared" si="396"/>
        <v>5.9289734597553279E-38</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1.0056328677851901E-3</v>
      </c>
      <c r="C394" s="3">
        <f t="shared" si="397"/>
        <v>1.0056328677851901E-3</v>
      </c>
      <c r="D394" s="3">
        <f t="shared" si="397"/>
        <v>1.0056328677851901E-3</v>
      </c>
      <c r="E394" s="3">
        <f t="shared" si="397"/>
        <v>1.0056328677851901E-3</v>
      </c>
      <c r="F394" s="3">
        <f t="shared" si="397"/>
        <v>1.0056328677851901E-3</v>
      </c>
      <c r="G394" s="3">
        <f t="shared" si="397"/>
        <v>1.0056328677851901E-3</v>
      </c>
      <c r="H394" s="3">
        <f t="shared" si="397"/>
        <v>1.0056328677851901E-3</v>
      </c>
      <c r="I394" s="3">
        <f t="shared" si="397"/>
        <v>1.0056328677851901E-3</v>
      </c>
      <c r="J394" s="3">
        <f t="shared" si="397"/>
        <v>1.0056328677851899E-3</v>
      </c>
      <c r="K394" s="3">
        <f t="shared" si="397"/>
        <v>1.0056328677851892E-3</v>
      </c>
      <c r="L394" s="3">
        <f t="shared" si="397"/>
        <v>1.005632867785182E-3</v>
      </c>
      <c r="M394" s="3">
        <f t="shared" si="397"/>
        <v>1.0056328677851107E-3</v>
      </c>
      <c r="N394" s="3">
        <f t="shared" si="397"/>
        <v>1.005632867784398E-3</v>
      </c>
      <c r="O394" s="3">
        <f t="shared" si="397"/>
        <v>1.0056328677772682E-3</v>
      </c>
      <c r="P394" s="3">
        <f t="shared" si="397"/>
        <v>1.0056328677059713E-3</v>
      </c>
      <c r="Q394" s="3">
        <f t="shared" si="397"/>
        <v>1.0056328669930013E-3</v>
      </c>
      <c r="R394" s="3">
        <f t="shared" si="397"/>
        <v>1.0056328598633019E-3</v>
      </c>
      <c r="S394" s="3">
        <f t="shared" si="397"/>
        <v>1.0056327885663106E-3</v>
      </c>
      <c r="T394" s="3">
        <f t="shared" si="397"/>
        <v>1.0056320755966761E-3</v>
      </c>
      <c r="U394" s="3">
        <f t="shared" si="397"/>
        <v>1.0056249459281324E-3</v>
      </c>
      <c r="V394" s="3">
        <f t="shared" si="397"/>
        <v>1.0055536520227487E-3</v>
      </c>
      <c r="W394" s="3">
        <f t="shared" si="397"/>
        <v>1.0048409909012592E-3</v>
      </c>
      <c r="X394" s="3">
        <f t="shared" si="397"/>
        <v>9.9774210015173047E-4</v>
      </c>
      <c r="Y394" s="3">
        <f t="shared" si="397"/>
        <v>9.2945388098170372E-4</v>
      </c>
      <c r="Z394" s="3">
        <f t="shared" si="397"/>
        <v>4.5742860399331593E-4</v>
      </c>
      <c r="AA394" s="3">
        <f t="shared" si="397"/>
        <v>3.8130987412336742E-7</v>
      </c>
      <c r="AB394" s="3">
        <f t="shared" si="397"/>
        <v>6.1776796343981196E-38</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2.1809087047795134E-2</v>
      </c>
      <c r="C396" s="3">
        <f t="shared" si="399"/>
        <v>2.1809087047795134E-2</v>
      </c>
      <c r="D396" s="3">
        <f t="shared" si="399"/>
        <v>2.1809087047795134E-2</v>
      </c>
      <c r="E396" s="3">
        <f t="shared" si="399"/>
        <v>2.1809087047795134E-2</v>
      </c>
      <c r="F396" s="3">
        <f t="shared" si="399"/>
        <v>2.1809087047795134E-2</v>
      </c>
      <c r="G396" s="3">
        <f t="shared" si="399"/>
        <v>2.1809087047795134E-2</v>
      </c>
      <c r="H396" s="3">
        <f t="shared" si="399"/>
        <v>2.1809087047795134E-2</v>
      </c>
      <c r="I396" s="3">
        <f t="shared" si="399"/>
        <v>2.1809087047795134E-2</v>
      </c>
      <c r="J396" s="3">
        <f t="shared" si="399"/>
        <v>2.1809087047795134E-2</v>
      </c>
      <c r="K396" s="3">
        <f t="shared" si="399"/>
        <v>2.1809087047795134E-2</v>
      </c>
      <c r="L396" s="3">
        <f t="shared" si="399"/>
        <v>2.180908704779513E-2</v>
      </c>
      <c r="M396" s="3">
        <f t="shared" si="399"/>
        <v>2.1809087047795116E-2</v>
      </c>
      <c r="N396" s="3">
        <f t="shared" si="399"/>
        <v>2.180908704779496E-2</v>
      </c>
      <c r="O396" s="3">
        <f t="shared" si="399"/>
        <v>2.1809087047793413E-2</v>
      </c>
      <c r="P396" s="3">
        <f t="shared" si="399"/>
        <v>2.1809087047777953E-2</v>
      </c>
      <c r="Q396" s="3">
        <f t="shared" si="399"/>
        <v>2.1809087047623334E-2</v>
      </c>
      <c r="R396" s="3">
        <f t="shared" si="399"/>
        <v>2.1809087046077119E-2</v>
      </c>
      <c r="S396" s="3">
        <f t="shared" si="399"/>
        <v>2.1809087030614991E-2</v>
      </c>
      <c r="T396" s="3">
        <f t="shared" si="399"/>
        <v>2.180908687599372E-2</v>
      </c>
      <c r="U396" s="3">
        <f t="shared" si="399"/>
        <v>2.1809085329781042E-2</v>
      </c>
      <c r="V396" s="3">
        <f t="shared" si="399"/>
        <v>2.1809069867660302E-2</v>
      </c>
      <c r="W396" s="3">
        <f t="shared" si="399"/>
        <v>2.1808915247055832E-2</v>
      </c>
      <c r="X396" s="3">
        <f t="shared" si="399"/>
        <v>2.180736910130195E-2</v>
      </c>
      <c r="Y396" s="3">
        <f t="shared" si="399"/>
        <v>2.1791913671261785E-2</v>
      </c>
      <c r="Z396" s="3">
        <f t="shared" si="399"/>
        <v>2.1637960542581498E-2</v>
      </c>
      <c r="AA396" s="3">
        <f t="shared" si="399"/>
        <v>2.0156998887561138E-2</v>
      </c>
      <c r="AB396" s="3">
        <f t="shared" si="399"/>
        <v>9.9202209496324825E-3</v>
      </c>
      <c r="AC396" s="3">
        <f t="shared" si="399"/>
        <v>8.2694395771446511E-6</v>
      </c>
      <c r="AD396" s="3">
        <f t="shared" si="399"/>
        <v>1.3397489005774912E-36</v>
      </c>
      <c r="AE396" s="3">
        <f t="shared" si="399"/>
        <v>0</v>
      </c>
      <c r="AF396" s="3">
        <f t="shared" si="399"/>
        <v>0</v>
      </c>
      <c r="AG396" s="3"/>
      <c r="AH396" s="3"/>
    </row>
    <row r="397" spans="1:34" x14ac:dyDescent="0.25">
      <c r="A397" s="79">
        <f>AVERAGE(B397:AF397)</f>
        <v>8.3700003889070229E-2</v>
      </c>
      <c r="B397" s="80">
        <f>IF($A$64&lt;=B363,IF($B$64&gt;=B363,ABS((B365-B364)/B364),0),0)</f>
        <v>1.2000590274906485E-2</v>
      </c>
      <c r="C397" s="80">
        <f t="shared" ref="C397:AF397" si="400">IF($A$64&lt;=C363,IF($B$64&gt;=C363,ABS((C365-C364)/C364),0),0)</f>
        <v>2.1818589668514202E-2</v>
      </c>
      <c r="D397" s="80">
        <f t="shared" si="400"/>
        <v>2.5288609727605743E-2</v>
      </c>
      <c r="E397" s="80">
        <f t="shared" si="400"/>
        <v>2.7011239698581612E-2</v>
      </c>
      <c r="F397" s="80">
        <f t="shared" si="400"/>
        <v>2.6523166885330074E-2</v>
      </c>
      <c r="G397" s="80">
        <f t="shared" si="400"/>
        <v>2.3344224018110545E-2</v>
      </c>
      <c r="H397" s="80">
        <f t="shared" si="400"/>
        <v>2.5210310953599265E-2</v>
      </c>
      <c r="I397" s="80">
        <f t="shared" si="400"/>
        <v>2.3629632420250433E-2</v>
      </c>
      <c r="J397" s="80">
        <f t="shared" si="400"/>
        <v>2.5671402188854428E-2</v>
      </c>
      <c r="K397" s="80">
        <f t="shared" si="400"/>
        <v>2.41601899491941E-2</v>
      </c>
      <c r="L397" s="80">
        <f t="shared" si="400"/>
        <v>2.7306780946752224E-2</v>
      </c>
      <c r="M397" s="80">
        <f t="shared" si="400"/>
        <v>1.4537179825310354E-2</v>
      </c>
      <c r="N397" s="80">
        <f t="shared" si="400"/>
        <v>2.5193077539574397E-2</v>
      </c>
      <c r="O397" s="80">
        <f t="shared" si="400"/>
        <v>7.4480921174091747E-2</v>
      </c>
      <c r="P397" s="80">
        <f t="shared" si="400"/>
        <v>0.10308978297211482</v>
      </c>
      <c r="Q397" s="80">
        <f t="shared" si="400"/>
        <v>9.106994910019417E-2</v>
      </c>
      <c r="R397" s="80">
        <f t="shared" si="400"/>
        <v>5.3166891387705542E-2</v>
      </c>
      <c r="S397" s="80">
        <f t="shared" si="400"/>
        <v>1.9665570485263434E-3</v>
      </c>
      <c r="T397" s="80">
        <f t="shared" si="400"/>
        <v>9.426976074307784E-3</v>
      </c>
      <c r="U397" s="80">
        <f t="shared" si="400"/>
        <v>3.7083791533456816E-3</v>
      </c>
      <c r="V397" s="80">
        <f t="shared" si="400"/>
        <v>3.2669926602670197E-3</v>
      </c>
      <c r="W397" s="80">
        <f t="shared" si="400"/>
        <v>1.0313933199888346E-2</v>
      </c>
      <c r="X397" s="80">
        <f t="shared" si="400"/>
        <v>4.8282333700253007E-3</v>
      </c>
      <c r="Y397" s="80">
        <f t="shared" si="400"/>
        <v>5.1974319290099477E-3</v>
      </c>
      <c r="Z397" s="80">
        <f t="shared" si="400"/>
        <v>7.1535368356306882E-3</v>
      </c>
      <c r="AA397" s="80">
        <f t="shared" si="400"/>
        <v>8.8906450315072282E-3</v>
      </c>
      <c r="AB397" s="80">
        <f t="shared" si="400"/>
        <v>0.20559867851216965</v>
      </c>
      <c r="AC397" s="80">
        <f t="shared" si="400"/>
        <v>0.42936493570709366</v>
      </c>
      <c r="AD397" s="80">
        <f t="shared" si="400"/>
        <v>0.4291397967589935</v>
      </c>
      <c r="AE397" s="80">
        <f t="shared" si="400"/>
        <v>0.42675597884120253</v>
      </c>
      <c r="AF397" s="80">
        <f t="shared" si="400"/>
        <v>0.42558550670851886</v>
      </c>
    </row>
    <row r="398" spans="1:34" x14ac:dyDescent="0.25">
      <c r="B398" s="21">
        <f>(B365-B364)^2</f>
        <v>10225.796990108131</v>
      </c>
      <c r="C398" s="21">
        <f t="shared" ref="C398:AF398" si="401">(C365-C364)^2</f>
        <v>31119.16610299738</v>
      </c>
      <c r="D398" s="21">
        <f t="shared" si="401"/>
        <v>38427.023425577871</v>
      </c>
      <c r="E398" s="21">
        <f t="shared" si="401"/>
        <v>39735.744966795195</v>
      </c>
      <c r="F398" s="21">
        <f t="shared" si="401"/>
        <v>34700.990466284224</v>
      </c>
      <c r="G398" s="21">
        <f t="shared" si="401"/>
        <v>24746.537103608262</v>
      </c>
      <c r="H398" s="21">
        <f t="shared" si="401"/>
        <v>26464.866231196058</v>
      </c>
      <c r="I398" s="21">
        <f t="shared" si="401"/>
        <v>21315.604657525349</v>
      </c>
      <c r="J398" s="21">
        <f t="shared" si="401"/>
        <v>22846.842108555666</v>
      </c>
      <c r="K398" s="21">
        <f t="shared" si="401"/>
        <v>18431.244332509857</v>
      </c>
      <c r="L398" s="21">
        <f t="shared" si="401"/>
        <v>20790.699104664298</v>
      </c>
      <c r="M398" s="21">
        <f t="shared" si="401"/>
        <v>5127.5668563303407</v>
      </c>
      <c r="N398" s="21">
        <f t="shared" si="401"/>
        <v>12945.290700981979</v>
      </c>
      <c r="O398" s="21">
        <f t="shared" si="401"/>
        <v>91203.273872540041</v>
      </c>
      <c r="P398" s="21">
        <f t="shared" si="401"/>
        <v>128775.49688734068</v>
      </c>
      <c r="Q398" s="21">
        <f t="shared" si="401"/>
        <v>63951.166252403134</v>
      </c>
      <c r="R398" s="21">
        <f t="shared" si="401"/>
        <v>11551.990669651686</v>
      </c>
      <c r="S398" s="21">
        <f t="shared" si="401"/>
        <v>7.8534077076646085</v>
      </c>
      <c r="T398" s="21">
        <f t="shared" si="401"/>
        <v>88.923777275175709</v>
      </c>
      <c r="U398" s="21">
        <f t="shared" si="401"/>
        <v>8.080284756490304</v>
      </c>
      <c r="V398" s="21">
        <f t="shared" si="401"/>
        <v>4.3404495566632226</v>
      </c>
      <c r="W398" s="21">
        <f t="shared" si="401"/>
        <v>35.886540508659742</v>
      </c>
      <c r="X398" s="21">
        <f t="shared" si="401"/>
        <v>6.8176852442063627</v>
      </c>
      <c r="Y398" s="21">
        <f t="shared" si="401"/>
        <v>7.3010741993893413</v>
      </c>
      <c r="Z398" s="21">
        <f t="shared" si="401"/>
        <v>13.276028499561804</v>
      </c>
      <c r="AA398" s="21">
        <f t="shared" si="401"/>
        <v>18.253954592318042</v>
      </c>
      <c r="AB398" s="21">
        <f t="shared" si="401"/>
        <v>9398.9645555836996</v>
      </c>
      <c r="AC398" s="21">
        <f t="shared" si="401"/>
        <v>40620.554395007472</v>
      </c>
      <c r="AD398" s="21">
        <f t="shared" si="401"/>
        <v>40519.012065713629</v>
      </c>
      <c r="AE398" s="21">
        <f t="shared" si="401"/>
        <v>39737.538532038321</v>
      </c>
      <c r="AF398" s="21">
        <f t="shared" si="401"/>
        <v>39358.966125381739</v>
      </c>
      <c r="AG398" s="3"/>
      <c r="AH398" s="3"/>
    </row>
    <row r="399" spans="1:34" x14ac:dyDescent="0.25">
      <c r="A399" s="71">
        <f>SUM(B399:AF399)</f>
        <v>772185.06960513524</v>
      </c>
      <c r="B399" s="60">
        <f>IF($A$64&lt;=B363,IF($B$64&gt;=B363,ABS(B398),0),0)</f>
        <v>10225.796990108131</v>
      </c>
      <c r="C399" s="60">
        <f t="shared" ref="C399" si="402">IF($A$64&lt;=C363,IF($B$64&gt;=C363,ABS(C398),0),0)</f>
        <v>31119.16610299738</v>
      </c>
      <c r="D399" s="60">
        <f t="shared" ref="D399" si="403">IF($A$64&lt;=D363,IF($B$64&gt;=D363,ABS(D398),0),0)</f>
        <v>38427.023425577871</v>
      </c>
      <c r="E399" s="60">
        <f t="shared" ref="E399" si="404">IF($A$64&lt;=E363,IF($B$64&gt;=E363,ABS(E398),0),0)</f>
        <v>39735.744966795195</v>
      </c>
      <c r="F399" s="60">
        <f t="shared" ref="F399" si="405">IF($A$64&lt;=F363,IF($B$64&gt;=F363,ABS(F398),0),0)</f>
        <v>34700.990466284224</v>
      </c>
      <c r="G399" s="60">
        <f t="shared" ref="G399" si="406">IF($A$64&lt;=G363,IF($B$64&gt;=G363,ABS(G398),0),0)</f>
        <v>24746.537103608262</v>
      </c>
      <c r="H399" s="60">
        <f t="shared" ref="H399" si="407">IF($A$64&lt;=H363,IF($B$64&gt;=H363,ABS(H398),0),0)</f>
        <v>26464.866231196058</v>
      </c>
      <c r="I399" s="60">
        <f t="shared" ref="I399" si="408">IF($A$64&lt;=I363,IF($B$64&gt;=I363,ABS(I398),0),0)</f>
        <v>21315.604657525349</v>
      </c>
      <c r="J399" s="60">
        <f t="shared" ref="J399" si="409">IF($A$64&lt;=J363,IF($B$64&gt;=J363,ABS(J398),0),0)</f>
        <v>22846.842108555666</v>
      </c>
      <c r="K399" s="60">
        <f t="shared" ref="K399" si="410">IF($A$64&lt;=K363,IF($B$64&gt;=K363,ABS(K398),0),0)</f>
        <v>18431.244332509857</v>
      </c>
      <c r="L399" s="60">
        <f t="shared" ref="L399" si="411">IF($A$64&lt;=L363,IF($B$64&gt;=L363,ABS(L398),0),0)</f>
        <v>20790.699104664298</v>
      </c>
      <c r="M399" s="60">
        <f t="shared" ref="M399" si="412">IF($A$64&lt;=M363,IF($B$64&gt;=M363,ABS(M398),0),0)</f>
        <v>5127.5668563303407</v>
      </c>
      <c r="N399" s="60">
        <f t="shared" ref="N399" si="413">IF($A$64&lt;=N363,IF($B$64&gt;=N363,ABS(N398),0),0)</f>
        <v>12945.290700981979</v>
      </c>
      <c r="O399" s="60">
        <f t="shared" ref="O399" si="414">IF($A$64&lt;=O363,IF($B$64&gt;=O363,ABS(O398),0),0)</f>
        <v>91203.273872540041</v>
      </c>
      <c r="P399" s="60">
        <f t="shared" ref="P399" si="415">IF($A$64&lt;=P363,IF($B$64&gt;=P363,ABS(P398),0),0)</f>
        <v>128775.49688734068</v>
      </c>
      <c r="Q399" s="60">
        <f t="shared" ref="Q399" si="416">IF($A$64&lt;=Q363,IF($B$64&gt;=Q363,ABS(Q398),0),0)</f>
        <v>63951.166252403134</v>
      </c>
      <c r="R399" s="60">
        <f t="shared" ref="R399" si="417">IF($A$64&lt;=R363,IF($B$64&gt;=R363,ABS(R398),0),0)</f>
        <v>11551.990669651686</v>
      </c>
      <c r="S399" s="60">
        <f t="shared" ref="S399" si="418">IF($A$64&lt;=S363,IF($B$64&gt;=S363,ABS(S398),0),0)</f>
        <v>7.8534077076646085</v>
      </c>
      <c r="T399" s="60">
        <f t="shared" ref="T399" si="419">IF($A$64&lt;=T363,IF($B$64&gt;=T363,ABS(T398),0),0)</f>
        <v>88.923777275175709</v>
      </c>
      <c r="U399" s="60">
        <f t="shared" ref="U399" si="420">IF($A$64&lt;=U363,IF($B$64&gt;=U363,ABS(U398),0),0)</f>
        <v>8.080284756490304</v>
      </c>
      <c r="V399" s="60">
        <f t="shared" ref="V399" si="421">IF($A$64&lt;=V363,IF($B$64&gt;=V363,ABS(V398),0),0)</f>
        <v>4.3404495566632226</v>
      </c>
      <c r="W399" s="60">
        <f t="shared" ref="W399" si="422">IF($A$64&lt;=W363,IF($B$64&gt;=W363,ABS(W398),0),0)</f>
        <v>35.886540508659742</v>
      </c>
      <c r="X399" s="60">
        <f t="shared" ref="X399" si="423">IF($A$64&lt;=X363,IF($B$64&gt;=X363,ABS(X398),0),0)</f>
        <v>6.8176852442063627</v>
      </c>
      <c r="Y399" s="60">
        <f t="shared" ref="Y399" si="424">IF($A$64&lt;=Y363,IF($B$64&gt;=Y363,ABS(Y398),0),0)</f>
        <v>7.3010741993893413</v>
      </c>
      <c r="Z399" s="60">
        <f t="shared" ref="Z399" si="425">IF($A$64&lt;=Z363,IF($B$64&gt;=Z363,ABS(Z398),0),0)</f>
        <v>13.276028499561804</v>
      </c>
      <c r="AA399" s="60">
        <f t="shared" ref="AA399" si="426">IF($A$64&lt;=AA363,IF($B$64&gt;=AA363,ABS(AA398),0),0)</f>
        <v>18.253954592318042</v>
      </c>
      <c r="AB399" s="60">
        <f t="shared" ref="AB399" si="427">IF($A$64&lt;=AB363,IF($B$64&gt;=AB363,ABS(AB398),0),0)</f>
        <v>9398.9645555836996</v>
      </c>
      <c r="AC399" s="60">
        <f t="shared" ref="AC399" si="428">IF($A$64&lt;=AC363,IF($B$64&gt;=AC363,ABS(AC398),0),0)</f>
        <v>40620.554395007472</v>
      </c>
      <c r="AD399" s="60">
        <f t="shared" ref="AD399" si="429">IF($A$64&lt;=AD363,IF($B$64&gt;=AD363,ABS(AD398),0),0)</f>
        <v>40519.012065713629</v>
      </c>
      <c r="AE399" s="60">
        <f t="shared" ref="AE399" si="430">IF($A$64&lt;=AE363,IF($B$64&gt;=AE363,ABS(AE398),0),0)</f>
        <v>39737.538532038321</v>
      </c>
      <c r="AF399" s="60">
        <f t="shared" ref="AF399" si="431">IF($A$64&lt;=AF363,IF($B$64&gt;=AF363,ABS(AF398),0),0)</f>
        <v>39358.966125381739</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-11.391236875275727</v>
      </c>
      <c r="C403" s="107">
        <f t="shared" ref="C403:H403" si="432">IF(C125=$B$2,0,C126)</f>
        <v>-7.538343886132532</v>
      </c>
      <c r="D403" s="107">
        <f t="shared" si="432"/>
        <v>-5.0227358749255249</v>
      </c>
      <c r="E403" s="107">
        <f t="shared" si="432"/>
        <v>-2.8024126040835196</v>
      </c>
      <c r="F403" s="107">
        <f t="shared" si="432"/>
        <v>0</v>
      </c>
      <c r="G403" s="107">
        <f t="shared" si="432"/>
        <v>5.6120173868915071</v>
      </c>
      <c r="H403" s="107">
        <f t="shared" si="432"/>
        <v>11.274352903532849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1.1294023394843902E-20</v>
      </c>
      <c r="C404" s="3">
        <f t="shared" ref="C404:H419" si="433">$A404/EXP(-C$403)</f>
        <v>5.3227840590692943E-19</v>
      </c>
      <c r="D404" s="3">
        <f t="shared" si="433"/>
        <v>6.5864822452494767E-18</v>
      </c>
      <c r="E404" s="3">
        <f t="shared" si="433"/>
        <v>6.0663528854872551E-17</v>
      </c>
      <c r="F404" s="3">
        <f t="shared" si="433"/>
        <v>1.0000000000000001E-15</v>
      </c>
      <c r="G404" s="3">
        <f t="shared" si="433"/>
        <v>2.7369583181198103E-13</v>
      </c>
      <c r="H404" s="3">
        <f t="shared" si="433"/>
        <v>7.877515258002612E-11</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1.1294023394843901E-19</v>
      </c>
      <c r="C405" s="3">
        <f t="shared" si="433"/>
        <v>5.3227840590692937E-18</v>
      </c>
      <c r="D405" s="3">
        <f t="shared" si="433"/>
        <v>6.5864822452494753E-17</v>
      </c>
      <c r="E405" s="3">
        <f t="shared" si="433"/>
        <v>6.0663528854872549E-16</v>
      </c>
      <c r="F405" s="3">
        <f t="shared" si="433"/>
        <v>1E-14</v>
      </c>
      <c r="G405" s="3">
        <f t="shared" si="433"/>
        <v>2.7369583181198101E-12</v>
      </c>
      <c r="H405" s="3">
        <f t="shared" si="433"/>
        <v>7.8775152580026112E-10</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1.1294023394843902E-18</v>
      </c>
      <c r="C406" s="3">
        <f t="shared" si="433"/>
        <v>5.3227840590692937E-17</v>
      </c>
      <c r="D406" s="3">
        <f t="shared" si="433"/>
        <v>6.5864822452494766E-16</v>
      </c>
      <c r="E406" s="3">
        <f t="shared" si="433"/>
        <v>6.0663528854872549E-15</v>
      </c>
      <c r="F406" s="3">
        <f t="shared" si="433"/>
        <v>1E-13</v>
      </c>
      <c r="G406" s="3">
        <f t="shared" si="433"/>
        <v>2.7369583181198101E-11</v>
      </c>
      <c r="H406" s="3">
        <f t="shared" si="433"/>
        <v>7.8775152580026114E-9</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1.1294023394843902E-17</v>
      </c>
      <c r="C407" s="3">
        <f t="shared" si="433"/>
        <v>5.3227840590692936E-16</v>
      </c>
      <c r="D407" s="3">
        <f t="shared" si="433"/>
        <v>6.5864822452494758E-15</v>
      </c>
      <c r="E407" s="3">
        <f t="shared" si="433"/>
        <v>6.0663528854872545E-14</v>
      </c>
      <c r="F407" s="3">
        <f t="shared" si="433"/>
        <v>9.9999999999999998E-13</v>
      </c>
      <c r="G407" s="3">
        <f t="shared" si="433"/>
        <v>2.7369583181198099E-10</v>
      </c>
      <c r="H407" s="3">
        <f t="shared" si="433"/>
        <v>7.8775152580026111E-8</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1.12940233948439E-16</v>
      </c>
      <c r="C408" s="3">
        <f t="shared" si="433"/>
        <v>5.3227840590692934E-15</v>
      </c>
      <c r="D408" s="3">
        <f t="shared" si="433"/>
        <v>6.5864822452494754E-14</v>
      </c>
      <c r="E408" s="3">
        <f t="shared" si="433"/>
        <v>6.066352885487254E-13</v>
      </c>
      <c r="F408" s="3">
        <f t="shared" si="433"/>
        <v>9.9999999999999994E-12</v>
      </c>
      <c r="G408" s="3">
        <f t="shared" si="433"/>
        <v>2.7369583181198098E-9</v>
      </c>
      <c r="H408" s="3">
        <f t="shared" si="433"/>
        <v>7.8775152580026108E-7</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1.1294023394843902E-15</v>
      </c>
      <c r="C409" s="3">
        <f t="shared" si="433"/>
        <v>5.3227840590692938E-14</v>
      </c>
      <c r="D409" s="3">
        <f t="shared" si="433"/>
        <v>6.5864822452494762E-13</v>
      </c>
      <c r="E409" s="3">
        <f t="shared" si="433"/>
        <v>6.0663528854872546E-12</v>
      </c>
      <c r="F409" s="3">
        <f t="shared" si="433"/>
        <v>1E-10</v>
      </c>
      <c r="G409" s="3">
        <f t="shared" si="433"/>
        <v>2.7369583181198101E-8</v>
      </c>
      <c r="H409" s="3">
        <f t="shared" si="433"/>
        <v>7.8775152580026119E-6</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1.1294023394843902E-14</v>
      </c>
      <c r="C410" s="3">
        <f t="shared" si="433"/>
        <v>5.3227840590692938E-13</v>
      </c>
      <c r="D410" s="3">
        <f t="shared" si="433"/>
        <v>6.586482245249476E-12</v>
      </c>
      <c r="E410" s="3">
        <f t="shared" si="433"/>
        <v>6.0663528854872546E-11</v>
      </c>
      <c r="F410" s="3">
        <f t="shared" si="433"/>
        <v>1.0000000000000001E-9</v>
      </c>
      <c r="G410" s="3">
        <f t="shared" si="433"/>
        <v>2.7369583181198102E-7</v>
      </c>
      <c r="H410" s="3">
        <f t="shared" si="433"/>
        <v>7.8775152580026119E-5</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1.1294023394843902E-13</v>
      </c>
      <c r="C411" s="3">
        <f t="shared" si="433"/>
        <v>5.3227840590692934E-12</v>
      </c>
      <c r="D411" s="3">
        <f t="shared" si="433"/>
        <v>6.5864822452494766E-11</v>
      </c>
      <c r="E411" s="3">
        <f t="shared" si="433"/>
        <v>6.0663528854872546E-10</v>
      </c>
      <c r="F411" s="3">
        <f t="shared" si="433"/>
        <v>1E-8</v>
      </c>
      <c r="G411" s="3">
        <f t="shared" si="433"/>
        <v>2.7369583181198103E-6</v>
      </c>
      <c r="H411" s="3">
        <f t="shared" si="433"/>
        <v>7.8775152580026124E-4</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1.1294023394843901E-12</v>
      </c>
      <c r="C412" s="3">
        <f t="shared" si="433"/>
        <v>5.3227840590692933E-11</v>
      </c>
      <c r="D412" s="3">
        <f t="shared" si="433"/>
        <v>6.5864822452494754E-10</v>
      </c>
      <c r="E412" s="3">
        <f t="shared" si="433"/>
        <v>6.0663528854872546E-9</v>
      </c>
      <c r="F412" s="3">
        <f t="shared" si="433"/>
        <v>9.9999999999999995E-8</v>
      </c>
      <c r="G412" s="3">
        <f t="shared" si="433"/>
        <v>2.7369583181198101E-5</v>
      </c>
      <c r="H412" s="3">
        <f t="shared" si="433"/>
        <v>7.8775152580026122E-3</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1.12940233948439E-11</v>
      </c>
      <c r="C413" s="3">
        <f t="shared" si="433"/>
        <v>5.3227840590692938E-10</v>
      </c>
      <c r="D413" s="3">
        <f t="shared" si="433"/>
        <v>6.5864822452494754E-9</v>
      </c>
      <c r="E413" s="3">
        <f t="shared" si="433"/>
        <v>6.0663528854872543E-8</v>
      </c>
      <c r="F413" s="3">
        <f t="shared" si="433"/>
        <v>9.9999999999999995E-7</v>
      </c>
      <c r="G413" s="3">
        <f t="shared" si="433"/>
        <v>2.7369583181198102E-4</v>
      </c>
      <c r="H413" s="3">
        <f t="shared" si="433"/>
        <v>7.8775152580026112E-2</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1.1294023394843902E-10</v>
      </c>
      <c r="C414" s="3">
        <f t="shared" si="433"/>
        <v>5.322784059069294E-9</v>
      </c>
      <c r="D414" s="3">
        <f t="shared" si="433"/>
        <v>6.5864822452494759E-8</v>
      </c>
      <c r="E414" s="3">
        <f t="shared" si="433"/>
        <v>6.0663528854872556E-7</v>
      </c>
      <c r="F414" s="3">
        <f t="shared" si="433"/>
        <v>1.0000000000000001E-5</v>
      </c>
      <c r="G414" s="3">
        <f t="shared" si="433"/>
        <v>2.7369583181198103E-3</v>
      </c>
      <c r="H414" s="3">
        <f t="shared" si="433"/>
        <v>0.7877515258002612</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1.1294023394843901E-9</v>
      </c>
      <c r="C415" s="3">
        <f t="shared" si="433"/>
        <v>5.3227840590692938E-8</v>
      </c>
      <c r="D415" s="3">
        <f t="shared" si="433"/>
        <v>6.5864822452494766E-7</v>
      </c>
      <c r="E415" s="3">
        <f t="shared" si="433"/>
        <v>6.066352885487255E-6</v>
      </c>
      <c r="F415" s="3">
        <f t="shared" si="433"/>
        <v>1E-4</v>
      </c>
      <c r="G415" s="3">
        <f t="shared" si="433"/>
        <v>2.7369583181198101E-2</v>
      </c>
      <c r="H415" s="3">
        <f t="shared" si="433"/>
        <v>7.877515258002612</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1.1294023394843901E-8</v>
      </c>
      <c r="C416" s="3">
        <f t="shared" si="433"/>
        <v>5.3227840590692938E-7</v>
      </c>
      <c r="D416" s="3">
        <f t="shared" si="433"/>
        <v>6.586482245249476E-6</v>
      </c>
      <c r="E416" s="3">
        <f t="shared" si="433"/>
        <v>6.0663528854872545E-5</v>
      </c>
      <c r="F416" s="3">
        <f t="shared" si="433"/>
        <v>1E-3</v>
      </c>
      <c r="G416" s="3">
        <f t="shared" si="433"/>
        <v>0.27369583181198104</v>
      </c>
      <c r="H416" s="3">
        <f t="shared" si="433"/>
        <v>78.775152580026116</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1.1294023394843902E-7</v>
      </c>
      <c r="C417" s="3">
        <f t="shared" si="433"/>
        <v>5.322784059069294E-6</v>
      </c>
      <c r="D417" s="3">
        <f t="shared" si="433"/>
        <v>6.5864822452494758E-5</v>
      </c>
      <c r="E417" s="3">
        <f t="shared" si="433"/>
        <v>6.066352885487255E-4</v>
      </c>
      <c r="F417" s="3">
        <f t="shared" si="433"/>
        <v>0.01</v>
      </c>
      <c r="G417" s="3">
        <f t="shared" si="433"/>
        <v>2.7369583181198101</v>
      </c>
      <c r="H417" s="3">
        <f t="shared" si="433"/>
        <v>787.75152580026122</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1.1294023394843902E-6</v>
      </c>
      <c r="C418" s="3">
        <f t="shared" si="433"/>
        <v>5.3227840590692942E-5</v>
      </c>
      <c r="D418" s="3">
        <f t="shared" si="433"/>
        <v>6.5864822452494764E-4</v>
      </c>
      <c r="E418" s="3">
        <f t="shared" si="433"/>
        <v>6.0663528854872553E-3</v>
      </c>
      <c r="F418" s="3">
        <f t="shared" si="433"/>
        <v>0.1</v>
      </c>
      <c r="G418" s="3">
        <f t="shared" si="433"/>
        <v>27.369583181198102</v>
      </c>
      <c r="H418" s="3">
        <f t="shared" si="433"/>
        <v>7877.5152580026124</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1.1294023394843902E-5</v>
      </c>
      <c r="C419" s="3">
        <f t="shared" si="433"/>
        <v>5.3227840590692934E-4</v>
      </c>
      <c r="D419" s="3">
        <f t="shared" si="433"/>
        <v>6.5864822452494755E-3</v>
      </c>
      <c r="E419" s="3">
        <f t="shared" si="433"/>
        <v>6.0663528854872549E-2</v>
      </c>
      <c r="F419" s="3">
        <f t="shared" si="433"/>
        <v>1</v>
      </c>
      <c r="G419" s="3">
        <f t="shared" si="433"/>
        <v>273.69583181198101</v>
      </c>
      <c r="H419" s="3">
        <f t="shared" si="433"/>
        <v>78775.152580026115</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1.1294023394843902E-4</v>
      </c>
      <c r="C420" s="3">
        <f t="shared" si="434"/>
        <v>5.3227840590692934E-3</v>
      </c>
      <c r="D420" s="3">
        <f t="shared" si="434"/>
        <v>6.5864822452494753E-2</v>
      </c>
      <c r="E420" s="3">
        <f t="shared" si="434"/>
        <v>0.6066352885487255</v>
      </c>
      <c r="F420" s="3">
        <f t="shared" si="434"/>
        <v>10</v>
      </c>
      <c r="G420" s="3">
        <f t="shared" si="434"/>
        <v>2736.95831811981</v>
      </c>
      <c r="H420" s="3">
        <f t="shared" si="434"/>
        <v>787751.52580026118</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1.1294023394843901E-3</v>
      </c>
      <c r="C421" s="3">
        <f t="shared" si="434"/>
        <v>5.3227840590692937E-2</v>
      </c>
      <c r="D421" s="3">
        <f t="shared" si="434"/>
        <v>0.65864822452494765</v>
      </c>
      <c r="E421" s="3">
        <f t="shared" si="434"/>
        <v>6.0663528854872544</v>
      </c>
      <c r="F421" s="3">
        <f t="shared" si="434"/>
        <v>100</v>
      </c>
      <c r="G421" s="3">
        <f t="shared" si="434"/>
        <v>27369.583181198101</v>
      </c>
      <c r="H421" s="3">
        <f t="shared" si="434"/>
        <v>7877515.2580026118</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1.1294023394843901E-2</v>
      </c>
      <c r="C422" s="3">
        <f t="shared" si="434"/>
        <v>0.53227840590692932</v>
      </c>
      <c r="D422" s="3">
        <f t="shared" si="434"/>
        <v>6.586482245249476</v>
      </c>
      <c r="E422" s="3">
        <f t="shared" si="434"/>
        <v>60.663528854872546</v>
      </c>
      <c r="F422" s="3">
        <f t="shared" si="434"/>
        <v>1000</v>
      </c>
      <c r="G422" s="3">
        <f t="shared" si="434"/>
        <v>273695.83181198098</v>
      </c>
      <c r="H422" s="3">
        <f t="shared" si="434"/>
        <v>78775152.58002612</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0.11294023394843901</v>
      </c>
      <c r="C423" s="3">
        <f t="shared" si="434"/>
        <v>5.3227840590692939</v>
      </c>
      <c r="D423" s="3">
        <f t="shared" si="434"/>
        <v>65.864822452494764</v>
      </c>
      <c r="E423" s="3">
        <f t="shared" si="434"/>
        <v>606.6352885487255</v>
      </c>
      <c r="F423" s="3">
        <f t="shared" si="434"/>
        <v>10000</v>
      </c>
      <c r="G423" s="3">
        <f t="shared" si="434"/>
        <v>2736958.31811981</v>
      </c>
      <c r="H423" s="3">
        <f t="shared" si="434"/>
        <v>787751525.80026114</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1.1294023394843902</v>
      </c>
      <c r="C424" s="3">
        <f t="shared" si="434"/>
        <v>53.227840590692935</v>
      </c>
      <c r="D424" s="3">
        <f t="shared" si="434"/>
        <v>658.64822452494764</v>
      </c>
      <c r="E424" s="3">
        <f t="shared" si="434"/>
        <v>6066.3528854872548</v>
      </c>
      <c r="F424" s="3">
        <f t="shared" si="434"/>
        <v>100000</v>
      </c>
      <c r="G424" s="3">
        <f t="shared" si="434"/>
        <v>27369583.181198101</v>
      </c>
      <c r="H424" s="3">
        <f t="shared" si="434"/>
        <v>7877515258.0026121</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11.294023394843901</v>
      </c>
      <c r="C425" s="3">
        <f t="shared" si="434"/>
        <v>532.27840590692938</v>
      </c>
      <c r="D425" s="3">
        <f t="shared" si="434"/>
        <v>6586.4822452494755</v>
      </c>
      <c r="E425" s="3">
        <f t="shared" si="434"/>
        <v>60663.528854872544</v>
      </c>
      <c r="F425" s="3">
        <f t="shared" si="434"/>
        <v>1000000</v>
      </c>
      <c r="G425" s="3">
        <f t="shared" si="434"/>
        <v>273695831.81198102</v>
      </c>
      <c r="H425" s="3">
        <f t="shared" si="434"/>
        <v>78775152580.026123</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112.94023394843902</v>
      </c>
      <c r="C426" s="3">
        <f t="shared" si="434"/>
        <v>5322.784059069294</v>
      </c>
      <c r="D426" s="3">
        <f t="shared" si="434"/>
        <v>65864.822452494758</v>
      </c>
      <c r="E426" s="3">
        <f t="shared" si="434"/>
        <v>606635.28854872542</v>
      </c>
      <c r="F426" s="3">
        <f t="shared" si="434"/>
        <v>10000000</v>
      </c>
      <c r="G426" s="3">
        <f t="shared" si="434"/>
        <v>2736958318.1198101</v>
      </c>
      <c r="H426" s="3">
        <f t="shared" si="434"/>
        <v>787751525800.26123</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1129.40233948439</v>
      </c>
      <c r="C427" s="3">
        <f t="shared" si="434"/>
        <v>53227.840590692933</v>
      </c>
      <c r="D427" s="3">
        <f t="shared" si="434"/>
        <v>658648.22452494758</v>
      </c>
      <c r="E427" s="3">
        <f t="shared" si="434"/>
        <v>6066352.8854872547</v>
      </c>
      <c r="F427" s="3">
        <f t="shared" si="434"/>
        <v>100000000</v>
      </c>
      <c r="G427" s="3">
        <f t="shared" si="434"/>
        <v>27369583181.198101</v>
      </c>
      <c r="H427" s="3">
        <f t="shared" si="434"/>
        <v>7877515258002.6113</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11294.023394843902</v>
      </c>
      <c r="C428" s="3">
        <f t="shared" si="434"/>
        <v>532278.4059069294</v>
      </c>
      <c r="D428" s="3">
        <f t="shared" si="434"/>
        <v>6586482.2452494763</v>
      </c>
      <c r="E428" s="3">
        <f t="shared" si="434"/>
        <v>60663528.854872547</v>
      </c>
      <c r="F428" s="3">
        <f t="shared" si="434"/>
        <v>1000000000</v>
      </c>
      <c r="G428" s="3">
        <f t="shared" si="434"/>
        <v>273695831811.98102</v>
      </c>
      <c r="H428" s="3">
        <f t="shared" si="434"/>
        <v>78775152580026.125</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112940.23394843901</v>
      </c>
      <c r="C429" s="3">
        <f t="shared" si="434"/>
        <v>5322784.0590692936</v>
      </c>
      <c r="D429" s="3">
        <f t="shared" si="434"/>
        <v>65864822.452494755</v>
      </c>
      <c r="E429" s="3">
        <f t="shared" si="434"/>
        <v>606635288.54872549</v>
      </c>
      <c r="F429" s="3">
        <f t="shared" si="434"/>
        <v>10000000000</v>
      </c>
      <c r="G429" s="3">
        <f t="shared" si="434"/>
        <v>2736958318119.8101</v>
      </c>
      <c r="H429" s="3">
        <f t="shared" si="434"/>
        <v>787751525800261.12</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1129402.3394843901</v>
      </c>
      <c r="C430" s="3">
        <f t="shared" si="434"/>
        <v>53227840.590692937</v>
      </c>
      <c r="D430" s="3">
        <f t="shared" si="434"/>
        <v>658648224.52494764</v>
      </c>
      <c r="E430" s="3">
        <f t="shared" si="434"/>
        <v>6066352885.4872551</v>
      </c>
      <c r="F430" s="3">
        <f t="shared" si="434"/>
        <v>100000000000</v>
      </c>
      <c r="G430" s="3">
        <f t="shared" si="434"/>
        <v>27369583181198.102</v>
      </c>
      <c r="H430" s="3">
        <f t="shared" si="434"/>
        <v>7877515258002612</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11294023.394843901</v>
      </c>
      <c r="C431" s="3">
        <f t="shared" si="434"/>
        <v>532278405.90692937</v>
      </c>
      <c r="D431" s="3">
        <f t="shared" si="434"/>
        <v>6586482245.2494755</v>
      </c>
      <c r="E431" s="3">
        <f t="shared" si="434"/>
        <v>60663528854.872543</v>
      </c>
      <c r="F431" s="3">
        <f t="shared" si="434"/>
        <v>1000000000000</v>
      </c>
      <c r="G431" s="3">
        <f t="shared" si="434"/>
        <v>273695831811981</v>
      </c>
      <c r="H431" s="3">
        <f t="shared" si="434"/>
        <v>7.8775152580026112E+16</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112940233.94843902</v>
      </c>
      <c r="C432" s="3">
        <f t="shared" si="434"/>
        <v>5322784059.069294</v>
      </c>
      <c r="D432" s="3">
        <f t="shared" si="434"/>
        <v>65864822452.494759</v>
      </c>
      <c r="E432" s="3">
        <f t="shared" si="434"/>
        <v>606635288548.72546</v>
      </c>
      <c r="F432" s="3">
        <f t="shared" si="434"/>
        <v>10000000000000</v>
      </c>
      <c r="G432" s="3">
        <f t="shared" si="434"/>
        <v>2736958318119810</v>
      </c>
      <c r="H432" s="3">
        <f t="shared" si="434"/>
        <v>7.8775152580026112E+17</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1129402339.4843903</v>
      </c>
      <c r="C433" s="3">
        <f t="shared" si="434"/>
        <v>53227840590.69294</v>
      </c>
      <c r="D433" s="3">
        <f t="shared" si="434"/>
        <v>658648224524.94763</v>
      </c>
      <c r="E433" s="3">
        <f t="shared" si="434"/>
        <v>6066352885487.2549</v>
      </c>
      <c r="F433" s="3">
        <f t="shared" si="434"/>
        <v>100000000000000</v>
      </c>
      <c r="G433" s="3">
        <f t="shared" si="434"/>
        <v>2.73695831811981E+16</v>
      </c>
      <c r="H433" s="3">
        <f t="shared" si="434"/>
        <v>7.8775152580026122E+18</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11294023394.843901</v>
      </c>
      <c r="C434" s="3">
        <f t="shared" si="434"/>
        <v>532278405906.92938</v>
      </c>
      <c r="D434" s="3">
        <f t="shared" si="434"/>
        <v>6586482245249.4756</v>
      </c>
      <c r="E434" s="3">
        <f t="shared" si="434"/>
        <v>60663528854872.547</v>
      </c>
      <c r="F434" s="3">
        <f t="shared" si="434"/>
        <v>1000000000000000</v>
      </c>
      <c r="G434" s="3">
        <f t="shared" si="434"/>
        <v>2.7369583181198102E+17</v>
      </c>
      <c r="H434" s="3">
        <f t="shared" si="434"/>
        <v>7.8775152580026122E+19</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-11.391236875275727</v>
      </c>
      <c r="M1" s="54">
        <v>1</v>
      </c>
      <c r="N1" s="56">
        <f>INDEX($H$217:$P$217,1,Q1)</f>
        <v>0.10360217847478512</v>
      </c>
      <c r="O1" s="11"/>
      <c r="P1" s="55">
        <v>1</v>
      </c>
      <c r="Q1" s="11">
        <v>2</v>
      </c>
    </row>
    <row r="2" spans="1:17" x14ac:dyDescent="0.25">
      <c r="A2" s="11">
        <f>'Mastercurve bestimmen'!M119</f>
        <v>0</v>
      </c>
      <c r="B2" s="11">
        <f>'Mastercurve bestimmen'!N119</f>
        <v>-7.538343886132532</v>
      </c>
      <c r="M2" s="54">
        <v>2</v>
      </c>
      <c r="N2" s="56">
        <f t="shared" ref="N2:N9" si="0">INDEX($H$217:$P$217,1,Q2)</f>
        <v>4.4132834678861085E-4</v>
      </c>
      <c r="O2" s="11"/>
      <c r="P2" s="55">
        <v>2</v>
      </c>
      <c r="Q2" s="11">
        <f>Q1+1</f>
        <v>3</v>
      </c>
    </row>
    <row r="3" spans="1:17" x14ac:dyDescent="0.25">
      <c r="A3" s="11">
        <f>'Mastercurve bestimmen'!M120</f>
        <v>25</v>
      </c>
      <c r="B3" s="11">
        <f>'Mastercurve bestimmen'!N120</f>
        <v>-5.0227358749255249</v>
      </c>
      <c r="M3" s="54">
        <v>3</v>
      </c>
      <c r="N3" s="56">
        <f t="shared" si="0"/>
        <v>1.4381105702136573E-6</v>
      </c>
      <c r="O3" s="11"/>
      <c r="P3" s="55">
        <v>3</v>
      </c>
      <c r="Q3" s="11">
        <f t="shared" ref="Q3:Q8" si="1">Q2+1</f>
        <v>4</v>
      </c>
    </row>
    <row r="4" spans="1:17" x14ac:dyDescent="0.25">
      <c r="A4" s="11">
        <f>'Mastercurve bestimmen'!M121</f>
        <v>50</v>
      </c>
      <c r="B4" s="11">
        <f>'Mastercurve bestimmen'!N121</f>
        <v>-2.8024126040835196</v>
      </c>
      <c r="M4" s="54">
        <v>4</v>
      </c>
      <c r="N4" s="56">
        <f t="shared" si="0"/>
        <v>-4.2352875820273567E-8</v>
      </c>
      <c r="O4" s="11"/>
      <c r="P4" s="55">
        <v>4</v>
      </c>
      <c r="Q4" s="11">
        <f t="shared" si="1"/>
        <v>5</v>
      </c>
    </row>
    <row r="5" spans="1:17" x14ac:dyDescent="0.25">
      <c r="A5" s="11">
        <f>'Mastercurve bestimmen'!M122</f>
        <v>80</v>
      </c>
      <c r="B5" s="11">
        <f>'Mastercurve bestimmen'!N122</f>
        <v>0</v>
      </c>
      <c r="M5" s="54">
        <v>5</v>
      </c>
      <c r="N5" s="56">
        <f t="shared" si="0"/>
        <v>4.3490129647995195E-10</v>
      </c>
      <c r="O5" s="11"/>
      <c r="P5" s="55">
        <v>5</v>
      </c>
      <c r="Q5" s="11">
        <f t="shared" si="1"/>
        <v>6</v>
      </c>
    </row>
    <row r="6" spans="1:17" x14ac:dyDescent="0.25">
      <c r="A6" s="11">
        <f>'Mastercurve bestimmen'!M123</f>
        <v>125</v>
      </c>
      <c r="B6" s="11">
        <f>'Mastercurve bestimmen'!N123</f>
        <v>5.6120173868915071</v>
      </c>
      <c r="M6" s="54">
        <v>6</v>
      </c>
      <c r="N6" s="56">
        <f t="shared" si="0"/>
        <v>4.7617891309072461E-12</v>
      </c>
      <c r="O6" s="11"/>
      <c r="P6" s="55">
        <v>6</v>
      </c>
      <c r="Q6" s="11">
        <f t="shared" si="1"/>
        <v>7</v>
      </c>
    </row>
    <row r="7" spans="1:17" x14ac:dyDescent="0.25">
      <c r="A7" s="11">
        <f>'Mastercurve bestimmen'!M124</f>
        <v>160</v>
      </c>
      <c r="B7" s="11">
        <f>'Mastercurve bestimmen'!N124</f>
        <v>11.274352903532849</v>
      </c>
      <c r="M7" s="54">
        <v>7</v>
      </c>
      <c r="N7" s="56">
        <f t="shared" si="0"/>
        <v>-4.6881814637419724E-14</v>
      </c>
      <c r="O7" s="11"/>
      <c r="P7" s="55">
        <v>7</v>
      </c>
      <c r="Q7" s="11">
        <f t="shared" si="1"/>
        <v>8</v>
      </c>
    </row>
    <row r="8" spans="1:17" x14ac:dyDescent="0.25">
      <c r="A8" s="11"/>
      <c r="B8" s="11"/>
      <c r="M8" s="54">
        <v>8</v>
      </c>
      <c r="N8" s="56">
        <f t="shared" si="0"/>
        <v>-3.3050685140217555E-16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-11.391236875275727</v>
      </c>
      <c r="E15" s="11">
        <f>A15-'Mastercurve bestimmen'!$B$2</f>
        <v>-120</v>
      </c>
      <c r="F15" s="11">
        <f>B15</f>
        <v>-11.391236875275727</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-11.320121520307582</v>
      </c>
      <c r="E16" s="11">
        <f>A16-'Mastercurve bestimmen'!$B$2</f>
        <v>-119</v>
      </c>
      <c r="F16" s="11">
        <f t="shared" ref="F16:F79" si="4">B16</f>
        <v>-11.320121520307582</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-11.248911580087052</v>
      </c>
      <c r="E17" s="11">
        <f>A17-'Mastercurve bestimmen'!$B$2</f>
        <v>-118</v>
      </c>
      <c r="F17" s="11">
        <f t="shared" si="4"/>
        <v>-11.248911580087052</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-11.177512469361755</v>
      </c>
      <c r="E18" s="11">
        <f>A18-'Mastercurve bestimmen'!$B$2</f>
        <v>-117</v>
      </c>
      <c r="F18" s="11">
        <f t="shared" si="4"/>
        <v>-11.177512469361755</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-11.105829602879304</v>
      </c>
      <c r="E19" s="11">
        <f>A19-'Mastercurve bestimmen'!$B$2</f>
        <v>-116</v>
      </c>
      <c r="F19" s="11">
        <f t="shared" si="4"/>
        <v>-11.105829602879304</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-11.033768395387316</v>
      </c>
      <c r="E20" s="11">
        <f>A20-'Mastercurve bestimmen'!$B$2</f>
        <v>-115</v>
      </c>
      <c r="F20" s="11">
        <f t="shared" si="4"/>
        <v>-11.033768395387316</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-10.961234261633404</v>
      </c>
      <c r="E21" s="11">
        <f>A21-'Mastercurve bestimmen'!$B$2</f>
        <v>-114</v>
      </c>
      <c r="F21" s="11">
        <f t="shared" si="4"/>
        <v>-10.961234261633404</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-10.888132616365189</v>
      </c>
      <c r="E22" s="11">
        <f>A22-'Mastercurve bestimmen'!$B$2</f>
        <v>-113</v>
      </c>
      <c r="F22" s="11">
        <f t="shared" si="4"/>
        <v>-10.888132616365189</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-10.814368874330281</v>
      </c>
      <c r="E23" s="11">
        <f>A23-'Mastercurve bestimmen'!$B$2</f>
        <v>-112</v>
      </c>
      <c r="F23" s="11">
        <f t="shared" si="4"/>
        <v>-10.814368874330281</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-10.7398484502763</v>
      </c>
      <c r="E24" s="11">
        <f>A24-'Mastercurve bestimmen'!$B$2</f>
        <v>-111</v>
      </c>
      <c r="F24" s="11">
        <f t="shared" si="4"/>
        <v>-10.7398484502763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-10.664476758950858</v>
      </c>
      <c r="E25" s="11">
        <f>A25-'Mastercurve bestimmen'!$B$2</f>
        <v>-110</v>
      </c>
      <c r="F25" s="11">
        <f t="shared" si="4"/>
        <v>-10.664476758950858</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-10.588159215101573</v>
      </c>
      <c r="E26" s="11">
        <f>A26-'Mastercurve bestimmen'!$B$2</f>
        <v>-109</v>
      </c>
      <c r="F26" s="11">
        <f t="shared" si="4"/>
        <v>-10.588159215101573</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-10.510801233476061</v>
      </c>
      <c r="E27" s="11">
        <f>A27-'Mastercurve bestimmen'!$B$2</f>
        <v>-108</v>
      </c>
      <c r="F27" s="11">
        <f t="shared" si="4"/>
        <v>-10.510801233476061</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-10.432308228821933</v>
      </c>
      <c r="E28" s="11">
        <f>A28-'Mastercurve bestimmen'!$B$2</f>
        <v>-107</v>
      </c>
      <c r="F28" s="11">
        <f t="shared" si="4"/>
        <v>-10.432308228821933</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-10.352585615886811</v>
      </c>
      <c r="E29" s="11">
        <f>A29-'Mastercurve bestimmen'!$B$2</f>
        <v>-106</v>
      </c>
      <c r="F29" s="11">
        <f t="shared" si="4"/>
        <v>-10.352585615886811</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-10.271538809418306</v>
      </c>
      <c r="E30" s="11">
        <f>A30-'Mastercurve bestimmen'!$B$2</f>
        <v>-105</v>
      </c>
      <c r="F30" s="11">
        <f t="shared" si="4"/>
        <v>-10.271538809418306</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-10.189073224164037</v>
      </c>
      <c r="E31" s="11">
        <f>A31-'Mastercurve bestimmen'!$B$2</f>
        <v>-104</v>
      </c>
      <c r="F31" s="11">
        <f t="shared" si="4"/>
        <v>-10.189073224164037</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-10.105094274871618</v>
      </c>
      <c r="E32" s="11">
        <f>A32-'Mastercurve bestimmen'!$B$2</f>
        <v>-103</v>
      </c>
      <c r="F32" s="11">
        <f t="shared" si="4"/>
        <v>-10.105094274871618</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-10.019507376288665</v>
      </c>
      <c r="E33" s="11">
        <f>A33-'Mastercurve bestimmen'!$B$2</f>
        <v>-102</v>
      </c>
      <c r="F33" s="11">
        <f t="shared" si="4"/>
        <v>-10.019507376288665</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-9.9322179431627937</v>
      </c>
      <c r="E34" s="11">
        <f>A34-'Mastercurve bestimmen'!$B$2</f>
        <v>-101</v>
      </c>
      <c r="F34" s="11">
        <f t="shared" si="4"/>
        <v>-9.9322179431627937</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-9.8431313902416164</v>
      </c>
      <c r="E35" s="11">
        <f>A35-'Mastercurve bestimmen'!$B$2</f>
        <v>-100</v>
      </c>
      <c r="F35" s="11">
        <f t="shared" si="4"/>
        <v>-9.8431313902416164</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-9.7521531322727544</v>
      </c>
      <c r="E36" s="11">
        <f>A36-'Mastercurve bestimmen'!$B$2</f>
        <v>-99</v>
      </c>
      <c r="F36" s="11">
        <f t="shared" si="4"/>
        <v>-9.7521531322727544</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-9.6591885840038199</v>
      </c>
      <c r="E37" s="11">
        <f>A37-'Mastercurve bestimmen'!$B$2</f>
        <v>-98</v>
      </c>
      <c r="F37" s="11">
        <f t="shared" si="4"/>
        <v>-9.6591885840038199</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-9.5641431601824287</v>
      </c>
      <c r="E38" s="11">
        <f>A38-'Mastercurve bestimmen'!$B$2</f>
        <v>-97</v>
      </c>
      <c r="F38" s="11">
        <f t="shared" si="4"/>
        <v>-9.5641431601824287</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-9.4669222755561968</v>
      </c>
      <c r="E39" s="11">
        <f>A39-'Mastercurve bestimmen'!$B$2</f>
        <v>-96</v>
      </c>
      <c r="F39" s="11">
        <f t="shared" si="4"/>
        <v>-9.4669222755561968</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-9.3674313448727418</v>
      </c>
      <c r="E40" s="11">
        <f>A40-'Mastercurve bestimmen'!$B$2</f>
        <v>-95</v>
      </c>
      <c r="F40" s="11">
        <f t="shared" si="4"/>
        <v>-9.3674313448727418</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-9.2655757828796759</v>
      </c>
      <c r="E41" s="11">
        <f>A41-'Mastercurve bestimmen'!$B$2</f>
        <v>-94</v>
      </c>
      <c r="F41" s="11">
        <f t="shared" si="4"/>
        <v>-9.2655757828796759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-9.161261004324615</v>
      </c>
      <c r="E42" s="11">
        <f>A42-'Mastercurve bestimmen'!$B$2</f>
        <v>-93</v>
      </c>
      <c r="F42" s="11">
        <f t="shared" si="4"/>
        <v>-9.161261004324615</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-9.0543924239551785</v>
      </c>
      <c r="E43" s="11">
        <f>A43-'Mastercurve bestimmen'!$B$2</f>
        <v>-92</v>
      </c>
      <c r="F43" s="11">
        <f t="shared" si="4"/>
        <v>-9.0543924239551785</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-8.9448754565189788</v>
      </c>
      <c r="E44" s="11">
        <f>A44-'Mastercurve bestimmen'!$B$2</f>
        <v>-91</v>
      </c>
      <c r="F44" s="11">
        <f t="shared" si="4"/>
        <v>-8.9448754565189788</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-8.8326155167636315</v>
      </c>
      <c r="E45" s="11">
        <f>A45-'Mastercurve bestimmen'!$B$2</f>
        <v>-90</v>
      </c>
      <c r="F45" s="11">
        <f t="shared" si="4"/>
        <v>-8.8326155167636315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-8.7175180194367545</v>
      </c>
      <c r="E46" s="11">
        <f>A46-'Mastercurve bestimmen'!$B$2</f>
        <v>-89</v>
      </c>
      <c r="F46" s="11">
        <f t="shared" si="4"/>
        <v>-8.7175180194367545</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-8.5994883792859618</v>
      </c>
      <c r="E47" s="11">
        <f>A47-'Mastercurve bestimmen'!$B$2</f>
        <v>-88</v>
      </c>
      <c r="F47" s="11">
        <f t="shared" si="4"/>
        <v>-8.5994883792859618</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-8.4784320110588691</v>
      </c>
      <c r="E48" s="11">
        <f>A48-'Mastercurve bestimmen'!$B$2</f>
        <v>-87</v>
      </c>
      <c r="F48" s="11">
        <f t="shared" si="4"/>
        <v>-8.4784320110588691</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-8.3542543295030907</v>
      </c>
      <c r="E49" s="11">
        <f>A49-'Mastercurve bestimmen'!$B$2</f>
        <v>-86</v>
      </c>
      <c r="F49" s="11">
        <f t="shared" si="4"/>
        <v>-8.3542543295030907</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-8.226860749366244</v>
      </c>
      <c r="E50" s="11">
        <f>A50-'Mastercurve bestimmen'!$B$2</f>
        <v>-85</v>
      </c>
      <c r="F50" s="11">
        <f t="shared" si="4"/>
        <v>-8.226860749366244</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-8.096156685395945</v>
      </c>
      <c r="E51" s="11">
        <f>A51-'Mastercurve bestimmen'!$B$2</f>
        <v>-84</v>
      </c>
      <c r="F51" s="11">
        <f t="shared" si="4"/>
        <v>-8.096156685395945</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-7.9620475523398104</v>
      </c>
      <c r="E52" s="11">
        <f>A52-'Mastercurve bestimmen'!$B$2</f>
        <v>-83</v>
      </c>
      <c r="F52" s="11">
        <f t="shared" si="4"/>
        <v>-7.9620475523398104</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-7.8244387649454508</v>
      </c>
      <c r="E53" s="11">
        <f>A53-'Mastercurve bestimmen'!$B$2</f>
        <v>-82</v>
      </c>
      <c r="F53" s="11">
        <f t="shared" si="4"/>
        <v>-7.8244387649454508</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-7.6832357379604872</v>
      </c>
      <c r="E54" s="11">
        <f>A54-'Mastercurve bestimmen'!$B$2</f>
        <v>-81</v>
      </c>
      <c r="F54" s="11">
        <f t="shared" si="4"/>
        <v>-7.6832357379604872</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-7.538343886132532</v>
      </c>
      <c r="E55" s="11">
        <f>A55-'Mastercurve bestimmen'!$B$2</f>
        <v>-80</v>
      </c>
      <c r="F55" s="11">
        <f t="shared" si="4"/>
        <v>-7.538343886132532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-7.4600533657460595</v>
      </c>
      <c r="E56" s="11">
        <f>A56-'Mastercurve bestimmen'!$B$2</f>
        <v>-79</v>
      </c>
      <c r="F56" s="11">
        <f t="shared" si="4"/>
        <v>-7.4600533657460595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-7.3782012345053909</v>
      </c>
      <c r="E57" s="11">
        <f>A57-'Mastercurve bestimmen'!$B$2</f>
        <v>-78</v>
      </c>
      <c r="F57" s="11">
        <f t="shared" si="4"/>
        <v>-7.3782012345053909</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-7.2930092916517069</v>
      </c>
      <c r="E58" s="11">
        <f>A58-'Mastercurve bestimmen'!$B$2</f>
        <v>-77</v>
      </c>
      <c r="F58" s="11">
        <f t="shared" si="4"/>
        <v>-7.2930092916517069</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-7.204699336426188</v>
      </c>
      <c r="E59" s="11">
        <f>A59-'Mastercurve bestimmen'!$B$2</f>
        <v>-76</v>
      </c>
      <c r="F59" s="11">
        <f t="shared" si="4"/>
        <v>-7.204699336426188</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-7.1134931680700122</v>
      </c>
      <c r="E60" s="11">
        <f>A60-'Mastercurve bestimmen'!$B$2</f>
        <v>-75</v>
      </c>
      <c r="F60" s="11">
        <f t="shared" si="4"/>
        <v>-7.1134931680700122</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-7.0196125858243619</v>
      </c>
      <c r="E61" s="11">
        <f>A61-'Mastercurve bestimmen'!$B$2</f>
        <v>-74</v>
      </c>
      <c r="F61" s="11">
        <f t="shared" si="4"/>
        <v>-7.0196125858243619</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-6.9232793889304141</v>
      </c>
      <c r="E62" s="11">
        <f>A62-'Mastercurve bestimmen'!$B$2</f>
        <v>-73</v>
      </c>
      <c r="F62" s="11">
        <f t="shared" si="4"/>
        <v>-6.9232793889304141</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-6.8247153766293476</v>
      </c>
      <c r="E63" s="11">
        <f>A63-'Mastercurve bestimmen'!$B$2</f>
        <v>-72</v>
      </c>
      <c r="F63" s="11">
        <f t="shared" si="4"/>
        <v>-6.8247153766293476</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-6.7241423481623457</v>
      </c>
      <c r="E64" s="11">
        <f>A64-'Mastercurve bestimmen'!$B$2</f>
        <v>-71</v>
      </c>
      <c r="F64" s="11">
        <f t="shared" si="4"/>
        <v>-6.7241423481623457</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-6.6217821027705881</v>
      </c>
      <c r="E65" s="11">
        <f>A65-'Mastercurve bestimmen'!$B$2</f>
        <v>-70</v>
      </c>
      <c r="F65" s="11">
        <f t="shared" si="4"/>
        <v>-6.6217821027705881</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-6.5178564396952492</v>
      </c>
      <c r="E66" s="11">
        <f>A66-'Mastercurve bestimmen'!$B$2</f>
        <v>-69</v>
      </c>
      <c r="F66" s="11">
        <f t="shared" si="4"/>
        <v>-6.5178564396952492</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-6.4125871581775158</v>
      </c>
      <c r="E67" s="11">
        <f>A67-'Mastercurve bestimmen'!$B$2</f>
        <v>-68</v>
      </c>
      <c r="F67" s="11">
        <f t="shared" si="4"/>
        <v>-6.4125871581775158</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-6.3061960574585623</v>
      </c>
      <c r="E68" s="11">
        <f>A68-'Mastercurve bestimmen'!$B$2</f>
        <v>-67</v>
      </c>
      <c r="F68" s="11">
        <f t="shared" si="4"/>
        <v>-6.3061960574585623</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-6.198904936779571</v>
      </c>
      <c r="E69" s="11">
        <f>A69-'Mastercurve bestimmen'!$B$2</f>
        <v>-66</v>
      </c>
      <c r="F69" s="11">
        <f t="shared" si="4"/>
        <v>-6.198904936779571</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-6.0909355953817208</v>
      </c>
      <c r="E70" s="11">
        <f>A70-'Mastercurve bestimmen'!$B$2</f>
        <v>-65</v>
      </c>
      <c r="F70" s="11">
        <f t="shared" si="4"/>
        <v>-6.0909355953817208</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-5.9825098325061914</v>
      </c>
      <c r="E71" s="11">
        <f>A71-'Mastercurve bestimmen'!$B$2</f>
        <v>-64</v>
      </c>
      <c r="F71" s="11">
        <f t="shared" si="4"/>
        <v>-5.9825098325061914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-5.8738494473941625</v>
      </c>
      <c r="E72" s="11">
        <f>A72-'Mastercurve bestimmen'!$B$2</f>
        <v>-63</v>
      </c>
      <c r="F72" s="11">
        <f t="shared" si="4"/>
        <v>-5.8738494473941625</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-5.7651762392868138</v>
      </c>
      <c r="E73" s="11">
        <f>A73-'Mastercurve bestimmen'!$B$2</f>
        <v>-62</v>
      </c>
      <c r="F73" s="11">
        <f t="shared" si="4"/>
        <v>-5.7651762392868138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-5.6567120074253259</v>
      </c>
      <c r="E74" s="11">
        <f>A74-'Mastercurve bestimmen'!$B$2</f>
        <v>-61</v>
      </c>
      <c r="F74" s="11">
        <f t="shared" si="4"/>
        <v>-5.6567120074253259</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-5.5486785510508776</v>
      </c>
      <c r="E75" s="11">
        <f>A75-'Mastercurve bestimmen'!$B$2</f>
        <v>-60</v>
      </c>
      <c r="F75" s="11">
        <f t="shared" si="4"/>
        <v>-5.5486785510508776</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-5.4412976694046487</v>
      </c>
      <c r="E76" s="11">
        <f>A76-'Mastercurve bestimmen'!$B$2</f>
        <v>-59</v>
      </c>
      <c r="F76" s="11">
        <f t="shared" si="4"/>
        <v>-5.4412976694046487</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-5.3347911617278196</v>
      </c>
      <c r="E77" s="11">
        <f>A77-'Mastercurve bestimmen'!$B$2</f>
        <v>-58</v>
      </c>
      <c r="F77" s="11">
        <f t="shared" si="4"/>
        <v>-5.3347911617278196</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-5.2293808272615685</v>
      </c>
      <c r="E78" s="11">
        <f>A78-'Mastercurve bestimmen'!$B$2</f>
        <v>-57</v>
      </c>
      <c r="F78" s="11">
        <f t="shared" si="4"/>
        <v>-5.2293808272615685</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-5.1252884652470776</v>
      </c>
      <c r="E79" s="11">
        <f>A79-'Mastercurve bestimmen'!$B$2</f>
        <v>-56</v>
      </c>
      <c r="F79" s="11">
        <f t="shared" si="4"/>
        <v>-5.1252884652470776</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-5.0227358749255249</v>
      </c>
      <c r="E80" s="11">
        <f>A80-'Mastercurve bestimmen'!$B$2</f>
        <v>-55</v>
      </c>
      <c r="F80" s="11">
        <f t="shared" ref="F80:F143" si="10">B80</f>
        <v>-5.0227358749255249</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-4.9218932909241087</v>
      </c>
      <c r="E81" s="11">
        <f>A81-'Mastercurve bestimmen'!$B$2</f>
        <v>-54</v>
      </c>
      <c r="F81" s="11">
        <f t="shared" si="10"/>
        <v>-4.9218932909241087</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-4.8227246894141018</v>
      </c>
      <c r="E82" s="11">
        <f>A82-'Mastercurve bestimmen'!$B$2</f>
        <v>-53</v>
      </c>
      <c r="F82" s="11">
        <f t="shared" si="10"/>
        <v>-4.8227246894141018</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-4.7251424819527958</v>
      </c>
      <c r="E83" s="11">
        <f>A83-'Mastercurve bestimmen'!$B$2</f>
        <v>-52</v>
      </c>
      <c r="F83" s="11">
        <f t="shared" si="10"/>
        <v>-4.7251424819527958</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-4.6290590800974831</v>
      </c>
      <c r="E84" s="11">
        <f>A84-'Mastercurve bestimmen'!$B$2</f>
        <v>-51</v>
      </c>
      <c r="F84" s="11">
        <f t="shared" si="10"/>
        <v>-4.6290590800974831</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-4.5343868954054543</v>
      </c>
      <c r="E85" s="11">
        <f>A85-'Mastercurve bestimmen'!$B$2</f>
        <v>-50</v>
      </c>
      <c r="F85" s="11">
        <f t="shared" si="10"/>
        <v>-4.5343868954054543</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-4.4410383394340016</v>
      </c>
      <c r="E86" s="11">
        <f>A86-'Mastercurve bestimmen'!$B$2</f>
        <v>-49</v>
      </c>
      <c r="F86" s="11">
        <f t="shared" si="10"/>
        <v>-4.4410383394340016</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-4.3489258237404167</v>
      </c>
      <c r="E87" s="11">
        <f>A87-'Mastercurve bestimmen'!$B$2</f>
        <v>-48</v>
      </c>
      <c r="F87" s="11">
        <f t="shared" si="10"/>
        <v>-4.3489258237404167</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-4.2579617598819901</v>
      </c>
      <c r="E88" s="11">
        <f>A88-'Mastercurve bestimmen'!$B$2</f>
        <v>-47</v>
      </c>
      <c r="F88" s="11">
        <f t="shared" si="10"/>
        <v>-4.2579617598819901</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-4.1680585594160142</v>
      </c>
      <c r="E89" s="11">
        <f>A89-'Mastercurve bestimmen'!$B$2</f>
        <v>-46</v>
      </c>
      <c r="F89" s="11">
        <f t="shared" si="10"/>
        <v>-4.1680585594160142</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-4.0791286338997796</v>
      </c>
      <c r="E90" s="11">
        <f>A90-'Mastercurve bestimmen'!$B$2</f>
        <v>-45</v>
      </c>
      <c r="F90" s="11">
        <f t="shared" si="10"/>
        <v>-4.0791286338997796</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-3.9910843948905792</v>
      </c>
      <c r="E91" s="11">
        <f>A91-'Mastercurve bestimmen'!$B$2</f>
        <v>-44</v>
      </c>
      <c r="F91" s="11">
        <f t="shared" si="10"/>
        <v>-3.9910843948905792</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-3.9038382539457031</v>
      </c>
      <c r="E92" s="11">
        <f>A92-'Mastercurve bestimmen'!$B$2</f>
        <v>-43</v>
      </c>
      <c r="F92" s="11">
        <f t="shared" si="10"/>
        <v>-3.9038382539457031</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-3.8173026226224436</v>
      </c>
      <c r="E93" s="11">
        <f>A93-'Mastercurve bestimmen'!$B$2</f>
        <v>-42</v>
      </c>
      <c r="F93" s="11">
        <f t="shared" si="10"/>
        <v>-3.8173026226224436</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-3.7313899124780914</v>
      </c>
      <c r="E94" s="11">
        <f>A94-'Mastercurve bestimmen'!$B$2</f>
        <v>-41</v>
      </c>
      <c r="F94" s="11">
        <f t="shared" si="10"/>
        <v>-3.7313899124780914</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-3.6460125350699393</v>
      </c>
      <c r="E95" s="11">
        <f>A95-'Mastercurve bestimmen'!$B$2</f>
        <v>-40</v>
      </c>
      <c r="F95" s="11">
        <f t="shared" si="10"/>
        <v>-3.6460125350699393</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-3.5610829019552779</v>
      </c>
      <c r="E96" s="11">
        <f>A96-'Mastercurve bestimmen'!$B$2</f>
        <v>-39</v>
      </c>
      <c r="F96" s="11">
        <f t="shared" si="10"/>
        <v>-3.5610829019552779</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-3.4765134246913991</v>
      </c>
      <c r="E97" s="11">
        <f>A97-'Mastercurve bestimmen'!$B$2</f>
        <v>-38</v>
      </c>
      <c r="F97" s="11">
        <f t="shared" si="10"/>
        <v>-3.4765134246913991</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-3.3922165148355941</v>
      </c>
      <c r="E98" s="11">
        <f>A98-'Mastercurve bestimmen'!$B$2</f>
        <v>-37</v>
      </c>
      <c r="F98" s="11">
        <f t="shared" si="10"/>
        <v>-3.3922165148355941</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-3.3081045839451551</v>
      </c>
      <c r="E99" s="11">
        <f>A99-'Mastercurve bestimmen'!$B$2</f>
        <v>-36</v>
      </c>
      <c r="F99" s="11">
        <f t="shared" si="10"/>
        <v>-3.3081045839451551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-3.2240900435773723</v>
      </c>
      <c r="E100" s="11">
        <f>A100-'Mastercurve bestimmen'!$B$2</f>
        <v>-35</v>
      </c>
      <c r="F100" s="11">
        <f t="shared" si="10"/>
        <v>-3.2240900435773723</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-3.1400853052895386</v>
      </c>
      <c r="E101" s="11">
        <f>A101-'Mastercurve bestimmen'!$B$2</f>
        <v>-34</v>
      </c>
      <c r="F101" s="11">
        <f t="shared" si="10"/>
        <v>-3.1400853052895386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-3.0560027806389454</v>
      </c>
      <c r="E102" s="11">
        <f>A102-'Mastercurve bestimmen'!$B$2</f>
        <v>-33</v>
      </c>
      <c r="F102" s="11">
        <f t="shared" si="10"/>
        <v>-3.0560027806389454</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-2.9717548811828829</v>
      </c>
      <c r="E103" s="11">
        <f>A103-'Mastercurve bestimmen'!$B$2</f>
        <v>-32</v>
      </c>
      <c r="F103" s="11">
        <f t="shared" si="10"/>
        <v>-2.9717548811828829</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-2.8872540184786439</v>
      </c>
      <c r="E104" s="11">
        <f>A104-'Mastercurve bestimmen'!$B$2</f>
        <v>-31</v>
      </c>
      <c r="F104" s="11">
        <f t="shared" si="10"/>
        <v>-2.8872540184786439</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-2.80241260408352</v>
      </c>
      <c r="E105" s="11">
        <f>A105-'Mastercurve bestimmen'!$B$2</f>
        <v>-30</v>
      </c>
      <c r="F105" s="11">
        <f t="shared" si="10"/>
        <v>-2.80241260408352</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-2.7171554801118334</v>
      </c>
      <c r="E106" s="11">
        <f>A106-'Mastercurve bestimmen'!$B$2</f>
        <v>-29</v>
      </c>
      <c r="F106" s="11">
        <f t="shared" si="10"/>
        <v>-2.7171554801118334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-2.6314572109060377</v>
      </c>
      <c r="E107" s="11">
        <f>A107-'Mastercurve bestimmen'!$B$2</f>
        <v>-28</v>
      </c>
      <c r="F107" s="11">
        <f t="shared" si="10"/>
        <v>-2.6314572109060377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-2.545304791365615</v>
      </c>
      <c r="E108" s="11">
        <f>A108-'Mastercurve bestimmen'!$B$2</f>
        <v>-27</v>
      </c>
      <c r="F108" s="11">
        <f t="shared" si="10"/>
        <v>-2.545304791365615</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-2.4586852163900517</v>
      </c>
      <c r="E109" s="11">
        <f>A109-'Mastercurve bestimmen'!$B$2</f>
        <v>-26</v>
      </c>
      <c r="F109" s="11">
        <f t="shared" si="10"/>
        <v>-2.4586852163900517</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-2.3715854808788297</v>
      </c>
      <c r="E110" s="11">
        <f>A110-'Mastercurve bestimmen'!$B$2</f>
        <v>-25</v>
      </c>
      <c r="F110" s="11">
        <f t="shared" si="10"/>
        <v>-2.3715854808788297</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-2.2839925797314331</v>
      </c>
      <c r="E111" s="11">
        <f>A111-'Mastercurve bestimmen'!$B$2</f>
        <v>-24</v>
      </c>
      <c r="F111" s="11">
        <f t="shared" si="10"/>
        <v>-2.2839925797314331</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-2.1958935078473476</v>
      </c>
      <c r="E112" s="11">
        <f>A112-'Mastercurve bestimmen'!$B$2</f>
        <v>-23</v>
      </c>
      <c r="F112" s="11">
        <f t="shared" si="10"/>
        <v>-2.1958935078473476</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-2.1072752601260554</v>
      </c>
      <c r="E113" s="11">
        <f>A113-'Mastercurve bestimmen'!$B$2</f>
        <v>-22</v>
      </c>
      <c r="F113" s="11">
        <f t="shared" si="10"/>
        <v>-2.1072752601260554</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-2.0181248314670404</v>
      </c>
      <c r="E114" s="11">
        <f>A114-'Mastercurve bestimmen'!$B$2</f>
        <v>-21</v>
      </c>
      <c r="F114" s="11">
        <f t="shared" si="10"/>
        <v>-2.0181248314670404</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-1.9284292167697881</v>
      </c>
      <c r="E115" s="11">
        <f>A115-'Mastercurve bestimmen'!$B$2</f>
        <v>-20</v>
      </c>
      <c r="F115" s="11">
        <f t="shared" si="10"/>
        <v>-1.9284292167697881</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-1.8381754109337809</v>
      </c>
      <c r="E116" s="11">
        <f>A116-'Mastercurve bestimmen'!$B$2</f>
        <v>-19</v>
      </c>
      <c r="F116" s="11">
        <f t="shared" si="10"/>
        <v>-1.8381754109337809</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-1.7473504088585037</v>
      </c>
      <c r="E117" s="11">
        <f>A117-'Mastercurve bestimmen'!$B$2</f>
        <v>-18</v>
      </c>
      <c r="F117" s="11">
        <f t="shared" si="10"/>
        <v>-1.7473504088585037</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-1.6559412054434399</v>
      </c>
      <c r="E118" s="11">
        <f>A118-'Mastercurve bestimmen'!$B$2</f>
        <v>-17</v>
      </c>
      <c r="F118" s="11">
        <f t="shared" si="10"/>
        <v>-1.6559412054434399</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-1.563934795588074</v>
      </c>
      <c r="E119" s="11">
        <f>A119-'Mastercurve bestimmen'!$B$2</f>
        <v>-16</v>
      </c>
      <c r="F119" s="11">
        <f t="shared" si="10"/>
        <v>-1.563934795588074</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-1.4713181741918897</v>
      </c>
      <c r="E120" s="11">
        <f>A120-'Mastercurve bestimmen'!$B$2</f>
        <v>-15</v>
      </c>
      <c r="F120" s="11">
        <f t="shared" si="10"/>
        <v>-1.4713181741918897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-1.3780783361543705</v>
      </c>
      <c r="E121" s="11">
        <f>A121-'Mastercurve bestimmen'!$B$2</f>
        <v>-14</v>
      </c>
      <c r="F121" s="11">
        <f t="shared" si="10"/>
        <v>-1.3780783361543705</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-1.2842022763750012</v>
      </c>
      <c r="E122" s="11">
        <f>A122-'Mastercurve bestimmen'!$B$2</f>
        <v>-13</v>
      </c>
      <c r="F122" s="11">
        <f t="shared" si="10"/>
        <v>-1.2842022763750012</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-1.1896769897532649</v>
      </c>
      <c r="E123" s="11">
        <f>A123-'Mastercurve bestimmen'!$B$2</f>
        <v>-12</v>
      </c>
      <c r="F123" s="11">
        <f t="shared" si="10"/>
        <v>-1.1896769897532649</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-1.0944894711886464</v>
      </c>
      <c r="E124" s="11">
        <f>A124-'Mastercurve bestimmen'!$B$2</f>
        <v>-11</v>
      </c>
      <c r="F124" s="11">
        <f t="shared" si="10"/>
        <v>-1.0944894711886464</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-0.99862671558062899</v>
      </c>
      <c r="E125" s="11">
        <f>A125-'Mastercurve bestimmen'!$B$2</f>
        <v>-10</v>
      </c>
      <c r="F125" s="11">
        <f t="shared" si="10"/>
        <v>-0.99862671558062899</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-0.90207571782869689</v>
      </c>
      <c r="E126" s="11">
        <f>A126-'Mastercurve bestimmen'!$B$2</f>
        <v>-9</v>
      </c>
      <c r="F126" s="11">
        <f t="shared" si="10"/>
        <v>-0.90207571782869689</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-0.80482347283233413</v>
      </c>
      <c r="E127" s="11">
        <f>A127-'Mastercurve bestimmen'!$B$2</f>
        <v>-8</v>
      </c>
      <c r="F127" s="11">
        <f t="shared" si="10"/>
        <v>-0.80482347283233413</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-0.70685697549102444</v>
      </c>
      <c r="E128" s="11">
        <f>A128-'Mastercurve bestimmen'!$B$2</f>
        <v>-7</v>
      </c>
      <c r="F128" s="11">
        <f t="shared" si="10"/>
        <v>-0.70685697549102444</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-0.60816322070425211</v>
      </c>
      <c r="E129" s="11">
        <f>A129-'Mastercurve bestimmen'!$B$2</f>
        <v>-6</v>
      </c>
      <c r="F129" s="11">
        <f t="shared" si="10"/>
        <v>-0.60816322070425211</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-0.50872920337150085</v>
      </c>
      <c r="E130" s="11">
        <f>A130-'Mastercurve bestimmen'!$B$2</f>
        <v>-5</v>
      </c>
      <c r="F130" s="11">
        <f t="shared" si="10"/>
        <v>-0.50872920337150085</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-0.40854191839225468</v>
      </c>
      <c r="E131" s="11">
        <f>A131-'Mastercurve bestimmen'!$B$2</f>
        <v>-4</v>
      </c>
      <c r="F131" s="11">
        <f t="shared" si="10"/>
        <v>-0.40854191839225468</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-0.30758836066599754</v>
      </c>
      <c r="E132" s="11">
        <f>A132-'Mastercurve bestimmen'!$B$2</f>
        <v>-3</v>
      </c>
      <c r="F132" s="11">
        <f t="shared" si="10"/>
        <v>-0.30758836066599754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-0.20585552509221341</v>
      </c>
      <c r="E133" s="11">
        <f>A133-'Mastercurve bestimmen'!$B$2</f>
        <v>-2</v>
      </c>
      <c r="F133" s="11">
        <f t="shared" si="10"/>
        <v>-0.20585552509221341</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-0.10333040657038624</v>
      </c>
      <c r="E134" s="11">
        <f>A134-'Mastercurve bestimmen'!$B$2</f>
        <v>-1</v>
      </c>
      <c r="F134" s="11">
        <f t="shared" si="10"/>
        <v>-0.10333040657038624</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1.3877787807814457E-17</v>
      </c>
      <c r="E135" s="11">
        <f>A135-'Mastercurve bestimmen'!$B$2</f>
        <v>0</v>
      </c>
      <c r="F135" s="11">
        <f t="shared" si="10"/>
        <v>1.3877787807814457E-17</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0.1041477976427107</v>
      </c>
      <c r="E136" s="11">
        <f>A136-'Mastercurve bestimmen'!$B$2</f>
        <v>1</v>
      </c>
      <c r="F136" s="11">
        <f t="shared" si="10"/>
        <v>0.1041477976427107</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0.20912148107450879</v>
      </c>
      <c r="E137" s="11">
        <f>A137-'Mastercurve bestimmen'!$B$2</f>
        <v>2</v>
      </c>
      <c r="F137" s="11">
        <f t="shared" si="10"/>
        <v>0.20912148107450879</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0.31492864293540634</v>
      </c>
      <c r="E138" s="11">
        <f>A138-'Mastercurve bestimmen'!$B$2</f>
        <v>3</v>
      </c>
      <c r="F138" s="11">
        <f t="shared" si="10"/>
        <v>0.31492864293540634</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0.42157687586541559</v>
      </c>
      <c r="E139" s="11">
        <f>A139-'Mastercurve bestimmen'!$B$2</f>
        <v>4</v>
      </c>
      <c r="F139" s="11">
        <f t="shared" si="10"/>
        <v>0.42157687586541559</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0.52907377250454868</v>
      </c>
      <c r="E140" s="11">
        <f>A140-'Mastercurve bestimmen'!$B$2</f>
        <v>5</v>
      </c>
      <c r="F140" s="11">
        <f t="shared" si="10"/>
        <v>0.52907377250454868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0.6374269254928181</v>
      </c>
      <c r="E141" s="11">
        <f>A141-'Mastercurve bestimmen'!$B$2</f>
        <v>6</v>
      </c>
      <c r="F141" s="11">
        <f t="shared" si="10"/>
        <v>0.6374269254928181</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0.74664392747023567</v>
      </c>
      <c r="E142" s="11">
        <f>A142-'Mastercurve bestimmen'!$B$2</f>
        <v>7</v>
      </c>
      <c r="F142" s="11">
        <f t="shared" si="10"/>
        <v>0.74664392747023567</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0.85673237107681377</v>
      </c>
      <c r="E143" s="11">
        <f>A143-'Mastercurve bestimmen'!$B$2</f>
        <v>8</v>
      </c>
      <c r="F143" s="11">
        <f t="shared" si="10"/>
        <v>0.85673237107681377</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0.96769984895256456</v>
      </c>
      <c r="E144" s="11">
        <f>A144-'Mastercurve bestimmen'!$B$2</f>
        <v>9</v>
      </c>
      <c r="F144" s="11">
        <f t="shared" ref="F144:F207" si="15">B144</f>
        <v>0.96769984895256456</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1.0795539537375003</v>
      </c>
      <c r="E145" s="11">
        <f>A145-'Mastercurve bestimmen'!$B$2</f>
        <v>10</v>
      </c>
      <c r="F145" s="11">
        <f t="shared" si="15"/>
        <v>1.0795539537375003</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1.1923022780716332</v>
      </c>
      <c r="E146" s="11">
        <f>A146-'Mastercurve bestimmen'!$B$2</f>
        <v>11</v>
      </c>
      <c r="F146" s="11">
        <f t="shared" si="15"/>
        <v>1.1923022780716332</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1.3059524145949752</v>
      </c>
      <c r="E147" s="11">
        <f>A147-'Mastercurve bestimmen'!$B$2</f>
        <v>12</v>
      </c>
      <c r="F147" s="11">
        <f t="shared" si="15"/>
        <v>1.3059524145949752</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1.4205119559475388</v>
      </c>
      <c r="E148" s="11">
        <f>A148-'Mastercurve bestimmen'!$B$2</f>
        <v>13</v>
      </c>
      <c r="F148" s="11">
        <f t="shared" si="15"/>
        <v>1.4205119559475388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1.5359884947693361</v>
      </c>
      <c r="E149" s="11">
        <f>A149-'Mastercurve bestimmen'!$B$2</f>
        <v>14</v>
      </c>
      <c r="F149" s="11">
        <f t="shared" si="15"/>
        <v>1.5359884947693361</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1.6523896237003792</v>
      </c>
      <c r="E150" s="11">
        <f>A150-'Mastercurve bestimmen'!$B$2</f>
        <v>15</v>
      </c>
      <c r="F150" s="11">
        <f t="shared" si="15"/>
        <v>1.6523896237003792</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1.7697229353806805</v>
      </c>
      <c r="E151" s="11">
        <f>A151-'Mastercurve bestimmen'!$B$2</f>
        <v>16</v>
      </c>
      <c r="F151" s="11">
        <f t="shared" si="15"/>
        <v>1.7697229353806805</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1.8879960224502519</v>
      </c>
      <c r="E152" s="11">
        <f>A152-'Mastercurve bestimmen'!$B$2</f>
        <v>17</v>
      </c>
      <c r="F152" s="11">
        <f t="shared" si="15"/>
        <v>1.8879960224502519</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2.0072164775491057</v>
      </c>
      <c r="E153" s="11">
        <f>A153-'Mastercurve bestimmen'!$B$2</f>
        <v>18</v>
      </c>
      <c r="F153" s="11">
        <f t="shared" si="15"/>
        <v>2.0072164775491057</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2.1273918933172546</v>
      </c>
      <c r="E154" s="11">
        <f>A154-'Mastercurve bestimmen'!$B$2</f>
        <v>19</v>
      </c>
      <c r="F154" s="11">
        <f t="shared" si="15"/>
        <v>2.1273918933172546</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2.2485298623947099</v>
      </c>
      <c r="E155" s="11">
        <f>A155-'Mastercurve bestimmen'!$B$2</f>
        <v>20</v>
      </c>
      <c r="F155" s="11">
        <f t="shared" si="15"/>
        <v>2.2485298623947099</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2.3706379774214845</v>
      </c>
      <c r="E156" s="11">
        <f>A156-'Mastercurve bestimmen'!$B$2</f>
        <v>21</v>
      </c>
      <c r="F156" s="11">
        <f t="shared" si="15"/>
        <v>2.3706379774214845</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2.4937238310375904</v>
      </c>
      <c r="E157" s="11">
        <f>A157-'Mastercurve bestimmen'!$B$2</f>
        <v>22</v>
      </c>
      <c r="F157" s="11">
        <f t="shared" si="15"/>
        <v>2.4937238310375904</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2.6177950158830394</v>
      </c>
      <c r="E158" s="11">
        <f>A158-'Mastercurve bestimmen'!$B$2</f>
        <v>23</v>
      </c>
      <c r="F158" s="11">
        <f t="shared" si="15"/>
        <v>2.6177950158830394</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2.7428591245978446</v>
      </c>
      <c r="E159" s="11">
        <f>A159-'Mastercurve bestimmen'!$B$2</f>
        <v>24</v>
      </c>
      <c r="F159" s="11">
        <f t="shared" si="15"/>
        <v>2.7428591245978446</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2.8689237498220175</v>
      </c>
      <c r="E160" s="11">
        <f>A160-'Mastercurve bestimmen'!$B$2</f>
        <v>25</v>
      </c>
      <c r="F160" s="11">
        <f t="shared" si="15"/>
        <v>2.8689237498220175</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2.9959964841955702</v>
      </c>
      <c r="E161" s="11">
        <f>A161-'Mastercurve bestimmen'!$B$2</f>
        <v>26</v>
      </c>
      <c r="F161" s="11">
        <f t="shared" si="15"/>
        <v>2.9959964841955702</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3.1240849203585155</v>
      </c>
      <c r="E162" s="11">
        <f>A162-'Mastercurve bestimmen'!$B$2</f>
        <v>27</v>
      </c>
      <c r="F162" s="11">
        <f t="shared" si="15"/>
        <v>3.1240849203585155</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3.2531966509508652</v>
      </c>
      <c r="E163" s="11">
        <f>A163-'Mastercurve bestimmen'!$B$2</f>
        <v>28</v>
      </c>
      <c r="F163" s="11">
        <f t="shared" si="15"/>
        <v>3.2531966509508652</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3.3833392686126311</v>
      </c>
      <c r="E164" s="11">
        <f>A164-'Mastercurve bestimmen'!$B$2</f>
        <v>29</v>
      </c>
      <c r="F164" s="11">
        <f t="shared" si="15"/>
        <v>3.3833392686126311</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3.5145203659838264</v>
      </c>
      <c r="E165" s="11">
        <f>A165-'Mastercurve bestimmen'!$B$2</f>
        <v>30</v>
      </c>
      <c r="F165" s="11">
        <f t="shared" si="15"/>
        <v>3.5145203659838264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3.6467475357044621</v>
      </c>
      <c r="E166" s="11">
        <f>A166-'Mastercurve bestimmen'!$B$2</f>
        <v>31</v>
      </c>
      <c r="F166" s="11">
        <f t="shared" si="15"/>
        <v>3.6467475357044621</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3.7800283704145516</v>
      </c>
      <c r="E167" s="11">
        <f>A167-'Mastercurve bestimmen'!$B$2</f>
        <v>32</v>
      </c>
      <c r="F167" s="11">
        <f t="shared" si="15"/>
        <v>3.7800283704145516</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3.9143704627541065</v>
      </c>
      <c r="E168" s="11">
        <f>A168-'Mastercurve bestimmen'!$B$2</f>
        <v>33</v>
      </c>
      <c r="F168" s="11">
        <f t="shared" si="15"/>
        <v>3.9143704627541065</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4.0497814053631389</v>
      </c>
      <c r="E169" s="11">
        <f>A169-'Mastercurve bestimmen'!$B$2</f>
        <v>34</v>
      </c>
      <c r="F169" s="11">
        <f t="shared" si="15"/>
        <v>4.0497814053631389</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4.1862687908816607</v>
      </c>
      <c r="E170" s="11">
        <f>A170-'Mastercurve bestimmen'!$B$2</f>
        <v>35</v>
      </c>
      <c r="F170" s="11">
        <f t="shared" si="15"/>
        <v>4.1862687908816607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4.323840211949685</v>
      </c>
      <c r="E171" s="11">
        <f>A171-'Mastercurve bestimmen'!$B$2</f>
        <v>36</v>
      </c>
      <c r="F171" s="11">
        <f t="shared" si="15"/>
        <v>4.323840211949685</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4.4625032612072237</v>
      </c>
      <c r="E172" s="11">
        <f>A172-'Mastercurve bestimmen'!$B$2</f>
        <v>37</v>
      </c>
      <c r="F172" s="11">
        <f t="shared" si="15"/>
        <v>4.4625032612072237</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4.6022655312942886</v>
      </c>
      <c r="E173" s="11">
        <f>A173-'Mastercurve bestimmen'!$B$2</f>
        <v>38</v>
      </c>
      <c r="F173" s="11">
        <f t="shared" si="15"/>
        <v>4.6022655312942886</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4.7431346148508924</v>
      </c>
      <c r="E174" s="11">
        <f>A174-'Mastercurve bestimmen'!$B$2</f>
        <v>39</v>
      </c>
      <c r="F174" s="11">
        <f t="shared" si="15"/>
        <v>4.7431346148508924</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4.885118104517046</v>
      </c>
      <c r="E175" s="11">
        <f>A175-'Mastercurve bestimmen'!$B$2</f>
        <v>40</v>
      </c>
      <c r="F175" s="11">
        <f t="shared" si="15"/>
        <v>4.885118104517046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5.028223592932763</v>
      </c>
      <c r="E176" s="11">
        <f>A176-'Mastercurve bestimmen'!$B$2</f>
        <v>41</v>
      </c>
      <c r="F176" s="11">
        <f t="shared" si="15"/>
        <v>5.028223592932763</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5.1724586727380562</v>
      </c>
      <c r="E177" s="11">
        <f>A177-'Mastercurve bestimmen'!$B$2</f>
        <v>42</v>
      </c>
      <c r="F177" s="11">
        <f t="shared" si="15"/>
        <v>5.1724586727380562</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5.3178309365729364</v>
      </c>
      <c r="E178" s="11">
        <f>A178-'Mastercurve bestimmen'!$B$2</f>
        <v>43</v>
      </c>
      <c r="F178" s="11">
        <f t="shared" si="15"/>
        <v>5.3178309365729364</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5.4643479770774155</v>
      </c>
      <c r="E179" s="11">
        <f>A179-'Mastercurve bestimmen'!$B$2</f>
        <v>44</v>
      </c>
      <c r="F179" s="11">
        <f t="shared" si="15"/>
        <v>5.4643479770774155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5.6120173868915071</v>
      </c>
      <c r="E180" s="11">
        <f>A180-'Mastercurve bestimmen'!$B$2</f>
        <v>45</v>
      </c>
      <c r="F180" s="11">
        <f t="shared" si="15"/>
        <v>5.6120173868915071</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5.7608399695868888</v>
      </c>
      <c r="E181" s="11">
        <f>A181-'Mastercurve bestimmen'!$B$2</f>
        <v>46</v>
      </c>
      <c r="F181" s="11">
        <f t="shared" si="15"/>
        <v>5.7608399695868888</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5.9107893724619052</v>
      </c>
      <c r="E182" s="11">
        <f>A182-'Mastercurve bestimmen'!$B$2</f>
        <v>47</v>
      </c>
      <c r="F182" s="11">
        <f t="shared" si="15"/>
        <v>5.9107893724619052</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6.0618324537465682</v>
      </c>
      <c r="E183" s="11">
        <f>A183-'Mastercurve bestimmen'!$B$2</f>
        <v>48</v>
      </c>
      <c r="F183" s="11">
        <f t="shared" si="15"/>
        <v>6.0618324537465682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6.2139360716708865</v>
      </c>
      <c r="E184" s="11">
        <f>A184-'Mastercurve bestimmen'!$B$2</f>
        <v>49</v>
      </c>
      <c r="F184" s="11">
        <f t="shared" si="15"/>
        <v>6.2139360716708865</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6.3670670844648702</v>
      </c>
      <c r="E185" s="11">
        <f>A185-'Mastercurve bestimmen'!$B$2</f>
        <v>50</v>
      </c>
      <c r="F185" s="11">
        <f t="shared" si="15"/>
        <v>6.3670670844648702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6.5211923503585334</v>
      </c>
      <c r="E186" s="11">
        <f>A186-'Mastercurve bestimmen'!$B$2</f>
        <v>51</v>
      </c>
      <c r="F186" s="11">
        <f t="shared" si="15"/>
        <v>6.5211923503585334</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6.6762787275818845</v>
      </c>
      <c r="E187" s="11">
        <f>A187-'Mastercurve bestimmen'!$B$2</f>
        <v>52</v>
      </c>
      <c r="F187" s="11">
        <f t="shared" si="15"/>
        <v>6.6762787275818845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6.8322930743649355</v>
      </c>
      <c r="E188" s="11">
        <f>A188-'Mastercurve bestimmen'!$B$2</f>
        <v>53</v>
      </c>
      <c r="F188" s="11">
        <f t="shared" si="15"/>
        <v>6.8322930743649355</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6.9892022489376959</v>
      </c>
      <c r="E189" s="11">
        <f>A189-'Mastercurve bestimmen'!$B$2</f>
        <v>54</v>
      </c>
      <c r="F189" s="11">
        <f t="shared" si="15"/>
        <v>6.9892022489376959</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7.1469731095301769</v>
      </c>
      <c r="E190" s="11">
        <f>A190-'Mastercurve bestimmen'!$B$2</f>
        <v>55</v>
      </c>
      <c r="F190" s="11">
        <f t="shared" si="15"/>
        <v>7.1469731095301769</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7.3055725143723897</v>
      </c>
      <c r="E191" s="11">
        <f>A191-'Mastercurve bestimmen'!$B$2</f>
        <v>56</v>
      </c>
      <c r="F191" s="11">
        <f t="shared" si="15"/>
        <v>7.3055725143723897</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7.4649673216943437</v>
      </c>
      <c r="E192" s="11">
        <f>A192-'Mastercurve bestimmen'!$B$2</f>
        <v>57</v>
      </c>
      <c r="F192" s="11">
        <f t="shared" si="15"/>
        <v>7.4649673216943437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7.625124389726051</v>
      </c>
      <c r="E193" s="11">
        <f>A193-'Mastercurve bestimmen'!$B$2</f>
        <v>58</v>
      </c>
      <c r="F193" s="11">
        <f t="shared" si="15"/>
        <v>7.625124389726051</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7.7860105766975227</v>
      </c>
      <c r="E194" s="11">
        <f>A194-'Mastercurve bestimmen'!$B$2</f>
        <v>59</v>
      </c>
      <c r="F194" s="11">
        <f t="shared" si="15"/>
        <v>7.7860105766975227</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7.9475927408387683</v>
      </c>
      <c r="E195" s="11">
        <f>A195-'Mastercurve bestimmen'!$B$2</f>
        <v>60</v>
      </c>
      <c r="F195" s="11">
        <f t="shared" si="15"/>
        <v>7.9475927408387683</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8.109837740379799</v>
      </c>
      <c r="E196" s="11">
        <f>A196-'Mastercurve bestimmen'!$B$2</f>
        <v>61</v>
      </c>
      <c r="F196" s="11">
        <f t="shared" si="15"/>
        <v>8.109837740379799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8.2727124335506268</v>
      </c>
      <c r="E197" s="11">
        <f>A197-'Mastercurve bestimmen'!$B$2</f>
        <v>62</v>
      </c>
      <c r="F197" s="11">
        <f t="shared" si="15"/>
        <v>8.2727124335506268</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8.4361836785812585</v>
      </c>
      <c r="E198" s="11">
        <f>A198-'Mastercurve bestimmen'!$B$2</f>
        <v>63</v>
      </c>
      <c r="F198" s="11">
        <f t="shared" si="15"/>
        <v>8.4361836785812585</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8.6002183337017097</v>
      </c>
      <c r="E199" s="11">
        <f>A199-'Mastercurve bestimmen'!$B$2</f>
        <v>64</v>
      </c>
      <c r="F199" s="11">
        <f t="shared" si="15"/>
        <v>8.6002183337017097</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8.764783257141989</v>
      </c>
      <c r="E200" s="11">
        <f>A200-'Mastercurve bestimmen'!$B$2</f>
        <v>65</v>
      </c>
      <c r="F200" s="11">
        <f t="shared" si="15"/>
        <v>8.764783257141989</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8.9298453071321049</v>
      </c>
      <c r="E201" s="11">
        <f>A201-'Mastercurve bestimmen'!$B$2</f>
        <v>66</v>
      </c>
      <c r="F201" s="11">
        <f t="shared" si="15"/>
        <v>8.9298453071321049</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9.095371341902073</v>
      </c>
      <c r="E202" s="11">
        <f>A202-'Mastercurve bestimmen'!$B$2</f>
        <v>67</v>
      </c>
      <c r="F202" s="11">
        <f t="shared" si="15"/>
        <v>9.095371341902073</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9.2613282196819</v>
      </c>
      <c r="E203" s="11">
        <f>A203-'Mastercurve bestimmen'!$B$2</f>
        <v>68</v>
      </c>
      <c r="F203" s="11">
        <f t="shared" si="15"/>
        <v>9.2613282196819</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9.4276827987015999</v>
      </c>
      <c r="E204" s="11">
        <f>A204-'Mastercurve bestimmen'!$B$2</f>
        <v>69</v>
      </c>
      <c r="F204" s="11">
        <f t="shared" si="15"/>
        <v>9.4276827987015999</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9.5944019371911793</v>
      </c>
      <c r="E205" s="11">
        <f>A205-'Mastercurve bestimmen'!$B$2</f>
        <v>70</v>
      </c>
      <c r="F205" s="11">
        <f t="shared" si="15"/>
        <v>9.5944019371911793</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9.7614524933806521</v>
      </c>
      <c r="E206" s="11">
        <f>A206-'Mastercurve bestimmen'!$B$2</f>
        <v>71</v>
      </c>
      <c r="F206" s="11">
        <f t="shared" si="15"/>
        <v>9.7614524933806521</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9.9288013255000287</v>
      </c>
      <c r="E207" s="11">
        <f>A207-'Mastercurve bestimmen'!$B$2</f>
        <v>72</v>
      </c>
      <c r="F207" s="11">
        <f t="shared" si="15"/>
        <v>9.9288013255000287</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10.096415291779321</v>
      </c>
      <c r="E208" s="11">
        <f>A208-'Mastercurve bestimmen'!$B$2</f>
        <v>73</v>
      </c>
      <c r="F208" s="11">
        <f t="shared" ref="F208:F215" si="21">B208</f>
        <v>10.096415291779321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10.264261250448534</v>
      </c>
      <c r="E209" s="11">
        <f>A209-'Mastercurve bestimmen'!$B$2</f>
        <v>74</v>
      </c>
      <c r="F209" s="11">
        <f t="shared" si="21"/>
        <v>10.264261250448534</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10.432306059737686</v>
      </c>
      <c r="E210" s="11">
        <f>A210-'Mastercurve bestimmen'!$B$2</f>
        <v>75</v>
      </c>
      <c r="F210" s="11">
        <f t="shared" si="21"/>
        <v>10.432306059737686</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10.600516577876782</v>
      </c>
      <c r="E211" s="11">
        <f>A211-'Mastercurve bestimmen'!$B$2</f>
        <v>76</v>
      </c>
      <c r="F211" s="11">
        <f t="shared" si="21"/>
        <v>10.600516577876782</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10.768859663095837</v>
      </c>
      <c r="E212" s="11">
        <f>A212-'Mastercurve bestimmen'!$B$2</f>
        <v>77</v>
      </c>
      <c r="F212" s="11">
        <f t="shared" si="21"/>
        <v>10.768859663095837</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10.937302173624859</v>
      </c>
      <c r="E213" s="11">
        <f>A213-'Mastercurve bestimmen'!$B$2</f>
        <v>78</v>
      </c>
      <c r="F213" s="11">
        <f t="shared" si="21"/>
        <v>10.937302173624859</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11.105810967693859</v>
      </c>
      <c r="E214" s="11">
        <f>A214-'Mastercurve bestimmen'!$B$2</f>
        <v>79</v>
      </c>
      <c r="F214" s="11">
        <f t="shared" si="21"/>
        <v>11.105810967693859</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11.274352903532849</v>
      </c>
      <c r="E215" s="11">
        <f>A215-'Mastercurve bestimmen'!$B$2</f>
        <v>80</v>
      </c>
      <c r="F215" s="11">
        <f t="shared" si="21"/>
        <v>11.274352903532849</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0.10360217847478512</v>
      </c>
      <c r="J217" s="98">
        <v>4.4132834678861085E-4</v>
      </c>
      <c r="K217" s="98">
        <v>1.4381105702136573E-6</v>
      </c>
      <c r="L217" s="98">
        <v>-4.2352875820273567E-8</v>
      </c>
      <c r="M217" s="98">
        <v>4.3490129647995195E-10</v>
      </c>
      <c r="N217" s="98">
        <v>4.7617891309072461E-12</v>
      </c>
      <c r="O217" s="98">
        <v>-4.6881814637419724E-14</v>
      </c>
      <c r="P217" s="98">
        <v>-3.3050685140217555E-16</v>
      </c>
    </row>
    <row r="218" spans="1:16" x14ac:dyDescent="0.25">
      <c r="G218" s="11"/>
      <c r="H218" s="11">
        <v>0</v>
      </c>
      <c r="I218" s="11">
        <v>2.5161046248609829E-4</v>
      </c>
      <c r="J218" s="11">
        <v>4.6866335911789651E-6</v>
      </c>
      <c r="K218" s="3">
        <v>2.3812594904389618E-7</v>
      </c>
      <c r="L218" s="3">
        <v>2.1682075964465909E-9</v>
      </c>
      <c r="M218" s="3">
        <v>6.8082124519354198E-11</v>
      </c>
      <c r="N218" s="3">
        <v>3.74118428417468E-13</v>
      </c>
      <c r="O218" s="11">
        <v>6.0160422066127301E-15</v>
      </c>
      <c r="P218" s="11">
        <v>3.6583471888057723E-17</v>
      </c>
    </row>
    <row r="219" spans="1:16" x14ac:dyDescent="0.25">
      <c r="G219" s="11"/>
      <c r="H219" s="11">
        <v>0.99998455645239559</v>
      </c>
      <c r="I219" s="11">
        <v>2.603029385385762E-2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-11.360178245702953</v>
      </c>
      <c r="G222">
        <f>F15</f>
        <v>-11.391236875275727</v>
      </c>
    </row>
    <row r="223" spans="1:16" x14ac:dyDescent="0.25">
      <c r="E223" s="11">
        <f t="shared" ref="E223:E286" si="25">E16</f>
        <v>-119</v>
      </c>
      <c r="F223" s="11">
        <f t="shared" ref="F223:F286" si="26">$H$217*0+E223*$I$217+E223^2*$J$217+E223^3*$K$217+E223^4*$L$217+E223^5*$M$217+E223^6*$N$217+E223^7*$O$217+E223^8*$P$217</f>
        <v>-11.299692566195128</v>
      </c>
      <c r="G223" s="11">
        <f t="shared" ref="G223:G286" si="27">F16</f>
        <v>-11.320121520307582</v>
      </c>
    </row>
    <row r="224" spans="1:16" x14ac:dyDescent="0.25">
      <c r="E224" s="11">
        <f t="shared" si="25"/>
        <v>-118</v>
      </c>
      <c r="F224" s="11">
        <f t="shared" si="26"/>
        <v>-11.238132242966136</v>
      </c>
      <c r="G224" s="11">
        <f t="shared" si="27"/>
        <v>-11.248911580087052</v>
      </c>
    </row>
    <row r="225" spans="5:7" x14ac:dyDescent="0.25">
      <c r="E225" s="11">
        <f t="shared" si="25"/>
        <v>-117</v>
      </c>
      <c r="F225" s="11">
        <f t="shared" si="26"/>
        <v>-11.175298878168139</v>
      </c>
      <c r="G225" s="11">
        <f t="shared" si="27"/>
        <v>-11.177512469361755</v>
      </c>
    </row>
    <row r="226" spans="5:7" x14ac:dyDescent="0.25">
      <c r="E226" s="11">
        <f t="shared" si="25"/>
        <v>-116</v>
      </c>
      <c r="F226" s="11">
        <f t="shared" si="26"/>
        <v>-11.111020336872251</v>
      </c>
      <c r="G226" s="11">
        <f t="shared" si="27"/>
        <v>-11.105829602879304</v>
      </c>
    </row>
    <row r="227" spans="5:7" x14ac:dyDescent="0.25">
      <c r="E227" s="11">
        <f t="shared" si="25"/>
        <v>-115</v>
      </c>
      <c r="F227" s="11">
        <f t="shared" si="26"/>
        <v>-11.045149125558742</v>
      </c>
      <c r="G227" s="11">
        <f t="shared" si="27"/>
        <v>-11.033768395387316</v>
      </c>
    </row>
    <row r="228" spans="5:7" x14ac:dyDescent="0.25">
      <c r="E228" s="11">
        <f t="shared" si="25"/>
        <v>-114</v>
      </c>
      <c r="F228" s="11">
        <f t="shared" si="26"/>
        <v>-10.97756083074696</v>
      </c>
      <c r="G228" s="11">
        <f t="shared" si="27"/>
        <v>-10.961234261633404</v>
      </c>
    </row>
    <row r="229" spans="5:7" x14ac:dyDescent="0.25">
      <c r="E229" s="11">
        <f t="shared" si="25"/>
        <v>-113</v>
      </c>
      <c r="F229" s="11">
        <f t="shared" si="26"/>
        <v>-10.908152616448579</v>
      </c>
      <c r="G229" s="11">
        <f t="shared" si="27"/>
        <v>-10.888132616365189</v>
      </c>
    </row>
    <row r="230" spans="5:7" x14ac:dyDescent="0.25">
      <c r="E230" s="11">
        <f t="shared" si="25"/>
        <v>-112</v>
      </c>
      <c r="F230" s="11">
        <f t="shared" si="26"/>
        <v>-10.836841779141517</v>
      </c>
      <c r="G230" s="11">
        <f t="shared" si="27"/>
        <v>-10.814368874330281</v>
      </c>
    </row>
    <row r="231" spans="5:7" x14ac:dyDescent="0.25">
      <c r="E231" s="11">
        <f t="shared" si="25"/>
        <v>-111</v>
      </c>
      <c r="F231" s="11">
        <f t="shared" si="26"/>
        <v>-10.763564358974811</v>
      </c>
      <c r="G231" s="11">
        <f t="shared" si="27"/>
        <v>-10.7398484502763</v>
      </c>
    </row>
    <row r="232" spans="5:7" x14ac:dyDescent="0.25">
      <c r="E232" s="11">
        <f t="shared" si="25"/>
        <v>-110</v>
      </c>
      <c r="F232" s="11">
        <f t="shared" si="26"/>
        <v>-10.688273805928258</v>
      </c>
      <c r="G232" s="11">
        <f t="shared" si="27"/>
        <v>-10.664476758950858</v>
      </c>
    </row>
    <row r="233" spans="5:7" x14ac:dyDescent="0.25">
      <c r="E233" s="11">
        <f t="shared" si="25"/>
        <v>-109</v>
      </c>
      <c r="F233" s="11">
        <f t="shared" si="26"/>
        <v>-10.610939699663987</v>
      </c>
      <c r="G233" s="11">
        <f t="shared" si="27"/>
        <v>-10.588159215101573</v>
      </c>
    </row>
    <row r="234" spans="5:7" x14ac:dyDescent="0.25">
      <c r="E234" s="11">
        <f t="shared" si="25"/>
        <v>-108</v>
      </c>
      <c r="F234" s="11">
        <f t="shared" si="26"/>
        <v>-10.531546521820372</v>
      </c>
      <c r="G234" s="11">
        <f t="shared" si="27"/>
        <v>-10.510801233476061</v>
      </c>
    </row>
    <row r="235" spans="5:7" x14ac:dyDescent="0.25">
      <c r="E235" s="11">
        <f t="shared" si="25"/>
        <v>-107</v>
      </c>
      <c r="F235" s="11">
        <f t="shared" si="26"/>
        <v>-10.450092479511998</v>
      </c>
      <c r="G235" s="11">
        <f t="shared" si="27"/>
        <v>-10.432308228821933</v>
      </c>
    </row>
    <row r="236" spans="5:7" x14ac:dyDescent="0.25">
      <c r="E236" s="11">
        <f t="shared" si="25"/>
        <v>-106</v>
      </c>
      <c r="F236" s="11">
        <f t="shared" si="26"/>
        <v>-10.366588378812789</v>
      </c>
      <c r="G236" s="11">
        <f t="shared" si="27"/>
        <v>-10.352585615886811</v>
      </c>
    </row>
    <row r="237" spans="5:7" x14ac:dyDescent="0.25">
      <c r="E237" s="11">
        <f t="shared" si="25"/>
        <v>-105</v>
      </c>
      <c r="F237" s="11">
        <f t="shared" si="26"/>
        <v>-10.281056547012751</v>
      </c>
      <c r="G237" s="11">
        <f t="shared" si="27"/>
        <v>-10.271538809418306</v>
      </c>
    </row>
    <row r="238" spans="5:7" x14ac:dyDescent="0.25">
      <c r="E238" s="11">
        <f t="shared" si="25"/>
        <v>-104</v>
      </c>
      <c r="F238" s="11">
        <f t="shared" si="26"/>
        <v>-10.193529802452009</v>
      </c>
      <c r="G238" s="11">
        <f t="shared" si="27"/>
        <v>-10.189073224164037</v>
      </c>
    </row>
    <row r="239" spans="5:7" x14ac:dyDescent="0.25">
      <c r="E239" s="11">
        <f t="shared" si="25"/>
        <v>-103</v>
      </c>
      <c r="F239" s="11">
        <f t="shared" si="26"/>
        <v>-10.104050470749193</v>
      </c>
      <c r="G239" s="11">
        <f t="shared" si="27"/>
        <v>-10.105094274871618</v>
      </c>
    </row>
    <row r="240" spans="5:7" x14ac:dyDescent="0.25">
      <c r="E240" s="11">
        <f t="shared" si="25"/>
        <v>-102</v>
      </c>
      <c r="F240" s="11">
        <f t="shared" si="26"/>
        <v>-10.012669446254643</v>
      </c>
      <c r="G240" s="11">
        <f t="shared" si="27"/>
        <v>-10.019507376288665</v>
      </c>
    </row>
    <row r="241" spans="5:7" x14ac:dyDescent="0.25">
      <c r="E241" s="11">
        <f t="shared" si="25"/>
        <v>-101</v>
      </c>
      <c r="F241" s="11">
        <f t="shared" si="26"/>
        <v>-9.9194452975720111</v>
      </c>
      <c r="G241" s="11">
        <f t="shared" si="27"/>
        <v>-9.9322179431627937</v>
      </c>
    </row>
    <row r="242" spans="5:7" x14ac:dyDescent="0.25">
      <c r="E242" s="11">
        <f t="shared" si="25"/>
        <v>-100</v>
      </c>
      <c r="F242" s="11">
        <f t="shared" si="26"/>
        <v>-9.8244434160054741</v>
      </c>
      <c r="G242" s="11">
        <f t="shared" si="27"/>
        <v>-9.8431313902416164</v>
      </c>
    </row>
    <row r="243" spans="5:7" x14ac:dyDescent="0.25">
      <c r="E243" s="11">
        <f t="shared" si="25"/>
        <v>-99</v>
      </c>
      <c r="F243" s="11">
        <f t="shared" si="26"/>
        <v>-9.727735205802734</v>
      </c>
      <c r="G243" s="11">
        <f t="shared" si="27"/>
        <v>-9.7521531322727544</v>
      </c>
    </row>
    <row r="244" spans="5:7" x14ac:dyDescent="0.25">
      <c r="E244" s="11">
        <f t="shared" si="25"/>
        <v>-98</v>
      </c>
      <c r="F244" s="11">
        <f t="shared" si="26"/>
        <v>-9.6293973150776484</v>
      </c>
      <c r="G244" s="11">
        <f t="shared" si="27"/>
        <v>-9.6591885840038199</v>
      </c>
    </row>
    <row r="245" spans="5:7" x14ac:dyDescent="0.25">
      <c r="E245" s="11">
        <f t="shared" si="25"/>
        <v>-97</v>
      </c>
      <c r="F245" s="11">
        <f t="shared" si="26"/>
        <v>-9.5295109063094472</v>
      </c>
      <c r="G245" s="11">
        <f t="shared" si="27"/>
        <v>-9.5641431601824287</v>
      </c>
    </row>
    <row r="246" spans="5:7" x14ac:dyDescent="0.25">
      <c r="E246" s="11">
        <f t="shared" si="25"/>
        <v>-96</v>
      </c>
      <c r="F246" s="11">
        <f t="shared" si="26"/>
        <v>-9.4281609653288534</v>
      </c>
      <c r="G246" s="11">
        <f t="shared" si="27"/>
        <v>-9.4669222755561968</v>
      </c>
    </row>
    <row r="247" spans="5:7" x14ac:dyDescent="0.25">
      <c r="E247" s="11">
        <f t="shared" si="25"/>
        <v>-95</v>
      </c>
      <c r="F247" s="11">
        <f t="shared" si="26"/>
        <v>-9.3254356477148264</v>
      </c>
      <c r="G247" s="11">
        <f t="shared" si="27"/>
        <v>-9.3674313448727418</v>
      </c>
    </row>
    <row r="248" spans="5:7" x14ac:dyDescent="0.25">
      <c r="E248" s="11">
        <f t="shared" si="25"/>
        <v>-94</v>
      </c>
      <c r="F248" s="11">
        <f t="shared" si="26"/>
        <v>-9.2214256615389125</v>
      </c>
      <c r="G248" s="11">
        <f t="shared" si="27"/>
        <v>-9.2655757828796759</v>
      </c>
    </row>
    <row r="249" spans="5:7" x14ac:dyDescent="0.25">
      <c r="E249" s="11">
        <f t="shared" si="25"/>
        <v>-93</v>
      </c>
      <c r="F249" s="11">
        <f t="shared" si="26"/>
        <v>-9.1162236854074958</v>
      </c>
      <c r="G249" s="11">
        <f t="shared" si="27"/>
        <v>-9.161261004324615</v>
      </c>
    </row>
    <row r="250" spans="5:7" x14ac:dyDescent="0.25">
      <c r="E250" s="11">
        <f t="shared" si="25"/>
        <v>-92</v>
      </c>
      <c r="F250" s="11">
        <f t="shared" si="26"/>
        <v>-9.0099238207656462</v>
      </c>
      <c r="G250" s="11">
        <f t="shared" si="27"/>
        <v>-9.0543924239551785</v>
      </c>
    </row>
    <row r="251" spans="5:7" x14ac:dyDescent="0.25">
      <c r="E251" s="11">
        <f t="shared" si="25"/>
        <v>-91</v>
      </c>
      <c r="F251" s="11">
        <f t="shared" si="26"/>
        <v>-8.9026210774394698</v>
      </c>
      <c r="G251" s="11">
        <f t="shared" si="27"/>
        <v>-8.9448754565189788</v>
      </c>
    </row>
    <row r="252" spans="5:7" x14ac:dyDescent="0.25">
      <c r="E252" s="11">
        <f t="shared" si="25"/>
        <v>-90</v>
      </c>
      <c r="F252" s="11">
        <f t="shared" si="26"/>
        <v>-8.7944108914073524</v>
      </c>
      <c r="G252" s="11">
        <f t="shared" si="27"/>
        <v>-8.8326155167636315</v>
      </c>
    </row>
    <row r="253" spans="5:7" x14ac:dyDescent="0.25">
      <c r="E253" s="11">
        <f t="shared" si="25"/>
        <v>-89</v>
      </c>
      <c r="F253" s="11">
        <f t="shared" si="26"/>
        <v>-8.6853886738036206</v>
      </c>
      <c r="G253" s="11">
        <f t="shared" si="27"/>
        <v>-8.7175180194367545</v>
      </c>
    </row>
    <row r="254" spans="5:7" x14ac:dyDescent="0.25">
      <c r="E254" s="11">
        <f t="shared" si="25"/>
        <v>-88</v>
      </c>
      <c r="F254" s="11">
        <f t="shared" si="26"/>
        <v>-8.5756493901716766</v>
      </c>
      <c r="G254" s="11">
        <f t="shared" si="27"/>
        <v>-8.5994883792859618</v>
      </c>
    </row>
    <row r="255" spans="5:7" x14ac:dyDescent="0.25">
      <c r="E255" s="11">
        <f t="shared" si="25"/>
        <v>-87</v>
      </c>
      <c r="F255" s="11">
        <f t="shared" si="26"/>
        <v>-8.4652871689967704</v>
      </c>
      <c r="G255" s="11">
        <f t="shared" si="27"/>
        <v>-8.4784320110588691</v>
      </c>
    </row>
    <row r="256" spans="5:7" x14ac:dyDescent="0.25">
      <c r="E256" s="11">
        <f t="shared" si="25"/>
        <v>-86</v>
      </c>
      <c r="F256" s="11">
        <f t="shared" si="26"/>
        <v>-8.3543949385621463</v>
      </c>
      <c r="G256" s="11">
        <f t="shared" si="27"/>
        <v>-8.3542543295030907</v>
      </c>
    </row>
    <row r="257" spans="5:7" x14ac:dyDescent="0.25">
      <c r="E257" s="11">
        <f t="shared" si="25"/>
        <v>-85</v>
      </c>
      <c r="F257" s="11">
        <f t="shared" si="26"/>
        <v>-8.2430640911853477</v>
      </c>
      <c r="G257" s="11">
        <f t="shared" si="27"/>
        <v>-8.226860749366244</v>
      </c>
    </row>
    <row r="258" spans="5:7" x14ac:dyDescent="0.25">
      <c r="E258" s="11">
        <f t="shared" si="25"/>
        <v>-84</v>
      </c>
      <c r="F258" s="11">
        <f t="shared" si="26"/>
        <v>-8.1313841739050865</v>
      </c>
      <c r="G258" s="11">
        <f t="shared" si="27"/>
        <v>-8.096156685395945</v>
      </c>
    </row>
    <row r="259" spans="5:7" x14ac:dyDescent="0.25">
      <c r="E259" s="11">
        <f t="shared" si="25"/>
        <v>-83</v>
      </c>
      <c r="F259" s="11">
        <f t="shared" si="26"/>
        <v>-8.0194426047021121</v>
      </c>
      <c r="G259" s="11">
        <f t="shared" si="27"/>
        <v>-7.9620475523398104</v>
      </c>
    </row>
    <row r="260" spans="5:7" x14ac:dyDescent="0.25">
      <c r="E260" s="11">
        <f t="shared" si="25"/>
        <v>-82</v>
      </c>
      <c r="F260" s="11">
        <f t="shared" si="26"/>
        <v>-7.9073244133511267</v>
      </c>
      <c r="G260" s="11">
        <f t="shared" si="27"/>
        <v>-7.8244387649454508</v>
      </c>
    </row>
    <row r="261" spans="5:7" x14ac:dyDescent="0.25">
      <c r="E261" s="11">
        <f t="shared" si="25"/>
        <v>-81</v>
      </c>
      <c r="F261" s="11">
        <f t="shared" si="26"/>
        <v>-7.7951120060138548</v>
      </c>
      <c r="G261" s="11">
        <f t="shared" si="27"/>
        <v>-7.6832357379604872</v>
      </c>
    </row>
    <row r="262" spans="5:7" x14ac:dyDescent="0.25">
      <c r="E262" s="11">
        <f t="shared" si="25"/>
        <v>-80</v>
      </c>
      <c r="F262" s="11">
        <f t="shared" si="26"/>
        <v>-7.6828849526969352</v>
      </c>
      <c r="G262" s="11">
        <f t="shared" si="27"/>
        <v>-7.538343886132532</v>
      </c>
    </row>
    <row r="263" spans="5:7" x14ac:dyDescent="0.25">
      <c r="E263" s="11">
        <f t="shared" si="25"/>
        <v>-79</v>
      </c>
      <c r="F263" s="11">
        <f t="shared" si="26"/>
        <v>-7.570719796711443</v>
      </c>
      <c r="G263" s="11">
        <f t="shared" si="27"/>
        <v>-7.4600533657460595</v>
      </c>
    </row>
    <row r="264" spans="5:7" x14ac:dyDescent="0.25">
      <c r="E264" s="11">
        <f t="shared" si="25"/>
        <v>-78</v>
      </c>
      <c r="F264" s="11">
        <f t="shared" si="26"/>
        <v>-7.4586898852842998</v>
      </c>
      <c r="G264" s="11">
        <f t="shared" si="27"/>
        <v>-7.3782012345053909</v>
      </c>
    </row>
    <row r="265" spans="5:7" x14ac:dyDescent="0.25">
      <c r="E265" s="11">
        <f t="shared" si="25"/>
        <v>-77</v>
      </c>
      <c r="F265" s="11">
        <f t="shared" si="26"/>
        <v>-7.3468652204850979</v>
      </c>
      <c r="G265" s="11">
        <f t="shared" si="27"/>
        <v>-7.2930092916517069</v>
      </c>
    </row>
    <row r="266" spans="5:7" x14ac:dyDescent="0.25">
      <c r="E266" s="11">
        <f t="shared" si="25"/>
        <v>-76</v>
      </c>
      <c r="F266" s="11">
        <f t="shared" si="26"/>
        <v>-7.2353123296451791</v>
      </c>
      <c r="G266" s="11">
        <f t="shared" si="27"/>
        <v>-7.204699336426188</v>
      </c>
    </row>
    <row r="267" spans="5:7" x14ac:dyDescent="0.25">
      <c r="E267" s="11">
        <f t="shared" si="25"/>
        <v>-75</v>
      </c>
      <c r="F267" s="11">
        <f t="shared" si="26"/>
        <v>-7.1240941544592093</v>
      </c>
      <c r="G267" s="11">
        <f t="shared" si="27"/>
        <v>-7.1134931680700122</v>
      </c>
    </row>
    <row r="268" spans="5:7" x14ac:dyDescent="0.25">
      <c r="E268" s="11">
        <f t="shared" si="25"/>
        <v>-74</v>
      </c>
      <c r="F268" s="11">
        <f t="shared" si="26"/>
        <v>-7.0132699579727182</v>
      </c>
      <c r="G268" s="11">
        <f t="shared" si="27"/>
        <v>-7.0196125858243619</v>
      </c>
    </row>
    <row r="269" spans="5:7" x14ac:dyDescent="0.25">
      <c r="E269" s="11">
        <f t="shared" si="25"/>
        <v>-73</v>
      </c>
      <c r="F269" s="11">
        <f t="shared" si="26"/>
        <v>-6.9028952486724666</v>
      </c>
      <c r="G269" s="11">
        <f t="shared" si="27"/>
        <v>-6.9232793889304141</v>
      </c>
    </row>
    <row r="270" spans="5:7" x14ac:dyDescent="0.25">
      <c r="E270" s="11">
        <f t="shared" si="25"/>
        <v>-72</v>
      </c>
      <c r="F270" s="11">
        <f t="shared" si="26"/>
        <v>-6.7930217209098105</v>
      </c>
      <c r="G270" s="11">
        <f t="shared" si="27"/>
        <v>-6.8247153766293476</v>
      </c>
    </row>
    <row r="271" spans="5:7" x14ac:dyDescent="0.25">
      <c r="E271" s="11">
        <f t="shared" si="25"/>
        <v>-71</v>
      </c>
      <c r="F271" s="11">
        <f t="shared" si="26"/>
        <v>-6.6836972109005597</v>
      </c>
      <c r="G271" s="11">
        <f t="shared" si="27"/>
        <v>-6.7241423481623457</v>
      </c>
    </row>
    <row r="272" spans="5:7" x14ac:dyDescent="0.25">
      <c r="E272" s="11">
        <f t="shared" si="25"/>
        <v>-70</v>
      </c>
      <c r="F272" s="11">
        <f t="shared" si="26"/>
        <v>-6.5749656675581321</v>
      </c>
      <c r="G272" s="11">
        <f t="shared" si="27"/>
        <v>-6.6217821027705881</v>
      </c>
    </row>
    <row r="273" spans="5:7" x14ac:dyDescent="0.25">
      <c r="E273" s="11">
        <f t="shared" si="25"/>
        <v>-69</v>
      </c>
      <c r="F273" s="11">
        <f t="shared" si="26"/>
        <v>-6.466867137430178</v>
      </c>
      <c r="G273" s="11">
        <f t="shared" si="27"/>
        <v>-6.5178564396952492</v>
      </c>
    </row>
    <row r="274" spans="5:7" x14ac:dyDescent="0.25">
      <c r="E274" s="11">
        <f t="shared" si="25"/>
        <v>-68</v>
      </c>
      <c r="F274" s="11">
        <f t="shared" si="26"/>
        <v>-6.3594377630221288</v>
      </c>
      <c r="G274" s="11">
        <f t="shared" si="27"/>
        <v>-6.4125871581775158</v>
      </c>
    </row>
    <row r="275" spans="5:7" x14ac:dyDescent="0.25">
      <c r="E275" s="11">
        <f t="shared" si="25"/>
        <v>-67</v>
      </c>
      <c r="F275" s="11">
        <f t="shared" si="26"/>
        <v>-6.2527097938044696</v>
      </c>
      <c r="G275" s="11">
        <f t="shared" si="27"/>
        <v>-6.3061960574585623</v>
      </c>
    </row>
    <row r="276" spans="5:7" x14ac:dyDescent="0.25">
      <c r="E276" s="11">
        <f t="shared" si="25"/>
        <v>-66</v>
      </c>
      <c r="F276" s="11">
        <f t="shared" si="26"/>
        <v>-6.1467116092138712</v>
      </c>
      <c r="G276" s="11">
        <f t="shared" si="27"/>
        <v>-6.198904936779571</v>
      </c>
    </row>
    <row r="277" spans="5:7" x14ac:dyDescent="0.25">
      <c r="E277" s="11">
        <f t="shared" si="25"/>
        <v>-65</v>
      </c>
      <c r="F277" s="11">
        <f t="shared" si="26"/>
        <v>-6.0414677529716192</v>
      </c>
      <c r="G277" s="11">
        <f t="shared" si="27"/>
        <v>-6.0909355953817208</v>
      </c>
    </row>
    <row r="278" spans="5:7" x14ac:dyDescent="0.25">
      <c r="E278" s="11">
        <f t="shared" si="25"/>
        <v>-64</v>
      </c>
      <c r="F278" s="11">
        <f t="shared" si="26"/>
        <v>-5.9369989780561356</v>
      </c>
      <c r="G278" s="11">
        <f t="shared" si="27"/>
        <v>-5.9825098325061914</v>
      </c>
    </row>
    <row r="279" spans="5:7" x14ac:dyDescent="0.25">
      <c r="E279" s="11">
        <f t="shared" si="25"/>
        <v>-63</v>
      </c>
      <c r="F279" s="11">
        <f t="shared" si="26"/>
        <v>-5.8333223016796598</v>
      </c>
      <c r="G279" s="11">
        <f t="shared" si="27"/>
        <v>-5.8738494473941625</v>
      </c>
    </row>
    <row r="280" spans="5:7" x14ac:dyDescent="0.25">
      <c r="E280" s="11">
        <f t="shared" si="25"/>
        <v>-62</v>
      </c>
      <c r="F280" s="11">
        <f t="shared" si="26"/>
        <v>-5.7304510696325721</v>
      </c>
      <c r="G280" s="11">
        <f t="shared" si="27"/>
        <v>-5.7651762392868138</v>
      </c>
    </row>
    <row r="281" spans="5:7" x14ac:dyDescent="0.25">
      <c r="E281" s="11">
        <f t="shared" si="25"/>
        <v>-61</v>
      </c>
      <c r="F281" s="11">
        <f t="shared" si="26"/>
        <v>-5.6283950293720668</v>
      </c>
      <c r="G281" s="11">
        <f t="shared" si="27"/>
        <v>-5.6567120074253259</v>
      </c>
    </row>
    <row r="282" spans="5:7" x14ac:dyDescent="0.25">
      <c r="E282" s="11">
        <f t="shared" si="25"/>
        <v>-60</v>
      </c>
      <c r="F282" s="11">
        <f t="shared" si="26"/>
        <v>-5.5271604112452701</v>
      </c>
      <c r="G282" s="11">
        <f t="shared" si="27"/>
        <v>-5.5486785510508776</v>
      </c>
    </row>
    <row r="283" spans="5:7" x14ac:dyDescent="0.25">
      <c r="E283" s="11">
        <f t="shared" si="25"/>
        <v>-59</v>
      </c>
      <c r="F283" s="11">
        <f t="shared" si="26"/>
        <v>-5.4267500172502281</v>
      </c>
      <c r="G283" s="11">
        <f t="shared" si="27"/>
        <v>-5.4412976694046487</v>
      </c>
    </row>
    <row r="284" spans="5:7" x14ac:dyDescent="0.25">
      <c r="E284" s="11">
        <f t="shared" si="25"/>
        <v>-58</v>
      </c>
      <c r="F284" s="11">
        <f t="shared" si="26"/>
        <v>-5.3271633167514718</v>
      </c>
      <c r="G284" s="11">
        <f t="shared" si="27"/>
        <v>-5.3347911617278196</v>
      </c>
    </row>
    <row r="285" spans="5:7" x14ac:dyDescent="0.25">
      <c r="E285" s="11">
        <f t="shared" si="25"/>
        <v>-57</v>
      </c>
      <c r="F285" s="11">
        <f t="shared" si="26"/>
        <v>-5.2283965485802382</v>
      </c>
      <c r="G285" s="11">
        <f t="shared" si="27"/>
        <v>-5.2293808272615685</v>
      </c>
    </row>
    <row r="286" spans="5:7" x14ac:dyDescent="0.25">
      <c r="E286" s="11">
        <f t="shared" si="25"/>
        <v>-56</v>
      </c>
      <c r="F286" s="11">
        <f t="shared" si="26"/>
        <v>-5.1304428289627149</v>
      </c>
      <c r="G286" s="11">
        <f t="shared" si="27"/>
        <v>-5.1252884652470776</v>
      </c>
    </row>
    <row r="287" spans="5:7" x14ac:dyDescent="0.25">
      <c r="E287" s="11">
        <f t="shared" ref="E287:E350" si="28">E80</f>
        <v>-55</v>
      </c>
      <c r="F287" s="11">
        <f t="shared" ref="F287:F350" si="29">$H$217*0+E287*$I$217+E287^2*$J$217+E287^3*$K$217+E287^4*$L$217+E287^5*$M$217+E287^6*$N$217+E287^7*$O$217+E287^8*$P$217</f>
        <v>-5.0332922647330403</v>
      </c>
      <c r="G287" s="11">
        <f t="shared" ref="G287:G350" si="30">F80</f>
        <v>-5.0227358749255249</v>
      </c>
    </row>
    <row r="288" spans="5:7" x14ac:dyDescent="0.25">
      <c r="E288" s="11">
        <f t="shared" si="28"/>
        <v>-54</v>
      </c>
      <c r="F288" s="11">
        <f t="shared" si="29"/>
        <v>-4.9369320713010696</v>
      </c>
      <c r="G288" s="11">
        <f t="shared" si="30"/>
        <v>-4.9218932909241087</v>
      </c>
    </row>
    <row r="289" spans="5:7" x14ac:dyDescent="0.25">
      <c r="E289" s="11">
        <f t="shared" si="28"/>
        <v>-53</v>
      </c>
      <c r="F289" s="11">
        <f t="shared" si="29"/>
        <v>-4.8413466948583102</v>
      </c>
      <c r="G289" s="11">
        <f t="shared" si="30"/>
        <v>-4.8227246894141018</v>
      </c>
    </row>
    <row r="290" spans="5:7" x14ac:dyDescent="0.25">
      <c r="E290" s="11">
        <f t="shared" si="28"/>
        <v>-52</v>
      </c>
      <c r="F290" s="11">
        <f t="shared" si="29"/>
        <v>-4.7465179383186618</v>
      </c>
      <c r="G290" s="11">
        <f t="shared" si="30"/>
        <v>-4.7251424819527958</v>
      </c>
    </row>
    <row r="291" spans="5:7" x14ac:dyDescent="0.25">
      <c r="E291" s="11">
        <f t="shared" si="28"/>
        <v>-51</v>
      </c>
      <c r="F291" s="11">
        <f t="shared" si="29"/>
        <v>-4.6524250905040301</v>
      </c>
      <c r="G291" s="11">
        <f t="shared" si="30"/>
        <v>-4.6290590800974831</v>
      </c>
    </row>
    <row r="292" spans="5:7" x14ac:dyDescent="0.25">
      <c r="E292" s="11">
        <f t="shared" si="28"/>
        <v>-50</v>
      </c>
      <c r="F292" s="11">
        <f t="shared" si="29"/>
        <v>-4.5590450580981186</v>
      </c>
      <c r="G292" s="11">
        <f t="shared" si="30"/>
        <v>-4.5343868954054543</v>
      </c>
    </row>
    <row r="293" spans="5:7" x14ac:dyDescent="0.25">
      <c r="E293" s="11">
        <f t="shared" si="28"/>
        <v>-49</v>
      </c>
      <c r="F293" s="11">
        <f t="shared" si="29"/>
        <v>-4.4663524999050788</v>
      </c>
      <c r="G293" s="11">
        <f t="shared" si="30"/>
        <v>-4.4410383394340016</v>
      </c>
    </row>
    <row r="294" spans="5:7" x14ac:dyDescent="0.25">
      <c r="E294" s="11">
        <f t="shared" si="28"/>
        <v>-48</v>
      </c>
      <c r="F294" s="11">
        <f t="shared" si="29"/>
        <v>-4.3743199629630238</v>
      </c>
      <c r="G294" s="11">
        <f t="shared" si="30"/>
        <v>-4.3489258237404167</v>
      </c>
    </row>
    <row r="295" spans="5:7" x14ac:dyDescent="0.25">
      <c r="E295" s="11">
        <f t="shared" si="28"/>
        <v>-47</v>
      </c>
      <c r="F295" s="11">
        <f t="shared" si="29"/>
        <v>-4.2829180200756989</v>
      </c>
      <c r="G295" s="11">
        <f t="shared" si="30"/>
        <v>-4.2579617598819901</v>
      </c>
    </row>
    <row r="296" spans="5:7" x14ac:dyDescent="0.25">
      <c r="E296" s="11">
        <f t="shared" si="28"/>
        <v>-46</v>
      </c>
      <c r="F296" s="11">
        <f t="shared" si="29"/>
        <v>-4.1921154083389736</v>
      </c>
      <c r="G296" s="11">
        <f t="shared" si="30"/>
        <v>-4.1680585594160142</v>
      </c>
    </row>
    <row r="297" spans="5:7" x14ac:dyDescent="0.25">
      <c r="E297" s="11">
        <f t="shared" si="28"/>
        <v>-45</v>
      </c>
      <c r="F297" s="11">
        <f t="shared" si="29"/>
        <v>-4.1018791682521263</v>
      </c>
      <c r="G297" s="11">
        <f t="shared" si="30"/>
        <v>-4.0791286338997796</v>
      </c>
    </row>
    <row r="298" spans="5:7" x14ac:dyDescent="0.25">
      <c r="E298" s="11">
        <f t="shared" si="28"/>
        <v>-44</v>
      </c>
      <c r="F298" s="11">
        <f t="shared" si="29"/>
        <v>-4.0121747830172207</v>
      </c>
      <c r="G298" s="11">
        <f t="shared" si="30"/>
        <v>-3.9910843948905792</v>
      </c>
    </row>
    <row r="299" spans="5:7" x14ac:dyDescent="0.25">
      <c r="E299" s="11">
        <f t="shared" si="28"/>
        <v>-43</v>
      </c>
      <c r="F299" s="11">
        <f t="shared" si="29"/>
        <v>-3.9229663176431635</v>
      </c>
      <c r="G299" s="11">
        <f t="shared" si="30"/>
        <v>-3.9038382539457031</v>
      </c>
    </row>
    <row r="300" spans="5:7" x14ac:dyDescent="0.25">
      <c r="E300" s="11">
        <f t="shared" si="28"/>
        <v>-42</v>
      </c>
      <c r="F300" s="11">
        <f t="shared" si="29"/>
        <v>-3.8342165574844671</v>
      </c>
      <c r="G300" s="11">
        <f t="shared" si="30"/>
        <v>-3.8173026226224436</v>
      </c>
    </row>
    <row r="301" spans="5:7" x14ac:dyDescent="0.25">
      <c r="E301" s="11">
        <f t="shared" si="28"/>
        <v>-41</v>
      </c>
      <c r="F301" s="11">
        <f t="shared" si="29"/>
        <v>-3.7458871458578984</v>
      </c>
      <c r="G301" s="11">
        <f t="shared" si="30"/>
        <v>-3.7313899124780914</v>
      </c>
    </row>
    <row r="302" spans="5:7" x14ac:dyDescent="0.25">
      <c r="E302" s="11">
        <f t="shared" si="28"/>
        <v>-40</v>
      </c>
      <c r="F302" s="11">
        <f t="shared" si="29"/>
        <v>-3.6579387203937079</v>
      </c>
      <c r="G302" s="11">
        <f t="shared" si="30"/>
        <v>-3.6460125350699393</v>
      </c>
    </row>
    <row r="303" spans="5:7" x14ac:dyDescent="0.25">
      <c r="E303" s="11">
        <f t="shared" si="28"/>
        <v>-39</v>
      </c>
      <c r="F303" s="11">
        <f t="shared" si="29"/>
        <v>-3.5703310477912882</v>
      </c>
      <c r="G303" s="11">
        <f t="shared" si="30"/>
        <v>-3.5610829019552779</v>
      </c>
    </row>
    <row r="304" spans="5:7" x14ac:dyDescent="0.25">
      <c r="E304" s="11">
        <f t="shared" si="28"/>
        <v>-38</v>
      </c>
      <c r="F304" s="11">
        <f t="shared" si="29"/>
        <v>-3.4830231566625836</v>
      </c>
      <c r="G304" s="11">
        <f t="shared" si="30"/>
        <v>-3.4765134246913991</v>
      </c>
    </row>
    <row r="305" spans="5:7" x14ac:dyDescent="0.25">
      <c r="E305" s="11">
        <f t="shared" si="28"/>
        <v>-37</v>
      </c>
      <c r="F305" s="11">
        <f t="shared" si="29"/>
        <v>-3.395973468159764</v>
      </c>
      <c r="G305" s="11">
        <f t="shared" si="30"/>
        <v>-3.3922165148355941</v>
      </c>
    </row>
    <row r="306" spans="5:7" x14ac:dyDescent="0.25">
      <c r="E306" s="11">
        <f t="shared" si="28"/>
        <v>-36</v>
      </c>
      <c r="F306" s="11">
        <f t="shared" si="29"/>
        <v>-3.3091399240971344</v>
      </c>
      <c r="G306" s="11">
        <f t="shared" si="30"/>
        <v>-3.3081045839451551</v>
      </c>
    </row>
    <row r="307" spans="5:7" x14ac:dyDescent="0.25">
      <c r="E307" s="11">
        <f t="shared" si="28"/>
        <v>-35</v>
      </c>
      <c r="F307" s="11">
        <f t="shared" si="29"/>
        <v>-3.2224801122904614</v>
      </c>
      <c r="G307" s="11">
        <f t="shared" si="30"/>
        <v>-3.2240900435773723</v>
      </c>
    </row>
    <row r="308" spans="5:7" x14ac:dyDescent="0.25">
      <c r="E308" s="11">
        <f t="shared" si="28"/>
        <v>-34</v>
      </c>
      <c r="F308" s="11">
        <f t="shared" si="29"/>
        <v>-3.1359513888503017</v>
      </c>
      <c r="G308" s="11">
        <f t="shared" si="30"/>
        <v>-3.1400853052895386</v>
      </c>
    </row>
    <row r="309" spans="5:7" x14ac:dyDescent="0.25">
      <c r="E309" s="11">
        <f t="shared" si="28"/>
        <v>-33</v>
      </c>
      <c r="F309" s="11">
        <f t="shared" si="29"/>
        <v>-3.0495109971792047</v>
      </c>
      <c r="G309" s="11">
        <f t="shared" si="30"/>
        <v>-3.0560027806389454</v>
      </c>
    </row>
    <row r="310" spans="5:7" x14ac:dyDescent="0.25">
      <c r="E310" s="11">
        <f t="shared" si="28"/>
        <v>-32</v>
      </c>
      <c r="F310" s="11">
        <f t="shared" si="29"/>
        <v>-2.9631161834360089</v>
      </c>
      <c r="G310" s="11">
        <f t="shared" si="30"/>
        <v>-2.9717548811828829</v>
      </c>
    </row>
    <row r="311" spans="5:7" x14ac:dyDescent="0.25">
      <c r="E311" s="11">
        <f t="shared" si="28"/>
        <v>-31</v>
      </c>
      <c r="F311" s="11">
        <f t="shared" si="29"/>
        <v>-2.8767243082437584</v>
      </c>
      <c r="G311" s="11">
        <f t="shared" si="30"/>
        <v>-2.8872540184786439</v>
      </c>
    </row>
    <row r="312" spans="5:7" x14ac:dyDescent="0.25">
      <c r="E312" s="11">
        <f t="shared" si="28"/>
        <v>-30</v>
      </c>
      <c r="F312" s="11">
        <f t="shared" si="29"/>
        <v>-2.7902929544311097</v>
      </c>
      <c r="G312" s="11">
        <f t="shared" si="30"/>
        <v>-2.80241260408352</v>
      </c>
    </row>
    <row r="313" spans="5:7" x14ac:dyDescent="0.25">
      <c r="E313" s="11">
        <f t="shared" si="28"/>
        <v>-29</v>
      </c>
      <c r="F313" s="11">
        <f t="shared" si="29"/>
        <v>-2.7037800306104076</v>
      </c>
      <c r="G313" s="11">
        <f t="shared" si="30"/>
        <v>-2.7171554801118334</v>
      </c>
    </row>
    <row r="314" spans="5:7" x14ac:dyDescent="0.25">
      <c r="E314" s="11">
        <f t="shared" si="28"/>
        <v>-28</v>
      </c>
      <c r="F314" s="11">
        <f t="shared" si="29"/>
        <v>-2.6171438704089574</v>
      </c>
      <c r="G314" s="11">
        <f t="shared" si="30"/>
        <v>-2.6314572109060377</v>
      </c>
    </row>
    <row r="315" spans="5:7" x14ac:dyDescent="0.25">
      <c r="E315" s="11">
        <f t="shared" si="28"/>
        <v>-27</v>
      </c>
      <c r="F315" s="11">
        <f t="shared" si="29"/>
        <v>-2.530343327183318</v>
      </c>
      <c r="G315" s="11">
        <f t="shared" si="30"/>
        <v>-2.545304791365615</v>
      </c>
    </row>
    <row r="316" spans="5:7" x14ac:dyDescent="0.25">
      <c r="E316" s="11">
        <f t="shared" si="28"/>
        <v>-26</v>
      </c>
      <c r="F316" s="11">
        <f t="shared" si="29"/>
        <v>-2.4433378640598025</v>
      </c>
      <c r="G316" s="11">
        <f t="shared" si="30"/>
        <v>-2.4586852163900517</v>
      </c>
    </row>
    <row r="317" spans="5:7" x14ac:dyDescent="0.25">
      <c r="E317" s="11">
        <f t="shared" si="28"/>
        <v>-25</v>
      </c>
      <c r="F317" s="11">
        <f t="shared" si="29"/>
        <v>-2.3560876391576522</v>
      </c>
      <c r="G317" s="11">
        <f t="shared" si="30"/>
        <v>-2.3715854808788297</v>
      </c>
    </row>
    <row r="318" spans="5:7" x14ac:dyDescent="0.25">
      <c r="E318" s="11">
        <f t="shared" si="28"/>
        <v>-24</v>
      </c>
      <c r="F318" s="11">
        <f t="shared" si="29"/>
        <v>-2.2685535858647308</v>
      </c>
      <c r="G318" s="11">
        <f t="shared" si="30"/>
        <v>-2.2839925797314331</v>
      </c>
    </row>
    <row r="319" spans="5:7" x14ac:dyDescent="0.25">
      <c r="E319" s="11">
        <f t="shared" si="28"/>
        <v>-23</v>
      </c>
      <c r="F319" s="11">
        <f t="shared" si="29"/>
        <v>-2.180697488048855</v>
      </c>
      <c r="G319" s="11">
        <f t="shared" si="30"/>
        <v>-2.1958935078473476</v>
      </c>
    </row>
    <row r="320" spans="5:7" x14ac:dyDescent="0.25">
      <c r="E320" s="11">
        <f t="shared" si="28"/>
        <v>-22</v>
      </c>
      <c r="F320" s="11">
        <f t="shared" si="29"/>
        <v>-2.09248205010126</v>
      </c>
      <c r="G320" s="11">
        <f t="shared" si="30"/>
        <v>-2.1072752601260554</v>
      </c>
    </row>
    <row r="321" spans="5:7" x14ac:dyDescent="0.25">
      <c r="E321" s="11">
        <f t="shared" si="28"/>
        <v>-21</v>
      </c>
      <c r="F321" s="11">
        <f t="shared" si="29"/>
        <v>-2.0038709617219728</v>
      </c>
      <c r="G321" s="11">
        <f t="shared" si="30"/>
        <v>-2.0181248314670404</v>
      </c>
    </row>
    <row r="322" spans="5:7" x14ac:dyDescent="0.25">
      <c r="E322" s="11">
        <f t="shared" si="28"/>
        <v>-20</v>
      </c>
      <c r="F322" s="11">
        <f t="shared" si="29"/>
        <v>-1.9148289573702286</v>
      </c>
      <c r="G322" s="11">
        <f t="shared" si="30"/>
        <v>-1.9284292167697881</v>
      </c>
    </row>
    <row r="323" spans="5:7" x14ac:dyDescent="0.25">
      <c r="E323" s="11">
        <f t="shared" si="28"/>
        <v>-19</v>
      </c>
      <c r="F323" s="11">
        <f t="shared" si="29"/>
        <v>-1.82532187031638</v>
      </c>
      <c r="G323" s="11">
        <f t="shared" si="30"/>
        <v>-1.8381754109337809</v>
      </c>
    </row>
    <row r="324" spans="5:7" x14ac:dyDescent="0.25">
      <c r="E324" s="11">
        <f t="shared" si="28"/>
        <v>-18</v>
      </c>
      <c r="F324" s="11">
        <f t="shared" si="29"/>
        <v>-1.7353166812450582</v>
      </c>
      <c r="G324" s="11">
        <f t="shared" si="30"/>
        <v>-1.7473504088585037</v>
      </c>
    </row>
    <row r="325" spans="5:7" x14ac:dyDescent="0.25">
      <c r="E325" s="11">
        <f t="shared" si="28"/>
        <v>-17</v>
      </c>
      <c r="F325" s="11">
        <f t="shared" si="29"/>
        <v>-1.6447815613727106</v>
      </c>
      <c r="G325" s="11">
        <f t="shared" si="30"/>
        <v>-1.6559412054434399</v>
      </c>
    </row>
    <row r="326" spans="5:7" x14ac:dyDescent="0.25">
      <c r="E326" s="11">
        <f t="shared" si="28"/>
        <v>-16</v>
      </c>
      <c r="F326" s="11">
        <f t="shared" si="29"/>
        <v>-1.5536859100559195</v>
      </c>
      <c r="G326" s="11">
        <f t="shared" si="30"/>
        <v>-1.563934795588074</v>
      </c>
    </row>
    <row r="327" spans="5:7" x14ac:dyDescent="0.25">
      <c r="E327" s="11">
        <f t="shared" si="28"/>
        <v>-15</v>
      </c>
      <c r="F327" s="11">
        <f t="shared" si="29"/>
        <v>-1.4620003868802698</v>
      </c>
      <c r="G327" s="11">
        <f t="shared" si="30"/>
        <v>-1.4713181741918897</v>
      </c>
    </row>
    <row r="328" spans="5:7" x14ac:dyDescent="0.25">
      <c r="E328" s="11">
        <f t="shared" si="28"/>
        <v>-14</v>
      </c>
      <c r="F328" s="11">
        <f t="shared" si="29"/>
        <v>-1.3696969382328341</v>
      </c>
      <c r="G328" s="11">
        <f t="shared" si="30"/>
        <v>-1.3780783361543705</v>
      </c>
    </row>
    <row r="329" spans="5:7" x14ac:dyDescent="0.25">
      <c r="E329" s="11">
        <f t="shared" si="28"/>
        <v>-13</v>
      </c>
      <c r="F329" s="11">
        <f t="shared" si="29"/>
        <v>-1.2767488183746838</v>
      </c>
      <c r="G329" s="11">
        <f t="shared" si="30"/>
        <v>-1.2842022763750012</v>
      </c>
    </row>
    <row r="330" spans="5:7" x14ac:dyDescent="0.25">
      <c r="E330" s="11">
        <f t="shared" si="28"/>
        <v>-12</v>
      </c>
      <c r="F330" s="11">
        <f t="shared" si="29"/>
        <v>-1.1831306050431651</v>
      </c>
      <c r="G330" s="11">
        <f t="shared" si="30"/>
        <v>-1.1896769897532649</v>
      </c>
    </row>
    <row r="331" spans="5:7" x14ac:dyDescent="0.25">
      <c r="E331" s="11">
        <f t="shared" si="28"/>
        <v>-11</v>
      </c>
      <c r="F331" s="11">
        <f t="shared" si="29"/>
        <v>-1.0888182096269783</v>
      </c>
      <c r="G331" s="11">
        <f t="shared" si="30"/>
        <v>-1.0944894711886464</v>
      </c>
    </row>
    <row r="332" spans="5:7" x14ac:dyDescent="0.25">
      <c r="E332" s="11">
        <f t="shared" si="28"/>
        <v>-10</v>
      </c>
      <c r="F332" s="11">
        <f t="shared" si="29"/>
        <v>-0.99378888197046245</v>
      </c>
      <c r="G332" s="11">
        <f t="shared" si="30"/>
        <v>-0.99862671558062899</v>
      </c>
    </row>
    <row r="333" spans="5:7" x14ac:dyDescent="0.25">
      <c r="E333" s="11">
        <f t="shared" si="28"/>
        <v>-9</v>
      </c>
      <c r="F333" s="11">
        <f t="shared" si="29"/>
        <v>-0.89802120987677958</v>
      </c>
      <c r="G333" s="11">
        <f t="shared" si="30"/>
        <v>-0.90207571782869689</v>
      </c>
    </row>
    <row r="334" spans="5:7" x14ac:dyDescent="0.25">
      <c r="E334" s="11">
        <f t="shared" si="28"/>
        <v>-8</v>
      </c>
      <c r="F334" s="11">
        <f t="shared" si="29"/>
        <v>-0.80149511339304569</v>
      </c>
      <c r="G334" s="11">
        <f t="shared" si="30"/>
        <v>-0.80482347283233413</v>
      </c>
    </row>
    <row r="335" spans="5:7" x14ac:dyDescent="0.25">
      <c r="E335" s="11">
        <f t="shared" si="28"/>
        <v>-7</v>
      </c>
      <c r="F335" s="11">
        <f t="shared" si="29"/>
        <v>-0.70419183397375795</v>
      </c>
      <c r="G335" s="11">
        <f t="shared" si="30"/>
        <v>-0.70685697549102444</v>
      </c>
    </row>
    <row r="336" spans="5:7" x14ac:dyDescent="0.25">
      <c r="E336" s="11">
        <f t="shared" si="28"/>
        <v>-6</v>
      </c>
      <c r="F336" s="11">
        <f t="shared" si="29"/>
        <v>-0.60609391863221462</v>
      </c>
      <c r="G336" s="11">
        <f t="shared" si="30"/>
        <v>-0.60816322070425211</v>
      </c>
    </row>
    <row r="337" spans="5:7" x14ac:dyDescent="0.25">
      <c r="E337" s="11">
        <f t="shared" si="28"/>
        <v>-5</v>
      </c>
      <c r="F337" s="11">
        <f t="shared" si="29"/>
        <v>-0.5071851992029337</v>
      </c>
      <c r="G337" s="11">
        <f t="shared" si="30"/>
        <v>-0.50872920337150085</v>
      </c>
    </row>
    <row r="338" spans="5:7" x14ac:dyDescent="0.25">
      <c r="E338" s="11">
        <f t="shared" si="28"/>
        <v>-4</v>
      </c>
      <c r="F338" s="11">
        <f t="shared" si="29"/>
        <v>-0.40745076685141418</v>
      </c>
      <c r="G338" s="11">
        <f t="shared" si="30"/>
        <v>-0.40854191839225468</v>
      </c>
    </row>
    <row r="339" spans="5:7" x14ac:dyDescent="0.25">
      <c r="E339" s="11">
        <f t="shared" si="28"/>
        <v>-3</v>
      </c>
      <c r="F339" s="11">
        <f t="shared" si="29"/>
        <v>-0.30687694198090371</v>
      </c>
      <c r="G339" s="11">
        <f t="shared" si="30"/>
        <v>-0.30758836066599754</v>
      </c>
    </row>
    <row r="340" spans="5:7" x14ac:dyDescent="0.25">
      <c r="E340" s="11">
        <f t="shared" si="28"/>
        <v>-2</v>
      </c>
      <c r="F340" s="11">
        <f t="shared" si="29"/>
        <v>-0.20545123969916135</v>
      </c>
      <c r="G340" s="11">
        <f t="shared" si="30"/>
        <v>-0.20585552509221341</v>
      </c>
    </row>
    <row r="341" spans="5:7" x14ac:dyDescent="0.25">
      <c r="E341" s="11">
        <f t="shared" si="28"/>
        <v>-1</v>
      </c>
      <c r="F341" s="11">
        <f t="shared" si="29"/>
        <v>-0.10316233102153549</v>
      </c>
      <c r="G341" s="11">
        <f t="shared" si="30"/>
        <v>-0.10333040657038624</v>
      </c>
    </row>
    <row r="342" spans="5:7" x14ac:dyDescent="0.25">
      <c r="E342" s="11">
        <f t="shared" si="28"/>
        <v>0</v>
      </c>
      <c r="F342" s="11">
        <f t="shared" si="29"/>
        <v>0</v>
      </c>
      <c r="G342" s="11">
        <f t="shared" si="30"/>
        <v>1.3877787807814457E-17</v>
      </c>
    </row>
    <row r="343" spans="5:7" x14ac:dyDescent="0.25">
      <c r="E343" s="11">
        <f t="shared" si="28"/>
        <v>1</v>
      </c>
      <c r="F343" s="11">
        <f t="shared" si="29"/>
        <v>0.104044903018884</v>
      </c>
      <c r="G343" s="11">
        <f t="shared" si="30"/>
        <v>0.1041477976427107</v>
      </c>
    </row>
    <row r="344" spans="5:7" x14ac:dyDescent="0.25">
      <c r="E344" s="11">
        <f t="shared" si="28"/>
        <v>2</v>
      </c>
      <c r="F344" s="11">
        <f t="shared" si="29"/>
        <v>0.20898051179078375</v>
      </c>
      <c r="G344" s="11">
        <f t="shared" si="30"/>
        <v>0.20912148107450879</v>
      </c>
    </row>
    <row r="345" spans="5:7" x14ac:dyDescent="0.25">
      <c r="E345" s="11">
        <f t="shared" si="28"/>
        <v>3</v>
      </c>
      <c r="F345" s="11">
        <f t="shared" si="29"/>
        <v>0.31481399799556747</v>
      </c>
      <c r="G345" s="11">
        <f t="shared" si="30"/>
        <v>0.31492864293540634</v>
      </c>
    </row>
    <row r="346" spans="5:7" x14ac:dyDescent="0.25">
      <c r="E346" s="11">
        <f t="shared" si="28"/>
        <v>4</v>
      </c>
      <c r="F346" s="11">
        <f t="shared" si="29"/>
        <v>0.42155162824148601</v>
      </c>
      <c r="G346" s="11">
        <f t="shared" si="30"/>
        <v>0.42157687586541559</v>
      </c>
    </row>
    <row r="347" spans="5:7" x14ac:dyDescent="0.25">
      <c r="E347" s="11">
        <f t="shared" si="28"/>
        <v>5</v>
      </c>
      <c r="F347" s="11">
        <f t="shared" si="29"/>
        <v>0.5291988239952905</v>
      </c>
      <c r="G347" s="11">
        <f t="shared" si="30"/>
        <v>0.52907377250454868</v>
      </c>
    </row>
    <row r="348" spans="5:7" x14ac:dyDescent="0.25">
      <c r="E348" s="11">
        <f t="shared" si="28"/>
        <v>6</v>
      </c>
      <c r="F348" s="11">
        <f t="shared" si="29"/>
        <v>0.6377602241686865</v>
      </c>
      <c r="G348" s="11">
        <f t="shared" si="30"/>
        <v>0.6374269254928181</v>
      </c>
    </row>
    <row r="349" spans="5:7" x14ac:dyDescent="0.25">
      <c r="E349" s="11">
        <f t="shared" si="28"/>
        <v>7</v>
      </c>
      <c r="F349" s="11">
        <f t="shared" si="29"/>
        <v>0.74723975007819943</v>
      </c>
      <c r="G349" s="11">
        <f t="shared" si="30"/>
        <v>0.74664392747023567</v>
      </c>
    </row>
    <row r="350" spans="5:7" x14ac:dyDescent="0.25">
      <c r="E350" s="11">
        <f t="shared" si="28"/>
        <v>8</v>
      </c>
      <c r="F350" s="11">
        <f t="shared" si="29"/>
        <v>0.85764067248219855</v>
      </c>
      <c r="G350" s="11">
        <f t="shared" si="30"/>
        <v>0.85673237107681377</v>
      </c>
    </row>
    <row r="351" spans="5:7" x14ac:dyDescent="0.25">
      <c r="E351" s="11">
        <f t="shared" ref="E351:E414" si="31">E144</f>
        <v>9</v>
      </c>
      <c r="F351" s="11">
        <f t="shared" ref="F351:F414" si="32">$H$217*0+E351*$I$217+E351^2*$J$217+E351^3*$K$217+E351^4*$L$217+E351^5*$M$217+E351^6*$N$217+E351^7*$O$217+E351^8*$P$217</f>
        <v>0.96896568038550368</v>
      </c>
      <c r="G351" s="11">
        <f t="shared" ref="G351:G414" si="33">F144</f>
        <v>0.96769984895256456</v>
      </c>
    </row>
    <row r="352" spans="5:7" x14ac:dyDescent="0.25">
      <c r="E352" s="11">
        <f t="shared" si="31"/>
        <v>10</v>
      </c>
      <c r="F352" s="11">
        <f t="shared" si="32"/>
        <v>1.0812169512886709</v>
      </c>
      <c r="G352" s="11">
        <f t="shared" si="33"/>
        <v>1.0795539537375003</v>
      </c>
    </row>
    <row r="353" spans="5:7" x14ac:dyDescent="0.25">
      <c r="E353" s="11">
        <f t="shared" si="31"/>
        <v>11</v>
      </c>
      <c r="F353" s="11">
        <f t="shared" si="32"/>
        <v>1.1943962225457243</v>
      </c>
      <c r="G353" s="11">
        <f t="shared" si="33"/>
        <v>1.1923022780716332</v>
      </c>
    </row>
    <row r="354" spans="5:7" x14ac:dyDescent="0.25">
      <c r="E354" s="11">
        <f t="shared" si="31"/>
        <v>12</v>
      </c>
      <c r="F354" s="11">
        <f t="shared" si="32"/>
        <v>1.3085048634807861</v>
      </c>
      <c r="G354" s="11">
        <f t="shared" si="33"/>
        <v>1.3059524145949752</v>
      </c>
    </row>
    <row r="355" spans="5:7" x14ac:dyDescent="0.25">
      <c r="E355" s="11">
        <f t="shared" si="31"/>
        <v>13</v>
      </c>
      <c r="F355" s="11">
        <f t="shared" si="32"/>
        <v>1.4235439479007106</v>
      </c>
      <c r="G355" s="11">
        <f t="shared" si="33"/>
        <v>1.4205119559475388</v>
      </c>
    </row>
    <row r="356" spans="5:7" x14ac:dyDescent="0.25">
      <c r="E356" s="11">
        <f t="shared" si="31"/>
        <v>14</v>
      </c>
      <c r="F356" s="11">
        <f t="shared" si="32"/>
        <v>1.5395143266275284</v>
      </c>
      <c r="G356" s="11">
        <f t="shared" si="33"/>
        <v>1.5359884947693361</v>
      </c>
    </row>
    <row r="357" spans="5:7" x14ac:dyDescent="0.25">
      <c r="E357" s="11">
        <f t="shared" si="31"/>
        <v>15</v>
      </c>
      <c r="F357" s="11">
        <f t="shared" si="32"/>
        <v>1.6564166996611589</v>
      </c>
      <c r="G357" s="11">
        <f t="shared" si="33"/>
        <v>1.6523896237003792</v>
      </c>
    </row>
    <row r="358" spans="5:7" x14ac:dyDescent="0.25">
      <c r="E358" s="11">
        <f t="shared" si="31"/>
        <v>16</v>
      </c>
      <c r="F358" s="11">
        <f t="shared" si="32"/>
        <v>1.7742516875695291</v>
      </c>
      <c r="G358" s="11">
        <f t="shared" si="33"/>
        <v>1.7697229353806805</v>
      </c>
    </row>
    <row r="359" spans="5:7" x14ac:dyDescent="0.25">
      <c r="E359" s="11">
        <f t="shared" si="31"/>
        <v>17</v>
      </c>
      <c r="F359" s="11">
        <f t="shared" si="32"/>
        <v>1.893019901689923</v>
      </c>
      <c r="G359" s="11">
        <f t="shared" si="33"/>
        <v>1.8879960224502519</v>
      </c>
    </row>
    <row r="360" spans="5:7" x14ac:dyDescent="0.25">
      <c r="E360" s="11">
        <f t="shared" si="31"/>
        <v>18</v>
      </c>
      <c r="F360" s="11">
        <f t="shared" si="32"/>
        <v>2.0127220127120369</v>
      </c>
      <c r="G360" s="11">
        <f t="shared" si="33"/>
        <v>2.0072164775491057</v>
      </c>
    </row>
    <row r="361" spans="5:7" x14ac:dyDescent="0.25">
      <c r="E361" s="11">
        <f t="shared" si="31"/>
        <v>19</v>
      </c>
      <c r="F361" s="11">
        <f t="shared" si="32"/>
        <v>2.1333588171999165</v>
      </c>
      <c r="G361" s="11">
        <f t="shared" si="33"/>
        <v>2.1273918933172546</v>
      </c>
    </row>
    <row r="362" spans="5:7" x14ac:dyDescent="0.25">
      <c r="E362" s="11">
        <f t="shared" si="31"/>
        <v>20</v>
      </c>
      <c r="F362" s="11">
        <f t="shared" si="32"/>
        <v>2.2549313015965944</v>
      </c>
      <c r="G362" s="11">
        <f t="shared" si="33"/>
        <v>2.2485298623947099</v>
      </c>
    </row>
    <row r="363" spans="5:7" x14ac:dyDescent="0.25">
      <c r="E363" s="11">
        <f t="shared" si="31"/>
        <v>21</v>
      </c>
      <c r="F363" s="11">
        <f t="shared" si="32"/>
        <v>2.3774407032419607</v>
      </c>
      <c r="G363" s="11">
        <f t="shared" si="33"/>
        <v>2.3706379774214845</v>
      </c>
    </row>
    <row r="364" spans="5:7" x14ac:dyDescent="0.25">
      <c r="E364" s="11">
        <f t="shared" si="31"/>
        <v>22</v>
      </c>
      <c r="F364" s="11">
        <f t="shared" si="32"/>
        <v>2.5008885679210278</v>
      </c>
      <c r="G364" s="11">
        <f t="shared" si="33"/>
        <v>2.4937238310375904</v>
      </c>
    </row>
    <row r="365" spans="5:7" x14ac:dyDescent="0.25">
      <c r="E365" s="11">
        <f t="shared" si="31"/>
        <v>23</v>
      </c>
      <c r="F365" s="11">
        <f t="shared" si="32"/>
        <v>2.6252768034464617</v>
      </c>
      <c r="G365" s="11">
        <f t="shared" si="33"/>
        <v>2.6177950158830394</v>
      </c>
    </row>
    <row r="366" spans="5:7" x14ac:dyDescent="0.25">
      <c r="E366" s="11">
        <f t="shared" si="31"/>
        <v>24</v>
      </c>
      <c r="F366" s="11">
        <f t="shared" si="32"/>
        <v>2.7506077287659068</v>
      </c>
      <c r="G366" s="11">
        <f t="shared" si="33"/>
        <v>2.7428591245978446</v>
      </c>
    </row>
    <row r="367" spans="5:7" x14ac:dyDescent="0.25">
      <c r="E367" s="11">
        <f t="shared" si="31"/>
        <v>25</v>
      </c>
      <c r="F367" s="11">
        <f t="shared" si="32"/>
        <v>2.8768841180713181</v>
      </c>
      <c r="G367" s="11">
        <f t="shared" si="33"/>
        <v>2.8689237498220175</v>
      </c>
    </row>
    <row r="368" spans="5:7" x14ac:dyDescent="0.25">
      <c r="E368" s="11">
        <f t="shared" si="31"/>
        <v>26</v>
      </c>
      <c r="F368" s="11">
        <f t="shared" si="32"/>
        <v>3.0041092393741571</v>
      </c>
      <c r="G368" s="11">
        <f t="shared" si="33"/>
        <v>2.9959964841955702</v>
      </c>
    </row>
    <row r="369" spans="5:7" x14ac:dyDescent="0.25">
      <c r="E369" s="11">
        <f t="shared" si="31"/>
        <v>27</v>
      </c>
      <c r="F369" s="11">
        <f t="shared" si="32"/>
        <v>3.1322868869970399</v>
      </c>
      <c r="G369" s="11">
        <f t="shared" si="33"/>
        <v>3.1240849203585155</v>
      </c>
    </row>
    <row r="370" spans="5:7" x14ac:dyDescent="0.25">
      <c r="E370" s="11">
        <f t="shared" si="31"/>
        <v>28</v>
      </c>
      <c r="F370" s="11">
        <f t="shared" si="32"/>
        <v>3.2614214074190335</v>
      </c>
      <c r="G370" s="11">
        <f t="shared" si="33"/>
        <v>3.2531966509508652</v>
      </c>
    </row>
    <row r="371" spans="5:7" x14ac:dyDescent="0.25">
      <c r="E371" s="11">
        <f t="shared" si="31"/>
        <v>29</v>
      </c>
      <c r="F371" s="11">
        <f t="shared" si="32"/>
        <v>3.3915177178985232</v>
      </c>
      <c r="G371" s="11">
        <f t="shared" si="33"/>
        <v>3.3833392686126311</v>
      </c>
    </row>
    <row r="372" spans="5:7" x14ac:dyDescent="0.25">
      <c r="E372" s="11">
        <f t="shared" si="31"/>
        <v>30</v>
      </c>
      <c r="F372" s="11">
        <f t="shared" si="32"/>
        <v>3.5225813172842195</v>
      </c>
      <c r="G372" s="11">
        <f t="shared" si="33"/>
        <v>3.5145203659838264</v>
      </c>
    </row>
    <row r="373" spans="5:7" x14ac:dyDescent="0.25">
      <c r="E373" s="11">
        <f t="shared" si="31"/>
        <v>31</v>
      </c>
      <c r="F373" s="11">
        <f t="shared" si="32"/>
        <v>3.6546182884115432</v>
      </c>
      <c r="G373" s="11">
        <f t="shared" si="33"/>
        <v>3.6467475357044621</v>
      </c>
    </row>
    <row r="374" spans="5:7" x14ac:dyDescent="0.25">
      <c r="E374" s="11">
        <f t="shared" si="31"/>
        <v>32</v>
      </c>
      <c r="F374" s="11">
        <f t="shared" si="32"/>
        <v>3.78763529146834</v>
      </c>
      <c r="G374" s="11">
        <f t="shared" si="33"/>
        <v>3.7800283704145516</v>
      </c>
    </row>
    <row r="375" spans="5:7" x14ac:dyDescent="0.25">
      <c r="E375" s="11">
        <f t="shared" si="31"/>
        <v>33</v>
      </c>
      <c r="F375" s="11">
        <f t="shared" si="32"/>
        <v>3.9216395477004884</v>
      </c>
      <c r="G375" s="11">
        <f t="shared" si="33"/>
        <v>3.9143704627541065</v>
      </c>
    </row>
    <row r="376" spans="5:7" x14ac:dyDescent="0.25">
      <c r="E376" s="11">
        <f t="shared" si="31"/>
        <v>34</v>
      </c>
      <c r="F376" s="11">
        <f t="shared" si="32"/>
        <v>4.0566388128146986</v>
      </c>
      <c r="G376" s="11">
        <f t="shared" si="33"/>
        <v>4.0497814053631389</v>
      </c>
    </row>
    <row r="377" spans="5:7" x14ac:dyDescent="0.25">
      <c r="E377" s="11">
        <f t="shared" si="31"/>
        <v>35</v>
      </c>
      <c r="F377" s="11">
        <f t="shared" si="32"/>
        <v>4.1926413394224422</v>
      </c>
      <c r="G377" s="11">
        <f t="shared" si="33"/>
        <v>4.1862687908816607</v>
      </c>
    </row>
    <row r="378" spans="5:7" x14ac:dyDescent="0.25">
      <c r="E378" s="11">
        <f t="shared" si="31"/>
        <v>36</v>
      </c>
      <c r="F378" s="11">
        <f t="shared" si="32"/>
        <v>4.3296558278556114</v>
      </c>
      <c r="G378" s="11">
        <f t="shared" si="33"/>
        <v>4.323840211949685</v>
      </c>
    </row>
    <row r="379" spans="5:7" x14ac:dyDescent="0.25">
      <c r="E379" s="11">
        <f t="shared" si="31"/>
        <v>37</v>
      </c>
      <c r="F379" s="11">
        <f t="shared" si="32"/>
        <v>4.4676913646712366</v>
      </c>
      <c r="G379" s="11">
        <f t="shared" si="33"/>
        <v>4.4625032612072237</v>
      </c>
    </row>
    <row r="380" spans="5:7" x14ac:dyDescent="0.25">
      <c r="E380" s="11">
        <f t="shared" si="31"/>
        <v>38</v>
      </c>
      <c r="F380" s="11">
        <f t="shared" si="32"/>
        <v>4.6067573481492055</v>
      </c>
      <c r="G380" s="11">
        <f t="shared" si="33"/>
        <v>4.6022655312942886</v>
      </c>
    </row>
    <row r="381" spans="5:7" x14ac:dyDescent="0.25">
      <c r="E381" s="11">
        <f t="shared" si="31"/>
        <v>39</v>
      </c>
      <c r="F381" s="11">
        <f t="shared" si="32"/>
        <v>4.7468634000736261</v>
      </c>
      <c r="G381" s="11">
        <f t="shared" si="33"/>
        <v>4.7431346148508924</v>
      </c>
    </row>
    <row r="382" spans="5:7" x14ac:dyDescent="0.25">
      <c r="E382" s="11">
        <f t="shared" si="31"/>
        <v>40</v>
      </c>
      <c r="F382" s="11">
        <f t="shared" si="32"/>
        <v>4.8880192630751544</v>
      </c>
      <c r="G382" s="11">
        <f t="shared" si="33"/>
        <v>4.885118104517046</v>
      </c>
    </row>
    <row r="383" spans="5:7" x14ac:dyDescent="0.25">
      <c r="E383" s="11">
        <f t="shared" si="31"/>
        <v>41</v>
      </c>
      <c r="F383" s="11">
        <f t="shared" si="32"/>
        <v>5.0302346827982873</v>
      </c>
      <c r="G383" s="11">
        <f t="shared" si="33"/>
        <v>5.028223592932763</v>
      </c>
    </row>
    <row r="384" spans="5:7" x14ac:dyDescent="0.25">
      <c r="E384" s="11">
        <f t="shared" si="31"/>
        <v>42</v>
      </c>
      <c r="F384" s="11">
        <f t="shared" si="32"/>
        <v>5.1735192741442519</v>
      </c>
      <c r="G384" s="11">
        <f t="shared" si="33"/>
        <v>5.1724586727380562</v>
      </c>
    </row>
    <row r="385" spans="5:7" x14ac:dyDescent="0.25">
      <c r="E385" s="11">
        <f t="shared" si="31"/>
        <v>43</v>
      </c>
      <c r="F385" s="11">
        <f t="shared" si="32"/>
        <v>5.3178823708268697</v>
      </c>
      <c r="G385" s="11">
        <f t="shared" si="33"/>
        <v>5.3178309365729364</v>
      </c>
    </row>
    <row r="386" spans="5:7" x14ac:dyDescent="0.25">
      <c r="E386" s="11">
        <f t="shared" si="31"/>
        <v>44</v>
      </c>
      <c r="F386" s="11">
        <f t="shared" si="32"/>
        <v>5.4633328574653701</v>
      </c>
      <c r="G386" s="11">
        <f t="shared" si="33"/>
        <v>5.4643479770774155</v>
      </c>
    </row>
    <row r="387" spans="5:7" x14ac:dyDescent="0.25">
      <c r="E387" s="11">
        <f t="shared" si="31"/>
        <v>45</v>
      </c>
      <c r="F387" s="11">
        <f t="shared" si="32"/>
        <v>5.6098789834248572</v>
      </c>
      <c r="G387" s="11">
        <f t="shared" si="33"/>
        <v>5.6120173868915071</v>
      </c>
    </row>
    <row r="388" spans="5:7" x14ac:dyDescent="0.25">
      <c r="E388" s="11">
        <f t="shared" si="31"/>
        <v>46</v>
      </c>
      <c r="F388" s="11">
        <f t="shared" si="32"/>
        <v>5.7575281576017998</v>
      </c>
      <c r="G388" s="11">
        <f t="shared" si="33"/>
        <v>5.7608399695868888</v>
      </c>
    </row>
    <row r="389" spans="5:7" x14ac:dyDescent="0.25">
      <c r="E389" s="11">
        <f t="shared" si="31"/>
        <v>47</v>
      </c>
      <c r="F389" s="11">
        <f t="shared" si="32"/>
        <v>5.9062867233385381</v>
      </c>
      <c r="G389" s="11">
        <f t="shared" si="33"/>
        <v>5.9107893724619052</v>
      </c>
    </row>
    <row r="390" spans="5:7" x14ac:dyDescent="0.25">
      <c r="E390" s="11">
        <f t="shared" si="31"/>
        <v>48</v>
      </c>
      <c r="F390" s="11">
        <f t="shared" si="32"/>
        <v>6.0561597126375704</v>
      </c>
      <c r="G390" s="11">
        <f t="shared" si="33"/>
        <v>6.0618324537465682</v>
      </c>
    </row>
    <row r="391" spans="5:7" x14ac:dyDescent="0.25">
      <c r="E391" s="11">
        <f t="shared" si="31"/>
        <v>49</v>
      </c>
      <c r="F391" s="11">
        <f t="shared" si="32"/>
        <v>6.2071505788329331</v>
      </c>
      <c r="G391" s="11">
        <f t="shared" si="33"/>
        <v>6.2139360716708865</v>
      </c>
    </row>
    <row r="392" spans="5:7" x14ac:dyDescent="0.25">
      <c r="E392" s="11">
        <f t="shared" si="31"/>
        <v>50</v>
      </c>
      <c r="F392" s="11">
        <f t="shared" si="32"/>
        <v>6.3592609068628088</v>
      </c>
      <c r="G392" s="11">
        <f t="shared" si="33"/>
        <v>6.3670670844648702</v>
      </c>
    </row>
    <row r="393" spans="5:7" x14ac:dyDescent="0.25">
      <c r="E393" s="11">
        <f t="shared" si="31"/>
        <v>51</v>
      </c>
      <c r="F393" s="11">
        <f t="shared" si="32"/>
        <v>6.5124901002740145</v>
      </c>
      <c r="G393" s="11">
        <f t="shared" si="33"/>
        <v>6.5211923503585334</v>
      </c>
    </row>
    <row r="394" spans="5:7" x14ac:dyDescent="0.25">
      <c r="E394" s="11">
        <f t="shared" si="31"/>
        <v>52</v>
      </c>
      <c r="F394" s="11">
        <f t="shared" si="32"/>
        <v>6.6668350440758148</v>
      </c>
      <c r="G394" s="11">
        <f t="shared" si="33"/>
        <v>6.6762787275818845</v>
      </c>
    </row>
    <row r="395" spans="5:7" x14ac:dyDescent="0.25">
      <c r="E395" s="11">
        <f t="shared" si="31"/>
        <v>53</v>
      </c>
      <c r="F395" s="11">
        <f t="shared" si="32"/>
        <v>6.8222897425471549</v>
      </c>
      <c r="G395" s="11">
        <f t="shared" si="33"/>
        <v>6.8322930743649355</v>
      </c>
    </row>
    <row r="396" spans="5:7" x14ac:dyDescent="0.25">
      <c r="E396" s="11">
        <f t="shared" si="31"/>
        <v>54</v>
      </c>
      <c r="F396" s="11">
        <f t="shared" si="32"/>
        <v>6.9788449310879885</v>
      </c>
      <c r="G396" s="11">
        <f t="shared" si="33"/>
        <v>6.9892022489376959</v>
      </c>
    </row>
    <row r="397" spans="5:7" x14ac:dyDescent="0.25">
      <c r="E397" s="11">
        <f t="shared" si="31"/>
        <v>55</v>
      </c>
      <c r="F397" s="11">
        <f t="shared" si="32"/>
        <v>7.1364876611922323</v>
      </c>
      <c r="G397" s="11">
        <f t="shared" si="33"/>
        <v>7.1469731095301769</v>
      </c>
    </row>
    <row r="398" spans="5:7" x14ac:dyDescent="0.25">
      <c r="E398" s="11">
        <f t="shared" si="31"/>
        <v>56</v>
      </c>
      <c r="F398" s="11">
        <f t="shared" si="32"/>
        <v>7.2952008576063347</v>
      </c>
      <c r="G398" s="11">
        <f t="shared" si="33"/>
        <v>7.3055725143723897</v>
      </c>
    </row>
    <row r="399" spans="5:7" x14ac:dyDescent="0.25">
      <c r="E399" s="11">
        <f t="shared" si="31"/>
        <v>57</v>
      </c>
      <c r="F399" s="11">
        <f t="shared" si="32"/>
        <v>7.4549628467243378</v>
      </c>
      <c r="G399" s="11">
        <f t="shared" si="33"/>
        <v>7.4649673216943437</v>
      </c>
    </row>
    <row r="400" spans="5:7" x14ac:dyDescent="0.25">
      <c r="E400" s="11">
        <f t="shared" si="31"/>
        <v>58</v>
      </c>
      <c r="F400" s="11">
        <f t="shared" si="32"/>
        <v>7.6157468552567771</v>
      </c>
      <c r="G400" s="11">
        <f t="shared" si="33"/>
        <v>7.625124389726051</v>
      </c>
    </row>
    <row r="401" spans="5:7" x14ac:dyDescent="0.25">
      <c r="E401" s="11">
        <f t="shared" si="31"/>
        <v>59</v>
      </c>
      <c r="F401" s="11">
        <f t="shared" si="32"/>
        <v>7.7775204781976317</v>
      </c>
      <c r="G401" s="11">
        <f t="shared" si="33"/>
        <v>7.7860105766975227</v>
      </c>
    </row>
    <row r="402" spans="5:7" x14ac:dyDescent="0.25">
      <c r="E402" s="11">
        <f t="shared" si="31"/>
        <v>60</v>
      </c>
      <c r="F402" s="11">
        <f t="shared" si="32"/>
        <v>7.9402451151000504</v>
      </c>
      <c r="G402" s="11">
        <f t="shared" si="33"/>
        <v>7.9475927408387683</v>
      </c>
    </row>
    <row r="403" spans="5:7" x14ac:dyDescent="0.25">
      <c r="E403" s="11">
        <f t="shared" si="31"/>
        <v>61</v>
      </c>
      <c r="F403" s="11">
        <f t="shared" si="32"/>
        <v>8.1038753736583633</v>
      </c>
      <c r="G403" s="11">
        <f t="shared" si="33"/>
        <v>8.109837740379799</v>
      </c>
    </row>
    <row r="404" spans="5:7" x14ac:dyDescent="0.25">
      <c r="E404" s="11">
        <f t="shared" si="31"/>
        <v>62</v>
      </c>
      <c r="F404" s="11">
        <f t="shared" si="32"/>
        <v>8.2683584395804957</v>
      </c>
      <c r="G404" s="11">
        <f t="shared" si="33"/>
        <v>8.2727124335506268</v>
      </c>
    </row>
    <row r="405" spans="5:7" x14ac:dyDescent="0.25">
      <c r="E405" s="11">
        <f t="shared" si="31"/>
        <v>63</v>
      </c>
      <c r="F405" s="11">
        <f t="shared" si="32"/>
        <v>8.4336334117216332</v>
      </c>
      <c r="G405" s="11">
        <f t="shared" si="33"/>
        <v>8.4361836785812585</v>
      </c>
    </row>
    <row r="406" spans="5:7" x14ac:dyDescent="0.25">
      <c r="E406" s="11">
        <f t="shared" si="31"/>
        <v>64</v>
      </c>
      <c r="F406" s="11">
        <f t="shared" si="32"/>
        <v>8.5996306014365764</v>
      </c>
      <c r="G406" s="11">
        <f t="shared" si="33"/>
        <v>8.6002183337017097</v>
      </c>
    </row>
    <row r="407" spans="5:7" x14ac:dyDescent="0.25">
      <c r="E407" s="11">
        <f t="shared" si="31"/>
        <v>65</v>
      </c>
      <c r="F407" s="11">
        <f t="shared" si="32"/>
        <v>8.7662707950950232</v>
      </c>
      <c r="G407" s="11">
        <f t="shared" si="33"/>
        <v>8.764783257141989</v>
      </c>
    </row>
    <row r="408" spans="5:7" x14ac:dyDescent="0.25">
      <c r="E408" s="11">
        <f t="shared" si="31"/>
        <v>66</v>
      </c>
      <c r="F408" s="11">
        <f t="shared" si="32"/>
        <v>8.9334644786905226</v>
      </c>
      <c r="G408" s="11">
        <f t="shared" si="33"/>
        <v>8.9298453071321049</v>
      </c>
    </row>
    <row r="409" spans="5:7" x14ac:dyDescent="0.25">
      <c r="E409" s="11">
        <f t="shared" si="31"/>
        <v>67</v>
      </c>
      <c r="F409" s="11">
        <f t="shared" si="32"/>
        <v>9.1011110234607191</v>
      </c>
      <c r="G409" s="11">
        <f t="shared" si="33"/>
        <v>9.095371341902073</v>
      </c>
    </row>
    <row r="410" spans="5:7" x14ac:dyDescent="0.25">
      <c r="E410" s="11">
        <f t="shared" si="31"/>
        <v>68</v>
      </c>
      <c r="F410" s="11">
        <f t="shared" si="32"/>
        <v>9.2690978314229842</v>
      </c>
      <c r="G410" s="11">
        <f t="shared" si="33"/>
        <v>9.2613282196819</v>
      </c>
    </row>
    <row r="411" spans="5:7" x14ac:dyDescent="0.25">
      <c r="E411" s="11">
        <f t="shared" si="31"/>
        <v>69</v>
      </c>
      <c r="F411" s="11">
        <f t="shared" si="32"/>
        <v>9.4372994397163321</v>
      </c>
      <c r="G411" s="11">
        <f t="shared" si="33"/>
        <v>9.4276827987015999</v>
      </c>
    </row>
    <row r="412" spans="5:7" x14ac:dyDescent="0.25">
      <c r="E412" s="11">
        <f t="shared" si="31"/>
        <v>70</v>
      </c>
      <c r="F412" s="11">
        <f t="shared" si="32"/>
        <v>9.6055765826271706</v>
      </c>
      <c r="G412" s="11">
        <f t="shared" si="33"/>
        <v>9.5944019371911793</v>
      </c>
    </row>
    <row r="413" spans="5:7" x14ac:dyDescent="0.25">
      <c r="E413" s="11">
        <f t="shared" si="31"/>
        <v>71</v>
      </c>
      <c r="F413" s="11">
        <f t="shared" si="32"/>
        <v>9.7737752101630804</v>
      </c>
      <c r="G413" s="11">
        <f t="shared" si="33"/>
        <v>9.7614524933806521</v>
      </c>
    </row>
    <row r="414" spans="5:7" x14ac:dyDescent="0.25">
      <c r="E414" s="11">
        <f t="shared" si="31"/>
        <v>72</v>
      </c>
      <c r="F414" s="11">
        <f t="shared" si="32"/>
        <v>9.9417254620254543</v>
      </c>
      <c r="G414" s="11">
        <f t="shared" si="33"/>
        <v>9.9288013255000287</v>
      </c>
    </row>
    <row r="415" spans="5:7" x14ac:dyDescent="0.25">
      <c r="E415" s="11">
        <f t="shared" ref="E415:E422" si="34">E208</f>
        <v>73</v>
      </c>
      <c r="F415" s="11">
        <f t="shared" ref="F415:F422" si="35">$H$217*0+E415*$I$217+E415^2*$J$217+E415^3*$K$217+E415^4*$L$217+E415^5*$M$217+E415^6*$N$217+E415^7*$O$217+E415^8*$P$217</f>
        <v>10.109240595818671</v>
      </c>
      <c r="G415" s="11">
        <f t="shared" ref="G415:G422" si="36">F208</f>
        <v>10.096415291779321</v>
      </c>
    </row>
    <row r="416" spans="5:7" x14ac:dyDescent="0.25">
      <c r="E416" s="11">
        <f t="shared" si="34"/>
        <v>74</v>
      </c>
      <c r="F416" s="11">
        <f t="shared" si="35"/>
        <v>10.276115868319911</v>
      </c>
      <c r="G416" s="11">
        <f t="shared" si="36"/>
        <v>10.264261250448534</v>
      </c>
    </row>
    <row r="417" spans="5:7" x14ac:dyDescent="0.25">
      <c r="E417" s="11">
        <f t="shared" si="34"/>
        <v>75</v>
      </c>
      <c r="F417" s="11">
        <f t="shared" si="35"/>
        <v>10.442127368620573</v>
      </c>
      <c r="G417" s="11">
        <f t="shared" si="36"/>
        <v>10.432306059737686</v>
      </c>
    </row>
    <row r="418" spans="5:7" x14ac:dyDescent="0.25">
      <c r="E418" s="11">
        <f t="shared" si="34"/>
        <v>76</v>
      </c>
      <c r="F418" s="11">
        <f t="shared" si="35"/>
        <v>10.60703080193692</v>
      </c>
      <c r="G418" s="11">
        <f t="shared" si="36"/>
        <v>10.600516577876782</v>
      </c>
    </row>
    <row r="419" spans="5:7" x14ac:dyDescent="0.25">
      <c r="E419" s="11">
        <f t="shared" si="34"/>
        <v>77</v>
      </c>
      <c r="F419" s="11">
        <f t="shared" si="35"/>
        <v>10.770560222874062</v>
      </c>
      <c r="G419" s="11">
        <f t="shared" si="36"/>
        <v>10.768859663095837</v>
      </c>
    </row>
    <row r="420" spans="5:7" x14ac:dyDescent="0.25">
      <c r="E420" s="11">
        <f t="shared" si="34"/>
        <v>78</v>
      </c>
      <c r="F420" s="11">
        <f t="shared" si="35"/>
        <v>10.932426716914378</v>
      </c>
      <c r="G420" s="11">
        <f t="shared" si="36"/>
        <v>10.937302173624859</v>
      </c>
    </row>
    <row r="421" spans="5:7" x14ac:dyDescent="0.25">
      <c r="E421" s="11">
        <f t="shared" si="34"/>
        <v>79</v>
      </c>
      <c r="F421" s="11">
        <f t="shared" si="35"/>
        <v>11.092317028887845</v>
      </c>
      <c r="G421" s="11">
        <f t="shared" si="36"/>
        <v>11.105810967693859</v>
      </c>
    </row>
    <row r="422" spans="5:7" x14ac:dyDescent="0.25">
      <c r="E422" s="11">
        <f t="shared" si="34"/>
        <v>80</v>
      </c>
      <c r="F422" s="11">
        <f t="shared" si="35"/>
        <v>11.249892137168601</v>
      </c>
      <c r="G422" s="11">
        <f t="shared" si="36"/>
        <v>11.274352903532849</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2022-01-09T09:00:21Z</dcterms:modified>
</cp:coreProperties>
</file>