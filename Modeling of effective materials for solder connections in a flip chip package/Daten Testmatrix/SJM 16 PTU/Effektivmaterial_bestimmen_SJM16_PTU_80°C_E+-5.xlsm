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bestimmen'!$D$126:$H$126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2" i="11" s="1"/>
  <c r="O21" i="11"/>
  <c r="N21" i="11"/>
  <c r="P21" i="11" s="1"/>
  <c r="O20" i="11"/>
  <c r="N20" i="11"/>
  <c r="O19" i="11"/>
  <c r="P19" i="11" s="1"/>
  <c r="N19" i="11"/>
  <c r="O18" i="11"/>
  <c r="N18" i="11"/>
  <c r="P18" i="11" s="1"/>
  <c r="O17" i="11"/>
  <c r="N17" i="11"/>
  <c r="P17" i="11" s="1"/>
  <c r="O16" i="11"/>
  <c r="N16" i="11"/>
  <c r="P16" i="11" s="1"/>
  <c r="P15" i="11"/>
  <c r="O15" i="11"/>
  <c r="N15" i="11"/>
  <c r="O14" i="11"/>
  <c r="N14" i="11"/>
  <c r="O13" i="11"/>
  <c r="P13" i="11" s="1"/>
  <c r="N13" i="11"/>
  <c r="O12" i="11"/>
  <c r="N12" i="11"/>
  <c r="P12" i="11" s="1"/>
  <c r="O11" i="11"/>
  <c r="N11" i="11"/>
  <c r="P11" i="11" s="1"/>
  <c r="O10" i="11"/>
  <c r="N10" i="11"/>
  <c r="P10" i="11" s="1"/>
  <c r="P9" i="11"/>
  <c r="O9" i="11"/>
  <c r="N9" i="11"/>
  <c r="O8" i="11"/>
  <c r="N8" i="11"/>
  <c r="O7" i="11"/>
  <c r="P7" i="11" s="1"/>
  <c r="N7" i="11"/>
  <c r="O6" i="11"/>
  <c r="N6" i="11"/>
  <c r="P6" i="11" s="1"/>
  <c r="O5" i="11"/>
  <c r="N5" i="11"/>
  <c r="P5" i="11" s="1"/>
  <c r="O4" i="11"/>
  <c r="N4" i="11"/>
  <c r="P4" i="11" s="1"/>
  <c r="P3" i="11"/>
  <c r="O3" i="11"/>
  <c r="N3" i="11"/>
  <c r="P14" i="11" l="1"/>
  <c r="P26"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P9" i="37" s="1"/>
  <c r="B33" i="39" s="1"/>
  <c r="R14" i="37"/>
  <c r="R3" i="37"/>
  <c r="L4" i="37"/>
  <c r="L5" i="37"/>
  <c r="L6" i="37"/>
  <c r="L7" i="37"/>
  <c r="L8" i="37"/>
  <c r="L9" i="37"/>
  <c r="L10" i="37"/>
  <c r="L11" i="37"/>
  <c r="L12" i="37"/>
  <c r="L13" i="37"/>
  <c r="L14" i="37"/>
  <c r="L3" i="37"/>
  <c r="P6" i="37" l="1"/>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15" i="43"/>
  <c r="B417" i="43"/>
  <c r="B409" i="43"/>
  <c r="B406" i="43"/>
  <c r="B429" i="43"/>
  <c r="B433" i="43"/>
  <c r="B422" i="43"/>
  <c r="B411" i="43"/>
  <c r="B416" i="43"/>
  <c r="B432" i="43"/>
  <c r="B404" i="43"/>
  <c r="B428" i="43"/>
  <c r="B421" i="43"/>
  <c r="B410" i="43"/>
  <c r="B407" i="43"/>
  <c r="B431" i="43"/>
  <c r="B427" i="43"/>
  <c r="B420" i="43"/>
  <c r="B412" i="43"/>
  <c r="B434" i="43"/>
  <c r="B430" i="43"/>
  <c r="B423" i="43"/>
  <c r="B418" i="43"/>
  <c r="B419" i="43"/>
  <c r="B426" i="43"/>
  <c r="D406" i="43"/>
  <c r="D417" i="43"/>
  <c r="D419" i="43"/>
  <c r="D426" i="43"/>
  <c r="D430" i="43"/>
  <c r="D434" i="43"/>
  <c r="D429" i="43"/>
  <c r="D415" i="43"/>
  <c r="D433" i="43"/>
  <c r="D411" i="43"/>
  <c r="D416" i="43"/>
  <c r="D423" i="43"/>
  <c r="D428" i="43"/>
  <c r="D404" i="43"/>
  <c r="D418" i="43"/>
  <c r="D425" i="43"/>
  <c r="D427" i="43"/>
  <c r="D432" i="43"/>
  <c r="D408" i="43"/>
  <c r="D409" i="43"/>
  <c r="D421" i="43"/>
  <c r="D407" i="43"/>
  <c r="D414" i="43"/>
  <c r="D410" i="43"/>
  <c r="D412" i="43"/>
  <c r="D420" i="43"/>
  <c r="D422" i="43"/>
  <c r="D431" i="43"/>
  <c r="D405" i="43"/>
  <c r="D413" i="43"/>
  <c r="D424" i="43"/>
  <c r="C406" i="43"/>
  <c r="C423" i="43"/>
  <c r="C428" i="43"/>
  <c r="C404" i="43"/>
  <c r="C425" i="43"/>
  <c r="C420" i="43"/>
  <c r="C409" i="43"/>
  <c r="C421" i="43"/>
  <c r="C434" i="43"/>
  <c r="C429" i="43"/>
  <c r="C432" i="43"/>
  <c r="C417" i="43"/>
  <c r="C426" i="43"/>
  <c r="C407" i="43"/>
  <c r="C414" i="43"/>
  <c r="C418" i="43"/>
  <c r="C427" i="43"/>
  <c r="C431" i="43"/>
  <c r="C419" i="43"/>
  <c r="C410" i="43"/>
  <c r="C412" i="43"/>
  <c r="C422" i="43"/>
  <c r="C430" i="43"/>
  <c r="C405" i="43"/>
  <c r="C408" i="43"/>
  <c r="C415" i="43"/>
  <c r="C424" i="43"/>
  <c r="C433" i="43"/>
  <c r="C413" i="43"/>
  <c r="C411" i="43"/>
  <c r="C416" i="43"/>
  <c r="H434" i="43"/>
  <c r="H418" i="43"/>
  <c r="H415" i="43"/>
  <c r="H410" i="43"/>
  <c r="H424" i="43"/>
  <c r="H405" i="43"/>
  <c r="H421" i="43"/>
  <c r="H411" i="43"/>
  <c r="H417" i="43"/>
  <c r="H414" i="43"/>
  <c r="H430" i="43"/>
  <c r="H423" i="43"/>
  <c r="H416" i="43"/>
  <c r="H404" i="43"/>
  <c r="H413" i="43"/>
  <c r="H427" i="43"/>
  <c r="H409" i="43"/>
  <c r="H422" i="43"/>
  <c r="H431" i="43"/>
  <c r="H433" i="43"/>
  <c r="H428" i="43"/>
  <c r="H426" i="43"/>
  <c r="H408" i="43"/>
  <c r="H420" i="43"/>
  <c r="H429" i="43"/>
  <c r="H432" i="43"/>
  <c r="H412" i="43"/>
  <c r="H425" i="43"/>
  <c r="H407" i="43"/>
  <c r="H419" i="43"/>
  <c r="H406" i="43"/>
  <c r="G410" i="43"/>
  <c r="G413" i="43"/>
  <c r="G431" i="43"/>
  <c r="G434" i="43"/>
  <c r="G416" i="43"/>
  <c r="G428" i="43"/>
  <c r="G429" i="43"/>
  <c r="G411" i="43"/>
  <c r="G427" i="43"/>
  <c r="G409" i="43"/>
  <c r="G405" i="43"/>
  <c r="G421" i="43"/>
  <c r="G425" i="43"/>
  <c r="G412" i="43"/>
  <c r="G422" i="43"/>
  <c r="G426" i="43"/>
  <c r="G408" i="43"/>
  <c r="G424" i="43"/>
  <c r="G430" i="43"/>
  <c r="G406" i="43"/>
  <c r="G419" i="43"/>
  <c r="G423" i="43"/>
  <c r="G432" i="43"/>
  <c r="G414" i="43"/>
  <c r="G407" i="43"/>
  <c r="G420" i="43"/>
  <c r="G404" i="43"/>
  <c r="G418" i="43"/>
  <c r="G417" i="43"/>
  <c r="G433" i="43"/>
  <c r="G415" i="43"/>
  <c r="E405" i="43"/>
  <c r="E408" i="43"/>
  <c r="E413" i="43"/>
  <c r="E415" i="43"/>
  <c r="E424" i="43"/>
  <c r="E433" i="43"/>
  <c r="E434" i="43"/>
  <c r="E420" i="43"/>
  <c r="E406" i="43"/>
  <c r="E417" i="43"/>
  <c r="E419" i="43"/>
  <c r="E426" i="43"/>
  <c r="E430" i="43"/>
  <c r="E423" i="43"/>
  <c r="E411" i="43"/>
  <c r="E416" i="43"/>
  <c r="E404" i="43"/>
  <c r="E410" i="43"/>
  <c r="E422" i="43"/>
  <c r="E418" i="43"/>
  <c r="E425" i="43"/>
  <c r="E427" i="43"/>
  <c r="E429" i="43"/>
  <c r="E431" i="43"/>
  <c r="E421" i="43"/>
  <c r="E409" i="43"/>
  <c r="E414" i="43"/>
  <c r="E432" i="43"/>
  <c r="E412" i="43"/>
  <c r="E407" i="43"/>
  <c r="E428" i="43"/>
  <c r="F415" i="43"/>
  <c r="F410" i="43"/>
  <c r="F420" i="43"/>
  <c r="F431" i="43"/>
  <c r="F430" i="43"/>
  <c r="F423" i="43"/>
  <c r="F424" i="43"/>
  <c r="F419" i="43"/>
  <c r="F404" i="43"/>
  <c r="F427" i="43"/>
  <c r="F416" i="43"/>
  <c r="F434" i="43"/>
  <c r="F421" i="43"/>
  <c r="F425" i="43"/>
  <c r="F426" i="43"/>
  <c r="F412" i="43"/>
  <c r="F417" i="43"/>
  <c r="F414" i="43"/>
  <c r="F422" i="43"/>
  <c r="F411" i="43"/>
  <c r="F405" i="43"/>
  <c r="F413" i="43"/>
  <c r="F432" i="43"/>
  <c r="F418" i="43"/>
  <c r="F409" i="43"/>
  <c r="F433" i="43"/>
  <c r="F428" i="43"/>
  <c r="F429" i="43"/>
  <c r="F406" i="43"/>
  <c r="F408"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AF286" i="43"/>
  <c r="M434" i="43"/>
  <c r="R286" i="43"/>
  <c r="M420" i="43"/>
  <c r="N247" i="43"/>
  <c r="L416" i="43"/>
  <c r="Y247" i="43"/>
  <c r="L427" i="43"/>
  <c r="Y169" i="43"/>
  <c r="K427" i="43"/>
  <c r="G208" i="43"/>
  <c r="K409" i="43"/>
  <c r="Z169" i="43"/>
  <c r="K428" i="43"/>
  <c r="N169" i="43"/>
  <c r="K416" i="43"/>
  <c r="H169" i="43"/>
  <c r="K410" i="43"/>
  <c r="K208" i="43"/>
  <c r="K413" i="43"/>
  <c r="R169" i="43"/>
  <c r="K420" i="43"/>
  <c r="F169" i="43"/>
  <c r="K408" i="43"/>
  <c r="D169" i="43"/>
  <c r="K406" i="43"/>
  <c r="AD169" i="43"/>
  <c r="K432"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AE247" i="43"/>
  <c r="L433" i="43"/>
  <c r="D247" i="43"/>
  <c r="L406" i="43"/>
  <c r="J130" i="43"/>
  <c r="J412" i="43"/>
  <c r="AD130" i="43"/>
  <c r="J432" i="43"/>
  <c r="M130" i="43"/>
  <c r="J415" i="43"/>
  <c r="AE130" i="43"/>
  <c r="J433" i="43"/>
  <c r="AC130" i="43"/>
  <c r="J431" i="43"/>
  <c r="I130" i="43"/>
  <c r="J411" i="43"/>
  <c r="N130" i="43"/>
  <c r="J416" i="43"/>
  <c r="E130" i="43"/>
  <c r="J407" i="43"/>
  <c r="AB130" i="43"/>
  <c r="J430" i="43"/>
  <c r="O130" i="43"/>
  <c r="J417" i="43"/>
  <c r="Z130" i="43"/>
  <c r="J428" i="43"/>
  <c r="S130" i="43"/>
  <c r="J421" i="43"/>
  <c r="W130" i="43"/>
  <c r="J425" i="43"/>
  <c r="D130" i="43"/>
  <c r="J406" i="43"/>
  <c r="AF130" i="43"/>
  <c r="J434" i="43"/>
  <c r="T130" i="43"/>
  <c r="J422" i="43"/>
  <c r="P130" i="43"/>
  <c r="J418" i="43"/>
  <c r="R130" i="43"/>
  <c r="J420" i="43"/>
  <c r="C130" i="43"/>
  <c r="J405" i="43"/>
  <c r="V130" i="43"/>
  <c r="J424" i="43"/>
  <c r="K130" i="43"/>
  <c r="J413" i="43"/>
  <c r="Q130" i="43"/>
  <c r="J419" i="43"/>
  <c r="L130" i="43"/>
  <c r="J414" i="43"/>
  <c r="Y130" i="43"/>
  <c r="J427" i="43"/>
  <c r="G130" i="43"/>
  <c r="J409" i="43"/>
  <c r="X130" i="43"/>
  <c r="J426" i="43"/>
  <c r="F130" i="43"/>
  <c r="J408"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<sst xmlns="http://schemas.openxmlformats.org/spreadsheetml/2006/main" count="311" uniqueCount="164">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</sst>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87407056"/>
        <c:axId val="5873444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4070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4408"/>
        <c:crossesAt val="-8.0000000000000019E-3"/>
        <c:crossBetween val="midCat"/>
      </c:valAx>
      <c:valAx>
        <c:axId val="587344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4070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87345584"/>
        <c:axId val="5873448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8734558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4800"/>
        <c:crosses val="autoZero"/>
        <c:crossBetween val="midCat"/>
      </c:valAx>
      <c:valAx>
        <c:axId val="5873448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558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87345976"/>
        <c:axId val="5873440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873459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4016"/>
        <c:crosses val="autoZero"/>
        <c:crossBetween val="midCat"/>
        <c:majorUnit val="10000"/>
      </c:valAx>
      <c:valAx>
        <c:axId val="58734401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5976"/>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85944032"/>
        <c:axId val="4952863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59440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5286336"/>
        <c:crosses val="autoZero"/>
        <c:crossBetween val="midCat"/>
        <c:majorUnit val="10000"/>
      </c:valAx>
      <c:valAx>
        <c:axId val="49528633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5944032"/>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98731760"/>
        <c:axId val="4987301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873176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30192"/>
        <c:crosses val="autoZero"/>
        <c:crossBetween val="midCat"/>
        <c:majorUnit val="10000"/>
      </c:valAx>
      <c:valAx>
        <c:axId val="49873019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31760"/>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7.6729914406765401E-3</c:v>
                </c:pt>
                <c:pt idx="1">
                  <c:v>1.0206830802274991E-2</c:v>
                </c:pt>
                <c:pt idx="2">
                  <c:v>2.7747289370458096E-3</c:v>
                </c:pt>
                <c:pt idx="3">
                  <c:v>4.6778125953362789E-4</c:v>
                </c:pt>
                <c:pt idx="4">
                  <c:v>6.8637127803907269E-5</c:v>
                </c:pt>
                <c:pt idx="5">
                  <c:v>1.1834474849405507E-5</c:v>
                </c:pt>
                <c:pt idx="6">
                  <c:v>1.6493679498504036E-5</c:v>
                </c:pt>
                <c:pt idx="7">
                  <c:v>5.1073372950192E-5</c:v>
                </c:pt>
                <c:pt idx="8">
                  <c:v>1.325462997507532E-4</c:v>
                </c:pt>
                <c:pt idx="9">
                  <c:v>2.8538934822396164E-4</c:v>
                </c:pt>
                <c:pt idx="10">
                  <c:v>5.1178934619711049E-4</c:v>
                </c:pt>
                <c:pt idx="11">
                  <c:v>7.7514339347405212E-4</c:v>
                </c:pt>
                <c:pt idx="12">
                  <c:v>9.9647244431626302E-4</c:v>
                </c:pt>
                <c:pt idx="13">
                  <c:v>1.0970878814571402E-3</c:v>
                </c:pt>
                <c:pt idx="14">
                  <c:v>1.0334629534394892E-3</c:v>
                </c:pt>
                <c:pt idx="15">
                  <c:v>8.4860990146836258E-4</c:v>
                </c:pt>
                <c:pt idx="16">
                  <c:v>6.1045157751962406E-4</c:v>
                </c:pt>
                <c:pt idx="17">
                  <c:v>3.9745696282003645E-4</c:v>
                </c:pt>
                <c:pt idx="18">
                  <c:v>2.3357744699345958E-4</c:v>
                </c:pt>
                <c:pt idx="19">
                  <c:v>1.1681157842619665E-4</c:v>
                </c:pt>
                <c:pt idx="20">
                  <c:v>4.4804853030419989E-5</c:v>
                </c:pt>
                <c:pt idx="21">
                  <c:v>1.0661674400824736E-5</c:v>
                </c:pt>
                <c:pt idx="22">
                  <c:v>4.6407245947977521E-6</c:v>
                </c:pt>
                <c:pt idx="23">
                  <c:v>2.3573286957706292E-6</c:v>
                </c:pt>
                <c:pt idx="24">
                  <c:v>1.4722324948084568E-5</c:v>
                </c:pt>
                <c:pt idx="25">
                  <c:v>9.6808436750757941E-6</c:v>
                </c:pt>
                <c:pt idx="26">
                  <c:v>1.9671718281113812E-5</c:v>
                </c:pt>
                <c:pt idx="27">
                  <c:v>6.6643480110068474E-5</c:v>
                </c:pt>
                <c:pt idx="28">
                  <c:v>1.2342970604683069E-4</c:v>
                </c:pt>
                <c:pt idx="29">
                  <c:v>1.7808760890629076E-4</c:v>
                </c:pt>
                <c:pt idx="30">
                  <c:v>1.0561743178612869E-4</c:v>
                </c:pt>
              </c:numCache>
            </c:numRef>
          </c:yVal>
          <c:smooth val="1"/>
        </c:ser>
        <c:dLbls>
          <c:showLegendKey val="0"/>
          <c:showVal val="0"/>
          <c:showCatName val="0"/>
          <c:showSerName val="0"/>
          <c:showPercent val="0"/>
          <c:showBubbleSize val="0"/>
        </c:dLbls>
        <c:axId val="498730584"/>
        <c:axId val="498732544"/>
      </c:scatterChart>
      <c:valAx>
        <c:axId val="4987305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32544"/>
        <c:crossesAt val="-1.5000000000000005E-3"/>
        <c:crossBetween val="midCat"/>
      </c:valAx>
      <c:valAx>
        <c:axId val="4987325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3058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9751.6376958333512</c:v>
                </c:pt>
                <c:pt idx="1">
                  <c:v>9652.1354481392882</c:v>
                </c:pt>
                <c:pt idx="2">
                  <c:v>9281.7011463925173</c:v>
                </c:pt>
                <c:pt idx="3">
                  <c:v>9057.0248919924998</c:v>
                </c:pt>
                <c:pt idx="4">
                  <c:v>8765.2959467283017</c:v>
                </c:pt>
                <c:pt idx="5">
                  <c:v>8497.6966383596682</c:v>
                </c:pt>
                <c:pt idx="6">
                  <c:v>8229.0911817239794</c:v>
                </c:pt>
                <c:pt idx="7">
                  <c:v>7907.4014599013335</c:v>
                </c:pt>
                <c:pt idx="8">
                  <c:v>7533.9518694285025</c:v>
                </c:pt>
                <c:pt idx="9">
                  <c:v>7168.908467700755</c:v>
                </c:pt>
                <c:pt idx="10">
                  <c:v>6864.1914293457385</c:v>
                </c:pt>
                <c:pt idx="11">
                  <c:v>6583.7192703448145</c:v>
                </c:pt>
                <c:pt idx="12">
                  <c:v>6292.2113327818115</c:v>
                </c:pt>
                <c:pt idx="13">
                  <c:v>6010.8986616597458</c:v>
                </c:pt>
                <c:pt idx="14">
                  <c:v>5723.0356492604769</c:v>
                </c:pt>
                <c:pt idx="15">
                  <c:v>5388.672484147105</c:v>
                </c:pt>
                <c:pt idx="16">
                  <c:v>4943.8875397193287</c:v>
                </c:pt>
                <c:pt idx="17">
                  <c:v>4343.1205155496737</c:v>
                </c:pt>
                <c:pt idx="18">
                  <c:v>3694.8074590793403</c:v>
                </c:pt>
                <c:pt idx="19">
                  <c:v>3069.114416763372</c:v>
                </c:pt>
                <c:pt idx="20">
                  <c:v>2467.0547318019303</c:v>
                </c:pt>
                <c:pt idx="21">
                  <c:v>1870.2687865323203</c:v>
                </c:pt>
                <c:pt idx="22">
                  <c:v>1361.6517624987212</c:v>
                </c:pt>
                <c:pt idx="23">
                  <c:v>978.74620462987207</c:v>
                </c:pt>
                <c:pt idx="24">
                  <c:v>750.03869332204295</c:v>
                </c:pt>
                <c:pt idx="25">
                  <c:v>627.42776259315235</c:v>
                </c:pt>
                <c:pt idx="26">
                  <c:v>570.27769123279927</c:v>
                </c:pt>
                <c:pt idx="27">
                  <c:v>535.02656614774151</c:v>
                </c:pt>
                <c:pt idx="28">
                  <c:v>516.00448277889859</c:v>
                </c:pt>
                <c:pt idx="29">
                  <c:v>504.26333569735584</c:v>
                </c:pt>
                <c:pt idx="30">
                  <c:v>480.26774035530781</c:v>
                </c:pt>
              </c:numCache>
            </c:numRef>
          </c:yVal>
          <c:smooth val="1"/>
        </c:ser>
        <c:dLbls>
          <c:showLegendKey val="0"/>
          <c:showVal val="0"/>
          <c:showCatName val="0"/>
          <c:showSerName val="0"/>
          <c:showPercent val="0"/>
          <c:showBubbleSize val="0"/>
        </c:dLbls>
        <c:axId val="498729408"/>
        <c:axId val="498729800"/>
      </c:scatterChart>
      <c:valAx>
        <c:axId val="4987294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29800"/>
        <c:crosses val="autoZero"/>
        <c:crossBetween val="midCat"/>
      </c:valAx>
      <c:valAx>
        <c:axId val="4987298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2940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1.0181230182180938E-2</c:v>
                </c:pt>
                <c:pt idx="11">
                  <c:v>8.7737630217548726E-3</c:v>
                </c:pt>
                <c:pt idx="12">
                  <c:v>6.2368905663204906E-3</c:v>
                </c:pt>
                <c:pt idx="13">
                  <c:v>4.917481547311856E-3</c:v>
                </c:pt>
                <c:pt idx="14">
                  <c:v>5.2306522096733331E-3</c:v>
                </c:pt>
                <c:pt idx="15">
                  <c:v>7.0135549567021012E-3</c:v>
                </c:pt>
                <c:pt idx="16">
                  <c:v>4.7860845602694423E-3</c:v>
                </c:pt>
                <c:pt idx="17">
                  <c:v>5.9473772611029971E-3</c:v>
                </c:pt>
                <c:pt idx="18">
                  <c:v>2.2953099262836879E-3</c:v>
                </c:pt>
                <c:pt idx="19">
                  <c:v>1.3912436274160142E-3</c:v>
                </c:pt>
                <c:pt idx="20">
                  <c:v>1.9484985269610278E-2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3.4164937027127126E-2</c:v>
                </c:pt>
                <c:pt idx="1">
                  <c:v>1.0827937534235423E-2</c:v>
                </c:pt>
                <c:pt idx="2">
                  <c:v>4.683023877025491E-3</c:v>
                </c:pt>
                <c:pt idx="3">
                  <c:v>5.3401005918125976E-3</c:v>
                </c:pt>
                <c:pt idx="4">
                  <c:v>5.367019626418593E-3</c:v>
                </c:pt>
                <c:pt idx="5">
                  <c:v>4.6990713711857765E-3</c:v>
                </c:pt>
                <c:pt idx="6">
                  <c:v>4.519107580743126E-3</c:v>
                </c:pt>
                <c:pt idx="7">
                  <c:v>4.5577670038352723E-3</c:v>
                </c:pt>
                <c:pt idx="8">
                  <c:v>4.4466587284308226E-3</c:v>
                </c:pt>
                <c:pt idx="9">
                  <c:v>4.4537622945628481E-3</c:v>
                </c:pt>
                <c:pt idx="10">
                  <c:v>4.3823066195487915E-3</c:v>
                </c:pt>
                <c:pt idx="11">
                  <c:v>5.1758597589758636E-3</c:v>
                </c:pt>
                <c:pt idx="12">
                  <c:v>4.4592019974499008E-3</c:v>
                </c:pt>
                <c:pt idx="13">
                  <c:v>5.4548219286774278E-3</c:v>
                </c:pt>
                <c:pt idx="14">
                  <c:v>5.5079258133928447E-3</c:v>
                </c:pt>
                <c:pt idx="15">
                  <c:v>5.0992579810894287E-3</c:v>
                </c:pt>
                <c:pt idx="16">
                  <c:v>3.5809917070459322E-3</c:v>
                </c:pt>
                <c:pt idx="17">
                  <c:v>9.9018603376360755E-3</c:v>
                </c:pt>
                <c:pt idx="18">
                  <c:v>1.9629790304348506E-2</c:v>
                </c:pt>
                <c:pt idx="19">
                  <c:v>1.8865050799380414E-2</c:v>
                </c:pt>
                <c:pt idx="20">
                  <c:v>1.0865041137405322E-2</c:v>
                </c:pt>
                <c:pt idx="21">
                  <c:v>8.1993692308374652E-3</c:v>
                </c:pt>
                <c:pt idx="22">
                  <c:v>7.9628052338073692E-3</c:v>
                </c:pt>
                <c:pt idx="23">
                  <c:v>2.4741055582375226E-2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4.9323562104482924E-4</c:v>
                </c:pt>
                <c:pt idx="11">
                  <c:v>7.9470288119983955E-4</c:v>
                </c:pt>
                <c:pt idx="12">
                  <c:v>9.7562589215431585E-4</c:v>
                </c:pt>
                <c:pt idx="13">
                  <c:v>1.1162731117318157E-3</c:v>
                </c:pt>
                <c:pt idx="14">
                  <c:v>1.0105748290281196E-3</c:v>
                </c:pt>
                <c:pt idx="15">
                  <c:v>8.7609273086112984E-4</c:v>
                </c:pt>
                <c:pt idx="16">
                  <c:v>5.6586150644728252E-4</c:v>
                </c:pt>
                <c:pt idx="17">
                  <c:v>4.5308144412901707E-4</c:v>
                </c:pt>
                <c:pt idx="18">
                  <c:v>1.7077347236751466E-4</c:v>
                </c:pt>
                <c:pt idx="19">
                  <c:v>1.848715802726754E-4</c:v>
                </c:pt>
                <c:pt idx="20">
                  <c:v>4.5958414283201687E-5</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4.2067497148674797E-2</c:v>
                </c:pt>
                <c:pt idx="11">
                  <c:v>3.7853093467151537E-2</c:v>
                </c:pt>
                <c:pt idx="12">
                  <c:v>5.7549342079224542E-3</c:v>
                </c:pt>
                <c:pt idx="13">
                  <c:v>3.818883963185421E-2</c:v>
                </c:pt>
                <c:pt idx="14">
                  <c:v>6.2005051962776281E-2</c:v>
                </c:pt>
                <c:pt idx="15">
                  <c:v>3.7394467576273474E-2</c:v>
                </c:pt>
                <c:pt idx="16">
                  <c:v>1.5093278406156655E-2</c:v>
                </c:pt>
                <c:pt idx="17">
                  <c:v>0.10302688892631595</c:v>
                </c:pt>
                <c:pt idx="18">
                  <c:v>8.027783239762222E-2</c:v>
                </c:pt>
                <c:pt idx="19">
                  <c:v>6.1641551120983844E-2</c:v>
                </c:pt>
                <c:pt idx="20">
                  <c:v>2.7311543198274744E-2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92799712"/>
        <c:axId val="492800104"/>
      </c:scatterChart>
      <c:valAx>
        <c:axId val="4927997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800104"/>
        <c:crossesAt val="1.0000000000000005E-9"/>
        <c:crossBetween val="midCat"/>
      </c:valAx>
      <c:valAx>
        <c:axId val="492800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9971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-11.391236875275727</c:v>
                </c:pt>
                <c:pt idx="1">
                  <c:v>-7.538343886132532</c:v>
                </c:pt>
                <c:pt idx="2">
                  <c:v>-4.9283454733188288</c:v>
                </c:pt>
                <c:pt idx="3">
                  <c:v>-2.8024126046356161</c:v>
                </c:pt>
                <c:pt idx="4">
                  <c:v>0</c:v>
                </c:pt>
                <c:pt idx="5">
                  <c:v>5.4207620853197769</c:v>
                </c:pt>
                <c:pt idx="6">
                  <c:v>10.69493631915163</c:v>
                </c:pt>
              </c:numCache>
            </c:numRef>
          </c:yVal>
          <c:smooth val="0"/>
        </c:ser>
        <c:dLbls>
          <c:showLegendKey val="0"/>
          <c:showVal val="0"/>
          <c:showCatName val="0"/>
          <c:showSerName val="0"/>
          <c:showPercent val="0"/>
          <c:showBubbleSize val="0"/>
        </c:dLbls>
        <c:axId val="492800888"/>
        <c:axId val="591517064"/>
      </c:scatterChart>
      <c:valAx>
        <c:axId val="492800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7064"/>
        <c:crossesAt val="-100"/>
        <c:crossBetween val="midCat"/>
      </c:valAx>
      <c:valAx>
        <c:axId val="591517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80088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591516672"/>
        <c:axId val="591517456"/>
      </c:scatterChart>
      <c:valAx>
        <c:axId val="59151667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7456"/>
        <c:crosses val="autoZero"/>
        <c:crossBetween val="midCat"/>
      </c:valAx>
      <c:valAx>
        <c:axId val="59151745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667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1.1294023394843902E-20</c:v>
                </c:pt>
                <c:pt idx="1">
                  <c:v>1.1294023394843901E-19</c:v>
                </c:pt>
                <c:pt idx="2">
                  <c:v>1.1294023394843902E-18</c:v>
                </c:pt>
                <c:pt idx="3">
                  <c:v>1.1294023394843902E-17</c:v>
                </c:pt>
                <c:pt idx="4">
                  <c:v>1.12940233948439E-16</c:v>
                </c:pt>
                <c:pt idx="5">
                  <c:v>1.1294023394843902E-15</c:v>
                </c:pt>
                <c:pt idx="6">
                  <c:v>1.1294023394843902E-14</c:v>
                </c:pt>
                <c:pt idx="7">
                  <c:v>1.1294023394843902E-13</c:v>
                </c:pt>
                <c:pt idx="8">
                  <c:v>1.1294023394843901E-12</c:v>
                </c:pt>
                <c:pt idx="9">
                  <c:v>1.12940233948439E-11</c:v>
                </c:pt>
                <c:pt idx="10">
                  <c:v>1.1294023394843902E-10</c:v>
                </c:pt>
                <c:pt idx="11">
                  <c:v>1.1294023394843901E-9</c:v>
                </c:pt>
                <c:pt idx="12">
                  <c:v>1.1294023394843901E-8</c:v>
                </c:pt>
                <c:pt idx="13">
                  <c:v>1.1294023394843902E-7</c:v>
                </c:pt>
                <c:pt idx="14">
                  <c:v>1.1294023394843902E-6</c:v>
                </c:pt>
                <c:pt idx="15">
                  <c:v>1.1294023394843902E-5</c:v>
                </c:pt>
                <c:pt idx="16">
                  <c:v>1.1294023394843902E-4</c:v>
                </c:pt>
                <c:pt idx="17">
                  <c:v>1.1294023394843901E-3</c:v>
                </c:pt>
                <c:pt idx="18">
                  <c:v>1.1294023394843901E-2</c:v>
                </c:pt>
                <c:pt idx="19">
                  <c:v>0.11294023394843901</c:v>
                </c:pt>
                <c:pt idx="20">
                  <c:v>1.1294023394843902</c:v>
                </c:pt>
                <c:pt idx="21">
                  <c:v>11.294023394843901</c:v>
                </c:pt>
                <c:pt idx="22">
                  <c:v>112.94023394843902</c:v>
                </c:pt>
                <c:pt idx="23">
                  <c:v>1129.40233948439</c:v>
                </c:pt>
                <c:pt idx="24">
                  <c:v>11294.023394843902</c:v>
                </c:pt>
                <c:pt idx="25">
                  <c:v>112940.23394843901</c:v>
                </c:pt>
                <c:pt idx="26">
                  <c:v>1129402.3394843901</c:v>
                </c:pt>
                <c:pt idx="27">
                  <c:v>11294023.394843901</c:v>
                </c:pt>
                <c:pt idx="28">
                  <c:v>112940233.94843902</c:v>
                </c:pt>
                <c:pt idx="29">
                  <c:v>1129402339.4843903</c:v>
                </c:pt>
                <c:pt idx="30">
                  <c:v>11294023394.843901</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5.3227840590692943E-19</c:v>
                </c:pt>
                <c:pt idx="1">
                  <c:v>5.3227840590692937E-18</c:v>
                </c:pt>
                <c:pt idx="2">
                  <c:v>5.3227840590692937E-17</c:v>
                </c:pt>
                <c:pt idx="3">
                  <c:v>5.3227840590692936E-16</c:v>
                </c:pt>
                <c:pt idx="4">
                  <c:v>5.3227840590692934E-15</c:v>
                </c:pt>
                <c:pt idx="5">
                  <c:v>5.3227840590692938E-14</c:v>
                </c:pt>
                <c:pt idx="6">
                  <c:v>5.3227840590692938E-13</c:v>
                </c:pt>
                <c:pt idx="7">
                  <c:v>5.3227840590692934E-12</c:v>
                </c:pt>
                <c:pt idx="8">
                  <c:v>5.3227840590692933E-11</c:v>
                </c:pt>
                <c:pt idx="9">
                  <c:v>5.3227840590692938E-10</c:v>
                </c:pt>
                <c:pt idx="10">
                  <c:v>5.322784059069294E-9</c:v>
                </c:pt>
                <c:pt idx="11">
                  <c:v>5.3227840590692938E-8</c:v>
                </c:pt>
                <c:pt idx="12">
                  <c:v>5.3227840590692938E-7</c:v>
                </c:pt>
                <c:pt idx="13">
                  <c:v>5.322784059069294E-6</c:v>
                </c:pt>
                <c:pt idx="14">
                  <c:v>5.3227840590692942E-5</c:v>
                </c:pt>
                <c:pt idx="15">
                  <c:v>5.3227840590692934E-4</c:v>
                </c:pt>
                <c:pt idx="16">
                  <c:v>5.3227840590692934E-3</c:v>
                </c:pt>
                <c:pt idx="17">
                  <c:v>5.3227840590692937E-2</c:v>
                </c:pt>
                <c:pt idx="18">
                  <c:v>0.53227840590692932</c:v>
                </c:pt>
                <c:pt idx="19">
                  <c:v>5.3227840590692939</c:v>
                </c:pt>
                <c:pt idx="20">
                  <c:v>53.227840590692935</c:v>
                </c:pt>
                <c:pt idx="21">
                  <c:v>532.27840590692938</c:v>
                </c:pt>
                <c:pt idx="22">
                  <c:v>5322.784059069294</c:v>
                </c:pt>
                <c:pt idx="23">
                  <c:v>53227.840590692933</c:v>
                </c:pt>
                <c:pt idx="24">
                  <c:v>532278.4059069294</c:v>
                </c:pt>
                <c:pt idx="25">
                  <c:v>5322784.0590692936</c:v>
                </c:pt>
                <c:pt idx="26">
                  <c:v>53227840.590692937</c:v>
                </c:pt>
                <c:pt idx="27">
                  <c:v>532278405.90692937</c:v>
                </c:pt>
                <c:pt idx="28">
                  <c:v>5322784059.069294</c:v>
                </c:pt>
                <c:pt idx="29">
                  <c:v>53227840590.69294</c:v>
                </c:pt>
                <c:pt idx="30">
                  <c:v>532278405906.92938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7.2384696204509273E-18</c:v>
                </c:pt>
                <c:pt idx="1">
                  <c:v>7.2384696204509261E-17</c:v>
                </c:pt>
                <c:pt idx="2">
                  <c:v>7.2384696204509268E-16</c:v>
                </c:pt>
                <c:pt idx="3">
                  <c:v>7.2384696204509258E-15</c:v>
                </c:pt>
                <c:pt idx="4">
                  <c:v>7.2384696204509265E-14</c:v>
                </c:pt>
                <c:pt idx="5">
                  <c:v>7.2384696204509262E-13</c:v>
                </c:pt>
                <c:pt idx="6">
                  <c:v>7.2384696204509268E-12</c:v>
                </c:pt>
                <c:pt idx="7">
                  <c:v>7.2384696204509262E-11</c:v>
                </c:pt>
                <c:pt idx="8">
                  <c:v>7.2384696204509264E-10</c:v>
                </c:pt>
                <c:pt idx="9">
                  <c:v>7.2384696204509264E-9</c:v>
                </c:pt>
                <c:pt idx="10">
                  <c:v>7.2384696204509268E-8</c:v>
                </c:pt>
                <c:pt idx="11">
                  <c:v>7.238469620450927E-7</c:v>
                </c:pt>
                <c:pt idx="12">
                  <c:v>7.2384696204509262E-6</c:v>
                </c:pt>
                <c:pt idx="13">
                  <c:v>7.2384696204509262E-5</c:v>
                </c:pt>
                <c:pt idx="14">
                  <c:v>7.2384696204509267E-4</c:v>
                </c:pt>
                <c:pt idx="15">
                  <c:v>7.2384696204509267E-3</c:v>
                </c:pt>
                <c:pt idx="16">
                  <c:v>7.2384696204509269E-2</c:v>
                </c:pt>
                <c:pt idx="17">
                  <c:v>0.72384696204509269</c:v>
                </c:pt>
                <c:pt idx="18">
                  <c:v>7.2384696204509265</c:v>
                </c:pt>
                <c:pt idx="19">
                  <c:v>72.384696204509268</c:v>
                </c:pt>
                <c:pt idx="20">
                  <c:v>723.8469620450926</c:v>
                </c:pt>
                <c:pt idx="21">
                  <c:v>7238.4696204509264</c:v>
                </c:pt>
                <c:pt idx="22">
                  <c:v>72384.696204509266</c:v>
                </c:pt>
                <c:pt idx="23">
                  <c:v>723846.9620450926</c:v>
                </c:pt>
                <c:pt idx="24">
                  <c:v>7238469.620450926</c:v>
                </c:pt>
                <c:pt idx="25">
                  <c:v>72384696.204509258</c:v>
                </c:pt>
                <c:pt idx="26">
                  <c:v>723846962.04509258</c:v>
                </c:pt>
                <c:pt idx="27">
                  <c:v>7238469620.4509268</c:v>
                </c:pt>
                <c:pt idx="28">
                  <c:v>72384696204.509262</c:v>
                </c:pt>
                <c:pt idx="29">
                  <c:v>723846962045.09265</c:v>
                </c:pt>
                <c:pt idx="30">
                  <c:v>7238469620450.9268</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6.0663528821380426E-17</c:v>
                </c:pt>
                <c:pt idx="1">
                  <c:v>6.0663528821380423E-16</c:v>
                </c:pt>
                <c:pt idx="2">
                  <c:v>6.0663528821380425E-15</c:v>
                </c:pt>
                <c:pt idx="3">
                  <c:v>6.0663528821380427E-14</c:v>
                </c:pt>
                <c:pt idx="4">
                  <c:v>6.0663528821380419E-13</c:v>
                </c:pt>
                <c:pt idx="5">
                  <c:v>6.0663528821380432E-12</c:v>
                </c:pt>
                <c:pt idx="6">
                  <c:v>6.066352882138043E-11</c:v>
                </c:pt>
                <c:pt idx="7">
                  <c:v>6.0663528821380427E-10</c:v>
                </c:pt>
                <c:pt idx="8">
                  <c:v>6.0663528821380425E-9</c:v>
                </c:pt>
                <c:pt idx="9">
                  <c:v>6.0663528821380424E-8</c:v>
                </c:pt>
                <c:pt idx="10">
                  <c:v>6.0663528821380429E-7</c:v>
                </c:pt>
                <c:pt idx="11">
                  <c:v>6.0663528821380427E-6</c:v>
                </c:pt>
                <c:pt idx="12">
                  <c:v>6.0663528821380428E-5</c:v>
                </c:pt>
                <c:pt idx="13">
                  <c:v>6.0663528821380428E-4</c:v>
                </c:pt>
                <c:pt idx="14">
                  <c:v>6.0663528821380428E-3</c:v>
                </c:pt>
                <c:pt idx="15">
                  <c:v>6.066352882138043E-2</c:v>
                </c:pt>
                <c:pt idx="16">
                  <c:v>0.6066352882138043</c:v>
                </c:pt>
                <c:pt idx="17">
                  <c:v>6.0663528821380428</c:v>
                </c:pt>
                <c:pt idx="18">
                  <c:v>60.663528821380424</c:v>
                </c:pt>
                <c:pt idx="19">
                  <c:v>606.6352882138043</c:v>
                </c:pt>
                <c:pt idx="20">
                  <c:v>6066.3528821380423</c:v>
                </c:pt>
                <c:pt idx="21">
                  <c:v>60663.528821380431</c:v>
                </c:pt>
                <c:pt idx="22">
                  <c:v>606635.28821380425</c:v>
                </c:pt>
                <c:pt idx="23">
                  <c:v>6066352.8821380427</c:v>
                </c:pt>
                <c:pt idx="24">
                  <c:v>60663528.821380429</c:v>
                </c:pt>
                <c:pt idx="25">
                  <c:v>606635288.21380424</c:v>
                </c:pt>
                <c:pt idx="26">
                  <c:v>6066352882.1380424</c:v>
                </c:pt>
                <c:pt idx="27">
                  <c:v>60663528821.380424</c:v>
                </c:pt>
                <c:pt idx="28">
                  <c:v>606635288213.80432</c:v>
                </c:pt>
                <c:pt idx="29">
                  <c:v>6066352882138.043</c:v>
                </c:pt>
                <c:pt idx="30">
                  <c:v>60663528821380.43</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2.2605132727436635E-13</c:v>
                </c:pt>
                <c:pt idx="1">
                  <c:v>2.2605132727436636E-12</c:v>
                </c:pt>
                <c:pt idx="2">
                  <c:v>2.2605132727436636E-11</c:v>
                </c:pt>
                <c:pt idx="3">
                  <c:v>2.2605132727436633E-10</c:v>
                </c:pt>
                <c:pt idx="4">
                  <c:v>2.2605132727436634E-9</c:v>
                </c:pt>
                <c:pt idx="5">
                  <c:v>2.2605132727436635E-8</c:v>
                </c:pt>
                <c:pt idx="6">
                  <c:v>2.2605132727436637E-7</c:v>
                </c:pt>
                <c:pt idx="7">
                  <c:v>2.2605132727436637E-6</c:v>
                </c:pt>
                <c:pt idx="8">
                  <c:v>2.2605132727436634E-5</c:v>
                </c:pt>
                <c:pt idx="9">
                  <c:v>2.2605132727436633E-4</c:v>
                </c:pt>
                <c:pt idx="10">
                  <c:v>2.2605132727436636E-3</c:v>
                </c:pt>
                <c:pt idx="11">
                  <c:v>2.2605132727436635E-2</c:v>
                </c:pt>
                <c:pt idx="12">
                  <c:v>0.22605132727436636</c:v>
                </c:pt>
                <c:pt idx="13">
                  <c:v>2.2605132727436636</c:v>
                </c:pt>
                <c:pt idx="14">
                  <c:v>22.605132727436636</c:v>
                </c:pt>
                <c:pt idx="15">
                  <c:v>226.05132727436634</c:v>
                </c:pt>
                <c:pt idx="16">
                  <c:v>2260.5132727436635</c:v>
                </c:pt>
                <c:pt idx="17">
                  <c:v>22605.132727436634</c:v>
                </c:pt>
                <c:pt idx="18">
                  <c:v>226051.32727436634</c:v>
                </c:pt>
                <c:pt idx="19">
                  <c:v>2260513.2727436633</c:v>
                </c:pt>
                <c:pt idx="20">
                  <c:v>22605132.727436636</c:v>
                </c:pt>
                <c:pt idx="21">
                  <c:v>226051327.27436635</c:v>
                </c:pt>
                <c:pt idx="22">
                  <c:v>2260513272.7436633</c:v>
                </c:pt>
                <c:pt idx="23">
                  <c:v>22605132727.436634</c:v>
                </c:pt>
                <c:pt idx="24">
                  <c:v>226051327274.36633</c:v>
                </c:pt>
                <c:pt idx="25">
                  <c:v>2260513272743.6636</c:v>
                </c:pt>
                <c:pt idx="26">
                  <c:v>22605132727436.633</c:v>
                </c:pt>
                <c:pt idx="27">
                  <c:v>226051327274366.34</c:v>
                </c:pt>
                <c:pt idx="28">
                  <c:v>2260513272743663.5</c:v>
                </c:pt>
                <c:pt idx="29">
                  <c:v>2.2605132727436636E+16</c:v>
                </c:pt>
                <c:pt idx="30">
                  <c:v>2.2605132727436634E+17</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4.413181893875431E-11</c:v>
                </c:pt>
                <c:pt idx="1">
                  <c:v>4.413181893875431E-10</c:v>
                </c:pt>
                <c:pt idx="2">
                  <c:v>4.4131818938754311E-9</c:v>
                </c:pt>
                <c:pt idx="3">
                  <c:v>4.413181893875431E-8</c:v>
                </c:pt>
                <c:pt idx="4">
                  <c:v>4.4131818938754307E-7</c:v>
                </c:pt>
                <c:pt idx="5">
                  <c:v>4.4131818938754312E-6</c:v>
                </c:pt>
                <c:pt idx="6">
                  <c:v>4.4131818938754309E-5</c:v>
                </c:pt>
                <c:pt idx="7">
                  <c:v>4.4131818938754309E-4</c:v>
                </c:pt>
                <c:pt idx="8">
                  <c:v>4.4131818938754307E-3</c:v>
                </c:pt>
                <c:pt idx="9">
                  <c:v>4.4131818938754307E-2</c:v>
                </c:pt>
                <c:pt idx="10">
                  <c:v>0.44131818938754314</c:v>
                </c:pt>
                <c:pt idx="11">
                  <c:v>4.4131818938754312</c:v>
                </c:pt>
                <c:pt idx="12">
                  <c:v>44.131818938754307</c:v>
                </c:pt>
                <c:pt idx="13">
                  <c:v>441.3181893875431</c:v>
                </c:pt>
                <c:pt idx="14">
                  <c:v>4413.1818938754313</c:v>
                </c:pt>
                <c:pt idx="15">
                  <c:v>44131.81893875431</c:v>
                </c:pt>
                <c:pt idx="16">
                  <c:v>441318.18938754307</c:v>
                </c:pt>
                <c:pt idx="17">
                  <c:v>4413181.8938754313</c:v>
                </c:pt>
                <c:pt idx="18">
                  <c:v>44131818.938754305</c:v>
                </c:pt>
                <c:pt idx="19">
                  <c:v>441318189.38754308</c:v>
                </c:pt>
                <c:pt idx="20">
                  <c:v>4413181893.8754311</c:v>
                </c:pt>
                <c:pt idx="21">
                  <c:v>44131818938.754311</c:v>
                </c:pt>
                <c:pt idx="22">
                  <c:v>441318189387.54309</c:v>
                </c:pt>
                <c:pt idx="23">
                  <c:v>4413181893875.4307</c:v>
                </c:pt>
                <c:pt idx="24">
                  <c:v>44131818938754.305</c:v>
                </c:pt>
                <c:pt idx="25">
                  <c:v>441318189387543.06</c:v>
                </c:pt>
                <c:pt idx="26">
                  <c:v>4413181893875431</c:v>
                </c:pt>
                <c:pt idx="27">
                  <c:v>4.4131818938754312E+16</c:v>
                </c:pt>
                <c:pt idx="28">
                  <c:v>4.413181893875431E+17</c:v>
                </c:pt>
                <c:pt idx="29">
                  <c:v>4.4131818938754309E+18</c:v>
                </c:pt>
                <c:pt idx="30">
                  <c:v>4.413181893875431E+19</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91514712"/>
        <c:axId val="591514320"/>
      </c:scatterChart>
      <c:valAx>
        <c:axId val="5915147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4320"/>
        <c:crosses val="autoZero"/>
        <c:crossBetween val="midCat"/>
      </c:valAx>
      <c:valAx>
        <c:axId val="591514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471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1.1294023394843902E-20</c:v>
                </c:pt>
                <c:pt idx="1">
                  <c:v>1.1294023394843901E-19</c:v>
                </c:pt>
                <c:pt idx="2">
                  <c:v>1.1294023394843902E-18</c:v>
                </c:pt>
                <c:pt idx="3">
                  <c:v>1.1294023394843902E-17</c:v>
                </c:pt>
                <c:pt idx="4">
                  <c:v>1.12940233948439E-16</c:v>
                </c:pt>
                <c:pt idx="5">
                  <c:v>1.1294023394843902E-15</c:v>
                </c:pt>
                <c:pt idx="6">
                  <c:v>1.1294023394843902E-14</c:v>
                </c:pt>
                <c:pt idx="7">
                  <c:v>1.1294023394843902E-13</c:v>
                </c:pt>
                <c:pt idx="8">
                  <c:v>1.1294023394843901E-12</c:v>
                </c:pt>
                <c:pt idx="9">
                  <c:v>1.12940233948439E-11</c:v>
                </c:pt>
                <c:pt idx="10">
                  <c:v>1.1294023394843902E-10</c:v>
                </c:pt>
                <c:pt idx="11">
                  <c:v>1.1294023394843901E-9</c:v>
                </c:pt>
                <c:pt idx="12">
                  <c:v>1.1294023394843901E-8</c:v>
                </c:pt>
                <c:pt idx="13">
                  <c:v>1.1294023394843902E-7</c:v>
                </c:pt>
                <c:pt idx="14">
                  <c:v>1.1294023394843902E-6</c:v>
                </c:pt>
                <c:pt idx="15">
                  <c:v>1.1294023394843902E-5</c:v>
                </c:pt>
                <c:pt idx="16">
                  <c:v>1.1294023394843902E-4</c:v>
                </c:pt>
                <c:pt idx="17">
                  <c:v>1.1294023394843901E-3</c:v>
                </c:pt>
                <c:pt idx="18">
                  <c:v>1.1294023394843901E-2</c:v>
                </c:pt>
                <c:pt idx="19">
                  <c:v>0.11294023394843901</c:v>
                </c:pt>
                <c:pt idx="20">
                  <c:v>1.1294023394843902</c:v>
                </c:pt>
                <c:pt idx="21">
                  <c:v>11.294023394843901</c:v>
                </c:pt>
                <c:pt idx="22">
                  <c:v>112.94023394843902</c:v>
                </c:pt>
                <c:pt idx="23">
                  <c:v>1129.40233948439</c:v>
                </c:pt>
                <c:pt idx="24">
                  <c:v>11294.023394843902</c:v>
                </c:pt>
                <c:pt idx="25">
                  <c:v>112940.23394843901</c:v>
                </c:pt>
                <c:pt idx="26">
                  <c:v>1129402.3394843901</c:v>
                </c:pt>
                <c:pt idx="27">
                  <c:v>11294023.394843901</c:v>
                </c:pt>
                <c:pt idx="28">
                  <c:v>112940233.94843902</c:v>
                </c:pt>
                <c:pt idx="29">
                  <c:v>1129402339.4843903</c:v>
                </c:pt>
                <c:pt idx="30">
                  <c:v>11294023394.843901</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5.3227840590692943E-19</c:v>
                </c:pt>
                <c:pt idx="1">
                  <c:v>5.3227840590692937E-18</c:v>
                </c:pt>
                <c:pt idx="2">
                  <c:v>5.3227840590692937E-17</c:v>
                </c:pt>
                <c:pt idx="3">
                  <c:v>5.3227840590692936E-16</c:v>
                </c:pt>
                <c:pt idx="4">
                  <c:v>5.3227840590692934E-15</c:v>
                </c:pt>
                <c:pt idx="5">
                  <c:v>5.3227840590692938E-14</c:v>
                </c:pt>
                <c:pt idx="6">
                  <c:v>5.3227840590692938E-13</c:v>
                </c:pt>
                <c:pt idx="7">
                  <c:v>5.3227840590692934E-12</c:v>
                </c:pt>
                <c:pt idx="8">
                  <c:v>5.3227840590692933E-11</c:v>
                </c:pt>
                <c:pt idx="9">
                  <c:v>5.3227840590692938E-10</c:v>
                </c:pt>
                <c:pt idx="10">
                  <c:v>5.322784059069294E-9</c:v>
                </c:pt>
                <c:pt idx="11">
                  <c:v>5.3227840590692938E-8</c:v>
                </c:pt>
                <c:pt idx="12">
                  <c:v>5.3227840590692938E-7</c:v>
                </c:pt>
                <c:pt idx="13">
                  <c:v>5.322784059069294E-6</c:v>
                </c:pt>
                <c:pt idx="14">
                  <c:v>5.3227840590692942E-5</c:v>
                </c:pt>
                <c:pt idx="15">
                  <c:v>5.3227840590692934E-4</c:v>
                </c:pt>
                <c:pt idx="16">
                  <c:v>5.3227840590692934E-3</c:v>
                </c:pt>
                <c:pt idx="17">
                  <c:v>5.3227840590692937E-2</c:v>
                </c:pt>
                <c:pt idx="18">
                  <c:v>0.53227840590692932</c:v>
                </c:pt>
                <c:pt idx="19">
                  <c:v>5.3227840590692939</c:v>
                </c:pt>
                <c:pt idx="20">
                  <c:v>53.227840590692935</c:v>
                </c:pt>
                <c:pt idx="21">
                  <c:v>532.27840590692938</c:v>
                </c:pt>
                <c:pt idx="22">
                  <c:v>5322.784059069294</c:v>
                </c:pt>
                <c:pt idx="23">
                  <c:v>53227.840590692933</c:v>
                </c:pt>
                <c:pt idx="24">
                  <c:v>532278.4059069294</c:v>
                </c:pt>
                <c:pt idx="25">
                  <c:v>5322784.0590692936</c:v>
                </c:pt>
                <c:pt idx="26">
                  <c:v>53227840.590692937</c:v>
                </c:pt>
                <c:pt idx="27">
                  <c:v>532278405.90692937</c:v>
                </c:pt>
                <c:pt idx="28">
                  <c:v>5322784059.069294</c:v>
                </c:pt>
                <c:pt idx="29">
                  <c:v>53227840590.69294</c:v>
                </c:pt>
                <c:pt idx="30">
                  <c:v>532278405906.92938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7.2384696204509273E-18</c:v>
                </c:pt>
                <c:pt idx="1">
                  <c:v>7.2384696204509261E-17</c:v>
                </c:pt>
                <c:pt idx="2">
                  <c:v>7.2384696204509268E-16</c:v>
                </c:pt>
                <c:pt idx="3">
                  <c:v>7.2384696204509258E-15</c:v>
                </c:pt>
                <c:pt idx="4">
                  <c:v>7.2384696204509265E-14</c:v>
                </c:pt>
                <c:pt idx="5">
                  <c:v>7.2384696204509262E-13</c:v>
                </c:pt>
                <c:pt idx="6">
                  <c:v>7.2384696204509268E-12</c:v>
                </c:pt>
                <c:pt idx="7">
                  <c:v>7.2384696204509262E-11</c:v>
                </c:pt>
                <c:pt idx="8">
                  <c:v>7.2384696204509264E-10</c:v>
                </c:pt>
                <c:pt idx="9">
                  <c:v>7.2384696204509264E-9</c:v>
                </c:pt>
                <c:pt idx="10">
                  <c:v>7.2384696204509268E-8</c:v>
                </c:pt>
                <c:pt idx="11">
                  <c:v>7.238469620450927E-7</c:v>
                </c:pt>
                <c:pt idx="12">
                  <c:v>7.2384696204509262E-6</c:v>
                </c:pt>
                <c:pt idx="13">
                  <c:v>7.2384696204509262E-5</c:v>
                </c:pt>
                <c:pt idx="14">
                  <c:v>7.2384696204509267E-4</c:v>
                </c:pt>
                <c:pt idx="15">
                  <c:v>7.2384696204509267E-3</c:v>
                </c:pt>
                <c:pt idx="16">
                  <c:v>7.2384696204509269E-2</c:v>
                </c:pt>
                <c:pt idx="17">
                  <c:v>0.72384696204509269</c:v>
                </c:pt>
                <c:pt idx="18">
                  <c:v>7.2384696204509265</c:v>
                </c:pt>
                <c:pt idx="19">
                  <c:v>72.384696204509268</c:v>
                </c:pt>
                <c:pt idx="20">
                  <c:v>723.8469620450926</c:v>
                </c:pt>
                <c:pt idx="21">
                  <c:v>7238.4696204509264</c:v>
                </c:pt>
                <c:pt idx="22">
                  <c:v>72384.696204509266</c:v>
                </c:pt>
                <c:pt idx="23">
                  <c:v>723846.9620450926</c:v>
                </c:pt>
                <c:pt idx="24">
                  <c:v>7238469.620450926</c:v>
                </c:pt>
                <c:pt idx="25">
                  <c:v>72384696.204509258</c:v>
                </c:pt>
                <c:pt idx="26">
                  <c:v>723846962.04509258</c:v>
                </c:pt>
                <c:pt idx="27">
                  <c:v>7238469620.4509268</c:v>
                </c:pt>
                <c:pt idx="28">
                  <c:v>72384696204.509262</c:v>
                </c:pt>
                <c:pt idx="29">
                  <c:v>723846962045.09265</c:v>
                </c:pt>
                <c:pt idx="30">
                  <c:v>7238469620450.9268</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6.0663528821380426E-17</c:v>
                </c:pt>
                <c:pt idx="1">
                  <c:v>6.0663528821380423E-16</c:v>
                </c:pt>
                <c:pt idx="2">
                  <c:v>6.0663528821380425E-15</c:v>
                </c:pt>
                <c:pt idx="3">
                  <c:v>6.0663528821380427E-14</c:v>
                </c:pt>
                <c:pt idx="4">
                  <c:v>6.0663528821380419E-13</c:v>
                </c:pt>
                <c:pt idx="5">
                  <c:v>6.0663528821380432E-12</c:v>
                </c:pt>
                <c:pt idx="6">
                  <c:v>6.066352882138043E-11</c:v>
                </c:pt>
                <c:pt idx="7">
                  <c:v>6.0663528821380427E-10</c:v>
                </c:pt>
                <c:pt idx="8">
                  <c:v>6.0663528821380425E-9</c:v>
                </c:pt>
                <c:pt idx="9">
                  <c:v>6.0663528821380424E-8</c:v>
                </c:pt>
                <c:pt idx="10">
                  <c:v>6.0663528821380429E-7</c:v>
                </c:pt>
                <c:pt idx="11">
                  <c:v>6.0663528821380427E-6</c:v>
                </c:pt>
                <c:pt idx="12">
                  <c:v>6.0663528821380428E-5</c:v>
                </c:pt>
                <c:pt idx="13">
                  <c:v>6.0663528821380428E-4</c:v>
                </c:pt>
                <c:pt idx="14">
                  <c:v>6.0663528821380428E-3</c:v>
                </c:pt>
                <c:pt idx="15">
                  <c:v>6.066352882138043E-2</c:v>
                </c:pt>
                <c:pt idx="16">
                  <c:v>0.6066352882138043</c:v>
                </c:pt>
                <c:pt idx="17">
                  <c:v>6.0663528821380428</c:v>
                </c:pt>
                <c:pt idx="18">
                  <c:v>60.663528821380424</c:v>
                </c:pt>
                <c:pt idx="19">
                  <c:v>606.6352882138043</c:v>
                </c:pt>
                <c:pt idx="20">
                  <c:v>6066.3528821380423</c:v>
                </c:pt>
                <c:pt idx="21">
                  <c:v>60663.528821380431</c:v>
                </c:pt>
                <c:pt idx="22">
                  <c:v>606635.28821380425</c:v>
                </c:pt>
                <c:pt idx="23">
                  <c:v>6066352.8821380427</c:v>
                </c:pt>
                <c:pt idx="24">
                  <c:v>60663528.821380429</c:v>
                </c:pt>
                <c:pt idx="25">
                  <c:v>606635288.21380424</c:v>
                </c:pt>
                <c:pt idx="26">
                  <c:v>6066352882.1380424</c:v>
                </c:pt>
                <c:pt idx="27">
                  <c:v>60663528821.380424</c:v>
                </c:pt>
                <c:pt idx="28">
                  <c:v>606635288213.80432</c:v>
                </c:pt>
                <c:pt idx="29">
                  <c:v>6066352882138.043</c:v>
                </c:pt>
                <c:pt idx="30">
                  <c:v>60663528821380.43</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2.2605132727436635E-13</c:v>
                </c:pt>
                <c:pt idx="1">
                  <c:v>2.2605132727436636E-12</c:v>
                </c:pt>
                <c:pt idx="2">
                  <c:v>2.2605132727436636E-11</c:v>
                </c:pt>
                <c:pt idx="3">
                  <c:v>2.2605132727436633E-10</c:v>
                </c:pt>
                <c:pt idx="4">
                  <c:v>2.2605132727436634E-9</c:v>
                </c:pt>
                <c:pt idx="5">
                  <c:v>2.2605132727436635E-8</c:v>
                </c:pt>
                <c:pt idx="6">
                  <c:v>2.2605132727436637E-7</c:v>
                </c:pt>
                <c:pt idx="7">
                  <c:v>2.2605132727436637E-6</c:v>
                </c:pt>
                <c:pt idx="8">
                  <c:v>2.2605132727436634E-5</c:v>
                </c:pt>
                <c:pt idx="9">
                  <c:v>2.2605132727436633E-4</c:v>
                </c:pt>
                <c:pt idx="10">
                  <c:v>2.2605132727436636E-3</c:v>
                </c:pt>
                <c:pt idx="11">
                  <c:v>2.2605132727436635E-2</c:v>
                </c:pt>
                <c:pt idx="12">
                  <c:v>0.22605132727436636</c:v>
                </c:pt>
                <c:pt idx="13">
                  <c:v>2.2605132727436636</c:v>
                </c:pt>
                <c:pt idx="14">
                  <c:v>22.605132727436636</c:v>
                </c:pt>
                <c:pt idx="15">
                  <c:v>226.05132727436634</c:v>
                </c:pt>
                <c:pt idx="16">
                  <c:v>2260.5132727436635</c:v>
                </c:pt>
                <c:pt idx="17">
                  <c:v>22605.132727436634</c:v>
                </c:pt>
                <c:pt idx="18">
                  <c:v>226051.32727436634</c:v>
                </c:pt>
                <c:pt idx="19">
                  <c:v>2260513.2727436633</c:v>
                </c:pt>
                <c:pt idx="20">
                  <c:v>22605132.727436636</c:v>
                </c:pt>
                <c:pt idx="21">
                  <c:v>226051327.27436635</c:v>
                </c:pt>
                <c:pt idx="22">
                  <c:v>2260513272.7436633</c:v>
                </c:pt>
                <c:pt idx="23">
                  <c:v>22605132727.436634</c:v>
                </c:pt>
                <c:pt idx="24">
                  <c:v>226051327274.36633</c:v>
                </c:pt>
                <c:pt idx="25">
                  <c:v>2260513272743.6636</c:v>
                </c:pt>
                <c:pt idx="26">
                  <c:v>22605132727436.633</c:v>
                </c:pt>
                <c:pt idx="27">
                  <c:v>226051327274366.34</c:v>
                </c:pt>
                <c:pt idx="28">
                  <c:v>2260513272743663.5</c:v>
                </c:pt>
                <c:pt idx="29">
                  <c:v>2.2605132727436636E+16</c:v>
                </c:pt>
                <c:pt idx="30">
                  <c:v>2.2605132727436634E+17</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4.413181893875431E-11</c:v>
                </c:pt>
                <c:pt idx="1">
                  <c:v>4.413181893875431E-10</c:v>
                </c:pt>
                <c:pt idx="2">
                  <c:v>4.4131818938754311E-9</c:v>
                </c:pt>
                <c:pt idx="3">
                  <c:v>4.413181893875431E-8</c:v>
                </c:pt>
                <c:pt idx="4">
                  <c:v>4.4131818938754307E-7</c:v>
                </c:pt>
                <c:pt idx="5">
                  <c:v>4.4131818938754312E-6</c:v>
                </c:pt>
                <c:pt idx="6">
                  <c:v>4.4131818938754309E-5</c:v>
                </c:pt>
                <c:pt idx="7">
                  <c:v>4.4131818938754309E-4</c:v>
                </c:pt>
                <c:pt idx="8">
                  <c:v>4.4131818938754307E-3</c:v>
                </c:pt>
                <c:pt idx="9">
                  <c:v>4.4131818938754307E-2</c:v>
                </c:pt>
                <c:pt idx="10">
                  <c:v>0.44131818938754314</c:v>
                </c:pt>
                <c:pt idx="11">
                  <c:v>4.4131818938754312</c:v>
                </c:pt>
                <c:pt idx="12">
                  <c:v>44.131818938754307</c:v>
                </c:pt>
                <c:pt idx="13">
                  <c:v>441.3181893875431</c:v>
                </c:pt>
                <c:pt idx="14">
                  <c:v>4413.1818938754313</c:v>
                </c:pt>
                <c:pt idx="15">
                  <c:v>44131.81893875431</c:v>
                </c:pt>
                <c:pt idx="16">
                  <c:v>441318.18938754307</c:v>
                </c:pt>
                <c:pt idx="17">
                  <c:v>4413181.8938754313</c:v>
                </c:pt>
                <c:pt idx="18">
                  <c:v>44131818.938754305</c:v>
                </c:pt>
                <c:pt idx="19">
                  <c:v>441318189.38754308</c:v>
                </c:pt>
                <c:pt idx="20">
                  <c:v>4413181893.8754311</c:v>
                </c:pt>
                <c:pt idx="21">
                  <c:v>44131818938.754311</c:v>
                </c:pt>
                <c:pt idx="22">
                  <c:v>441318189387.54309</c:v>
                </c:pt>
                <c:pt idx="23">
                  <c:v>4413181893875.4307</c:v>
                </c:pt>
                <c:pt idx="24">
                  <c:v>44131818938754.305</c:v>
                </c:pt>
                <c:pt idx="25">
                  <c:v>441318189387543.06</c:v>
                </c:pt>
                <c:pt idx="26">
                  <c:v>4413181893875431</c:v>
                </c:pt>
                <c:pt idx="27">
                  <c:v>4.4131818938754312E+16</c:v>
                </c:pt>
                <c:pt idx="28">
                  <c:v>4.413181893875431E+17</c:v>
                </c:pt>
                <c:pt idx="29">
                  <c:v>4.4131818938754309E+18</c:v>
                </c:pt>
                <c:pt idx="30">
                  <c:v>4.413181893875431E+19</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91515496"/>
        <c:axId val="591516280"/>
      </c:scatterChart>
      <c:valAx>
        <c:axId val="5915154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6280"/>
        <c:crosses val="autoZero"/>
        <c:crossBetween val="midCat"/>
      </c:valAx>
      <c:valAx>
        <c:axId val="591516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549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-11.391236875275727</c:v>
                </c:pt>
                <c:pt idx="1">
                  <c:v>-11.323065370515776</c:v>
                </c:pt>
                <c:pt idx="2">
                  <c:v>-11.254788234161197</c:v>
                </c:pt>
                <c:pt idx="3">
                  <c:v>-11.18629983461736</c:v>
                </c:pt>
                <c:pt idx="4">
                  <c:v>-11.117494540289636</c:v>
                </c:pt>
                <c:pt idx="5">
                  <c:v>-11.048266719583394</c:v>
                </c:pt>
                <c:pt idx="6">
                  <c:v>-10.97851074090401</c:v>
                </c:pt>
                <c:pt idx="7">
                  <c:v>-10.908120972656851</c:v>
                </c:pt>
                <c:pt idx="8">
                  <c:v>-10.836991783247289</c:v>
                </c:pt>
                <c:pt idx="9">
                  <c:v>-10.765017541080693</c:v>
                </c:pt>
                <c:pt idx="10">
                  <c:v>-10.692092614562437</c:v>
                </c:pt>
                <c:pt idx="11">
                  <c:v>-10.618111372097893</c:v>
                </c:pt>
                <c:pt idx="12">
                  <c:v>-10.542968182092427</c:v>
                </c:pt>
                <c:pt idx="13">
                  <c:v>-10.466557412951413</c:v>
                </c:pt>
                <c:pt idx="14">
                  <c:v>-10.388773433080225</c:v>
                </c:pt>
                <c:pt idx="15">
                  <c:v>-10.30951061088423</c:v>
                </c:pt>
                <c:pt idx="16">
                  <c:v>-10.228663314768799</c:v>
                </c:pt>
                <c:pt idx="17">
                  <c:v>-10.146125913139304</c:v>
                </c:pt>
                <c:pt idx="18">
                  <c:v>-10.061792774401116</c:v>
                </c:pt>
                <c:pt idx="19">
                  <c:v>-9.9755582669596059</c:v>
                </c:pt>
                <c:pt idx="20">
                  <c:v>-9.8873167592201447</c:v>
                </c:pt>
                <c:pt idx="21">
                  <c:v>-9.7969626195881023</c:v>
                </c:pt>
                <c:pt idx="22">
                  <c:v>-9.7043902164688518</c:v>
                </c:pt>
                <c:pt idx="23">
                  <c:v>-9.6094939182677646</c:v>
                </c:pt>
                <c:pt idx="24">
                  <c:v>-9.5121680933902084</c:v>
                </c:pt>
                <c:pt idx="25">
                  <c:v>-9.4123071102415565</c:v>
                </c:pt>
                <c:pt idx="26">
                  <c:v>-9.3098053372271821</c:v>
                </c:pt>
                <c:pt idx="27">
                  <c:v>-9.2045571427524511</c:v>
                </c:pt>
                <c:pt idx="28">
                  <c:v>-9.0964568952227367</c:v>
                </c:pt>
                <c:pt idx="29">
                  <c:v>-8.9853989630434103</c:v>
                </c:pt>
                <c:pt idx="30">
                  <c:v>-8.8712777146198434</c:v>
                </c:pt>
                <c:pt idx="31">
                  <c:v>-8.7539875183574072</c:v>
                </c:pt>
                <c:pt idx="32">
                  <c:v>-8.6334227426614696</c:v>
                </c:pt>
                <c:pt idx="33">
                  <c:v>-8.5094777559374055</c:v>
                </c:pt>
                <c:pt idx="34">
                  <c:v>-8.3820469265905846</c:v>
                </c:pt>
                <c:pt idx="35">
                  <c:v>-8.2510246230263782</c:v>
                </c:pt>
                <c:pt idx="36">
                  <c:v>-8.1163052136501541</c:v>
                </c:pt>
                <c:pt idx="37">
                  <c:v>-7.9777830668672873</c:v>
                </c:pt>
                <c:pt idx="38">
                  <c:v>-7.8353525510831483</c:v>
                </c:pt>
                <c:pt idx="39">
                  <c:v>-7.6889080347031058</c:v>
                </c:pt>
                <c:pt idx="40">
                  <c:v>-7.538343886132532</c:v>
                </c:pt>
                <c:pt idx="41">
                  <c:v>-7.4569718077661182</c:v>
                </c:pt>
                <c:pt idx="42">
                  <c:v>-7.3716405743383495</c:v>
                </c:pt>
                <c:pt idx="43">
                  <c:v>-7.2826162945730326</c:v>
                </c:pt>
                <c:pt idx="44">
                  <c:v>-7.1901650771939725</c:v>
                </c:pt>
                <c:pt idx="45">
                  <c:v>-7.0945530309249758</c:v>
                </c:pt>
                <c:pt idx="46">
                  <c:v>-6.9960462644898467</c:v>
                </c:pt>
                <c:pt idx="47">
                  <c:v>-6.89491088661239</c:v>
                </c:pt>
                <c:pt idx="48">
                  <c:v>-6.7914130060164126</c:v>
                </c:pt>
                <c:pt idx="49">
                  <c:v>-6.685818731425722</c:v>
                </c:pt>
                <c:pt idx="50">
                  <c:v>-6.5783941715641223</c:v>
                </c:pt>
                <c:pt idx="51">
                  <c:v>-6.4694054351554167</c:v>
                </c:pt>
                <c:pt idx="52">
                  <c:v>-6.3591186309234153</c:v>
                </c:pt>
                <c:pt idx="53">
                  <c:v>-6.2477998675919206</c:v>
                </c:pt>
                <c:pt idx="54">
                  <c:v>-6.1357152538847384</c:v>
                </c:pt>
                <c:pt idx="55">
                  <c:v>-6.0231308985256753</c:v>
                </c:pt>
                <c:pt idx="56">
                  <c:v>-5.9103129102385381</c:v>
                </c:pt>
                <c:pt idx="57">
                  <c:v>-5.79752739774713</c:v>
                </c:pt>
                <c:pt idx="58">
                  <c:v>-5.6850404697752568</c:v>
                </c:pt>
                <c:pt idx="59">
                  <c:v>-5.5731182350467261</c:v>
                </c:pt>
                <c:pt idx="60">
                  <c:v>-5.4620268022853429</c:v>
                </c:pt>
                <c:pt idx="61">
                  <c:v>-5.3520322802149121</c:v>
                </c:pt>
                <c:pt idx="62">
                  <c:v>-5.2434007775592395</c:v>
                </c:pt>
                <c:pt idx="63">
                  <c:v>-5.136398403042131</c:v>
                </c:pt>
                <c:pt idx="64">
                  <c:v>-5.0312912653873925</c:v>
                </c:pt>
                <c:pt idx="65">
                  <c:v>-4.9283454733188288</c:v>
                </c:pt>
                <c:pt idx="66">
                  <c:v>-4.8277610175826711</c:v>
                </c:pt>
                <c:pt idx="67">
                  <c:v>-4.7294734170148507</c:v>
                </c:pt>
                <c:pt idx="68">
                  <c:v>-4.6333520724737234</c:v>
                </c:pt>
                <c:pt idx="69">
                  <c:v>-4.5392663848176484</c:v>
                </c:pt>
                <c:pt idx="70">
                  <c:v>-4.4470857549049772</c:v>
                </c:pt>
                <c:pt idx="71">
                  <c:v>-4.3566795835940697</c:v>
                </c:pt>
                <c:pt idx="72">
                  <c:v>-4.2679172717432809</c:v>
                </c:pt>
                <c:pt idx="73">
                  <c:v>-4.1806682202109666</c:v>
                </c:pt>
                <c:pt idx="74">
                  <c:v>-4.0948018298554851</c:v>
                </c:pt>
                <c:pt idx="75">
                  <c:v>-4.0101875015351904</c:v>
                </c:pt>
                <c:pt idx="76">
                  <c:v>-3.9266946361084409</c:v>
                </c:pt>
                <c:pt idx="77">
                  <c:v>-3.844192634433591</c:v>
                </c:pt>
                <c:pt idx="78">
                  <c:v>-3.7625508973689983</c:v>
                </c:pt>
                <c:pt idx="79">
                  <c:v>-3.6816388257730184</c:v>
                </c:pt>
                <c:pt idx="80">
                  <c:v>-3.601325820504008</c:v>
                </c:pt>
                <c:pt idx="81">
                  <c:v>-3.5214812824203232</c:v>
                </c:pt>
                <c:pt idx="82">
                  <c:v>-3.4419746123803212</c:v>
                </c:pt>
                <c:pt idx="83">
                  <c:v>-3.3626752112423572</c:v>
                </c:pt>
                <c:pt idx="84">
                  <c:v>-3.2834524798647884</c:v>
                </c:pt>
                <c:pt idx="85">
                  <c:v>-3.2041758191059699</c:v>
                </c:pt>
                <c:pt idx="86">
                  <c:v>-3.1247146298242594</c:v>
                </c:pt>
                <c:pt idx="87">
                  <c:v>-3.0449383128780121</c:v>
                </c:pt>
                <c:pt idx="88">
                  <c:v>-2.9647162691255851</c:v>
                </c:pt>
                <c:pt idx="89">
                  <c:v>-2.8839178994253345</c:v>
                </c:pt>
                <c:pt idx="90">
                  <c:v>-2.8024126046356161</c:v>
                </c:pt>
                <c:pt idx="91">
                  <c:v>-2.7200927203610172</c:v>
                </c:pt>
                <c:pt idx="92">
                  <c:v>-2.6369423211910434</c:v>
                </c:pt>
                <c:pt idx="93">
                  <c:v>-2.5529684164614319</c:v>
                </c:pt>
                <c:pt idx="94">
                  <c:v>-2.4681780155079194</c:v>
                </c:pt>
                <c:pt idx="95">
                  <c:v>-2.3825781276662408</c:v>
                </c:pt>
                <c:pt idx="96">
                  <c:v>-2.2961757622721346</c:v>
                </c:pt>
                <c:pt idx="97">
                  <c:v>-2.2089779286613362</c:v>
                </c:pt>
                <c:pt idx="98">
                  <c:v>-2.1209916361695824</c:v>
                </c:pt>
                <c:pt idx="99">
                  <c:v>-2.0322238941326103</c:v>
                </c:pt>
                <c:pt idx="100">
                  <c:v>-1.9426817118861552</c:v>
                </c:pt>
                <c:pt idx="101">
                  <c:v>-1.8523720987659544</c:v>
                </c:pt>
                <c:pt idx="102">
                  <c:v>-1.7613020641077446</c:v>
                </c:pt>
                <c:pt idx="103">
                  <c:v>-1.6694786172472615</c:v>
                </c:pt>
                <c:pt idx="104">
                  <c:v>-1.5769087675202422</c:v>
                </c:pt>
                <c:pt idx="105">
                  <c:v>-1.4835995242624234</c:v>
                </c:pt>
                <c:pt idx="106">
                  <c:v>-1.389557896809541</c:v>
                </c:pt>
                <c:pt idx="107">
                  <c:v>-1.2947908944973325</c:v>
                </c:pt>
                <c:pt idx="108">
                  <c:v>-1.1993055266615333</c:v>
                </c:pt>
                <c:pt idx="109">
                  <c:v>-1.1031088026378806</c:v>
                </c:pt>
                <c:pt idx="110">
                  <c:v>-1.0062077317621105</c:v>
                </c:pt>
                <c:pt idx="111">
                  <c:v>-0.90860932336995992</c:v>
                </c:pt>
                <c:pt idx="112">
                  <c:v>-0.81032058679716512</c:v>
                </c:pt>
                <c:pt idx="113">
                  <c:v>-0.71134853137946263</c:v>
                </c:pt>
                <c:pt idx="114">
                  <c:v>-0.61170016645258918</c:v>
                </c:pt>
                <c:pt idx="115">
                  <c:v>-0.51138250135228103</c:v>
                </c:pt>
                <c:pt idx="116">
                  <c:v>-0.4104025454142749</c:v>
                </c:pt>
                <c:pt idx="117">
                  <c:v>-0.30876730797430718</c:v>
                </c:pt>
                <c:pt idx="118">
                  <c:v>-0.20648379836811448</c:v>
                </c:pt>
                <c:pt idx="119">
                  <c:v>-0.10355902593143325</c:v>
                </c:pt>
                <c:pt idx="120">
                  <c:v>0</c:v>
                </c:pt>
                <c:pt idx="121">
                  <c:v>0.10418866032288009</c:v>
                </c:pt>
                <c:pt idx="122">
                  <c:v>0.20901189686362706</c:v>
                </c:pt>
                <c:pt idx="123">
                  <c:v>0.31447704168109236</c:v>
                </c:pt>
                <c:pt idx="124">
                  <c:v>0.42059142683412754</c:v>
                </c:pt>
                <c:pt idx="125">
                  <c:v>0.52736238438158378</c:v>
                </c:pt>
                <c:pt idx="126">
                  <c:v>0.63479724638231294</c:v>
                </c:pt>
                <c:pt idx="127">
                  <c:v>0.74290334489516596</c:v>
                </c:pt>
                <c:pt idx="128">
                  <c:v>0.85168801197899469</c:v>
                </c:pt>
                <c:pt idx="129">
                  <c:v>0.96115857969265039</c:v>
                </c:pt>
                <c:pt idx="130">
                  <c:v>1.0713223800949845</c:v>
                </c:pt>
                <c:pt idx="131">
                  <c:v>1.1821867452448485</c:v>
                </c:pt>
                <c:pt idx="132">
                  <c:v>1.2937590072010938</c:v>
                </c:pt>
                <c:pt idx="133">
                  <c:v>1.4060464980225718</c:v>
                </c:pt>
                <c:pt idx="134">
                  <c:v>1.5190565497681341</c:v>
                </c:pt>
                <c:pt idx="135">
                  <c:v>1.632796494496632</c:v>
                </c:pt>
                <c:pt idx="136">
                  <c:v>1.7472736642669169</c:v>
                </c:pt>
                <c:pt idx="137">
                  <c:v>1.8624953911378404</c:v>
                </c:pt>
                <c:pt idx="138">
                  <c:v>1.9784690071682538</c:v>
                </c:pt>
                <c:pt idx="139">
                  <c:v>2.0952018444170082</c:v>
                </c:pt>
                <c:pt idx="140">
                  <c:v>2.2127012349429562</c:v>
                </c:pt>
                <c:pt idx="141">
                  <c:v>2.330974510804948</c:v>
                </c:pt>
                <c:pt idx="142">
                  <c:v>2.4500290040618355</c:v>
                </c:pt>
                <c:pt idx="143">
                  <c:v>2.5698720467724705</c:v>
                </c:pt>
                <c:pt idx="144">
                  <c:v>2.690510970995704</c:v>
                </c:pt>
                <c:pt idx="145">
                  <c:v>2.8119531087903868</c:v>
                </c:pt>
                <c:pt idx="146">
                  <c:v>2.9342057922153719</c:v>
                </c:pt>
                <c:pt idx="147">
                  <c:v>3.05727635332951</c:v>
                </c:pt>
                <c:pt idx="148">
                  <c:v>3.1811721241916517</c:v>
                </c:pt>
                <c:pt idx="149">
                  <c:v>3.3059004368606497</c:v>
                </c:pt>
                <c:pt idx="150">
                  <c:v>3.4314686233953551</c:v>
                </c:pt>
                <c:pt idx="151">
                  <c:v>3.5578840158546186</c:v>
                </c:pt>
                <c:pt idx="152">
                  <c:v>3.6851539462972922</c:v>
                </c:pt>
                <c:pt idx="153">
                  <c:v>3.8132857467822281</c:v>
                </c:pt>
                <c:pt idx="154">
                  <c:v>3.9422867493682761</c:v>
                </c:pt>
                <c:pt idx="155">
                  <c:v>4.0721642861142886</c:v>
                </c:pt>
                <c:pt idx="156">
                  <c:v>4.2029256890791178</c:v>
                </c:pt>
                <c:pt idx="157">
                  <c:v>4.3345782903216143</c:v>
                </c:pt>
                <c:pt idx="158">
                  <c:v>4.4671294219006281</c:v>
                </c:pt>
                <c:pt idx="159">
                  <c:v>4.6005864158750134</c:v>
                </c:pt>
                <c:pt idx="160">
                  <c:v>4.73495660430362</c:v>
                </c:pt>
                <c:pt idx="161">
                  <c:v>4.8702473192452995</c:v>
                </c:pt>
                <c:pt idx="162">
                  <c:v>5.0064658927589036</c:v>
                </c:pt>
                <c:pt idx="163">
                  <c:v>5.1436196569032839</c:v>
                </c:pt>
                <c:pt idx="164">
                  <c:v>5.2817159437372903</c:v>
                </c:pt>
                <c:pt idx="165">
                  <c:v>5.4207620853197769</c:v>
                </c:pt>
                <c:pt idx="166">
                  <c:v>5.5607596336673684</c:v>
                </c:pt>
                <c:pt idx="167">
                  <c:v>5.7016870206277961</c:v>
                </c:pt>
                <c:pt idx="168">
                  <c:v>5.8435168980065626</c:v>
                </c:pt>
                <c:pt idx="169">
                  <c:v>5.9862219176091749</c:v>
                </c:pt>
                <c:pt idx="170">
                  <c:v>6.1297747312411355</c:v>
                </c:pt>
                <c:pt idx="171">
                  <c:v>6.2741479907079523</c:v>
                </c:pt>
                <c:pt idx="172">
                  <c:v>6.4193143478151278</c:v>
                </c:pt>
                <c:pt idx="173">
                  <c:v>6.5652464543681672</c:v>
                </c:pt>
                <c:pt idx="174">
                  <c:v>6.7119169621725758</c:v>
                </c:pt>
                <c:pt idx="175">
                  <c:v>6.8592985230338588</c:v>
                </c:pt>
                <c:pt idx="176">
                  <c:v>7.0073637887575195</c:v>
                </c:pt>
                <c:pt idx="177">
                  <c:v>7.1560854111490642</c:v>
                </c:pt>
                <c:pt idx="178">
                  <c:v>7.3054360420139979</c:v>
                </c:pt>
                <c:pt idx="179">
                  <c:v>7.455388333157825</c:v>
                </c:pt>
                <c:pt idx="180">
                  <c:v>7.6059149363860499</c:v>
                </c:pt>
                <c:pt idx="181">
                  <c:v>7.7569885035041786</c:v>
                </c:pt>
                <c:pt idx="182">
                  <c:v>7.9085816863177136</c:v>
                </c:pt>
                <c:pt idx="183">
                  <c:v>8.0606671366321621</c:v>
                </c:pt>
                <c:pt idx="184">
                  <c:v>8.2132175062530273</c:v>
                </c:pt>
                <c:pt idx="185">
                  <c:v>8.3662054469858163</c:v>
                </c:pt>
                <c:pt idx="186">
                  <c:v>8.5196036106360324</c:v>
                </c:pt>
                <c:pt idx="187">
                  <c:v>8.6733846490091793</c:v>
                </c:pt>
                <c:pt idx="188">
                  <c:v>8.8275212139107637</c:v>
                </c:pt>
                <c:pt idx="189">
                  <c:v>8.981985957146291</c:v>
                </c:pt>
                <c:pt idx="190">
                  <c:v>9.1367515305212645</c:v>
                </c:pt>
                <c:pt idx="191">
                  <c:v>9.2917905858411896</c:v>
                </c:pt>
                <c:pt idx="192">
                  <c:v>9.4470757749115712</c:v>
                </c:pt>
                <c:pt idx="193">
                  <c:v>9.602579749537913</c:v>
                </c:pt>
                <c:pt idx="194">
                  <c:v>9.7582751615257202</c:v>
                </c:pt>
                <c:pt idx="195">
                  <c:v>9.9141346626804996</c:v>
                </c:pt>
                <c:pt idx="196">
                  <c:v>10.070130904807755</c:v>
                </c:pt>
                <c:pt idx="197">
                  <c:v>10.226236539712991</c:v>
                </c:pt>
                <c:pt idx="198">
                  <c:v>10.38242421920171</c:v>
                </c:pt>
                <c:pt idx="199">
                  <c:v>10.538666595079423</c:v>
                </c:pt>
                <c:pt idx="200">
                  <c:v>10.69493631915163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-11.391236875275727</c:v>
                </c:pt>
                <c:pt idx="1">
                  <c:v>-7.538343886132532</c:v>
                </c:pt>
                <c:pt idx="2">
                  <c:v>-4.9283454733188288</c:v>
                </c:pt>
                <c:pt idx="3">
                  <c:v>-2.8024126046356161</c:v>
                </c:pt>
                <c:pt idx="4">
                  <c:v>0</c:v>
                </c:pt>
                <c:pt idx="5">
                  <c:v>5.4207620853197769</c:v>
                </c:pt>
                <c:pt idx="6">
                  <c:v>10.69493631915163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-11.367814499653612</c:v>
                </c:pt>
                <c:pt idx="1">
                  <c:v>-11.304958431418875</c:v>
                </c:pt>
                <c:pt idx="2">
                  <c:v>-11.242525483206265</c:v>
                </c:pt>
                <c:pt idx="3">
                  <c:v>-11.180068937559298</c:v>
                </c:pt>
                <c:pt idx="4">
                  <c:v>-11.117190741372774</c:v>
                </c:pt>
                <c:pt idx="5">
                  <c:v>-11.053538597178203</c:v>
                </c:pt>
                <c:pt idx="6">
                  <c:v>-10.988803162501156</c:v>
                </c:pt>
                <c:pt idx="7">
                  <c:v>-10.922715354901772</c:v>
                </c:pt>
                <c:pt idx="8">
                  <c:v>-10.855043760334466</c:v>
                </c:pt>
                <c:pt idx="9">
                  <c:v>-10.785592142486903</c:v>
                </c:pt>
                <c:pt idx="10">
                  <c:v>-10.714197050783172</c:v>
                </c:pt>
                <c:pt idx="11">
                  <c:v>-10.640725524759993</c:v>
                </c:pt>
                <c:pt idx="12">
                  <c:v>-10.565072892549832</c:v>
                </c:pt>
                <c:pt idx="13">
                  <c:v>-10.487160661228577</c:v>
                </c:pt>
                <c:pt idx="14">
                  <c:v>-10.40693449681036</c:v>
                </c:pt>
                <c:pt idx="15">
                  <c:v>-10.324362291696296</c:v>
                </c:pt>
                <c:pt idx="16">
                  <c:v>-10.239432317408308</c:v>
                </c:pt>
                <c:pt idx="17">
                  <c:v>-10.152151460463809</c:v>
                </c:pt>
                <c:pt idx="18">
                  <c:v>-10.062543539271193</c:v>
                </c:pt>
                <c:pt idx="19">
                  <c:v>-9.970647699950753</c:v>
                </c:pt>
                <c:pt idx="20">
                  <c:v>-9.876516889009924</c:v>
                </c:pt>
                <c:pt idx="21">
                  <c:v>-9.7802164008260988</c:v>
                </c:pt>
                <c:pt idx="22">
                  <c:v>-9.6818224979150109</c:v>
                </c:pt>
                <c:pt idx="23">
                  <c:v>-9.5814211019866029</c:v>
                </c:pt>
                <c:pt idx="24">
                  <c:v>-9.4791065538152903</c:v>
                </c:pt>
                <c:pt idx="25">
                  <c:v>-9.3749804399753991</c:v>
                </c:pt>
                <c:pt idx="26">
                  <c:v>-9.2691504845174606</c:v>
                </c:pt>
                <c:pt idx="27">
                  <c:v>-9.1617295036850912</c:v>
                </c:pt>
                <c:pt idx="28">
                  <c:v>-9.0528344217968915</c:v>
                </c:pt>
                <c:pt idx="29">
                  <c:v>-8.9425853464420086</c:v>
                </c:pt>
                <c:pt idx="30">
                  <c:v>-8.8311047011625909</c:v>
                </c:pt>
                <c:pt idx="31">
                  <c:v>-8.7185164138206677</c:v>
                </c:pt>
                <c:pt idx="32">
                  <c:v>-8.6049451588715051</c:v>
                </c:pt>
                <c:pt idx="33">
                  <c:v>-8.4905156517898028</c:v>
                </c:pt>
                <c:pt idx="34">
                  <c:v>-8.3753519939196668</c:v>
                </c:pt>
                <c:pt idx="35">
                  <c:v>-8.2595770660435708</c:v>
                </c:pt>
                <c:pt idx="36">
                  <c:v>-8.1433119689900177</c:v>
                </c:pt>
                <c:pt idx="37">
                  <c:v>-8.0266755096240487</c:v>
                </c:pt>
                <c:pt idx="38">
                  <c:v>-7.9097837305891074</c:v>
                </c:pt>
                <c:pt idx="39">
                  <c:v>-7.7927494821932619</c:v>
                </c:pt>
                <c:pt idx="40">
                  <c:v>-7.6756820348571386</c:v>
                </c:pt>
                <c:pt idx="41">
                  <c:v>-7.5586867305654382</c:v>
                </c:pt>
                <c:pt idx="42">
                  <c:v>-7.4418646717882018</c:v>
                </c:pt>
                <c:pt idx="43">
                  <c:v>-7.3253124463625321</c:v>
                </c:pt>
                <c:pt idx="44">
                  <c:v>-7.2091218868498652</c:v>
                </c:pt>
                <c:pt idx="45">
                  <c:v>-7.0933798629082512</c:v>
                </c:pt>
                <c:pt idx="46">
                  <c:v>-6.9781681052436166</c:v>
                </c:pt>
                <c:pt idx="47">
                  <c:v>-6.8635630597283317</c:v>
                </c:pt>
                <c:pt idx="48">
                  <c:v>-6.7496357702999052</c:v>
                </c:pt>
                <c:pt idx="49">
                  <c:v>-6.6364517892769541</c:v>
                </c:pt>
                <c:pt idx="50">
                  <c:v>-6.5240711137540739</c:v>
                </c:pt>
                <c:pt idx="51">
                  <c:v>-6.412548146761714</c:v>
                </c:pt>
                <c:pt idx="52">
                  <c:v>-6.3019316819014737</c:v>
                </c:pt>
                <c:pt idx="53">
                  <c:v>-6.1922649101916942</c:v>
                </c:pt>
                <c:pt idx="54">
                  <c:v>-6.0835854478827525</c:v>
                </c:pt>
                <c:pt idx="55">
                  <c:v>-5.9759253840256665</c:v>
                </c:pt>
                <c:pt idx="56">
                  <c:v>-5.8693113466023101</c:v>
                </c:pt>
                <c:pt idx="57">
                  <c:v>-5.7637645860497013</c:v>
                </c:pt>
                <c:pt idx="58">
                  <c:v>-5.6593010750354633</c:v>
                </c:pt>
                <c:pt idx="59">
                  <c:v>-5.5559316233658276</c:v>
                </c:pt>
                <c:pt idx="60">
                  <c:v>-5.4536620069320829</c:v>
                </c:pt>
                <c:pt idx="61">
                  <c:v>-5.3524931096256898</c:v>
                </c:pt>
                <c:pt idx="62">
                  <c:v>-5.2524210771768365</c:v>
                </c:pt>
                <c:pt idx="63">
                  <c:v>-5.1534374818954856</c:v>
                </c:pt>
                <c:pt idx="64">
                  <c:v>-5.0555294973185072</c:v>
                </c:pt>
                <c:pt idx="65">
                  <c:v>-4.9586800817908436</c:v>
                </c:pt>
                <c:pt idx="66">
                  <c:v>-4.8628681700331242</c:v>
                </c:pt>
                <c:pt idx="67">
                  <c:v>-4.7680688717725142</c:v>
                </c:pt>
                <c:pt idx="68">
                  <c:v>-4.6742536765380658</c:v>
                </c:pt>
                <c:pt idx="69">
                  <c:v>-4.5813906637462241</c:v>
                </c:pt>
                <c:pt idx="70">
                  <c:v>-4.4894447172265579</c:v>
                </c:pt>
                <c:pt idx="71">
                  <c:v>-4.3983777433622588</c:v>
                </c:pt>
                <c:pt idx="72">
                  <c:v>-4.3081488920443149</c:v>
                </c:pt>
                <c:pt idx="73">
                  <c:v>-4.2187147796627134</c:v>
                </c:pt>
                <c:pt idx="74">
                  <c:v>-4.1300297133824779</c:v>
                </c:pt>
                <c:pt idx="75">
                  <c:v>-4.0420459159766944</c:v>
                </c:pt>
                <c:pt idx="76">
                  <c:v>-3.9547137505132155</c:v>
                </c:pt>
                <c:pt idx="77">
                  <c:v>-3.867981944216031</c:v>
                </c:pt>
                <c:pt idx="78">
                  <c:v>-3.781797810846804</c:v>
                </c:pt>
                <c:pt idx="79">
                  <c:v>-3.696107470976473</c:v>
                </c:pt>
                <c:pt idx="80">
                  <c:v>-3.6108560695412222</c:v>
                </c:pt>
                <c:pt idx="81">
                  <c:v>-3.5259879901015672</c:v>
                </c:pt>
                <c:pt idx="82">
                  <c:v>-3.4414470652477225</c:v>
                </c:pt>
                <c:pt idx="83">
                  <c:v>-3.3571767826188381</c:v>
                </c:pt>
                <c:pt idx="84">
                  <c:v>-3.2731204860281036</c:v>
                </c:pt>
                <c:pt idx="85">
                  <c:v>-3.1892215712101755</c:v>
                </c:pt>
                <c:pt idx="86">
                  <c:v>-3.1054236757317599</c:v>
                </c:pt>
                <c:pt idx="87">
                  <c:v>-3.0216708626306525</c:v>
                </c:pt>
                <c:pt idx="88">
                  <c:v>-2.9379077973729188</c:v>
                </c:pt>
                <c:pt idx="89">
                  <c:v>-2.8540799177423608</c:v>
                </c:pt>
                <c:pt idx="90">
                  <c:v>-2.7701335963008007</c:v>
                </c:pt>
                <c:pt idx="91">
                  <c:v>-2.6860162950821644</c:v>
                </c:pt>
                <c:pt idx="92">
                  <c:v>-2.6016767122077638</c:v>
                </c:pt>
                <c:pt idx="93">
                  <c:v>-2.5170649201345832</c:v>
                </c:pt>
                <c:pt idx="94">
                  <c:v>-2.4321324952728269</c:v>
                </c:pt>
                <c:pt idx="95">
                  <c:v>-2.3468326387333867</c:v>
                </c:pt>
                <c:pt idx="96">
                  <c:v>-2.2611202879903036</c:v>
                </c:pt>
                <c:pt idx="97">
                  <c:v>-2.1749522192677713</c:v>
                </c:pt>
                <c:pt idx="98">
                  <c:v>-2.0882871404855727</c:v>
                </c:pt>
                <c:pt idx="99">
                  <c:v>-2.0010857746213397</c:v>
                </c:pt>
                <c:pt idx="100">
                  <c:v>-1.9133109333724043</c:v>
                </c:pt>
                <c:pt idx="101">
                  <c:v>-1.8249275810244376</c:v>
                </c:pt>
                <c:pt idx="102">
                  <c:v>-1.7359028884585246</c:v>
                </c:pt>
                <c:pt idx="103">
                  <c:v>-1.646206277252706</c:v>
                </c:pt>
                <c:pt idx="104">
                  <c:v>-1.5558094538584677</c:v>
                </c:pt>
                <c:pt idx="105">
                  <c:v>-1.4646864338570786</c:v>
                </c:pt>
                <c:pt idx="106">
                  <c:v>-1.3728135563250885</c:v>
                </c:pt>
                <c:pt idx="107">
                  <c:v>-1.2801694883627368</c:v>
                </c:pt>
                <c:pt idx="108">
                  <c:v>-1.1867352198634322</c:v>
                </c:pt>
                <c:pt idx="109">
                  <c:v>-1.0924940486268984</c:v>
                </c:pt>
                <c:pt idx="110">
                  <c:v>-0.99743155594299038</c:v>
                </c:pt>
                <c:pt idx="111">
                  <c:v>-0.90153557279762853</c:v>
                </c:pt>
                <c:pt idx="112">
                  <c:v>-0.80479613687669738</c:v>
                </c:pt>
                <c:pt idx="113">
                  <c:v>-0.70720544056819901</c:v>
                </c:pt>
                <c:pt idx="114">
                  <c:v>-0.6087577701873631</c:v>
                </c:pt>
                <c:pt idx="115">
                  <c:v>-0.50944943667384357</c:v>
                </c:pt>
                <c:pt idx="116">
                  <c:v>-0.40927869803455019</c:v>
                </c:pt>
                <c:pt idx="117">
                  <c:v>-0.30824567383009466</c:v>
                </c:pt>
                <c:pt idx="118">
                  <c:v>-0.20635225202724489</c:v>
                </c:pt>
                <c:pt idx="119">
                  <c:v>-0.10360198856420985</c:v>
                </c:pt>
                <c:pt idx="120">
                  <c:v>0</c:v>
                </c:pt>
                <c:pt idx="121">
                  <c:v>0.10444715035647076</c:v>
                </c:pt>
                <c:pt idx="122">
                  <c:v>0.20973157241745027</c:v>
                </c:pt>
                <c:pt idx="123">
                  <c:v>0.31584417494306699</c:v>
                </c:pt>
                <c:pt idx="124">
                  <c:v>0.42277479635476622</c:v>
                </c:pt>
                <c:pt idx="125">
                  <c:v>0.53051234024210236</c:v>
                </c:pt>
                <c:pt idx="126">
                  <c:v>0.63904491504510641</c:v>
                </c:pt>
                <c:pt idx="127">
                  <c:v>0.74835997737002014</c:v>
                </c:pt>
                <c:pt idx="128">
                  <c:v>0.85844447837176774</c:v>
                </c:pt>
                <c:pt idx="129">
                  <c:v>0.96928501261211475</c:v>
                </c:pt>
                <c:pt idx="130">
                  <c:v>1.0808679687780354</c:v>
                </c:pt>
                <c:pt idx="131">
                  <c:v>1.1931796816203915</c:v>
                </c:pt>
                <c:pt idx="132">
                  <c:v>1.3062065844485986</c:v>
                </c:pt>
                <c:pt idx="133">
                  <c:v>1.4199353614925379</c:v>
                </c:pt>
                <c:pt idx="134">
                  <c:v>1.5343530994185413</c:v>
                </c:pt>
                <c:pt idx="135">
                  <c:v>1.6494474372618608</c:v>
                </c:pt>
                <c:pt idx="136">
                  <c:v>1.765206714013607</c:v>
                </c:pt>
                <c:pt idx="137">
                  <c:v>1.8816201130757162</c:v>
                </c:pt>
                <c:pt idx="138">
                  <c:v>1.9986778027730914</c:v>
                </c:pt>
                <c:pt idx="139">
                  <c:v>2.1163710720876234</c:v>
                </c:pt>
                <c:pt idx="140">
                  <c:v>2.2346924607543945</c:v>
                </c:pt>
                <c:pt idx="141">
                  <c:v>2.3536358828359307</c:v>
                </c:pt>
                <c:pt idx="142">
                  <c:v>2.47319674286594</c:v>
                </c:pt>
                <c:pt idx="143">
                  <c:v>2.5933720436295795</c:v>
                </c:pt>
                <c:pt idx="144">
                  <c:v>2.7141604846228242</c:v>
                </c:pt>
                <c:pt idx="145">
                  <c:v>2.8355625502091493</c:v>
                </c:pt>
                <c:pt idx="146">
                  <c:v>2.9575805864672415</c:v>
                </c:pt>
                <c:pt idx="147">
                  <c:v>3.0802188656990968</c:v>
                </c:pt>
                <c:pt idx="148">
                  <c:v>3.2034836375434064</c:v>
                </c:pt>
                <c:pt idx="149">
                  <c:v>3.3273831656147017</c:v>
                </c:pt>
                <c:pt idx="150">
                  <c:v>3.4519277485643438</c:v>
                </c:pt>
                <c:pt idx="151">
                  <c:v>3.5771297244349665</c:v>
                </c:pt>
                <c:pt idx="152">
                  <c:v>3.7030034571556145</c:v>
                </c:pt>
                <c:pt idx="153">
                  <c:v>3.8295653040003472</c:v>
                </c:pt>
                <c:pt idx="154">
                  <c:v>3.956833562808689</c:v>
                </c:pt>
                <c:pt idx="155">
                  <c:v>4.0848283977418722</c:v>
                </c:pt>
                <c:pt idx="156">
                  <c:v>4.2135717423243761</c:v>
                </c:pt>
                <c:pt idx="157">
                  <c:v>4.343087178495896</c:v>
                </c:pt>
                <c:pt idx="158">
                  <c:v>4.4733997903743692</c:v>
                </c:pt>
                <c:pt idx="159">
                  <c:v>4.6045359914063697</c:v>
                </c:pt>
                <c:pt idx="160">
                  <c:v>4.7365233235566375</c:v>
                </c:pt>
                <c:pt idx="161">
                  <c:v>4.8693902271642129</c:v>
                </c:pt>
                <c:pt idx="162">
                  <c:v>5.0031657800680991</c:v>
                </c:pt>
                <c:pt idx="163">
                  <c:v>5.1378794045810467</c:v>
                </c:pt>
                <c:pt idx="164">
                  <c:v>5.2735605408656081</c:v>
                </c:pt>
                <c:pt idx="165">
                  <c:v>5.410238285242138</c:v>
                </c:pt>
                <c:pt idx="166">
                  <c:v>5.5479409919340581</c:v>
                </c:pt>
                <c:pt idx="167">
                  <c:v>5.6866958367312392</c:v>
                </c:pt>
                <c:pt idx="168">
                  <c:v>5.8265283410279682</c:v>
                </c:pt>
                <c:pt idx="169">
                  <c:v>5.9674618546674818</c:v>
                </c:pt>
                <c:pt idx="170">
                  <c:v>6.1095169960006963</c:v>
                </c:pt>
                <c:pt idx="171">
                  <c:v>6.2527110475423084</c:v>
                </c:pt>
                <c:pt idx="172">
                  <c:v>6.3970573055829894</c:v>
                </c:pt>
                <c:pt idx="173">
                  <c:v>6.5425643820920305</c:v>
                </c:pt>
                <c:pt idx="174">
                  <c:v>6.6892354572203381</c:v>
                </c:pt>
                <c:pt idx="175">
                  <c:v>6.8370674806892442</c:v>
                </c:pt>
                <c:pt idx="176">
                  <c:v>6.9860503203262221</c:v>
                </c:pt>
                <c:pt idx="177">
                  <c:v>7.1361658559840979</c:v>
                </c:pt>
                <c:pt idx="178">
                  <c:v>7.2873870170560258</c:v>
                </c:pt>
                <c:pt idx="179">
                  <c:v>7.4396767617739643</c:v>
                </c:pt>
                <c:pt idx="180">
                  <c:v>7.5929869964540604</c:v>
                </c:pt>
                <c:pt idx="181">
                  <c:v>7.7472574328278467</c:v>
                </c:pt>
                <c:pt idx="182">
                  <c:v>7.9024143815738128</c:v>
                </c:pt>
                <c:pt idx="183">
                  <c:v>8.0583694801394152</c:v>
                </c:pt>
                <c:pt idx="184">
                  <c:v>8.2150183529192038</c:v>
                </c:pt>
                <c:pt idx="185">
                  <c:v>8.3722392018303466</c:v>
                </c:pt>
                <c:pt idx="186">
                  <c:v>8.5298913253023123</c:v>
                </c:pt>
                <c:pt idx="187">
                  <c:v>8.6878135636732168</c:v>
                </c:pt>
                <c:pt idx="188">
                  <c:v>8.8458226689606878</c:v>
                </c:pt>
                <c:pt idx="189">
                  <c:v>9.003711596950934</c:v>
                </c:pt>
                <c:pt idx="190">
                  <c:v>9.1612477195250559</c:v>
                </c:pt>
                <c:pt idx="191">
                  <c:v>9.3181709551173384</c:v>
                </c:pt>
                <c:pt idx="192">
                  <c:v>9.4741918151758657</c:v>
                </c:pt>
                <c:pt idx="193">
                  <c:v>9.6289893644712272</c:v>
                </c:pt>
                <c:pt idx="194">
                  <c:v>9.7822090930748491</c:v>
                </c:pt>
                <c:pt idx="195">
                  <c:v>9.9334606978038895</c:v>
                </c:pt>
                <c:pt idx="196">
                  <c:v>10.082315770905375</c:v>
                </c:pt>
                <c:pt idx="197">
                  <c:v>10.228305393727657</c:v>
                </c:pt>
                <c:pt idx="198">
                  <c:v>10.370917633103057</c:v>
                </c:pt>
                <c:pt idx="199">
                  <c:v>10.509594938140879</c:v>
                </c:pt>
                <c:pt idx="200">
                  <c:v>10.643731435105838</c:v>
                </c:pt>
              </c:numCache>
            </c:numRef>
          </c:yVal>
          <c:smooth val="1"/>
        </c:ser>
        <c:dLbls>
          <c:showLegendKey val="0"/>
          <c:showVal val="0"/>
          <c:showCatName val="0"/>
          <c:showSerName val="0"/>
          <c:showPercent val="0"/>
          <c:showBubbleSize val="0"/>
        </c:dLbls>
        <c:axId val="688596008"/>
        <c:axId val="688596400"/>
      </c:scatterChart>
      <c:valAx>
        <c:axId val="68859600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596400"/>
        <c:crossesAt val="-1000"/>
        <c:crossBetween val="midCat"/>
      </c:valAx>
      <c:valAx>
        <c:axId val="688596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59600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0.1040257780066212</v>
      </c>
      <c r="D59" s="55">
        <v>1</v>
      </c>
    </row>
    <row r="60" spans="1:4" s="11" customFormat="1" x14ac:dyDescent="0.25">
      <c r="A60" s="54">
        <v>2</v>
      </c>
      <c r="B60" s="56">
        <f>'Shiftfunktion bestimmen'!N2</f>
        <v>4.2263621002415887E-4</v>
      </c>
      <c r="D60" s="55">
        <v>2</v>
      </c>
    </row>
    <row r="61" spans="1:4" s="11" customFormat="1" x14ac:dyDescent="0.25">
      <c r="A61" s="54">
        <v>3</v>
      </c>
      <c r="B61" s="56">
        <f>'Shiftfunktion bestimmen'!N3</f>
        <v>-1.2095707830609978E-6</v>
      </c>
      <c r="D61" s="55">
        <v>3</v>
      </c>
    </row>
    <row r="62" spans="1:4" s="11" customFormat="1" x14ac:dyDescent="0.25">
      <c r="A62" s="54">
        <v>4</v>
      </c>
      <c r="B62" s="56">
        <f>'Shiftfunktion bestimmen'!N4</f>
        <v>-5.5321756648864499E-8</v>
      </c>
      <c r="D62" s="55">
        <v>4</v>
      </c>
    </row>
    <row r="63" spans="1:4" s="11" customFormat="1" x14ac:dyDescent="0.25">
      <c r="A63" s="54">
        <v>5</v>
      </c>
      <c r="B63" s="56">
        <f>'Shiftfunktion bestimmen'!N5</f>
        <v>1.0245927819640256E-9</v>
      </c>
      <c r="D63" s="55">
        <v>5</v>
      </c>
    </row>
    <row r="64" spans="1:4" s="11" customFormat="1" x14ac:dyDescent="0.25">
      <c r="A64" s="54">
        <v>6</v>
      </c>
      <c r="B64" s="56">
        <f>'Shiftfunktion bestimmen'!N6</f>
        <v>7.8635549127838659E-12</v>
      </c>
      <c r="D64" s="55">
        <v>6</v>
      </c>
    </row>
    <row r="65" spans="1:5" s="11" customFormat="1" x14ac:dyDescent="0.25">
      <c r="A65" s="54">
        <v>7</v>
      </c>
      <c r="B65" s="56">
        <f>'Shiftfunktion bestimmen'!N7</f>
        <v>-9.0620083454165273E-14</v>
      </c>
      <c r="D65" s="55">
        <v>7</v>
      </c>
    </row>
    <row r="66" spans="1:5" x14ac:dyDescent="0.25">
      <c r="A66" s="54">
        <v>8</v>
      </c>
      <c r="B66" s="56">
        <f>'Shiftfunktion bestimmen'!N8</f>
        <v>-6.0573317453240753E-16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9.3253857033892412E-2</v>
      </c>
      <c r="D74" s="51">
        <v>1</v>
      </c>
      <c r="E74" s="56">
        <f>'Mastercurve bestimmen'!A18</f>
        <v>1.0000000000000001E-20</v>
      </c>
    </row>
    <row r="75" spans="1:5" x14ac:dyDescent="0.25">
      <c r="A75" s="50">
        <f>A74+1</f>
        <v>2</v>
      </c>
      <c r="B75" s="56">
        <f>'Mastercurve bestimmen'!C19</f>
        <v>4.3985893665827357E-2</v>
      </c>
      <c r="D75" s="51">
        <v>2</v>
      </c>
      <c r="E75" s="56">
        <f>'Mastercurve bestimmen'!A19</f>
        <v>3.9038946506297401E-14</v>
      </c>
    </row>
    <row r="76" spans="1:5" x14ac:dyDescent="0.25">
      <c r="A76" s="50">
        <f t="shared" ref="A76:A104" si="0">A75+1</f>
        <v>3</v>
      </c>
      <c r="B76" s="56">
        <f>'Mastercurve bestimmen'!C20</f>
        <v>1.7074912501455927E-2</v>
      </c>
      <c r="D76" s="51">
        <v>3</v>
      </c>
      <c r="E76" s="56">
        <f>'Mastercurve bestimmen'!A20</f>
        <v>4.3276437088188502E-13</v>
      </c>
    </row>
    <row r="77" spans="1:5" x14ac:dyDescent="0.25">
      <c r="A77" s="50">
        <f t="shared" si="0"/>
        <v>4</v>
      </c>
      <c r="B77" s="56">
        <f>'Mastercurve bestimmen'!C21</f>
        <v>3.0713964920691224E-2</v>
      </c>
      <c r="D77" s="51">
        <v>4</v>
      </c>
      <c r="E77" s="56">
        <f>'Mastercurve bestimmen'!A21</f>
        <v>4.7973886968128502E-12</v>
      </c>
    </row>
    <row r="78" spans="1:5" x14ac:dyDescent="0.25">
      <c r="A78" s="50">
        <f t="shared" si="0"/>
        <v>5</v>
      </c>
      <c r="B78" s="56">
        <f>'Mastercurve bestimmen'!C22</f>
        <v>2.5231519844610806E-2</v>
      </c>
      <c r="D78" s="51">
        <v>5</v>
      </c>
      <c r="E78" s="56">
        <f>'Mastercurve bestimmen'!A22</f>
        <v>5.31812225239524E-11</v>
      </c>
    </row>
    <row r="79" spans="1:5" x14ac:dyDescent="0.25">
      <c r="A79" s="50">
        <f t="shared" si="0"/>
        <v>6</v>
      </c>
      <c r="B79" s="56">
        <f>'Mastercurve bestimmen'!C23</f>
        <v>2.5043165726982244E-2</v>
      </c>
      <c r="D79" s="51">
        <v>6</v>
      </c>
      <c r="E79" s="56">
        <f>'Mastercurve bestimmen'!A23</f>
        <v>5.8953789402578301E-10</v>
      </c>
    </row>
    <row r="80" spans="1:5" x14ac:dyDescent="0.25">
      <c r="A80" s="50">
        <f t="shared" si="0"/>
        <v>7</v>
      </c>
      <c r="B80" s="56">
        <f>'Mastercurve bestimmen'!C24</f>
        <v>3.1858465496793685E-2</v>
      </c>
      <c r="D80" s="51">
        <v>7</v>
      </c>
      <c r="E80" s="56">
        <f>'Mastercurve bestimmen'!A24</f>
        <v>6.5352940755699598E-9</v>
      </c>
    </row>
    <row r="81" spans="1:5" x14ac:dyDescent="0.25">
      <c r="A81" s="50">
        <f t="shared" si="0"/>
        <v>8</v>
      </c>
      <c r="B81" s="56">
        <f>'Mastercurve bestimmen'!C25</f>
        <v>3.8271853449478851E-2</v>
      </c>
      <c r="D81" s="51">
        <v>8</v>
      </c>
      <c r="E81" s="56">
        <f>'Mastercurve bestimmen'!A25</f>
        <v>7.2446689325643296E-8</v>
      </c>
    </row>
    <row r="82" spans="1:5" x14ac:dyDescent="0.25">
      <c r="A82" s="50">
        <f t="shared" si="0"/>
        <v>9</v>
      </c>
      <c r="B82" s="56">
        <f>'Mastercurve bestimmen'!C26</f>
        <v>3.6033705300750216E-2</v>
      </c>
      <c r="D82" s="51">
        <f>A82</f>
        <v>9</v>
      </c>
      <c r="E82" s="56">
        <f>'Mastercurve bestimmen'!A26</f>
        <v>8.03104303120212E-7</v>
      </c>
    </row>
    <row r="83" spans="1:5" x14ac:dyDescent="0.25">
      <c r="A83" s="50">
        <f t="shared" si="0"/>
        <v>10</v>
      </c>
      <c r="B83" s="56">
        <f>'Mastercurve bestimmen'!C27</f>
        <v>2.6918166434543336E-2</v>
      </c>
      <c r="C83" s="11"/>
      <c r="D83" s="51">
        <f t="shared" ref="D83:D104" si="1">A83</f>
        <v>10</v>
      </c>
      <c r="E83" s="56">
        <f>'Mastercurve bestimmen'!A27</f>
        <v>8.9027742702096099E-6</v>
      </c>
    </row>
    <row r="84" spans="1:5" x14ac:dyDescent="0.25">
      <c r="A84" s="50">
        <f t="shared" si="0"/>
        <v>11</v>
      </c>
      <c r="B84" s="56">
        <f>'Mastercurve bestimmen'!C28</f>
        <v>2.7316066250347045E-2</v>
      </c>
      <c r="C84" s="11"/>
      <c r="D84" s="51">
        <f t="shared" si="1"/>
        <v>11</v>
      </c>
      <c r="E84" s="56">
        <f>'Mastercurve bestimmen'!A28</f>
        <v>9.86912775817142E-5</v>
      </c>
    </row>
    <row r="85" spans="1:5" x14ac:dyDescent="0.25">
      <c r="A85" s="50">
        <f t="shared" si="0"/>
        <v>12</v>
      </c>
      <c r="B85" s="56">
        <f>'Mastercurve bestimmen'!C29</f>
        <v>2.9609291080511132E-2</v>
      </c>
      <c r="C85" s="11"/>
      <c r="D85" s="51">
        <f t="shared" si="1"/>
        <v>12</v>
      </c>
      <c r="E85" s="56">
        <f>'Mastercurve bestimmen'!A29</f>
        <v>1.0940374286813801E-3</v>
      </c>
    </row>
    <row r="86" spans="1:5" x14ac:dyDescent="0.25">
      <c r="A86" s="50">
        <f t="shared" si="0"/>
        <v>13</v>
      </c>
      <c r="B86" s="56">
        <f>'Mastercurve bestimmen'!C30</f>
        <v>2.5103127911926253E-2</v>
      </c>
      <c r="C86" s="11"/>
      <c r="D86" s="51">
        <f t="shared" si="1"/>
        <v>13</v>
      </c>
      <c r="E86" s="56">
        <f>'Mastercurve bestimmen'!A30</f>
        <v>1.2127899493091E-2</v>
      </c>
    </row>
    <row r="87" spans="1:5" x14ac:dyDescent="0.25">
      <c r="A87" s="50">
        <f t="shared" si="0"/>
        <v>14</v>
      </c>
      <c r="B87" s="56">
        <f>'Mastercurve bestimmen'!C31</f>
        <v>2.985290056573784E-2</v>
      </c>
      <c r="C87" s="11"/>
      <c r="D87" s="51">
        <f t="shared" si="1"/>
        <v>14</v>
      </c>
      <c r="E87" s="56">
        <f>'Mastercurve bestimmen'!A31</f>
        <v>0.13444324870292301</v>
      </c>
    </row>
    <row r="88" spans="1:5" x14ac:dyDescent="0.25">
      <c r="A88" s="50">
        <f t="shared" si="0"/>
        <v>15</v>
      </c>
      <c r="B88" s="56">
        <f>'Mastercurve bestimmen'!C32</f>
        <v>3.2229654464622864E-2</v>
      </c>
      <c r="C88" s="11"/>
      <c r="D88" s="51">
        <f t="shared" si="1"/>
        <v>15</v>
      </c>
      <c r="E88" s="56">
        <f>'Mastercurve bestimmen'!A32</f>
        <v>1.49036419143257</v>
      </c>
    </row>
    <row r="89" spans="1:5" x14ac:dyDescent="0.25">
      <c r="A89" s="50">
        <f t="shared" si="0"/>
        <v>16</v>
      </c>
      <c r="B89" s="56">
        <f>'Mastercurve bestimmen'!C33</f>
        <v>5.4487827383483636E-2</v>
      </c>
      <c r="C89" s="11"/>
      <c r="D89" s="51">
        <f t="shared" si="1"/>
        <v>16</v>
      </c>
      <c r="E89" s="56">
        <f>'Mastercurve bestimmen'!A33</f>
        <v>16.521360830937301</v>
      </c>
    </row>
    <row r="90" spans="1:5" x14ac:dyDescent="0.25">
      <c r="A90" s="50">
        <f t="shared" si="0"/>
        <v>17</v>
      </c>
      <c r="B90" s="56">
        <f>'Mastercurve bestimmen'!C34</f>
        <v>6.3046504540403295E-2</v>
      </c>
      <c r="C90" s="11"/>
      <c r="D90" s="51">
        <f t="shared" si="1"/>
        <v>17</v>
      </c>
      <c r="E90" s="56">
        <f>'Mastercurve bestimmen'!A34</f>
        <v>183.146753843879</v>
      </c>
    </row>
    <row r="91" spans="1:5" x14ac:dyDescent="0.25">
      <c r="A91" s="50">
        <f t="shared" si="0"/>
        <v>18</v>
      </c>
      <c r="B91" s="56">
        <f>'Mastercurve bestimmen'!C35</f>
        <v>6.2829439903481887E-2</v>
      </c>
      <c r="C91" s="11"/>
      <c r="D91" s="51">
        <f t="shared" si="1"/>
        <v>18</v>
      </c>
      <c r="E91" s="56">
        <f>'Mastercurve bestimmen'!A35</f>
        <v>2030.26456396616</v>
      </c>
    </row>
    <row r="92" spans="1:5" x14ac:dyDescent="0.25">
      <c r="A92" s="50">
        <f t="shared" si="0"/>
        <v>19</v>
      </c>
      <c r="B92" s="56">
        <f>'Mastercurve bestimmen'!C36</f>
        <v>5.5245188990655253E-2</v>
      </c>
      <c r="C92" s="11"/>
      <c r="D92" s="51">
        <f t="shared" si="1"/>
        <v>19</v>
      </c>
      <c r="E92" s="56">
        <f>'Mastercurve bestimmen'!A36</f>
        <v>22506.400540467101</v>
      </c>
    </row>
    <row r="93" spans="1:5" x14ac:dyDescent="0.25">
      <c r="A93" s="50">
        <f t="shared" si="0"/>
        <v>20</v>
      </c>
      <c r="B93" s="56">
        <f>'Mastercurve bestimmen'!C37</f>
        <v>6.6645884688751614E-2</v>
      </c>
      <c r="C93" s="11"/>
      <c r="D93" s="51">
        <f t="shared" si="1"/>
        <v>20</v>
      </c>
      <c r="E93" s="56">
        <f>'Mastercurve bestimmen'!A37</f>
        <v>249493.62476110301</v>
      </c>
    </row>
    <row r="94" spans="1:5" x14ac:dyDescent="0.25">
      <c r="A94" s="50">
        <f t="shared" si="0"/>
        <v>21</v>
      </c>
      <c r="B94" s="56">
        <f>'Mastercurve bestimmen'!C38</f>
        <v>2.5869055396656026E-2</v>
      </c>
      <c r="C94" s="11"/>
      <c r="D94" s="51">
        <f t="shared" si="1"/>
        <v>21</v>
      </c>
      <c r="E94" s="56">
        <f>'Mastercurve bestimmen'!A38</f>
        <v>2765749.6224023802</v>
      </c>
    </row>
    <row r="95" spans="1:5" x14ac:dyDescent="0.25">
      <c r="A95" s="50">
        <f t="shared" si="0"/>
        <v>22</v>
      </c>
      <c r="B95" s="56">
        <f>'Mastercurve bestimmen'!C39</f>
        <v>4.8591449840458205E-2</v>
      </c>
      <c r="C95" s="11"/>
      <c r="D95" s="51">
        <f t="shared" si="1"/>
        <v>22</v>
      </c>
      <c r="E95" s="56">
        <f>'Mastercurve bestimmen'!A39</f>
        <v>10000000</v>
      </c>
    </row>
    <row r="96" spans="1:5" x14ac:dyDescent="0.25">
      <c r="A96" s="50">
        <f t="shared" si="0"/>
        <v>23</v>
      </c>
      <c r="B96" s="56">
        <f>'Mastercurve bestimmen'!C40</f>
        <v>2.853497416803049E-2</v>
      </c>
      <c r="C96" s="11"/>
      <c r="D96" s="51">
        <f t="shared" si="1"/>
        <v>23</v>
      </c>
      <c r="E96" s="56">
        <f>'Mastercurve bestimmen'!A40</f>
        <v>100000000</v>
      </c>
    </row>
    <row r="97" spans="1:5" x14ac:dyDescent="0.25">
      <c r="A97" s="50">
        <f t="shared" si="0"/>
        <v>24</v>
      </c>
      <c r="B97" s="56">
        <f>'Mastercurve bestimmen'!C41</f>
        <v>1.8710063230340357E-2</v>
      </c>
      <c r="C97" s="11"/>
      <c r="D97" s="51">
        <f t="shared" si="1"/>
        <v>24</v>
      </c>
      <c r="E97" s="56">
        <f>'Mastercurve bestimmen'!A41</f>
        <v>1000000000</v>
      </c>
    </row>
    <row r="98" spans="1:5" x14ac:dyDescent="0.25">
      <c r="A98" s="50">
        <f t="shared" si="0"/>
        <v>25</v>
      </c>
      <c r="B98" s="56">
        <f>'Mastercurve bestimmen'!C42</f>
        <v>7.6798609611155137E-3</v>
      </c>
      <c r="C98" s="11"/>
      <c r="D98" s="51">
        <f t="shared" si="1"/>
        <v>25</v>
      </c>
      <c r="E98" s="56">
        <f>'Mastercurve bestimmen'!A42</f>
        <v>10000000000</v>
      </c>
    </row>
    <row r="99" spans="1:5" x14ac:dyDescent="0.25">
      <c r="A99" s="50">
        <f t="shared" si="0"/>
        <v>26</v>
      </c>
      <c r="B99" s="56">
        <f>'Mastercurve bestimmen'!C43</f>
        <v>4.1102249961922147E-3</v>
      </c>
      <c r="C99" s="11"/>
      <c r="D99" s="51">
        <f t="shared" si="1"/>
        <v>26</v>
      </c>
      <c r="E99" s="56">
        <f>'Mastercurve bestimmen'!A43</f>
        <v>100000000000</v>
      </c>
    </row>
    <row r="100" spans="1:5" x14ac:dyDescent="0.25">
      <c r="A100" s="50">
        <f t="shared" si="0"/>
        <v>27</v>
      </c>
      <c r="B100" s="56">
        <f>'Mastercurve bestimmen'!C44</f>
        <v>3.1066969837399792E-3</v>
      </c>
      <c r="C100" s="11"/>
      <c r="D100" s="51">
        <f t="shared" si="1"/>
        <v>27</v>
      </c>
      <c r="E100" s="56">
        <f>'Mastercurve bestimmen'!A44</f>
        <v>1000000000000</v>
      </c>
    </row>
    <row r="101" spans="1:5" x14ac:dyDescent="0.25">
      <c r="A101" s="50">
        <f t="shared" si="0"/>
        <v>28</v>
      </c>
      <c r="B101" s="56">
        <f>'Mastercurve bestimmen'!C45</f>
        <v>9.6514726179013565E-4</v>
      </c>
      <c r="C101" s="11"/>
      <c r="D101" s="51">
        <f t="shared" si="1"/>
        <v>28</v>
      </c>
      <c r="E101" s="56">
        <f>'Mastercurve bestimmen'!A45</f>
        <v>10000000000000</v>
      </c>
    </row>
    <row r="102" spans="1:5" x14ac:dyDescent="0.25">
      <c r="A102" s="50">
        <f t="shared" si="0"/>
        <v>29</v>
      </c>
      <c r="B102" s="56">
        <f>'Mastercurve bestimmen'!C46</f>
        <v>1.0056328677851901E-3</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2.1809087047795134E-2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12">
        <f>STUTT!D8</f>
        <v>10768.300999999999</v>
      </c>
      <c r="D113" s="112"/>
    </row>
    <row r="114" spans="1:4" s="11" customFormat="1" x14ac:dyDescent="0.25">
      <c r="A114" s="61" t="str">
        <f>STUTT!B9</f>
        <v>MP,GXY,</v>
      </c>
      <c r="B114" s="52" t="str">
        <f>STUTT!C9</f>
        <v>MatID,</v>
      </c>
      <c r="C114" s="112">
        <f>STUTT!D9</f>
        <v>11203.666999999999</v>
      </c>
      <c r="D114" s="112"/>
    </row>
    <row r="115" spans="1:4" x14ac:dyDescent="0.25">
      <c r="A115" s="61" t="str">
        <f>STUTT!B10</f>
        <v>MP,GYZ,</v>
      </c>
      <c r="B115" s="52" t="str">
        <f>STUTT!C10</f>
        <v>MatID,</v>
      </c>
      <c r="C115" s="112">
        <f>STUTT!D10</f>
        <v>11203.666999999999</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T28"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C68" sqref="C6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9827.0404934265953</v>
      </c>
      <c r="G16" s="26">
        <f>INDEX(Comparison!$AM$3:$AS$33,G14,$B$3)</f>
        <v>9554.6131285549327</v>
      </c>
      <c r="H16" s="26">
        <f>INDEX(Comparison!$AM$3:$AS$33,H14,$B$3)</f>
        <v>9307.5270109220583</v>
      </c>
      <c r="I16" s="26">
        <f>INDEX(Comparison!$AM$3:$AS$33,I14,$B$3)</f>
        <v>9052.7901664061646</v>
      </c>
      <c r="J16" s="26">
        <f>INDEX(Comparison!$AM$3:$AS$33,J14,$B$3)</f>
        <v>8765.8976127630649</v>
      </c>
      <c r="K16" s="26">
        <f>INDEX(Comparison!$AM$3:$AS$33,K14,$B$3)</f>
        <v>8497.5960737726527</v>
      </c>
      <c r="L16" s="26">
        <f>INDEX(Comparison!$AM$3:$AS$33,L14,$B$3)</f>
        <v>8229.2269119551856</v>
      </c>
      <c r="M16" s="26">
        <f>INDEX(Comparison!$AM$3:$AS$33,M14,$B$3)</f>
        <v>7906.9976228628248</v>
      </c>
      <c r="N16" s="26">
        <f>INDEX(Comparison!$AM$3:$AS$33,N14,$B$3)</f>
        <v>7534.9505992492377</v>
      </c>
      <c r="O16" s="26">
        <f>INDEX(Comparison!$AM$3:$AS$33,O14,$B$3)</f>
        <v>7166.8631213057552</v>
      </c>
      <c r="P16" s="26">
        <f>INDEX(Comparison!$AM$3:$AS$33,P14,$B$3)</f>
        <v>6867.7062482363972</v>
      </c>
      <c r="Q16" s="26">
        <f>INDEX(Comparison!$AM$3:$AS$33,Q14,$B$3)</f>
        <v>6578.6198965937929</v>
      </c>
      <c r="R16" s="26">
        <f>INDEX(Comparison!$AM$3:$AS$33,R14,$B$3)</f>
        <v>6298.4876021181899</v>
      </c>
      <c r="S16" s="26">
        <f>INDEX(Comparison!$AM$3:$AS$33,S14,$B$3)</f>
        <v>6004.311404381504</v>
      </c>
      <c r="T16" s="26">
        <f>INDEX(Comparison!$AM$3:$AS$33,T14,$B$3)</f>
        <v>5728.9563133722204</v>
      </c>
      <c r="U16" s="26">
        <f>INDEX(Comparison!$AM$3:$AS$33,U14,$B$3)</f>
        <v>5384.1034806229181</v>
      </c>
      <c r="V16" s="26">
        <f>INDEX(Comparison!$AM$3:$AS$33,V14,$B$3)</f>
        <v>4946.9073871376504</v>
      </c>
      <c r="W16" s="26">
        <f>INDEX(Comparison!$AM$3:$AS$33,W14,$B$3)</f>
        <v>4341.3949978794144</v>
      </c>
      <c r="X16" s="26">
        <f>INDEX(Comparison!$AM$3:$AS$33,X14,$B$3)</f>
        <v>3695.6706844027317</v>
      </c>
      <c r="Y16" s="26">
        <f>INDEX(Comparison!$AM$3:$AS$33,Y14,$B$3)</f>
        <v>3068.755950536985</v>
      </c>
      <c r="Z16" s="26">
        <f>INDEX(Comparison!$AM$3:$AS$33,Z14,$B$3)</f>
        <v>2467.1652727793789</v>
      </c>
      <c r="AA16" s="26">
        <f>INDEX(Comparison!$AM$3:$AS$33,AA14,$B$3)</f>
        <v>1870.2488465480699</v>
      </c>
      <c r="AB16" s="26">
        <f>INDEX(Comparison!$AM$3:$AS$33,AB14,$B$3)</f>
        <v>1361.6454434772222</v>
      </c>
      <c r="AC16" s="26">
        <f>INDEX(Comparison!$AM$3:$AS$33,AC14,$B$3)</f>
        <v>978.74851186182502</v>
      </c>
      <c r="AD16" s="26">
        <f>INDEX(Comparison!$AM$3:$AS$33,AD14,$B$3)</f>
        <v>750.04973579798059</v>
      </c>
      <c r="AE16" s="26">
        <f>INDEX(Comparison!$AM$3:$AS$33,AE14,$B$3)</f>
        <v>627.42168862186645</v>
      </c>
      <c r="AF16" s="26">
        <f>INDEX(Comparison!$AM$3:$AS$33,AF14,$B$3)</f>
        <v>570.28890979557161</v>
      </c>
      <c r="AG16" s="26">
        <f>INDEX(Comparison!$AM$3:$AS$33,AG14,$B$3)</f>
        <v>534.99091249150581</v>
      </c>
      <c r="AH16" s="26">
        <f>INDEX(Comparison!$AM$3:$AS$33,AH14,$B$3)</f>
        <v>516.06818092277001</v>
      </c>
      <c r="AI16" s="26">
        <f>INDEX(Comparison!$AM$3:$AS$33,AI14,$B$3)</f>
        <v>504.17354863560553</v>
      </c>
      <c r="AJ16" s="26">
        <f>INDEX(Comparison!$AM$3:$AS$33,AJ14,$B$3)</f>
        <v>480.31847035858652</v>
      </c>
    </row>
    <row r="17" spans="1:36" x14ac:dyDescent="0.25">
      <c r="A17" s="14" t="s">
        <v>20</v>
      </c>
      <c r="B17" s="105">
        <v>2.2437311597343135E-2</v>
      </c>
      <c r="C17" s="18">
        <f t="shared" ref="C17:C48" si="3">ABS(B17/$B$49)</f>
        <v>2.4866417091149846E-2</v>
      </c>
      <c r="D17" s="66"/>
      <c r="E17" s="65" t="s">
        <v>22</v>
      </c>
      <c r="F17" s="27">
        <f>($C$17+SUM(F18:F48))*$B$51</f>
        <v>9751.6376958333512</v>
      </c>
      <c r="G17" s="27">
        <f t="shared" ref="G17:M17" si="4">($C$17+SUM(G18:G48))*$B$51</f>
        <v>9652.1354481392882</v>
      </c>
      <c r="H17" s="27">
        <f t="shared" si="4"/>
        <v>9281.7011463925173</v>
      </c>
      <c r="I17" s="27">
        <f t="shared" si="4"/>
        <v>9057.0248919924998</v>
      </c>
      <c r="J17" s="27">
        <f t="shared" si="4"/>
        <v>8765.2959467283017</v>
      </c>
      <c r="K17" s="27">
        <f t="shared" si="4"/>
        <v>8497.6966383596682</v>
      </c>
      <c r="L17" s="27">
        <f t="shared" si="4"/>
        <v>8229.0911817239794</v>
      </c>
      <c r="M17" s="27">
        <f t="shared" si="4"/>
        <v>7907.4014599013335</v>
      </c>
      <c r="N17" s="27">
        <f t="shared" ref="N17" si="5">($C$17+SUM(N18:N48))*$B$51</f>
        <v>7533.9518694285025</v>
      </c>
      <c r="O17" s="27">
        <f t="shared" ref="O17" si="6">($C$17+SUM(O18:O48))*$B$51</f>
        <v>7168.908467700755</v>
      </c>
      <c r="P17" s="27">
        <f t="shared" ref="P17" si="7">($C$17+SUM(P18:P48))*$B$51</f>
        <v>6864.1914293457385</v>
      </c>
      <c r="Q17" s="27">
        <f t="shared" ref="Q17" si="8">($C$17+SUM(Q18:Q48))*$B$51</f>
        <v>6583.7192703448145</v>
      </c>
      <c r="R17" s="27">
        <f t="shared" ref="R17" si="9">($C$17+SUM(R18:R48))*$B$51</f>
        <v>6292.2113327818115</v>
      </c>
      <c r="S17" s="27">
        <f t="shared" ref="S17:T17" si="10">($C$17+SUM(S18:S48))*$B$51</f>
        <v>6010.8986616597458</v>
      </c>
      <c r="T17" s="27">
        <f t="shared" si="10"/>
        <v>5723.0356492604769</v>
      </c>
      <c r="U17" s="27">
        <f t="shared" ref="U17" si="11">($C$17+SUM(U18:U48))*$B$51</f>
        <v>5388.672484147105</v>
      </c>
      <c r="V17" s="27">
        <f t="shared" ref="V17" si="12">($C$17+SUM(V18:V48))*$B$51</f>
        <v>4943.8875397193287</v>
      </c>
      <c r="W17" s="27">
        <f t="shared" ref="W17" si="13">($C$17+SUM(W18:W48))*$B$51</f>
        <v>4343.1205155496737</v>
      </c>
      <c r="X17" s="27">
        <f t="shared" ref="X17" si="14">($C$17+SUM(X18:X48))*$B$51</f>
        <v>3694.8074590793403</v>
      </c>
      <c r="Y17" s="27">
        <f t="shared" ref="Y17" si="15">($C$17+SUM(Y18:Y48))*$B$51</f>
        <v>3069.114416763372</v>
      </c>
      <c r="Z17" s="27">
        <f t="shared" ref="Z17:AA17" si="16">($C$17+SUM(Z18:Z48))*$B$51</f>
        <v>2467.0547318019303</v>
      </c>
      <c r="AA17" s="27">
        <f t="shared" si="16"/>
        <v>1870.2687865323203</v>
      </c>
      <c r="AB17" s="27">
        <f t="shared" ref="AB17" si="17">($C$17+SUM(AB18:AB48))*$B$51</f>
        <v>1361.6517624987212</v>
      </c>
      <c r="AC17" s="27">
        <f t="shared" ref="AC17" si="18">($C$17+SUM(AC18:AC48))*$B$51</f>
        <v>978.74620462987207</v>
      </c>
      <c r="AD17" s="27">
        <f t="shared" ref="AD17" si="19">($C$17+SUM(AD18:AD48))*$B$51</f>
        <v>750.03869332204295</v>
      </c>
      <c r="AE17" s="27">
        <f t="shared" ref="AE17" si="20">($C$17+SUM(AE18:AE48))*$B$51</f>
        <v>627.42776259315235</v>
      </c>
      <c r="AF17" s="27">
        <f t="shared" ref="AF17" si="21">($C$17+SUM(AF18:AF48))*$B$51</f>
        <v>570.27769123279927</v>
      </c>
      <c r="AG17" s="27">
        <f t="shared" ref="AG17:AH17" si="22">($C$17+SUM(AG18:AG48))*$B$51</f>
        <v>535.02656614774151</v>
      </c>
      <c r="AH17" s="27">
        <f t="shared" si="22"/>
        <v>516.00448277889859</v>
      </c>
      <c r="AI17" s="27">
        <f t="shared" ref="AI17" si="23">($C$17+SUM(AI18:AI48))*$B$51</f>
        <v>504.26333569735584</v>
      </c>
      <c r="AJ17" s="27">
        <f t="shared" ref="AJ17" si="24">($C$17+SUM(AJ18:AJ48))*$B$51</f>
        <v>480.26774035530781</v>
      </c>
    </row>
    <row r="18" spans="1:36" x14ac:dyDescent="0.25">
      <c r="A18" s="3">
        <f>0.000000000000001/10^5</f>
        <v>1.0000000000000001E-20</v>
      </c>
      <c r="B18" s="106">
        <v>8.4144243227876295E-2</v>
      </c>
      <c r="C18" s="18">
        <f t="shared" si="3"/>
        <v>9.3253857033892412E-2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3.9689079389689179E-2</v>
      </c>
      <c r="C19" s="18">
        <f t="shared" si="3"/>
        <v>4.3985893665827357E-2</v>
      </c>
      <c r="D19" s="17"/>
      <c r="F19" s="3">
        <f t="shared" si="25"/>
        <v>4.2873483675043185E-2</v>
      </c>
      <c r="G19" s="3">
        <f t="shared" si="25"/>
        <v>3.4046067387733886E-2</v>
      </c>
      <c r="H19" s="3">
        <f t="shared" si="25"/>
        <v>3.3950702430439639E-3</v>
      </c>
      <c r="I19" s="3">
        <f t="shared" si="25"/>
        <v>3.3011621833873462E-13</v>
      </c>
      <c r="J19" s="3">
        <f t="shared" si="25"/>
        <v>2.4937208351346116E-113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1.5406929389473243E-2</v>
      </c>
      <c r="C20" s="18">
        <f t="shared" si="3"/>
        <v>1.7074912501455927E-2</v>
      </c>
      <c r="D20" s="17"/>
      <c r="F20" s="3">
        <f t="shared" si="25"/>
        <v>1.7035502602880812E-2</v>
      </c>
      <c r="G20" s="3">
        <f t="shared" si="25"/>
        <v>1.6684881640143957E-2</v>
      </c>
      <c r="H20" s="3">
        <f t="shared" si="25"/>
        <v>1.3552047652815471E-2</v>
      </c>
      <c r="I20" s="3">
        <f t="shared" si="25"/>
        <v>1.6936466956238307E-3</v>
      </c>
      <c r="J20" s="3">
        <f t="shared" si="25"/>
        <v>1.5739894227098217E-12</v>
      </c>
      <c r="K20" s="3">
        <f t="shared" si="25"/>
        <v>7.5647000738141467E-103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2.7713634770514861E-2</v>
      </c>
      <c r="C21" s="18">
        <f t="shared" si="3"/>
        <v>3.0713964920691224E-2</v>
      </c>
      <c r="D21" s="17"/>
      <c r="F21" s="3">
        <f t="shared" si="25"/>
        <v>3.0707563362266183E-2</v>
      </c>
      <c r="G21" s="3">
        <f t="shared" si="25"/>
        <v>3.0650009344101531E-2</v>
      </c>
      <c r="H21" s="3">
        <f t="shared" si="25"/>
        <v>3.0080368849533773E-2</v>
      </c>
      <c r="I21" s="3">
        <f t="shared" si="25"/>
        <v>2.4934956681461156E-2</v>
      </c>
      <c r="J21" s="3">
        <f t="shared" si="25"/>
        <v>3.8199987912997686E-3</v>
      </c>
      <c r="K21" s="3">
        <f t="shared" si="25"/>
        <v>2.7202530112483258E-11</v>
      </c>
      <c r="L21" s="3">
        <f t="shared" si="25"/>
        <v>9.1215793824773218E-93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2.2766748854605542E-2</v>
      </c>
      <c r="C22" s="18">
        <f t="shared" si="3"/>
        <v>2.5231519844610806E-2</v>
      </c>
      <c r="D22" s="17"/>
      <c r="F22" s="3">
        <f t="shared" si="25"/>
        <v>2.5231045404922763E-2</v>
      </c>
      <c r="G22" s="3">
        <f t="shared" si="25"/>
        <v>2.5226775849159933E-2</v>
      </c>
      <c r="H22" s="3">
        <f t="shared" si="25"/>
        <v>2.5184120008159838E-2</v>
      </c>
      <c r="I22" s="3">
        <f t="shared" si="25"/>
        <v>2.4761508504156746E-2</v>
      </c>
      <c r="J22" s="3">
        <f t="shared" si="25"/>
        <v>2.0906449634184972E-2</v>
      </c>
      <c r="K22" s="3">
        <f t="shared" si="25"/>
        <v>3.8486831824130876E-3</v>
      </c>
      <c r="L22" s="3">
        <f t="shared" si="25"/>
        <v>1.7204058799570762E-10</v>
      </c>
      <c r="M22" s="3">
        <f t="shared" si="25"/>
        <v>5.480478508563652E-84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2.2596794332714297E-2</v>
      </c>
      <c r="C23" s="18">
        <f t="shared" si="3"/>
        <v>2.5043165726982244E-2</v>
      </c>
      <c r="D23" s="17"/>
      <c r="F23" s="3">
        <f t="shared" si="25"/>
        <v>2.5043123247703573E-2</v>
      </c>
      <c r="G23" s="3">
        <f t="shared" si="25"/>
        <v>2.5042740937438003E-2</v>
      </c>
      <c r="H23" s="3">
        <f t="shared" si="25"/>
        <v>2.5038918155768402E-2</v>
      </c>
      <c r="I23" s="3">
        <f t="shared" si="25"/>
        <v>2.5000722419559057E-2</v>
      </c>
      <c r="J23" s="3">
        <f t="shared" si="25"/>
        <v>2.4621955059254866E-2</v>
      </c>
      <c r="K23" s="3">
        <f t="shared" si="25"/>
        <v>2.1135975415699542E-2</v>
      </c>
      <c r="L23" s="3">
        <f t="shared" si="25"/>
        <v>4.592190580952925E-3</v>
      </c>
      <c r="M23" s="3">
        <f t="shared" si="25"/>
        <v>1.0764552665155092E-9</v>
      </c>
      <c r="N23" s="3">
        <f t="shared" si="25"/>
        <v>5.3920861322863345E-76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2.8746333448222198E-2</v>
      </c>
      <c r="C24" s="18">
        <f t="shared" si="3"/>
        <v>3.1858465496793685E-2</v>
      </c>
      <c r="D24" s="17"/>
      <c r="F24" s="3">
        <f t="shared" si="25"/>
        <v>3.1858460621961321E-2</v>
      </c>
      <c r="G24" s="3">
        <f t="shared" si="25"/>
        <v>3.1858416748503628E-2</v>
      </c>
      <c r="H24" s="3">
        <f t="shared" si="25"/>
        <v>3.1857978017249718E-2</v>
      </c>
      <c r="I24" s="3">
        <f t="shared" si="25"/>
        <v>3.1853591037001E-2</v>
      </c>
      <c r="J24" s="3">
        <f t="shared" si="25"/>
        <v>3.1809754446621624E-2</v>
      </c>
      <c r="K24" s="3">
        <f t="shared" si="25"/>
        <v>3.1374692892839284E-2</v>
      </c>
      <c r="L24" s="3">
        <f t="shared" si="25"/>
        <v>2.7338277786485576E-2</v>
      </c>
      <c r="M24" s="3">
        <f t="shared" si="25"/>
        <v>6.8974385236628133E-3</v>
      </c>
      <c r="N24" s="3">
        <f t="shared" si="25"/>
        <v>7.2086626294921712E-9</v>
      </c>
      <c r="O24" s="3">
        <f t="shared" si="25"/>
        <v>1.120787618163766E-68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3.4533221979914146E-2</v>
      </c>
      <c r="C25" s="18">
        <f t="shared" si="3"/>
        <v>3.8271853449478851E-2</v>
      </c>
      <c r="D25" s="17"/>
      <c r="F25" s="3">
        <f t="shared" si="25"/>
        <v>3.8271852921202769E-2</v>
      </c>
      <c r="G25" s="3">
        <f t="shared" si="25"/>
        <v>3.8271848166718359E-2</v>
      </c>
      <c r="H25" s="3">
        <f t="shared" si="25"/>
        <v>3.8271800621906757E-2</v>
      </c>
      <c r="I25" s="3">
        <f t="shared" si="25"/>
        <v>3.8271325177039225E-2</v>
      </c>
      <c r="J25" s="3">
        <f t="shared" si="25"/>
        <v>3.8266571053202802E-2</v>
      </c>
      <c r="K25" s="3">
        <f t="shared" si="25"/>
        <v>3.8219062283795201E-2</v>
      </c>
      <c r="L25" s="3">
        <f t="shared" si="25"/>
        <v>3.7747206610546258E-2</v>
      </c>
      <c r="M25" s="3">
        <f t="shared" si="25"/>
        <v>3.3337476900893948E-2</v>
      </c>
      <c r="N25" s="3">
        <f t="shared" si="25"/>
        <v>9.6252456697656485E-3</v>
      </c>
      <c r="O25" s="3">
        <f t="shared" si="25"/>
        <v>3.8743850077508171E-8</v>
      </c>
      <c r="P25" s="3">
        <f t="shared" si="25"/>
        <v>4.3262568530987906E-62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3.2513709991919944E-2</v>
      </c>
      <c r="C26" s="18">
        <f t="shared" si="3"/>
        <v>3.6033705300750216E-2</v>
      </c>
      <c r="D26" s="17"/>
      <c r="F26" s="3">
        <f t="shared" si="25"/>
        <v>3.603370525588219E-2</v>
      </c>
      <c r="G26" s="3">
        <f t="shared" si="25"/>
        <v>3.6033704852069949E-2</v>
      </c>
      <c r="H26" s="3">
        <f t="shared" si="25"/>
        <v>3.6033700813947828E-2</v>
      </c>
      <c r="I26" s="3">
        <f t="shared" si="25"/>
        <v>3.6033660432751469E-2</v>
      </c>
      <c r="J26" s="3">
        <f t="shared" si="25"/>
        <v>3.6033256623276798E-2</v>
      </c>
      <c r="K26" s="3">
        <f t="shared" si="25"/>
        <v>3.6029218777411651E-2</v>
      </c>
      <c r="L26" s="3">
        <f t="shared" si="25"/>
        <v>3.5988865196599391E-2</v>
      </c>
      <c r="M26" s="3">
        <f t="shared" si="25"/>
        <v>3.5587806887875981E-2</v>
      </c>
      <c r="N26" s="3">
        <f t="shared" si="25"/>
        <v>3.1815001736441272E-2</v>
      </c>
      <c r="O26" s="3">
        <f t="shared" si="25"/>
        <v>1.037383202106359E-2</v>
      </c>
      <c r="P26" s="3">
        <f t="shared" si="25"/>
        <v>1.4093271301064702E-7</v>
      </c>
      <c r="Q26" s="3">
        <f t="shared" si="25"/>
        <v>3.018129165337835E-56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2.4288633368735296E-2</v>
      </c>
      <c r="C27" s="18">
        <f t="shared" si="3"/>
        <v>2.6918166434543336E-2</v>
      </c>
      <c r="D27" s="17"/>
      <c r="F27" s="3">
        <f t="shared" si="25"/>
        <v>2.6918166431519768E-2</v>
      </c>
      <c r="G27" s="3">
        <f t="shared" si="25"/>
        <v>2.6918166404307629E-2</v>
      </c>
      <c r="H27" s="3">
        <f t="shared" si="25"/>
        <v>2.691816613218628E-2</v>
      </c>
      <c r="I27" s="3">
        <f t="shared" si="25"/>
        <v>2.6918163410972917E-2</v>
      </c>
      <c r="J27" s="3">
        <f t="shared" si="25"/>
        <v>2.6918136198854435E-2</v>
      </c>
      <c r="K27" s="3">
        <f t="shared" si="25"/>
        <v>2.6917864079182639E-2</v>
      </c>
      <c r="L27" s="3">
        <f t="shared" si="25"/>
        <v>2.6915143033759616E-2</v>
      </c>
      <c r="M27" s="3">
        <f t="shared" si="25"/>
        <v>2.6887947703366031E-2</v>
      </c>
      <c r="N27" s="3">
        <f t="shared" si="25"/>
        <v>2.6617501141432773E-2</v>
      </c>
      <c r="O27" s="3">
        <f t="shared" si="25"/>
        <v>2.4058223066977157E-2</v>
      </c>
      <c r="P27" s="3">
        <f t="shared" si="25"/>
        <v>8.754396387504448E-3</v>
      </c>
      <c r="Q27" s="3">
        <f t="shared" si="25"/>
        <v>3.5633034122230341E-7</v>
      </c>
      <c r="R27" s="3">
        <f t="shared" si="25"/>
        <v>4.4475288197844307E-51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2.4647663868343973E-2</v>
      </c>
      <c r="C28" s="18">
        <f t="shared" si="3"/>
        <v>2.7316066250347045E-2</v>
      </c>
      <c r="D28" s="17"/>
      <c r="F28" s="3">
        <f t="shared" si="25"/>
        <v>2.7316066250070263E-2</v>
      </c>
      <c r="G28" s="3">
        <f t="shared" si="25"/>
        <v>2.7316066247579218E-2</v>
      </c>
      <c r="H28" s="3">
        <f t="shared" si="25"/>
        <v>2.7316066222668745E-2</v>
      </c>
      <c r="I28" s="3">
        <f t="shared" si="25"/>
        <v>2.7316065973564063E-2</v>
      </c>
      <c r="J28" s="3">
        <f t="shared" si="25"/>
        <v>2.7316063482517351E-2</v>
      </c>
      <c r="K28" s="3">
        <f t="shared" si="25"/>
        <v>2.7316038572062724E-2</v>
      </c>
      <c r="L28" s="3">
        <f t="shared" si="25"/>
        <v>2.7315789468765849E-2</v>
      </c>
      <c r="M28" s="3">
        <f t="shared" si="25"/>
        <v>2.73132985607344E-2</v>
      </c>
      <c r="N28" s="3">
        <f t="shared" si="25"/>
        <v>2.72884019699332E-2</v>
      </c>
      <c r="O28" s="3">
        <f t="shared" si="25"/>
        <v>2.7040680809352111E-2</v>
      </c>
      <c r="P28" s="3">
        <f t="shared" si="25"/>
        <v>2.4683844463690392E-2</v>
      </c>
      <c r="Q28" s="3">
        <f t="shared" si="25"/>
        <v>9.916641103908776E-3</v>
      </c>
      <c r="R28" s="3">
        <f t="shared" si="25"/>
        <v>1.0861318323908122E-6</v>
      </c>
      <c r="S28" s="3">
        <f t="shared" si="25"/>
        <v>2.6981246261591434E-46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2.6716872306718827E-2</v>
      </c>
      <c r="C29" s="18">
        <f t="shared" si="3"/>
        <v>2.9609291080511132E-2</v>
      </c>
      <c r="D29" s="17"/>
      <c r="F29" s="3">
        <f t="shared" si="25"/>
        <v>2.9609291080484067E-2</v>
      </c>
      <c r="G29" s="3">
        <f t="shared" si="25"/>
        <v>2.9609291080240491E-2</v>
      </c>
      <c r="H29" s="3">
        <f t="shared" si="25"/>
        <v>2.9609291077804707E-2</v>
      </c>
      <c r="I29" s="3">
        <f t="shared" si="25"/>
        <v>2.9609291053446892E-2</v>
      </c>
      <c r="J29" s="3">
        <f t="shared" si="25"/>
        <v>2.9609290809868738E-2</v>
      </c>
      <c r="K29" s="3">
        <f t="shared" si="25"/>
        <v>2.96092883740873E-2</v>
      </c>
      <c r="L29" s="3">
        <f t="shared" si="25"/>
        <v>2.9609264016283922E-2</v>
      </c>
      <c r="M29" s="3">
        <f t="shared" si="25"/>
        <v>2.9609020439352214E-2</v>
      </c>
      <c r="N29" s="3">
        <f t="shared" si="25"/>
        <v>2.9606584780238986E-2</v>
      </c>
      <c r="O29" s="3">
        <f t="shared" si="25"/>
        <v>2.9582239206135647E-2</v>
      </c>
      <c r="P29" s="3">
        <f t="shared" si="25"/>
        <v>2.9339881822028895E-2</v>
      </c>
      <c r="Q29" s="3">
        <f t="shared" si="25"/>
        <v>2.7022872820516682E-2</v>
      </c>
      <c r="R29" s="3">
        <f t="shared" si="25"/>
        <v>1.1870338072097706E-2</v>
      </c>
      <c r="S29" s="3">
        <f t="shared" si="25"/>
        <v>3.1752563649849532E-6</v>
      </c>
      <c r="T29" s="3">
        <f t="shared" si="25"/>
        <v>5.9557418865619512E-42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2.2650899040389496E-2</v>
      </c>
      <c r="C30" s="18">
        <f t="shared" si="3"/>
        <v>2.5103127911926253E-2</v>
      </c>
      <c r="D30" s="17"/>
      <c r="F30" s="3">
        <f t="shared" si="25"/>
        <v>2.5103127911924181E-2</v>
      </c>
      <c r="G30" s="3">
        <f t="shared" si="25"/>
        <v>2.5103127911905554E-2</v>
      </c>
      <c r="H30" s="3">
        <f t="shared" si="25"/>
        <v>2.5103127911719269E-2</v>
      </c>
      <c r="I30" s="3">
        <f t="shared" si="25"/>
        <v>2.5103127909856388E-2</v>
      </c>
      <c r="J30" s="3">
        <f t="shared" si="25"/>
        <v>2.5103127891227591E-2</v>
      </c>
      <c r="K30" s="3">
        <f t="shared" si="25"/>
        <v>2.5103127704939644E-2</v>
      </c>
      <c r="L30" s="3">
        <f t="shared" si="25"/>
        <v>2.5103125842060248E-2</v>
      </c>
      <c r="M30" s="3">
        <f t="shared" si="25"/>
        <v>2.5103107213273877E-2</v>
      </c>
      <c r="N30" s="3">
        <f t="shared" si="25"/>
        <v>2.510292092617053E-2</v>
      </c>
      <c r="O30" s="3">
        <f t="shared" si="25"/>
        <v>2.5101058131168121E-2</v>
      </c>
      <c r="P30" s="3">
        <f t="shared" si="25"/>
        <v>2.5082437782164149E-2</v>
      </c>
      <c r="Q30" s="3">
        <f t="shared" si="25"/>
        <v>2.4896992311232165E-2</v>
      </c>
      <c r="R30" s="3">
        <f t="shared" si="25"/>
        <v>2.3116298862922675E-2</v>
      </c>
      <c r="S30" s="3">
        <f t="shared" si="25"/>
        <v>1.1006074687111546E-2</v>
      </c>
      <c r="T30" s="3">
        <f t="shared" si="25"/>
        <v>6.5883096812531984E-6</v>
      </c>
      <c r="U30" s="3">
        <f t="shared" si="25"/>
        <v>3.8921493546120937E-38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2.6936684509983339E-2</v>
      </c>
      <c r="C31" s="18">
        <f t="shared" si="3"/>
        <v>2.985290056573784E-2</v>
      </c>
      <c r="D31" s="17"/>
      <c r="F31" s="3">
        <f t="shared" si="25"/>
        <v>2.9852900565737618E-2</v>
      </c>
      <c r="G31" s="3">
        <f t="shared" si="25"/>
        <v>2.985290056573562E-2</v>
      </c>
      <c r="H31" s="3">
        <f t="shared" si="25"/>
        <v>2.9852900565715636E-2</v>
      </c>
      <c r="I31" s="3">
        <f t="shared" si="25"/>
        <v>2.9852900565515792E-2</v>
      </c>
      <c r="J31" s="3">
        <f t="shared" si="25"/>
        <v>2.9852900563517356E-2</v>
      </c>
      <c r="K31" s="3">
        <f t="shared" si="25"/>
        <v>2.9852900543533008E-2</v>
      </c>
      <c r="L31" s="3">
        <f t="shared" si="25"/>
        <v>2.9852900343689495E-2</v>
      </c>
      <c r="M31" s="3">
        <f t="shared" si="25"/>
        <v>2.9852898345254494E-2</v>
      </c>
      <c r="N31" s="3">
        <f t="shared" si="25"/>
        <v>2.9852878360911824E-2</v>
      </c>
      <c r="O31" s="3">
        <f t="shared" si="25"/>
        <v>2.9852678518220915E-2</v>
      </c>
      <c r="P31" s="3">
        <f t="shared" si="25"/>
        <v>2.9850680164889187E-2</v>
      </c>
      <c r="Q31" s="3">
        <f t="shared" si="25"/>
        <v>2.9830703987487397E-2</v>
      </c>
      <c r="R31" s="3">
        <f t="shared" si="25"/>
        <v>2.963167598630229E-2</v>
      </c>
      <c r="S31" s="3">
        <f t="shared" si="25"/>
        <v>2.7712987875335677E-2</v>
      </c>
      <c r="T31" s="3">
        <f t="shared" si="25"/>
        <v>1.4189095374402142E-2</v>
      </c>
      <c r="U31" s="3">
        <f t="shared" si="25"/>
        <v>1.7565813575860997E-5</v>
      </c>
      <c r="V31" s="3">
        <f t="shared" si="26"/>
        <v>1.485264782480154E-34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2.9081262380772101E-2</v>
      </c>
      <c r="C32" s="18">
        <f t="shared" si="3"/>
        <v>3.2229654464622864E-2</v>
      </c>
      <c r="D32" s="17"/>
      <c r="F32" s="3">
        <f t="shared" si="25"/>
        <v>3.2229654464622844E-2</v>
      </c>
      <c r="G32" s="3">
        <f t="shared" si="25"/>
        <v>3.2229654464622649E-2</v>
      </c>
      <c r="H32" s="3">
        <f t="shared" si="25"/>
        <v>3.2229654464620706E-2</v>
      </c>
      <c r="I32" s="3">
        <f t="shared" si="25"/>
        <v>3.2229654464601236E-2</v>
      </c>
      <c r="J32" s="3">
        <f t="shared" si="25"/>
        <v>3.2229654464406614E-2</v>
      </c>
      <c r="K32" s="3">
        <f t="shared" si="25"/>
        <v>3.222965446246033E-2</v>
      </c>
      <c r="L32" s="3">
        <f t="shared" si="25"/>
        <v>3.222965444299751E-2</v>
      </c>
      <c r="M32" s="3">
        <f t="shared" si="25"/>
        <v>3.2229654248369322E-2</v>
      </c>
      <c r="N32" s="3">
        <f t="shared" si="25"/>
        <v>3.2229652302087457E-2</v>
      </c>
      <c r="O32" s="3">
        <f t="shared" si="25"/>
        <v>3.2229632839275289E-2</v>
      </c>
      <c r="P32" s="3">
        <f t="shared" si="25"/>
        <v>3.2229438211800077E-2</v>
      </c>
      <c r="Q32" s="3">
        <f t="shared" si="25"/>
        <v>3.2227492001688882E-2</v>
      </c>
      <c r="R32" s="3">
        <f t="shared" si="25"/>
        <v>3.2208036363228339E-2</v>
      </c>
      <c r="S32" s="3">
        <f t="shared" si="25"/>
        <v>3.2014124802106497E-2</v>
      </c>
      <c r="T32" s="3">
        <f t="shared" si="25"/>
        <v>3.0138073752665376E-2</v>
      </c>
      <c r="U32" s="3">
        <f t="shared" si="25"/>
        <v>1.6476086686958942E-2</v>
      </c>
      <c r="V32" s="3">
        <f t="shared" si="26"/>
        <v>3.9286183219982971E-5</v>
      </c>
      <c r="W32" s="3">
        <f t="shared" si="26"/>
        <v>2.3339821613539341E-31</v>
      </c>
      <c r="X32" s="3">
        <f t="shared" si="26"/>
        <v>1.2784227162769412E-293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4.9165119236280606E-2</v>
      </c>
      <c r="C33" s="18">
        <f t="shared" si="3"/>
        <v>5.4487827383483636E-2</v>
      </c>
      <c r="D33" s="17"/>
      <c r="F33" s="3">
        <f t="shared" si="25"/>
        <v>5.4487827383483629E-2</v>
      </c>
      <c r="G33" s="3">
        <f t="shared" si="25"/>
        <v>5.4487827383483609E-2</v>
      </c>
      <c r="H33" s="3">
        <f t="shared" si="25"/>
        <v>5.4487827383483303E-2</v>
      </c>
      <c r="I33" s="3">
        <f t="shared" si="25"/>
        <v>5.448782738348034E-2</v>
      </c>
      <c r="J33" s="3">
        <f t="shared" si="25"/>
        <v>5.4487827383450656E-2</v>
      </c>
      <c r="K33" s="3">
        <f t="shared" si="25"/>
        <v>5.4487827383153831E-2</v>
      </c>
      <c r="L33" s="3">
        <f t="shared" si="25"/>
        <v>5.4487827380185615E-2</v>
      </c>
      <c r="M33" s="3">
        <f t="shared" si="25"/>
        <v>5.4487827350503407E-2</v>
      </c>
      <c r="N33" s="3">
        <f t="shared" si="25"/>
        <v>5.448782705368134E-2</v>
      </c>
      <c r="O33" s="3">
        <f t="shared" si="25"/>
        <v>5.4487824085460775E-2</v>
      </c>
      <c r="P33" s="3">
        <f t="shared" si="25"/>
        <v>5.4487794403263998E-2</v>
      </c>
      <c r="Q33" s="3">
        <f t="shared" si="25"/>
        <v>5.4487497582185546E-2</v>
      </c>
      <c r="R33" s="3">
        <f t="shared" si="25"/>
        <v>5.4484529460330521E-2</v>
      </c>
      <c r="S33" s="3">
        <f t="shared" si="25"/>
        <v>5.4454857132937934E-2</v>
      </c>
      <c r="T33" s="3">
        <f t="shared" si="25"/>
        <v>5.4159021185305675E-2</v>
      </c>
      <c r="U33" s="3">
        <f t="shared" ref="P33:AE48" si="27">$C33*EXP(-U$15/$A33)</f>
        <v>5.1287631629324308E-2</v>
      </c>
      <c r="V33" s="3">
        <f t="shared" si="27"/>
        <v>2.974616776263703E-2</v>
      </c>
      <c r="W33" s="3">
        <f t="shared" si="27"/>
        <v>1.2811937356175553E-4</v>
      </c>
      <c r="X33" s="3">
        <f t="shared" si="27"/>
        <v>2.814833054142854E-28</v>
      </c>
      <c r="Y33" s="3">
        <f t="shared" si="27"/>
        <v>7.3761713925616885E-265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5.6887731847778039E-2</v>
      </c>
      <c r="C34" s="18">
        <f t="shared" si="3"/>
        <v>6.3046504540403295E-2</v>
      </c>
      <c r="D34" s="17"/>
      <c r="F34" s="3">
        <f t="shared" ref="F34:O48" si="28">$C34*EXP(-F$15/$A34)</f>
        <v>6.3046504540403295E-2</v>
      </c>
      <c r="G34" s="3">
        <f t="shared" si="28"/>
        <v>6.3046504540403295E-2</v>
      </c>
      <c r="H34" s="3">
        <f t="shared" si="28"/>
        <v>6.3046504540403253E-2</v>
      </c>
      <c r="I34" s="3">
        <f t="shared" si="28"/>
        <v>6.3046504540402948E-2</v>
      </c>
      <c r="J34" s="3">
        <f t="shared" si="28"/>
        <v>6.3046504540399853E-2</v>
      </c>
      <c r="K34" s="3">
        <f t="shared" si="28"/>
        <v>6.3046504540368864E-2</v>
      </c>
      <c r="L34" s="3">
        <f t="shared" si="28"/>
        <v>6.3046504540059056E-2</v>
      </c>
      <c r="M34" s="3">
        <f t="shared" si="28"/>
        <v>6.3046504536960896E-2</v>
      </c>
      <c r="N34" s="3">
        <f t="shared" si="28"/>
        <v>6.3046504505979262E-2</v>
      </c>
      <c r="O34" s="3">
        <f t="shared" si="28"/>
        <v>6.3046504196162936E-2</v>
      </c>
      <c r="P34" s="3">
        <f t="shared" si="27"/>
        <v>6.3046501097999794E-2</v>
      </c>
      <c r="Q34" s="3">
        <f t="shared" si="27"/>
        <v>6.3046470116376652E-2</v>
      </c>
      <c r="R34" s="3">
        <f t="shared" si="27"/>
        <v>6.3046160300982729E-2</v>
      </c>
      <c r="S34" s="3">
        <f t="shared" si="27"/>
        <v>6.304306223077745E-2</v>
      </c>
      <c r="T34" s="3">
        <f t="shared" si="27"/>
        <v>6.3012089900595744E-2</v>
      </c>
      <c r="U34" s="3">
        <f t="shared" si="27"/>
        <v>6.2703202265707941E-2</v>
      </c>
      <c r="V34" s="3">
        <f t="shared" si="27"/>
        <v>5.9696392953736029E-2</v>
      </c>
      <c r="W34" s="3">
        <f t="shared" si="27"/>
        <v>3.6520085535749015E-2</v>
      </c>
      <c r="X34" s="3">
        <f t="shared" si="27"/>
        <v>2.6814440642766675E-4</v>
      </c>
      <c r="Y34" s="3">
        <f t="shared" si="27"/>
        <v>1.2210636425079987E-25</v>
      </c>
      <c r="Z34" s="3">
        <f t="shared" si="27"/>
        <v>4.6820266720599365E-239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5.6691871427777971E-2</v>
      </c>
      <c r="C35" s="18">
        <f t="shared" si="3"/>
        <v>6.2829439903481887E-2</v>
      </c>
      <c r="D35" s="17"/>
      <c r="F35" s="3">
        <f t="shared" si="28"/>
        <v>6.2829439903481887E-2</v>
      </c>
      <c r="G35" s="3">
        <f t="shared" si="28"/>
        <v>6.2829439903481887E-2</v>
      </c>
      <c r="H35" s="3">
        <f t="shared" si="28"/>
        <v>6.2829439903481887E-2</v>
      </c>
      <c r="I35" s="3">
        <f t="shared" si="28"/>
        <v>6.282943990348186E-2</v>
      </c>
      <c r="J35" s="3">
        <f t="shared" si="28"/>
        <v>6.2829439903481582E-2</v>
      </c>
      <c r="K35" s="3">
        <f t="shared" si="28"/>
        <v>6.2829439903478793E-2</v>
      </c>
      <c r="L35" s="3">
        <f t="shared" si="28"/>
        <v>6.282943990345094E-2</v>
      </c>
      <c r="M35" s="3">
        <f t="shared" si="28"/>
        <v>6.2829439903172427E-2</v>
      </c>
      <c r="N35" s="3">
        <f t="shared" si="28"/>
        <v>6.2829439900387238E-2</v>
      </c>
      <c r="O35" s="3">
        <f t="shared" si="28"/>
        <v>6.2829439872535461E-2</v>
      </c>
      <c r="P35" s="3">
        <f t="shared" si="27"/>
        <v>6.2829439594017586E-2</v>
      </c>
      <c r="Q35" s="3">
        <f t="shared" si="27"/>
        <v>6.282943680883897E-2</v>
      </c>
      <c r="R35" s="3">
        <f t="shared" si="27"/>
        <v>6.2829408957059657E-2</v>
      </c>
      <c r="S35" s="3">
        <f t="shared" si="27"/>
        <v>6.2829130439945521E-2</v>
      </c>
      <c r="T35" s="3">
        <f t="shared" si="27"/>
        <v>6.2826345336708556E-2</v>
      </c>
      <c r="U35" s="3">
        <f t="shared" si="27"/>
        <v>6.2798501093661974E-2</v>
      </c>
      <c r="V35" s="3">
        <f t="shared" si="27"/>
        <v>6.2520736483263797E-2</v>
      </c>
      <c r="W35" s="3">
        <f t="shared" si="27"/>
        <v>5.9809773698252744E-2</v>
      </c>
      <c r="X35" s="3">
        <f t="shared" si="27"/>
        <v>3.8393075070501374E-2</v>
      </c>
      <c r="Y35" s="3">
        <f t="shared" si="27"/>
        <v>4.5610022550720403E-4</v>
      </c>
      <c r="Z35" s="3">
        <f t="shared" si="27"/>
        <v>2.5534900855067173E-23</v>
      </c>
      <c r="AA35" s="3">
        <f t="shared" si="27"/>
        <v>7.7245478145381854E-216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4.9848497075141926E-2</v>
      </c>
      <c r="C36" s="18">
        <f t="shared" si="3"/>
        <v>5.5245188990655253E-2</v>
      </c>
      <c r="D36" s="17"/>
      <c r="F36" s="3">
        <f t="shared" si="28"/>
        <v>5.5245188990655253E-2</v>
      </c>
      <c r="G36" s="3">
        <f t="shared" si="28"/>
        <v>5.5245188990655253E-2</v>
      </c>
      <c r="H36" s="3">
        <f t="shared" si="28"/>
        <v>5.5245188990655253E-2</v>
      </c>
      <c r="I36" s="3">
        <f t="shared" si="28"/>
        <v>5.5245188990655253E-2</v>
      </c>
      <c r="J36" s="3">
        <f t="shared" si="28"/>
        <v>5.5245188990655225E-2</v>
      </c>
      <c r="K36" s="3">
        <f t="shared" si="28"/>
        <v>5.524518899065501E-2</v>
      </c>
      <c r="L36" s="3">
        <f t="shared" si="28"/>
        <v>5.5245188990652797E-2</v>
      </c>
      <c r="M36" s="3">
        <f t="shared" si="28"/>
        <v>5.524518899063071E-2</v>
      </c>
      <c r="N36" s="3">
        <f t="shared" si="28"/>
        <v>5.524518899040979E-2</v>
      </c>
      <c r="O36" s="3">
        <f t="shared" si="28"/>
        <v>5.5245188988200612E-2</v>
      </c>
      <c r="P36" s="3">
        <f t="shared" si="27"/>
        <v>5.5245188966108819E-2</v>
      </c>
      <c r="Q36" s="3">
        <f t="shared" si="27"/>
        <v>5.524518874519091E-2</v>
      </c>
      <c r="R36" s="3">
        <f t="shared" si="27"/>
        <v>5.5245186536011841E-2</v>
      </c>
      <c r="S36" s="3">
        <f t="shared" si="27"/>
        <v>5.5245164444226065E-2</v>
      </c>
      <c r="T36" s="3">
        <f t="shared" si="27"/>
        <v>5.5244943526854148E-2</v>
      </c>
      <c r="U36" s="3">
        <f t="shared" si="27"/>
        <v>5.5242734401722303E-2</v>
      </c>
      <c r="V36" s="3">
        <f t="shared" si="27"/>
        <v>5.5220648008417084E-2</v>
      </c>
      <c r="W36" s="3">
        <f t="shared" si="27"/>
        <v>5.5000269158670886E-2</v>
      </c>
      <c r="X36" s="3">
        <f t="shared" si="27"/>
        <v>5.2844278885000928E-2</v>
      </c>
      <c r="Y36" s="3">
        <f t="shared" si="27"/>
        <v>3.5426609180570189E-2</v>
      </c>
      <c r="Z36" s="3">
        <f t="shared" si="27"/>
        <v>6.4959951276239011E-4</v>
      </c>
      <c r="AA36" s="3">
        <f t="shared" si="27"/>
        <v>2.7913013934263066E-21</v>
      </c>
      <c r="AB36" s="3">
        <f t="shared" si="27"/>
        <v>5.9898666133918421E-195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6.0135502270422712E-2</v>
      </c>
      <c r="C37" s="18">
        <f t="shared" si="3"/>
        <v>6.6645884688751614E-2</v>
      </c>
      <c r="D37" s="17"/>
      <c r="F37" s="3">
        <f t="shared" si="28"/>
        <v>6.6645884688751614E-2</v>
      </c>
      <c r="G37" s="3">
        <f t="shared" si="28"/>
        <v>6.6645884688751614E-2</v>
      </c>
      <c r="H37" s="3">
        <f t="shared" si="28"/>
        <v>6.6645884688751614E-2</v>
      </c>
      <c r="I37" s="3">
        <f t="shared" si="28"/>
        <v>6.6645884688751614E-2</v>
      </c>
      <c r="J37" s="3">
        <f t="shared" si="28"/>
        <v>6.6645884688751614E-2</v>
      </c>
      <c r="K37" s="3">
        <f t="shared" si="28"/>
        <v>6.6645884688751586E-2</v>
      </c>
      <c r="L37" s="3">
        <f t="shared" si="28"/>
        <v>6.664588468875135E-2</v>
      </c>
      <c r="M37" s="3">
        <f t="shared" si="28"/>
        <v>6.6645884688748949E-2</v>
      </c>
      <c r="N37" s="3">
        <f t="shared" si="28"/>
        <v>6.6645884688724899E-2</v>
      </c>
      <c r="O37" s="3">
        <f t="shared" si="28"/>
        <v>6.6645884688484494E-2</v>
      </c>
      <c r="P37" s="3">
        <f t="shared" si="27"/>
        <v>6.6645884686080376E-2</v>
      </c>
      <c r="Q37" s="3">
        <f t="shared" si="27"/>
        <v>6.6645884662039148E-2</v>
      </c>
      <c r="R37" s="3">
        <f t="shared" si="27"/>
        <v>6.6645884421627014E-2</v>
      </c>
      <c r="S37" s="3">
        <f t="shared" si="27"/>
        <v>6.6645882017505667E-2</v>
      </c>
      <c r="T37" s="3">
        <f t="shared" si="27"/>
        <v>6.6645857976296977E-2</v>
      </c>
      <c r="U37" s="3">
        <f t="shared" si="27"/>
        <v>6.6645617564687065E-2</v>
      </c>
      <c r="V37" s="3">
        <f t="shared" si="27"/>
        <v>6.6643213496285381E-2</v>
      </c>
      <c r="W37" s="3">
        <f t="shared" si="27"/>
        <v>6.6619177581382902E-2</v>
      </c>
      <c r="X37" s="3">
        <f t="shared" si="27"/>
        <v>6.6379294707871989E-2</v>
      </c>
      <c r="Y37" s="3">
        <f t="shared" si="27"/>
        <v>6.4027463924708608E-2</v>
      </c>
      <c r="Z37" s="3">
        <f t="shared" si="27"/>
        <v>4.4637818798513827E-2</v>
      </c>
      <c r="AA37" s="3">
        <f t="shared" si="27"/>
        <v>1.210792194847493E-3</v>
      </c>
      <c r="AB37" s="3">
        <f t="shared" si="27"/>
        <v>2.6105744947855262E-19</v>
      </c>
      <c r="AC37" s="3">
        <f t="shared" si="27"/>
        <v>5.6676219068661655E-176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2.33420059888838E-2</v>
      </c>
      <c r="C38" s="18">
        <f t="shared" si="3"/>
        <v>2.5869055396656026E-2</v>
      </c>
      <c r="D38" s="17"/>
      <c r="F38" s="3">
        <f t="shared" si="28"/>
        <v>2.5869055396656026E-2</v>
      </c>
      <c r="G38" s="3">
        <f t="shared" si="28"/>
        <v>2.5869055396656026E-2</v>
      </c>
      <c r="H38" s="3">
        <f t="shared" si="28"/>
        <v>2.5869055396656026E-2</v>
      </c>
      <c r="I38" s="3">
        <f t="shared" si="28"/>
        <v>2.5869055396656026E-2</v>
      </c>
      <c r="J38" s="3">
        <f t="shared" si="28"/>
        <v>2.5869055396656026E-2</v>
      </c>
      <c r="K38" s="3">
        <f t="shared" si="28"/>
        <v>2.5869055396656026E-2</v>
      </c>
      <c r="L38" s="3">
        <f t="shared" si="28"/>
        <v>2.5869055396656019E-2</v>
      </c>
      <c r="M38" s="3">
        <f t="shared" si="28"/>
        <v>2.5869055396655932E-2</v>
      </c>
      <c r="N38" s="3">
        <f t="shared" si="28"/>
        <v>2.5869055396655089E-2</v>
      </c>
      <c r="O38" s="3">
        <f t="shared" si="28"/>
        <v>2.5869055396646672E-2</v>
      </c>
      <c r="P38" s="3">
        <f t="shared" si="27"/>
        <v>2.5869055396562493E-2</v>
      </c>
      <c r="Q38" s="3">
        <f t="shared" si="27"/>
        <v>2.5869055395720691E-2</v>
      </c>
      <c r="R38" s="3">
        <f t="shared" si="27"/>
        <v>2.5869055387302664E-2</v>
      </c>
      <c r="S38" s="3">
        <f t="shared" si="27"/>
        <v>2.5869055303122411E-2</v>
      </c>
      <c r="T38" s="3">
        <f t="shared" si="27"/>
        <v>2.5869054461319915E-2</v>
      </c>
      <c r="U38" s="3">
        <f t="shared" si="27"/>
        <v>2.5869046043296449E-2</v>
      </c>
      <c r="V38" s="3">
        <f t="shared" si="27"/>
        <v>2.5868961863212435E-2</v>
      </c>
      <c r="W38" s="3">
        <f t="shared" si="27"/>
        <v>2.5868120077438238E-2</v>
      </c>
      <c r="X38" s="3">
        <f t="shared" si="27"/>
        <v>2.5859703726110683E-2</v>
      </c>
      <c r="Y38" s="3">
        <f t="shared" si="27"/>
        <v>2.5775690673058217E-2</v>
      </c>
      <c r="Z38" s="3">
        <f t="shared" si="27"/>
        <v>2.4950426574709642E-2</v>
      </c>
      <c r="AA38" s="3">
        <f t="shared" si="27"/>
        <v>1.8019992820217878E-2</v>
      </c>
      <c r="AB38" s="3">
        <f t="shared" si="27"/>
        <v>6.9585859935448829E-4</v>
      </c>
      <c r="AC38" s="3">
        <f t="shared" si="27"/>
        <v>5.1307971910063691E-18</v>
      </c>
      <c r="AD38" s="3">
        <f t="shared" si="27"/>
        <v>2.4368194113263989E-159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4.3844736338194162E-2</v>
      </c>
      <c r="C39" s="18">
        <f t="shared" si="3"/>
        <v>4.8591449840458205E-2</v>
      </c>
      <c r="D39" s="17"/>
      <c r="F39" s="3">
        <f t="shared" si="28"/>
        <v>4.8591449840458205E-2</v>
      </c>
      <c r="G39" s="3">
        <f t="shared" si="28"/>
        <v>4.8591449840458205E-2</v>
      </c>
      <c r="H39" s="3">
        <f t="shared" si="28"/>
        <v>4.8591449840458205E-2</v>
      </c>
      <c r="I39" s="3">
        <f t="shared" si="28"/>
        <v>4.8591449840458205E-2</v>
      </c>
      <c r="J39" s="3">
        <f t="shared" si="28"/>
        <v>4.8591449840458205E-2</v>
      </c>
      <c r="K39" s="3">
        <f t="shared" si="28"/>
        <v>4.8591449840458205E-2</v>
      </c>
      <c r="L39" s="3">
        <f t="shared" si="28"/>
        <v>4.8591449840458198E-2</v>
      </c>
      <c r="M39" s="3">
        <f t="shared" si="28"/>
        <v>4.8591449840458156E-2</v>
      </c>
      <c r="N39" s="3">
        <f t="shared" si="28"/>
        <v>4.8591449840457719E-2</v>
      </c>
      <c r="O39" s="3">
        <f t="shared" si="28"/>
        <v>4.8591449840453348E-2</v>
      </c>
      <c r="P39" s="3">
        <f t="shared" si="27"/>
        <v>4.8591449840409612E-2</v>
      </c>
      <c r="Q39" s="3">
        <f t="shared" si="27"/>
        <v>4.8591449839972288E-2</v>
      </c>
      <c r="R39" s="3">
        <f t="shared" si="27"/>
        <v>4.8591449835599057E-2</v>
      </c>
      <c r="S39" s="3">
        <f t="shared" si="27"/>
        <v>4.8591449791866755E-2</v>
      </c>
      <c r="T39" s="3">
        <f t="shared" si="27"/>
        <v>4.8591449354543709E-2</v>
      </c>
      <c r="U39" s="3">
        <f t="shared" si="27"/>
        <v>4.8591444981313466E-2</v>
      </c>
      <c r="V39" s="3">
        <f t="shared" si="27"/>
        <v>4.8591401249032662E-2</v>
      </c>
      <c r="W39" s="3">
        <f t="shared" si="27"/>
        <v>4.8590963928389366E-2</v>
      </c>
      <c r="X39" s="3">
        <f t="shared" si="27"/>
        <v>4.858659093842331E-2</v>
      </c>
      <c r="Y39" s="3">
        <f t="shared" si="27"/>
        <v>4.8542882678246115E-2</v>
      </c>
      <c r="Z39" s="3">
        <f t="shared" si="27"/>
        <v>4.8107956836176684E-2</v>
      </c>
      <c r="AA39" s="3">
        <f t="shared" si="27"/>
        <v>4.396736201226404E-2</v>
      </c>
      <c r="AB39" s="3">
        <f t="shared" si="27"/>
        <v>1.7875795413017936E-2</v>
      </c>
      <c r="AC39" s="3">
        <f t="shared" si="27"/>
        <v>2.2060484098141082E-6</v>
      </c>
      <c r="AD39" s="3">
        <f t="shared" si="27"/>
        <v>1.8076388519151007E-45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2.5747501318077168E-2</v>
      </c>
      <c r="C40" s="18">
        <f t="shared" si="3"/>
        <v>2.853497416803049E-2</v>
      </c>
      <c r="D40" s="17"/>
      <c r="F40" s="3">
        <f t="shared" si="28"/>
        <v>2.853497416803049E-2</v>
      </c>
      <c r="G40" s="3">
        <f t="shared" si="28"/>
        <v>2.853497416803049E-2</v>
      </c>
      <c r="H40" s="3">
        <f t="shared" si="28"/>
        <v>2.853497416803049E-2</v>
      </c>
      <c r="I40" s="3">
        <f t="shared" si="28"/>
        <v>2.853497416803049E-2</v>
      </c>
      <c r="J40" s="3">
        <f t="shared" si="28"/>
        <v>2.853497416803049E-2</v>
      </c>
      <c r="K40" s="3">
        <f t="shared" si="28"/>
        <v>2.853497416803049E-2</v>
      </c>
      <c r="L40" s="3">
        <f t="shared" si="28"/>
        <v>2.853497416803049E-2</v>
      </c>
      <c r="M40" s="3">
        <f t="shared" si="28"/>
        <v>2.8534974168030487E-2</v>
      </c>
      <c r="N40" s="3">
        <f t="shared" si="28"/>
        <v>2.8534974168030462E-2</v>
      </c>
      <c r="O40" s="3">
        <f t="shared" si="28"/>
        <v>2.8534974168030205E-2</v>
      </c>
      <c r="P40" s="3">
        <f t="shared" si="27"/>
        <v>2.8534974168027635E-2</v>
      </c>
      <c r="Q40" s="3">
        <f t="shared" si="27"/>
        <v>2.8534974168001957E-2</v>
      </c>
      <c r="R40" s="3">
        <f t="shared" si="27"/>
        <v>2.8534974167745142E-2</v>
      </c>
      <c r="S40" s="3">
        <f t="shared" si="27"/>
        <v>2.8534974165176991E-2</v>
      </c>
      <c r="T40" s="3">
        <f t="shared" si="27"/>
        <v>2.8534974139495517E-2</v>
      </c>
      <c r="U40" s="3">
        <f t="shared" si="27"/>
        <v>2.853497388268075E-2</v>
      </c>
      <c r="V40" s="3">
        <f t="shared" si="27"/>
        <v>2.8534971314533218E-2</v>
      </c>
      <c r="W40" s="3">
        <f t="shared" si="27"/>
        <v>2.8534945633070592E-2</v>
      </c>
      <c r="X40" s="3">
        <f t="shared" si="27"/>
        <v>2.8534688819715555E-2</v>
      </c>
      <c r="Y40" s="3">
        <f t="shared" si="27"/>
        <v>2.8532120813283803E-2</v>
      </c>
      <c r="Z40" s="3">
        <f t="shared" si="27"/>
        <v>2.8506453456594905E-2</v>
      </c>
      <c r="AA40" s="3">
        <f t="shared" si="27"/>
        <v>2.8251046431095394E-2</v>
      </c>
      <c r="AB40" s="3">
        <f t="shared" si="27"/>
        <v>2.581951234992351E-2</v>
      </c>
      <c r="AC40" s="3">
        <f t="shared" si="27"/>
        <v>1.0497430350776599E-2</v>
      </c>
      <c r="AD40" s="3">
        <f t="shared" si="27"/>
        <v>1.2954858230029039E-6</v>
      </c>
      <c r="AE40" s="3">
        <f t="shared" si="27"/>
        <v>1.0615227187886537E-45</v>
      </c>
      <c r="AF40" s="3">
        <f t="shared" si="29"/>
        <v>0</v>
      </c>
      <c r="AG40" s="3">
        <f t="shared" si="29"/>
        <v>0</v>
      </c>
      <c r="AH40" s="3">
        <f t="shared" si="29"/>
        <v>0</v>
      </c>
      <c r="AI40" s="3">
        <f t="shared" si="29"/>
        <v>0</v>
      </c>
      <c r="AJ40" s="3">
        <f t="shared" si="29"/>
        <v>0</v>
      </c>
    </row>
    <row r="41" spans="1:36" x14ac:dyDescent="0.25">
      <c r="A41" s="3">
        <f t="shared" si="30"/>
        <v>1000000000</v>
      </c>
      <c r="B41" s="106">
        <v>1.68823484769163E-2</v>
      </c>
      <c r="C41" s="18">
        <f t="shared" si="3"/>
        <v>1.8710063230340357E-2</v>
      </c>
      <c r="D41" s="17"/>
      <c r="F41" s="3">
        <f t="shared" si="28"/>
        <v>1.8710063230340357E-2</v>
      </c>
      <c r="G41" s="3">
        <f t="shared" si="28"/>
        <v>1.8710063230340357E-2</v>
      </c>
      <c r="H41" s="3">
        <f t="shared" si="28"/>
        <v>1.8710063230340357E-2</v>
      </c>
      <c r="I41" s="3">
        <f t="shared" si="28"/>
        <v>1.8710063230340357E-2</v>
      </c>
      <c r="J41" s="3">
        <f t="shared" si="28"/>
        <v>1.8710063230340357E-2</v>
      </c>
      <c r="K41" s="3">
        <f t="shared" si="28"/>
        <v>1.8710063230340357E-2</v>
      </c>
      <c r="L41" s="3">
        <f t="shared" si="28"/>
        <v>1.8710063230340357E-2</v>
      </c>
      <c r="M41" s="3">
        <f t="shared" si="28"/>
        <v>1.8710063230340357E-2</v>
      </c>
      <c r="N41" s="3">
        <f t="shared" si="28"/>
        <v>1.8710063230340353E-2</v>
      </c>
      <c r="O41" s="3">
        <f t="shared" si="28"/>
        <v>1.871006323034034E-2</v>
      </c>
      <c r="P41" s="3">
        <f t="shared" si="27"/>
        <v>1.871006323034017E-2</v>
      </c>
      <c r="Q41" s="3">
        <f t="shared" si="27"/>
        <v>1.8710063230338487E-2</v>
      </c>
      <c r="R41" s="3">
        <f t="shared" si="27"/>
        <v>1.8710063230321646E-2</v>
      </c>
      <c r="S41" s="3">
        <f t="shared" si="27"/>
        <v>1.8710063230153257E-2</v>
      </c>
      <c r="T41" s="3">
        <f t="shared" si="27"/>
        <v>1.871006322846935E-2</v>
      </c>
      <c r="U41" s="3">
        <f t="shared" si="27"/>
        <v>1.8710063211630296E-2</v>
      </c>
      <c r="V41" s="3">
        <f t="shared" si="27"/>
        <v>1.8710063043239727E-2</v>
      </c>
      <c r="W41" s="3">
        <f t="shared" si="27"/>
        <v>1.8710061359334128E-2</v>
      </c>
      <c r="X41" s="3">
        <f t="shared" si="27"/>
        <v>1.8710044520286483E-2</v>
      </c>
      <c r="Y41" s="3">
        <f t="shared" si="27"/>
        <v>1.8709876130643552E-2</v>
      </c>
      <c r="Z41" s="3">
        <f t="shared" si="27"/>
        <v>1.8708192317564522E-2</v>
      </c>
      <c r="AA41" s="3">
        <f t="shared" si="27"/>
        <v>1.8691362519024066E-2</v>
      </c>
      <c r="AB41" s="3">
        <f t="shared" si="27"/>
        <v>1.8523894990634893E-2</v>
      </c>
      <c r="AC41" s="3">
        <f t="shared" si="27"/>
        <v>1.6929565304630714E-2</v>
      </c>
      <c r="AD41" s="3">
        <f t="shared" si="27"/>
        <v>6.8830476054599615E-3</v>
      </c>
      <c r="AE41" s="3">
        <f t="shared" si="27"/>
        <v>8.4943555650910268E-7</v>
      </c>
      <c r="AF41" s="3">
        <f t="shared" si="29"/>
        <v>6.960285673301996E-46</v>
      </c>
      <c r="AG41" s="3">
        <f t="shared" si="29"/>
        <v>0</v>
      </c>
      <c r="AH41" s="3">
        <f t="shared" si="29"/>
        <v>0</v>
      </c>
      <c r="AI41" s="3">
        <f t="shared" si="29"/>
        <v>0</v>
      </c>
      <c r="AJ41" s="3">
        <f t="shared" si="29"/>
        <v>0</v>
      </c>
    </row>
    <row r="42" spans="1:36" x14ac:dyDescent="0.25">
      <c r="A42" s="3">
        <f t="shared" si="30"/>
        <v>10000000000</v>
      </c>
      <c r="B42" s="106">
        <v>6.9296446197771016E-3</v>
      </c>
      <c r="C42" s="18">
        <f t="shared" si="3"/>
        <v>7.6798609611155137E-3</v>
      </c>
      <c r="D42" s="17"/>
      <c r="F42" s="3">
        <f t="shared" si="28"/>
        <v>7.6798609611155137E-3</v>
      </c>
      <c r="G42" s="3">
        <f t="shared" si="28"/>
        <v>7.6798609611155137E-3</v>
      </c>
      <c r="H42" s="3">
        <f t="shared" si="28"/>
        <v>7.6798609611155137E-3</v>
      </c>
      <c r="I42" s="3">
        <f t="shared" si="28"/>
        <v>7.6798609611155137E-3</v>
      </c>
      <c r="J42" s="3">
        <f t="shared" si="28"/>
        <v>7.6798609611155137E-3</v>
      </c>
      <c r="K42" s="3">
        <f t="shared" si="28"/>
        <v>7.6798609611155137E-3</v>
      </c>
      <c r="L42" s="3">
        <f t="shared" si="28"/>
        <v>7.6798609611155137E-3</v>
      </c>
      <c r="M42" s="3">
        <f t="shared" si="28"/>
        <v>7.6798609611155137E-3</v>
      </c>
      <c r="N42" s="3">
        <f t="shared" si="28"/>
        <v>7.6798609611155137E-3</v>
      </c>
      <c r="O42" s="3">
        <f t="shared" si="28"/>
        <v>7.6798609611155129E-3</v>
      </c>
      <c r="P42" s="3">
        <f t="shared" si="27"/>
        <v>7.6798609611155059E-3</v>
      </c>
      <c r="Q42" s="3">
        <f t="shared" si="27"/>
        <v>7.6798609611154374E-3</v>
      </c>
      <c r="R42" s="3">
        <f t="shared" si="27"/>
        <v>7.6798609611147452E-3</v>
      </c>
      <c r="S42" s="3">
        <f t="shared" si="27"/>
        <v>7.6798609611078341E-3</v>
      </c>
      <c r="T42" s="3">
        <f t="shared" si="27"/>
        <v>7.6798609610387149E-3</v>
      </c>
      <c r="U42" s="3">
        <f t="shared" si="27"/>
        <v>7.6798609603475274E-3</v>
      </c>
      <c r="V42" s="3">
        <f t="shared" si="27"/>
        <v>7.6798609534356526E-3</v>
      </c>
      <c r="W42" s="3">
        <f t="shared" si="27"/>
        <v>7.6798608843169046E-3</v>
      </c>
      <c r="X42" s="3">
        <f t="shared" si="27"/>
        <v>7.6798601931294562E-3</v>
      </c>
      <c r="Y42" s="3">
        <f t="shared" si="27"/>
        <v>7.6798532812583928E-3</v>
      </c>
      <c r="Z42" s="3">
        <f t="shared" si="27"/>
        <v>7.6797841628898945E-3</v>
      </c>
      <c r="AA42" s="3">
        <f t="shared" si="27"/>
        <v>7.6790930134174274E-3</v>
      </c>
      <c r="AB42" s="3">
        <f t="shared" si="27"/>
        <v>7.6721849388052222E-3</v>
      </c>
      <c r="AC42" s="3">
        <f t="shared" si="27"/>
        <v>7.6034450677691405E-3</v>
      </c>
      <c r="AD42" s="3">
        <f t="shared" si="27"/>
        <v>6.9490255629309243E-3</v>
      </c>
      <c r="AE42" s="3">
        <f t="shared" si="27"/>
        <v>2.8252629586495511E-3</v>
      </c>
      <c r="AF42" s="3">
        <f t="shared" si="29"/>
        <v>3.4866514822029377E-7</v>
      </c>
      <c r="AG42" s="3">
        <f t="shared" si="29"/>
        <v>2.856966626062611E-46</v>
      </c>
      <c r="AH42" s="3">
        <f t="shared" si="29"/>
        <v>0</v>
      </c>
      <c r="AI42" s="3">
        <f t="shared" si="29"/>
        <v>0</v>
      </c>
      <c r="AJ42" s="3">
        <f t="shared" si="29"/>
        <v>0</v>
      </c>
    </row>
    <row r="43" spans="1:36" x14ac:dyDescent="0.25">
      <c r="A43" s="3">
        <f t="shared" si="30"/>
        <v>100000000000</v>
      </c>
      <c r="B43" s="106">
        <v>3.7087127846647397E-3</v>
      </c>
      <c r="C43" s="18">
        <f t="shared" si="3"/>
        <v>4.1102249961922147E-3</v>
      </c>
      <c r="D43" s="17"/>
      <c r="F43" s="3">
        <f t="shared" si="28"/>
        <v>4.1102249961922147E-3</v>
      </c>
      <c r="G43" s="3">
        <f t="shared" si="28"/>
        <v>4.1102249961922147E-3</v>
      </c>
      <c r="H43" s="3">
        <f t="shared" si="28"/>
        <v>4.1102249961922147E-3</v>
      </c>
      <c r="I43" s="3">
        <f t="shared" si="28"/>
        <v>4.1102249961922147E-3</v>
      </c>
      <c r="J43" s="3">
        <f t="shared" si="28"/>
        <v>4.1102249961922147E-3</v>
      </c>
      <c r="K43" s="3">
        <f t="shared" si="28"/>
        <v>4.1102249961922147E-3</v>
      </c>
      <c r="L43" s="3">
        <f t="shared" si="28"/>
        <v>4.1102249961922147E-3</v>
      </c>
      <c r="M43" s="3">
        <f t="shared" si="28"/>
        <v>4.1102249961922147E-3</v>
      </c>
      <c r="N43" s="3">
        <f t="shared" si="28"/>
        <v>4.1102249961922147E-3</v>
      </c>
      <c r="O43" s="3">
        <f t="shared" si="28"/>
        <v>4.1102249961922147E-3</v>
      </c>
      <c r="P43" s="3">
        <f t="shared" si="27"/>
        <v>4.1102249961922138E-3</v>
      </c>
      <c r="Q43" s="3">
        <f t="shared" si="27"/>
        <v>4.1102249961922103E-3</v>
      </c>
      <c r="R43" s="3">
        <f t="shared" si="27"/>
        <v>4.1102249961921739E-3</v>
      </c>
      <c r="S43" s="3">
        <f t="shared" si="27"/>
        <v>4.1102249961918035E-3</v>
      </c>
      <c r="T43" s="3">
        <f t="shared" si="27"/>
        <v>4.1102249961881042E-3</v>
      </c>
      <c r="U43" s="3">
        <f t="shared" si="27"/>
        <v>4.1102249961511121E-3</v>
      </c>
      <c r="V43" s="3">
        <f t="shared" si="27"/>
        <v>4.1102249957811919E-3</v>
      </c>
      <c r="W43" s="3">
        <f t="shared" si="27"/>
        <v>4.1102249920819895E-3</v>
      </c>
      <c r="X43" s="3">
        <f t="shared" si="27"/>
        <v>4.1102249550899646E-3</v>
      </c>
      <c r="Y43" s="3">
        <f t="shared" si="27"/>
        <v>4.1102245851697356E-3</v>
      </c>
      <c r="Z43" s="3">
        <f t="shared" si="27"/>
        <v>4.110220885969274E-3</v>
      </c>
      <c r="AA43" s="3">
        <f t="shared" si="27"/>
        <v>4.1101838941477635E-3</v>
      </c>
      <c r="AB43" s="3">
        <f t="shared" si="27"/>
        <v>4.1098139942430355E-3</v>
      </c>
      <c r="AC43" s="3">
        <f t="shared" si="27"/>
        <v>4.1061168256236544E-3</v>
      </c>
      <c r="AD43" s="3">
        <f t="shared" si="27"/>
        <v>4.0693275741517775E-3</v>
      </c>
      <c r="AE43" s="3">
        <f t="shared" si="27"/>
        <v>3.7190853731014252E-3</v>
      </c>
      <c r="AF43" s="3">
        <f t="shared" si="29"/>
        <v>1.5120672746880856E-3</v>
      </c>
      <c r="AG43" s="3">
        <f t="shared" si="29"/>
        <v>1.8660392613513613E-7</v>
      </c>
      <c r="AH43" s="3">
        <f t="shared" si="29"/>
        <v>1.529034926437499E-46</v>
      </c>
      <c r="AI43" s="3">
        <f t="shared" si="29"/>
        <v>0</v>
      </c>
      <c r="AJ43" s="3">
        <f t="shared" si="29"/>
        <v>0</v>
      </c>
    </row>
    <row r="44" spans="1:36" x14ac:dyDescent="0.25">
      <c r="A44" s="3">
        <f t="shared" si="30"/>
        <v>1000000000000</v>
      </c>
      <c r="B44" s="106">
        <v>2.8032155982579757E-3</v>
      </c>
      <c r="C44" s="18">
        <f t="shared" si="3"/>
        <v>3.1066969837399792E-3</v>
      </c>
      <c r="D44" s="17"/>
      <c r="F44" s="3">
        <f t="shared" si="28"/>
        <v>3.1066969837399792E-3</v>
      </c>
      <c r="G44" s="3">
        <f t="shared" si="28"/>
        <v>3.1066969837399792E-3</v>
      </c>
      <c r="H44" s="3">
        <f t="shared" si="28"/>
        <v>3.1066969837399792E-3</v>
      </c>
      <c r="I44" s="3">
        <f t="shared" si="28"/>
        <v>3.1066969837399792E-3</v>
      </c>
      <c r="J44" s="3">
        <f t="shared" si="28"/>
        <v>3.1066969837399792E-3</v>
      </c>
      <c r="K44" s="3">
        <f t="shared" si="28"/>
        <v>3.1066969837399792E-3</v>
      </c>
      <c r="L44" s="3">
        <f t="shared" si="28"/>
        <v>3.1066969837399792E-3</v>
      </c>
      <c r="M44" s="3">
        <f t="shared" si="28"/>
        <v>3.1066969837399792E-3</v>
      </c>
      <c r="N44" s="3">
        <f t="shared" si="28"/>
        <v>3.1066969837399792E-3</v>
      </c>
      <c r="O44" s="3">
        <f t="shared" si="28"/>
        <v>3.1066969837399792E-3</v>
      </c>
      <c r="P44" s="3">
        <f t="shared" si="27"/>
        <v>3.1066969837399792E-3</v>
      </c>
      <c r="Q44" s="3">
        <f t="shared" si="27"/>
        <v>3.1066969837399787E-3</v>
      </c>
      <c r="R44" s="3">
        <f t="shared" si="27"/>
        <v>3.1066969837399761E-3</v>
      </c>
      <c r="S44" s="3">
        <f t="shared" si="27"/>
        <v>3.1066969837399479E-3</v>
      </c>
      <c r="T44" s="3">
        <f t="shared" si="27"/>
        <v>3.1066969837396682E-3</v>
      </c>
      <c r="U44" s="3">
        <f t="shared" si="27"/>
        <v>3.1066969837368727E-3</v>
      </c>
      <c r="V44" s="3">
        <f t="shared" si="27"/>
        <v>3.106696983708912E-3</v>
      </c>
      <c r="W44" s="3">
        <f t="shared" si="27"/>
        <v>3.1066969834293093E-3</v>
      </c>
      <c r="X44" s="3">
        <f t="shared" si="27"/>
        <v>3.1066969806332824E-3</v>
      </c>
      <c r="Y44" s="3">
        <f t="shared" si="27"/>
        <v>3.1066969526730094E-3</v>
      </c>
      <c r="Z44" s="3">
        <f t="shared" si="27"/>
        <v>3.1066966730702965E-3</v>
      </c>
      <c r="AA44" s="3">
        <f t="shared" si="27"/>
        <v>3.1066938770445487E-3</v>
      </c>
      <c r="AB44" s="3">
        <f t="shared" si="27"/>
        <v>3.1066659169254763E-3</v>
      </c>
      <c r="AC44" s="3">
        <f t="shared" si="27"/>
        <v>3.1063863295745721E-3</v>
      </c>
      <c r="AD44" s="3">
        <f t="shared" si="27"/>
        <v>3.1035918395870775E-3</v>
      </c>
      <c r="AE44" s="3">
        <f t="shared" si="27"/>
        <v>3.0757848322608083E-3</v>
      </c>
      <c r="AF44" s="3">
        <f t="shared" si="29"/>
        <v>2.811055677387386E-3</v>
      </c>
      <c r="AG44" s="3">
        <f t="shared" si="29"/>
        <v>1.142889950267269E-3</v>
      </c>
      <c r="AH44" s="3">
        <f t="shared" si="29"/>
        <v>1.4104382485511862E-7</v>
      </c>
      <c r="AI44" s="3">
        <f t="shared" si="29"/>
        <v>1.1557148813987492E-46</v>
      </c>
      <c r="AJ44" s="3">
        <f t="shared" si="29"/>
        <v>0</v>
      </c>
    </row>
    <row r="45" spans="1:36" x14ac:dyDescent="0.25">
      <c r="A45" s="3">
        <f t="shared" si="30"/>
        <v>10000000000000</v>
      </c>
      <c r="B45" s="106">
        <v>8.7086570496780881E-4</v>
      </c>
      <c r="C45" s="18">
        <f t="shared" si="3"/>
        <v>9.6514726179013565E-4</v>
      </c>
      <c r="D45" s="17"/>
      <c r="F45" s="3">
        <f t="shared" si="28"/>
        <v>9.6514726179013565E-4</v>
      </c>
      <c r="G45" s="3">
        <f t="shared" si="28"/>
        <v>9.6514726179013565E-4</v>
      </c>
      <c r="H45" s="3">
        <f t="shared" si="28"/>
        <v>9.6514726179013565E-4</v>
      </c>
      <c r="I45" s="3">
        <f t="shared" si="28"/>
        <v>9.6514726179013565E-4</v>
      </c>
      <c r="J45" s="3">
        <f t="shared" si="28"/>
        <v>9.6514726179013565E-4</v>
      </c>
      <c r="K45" s="3">
        <f t="shared" si="28"/>
        <v>9.6514726179013565E-4</v>
      </c>
      <c r="L45" s="3">
        <f t="shared" si="28"/>
        <v>9.6514726179013565E-4</v>
      </c>
      <c r="M45" s="3">
        <f t="shared" si="28"/>
        <v>9.6514726179013565E-4</v>
      </c>
      <c r="N45" s="3">
        <f t="shared" si="28"/>
        <v>9.6514726179013565E-4</v>
      </c>
      <c r="O45" s="3">
        <f t="shared" si="28"/>
        <v>9.6514726179013565E-4</v>
      </c>
      <c r="P45" s="3">
        <f t="shared" si="27"/>
        <v>9.6514726179013565E-4</v>
      </c>
      <c r="Q45" s="3">
        <f t="shared" si="27"/>
        <v>9.6514726179013565E-4</v>
      </c>
      <c r="R45" s="3">
        <f t="shared" si="27"/>
        <v>9.6514726179013554E-4</v>
      </c>
      <c r="S45" s="3">
        <f t="shared" si="27"/>
        <v>9.6514726179013468E-4</v>
      </c>
      <c r="T45" s="3">
        <f t="shared" si="27"/>
        <v>9.65147261790126E-4</v>
      </c>
      <c r="U45" s="3">
        <f t="shared" si="27"/>
        <v>9.6514726179003916E-4</v>
      </c>
      <c r="V45" s="3">
        <f t="shared" si="27"/>
        <v>9.6514726178917049E-4</v>
      </c>
      <c r="W45" s="3">
        <f t="shared" si="27"/>
        <v>9.6514726178048419E-4</v>
      </c>
      <c r="X45" s="3">
        <f t="shared" si="27"/>
        <v>9.6514726169362095E-4</v>
      </c>
      <c r="Y45" s="3">
        <f t="shared" si="27"/>
        <v>9.6514726082498842E-4</v>
      </c>
      <c r="Z45" s="3">
        <f t="shared" si="27"/>
        <v>9.6514725213866311E-4</v>
      </c>
      <c r="AA45" s="3">
        <f t="shared" si="27"/>
        <v>9.6514716527541431E-4</v>
      </c>
      <c r="AB45" s="3">
        <f t="shared" si="27"/>
        <v>9.6514629664335642E-4</v>
      </c>
      <c r="AC45" s="3">
        <f t="shared" si="27"/>
        <v>9.6513761036577498E-4</v>
      </c>
      <c r="AD45" s="3">
        <f t="shared" si="27"/>
        <v>9.6505075188953204E-4</v>
      </c>
      <c r="AE45" s="3">
        <f t="shared" si="27"/>
        <v>9.6418259694115878E-4</v>
      </c>
      <c r="AF45" s="3">
        <f t="shared" si="29"/>
        <v>9.5554388607878868E-4</v>
      </c>
      <c r="AG45" s="3">
        <f t="shared" si="29"/>
        <v>8.7330135638266258E-4</v>
      </c>
      <c r="AH45" s="3">
        <f t="shared" si="29"/>
        <v>3.5505783531550284E-4</v>
      </c>
      <c r="AI45" s="3">
        <f t="shared" si="29"/>
        <v>4.3817617895726743E-8</v>
      </c>
      <c r="AJ45" s="3">
        <f t="shared" si="29"/>
        <v>3.5904211419077762E-47</v>
      </c>
    </row>
    <row r="46" spans="1:36" x14ac:dyDescent="0.25">
      <c r="A46" s="3">
        <f t="shared" si="30"/>
        <v>100000000000000</v>
      </c>
      <c r="B46" s="106">
        <v>9.0739642644603906E-4</v>
      </c>
      <c r="C46" s="18">
        <f t="shared" si="3"/>
        <v>1.0056328677851901E-3</v>
      </c>
      <c r="D46" s="17"/>
      <c r="F46" s="3">
        <f t="shared" si="28"/>
        <v>1.0056328677851901E-3</v>
      </c>
      <c r="G46" s="3">
        <f t="shared" si="28"/>
        <v>1.0056328677851901E-3</v>
      </c>
      <c r="H46" s="3">
        <f t="shared" si="28"/>
        <v>1.0056328677851901E-3</v>
      </c>
      <c r="I46" s="3">
        <f t="shared" si="28"/>
        <v>1.0056328677851901E-3</v>
      </c>
      <c r="J46" s="3">
        <f t="shared" si="28"/>
        <v>1.0056328677851901E-3</v>
      </c>
      <c r="K46" s="3">
        <f t="shared" si="28"/>
        <v>1.0056328677851901E-3</v>
      </c>
      <c r="L46" s="3">
        <f t="shared" si="28"/>
        <v>1.0056328677851901E-3</v>
      </c>
      <c r="M46" s="3">
        <f t="shared" si="28"/>
        <v>1.0056328677851901E-3</v>
      </c>
      <c r="N46" s="3">
        <f t="shared" si="28"/>
        <v>1.0056328677851901E-3</v>
      </c>
      <c r="O46" s="3">
        <f t="shared" si="28"/>
        <v>1.0056328677851901E-3</v>
      </c>
      <c r="P46" s="3">
        <f t="shared" si="27"/>
        <v>1.0056328677851901E-3</v>
      </c>
      <c r="Q46" s="3">
        <f t="shared" si="27"/>
        <v>1.0056328677851901E-3</v>
      </c>
      <c r="R46" s="3">
        <f t="shared" si="27"/>
        <v>1.0056328677851901E-3</v>
      </c>
      <c r="S46" s="3">
        <f t="shared" si="27"/>
        <v>1.0056328677851899E-3</v>
      </c>
      <c r="T46" s="3">
        <f t="shared" si="27"/>
        <v>1.005632867785189E-3</v>
      </c>
      <c r="U46" s="3">
        <f t="shared" si="27"/>
        <v>1.0056328677851801E-3</v>
      </c>
      <c r="V46" s="3">
        <f t="shared" si="27"/>
        <v>1.0056328677850895E-3</v>
      </c>
      <c r="W46" s="3">
        <f t="shared" si="27"/>
        <v>1.0056328677841844E-3</v>
      </c>
      <c r="X46" s="3">
        <f t="shared" si="27"/>
        <v>1.0056328677751337E-3</v>
      </c>
      <c r="Y46" s="3">
        <f t="shared" si="27"/>
        <v>1.0056328676846268E-3</v>
      </c>
      <c r="Z46" s="3">
        <f t="shared" si="27"/>
        <v>1.0056328667795572E-3</v>
      </c>
      <c r="AA46" s="3">
        <f t="shared" si="27"/>
        <v>1.0056328577288615E-3</v>
      </c>
      <c r="AB46" s="3">
        <f t="shared" si="27"/>
        <v>1.0056327672219084E-3</v>
      </c>
      <c r="AC46" s="3">
        <f t="shared" si="27"/>
        <v>1.0056318621528251E-3</v>
      </c>
      <c r="AD46" s="3">
        <f t="shared" si="27"/>
        <v>1.0056228115067937E-3</v>
      </c>
      <c r="AE46" s="3">
        <f t="shared" si="27"/>
        <v>1.0055323095264084E-3</v>
      </c>
      <c r="AF46" s="3">
        <f t="shared" si="29"/>
        <v>1.0046277375662753E-3</v>
      </c>
      <c r="AG46" s="3">
        <f t="shared" si="29"/>
        <v>9.9562665356342657E-4</v>
      </c>
      <c r="AH46" s="3">
        <f t="shared" si="29"/>
        <v>9.0993424757884885E-4</v>
      </c>
      <c r="AI46" s="3">
        <f t="shared" si="29"/>
        <v>3.6995165742445069E-4</v>
      </c>
      <c r="AJ46" s="3">
        <f t="shared" si="29"/>
        <v>4.5655661564293849E-8</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1.9678640471253041E-2</v>
      </c>
      <c r="C48" s="18">
        <f t="shared" si="3"/>
        <v>2.1809087047795134E-2</v>
      </c>
      <c r="D48" s="17"/>
      <c r="F48" s="3">
        <f t="shared" si="28"/>
        <v>2.1809087047795134E-2</v>
      </c>
      <c r="G48" s="3">
        <f t="shared" si="28"/>
        <v>2.1809087047795134E-2</v>
      </c>
      <c r="H48" s="3">
        <f t="shared" si="28"/>
        <v>2.1809087047795134E-2</v>
      </c>
      <c r="I48" s="3">
        <f t="shared" si="28"/>
        <v>2.1809087047795134E-2</v>
      </c>
      <c r="J48" s="3">
        <f t="shared" si="28"/>
        <v>2.1809087047795134E-2</v>
      </c>
      <c r="K48" s="3">
        <f t="shared" si="28"/>
        <v>2.1809087047795134E-2</v>
      </c>
      <c r="L48" s="3">
        <f t="shared" si="28"/>
        <v>2.1809087047795134E-2</v>
      </c>
      <c r="M48" s="3">
        <f t="shared" si="28"/>
        <v>2.1809087047795134E-2</v>
      </c>
      <c r="N48" s="3">
        <f t="shared" si="28"/>
        <v>2.1809087047795134E-2</v>
      </c>
      <c r="O48" s="3">
        <f t="shared" si="28"/>
        <v>2.1809087047795134E-2</v>
      </c>
      <c r="P48" s="3">
        <f t="shared" si="27"/>
        <v>2.1809087047795134E-2</v>
      </c>
      <c r="Q48" s="3">
        <f t="shared" si="27"/>
        <v>2.1809087047795134E-2</v>
      </c>
      <c r="R48" s="3">
        <f t="shared" si="27"/>
        <v>2.1809087047795134E-2</v>
      </c>
      <c r="S48" s="3">
        <f t="shared" si="27"/>
        <v>2.1809087047795134E-2</v>
      </c>
      <c r="T48" s="3">
        <f t="shared" si="27"/>
        <v>2.1809087047795134E-2</v>
      </c>
      <c r="U48" s="3">
        <f t="shared" si="27"/>
        <v>2.180908704779513E-2</v>
      </c>
      <c r="V48" s="3">
        <f t="shared" si="27"/>
        <v>2.1809087047795113E-2</v>
      </c>
      <c r="W48" s="3">
        <f t="shared" si="27"/>
        <v>2.1809087047794915E-2</v>
      </c>
      <c r="X48" s="3">
        <f t="shared" si="27"/>
        <v>2.1809087047792951E-2</v>
      </c>
      <c r="Y48" s="3">
        <f t="shared" si="27"/>
        <v>2.1809087047773325E-2</v>
      </c>
      <c r="Z48" s="3">
        <f t="shared" si="27"/>
        <v>2.1809087047577044E-2</v>
      </c>
      <c r="AA48" s="3">
        <f t="shared" si="27"/>
        <v>2.1809087045614226E-2</v>
      </c>
      <c r="AB48" s="3">
        <f t="shared" si="27"/>
        <v>2.1809087025986048E-2</v>
      </c>
      <c r="AC48" s="3">
        <f t="shared" si="27"/>
        <v>2.1809086829704265E-2</v>
      </c>
      <c r="AD48" s="3">
        <f t="shared" si="27"/>
        <v>2.1809084866886538E-2</v>
      </c>
      <c r="AE48" s="3">
        <f t="shared" si="27"/>
        <v>2.1809065238718991E-2</v>
      </c>
      <c r="AF48" s="3">
        <f t="shared" si="29"/>
        <v>2.1808868958015107E-2</v>
      </c>
      <c r="AG48" s="3">
        <f t="shared" si="29"/>
        <v>2.1806906248132155E-2</v>
      </c>
      <c r="AH48" s="3">
        <f t="shared" si="29"/>
        <v>2.1787288861656925E-2</v>
      </c>
      <c r="AI48" s="3">
        <f t="shared" si="29"/>
        <v>2.1592083005890706E-2</v>
      </c>
      <c r="AJ48" s="3">
        <f t="shared" si="29"/>
        <v>1.9733678014048437E-2</v>
      </c>
    </row>
    <row r="49" spans="1:36" x14ac:dyDescent="0.25">
      <c r="B49" s="16">
        <f>SUM(B17:B48)</f>
        <v>0.9023138120420553</v>
      </c>
      <c r="C49" s="18">
        <f>SUM(C17:C48)</f>
        <v>1</v>
      </c>
      <c r="F49" s="3">
        <f t="shared" ref="F49:AJ49" si="31">F16-F17</f>
        <v>75.402797593244031</v>
      </c>
      <c r="G49" s="3">
        <f t="shared" si="31"/>
        <v>-97.5223195843555</v>
      </c>
      <c r="H49" s="3">
        <f t="shared" si="31"/>
        <v>25.825864529540922</v>
      </c>
      <c r="I49" s="3">
        <f t="shared" si="31"/>
        <v>-4.2347255863351165</v>
      </c>
      <c r="J49" s="3">
        <f t="shared" si="31"/>
        <v>0.60166603476318414</v>
      </c>
      <c r="K49" s="3">
        <f t="shared" si="31"/>
        <v>-0.10056458701546944</v>
      </c>
      <c r="L49" s="3">
        <f t="shared" si="31"/>
        <v>0.13573023120625294</v>
      </c>
      <c r="M49" s="3">
        <f t="shared" si="31"/>
        <v>-0.40383703850875463</v>
      </c>
      <c r="N49" s="3">
        <f t="shared" si="31"/>
        <v>0.99872982073520689</v>
      </c>
      <c r="O49" s="3">
        <f t="shared" si="31"/>
        <v>-2.0453463949997968</v>
      </c>
      <c r="P49" s="3">
        <f t="shared" si="31"/>
        <v>3.5148188906587166</v>
      </c>
      <c r="Q49" s="3">
        <f t="shared" si="31"/>
        <v>-5.0993737510216306</v>
      </c>
      <c r="R49" s="3">
        <f t="shared" si="31"/>
        <v>6.276269336378391</v>
      </c>
      <c r="S49" s="3">
        <f t="shared" si="31"/>
        <v>-6.5872572782418501</v>
      </c>
      <c r="T49" s="3">
        <f t="shared" si="31"/>
        <v>5.9206641117434629</v>
      </c>
      <c r="U49" s="3">
        <f t="shared" si="31"/>
        <v>-4.5690035241868827</v>
      </c>
      <c r="V49" s="3">
        <f t="shared" si="31"/>
        <v>3.0198474183216604</v>
      </c>
      <c r="W49" s="3">
        <f t="shared" si="31"/>
        <v>-1.7255176702592507</v>
      </c>
      <c r="X49" s="3">
        <f t="shared" si="31"/>
        <v>0.8632253233913616</v>
      </c>
      <c r="Y49" s="3">
        <f t="shared" si="31"/>
        <v>-0.35846622638700865</v>
      </c>
      <c r="Z49" s="3">
        <f t="shared" si="31"/>
        <v>0.11054097744863611</v>
      </c>
      <c r="AA49" s="3">
        <f t="shared" si="31"/>
        <v>-1.9939984250413545E-2</v>
      </c>
      <c r="AB49" s="3">
        <f t="shared" si="31"/>
        <v>-6.319021498939037E-3</v>
      </c>
      <c r="AC49" s="3">
        <f t="shared" si="31"/>
        <v>2.3072319529546803E-3</v>
      </c>
      <c r="AD49" s="3">
        <f t="shared" si="31"/>
        <v>1.1042475937642848E-2</v>
      </c>
      <c r="AE49" s="3">
        <f t="shared" si="31"/>
        <v>-6.0739712859003703E-3</v>
      </c>
      <c r="AF49" s="3">
        <f t="shared" si="31"/>
        <v>1.1218562772342011E-2</v>
      </c>
      <c r="AG49" s="3">
        <f t="shared" si="31"/>
        <v>-3.5653656235695053E-2</v>
      </c>
      <c r="AH49" s="3">
        <f t="shared" si="31"/>
        <v>6.3698143871420143E-2</v>
      </c>
      <c r="AI49" s="3">
        <f t="shared" si="31"/>
        <v>-8.9787061750314479E-2</v>
      </c>
      <c r="AJ49" s="3">
        <f t="shared" si="31"/>
        <v>5.0730003278715685E-2</v>
      </c>
    </row>
    <row r="50" spans="1:36" x14ac:dyDescent="0.25">
      <c r="F50" s="57">
        <f t="shared" ref="F50:AJ50" si="32">F49/F17</f>
        <v>7.7323214771875598E-3</v>
      </c>
      <c r="G50" s="57">
        <f t="shared" si="32"/>
        <v>-1.0103704005019488E-2</v>
      </c>
      <c r="H50" s="57">
        <f t="shared" si="32"/>
        <v>2.782449480134206E-3</v>
      </c>
      <c r="I50" s="57">
        <f t="shared" si="32"/>
        <v>-4.6756254253856847E-4</v>
      </c>
      <c r="J50" s="57">
        <f t="shared" si="32"/>
        <v>6.864183918259594E-5</v>
      </c>
      <c r="K50" s="57">
        <f t="shared" si="32"/>
        <v>-1.1834334796268E-5</v>
      </c>
      <c r="L50" s="57">
        <f t="shared" si="32"/>
        <v>1.6493951544454477E-5</v>
      </c>
      <c r="M50" s="57">
        <f t="shared" si="32"/>
        <v>-5.107076459398504E-5</v>
      </c>
      <c r="N50" s="57">
        <f t="shared" si="32"/>
        <v>1.3256387060128202E-4</v>
      </c>
      <c r="O50" s="57">
        <f t="shared" si="32"/>
        <v>-2.8530792438137933E-4</v>
      </c>
      <c r="P50" s="57">
        <f t="shared" si="32"/>
        <v>5.1205140865276421E-4</v>
      </c>
      <c r="Q50" s="57">
        <f t="shared" si="32"/>
        <v>-7.7454301157566777E-4</v>
      </c>
      <c r="R50" s="57">
        <f t="shared" si="32"/>
        <v>9.9746639209011235E-4</v>
      </c>
      <c r="S50" s="57">
        <f t="shared" si="32"/>
        <v>-1.0958855986474008E-3</v>
      </c>
      <c r="T50" s="57">
        <f t="shared" si="32"/>
        <v>1.0345321040431616E-3</v>
      </c>
      <c r="U50" s="57">
        <f t="shared" si="32"/>
        <v>-8.4789037330221869E-4</v>
      </c>
      <c r="V50" s="57">
        <f t="shared" si="32"/>
        <v>6.1082445627254323E-4</v>
      </c>
      <c r="W50" s="57">
        <f t="shared" si="32"/>
        <v>-3.9729905354488325E-4</v>
      </c>
      <c r="X50" s="57">
        <f t="shared" si="32"/>
        <v>2.3363201816379821E-4</v>
      </c>
      <c r="Y50" s="57">
        <f t="shared" si="32"/>
        <v>-1.167979350750436E-4</v>
      </c>
      <c r="Z50" s="57">
        <f t="shared" si="32"/>
        <v>4.480686059522371E-5</v>
      </c>
      <c r="AA50" s="57">
        <f t="shared" si="32"/>
        <v>-1.0661560730735619E-5</v>
      </c>
      <c r="AB50" s="57">
        <f t="shared" si="32"/>
        <v>-4.6407030585729307E-6</v>
      </c>
      <c r="AC50" s="57">
        <f t="shared" si="32"/>
        <v>2.3573342527823091E-6</v>
      </c>
      <c r="AD50" s="57">
        <f t="shared" si="32"/>
        <v>1.4722541698127508E-5</v>
      </c>
      <c r="AE50" s="57">
        <f t="shared" si="32"/>
        <v>-9.6807499572488009E-6</v>
      </c>
      <c r="AF50" s="57">
        <f t="shared" si="32"/>
        <v>1.9672105265226586E-5</v>
      </c>
      <c r="AG50" s="57">
        <f t="shared" si="32"/>
        <v>-6.6639039052594827E-5</v>
      </c>
      <c r="AH50" s="57">
        <f t="shared" si="32"/>
        <v>1.2344494281983591E-4</v>
      </c>
      <c r="AI50" s="57">
        <f t="shared" si="32"/>
        <v>-1.7805589935692261E-4</v>
      </c>
      <c r="AJ50" s="57">
        <f t="shared" si="32"/>
        <v>1.0562858800631711E-4</v>
      </c>
    </row>
    <row r="51" spans="1:36" x14ac:dyDescent="0.25">
      <c r="A51" s="13" t="s">
        <v>21</v>
      </c>
      <c r="B51" s="3">
        <f>STUTT!D8</f>
        <v>10768.300999999999</v>
      </c>
      <c r="E51" s="11" t="s">
        <v>24</v>
      </c>
      <c r="F51" s="20">
        <f t="shared" ref="F51:AJ51" si="33">(F16-F17)^2</f>
        <v>5685.5818848877279</v>
      </c>
      <c r="G51" s="20">
        <f t="shared" si="33"/>
        <v>9510.6028171131675</v>
      </c>
      <c r="H51" s="20">
        <f t="shared" si="33"/>
        <v>666.97527869819999</v>
      </c>
      <c r="I51" s="20">
        <f t="shared" si="33"/>
        <v>17.932900791561295</v>
      </c>
      <c r="J51" s="20">
        <f t="shared" si="33"/>
        <v>0.36200201738765309</v>
      </c>
      <c r="K51" s="20">
        <f t="shared" si="33"/>
        <v>1.0113236161591925E-2</v>
      </c>
      <c r="L51" s="20">
        <f t="shared" si="33"/>
        <v>1.8422695663302877E-2</v>
      </c>
      <c r="M51" s="20">
        <f t="shared" si="33"/>
        <v>0.16308435367152138</v>
      </c>
      <c r="N51" s="20">
        <f t="shared" si="33"/>
        <v>0.99746125482577852</v>
      </c>
      <c r="O51" s="20">
        <f t="shared" si="33"/>
        <v>4.1834418755386649</v>
      </c>
      <c r="P51" s="20">
        <f t="shared" si="33"/>
        <v>12.353951834131371</v>
      </c>
      <c r="Q51" s="20">
        <f t="shared" si="33"/>
        <v>26.003612652608414</v>
      </c>
      <c r="R51" s="20">
        <f t="shared" si="33"/>
        <v>39.391556782763651</v>
      </c>
      <c r="S51" s="20">
        <f t="shared" si="33"/>
        <v>43.391958449750227</v>
      </c>
      <c r="T51" s="20">
        <f t="shared" si="33"/>
        <v>35.054263524087006</v>
      </c>
      <c r="U51" s="20">
        <f t="shared" si="33"/>
        <v>20.875793204032153</v>
      </c>
      <c r="V51" s="20">
        <f t="shared" si="33"/>
        <v>9.1194784299439977</v>
      </c>
      <c r="W51" s="20">
        <f t="shared" si="33"/>
        <v>2.9774112303769122</v>
      </c>
      <c r="X51" s="20">
        <f t="shared" si="33"/>
        <v>0.74515795894412085</v>
      </c>
      <c r="Y51" s="20">
        <f t="shared" si="33"/>
        <v>0.12849803546014213</v>
      </c>
      <c r="Z51" s="20">
        <f t="shared" si="33"/>
        <v>1.2219307695299877E-2</v>
      </c>
      <c r="AA51" s="20">
        <f t="shared" si="33"/>
        <v>3.9760297190674025E-4</v>
      </c>
      <c r="AB51" s="20">
        <f t="shared" si="33"/>
        <v>3.9930032704053752E-5</v>
      </c>
      <c r="AC51" s="20">
        <f t="shared" si="33"/>
        <v>5.3233192847350683E-6</v>
      </c>
      <c r="AD51" s="20">
        <f t="shared" si="33"/>
        <v>1.219362748334213E-4</v>
      </c>
      <c r="AE51" s="20">
        <f t="shared" si="33"/>
        <v>3.6893127181942197E-5</v>
      </c>
      <c r="AF51" s="20">
        <f t="shared" si="33"/>
        <v>1.2585615067697807E-4</v>
      </c>
      <c r="AG51" s="20">
        <f t="shared" si="33"/>
        <v>1.2711832029731168E-3</v>
      </c>
      <c r="AH51" s="20">
        <f t="shared" si="33"/>
        <v>4.0574535326641393E-3</v>
      </c>
      <c r="AI51" s="20">
        <f t="shared" si="33"/>
        <v>8.0617164577547855E-3</v>
      </c>
      <c r="AJ51" s="20">
        <f t="shared" si="33"/>
        <v>2.5735332326585043E-3</v>
      </c>
    </row>
    <row r="52" spans="1:36" x14ac:dyDescent="0.25">
      <c r="A52" s="13"/>
    </row>
    <row r="53" spans="1:36" x14ac:dyDescent="0.25">
      <c r="E53" s="119" t="s">
        <v>25</v>
      </c>
      <c r="F53" s="119"/>
      <c r="G53" s="104">
        <f>SUM(F51:AJ51)</f>
        <v>16076.897999762001</v>
      </c>
      <c r="I53" s="3">
        <f>G53+C123</f>
        <v>16076.897999762001</v>
      </c>
      <c r="K53" s="3">
        <f>SUM(Z51:AJ51)</f>
        <v>2.8910735997938291E-2</v>
      </c>
    </row>
    <row r="55" spans="1:36" x14ac:dyDescent="0.25">
      <c r="E55" s="30" t="s">
        <v>30</v>
      </c>
      <c r="F55" s="31">
        <f t="shared" ref="F55:AJ55" si="34">ABS(F17-F16)/F16</f>
        <v>7.6729914406765401E-3</v>
      </c>
      <c r="G55" s="31">
        <f t="shared" si="34"/>
        <v>1.0206830802274991E-2</v>
      </c>
      <c r="H55" s="31">
        <f t="shared" si="34"/>
        <v>2.7747289370458096E-3</v>
      </c>
      <c r="I55" s="31">
        <f t="shared" si="34"/>
        <v>4.6778125953362789E-4</v>
      </c>
      <c r="J55" s="31">
        <f t="shared" si="34"/>
        <v>6.8637127803907269E-5</v>
      </c>
      <c r="K55" s="31">
        <f t="shared" si="34"/>
        <v>1.1834474849405507E-5</v>
      </c>
      <c r="L55" s="31">
        <f t="shared" si="34"/>
        <v>1.6493679498504036E-5</v>
      </c>
      <c r="M55" s="31">
        <f t="shared" si="34"/>
        <v>5.1073372950192E-5</v>
      </c>
      <c r="N55" s="31">
        <f t="shared" si="34"/>
        <v>1.325462997507532E-4</v>
      </c>
      <c r="O55" s="31">
        <f t="shared" si="34"/>
        <v>2.8538934822396164E-4</v>
      </c>
      <c r="P55" s="31">
        <f t="shared" si="34"/>
        <v>5.1178934619711049E-4</v>
      </c>
      <c r="Q55" s="31">
        <f t="shared" si="34"/>
        <v>7.7514339347405212E-4</v>
      </c>
      <c r="R55" s="31">
        <f t="shared" si="34"/>
        <v>9.9647244431626302E-4</v>
      </c>
      <c r="S55" s="31">
        <f t="shared" si="34"/>
        <v>1.0970878814571402E-3</v>
      </c>
      <c r="T55" s="31">
        <f t="shared" si="34"/>
        <v>1.0334629534394892E-3</v>
      </c>
      <c r="U55" s="31">
        <f t="shared" si="34"/>
        <v>8.4860990146836258E-4</v>
      </c>
      <c r="V55" s="31">
        <f t="shared" si="34"/>
        <v>6.1045157751962406E-4</v>
      </c>
      <c r="W55" s="31">
        <f t="shared" si="34"/>
        <v>3.9745696282003645E-4</v>
      </c>
      <c r="X55" s="31">
        <f t="shared" si="34"/>
        <v>2.3357744699345958E-4</v>
      </c>
      <c r="Y55" s="31">
        <f t="shared" si="34"/>
        <v>1.1681157842619665E-4</v>
      </c>
      <c r="Z55" s="31">
        <f t="shared" si="34"/>
        <v>4.4804853030419989E-5</v>
      </c>
      <c r="AA55" s="31">
        <f t="shared" si="34"/>
        <v>1.0661674400824736E-5</v>
      </c>
      <c r="AB55" s="31">
        <f t="shared" si="34"/>
        <v>4.6407245947977521E-6</v>
      </c>
      <c r="AC55" s="31">
        <f t="shared" si="34"/>
        <v>2.3573286957706292E-6</v>
      </c>
      <c r="AD55" s="31">
        <f t="shared" si="34"/>
        <v>1.4722324948084568E-5</v>
      </c>
      <c r="AE55" s="31">
        <f t="shared" si="34"/>
        <v>9.6808436750757941E-6</v>
      </c>
      <c r="AF55" s="31">
        <f t="shared" si="34"/>
        <v>1.9671718281113812E-5</v>
      </c>
      <c r="AG55" s="31">
        <f t="shared" si="34"/>
        <v>6.6643480110068474E-5</v>
      </c>
      <c r="AH55" s="31">
        <f t="shared" si="34"/>
        <v>1.2342970604683069E-4</v>
      </c>
      <c r="AI55" s="31">
        <f t="shared" si="34"/>
        <v>1.7808760890629076E-4</v>
      </c>
      <c r="AJ55" s="31">
        <f t="shared" si="34"/>
        <v>1.0561743178612869E-4</v>
      </c>
    </row>
    <row r="56" spans="1:36" x14ac:dyDescent="0.25">
      <c r="E56" s="13" t="s">
        <v>31</v>
      </c>
      <c r="F56" s="32">
        <f>AVERAGE(F55:AJ55)</f>
        <v>9.3191896526434925E-4</v>
      </c>
    </row>
    <row r="57" spans="1:36" x14ac:dyDescent="0.25">
      <c r="A57" s="42"/>
      <c r="B57" s="15"/>
      <c r="C57" s="15"/>
      <c r="D57" s="15"/>
      <c r="F57" s="60">
        <f>AVERAGE(S55:X55)</f>
        <v>7.0344112061635194E-4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-11.391236875275727</v>
      </c>
    </row>
    <row r="119" spans="1:14" x14ac:dyDescent="0.25">
      <c r="L119" s="11">
        <f>L118+1</f>
        <v>2</v>
      </c>
      <c r="M119" s="11">
        <f t="shared" ref="M119:M124" si="35">INDEX($B$125:$K$126,1,L119)</f>
        <v>0</v>
      </c>
      <c r="N119" s="11">
        <f t="shared" ref="N119:N124" si="36">IF(L119=$B$3,0,INDEX($B$125:$K$126,2,L119))</f>
        <v>-7.538343886132532</v>
      </c>
    </row>
    <row r="120" spans="1:14" x14ac:dyDescent="0.25">
      <c r="L120" s="11">
        <f t="shared" ref="L120:L124" si="37">L119+1</f>
        <v>3</v>
      </c>
      <c r="M120" s="11">
        <f t="shared" si="35"/>
        <v>25</v>
      </c>
      <c r="N120" s="11">
        <f t="shared" si="36"/>
        <v>-4.9283454733188288</v>
      </c>
    </row>
    <row r="121" spans="1:14" x14ac:dyDescent="0.25">
      <c r="A121" s="103">
        <f>(A165+A204+A243+A282+A321+A360+A399)*10^9</f>
        <v>683937651399897.62</v>
      </c>
      <c r="L121" s="11">
        <f t="shared" si="37"/>
        <v>4</v>
      </c>
      <c r="M121" s="11">
        <f t="shared" si="35"/>
        <v>50</v>
      </c>
      <c r="N121" s="11">
        <f t="shared" si="36"/>
        <v>-2.8024126046356161</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9"/>
      <c r="B123" s="119"/>
      <c r="C123" s="3"/>
      <c r="D123" s="3"/>
      <c r="E123" s="3"/>
      <c r="F123" s="3"/>
      <c r="G123" s="3"/>
      <c r="H123" s="3"/>
      <c r="I123" s="3"/>
      <c r="J123" s="3"/>
      <c r="K123" s="3"/>
      <c r="L123" s="11">
        <f t="shared" si="37"/>
        <v>6</v>
      </c>
      <c r="M123" s="11">
        <f t="shared" si="35"/>
        <v>125</v>
      </c>
      <c r="N123" s="11">
        <f t="shared" si="36"/>
        <v>5.4207620853197769</v>
      </c>
    </row>
    <row r="124" spans="1:14" x14ac:dyDescent="0.25">
      <c r="B124" s="3"/>
      <c r="C124" s="3"/>
      <c r="D124" s="3"/>
      <c r="E124" s="3"/>
      <c r="F124" s="3"/>
      <c r="G124" s="3"/>
      <c r="H124" s="3"/>
      <c r="I124" s="3"/>
      <c r="J124" s="3"/>
      <c r="K124" s="3"/>
      <c r="L124" s="11">
        <f t="shared" si="37"/>
        <v>7</v>
      </c>
      <c r="M124" s="11">
        <f t="shared" si="35"/>
        <v>160</v>
      </c>
      <c r="N124" s="11">
        <f t="shared" si="36"/>
        <v>10.69493631915163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-11.391236875275727</v>
      </c>
      <c r="C126" s="107">
        <v>-7.538343886132532</v>
      </c>
      <c r="D126" s="107">
        <v>-4.9283454733188288</v>
      </c>
      <c r="E126" s="107">
        <v>-2.8024126046356161</v>
      </c>
      <c r="F126" s="107">
        <v>-9.3712578563896851E-4</v>
      </c>
      <c r="G126" s="107">
        <v>5.4207620853197769</v>
      </c>
      <c r="H126" s="107">
        <v>10.69493631915163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10088.69453068879</v>
      </c>
      <c r="C131" s="27">
        <f t="shared" ref="C131:AF131" si="40">($C$17+SUM(C132:C162))*$B$51</f>
        <v>9764.1264705502472</v>
      </c>
      <c r="D131" s="27">
        <f t="shared" si="40"/>
        <v>9764.1011313252675</v>
      </c>
      <c r="E131" s="27">
        <f t="shared" si="40"/>
        <v>9763.9727487144064</v>
      </c>
      <c r="F131" s="27">
        <f t="shared" si="40"/>
        <v>9762.6906924537598</v>
      </c>
      <c r="G131" s="27">
        <f t="shared" si="40"/>
        <v>9750.0454263589963</v>
      </c>
      <c r="H131" s="27">
        <f t="shared" si="40"/>
        <v>9639.5496357712673</v>
      </c>
      <c r="I131" s="27">
        <f t="shared" si="40"/>
        <v>9266.1424613110394</v>
      </c>
      <c r="J131" s="27">
        <f t="shared" si="40"/>
        <v>9044.450892819521</v>
      </c>
      <c r="K131" s="27">
        <f t="shared" si="40"/>
        <v>8749.5019732794663</v>
      </c>
      <c r="L131" s="27">
        <f t="shared" si="40"/>
        <v>8483.0556908824965</v>
      </c>
      <c r="M131" s="27">
        <f t="shared" si="40"/>
        <v>8212.7814982261716</v>
      </c>
      <c r="N131" s="27">
        <f t="shared" si="40"/>
        <v>7887.0407824190406</v>
      </c>
      <c r="O131" s="27">
        <f t="shared" si="40"/>
        <v>7511.0629258385188</v>
      </c>
      <c r="P131" s="27">
        <f t="shared" si="40"/>
        <v>7148.1232766357398</v>
      </c>
      <c r="Q131" s="27">
        <f t="shared" si="40"/>
        <v>6847.5691342549571</v>
      </c>
      <c r="R131" s="27">
        <f t="shared" si="40"/>
        <v>6566.8520074131857</v>
      </c>
      <c r="S131" s="27">
        <f t="shared" si="40"/>
        <v>6274.9597336032648</v>
      </c>
      <c r="T131" s="27">
        <f t="shared" si="40"/>
        <v>5995.6717688710296</v>
      </c>
      <c r="U131" s="27">
        <f t="shared" si="40"/>
        <v>5705.6534756443762</v>
      </c>
      <c r="V131" s="27">
        <f t="shared" si="40"/>
        <v>5368.9681610475454</v>
      </c>
      <c r="W131" s="27">
        <f t="shared" si="40"/>
        <v>4914.517933725374</v>
      </c>
      <c r="X131" s="27">
        <f t="shared" si="40"/>
        <v>4311.0728599230797</v>
      </c>
      <c r="Y131" s="27">
        <f t="shared" si="40"/>
        <v>3664.1629204015235</v>
      </c>
      <c r="Z131" s="27">
        <f t="shared" si="40"/>
        <v>3041.716015645713</v>
      </c>
      <c r="AA131" s="27">
        <f t="shared" si="40"/>
        <v>2437.7343846984845</v>
      </c>
      <c r="AB131" s="27">
        <f t="shared" si="40"/>
        <v>1849.6150121361568</v>
      </c>
      <c r="AC131" s="27">
        <f t="shared" si="40"/>
        <v>1331.6433069997031</v>
      </c>
      <c r="AD131" s="27">
        <f t="shared" si="40"/>
        <v>962.55238122192316</v>
      </c>
      <c r="AE131" s="27">
        <f t="shared" si="40"/>
        <v>740.00885326410037</v>
      </c>
      <c r="AF131" s="27">
        <f t="shared" si="40"/>
        <v>623.16911691506755</v>
      </c>
    </row>
    <row r="132" spans="1:33" x14ac:dyDescent="0.25">
      <c r="B132" s="3">
        <f t="shared" ref="B132:Z133" si="41">$C18*EXP(-B$129/$A18/EXP(-$B$126))</f>
        <v>3.0142106476212474E-2</v>
      </c>
      <c r="C132" s="3">
        <f t="shared" ref="C132:AF132" si="42">$C18*EXP(-C$129/$A18/EXP(-$B$126))</f>
        <v>1.1607395024364493E-6</v>
      </c>
      <c r="D132" s="3">
        <f t="shared" si="42"/>
        <v>8.3242749188411392E-51</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4.3985880940646871E-2</v>
      </c>
      <c r="C133" s="3">
        <f t="shared" si="41"/>
        <v>4.3985766414188165E-2</v>
      </c>
      <c r="D133" s="3">
        <f t="shared" si="41"/>
        <v>4.3984621166001658E-2</v>
      </c>
      <c r="E133" s="3">
        <f t="shared" si="41"/>
        <v>4.3973170324030711E-2</v>
      </c>
      <c r="F133" s="3">
        <f t="shared" si="41"/>
        <v>4.385882573586778E-2</v>
      </c>
      <c r="G133" s="3">
        <f t="shared" si="41"/>
        <v>4.2731606271071219E-2</v>
      </c>
      <c r="H133" s="3">
        <f t="shared" si="41"/>
        <v>3.2936041522765101E-2</v>
      </c>
      <c r="I133" s="3">
        <f t="shared" si="41"/>
        <v>2.4372115920265284E-3</v>
      </c>
      <c r="J133" s="3">
        <f t="shared" si="41"/>
        <v>1.1998074955189706E-14</v>
      </c>
      <c r="K133" s="3">
        <f t="shared" si="41"/>
        <v>1.0029861306877452E-127</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1.707491205584517E-2</v>
      </c>
      <c r="C134" s="3">
        <f t="shared" si="44"/>
        <v>1.7074908045348884E-2</v>
      </c>
      <c r="D134" s="3">
        <f t="shared" si="44"/>
        <v>1.7074867940437832E-2</v>
      </c>
      <c r="E134" s="3">
        <f t="shared" si="44"/>
        <v>1.7074466896508097E-2</v>
      </c>
      <c r="F134" s="3">
        <f t="shared" si="44"/>
        <v>1.7070456975245198E-2</v>
      </c>
      <c r="G134" s="3">
        <f t="shared" si="44"/>
        <v>1.7030409521068553E-2</v>
      </c>
      <c r="H134" s="3">
        <f t="shared" si="44"/>
        <v>1.6635066125398012E-2</v>
      </c>
      <c r="I134" s="3">
        <f t="shared" si="44"/>
        <v>1.3152821728098615E-2</v>
      </c>
      <c r="J134" s="3">
        <f t="shared" si="44"/>
        <v>1.2559228326438137E-3</v>
      </c>
      <c r="K134" s="3">
        <f t="shared" si="44"/>
        <v>7.9141299653760123E-14</v>
      </c>
      <c r="L134" s="3">
        <f t="shared" si="44"/>
        <v>7.812776447147021E-116</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3.0713964848384338E-2</v>
      </c>
      <c r="C135" s="3">
        <f t="shared" si="47"/>
        <v>3.0713964197622373E-2</v>
      </c>
      <c r="D135" s="3">
        <f t="shared" si="47"/>
        <v>3.0713957690003461E-2</v>
      </c>
      <c r="E135" s="3">
        <f t="shared" si="47"/>
        <v>3.0713892613890178E-2</v>
      </c>
      <c r="F135" s="3">
        <f t="shared" si="47"/>
        <v>3.0713241860340815E-2</v>
      </c>
      <c r="G135" s="3">
        <f t="shared" si="47"/>
        <v>3.0706735083133679E-2</v>
      </c>
      <c r="H135" s="3">
        <f t="shared" si="47"/>
        <v>3.0641743080298479E-2</v>
      </c>
      <c r="I135" s="3">
        <f t="shared" si="47"/>
        <v>2.999934091145914E-2</v>
      </c>
      <c r="J135" s="3">
        <f t="shared" si="47"/>
        <v>2.427136369953483E-2</v>
      </c>
      <c r="K135" s="3">
        <f t="shared" si="47"/>
        <v>2.9168817660287462E-3</v>
      </c>
      <c r="L135" s="3">
        <f t="shared" si="47"/>
        <v>1.8330119700067428E-12</v>
      </c>
      <c r="M135" s="3">
        <f t="shared" si="47"/>
        <v>1.7604757815426451E-104</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2.5231519839252422E-2</v>
      </c>
      <c r="C136" s="3">
        <f t="shared" si="49"/>
        <v>2.523151979102697E-2</v>
      </c>
      <c r="D136" s="3">
        <f t="shared" si="49"/>
        <v>2.5231519308772481E-2</v>
      </c>
      <c r="E136" s="3">
        <f t="shared" si="49"/>
        <v>2.5231514486228061E-2</v>
      </c>
      <c r="F136" s="3">
        <f t="shared" si="49"/>
        <v>2.523146626083456E-2</v>
      </c>
      <c r="G136" s="3">
        <f t="shared" si="49"/>
        <v>2.5230984011969087E-2</v>
      </c>
      <c r="H136" s="3">
        <f t="shared" si="49"/>
        <v>2.5226162030232379E-2</v>
      </c>
      <c r="I136" s="3">
        <f t="shared" si="49"/>
        <v>2.5177992868836773E-2</v>
      </c>
      <c r="J136" s="3">
        <f t="shared" si="49"/>
        <v>2.4701331211167136E-2</v>
      </c>
      <c r="K136" s="3">
        <f t="shared" si="49"/>
        <v>2.040388593940554E-2</v>
      </c>
      <c r="L136" s="3">
        <f t="shared" si="49"/>
        <v>3.0174366983285071E-3</v>
      </c>
      <c r="M136" s="3">
        <f t="shared" si="49"/>
        <v>1.5097011178446059E-11</v>
      </c>
      <c r="N136" s="3">
        <f t="shared" si="49"/>
        <v>1.4839492996309962E-94</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2.5043165726502482E-2</v>
      </c>
      <c r="C137" s="3">
        <f t="shared" si="51"/>
        <v>2.504316572218462E-2</v>
      </c>
      <c r="D137" s="3">
        <f t="shared" si="51"/>
        <v>2.5043165679006007E-2</v>
      </c>
      <c r="E137" s="3">
        <f t="shared" si="51"/>
        <v>2.5043165247219876E-2</v>
      </c>
      <c r="F137" s="3">
        <f t="shared" si="51"/>
        <v>2.5043160929358963E-2</v>
      </c>
      <c r="G137" s="3">
        <f t="shared" si="51"/>
        <v>2.5043117750790798E-2</v>
      </c>
      <c r="H137" s="3">
        <f t="shared" si="51"/>
        <v>2.5042685969203719E-2</v>
      </c>
      <c r="I137" s="3">
        <f t="shared" si="51"/>
        <v>2.5038368562763286E-2</v>
      </c>
      <c r="J137" s="3">
        <f t="shared" si="51"/>
        <v>2.499523541528997E-2</v>
      </c>
      <c r="K137" s="3">
        <f t="shared" si="51"/>
        <v>2.4567969650976271E-2</v>
      </c>
      <c r="L137" s="3">
        <f t="shared" si="51"/>
        <v>2.0677099695519112E-2</v>
      </c>
      <c r="M137" s="3">
        <f t="shared" si="51"/>
        <v>3.6871700673262175E-3</v>
      </c>
      <c r="N137" s="3">
        <f t="shared" si="51"/>
        <v>1.1987500747585276E-10</v>
      </c>
      <c r="O137" s="3">
        <f t="shared" si="51"/>
        <v>1.5815518149376981E-85</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3.1858465496738625E-2</v>
      </c>
      <c r="C138" s="3">
        <f t="shared" si="53"/>
        <v>3.1858465496243119E-2</v>
      </c>
      <c r="D138" s="3">
        <f t="shared" si="53"/>
        <v>3.1858465491288034E-2</v>
      </c>
      <c r="E138" s="3">
        <f t="shared" si="53"/>
        <v>3.1858465441737212E-2</v>
      </c>
      <c r="F138" s="3">
        <f t="shared" si="53"/>
        <v>3.1858464946228938E-2</v>
      </c>
      <c r="G138" s="3">
        <f t="shared" si="53"/>
        <v>3.1858459991146663E-2</v>
      </c>
      <c r="H138" s="3">
        <f t="shared" si="53"/>
        <v>3.1858410440366296E-2</v>
      </c>
      <c r="I138" s="3">
        <f t="shared" si="53"/>
        <v>3.1857914936801346E-2</v>
      </c>
      <c r="J138" s="3">
        <f t="shared" si="53"/>
        <v>3.1852960325001574E-2</v>
      </c>
      <c r="K138" s="3">
        <f t="shared" si="53"/>
        <v>3.1803456567593327E-2</v>
      </c>
      <c r="L138" s="3">
        <f t="shared" si="53"/>
        <v>3.1312630776011277E-2</v>
      </c>
      <c r="M138" s="3">
        <f t="shared" si="53"/>
        <v>2.6802289118586752E-2</v>
      </c>
      <c r="N138" s="3">
        <f t="shared" si="53"/>
        <v>5.6584201793763219E-3</v>
      </c>
      <c r="O138" s="3">
        <f t="shared" si="53"/>
        <v>9.9524099369771554E-10</v>
      </c>
      <c r="P138" s="3">
        <f t="shared" si="53"/>
        <v>2.8200634458076645E-77</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3.8271853449472884E-2</v>
      </c>
      <c r="C139" s="3">
        <f t="shared" si="55"/>
        <v>3.8271853449419184E-2</v>
      </c>
      <c r="D139" s="3">
        <f t="shared" si="55"/>
        <v>3.8271853448882218E-2</v>
      </c>
      <c r="E139" s="3">
        <f t="shared" si="55"/>
        <v>3.8271853443512485E-2</v>
      </c>
      <c r="F139" s="3">
        <f t="shared" si="55"/>
        <v>3.827185338981523E-2</v>
      </c>
      <c r="G139" s="3">
        <f t="shared" si="55"/>
        <v>3.8271852852842611E-2</v>
      </c>
      <c r="H139" s="3">
        <f t="shared" si="55"/>
        <v>3.827184748311685E-2</v>
      </c>
      <c r="I139" s="3">
        <f t="shared" si="55"/>
        <v>3.8271793785900662E-2</v>
      </c>
      <c r="J139" s="3">
        <f t="shared" si="55"/>
        <v>3.8271256817882501E-2</v>
      </c>
      <c r="K139" s="3">
        <f t="shared" si="55"/>
        <v>3.8265887552046164E-2</v>
      </c>
      <c r="L139" s="3">
        <f t="shared" si="55"/>
        <v>3.8212236306712458E-2</v>
      </c>
      <c r="M139" s="3">
        <f t="shared" si="55"/>
        <v>3.7679843738126613E-2</v>
      </c>
      <c r="N139" s="3">
        <f t="shared" si="55"/>
        <v>3.2747298298916983E-2</v>
      </c>
      <c r="O139" s="3">
        <f t="shared" si="55"/>
        <v>8.0508049293451442E-3</v>
      </c>
      <c r="P139" s="3">
        <f t="shared" si="55"/>
        <v>6.4934811410168584E-9</v>
      </c>
      <c r="Q139" s="3">
        <f t="shared" si="55"/>
        <v>7.5658962352058769E-70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3.6033705300749709E-2</v>
      </c>
      <c r="C140" s="3">
        <f t="shared" si="57"/>
        <v>3.603370530074515E-2</v>
      </c>
      <c r="D140" s="3">
        <f t="shared" si="57"/>
        <v>3.6033705300699541E-2</v>
      </c>
      <c r="E140" s="3">
        <f t="shared" si="57"/>
        <v>3.6033705300243475E-2</v>
      </c>
      <c r="F140" s="3">
        <f t="shared" si="57"/>
        <v>3.6033705295682811E-2</v>
      </c>
      <c r="G140" s="3">
        <f t="shared" si="57"/>
        <v>3.603370525007616E-2</v>
      </c>
      <c r="H140" s="3">
        <f t="shared" si="57"/>
        <v>3.6033704794009677E-2</v>
      </c>
      <c r="I140" s="3">
        <f t="shared" si="57"/>
        <v>3.6033700233345144E-2</v>
      </c>
      <c r="J140" s="3">
        <f t="shared" si="57"/>
        <v>3.6033654626731547E-2</v>
      </c>
      <c r="K140" s="3">
        <f t="shared" si="57"/>
        <v>3.6033198563770311E-2</v>
      </c>
      <c r="L140" s="3">
        <f t="shared" si="57"/>
        <v>3.6028638251616847E-2</v>
      </c>
      <c r="M140" s="3">
        <f t="shared" si="57"/>
        <v>3.5983066861109754E-2</v>
      </c>
      <c r="N140" s="3">
        <f t="shared" si="57"/>
        <v>3.5530511249436757E-2</v>
      </c>
      <c r="O140" s="3">
        <f t="shared" si="57"/>
        <v>3.130648180337707E-2</v>
      </c>
      <c r="P140" s="3">
        <f t="shared" si="57"/>
        <v>8.8300333863414356E-3</v>
      </c>
      <c r="Q140" s="3">
        <f t="shared" si="57"/>
        <v>2.8134756131046064E-8</v>
      </c>
      <c r="R140" s="3">
        <f t="shared" si="57"/>
        <v>3.0342492237955286E-63</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2.6918166434543304E-2</v>
      </c>
      <c r="C141" s="3">
        <f t="shared" si="59"/>
        <v>2.6918166434542996E-2</v>
      </c>
      <c r="D141" s="3">
        <f t="shared" si="59"/>
        <v>2.6918166434539918E-2</v>
      </c>
      <c r="E141" s="3">
        <f t="shared" si="59"/>
        <v>2.6918166434509189E-2</v>
      </c>
      <c r="F141" s="3">
        <f t="shared" si="59"/>
        <v>2.6918166434201852E-2</v>
      </c>
      <c r="G141" s="3">
        <f t="shared" si="59"/>
        <v>2.6918166431128508E-2</v>
      </c>
      <c r="H141" s="3">
        <f t="shared" si="59"/>
        <v>2.6918166400395061E-2</v>
      </c>
      <c r="I141" s="3">
        <f t="shared" si="59"/>
        <v>2.691816609306057E-2</v>
      </c>
      <c r="J141" s="3">
        <f t="shared" si="59"/>
        <v>2.6918163019715856E-2</v>
      </c>
      <c r="K141" s="3">
        <f t="shared" si="59"/>
        <v>2.6918132286288039E-2</v>
      </c>
      <c r="L141" s="3">
        <f t="shared" si="59"/>
        <v>2.6917824953939781E-2</v>
      </c>
      <c r="M141" s="3">
        <f t="shared" si="59"/>
        <v>2.6914751823440379E-2</v>
      </c>
      <c r="N141" s="3">
        <f t="shared" si="59"/>
        <v>2.6884039808613602E-2</v>
      </c>
      <c r="O141" s="3">
        <f t="shared" si="59"/>
        <v>2.6578840552910571E-2</v>
      </c>
      <c r="P141" s="3">
        <f t="shared" si="59"/>
        <v>2.3711064498617207E-2</v>
      </c>
      <c r="Q141" s="3">
        <f t="shared" si="59"/>
        <v>7.570093656829203E-3</v>
      </c>
      <c r="R141" s="3">
        <f t="shared" si="59"/>
        <v>8.3291994109111297E-8</v>
      </c>
      <c r="S141" s="3">
        <f t="shared" si="59"/>
        <v>2.1658248433958574E-57</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2.7316066250347042E-2</v>
      </c>
      <c r="C142" s="3">
        <f t="shared" si="61"/>
        <v>2.7316066250347014E-2</v>
      </c>
      <c r="D142" s="3">
        <f t="shared" si="61"/>
        <v>2.7316066250346733E-2</v>
      </c>
      <c r="E142" s="3">
        <f t="shared" si="61"/>
        <v>2.7316066250343919E-2</v>
      </c>
      <c r="F142" s="3">
        <f t="shared" si="61"/>
        <v>2.7316066250315785E-2</v>
      </c>
      <c r="G142" s="3">
        <f t="shared" si="61"/>
        <v>2.7316066250034444E-2</v>
      </c>
      <c r="H142" s="3">
        <f t="shared" si="61"/>
        <v>2.7316066247221053E-2</v>
      </c>
      <c r="I142" s="3">
        <f t="shared" si="61"/>
        <v>2.7316066219087113E-2</v>
      </c>
      <c r="J142" s="3">
        <f t="shared" si="61"/>
        <v>2.7316065937747696E-2</v>
      </c>
      <c r="K142" s="3">
        <f t="shared" si="61"/>
        <v>2.7316063124353734E-2</v>
      </c>
      <c r="L142" s="3">
        <f t="shared" si="61"/>
        <v>2.7316034990430026E-2</v>
      </c>
      <c r="M142" s="3">
        <f t="shared" si="61"/>
        <v>2.7315753652786653E-2</v>
      </c>
      <c r="N142" s="3">
        <f t="shared" si="61"/>
        <v>2.7312940435715832E-2</v>
      </c>
      <c r="O142" s="3">
        <f t="shared" si="61"/>
        <v>2.7284824195229141E-2</v>
      </c>
      <c r="P142" s="3">
        <f t="shared" si="61"/>
        <v>2.7005248758541218E-2</v>
      </c>
      <c r="Q142" s="3">
        <f t="shared" si="61"/>
        <v>2.4362306637584721E-2</v>
      </c>
      <c r="R142" s="3">
        <f t="shared" si="61"/>
        <v>8.6980246773926597E-3</v>
      </c>
      <c r="S142" s="3">
        <f t="shared" si="61"/>
        <v>2.9271362534934545E-7</v>
      </c>
      <c r="T142" s="3">
        <f t="shared" si="61"/>
        <v>5.4533826233669353E-52</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2.9609291080511132E-2</v>
      </c>
      <c r="C143" s="3">
        <f t="shared" si="63"/>
        <v>2.9609291080511128E-2</v>
      </c>
      <c r="D143" s="3">
        <f t="shared" si="63"/>
        <v>2.9609291080511101E-2</v>
      </c>
      <c r="E143" s="3">
        <f t="shared" si="63"/>
        <v>2.9609291080510827E-2</v>
      </c>
      <c r="F143" s="3">
        <f t="shared" si="63"/>
        <v>2.9609291080508075E-2</v>
      </c>
      <c r="G143" s="3">
        <f t="shared" si="63"/>
        <v>2.9609291080480566E-2</v>
      </c>
      <c r="H143" s="3">
        <f t="shared" si="63"/>
        <v>2.9609291080205467E-2</v>
      </c>
      <c r="I143" s="3">
        <f t="shared" si="63"/>
        <v>2.960929107745449E-2</v>
      </c>
      <c r="J143" s="3">
        <f t="shared" si="63"/>
        <v>2.9609291049944718E-2</v>
      </c>
      <c r="K143" s="3">
        <f t="shared" si="63"/>
        <v>2.9609290774846978E-2</v>
      </c>
      <c r="L143" s="3">
        <f t="shared" si="63"/>
        <v>2.960928802386974E-2</v>
      </c>
      <c r="M143" s="3">
        <f t="shared" si="63"/>
        <v>2.9609260514111408E-2</v>
      </c>
      <c r="N143" s="3">
        <f t="shared" si="63"/>
        <v>2.9608985417933859E-2</v>
      </c>
      <c r="O143" s="3">
        <f t="shared" si="63"/>
        <v>2.9606234596728172E-2</v>
      </c>
      <c r="P143" s="3">
        <f t="shared" si="63"/>
        <v>2.9578740436823753E-2</v>
      </c>
      <c r="Q143" s="3">
        <f t="shared" si="63"/>
        <v>2.9305199234375728E-2</v>
      </c>
      <c r="R143" s="3">
        <f t="shared" si="63"/>
        <v>2.6705130116318108E-2</v>
      </c>
      <c r="S143" s="3">
        <f t="shared" si="63"/>
        <v>1.0546173175978023E-2</v>
      </c>
      <c r="T143" s="3">
        <f t="shared" si="63"/>
        <v>9.729642878826386E-7</v>
      </c>
      <c r="U143" s="3">
        <f t="shared" si="63"/>
        <v>4.3462721332259676E-47</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2.5103127911926253E-2</v>
      </c>
      <c r="C144" s="3">
        <f t="shared" si="65"/>
        <v>2.5103127911926253E-2</v>
      </c>
      <c r="D144" s="3">
        <f t="shared" si="65"/>
        <v>2.5103127911926249E-2</v>
      </c>
      <c r="E144" s="3">
        <f t="shared" si="65"/>
        <v>2.5103127911926232E-2</v>
      </c>
      <c r="F144" s="3">
        <f t="shared" si="65"/>
        <v>2.510312791192602E-2</v>
      </c>
      <c r="G144" s="3">
        <f t="shared" si="65"/>
        <v>2.5103127911923914E-2</v>
      </c>
      <c r="H144" s="3">
        <f t="shared" si="65"/>
        <v>2.5103127911902876E-2</v>
      </c>
      <c r="I144" s="3">
        <f t="shared" si="65"/>
        <v>2.5103127911692481E-2</v>
      </c>
      <c r="J144" s="3">
        <f t="shared" si="65"/>
        <v>2.5103127909588543E-2</v>
      </c>
      <c r="K144" s="3">
        <f t="shared" si="65"/>
        <v>2.5103127888549136E-2</v>
      </c>
      <c r="L144" s="3">
        <f t="shared" si="65"/>
        <v>2.5103127678155094E-2</v>
      </c>
      <c r="M144" s="3">
        <f t="shared" si="65"/>
        <v>2.5103125574214756E-2</v>
      </c>
      <c r="N144" s="3">
        <f t="shared" si="65"/>
        <v>2.5103104534821084E-2</v>
      </c>
      <c r="O144" s="3">
        <f t="shared" si="65"/>
        <v>2.5102894141854213E-2</v>
      </c>
      <c r="P144" s="3">
        <f t="shared" si="65"/>
        <v>2.5100790309166537E-2</v>
      </c>
      <c r="Q144" s="3">
        <f t="shared" si="65"/>
        <v>2.5079761677385536E-2</v>
      </c>
      <c r="R144" s="3">
        <f t="shared" si="65"/>
        <v>2.4870441869394286E-2</v>
      </c>
      <c r="S144" s="3">
        <f t="shared" si="65"/>
        <v>2.2870963597048641E-2</v>
      </c>
      <c r="T144" s="3">
        <f t="shared" si="65"/>
        <v>9.8922270349985492E-3</v>
      </c>
      <c r="U144" s="3">
        <f t="shared" si="65"/>
        <v>2.2666799397746879E-6</v>
      </c>
      <c r="V144" s="3">
        <f t="shared" si="65"/>
        <v>9.0438106288979164E-43</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2.985290056573784E-2</v>
      </c>
      <c r="C145" s="3">
        <f t="shared" si="68"/>
        <v>2.985290056573784E-2</v>
      </c>
      <c r="D145" s="3">
        <f t="shared" si="68"/>
        <v>2.985290056573784E-2</v>
      </c>
      <c r="E145" s="3">
        <f t="shared" si="68"/>
        <v>2.9852900565737837E-2</v>
      </c>
      <c r="F145" s="3">
        <f t="shared" si="68"/>
        <v>2.9852900565737812E-2</v>
      </c>
      <c r="G145" s="3">
        <f t="shared" si="68"/>
        <v>2.9852900565737587E-2</v>
      </c>
      <c r="H145" s="3">
        <f t="shared" si="68"/>
        <v>2.9852900565735332E-2</v>
      </c>
      <c r="I145" s="3">
        <f t="shared" si="68"/>
        <v>2.985290056571276E-2</v>
      </c>
      <c r="J145" s="3">
        <f t="shared" si="68"/>
        <v>2.9852900565487058E-2</v>
      </c>
      <c r="K145" s="3">
        <f t="shared" si="68"/>
        <v>2.985290056323002E-2</v>
      </c>
      <c r="L145" s="3">
        <f t="shared" si="68"/>
        <v>2.9852900540659647E-2</v>
      </c>
      <c r="M145" s="3">
        <f t="shared" si="68"/>
        <v>2.9852900314955921E-2</v>
      </c>
      <c r="N145" s="3">
        <f t="shared" si="68"/>
        <v>2.985289805791877E-2</v>
      </c>
      <c r="O145" s="3">
        <f t="shared" si="68"/>
        <v>2.9852875487556597E-2</v>
      </c>
      <c r="P145" s="3">
        <f t="shared" si="68"/>
        <v>2.9852649784873436E-2</v>
      </c>
      <c r="Q145" s="3">
        <f t="shared" si="68"/>
        <v>2.9850392851893091E-2</v>
      </c>
      <c r="R145" s="3">
        <f t="shared" si="68"/>
        <v>2.9827832904590873E-2</v>
      </c>
      <c r="S145" s="3">
        <f t="shared" si="68"/>
        <v>2.9603169062338151E-2</v>
      </c>
      <c r="T145" s="3">
        <f t="shared" si="68"/>
        <v>2.7447528477891635E-2</v>
      </c>
      <c r="U145" s="3">
        <f t="shared" si="68"/>
        <v>1.2887053569654987E-2</v>
      </c>
      <c r="V145" s="3">
        <f t="shared" si="68"/>
        <v>6.7089959319275055E-6</v>
      </c>
      <c r="W145" s="3">
        <f t="shared" si="68"/>
        <v>9.8106204834270089E-39</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3.2229654464622864E-2</v>
      </c>
      <c r="C146" s="3">
        <f t="shared" si="70"/>
        <v>3.2229654464622864E-2</v>
      </c>
      <c r="D146" s="3">
        <f t="shared" si="70"/>
        <v>3.2229654464622864E-2</v>
      </c>
      <c r="E146" s="3">
        <f t="shared" si="70"/>
        <v>3.2229654464622864E-2</v>
      </c>
      <c r="F146" s="3">
        <f t="shared" si="70"/>
        <v>3.2229654464622857E-2</v>
      </c>
      <c r="G146" s="3">
        <f t="shared" si="70"/>
        <v>3.2229654464622837E-2</v>
      </c>
      <c r="H146" s="3">
        <f t="shared" si="70"/>
        <v>3.2229654464622622E-2</v>
      </c>
      <c r="I146" s="3">
        <f t="shared" si="70"/>
        <v>3.2229654464620422E-2</v>
      </c>
      <c r="J146" s="3">
        <f t="shared" si="70"/>
        <v>3.222965446459844E-2</v>
      </c>
      <c r="K146" s="3">
        <f t="shared" si="70"/>
        <v>3.2229654464378629E-2</v>
      </c>
      <c r="L146" s="3">
        <f t="shared" si="70"/>
        <v>3.2229654462180492E-2</v>
      </c>
      <c r="M146" s="3">
        <f t="shared" si="70"/>
        <v>3.2229654440199137E-2</v>
      </c>
      <c r="N146" s="3">
        <f t="shared" si="70"/>
        <v>3.2229654220385602E-2</v>
      </c>
      <c r="O146" s="3">
        <f t="shared" si="70"/>
        <v>3.2229652022250324E-2</v>
      </c>
      <c r="P146" s="3">
        <f t="shared" si="70"/>
        <v>3.2229630040905781E-2</v>
      </c>
      <c r="Q146" s="3">
        <f t="shared" si="70"/>
        <v>3.2229410228284919E-2</v>
      </c>
      <c r="R146" s="3">
        <f t="shared" si="70"/>
        <v>3.2227212184528745E-2</v>
      </c>
      <c r="S146" s="3">
        <f t="shared" si="70"/>
        <v>3.2205239990134887E-2</v>
      </c>
      <c r="T146" s="3">
        <f t="shared" si="70"/>
        <v>3.1986340286623997E-2</v>
      </c>
      <c r="U146" s="3">
        <f t="shared" si="70"/>
        <v>2.987752969412908E-2</v>
      </c>
      <c r="V146" s="3">
        <f t="shared" si="70"/>
        <v>1.5105879706940247E-2</v>
      </c>
      <c r="W146" s="3">
        <f t="shared" si="70"/>
        <v>1.6487673338689106E-5</v>
      </c>
      <c r="X146" s="3">
        <f t="shared" si="70"/>
        <v>3.9563335519095631E-35</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5.4487827383483636E-2</v>
      </c>
      <c r="C147" s="3">
        <f t="shared" si="72"/>
        <v>5.4487827383483636E-2</v>
      </c>
      <c r="D147" s="3">
        <f t="shared" si="72"/>
        <v>5.4487827383483636E-2</v>
      </c>
      <c r="E147" s="3">
        <f t="shared" si="72"/>
        <v>5.4487827383483636E-2</v>
      </c>
      <c r="F147" s="3">
        <f t="shared" si="72"/>
        <v>5.4487827383483636E-2</v>
      </c>
      <c r="G147" s="3">
        <f t="shared" si="72"/>
        <v>5.4487827383483629E-2</v>
      </c>
      <c r="H147" s="3">
        <f t="shared" si="72"/>
        <v>5.4487827383483602E-2</v>
      </c>
      <c r="I147" s="3">
        <f t="shared" si="72"/>
        <v>5.4487827383483262E-2</v>
      </c>
      <c r="J147" s="3">
        <f t="shared" si="72"/>
        <v>5.448782738347991E-2</v>
      </c>
      <c r="K147" s="3">
        <f t="shared" si="72"/>
        <v>5.4487827383446388E-2</v>
      </c>
      <c r="L147" s="3">
        <f t="shared" si="72"/>
        <v>5.4487827383111156E-2</v>
      </c>
      <c r="M147" s="3">
        <f t="shared" si="72"/>
        <v>5.4487827379758845E-2</v>
      </c>
      <c r="N147" s="3">
        <f t="shared" si="72"/>
        <v>5.4487827346235689E-2</v>
      </c>
      <c r="O147" s="3">
        <f t="shared" si="72"/>
        <v>5.4487827011004152E-2</v>
      </c>
      <c r="P147" s="3">
        <f t="shared" si="72"/>
        <v>5.4487823658688914E-2</v>
      </c>
      <c r="Q147" s="3">
        <f t="shared" si="72"/>
        <v>5.448779013554788E-2</v>
      </c>
      <c r="R147" s="3">
        <f t="shared" si="72"/>
        <v>5.4487454905271876E-2</v>
      </c>
      <c r="S147" s="3">
        <f t="shared" si="72"/>
        <v>5.4484102715945532E-2</v>
      </c>
      <c r="T147" s="3">
        <f t="shared" si="72"/>
        <v>5.445059216346642E-2</v>
      </c>
      <c r="U147" s="3">
        <f t="shared" si="72"/>
        <v>5.411661813974266E-2</v>
      </c>
      <c r="V147" s="3">
        <f t="shared" si="72"/>
        <v>5.0887494108849594E-2</v>
      </c>
      <c r="W147" s="3">
        <f t="shared" si="72"/>
        <v>2.7505226659567568E-2</v>
      </c>
      <c r="X147" s="3">
        <f t="shared" si="72"/>
        <v>5.8540558104437677E-5</v>
      </c>
      <c r="Y147" s="3">
        <f t="shared" si="72"/>
        <v>1.1165371103172481E-31</v>
      </c>
      <c r="Z147" s="3">
        <f t="shared" si="72"/>
        <v>7.1127279811087123E-299</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6.3046504540403295E-2</v>
      </c>
      <c r="C148" s="3">
        <f t="shared" si="74"/>
        <v>6.3046504540403295E-2</v>
      </c>
      <c r="D148" s="3">
        <f t="shared" si="74"/>
        <v>6.3046504540403295E-2</v>
      </c>
      <c r="E148" s="3">
        <f t="shared" si="74"/>
        <v>6.3046504540403295E-2</v>
      </c>
      <c r="F148" s="3">
        <f t="shared" si="74"/>
        <v>6.3046504540403295E-2</v>
      </c>
      <c r="G148" s="3">
        <f t="shared" si="74"/>
        <v>6.3046504540403295E-2</v>
      </c>
      <c r="H148" s="3">
        <f t="shared" si="74"/>
        <v>6.3046504540403281E-2</v>
      </c>
      <c r="I148" s="3">
        <f t="shared" si="74"/>
        <v>6.3046504540403253E-2</v>
      </c>
      <c r="J148" s="3">
        <f t="shared" si="74"/>
        <v>6.3046504540402906E-2</v>
      </c>
      <c r="K148" s="3">
        <f t="shared" si="74"/>
        <v>6.3046504540399409E-2</v>
      </c>
      <c r="L148" s="3">
        <f t="shared" si="74"/>
        <v>6.3046504540364423E-2</v>
      </c>
      <c r="M148" s="3">
        <f t="shared" si="74"/>
        <v>6.3046504540014509E-2</v>
      </c>
      <c r="N148" s="3">
        <f t="shared" si="74"/>
        <v>6.3046504536515433E-2</v>
      </c>
      <c r="O148" s="3">
        <f t="shared" si="74"/>
        <v>6.30465045015247E-2</v>
      </c>
      <c r="P148" s="3">
        <f t="shared" si="74"/>
        <v>6.304650415161743E-2</v>
      </c>
      <c r="Q148" s="3">
        <f t="shared" si="74"/>
        <v>6.3046500652544732E-2</v>
      </c>
      <c r="R148" s="3">
        <f t="shared" si="74"/>
        <v>6.3046465661828449E-2</v>
      </c>
      <c r="S148" s="3">
        <f t="shared" si="74"/>
        <v>6.3046115755733725E-2</v>
      </c>
      <c r="T148" s="3">
        <f t="shared" si="74"/>
        <v>6.3042616801592941E-2</v>
      </c>
      <c r="U148" s="3">
        <f t="shared" si="74"/>
        <v>6.3007637938643224E-2</v>
      </c>
      <c r="V148" s="3">
        <f t="shared" si="74"/>
        <v>6.2658914965395232E-2</v>
      </c>
      <c r="W148" s="3">
        <f t="shared" si="74"/>
        <v>5.9276094644850959E-2</v>
      </c>
      <c r="X148" s="3">
        <f t="shared" si="74"/>
        <v>3.4028805876584356E-2</v>
      </c>
      <c r="Y148" s="3">
        <f t="shared" si="74"/>
        <v>1.3228724572944306E-4</v>
      </c>
      <c r="Z148" s="3">
        <f t="shared" si="74"/>
        <v>1.0428710823643833E-28</v>
      </c>
      <c r="AA148" s="3">
        <f>$C34*EXP(-AA$129/$A34/EXP(-$B$126))</f>
        <v>9.6684561679816692E-270</v>
      </c>
      <c r="AB148" s="3">
        <f t="shared" si="67"/>
        <v>0</v>
      </c>
      <c r="AC148" s="3">
        <f t="shared" si="67"/>
        <v>0</v>
      </c>
      <c r="AD148" s="3">
        <f t="shared" si="67"/>
        <v>0</v>
      </c>
      <c r="AE148" s="3">
        <f t="shared" si="67"/>
        <v>0</v>
      </c>
      <c r="AF148" s="3">
        <f t="shared" si="67"/>
        <v>0</v>
      </c>
    </row>
    <row r="149" spans="1:32" x14ac:dyDescent="0.25">
      <c r="B149" s="3">
        <f t="shared" ref="B149:Z149" si="75">$C35*EXP(-B$129/$A35/EXP(-$B$126))</f>
        <v>6.2829439903481887E-2</v>
      </c>
      <c r="C149" s="3">
        <f t="shared" si="75"/>
        <v>6.2829439903481887E-2</v>
      </c>
      <c r="D149" s="3">
        <f t="shared" si="75"/>
        <v>6.2829439903481887E-2</v>
      </c>
      <c r="E149" s="3">
        <f t="shared" si="75"/>
        <v>6.2829439903481887E-2</v>
      </c>
      <c r="F149" s="3">
        <f t="shared" si="75"/>
        <v>6.2829439903481887E-2</v>
      </c>
      <c r="G149" s="3">
        <f t="shared" si="75"/>
        <v>6.2829439903481887E-2</v>
      </c>
      <c r="H149" s="3">
        <f t="shared" si="75"/>
        <v>6.2829439903481887E-2</v>
      </c>
      <c r="I149" s="3">
        <f t="shared" si="75"/>
        <v>6.2829439903481873E-2</v>
      </c>
      <c r="J149" s="3">
        <f t="shared" si="75"/>
        <v>6.2829439903481846E-2</v>
      </c>
      <c r="K149" s="3">
        <f t="shared" si="75"/>
        <v>6.282943990348154E-2</v>
      </c>
      <c r="L149" s="3">
        <f t="shared" si="75"/>
        <v>6.282943990347839E-2</v>
      </c>
      <c r="M149" s="3">
        <f t="shared" si="75"/>
        <v>6.2829439903446929E-2</v>
      </c>
      <c r="N149" s="3">
        <f t="shared" si="75"/>
        <v>6.2829439903132375E-2</v>
      </c>
      <c r="O149" s="3">
        <f t="shared" si="75"/>
        <v>6.2829439899986794E-2</v>
      </c>
      <c r="P149" s="3">
        <f t="shared" si="75"/>
        <v>6.2829439868530915E-2</v>
      </c>
      <c r="Q149" s="3">
        <f t="shared" si="75"/>
        <v>6.2829439553972188E-2</v>
      </c>
      <c r="R149" s="3">
        <f t="shared" si="75"/>
        <v>6.2829436408384953E-2</v>
      </c>
      <c r="S149" s="3">
        <f t="shared" si="75"/>
        <v>6.2829404952521345E-2</v>
      </c>
      <c r="T149" s="3">
        <f t="shared" si="75"/>
        <v>6.2829090394751319E-2</v>
      </c>
      <c r="U149" s="3">
        <f t="shared" si="75"/>
        <v>6.2825944903666289E-2</v>
      </c>
      <c r="V149" s="3">
        <f t="shared" si="75"/>
        <v>6.2794498652730624E-2</v>
      </c>
      <c r="W149" s="3">
        <f t="shared" si="75"/>
        <v>6.2480900532795182E-2</v>
      </c>
      <c r="X149" s="3">
        <f t="shared" si="75"/>
        <v>5.9429778277361574E-2</v>
      </c>
      <c r="Y149" s="3">
        <f t="shared" si="75"/>
        <v>3.6022380232475351E-2</v>
      </c>
      <c r="Z149" s="3">
        <f t="shared" si="75"/>
        <v>2.4113228808439143E-4</v>
      </c>
      <c r="AA149" s="3">
        <f t="shared" ref="AA149" si="76">$C35*EXP(-AA$129/$A35/EXP(-$B$126))</f>
        <v>4.3559709801592262E-26</v>
      </c>
      <c r="AB149" s="3">
        <f t="shared" si="67"/>
        <v>1.6120595626633491E-243</v>
      </c>
      <c r="AC149" s="3">
        <f t="shared" si="67"/>
        <v>0</v>
      </c>
      <c r="AD149" s="3">
        <f t="shared" si="67"/>
        <v>0</v>
      </c>
      <c r="AE149" s="3">
        <f t="shared" si="67"/>
        <v>0</v>
      </c>
      <c r="AF149" s="3">
        <f t="shared" si="67"/>
        <v>0</v>
      </c>
    </row>
    <row r="150" spans="1:32" x14ac:dyDescent="0.25">
      <c r="B150" s="3">
        <f t="shared" ref="B150:Z150" si="77">$C36*EXP(-B$129/$A36/EXP(-$B$126))</f>
        <v>5.5245188990655253E-2</v>
      </c>
      <c r="C150" s="3">
        <f t="shared" si="77"/>
        <v>5.5245188990655253E-2</v>
      </c>
      <c r="D150" s="3">
        <f t="shared" si="77"/>
        <v>5.5245188990655253E-2</v>
      </c>
      <c r="E150" s="3">
        <f t="shared" si="77"/>
        <v>5.5245188990655253E-2</v>
      </c>
      <c r="F150" s="3">
        <f t="shared" si="77"/>
        <v>5.5245188990655253E-2</v>
      </c>
      <c r="G150" s="3">
        <f t="shared" si="77"/>
        <v>5.5245188990655253E-2</v>
      </c>
      <c r="H150" s="3">
        <f t="shared" si="77"/>
        <v>5.5245188990655253E-2</v>
      </c>
      <c r="I150" s="3">
        <f t="shared" si="77"/>
        <v>5.5245188990655253E-2</v>
      </c>
      <c r="J150" s="3">
        <f t="shared" si="77"/>
        <v>5.5245188990655253E-2</v>
      </c>
      <c r="K150" s="3">
        <f t="shared" si="77"/>
        <v>5.5245188990655225E-2</v>
      </c>
      <c r="L150" s="3">
        <f t="shared" si="77"/>
        <v>5.5245188990654975E-2</v>
      </c>
      <c r="M150" s="3">
        <f t="shared" si="77"/>
        <v>5.5245188990652477E-2</v>
      </c>
      <c r="N150" s="3">
        <f t="shared" si="77"/>
        <v>5.5245188990627532E-2</v>
      </c>
      <c r="O150" s="3">
        <f t="shared" si="77"/>
        <v>5.524518899037803E-2</v>
      </c>
      <c r="P150" s="3">
        <f t="shared" si="77"/>
        <v>5.524518898788297E-2</v>
      </c>
      <c r="Q150" s="3">
        <f t="shared" si="77"/>
        <v>5.5245188962932457E-2</v>
      </c>
      <c r="R150" s="3">
        <f t="shared" si="77"/>
        <v>5.5245188713427248E-2</v>
      </c>
      <c r="S150" s="3">
        <f t="shared" si="77"/>
        <v>5.524518621837525E-2</v>
      </c>
      <c r="T150" s="3">
        <f t="shared" si="77"/>
        <v>5.5245161267861498E-2</v>
      </c>
      <c r="U150" s="3">
        <f t="shared" si="77"/>
        <v>5.5244911763343722E-2</v>
      </c>
      <c r="V150" s="3">
        <f t="shared" si="77"/>
        <v>5.5242416780141385E-2</v>
      </c>
      <c r="W150" s="3">
        <f t="shared" si="77"/>
        <v>5.521747314462315E-2</v>
      </c>
      <c r="X150" s="3">
        <f t="shared" si="77"/>
        <v>5.4968655405748433E-2</v>
      </c>
      <c r="Y150" s="3">
        <f t="shared" si="77"/>
        <v>5.2541318284313167E-2</v>
      </c>
      <c r="Z150" s="3">
        <f t="shared" si="77"/>
        <v>3.3447177869900348E-2</v>
      </c>
      <c r="AA150" s="3">
        <f t="shared" ref="AA150" si="78">$C36*EXP(-AA$129/$A36/EXP(-$B$126))</f>
        <v>3.6554817906708949E-4</v>
      </c>
      <c r="AB150" s="3">
        <f t="shared" si="67"/>
        <v>8.8878368964400219E-24</v>
      </c>
      <c r="AC150" s="3">
        <f t="shared" si="67"/>
        <v>6.416683061901175E-220</v>
      </c>
      <c r="AD150" s="3">
        <f t="shared" si="67"/>
        <v>0</v>
      </c>
      <c r="AE150" s="3">
        <f t="shared" si="67"/>
        <v>0</v>
      </c>
      <c r="AF150" s="3">
        <f t="shared" si="67"/>
        <v>0</v>
      </c>
    </row>
    <row r="151" spans="1:32" x14ac:dyDescent="0.25">
      <c r="B151" s="3">
        <f t="shared" ref="B151:Z151" si="79">$C37*EXP(-B$129/$A37/EXP(-$B$126))</f>
        <v>6.6645884688751614E-2</v>
      </c>
      <c r="C151" s="3">
        <f t="shared" si="79"/>
        <v>6.6645884688751614E-2</v>
      </c>
      <c r="D151" s="3">
        <f t="shared" si="79"/>
        <v>6.6645884688751614E-2</v>
      </c>
      <c r="E151" s="3">
        <f t="shared" si="79"/>
        <v>6.6645884688751614E-2</v>
      </c>
      <c r="F151" s="3">
        <f t="shared" si="79"/>
        <v>6.6645884688751614E-2</v>
      </c>
      <c r="G151" s="3">
        <f t="shared" si="79"/>
        <v>6.6645884688751614E-2</v>
      </c>
      <c r="H151" s="3">
        <f t="shared" si="79"/>
        <v>6.6645884688751614E-2</v>
      </c>
      <c r="I151" s="3">
        <f t="shared" si="79"/>
        <v>6.6645884688751614E-2</v>
      </c>
      <c r="J151" s="3">
        <f t="shared" si="79"/>
        <v>6.6645884688751614E-2</v>
      </c>
      <c r="K151" s="3">
        <f t="shared" si="79"/>
        <v>6.6645884688751614E-2</v>
      </c>
      <c r="L151" s="3">
        <f t="shared" si="79"/>
        <v>6.6645884688751586E-2</v>
      </c>
      <c r="M151" s="3">
        <f t="shared" si="79"/>
        <v>6.6645884688751308E-2</v>
      </c>
      <c r="N151" s="3">
        <f t="shared" si="79"/>
        <v>6.6645884688748588E-2</v>
      </c>
      <c r="O151" s="3">
        <f t="shared" si="79"/>
        <v>6.6645884688721443E-2</v>
      </c>
      <c r="P151" s="3">
        <f t="shared" si="79"/>
        <v>6.6645884688449925E-2</v>
      </c>
      <c r="Q151" s="3">
        <f t="shared" si="79"/>
        <v>6.6645884685734708E-2</v>
      </c>
      <c r="R151" s="3">
        <f t="shared" si="79"/>
        <v>6.6645884658582497E-2</v>
      </c>
      <c r="S151" s="3">
        <f t="shared" si="79"/>
        <v>6.6645884387060469E-2</v>
      </c>
      <c r="T151" s="3">
        <f t="shared" si="79"/>
        <v>6.6645881671840199E-2</v>
      </c>
      <c r="U151" s="3">
        <f t="shared" si="79"/>
        <v>6.6645854519643638E-2</v>
      </c>
      <c r="V151" s="3">
        <f t="shared" si="79"/>
        <v>6.6645582998286421E-2</v>
      </c>
      <c r="W151" s="3">
        <f t="shared" si="79"/>
        <v>6.6642867845554565E-2</v>
      </c>
      <c r="X151" s="3">
        <f t="shared" si="79"/>
        <v>6.6615722401361502E-2</v>
      </c>
      <c r="Y151" s="3">
        <f t="shared" si="79"/>
        <v>6.6344875355987112E-2</v>
      </c>
      <c r="Z151" s="3">
        <f t="shared" si="79"/>
        <v>6.3696238850084339E-2</v>
      </c>
      <c r="AA151" s="3">
        <f t="shared" ref="AA151" si="80">$C37*EXP(-AA$129/$A37/EXP(-$B$126))</f>
        <v>4.238164910534347E-2</v>
      </c>
      <c r="AB151" s="3">
        <f t="shared" si="67"/>
        <v>7.2080614159284872E-4</v>
      </c>
      <c r="AC151" s="3">
        <f t="shared" si="67"/>
        <v>1.4595693921835944E-21</v>
      </c>
      <c r="AD151" s="3">
        <f t="shared" si="67"/>
        <v>1.6915601215861898E-198</v>
      </c>
      <c r="AE151" s="3">
        <f t="shared" si="67"/>
        <v>0</v>
      </c>
      <c r="AF151" s="3">
        <f t="shared" si="67"/>
        <v>0</v>
      </c>
    </row>
    <row r="152" spans="1:32" x14ac:dyDescent="0.25">
      <c r="B152" s="3">
        <f t="shared" ref="B152:Z152" si="81">$C38*EXP(-B$129/$A38/EXP(-$B$126))</f>
        <v>2.5869055396656026E-2</v>
      </c>
      <c r="C152" s="3">
        <f t="shared" si="81"/>
        <v>2.5869055396656026E-2</v>
      </c>
      <c r="D152" s="3">
        <f t="shared" si="81"/>
        <v>2.5869055396656026E-2</v>
      </c>
      <c r="E152" s="3">
        <f t="shared" si="81"/>
        <v>2.5869055396656026E-2</v>
      </c>
      <c r="F152" s="3">
        <f t="shared" si="81"/>
        <v>2.5869055396656026E-2</v>
      </c>
      <c r="G152" s="3">
        <f t="shared" si="81"/>
        <v>2.5869055396656026E-2</v>
      </c>
      <c r="H152" s="3">
        <f t="shared" si="81"/>
        <v>2.5869055396656026E-2</v>
      </c>
      <c r="I152" s="3">
        <f t="shared" si="81"/>
        <v>2.5869055396656026E-2</v>
      </c>
      <c r="J152" s="3">
        <f t="shared" si="81"/>
        <v>2.5869055396656026E-2</v>
      </c>
      <c r="K152" s="3">
        <f t="shared" si="81"/>
        <v>2.5869055396656026E-2</v>
      </c>
      <c r="L152" s="3">
        <f t="shared" si="81"/>
        <v>2.5869055396656026E-2</v>
      </c>
      <c r="M152" s="3">
        <f t="shared" si="81"/>
        <v>2.5869055396656015E-2</v>
      </c>
      <c r="N152" s="3">
        <f t="shared" si="81"/>
        <v>2.5869055396655918E-2</v>
      </c>
      <c r="O152" s="3">
        <f t="shared" si="81"/>
        <v>2.5869055396654968E-2</v>
      </c>
      <c r="P152" s="3">
        <f t="shared" si="81"/>
        <v>2.5869055396645461E-2</v>
      </c>
      <c r="Q152" s="3">
        <f t="shared" si="81"/>
        <v>2.5869055396550388E-2</v>
      </c>
      <c r="R152" s="3">
        <f t="shared" si="81"/>
        <v>2.5869055395599656E-2</v>
      </c>
      <c r="S152" s="3">
        <f t="shared" si="81"/>
        <v>2.586905538609232E-2</v>
      </c>
      <c r="T152" s="3">
        <f t="shared" si="81"/>
        <v>2.5869055291018947E-2</v>
      </c>
      <c r="U152" s="3">
        <f t="shared" si="81"/>
        <v>2.5869054340285236E-2</v>
      </c>
      <c r="V152" s="3">
        <f t="shared" si="81"/>
        <v>2.5869044832950085E-2</v>
      </c>
      <c r="W152" s="3">
        <f t="shared" si="81"/>
        <v>2.5868949759790726E-2</v>
      </c>
      <c r="X152" s="3">
        <f t="shared" si="81"/>
        <v>2.5867999047414474E-2</v>
      </c>
      <c r="Y152" s="3">
        <f t="shared" si="81"/>
        <v>2.5858493845125036E-2</v>
      </c>
      <c r="Z152" s="3">
        <f t="shared" si="81"/>
        <v>2.5763633708511001E-2</v>
      </c>
      <c r="AA152" s="3">
        <f t="shared" ref="AA152" si="82">$C38*EXP(-AA$129/$A38/EXP(-$B$126))</f>
        <v>2.4833962585652673E-2</v>
      </c>
      <c r="AB152" s="3">
        <f t="shared" si="67"/>
        <v>1.7196302943400743E-2</v>
      </c>
      <c r="AC152" s="3">
        <f t="shared" si="67"/>
        <v>4.3583864563301642E-4</v>
      </c>
      <c r="AD152" s="3">
        <f t="shared" si="67"/>
        <v>4.766858119772071E-20</v>
      </c>
      <c r="AE152" s="3">
        <f t="shared" si="67"/>
        <v>1.1676081582297778E-179</v>
      </c>
      <c r="AF152" s="3">
        <f t="shared" si="67"/>
        <v>0</v>
      </c>
    </row>
    <row r="153" spans="1:32" x14ac:dyDescent="0.25">
      <c r="B153" s="3">
        <f t="shared" ref="B153:Z153" si="83">$C39*EXP(-B$129/$A39/EXP(-$B$126))</f>
        <v>4.8591449840458205E-2</v>
      </c>
      <c r="C153" s="3">
        <f t="shared" si="83"/>
        <v>4.8591449840458205E-2</v>
      </c>
      <c r="D153" s="3">
        <f t="shared" si="83"/>
        <v>4.8591449840458205E-2</v>
      </c>
      <c r="E153" s="3">
        <f t="shared" si="83"/>
        <v>4.8591449840458205E-2</v>
      </c>
      <c r="F153" s="3">
        <f t="shared" si="83"/>
        <v>4.8591449840458205E-2</v>
      </c>
      <c r="G153" s="3">
        <f t="shared" si="83"/>
        <v>4.8591449840458205E-2</v>
      </c>
      <c r="H153" s="3">
        <f t="shared" si="83"/>
        <v>4.8591449840458205E-2</v>
      </c>
      <c r="I153" s="3">
        <f t="shared" si="83"/>
        <v>4.8591449840458205E-2</v>
      </c>
      <c r="J153" s="3">
        <f t="shared" si="83"/>
        <v>4.8591449840458205E-2</v>
      </c>
      <c r="K153" s="3">
        <f t="shared" si="83"/>
        <v>4.8591449840458205E-2</v>
      </c>
      <c r="L153" s="3">
        <f t="shared" si="83"/>
        <v>4.8591449840458205E-2</v>
      </c>
      <c r="M153" s="3">
        <f t="shared" si="83"/>
        <v>4.8591449840458198E-2</v>
      </c>
      <c r="N153" s="3">
        <f t="shared" si="83"/>
        <v>4.8591449840458149E-2</v>
      </c>
      <c r="O153" s="3">
        <f t="shared" si="83"/>
        <v>4.8591449840457657E-2</v>
      </c>
      <c r="P153" s="3">
        <f t="shared" si="83"/>
        <v>4.8591449840452716E-2</v>
      </c>
      <c r="Q153" s="3">
        <f t="shared" si="83"/>
        <v>4.8591449840403325E-2</v>
      </c>
      <c r="R153" s="3">
        <f t="shared" si="83"/>
        <v>4.8591449839909408E-2</v>
      </c>
      <c r="S153" s="3">
        <f t="shared" si="83"/>
        <v>4.8591449834970275E-2</v>
      </c>
      <c r="T153" s="3">
        <f t="shared" si="83"/>
        <v>4.8591449785578909E-2</v>
      </c>
      <c r="U153" s="3">
        <f t="shared" si="83"/>
        <v>4.8591449291665235E-2</v>
      </c>
      <c r="V153" s="3">
        <f t="shared" si="83"/>
        <v>4.8591444352528802E-2</v>
      </c>
      <c r="W153" s="3">
        <f t="shared" si="83"/>
        <v>4.8591394961192066E-2</v>
      </c>
      <c r="X153" s="3">
        <f t="shared" si="83"/>
        <v>4.8590901050585944E-2</v>
      </c>
      <c r="Y153" s="3">
        <f t="shared" si="83"/>
        <v>4.8585962220637699E-2</v>
      </c>
      <c r="Z153" s="3">
        <f t="shared" si="83"/>
        <v>4.853660152206915E-2</v>
      </c>
      <c r="AA153" s="3">
        <f t="shared" ref="AA153" si="84">$C39*EXP(-AA$129/$A39/EXP(-$B$126))</f>
        <v>4.8045744275488252E-2</v>
      </c>
      <c r="AB153" s="3">
        <f t="shared" si="67"/>
        <v>4.3402079394400286E-2</v>
      </c>
      <c r="AC153" s="3">
        <f t="shared" si="67"/>
        <v>1.5706038350695922E-2</v>
      </c>
      <c r="AD153" s="3">
        <f t="shared" si="67"/>
        <v>6.0482233233506096E-7</v>
      </c>
      <c r="AE153" s="3">
        <f t="shared" si="67"/>
        <v>4.337499810115577E-51</v>
      </c>
      <c r="AF153" s="3">
        <f t="shared" si="67"/>
        <v>0</v>
      </c>
    </row>
    <row r="154" spans="1:32" x14ac:dyDescent="0.25">
      <c r="B154" s="3">
        <f t="shared" ref="B154:Z154" si="85">$C40*EXP(-B$129/$A40/EXP(-$B$126))</f>
        <v>2.853497416803049E-2</v>
      </c>
      <c r="C154" s="3">
        <f t="shared" si="85"/>
        <v>2.853497416803049E-2</v>
      </c>
      <c r="D154" s="3">
        <f t="shared" si="85"/>
        <v>2.853497416803049E-2</v>
      </c>
      <c r="E154" s="3">
        <f t="shared" si="85"/>
        <v>2.853497416803049E-2</v>
      </c>
      <c r="F154" s="3">
        <f t="shared" si="85"/>
        <v>2.853497416803049E-2</v>
      </c>
      <c r="G154" s="3">
        <f t="shared" si="85"/>
        <v>2.853497416803049E-2</v>
      </c>
      <c r="H154" s="3">
        <f t="shared" si="85"/>
        <v>2.853497416803049E-2</v>
      </c>
      <c r="I154" s="3">
        <f t="shared" si="85"/>
        <v>2.853497416803049E-2</v>
      </c>
      <c r="J154" s="3">
        <f t="shared" si="85"/>
        <v>2.853497416803049E-2</v>
      </c>
      <c r="K154" s="3">
        <f t="shared" si="85"/>
        <v>2.853497416803049E-2</v>
      </c>
      <c r="L154" s="3">
        <f t="shared" si="85"/>
        <v>2.853497416803049E-2</v>
      </c>
      <c r="M154" s="3">
        <f t="shared" si="85"/>
        <v>2.853497416803049E-2</v>
      </c>
      <c r="N154" s="3">
        <f t="shared" si="85"/>
        <v>2.8534974168030487E-2</v>
      </c>
      <c r="O154" s="3">
        <f t="shared" si="85"/>
        <v>2.8534974168030459E-2</v>
      </c>
      <c r="P154" s="3">
        <f t="shared" si="85"/>
        <v>2.8534974168030167E-2</v>
      </c>
      <c r="Q154" s="3">
        <f t="shared" si="85"/>
        <v>2.8534974168027267E-2</v>
      </c>
      <c r="R154" s="3">
        <f t="shared" si="85"/>
        <v>2.8534974167998262E-2</v>
      </c>
      <c r="S154" s="3">
        <f t="shared" si="85"/>
        <v>2.8534974167708213E-2</v>
      </c>
      <c r="T154" s="3">
        <f t="shared" si="85"/>
        <v>2.8534974164807745E-2</v>
      </c>
      <c r="U154" s="3">
        <f t="shared" si="85"/>
        <v>2.8534974135803023E-2</v>
      </c>
      <c r="V154" s="3">
        <f t="shared" si="85"/>
        <v>2.8534973845755825E-2</v>
      </c>
      <c r="W154" s="3">
        <f t="shared" si="85"/>
        <v>2.8534970945284014E-2</v>
      </c>
      <c r="X154" s="3">
        <f t="shared" si="85"/>
        <v>2.8534941940582106E-2</v>
      </c>
      <c r="Y154" s="3">
        <f t="shared" si="85"/>
        <v>2.8534651895184546E-2</v>
      </c>
      <c r="Z154" s="3">
        <f t="shared" si="85"/>
        <v>2.853175160335427E-2</v>
      </c>
      <c r="AA154" s="3">
        <f t="shared" ref="AA154:AF154" si="86">$C40*EXP(-AA$129/$A40/EXP(-$B$126))</f>
        <v>2.8502764893486712E-2</v>
      </c>
      <c r="AB154" s="3">
        <f t="shared" si="86"/>
        <v>2.8214512559025302E-2</v>
      </c>
      <c r="AC154" s="3">
        <f t="shared" si="86"/>
        <v>2.5487554259532301E-2</v>
      </c>
      <c r="AD154" s="3">
        <f t="shared" si="86"/>
        <v>9.2232563566367991E-3</v>
      </c>
      <c r="AE154" s="3">
        <f t="shared" si="86"/>
        <v>3.5517749904756028E-7</v>
      </c>
      <c r="AF154" s="3">
        <f t="shared" si="86"/>
        <v>2.5471650967786398E-51</v>
      </c>
    </row>
    <row r="155" spans="1:32" x14ac:dyDescent="0.25">
      <c r="B155" s="3">
        <f t="shared" ref="B155:Z155" si="87">$C41*EXP(-B$129/$A41/EXP(-$B$126))</f>
        <v>1.8710063230340357E-2</v>
      </c>
      <c r="C155" s="3">
        <f t="shared" si="87"/>
        <v>1.8710063230340357E-2</v>
      </c>
      <c r="D155" s="3">
        <f t="shared" si="87"/>
        <v>1.8710063230340357E-2</v>
      </c>
      <c r="E155" s="3">
        <f t="shared" si="87"/>
        <v>1.8710063230340357E-2</v>
      </c>
      <c r="F155" s="3">
        <f t="shared" si="87"/>
        <v>1.8710063230340357E-2</v>
      </c>
      <c r="G155" s="3">
        <f t="shared" si="87"/>
        <v>1.8710063230340357E-2</v>
      </c>
      <c r="H155" s="3">
        <f t="shared" si="87"/>
        <v>1.8710063230340357E-2</v>
      </c>
      <c r="I155" s="3">
        <f t="shared" si="87"/>
        <v>1.8710063230340357E-2</v>
      </c>
      <c r="J155" s="3">
        <f t="shared" si="87"/>
        <v>1.8710063230340357E-2</v>
      </c>
      <c r="K155" s="3">
        <f t="shared" si="87"/>
        <v>1.8710063230340357E-2</v>
      </c>
      <c r="L155" s="3">
        <f t="shared" si="87"/>
        <v>1.8710063230340357E-2</v>
      </c>
      <c r="M155" s="3">
        <f t="shared" si="87"/>
        <v>1.8710063230340357E-2</v>
      </c>
      <c r="N155" s="3">
        <f t="shared" si="87"/>
        <v>1.8710063230340357E-2</v>
      </c>
      <c r="O155" s="3">
        <f t="shared" si="87"/>
        <v>1.8710063230340353E-2</v>
      </c>
      <c r="P155" s="3">
        <f t="shared" si="87"/>
        <v>1.8710063230340336E-2</v>
      </c>
      <c r="Q155" s="3">
        <f t="shared" si="87"/>
        <v>1.8710063230340145E-2</v>
      </c>
      <c r="R155" s="3">
        <f t="shared" si="87"/>
        <v>1.8710063230338244E-2</v>
      </c>
      <c r="S155" s="3">
        <f t="shared" si="87"/>
        <v>1.8710063230319224E-2</v>
      </c>
      <c r="T155" s="3">
        <f t="shared" si="87"/>
        <v>1.8710063230129043E-2</v>
      </c>
      <c r="U155" s="3">
        <f t="shared" si="87"/>
        <v>1.8710063228227238E-2</v>
      </c>
      <c r="V155" s="3">
        <f t="shared" si="87"/>
        <v>1.8710063209209166E-2</v>
      </c>
      <c r="W155" s="3">
        <f t="shared" si="87"/>
        <v>1.8710063019028465E-2</v>
      </c>
      <c r="X155" s="3">
        <f t="shared" si="87"/>
        <v>1.8710061117221555E-2</v>
      </c>
      <c r="Y155" s="3">
        <f t="shared" si="87"/>
        <v>1.8710042099163104E-2</v>
      </c>
      <c r="Z155" s="3">
        <f t="shared" si="87"/>
        <v>1.8709851919641789E-2</v>
      </c>
      <c r="AA155" s="3">
        <f t="shared" ref="AA155:AF155" si="88">$C41*EXP(-AA$129/$A41/EXP(-$B$126))</f>
        <v>1.8707950230745514E-2</v>
      </c>
      <c r="AB155" s="3">
        <f t="shared" si="88"/>
        <v>1.8688943969472314E-2</v>
      </c>
      <c r="AC155" s="3">
        <f t="shared" si="88"/>
        <v>1.8499940139564925E-2</v>
      </c>
      <c r="AD155" s="3">
        <f t="shared" si="88"/>
        <v>1.6711904099666275E-2</v>
      </c>
      <c r="AE155" s="3">
        <f t="shared" si="88"/>
        <v>6.0475859766381534E-3</v>
      </c>
      <c r="AF155" s="3">
        <f t="shared" si="88"/>
        <v>2.3288591137465451E-7</v>
      </c>
    </row>
    <row r="156" spans="1:32" x14ac:dyDescent="0.25">
      <c r="B156" s="3">
        <f t="shared" ref="B156:Z156" si="89">$C42*EXP(-B$129/$A42/EXP(-$B$126))</f>
        <v>7.6798609611155137E-3</v>
      </c>
      <c r="C156" s="3">
        <f t="shared" si="89"/>
        <v>7.6798609611155137E-3</v>
      </c>
      <c r="D156" s="3">
        <f t="shared" si="89"/>
        <v>7.6798609611155137E-3</v>
      </c>
      <c r="E156" s="3">
        <f t="shared" si="89"/>
        <v>7.6798609611155137E-3</v>
      </c>
      <c r="F156" s="3">
        <f t="shared" si="89"/>
        <v>7.6798609611155137E-3</v>
      </c>
      <c r="G156" s="3">
        <f t="shared" si="89"/>
        <v>7.6798609611155137E-3</v>
      </c>
      <c r="H156" s="3">
        <f t="shared" si="89"/>
        <v>7.6798609611155137E-3</v>
      </c>
      <c r="I156" s="3">
        <f t="shared" si="89"/>
        <v>7.6798609611155137E-3</v>
      </c>
      <c r="J156" s="3">
        <f t="shared" si="89"/>
        <v>7.6798609611155137E-3</v>
      </c>
      <c r="K156" s="3">
        <f t="shared" si="89"/>
        <v>7.6798609611155137E-3</v>
      </c>
      <c r="L156" s="3">
        <f t="shared" si="89"/>
        <v>7.6798609611155137E-3</v>
      </c>
      <c r="M156" s="3">
        <f t="shared" si="89"/>
        <v>7.6798609611155137E-3</v>
      </c>
      <c r="N156" s="3">
        <f t="shared" si="89"/>
        <v>7.6798609611155137E-3</v>
      </c>
      <c r="O156" s="3">
        <f t="shared" si="89"/>
        <v>7.6798609611155137E-3</v>
      </c>
      <c r="P156" s="3">
        <f t="shared" si="89"/>
        <v>7.6798609611155129E-3</v>
      </c>
      <c r="Q156" s="3">
        <f t="shared" si="89"/>
        <v>7.679860961115505E-3</v>
      </c>
      <c r="R156" s="3">
        <f t="shared" si="89"/>
        <v>7.679860961115427E-3</v>
      </c>
      <c r="S156" s="3">
        <f t="shared" si="89"/>
        <v>7.6798609611146464E-3</v>
      </c>
      <c r="T156" s="3">
        <f t="shared" si="89"/>
        <v>7.6798609611068401E-3</v>
      </c>
      <c r="U156" s="3">
        <f t="shared" si="89"/>
        <v>7.6798609610287767E-3</v>
      </c>
      <c r="V156" s="3">
        <f t="shared" si="89"/>
        <v>7.6798609602481485E-3</v>
      </c>
      <c r="W156" s="3">
        <f t="shared" si="89"/>
        <v>7.6798609524418608E-3</v>
      </c>
      <c r="X156" s="3">
        <f t="shared" si="89"/>
        <v>7.6798608743789843E-3</v>
      </c>
      <c r="Y156" s="3">
        <f t="shared" si="89"/>
        <v>7.679860093750269E-3</v>
      </c>
      <c r="Z156" s="3">
        <f t="shared" si="89"/>
        <v>7.6798522874674752E-3</v>
      </c>
      <c r="AA156" s="3">
        <f t="shared" ref="AA156:AF156" si="90">$C42*EXP(-AA$129/$A42/EXP(-$B$126))</f>
        <v>7.6797742250759495E-3</v>
      </c>
      <c r="AB156" s="3">
        <f t="shared" si="90"/>
        <v>7.6789936448002499E-3</v>
      </c>
      <c r="AC156" s="3">
        <f t="shared" si="90"/>
        <v>7.6711922043576491E-3</v>
      </c>
      <c r="AD156" s="3">
        <f t="shared" si="90"/>
        <v>7.5936123951962729E-3</v>
      </c>
      <c r="AE156" s="3">
        <f t="shared" si="90"/>
        <v>6.8596828509274151E-3</v>
      </c>
      <c r="AF156" s="3">
        <f t="shared" si="90"/>
        <v>2.4823336446911683E-3</v>
      </c>
    </row>
    <row r="157" spans="1:32" x14ac:dyDescent="0.25">
      <c r="B157" s="3">
        <f t="shared" ref="B157:Z157" si="91">$C43*EXP(-B$129/$A43/EXP(-$B$126))</f>
        <v>4.1102249961922147E-3</v>
      </c>
      <c r="C157" s="3">
        <f t="shared" si="91"/>
        <v>4.1102249961922147E-3</v>
      </c>
      <c r="D157" s="3">
        <f t="shared" si="91"/>
        <v>4.1102249961922147E-3</v>
      </c>
      <c r="E157" s="3">
        <f t="shared" si="91"/>
        <v>4.1102249961922147E-3</v>
      </c>
      <c r="F157" s="3">
        <f t="shared" si="91"/>
        <v>4.1102249961922147E-3</v>
      </c>
      <c r="G157" s="3">
        <f t="shared" si="91"/>
        <v>4.1102249961922147E-3</v>
      </c>
      <c r="H157" s="3">
        <f t="shared" si="91"/>
        <v>4.1102249961922147E-3</v>
      </c>
      <c r="I157" s="3">
        <f t="shared" si="91"/>
        <v>4.1102249961922147E-3</v>
      </c>
      <c r="J157" s="3">
        <f t="shared" si="91"/>
        <v>4.1102249961922147E-3</v>
      </c>
      <c r="K157" s="3">
        <f t="shared" si="91"/>
        <v>4.1102249961922147E-3</v>
      </c>
      <c r="L157" s="3">
        <f t="shared" si="91"/>
        <v>4.1102249961922147E-3</v>
      </c>
      <c r="M157" s="3">
        <f t="shared" si="91"/>
        <v>4.1102249961922147E-3</v>
      </c>
      <c r="N157" s="3">
        <f t="shared" si="91"/>
        <v>4.1102249961922147E-3</v>
      </c>
      <c r="O157" s="3">
        <f t="shared" si="91"/>
        <v>4.1102249961922147E-3</v>
      </c>
      <c r="P157" s="3">
        <f t="shared" si="91"/>
        <v>4.1102249961922147E-3</v>
      </c>
      <c r="Q157" s="3">
        <f t="shared" si="91"/>
        <v>4.1102249961922138E-3</v>
      </c>
      <c r="R157" s="3">
        <f t="shared" si="91"/>
        <v>4.1102249961922103E-3</v>
      </c>
      <c r="S157" s="3">
        <f t="shared" si="91"/>
        <v>4.1102249961921678E-3</v>
      </c>
      <c r="T157" s="3">
        <f t="shared" si="91"/>
        <v>4.1102249961917506E-3</v>
      </c>
      <c r="U157" s="3">
        <f t="shared" si="91"/>
        <v>4.1102249961875725E-3</v>
      </c>
      <c r="V157" s="3">
        <f t="shared" si="91"/>
        <v>4.1102249961457935E-3</v>
      </c>
      <c r="W157" s="3">
        <f t="shared" si="91"/>
        <v>4.1102249957280053E-3</v>
      </c>
      <c r="X157" s="3">
        <f t="shared" si="91"/>
        <v>4.1102249915501172E-3</v>
      </c>
      <c r="Y157" s="3">
        <f t="shared" si="91"/>
        <v>4.1102249497712373E-3</v>
      </c>
      <c r="Z157" s="3">
        <f t="shared" si="91"/>
        <v>4.1102245319824676E-3</v>
      </c>
      <c r="AA157" s="3">
        <f t="shared" ref="AA157:AF157" si="92">$C43*EXP(-AA$129/$A43/EXP(-$B$126))</f>
        <v>4.1102203540971096E-3</v>
      </c>
      <c r="AB157" s="3">
        <f t="shared" si="92"/>
        <v>4.1101785754770886E-3</v>
      </c>
      <c r="AC157" s="3">
        <f t="shared" si="92"/>
        <v>4.1097608126325572E-3</v>
      </c>
      <c r="AD157" s="3">
        <f t="shared" si="92"/>
        <v>4.1055855188771315E-3</v>
      </c>
      <c r="AE157" s="3">
        <f t="shared" si="92"/>
        <v>4.0640651746379061E-3</v>
      </c>
      <c r="AF157" s="3">
        <f t="shared" si="92"/>
        <v>3.6712695793046733E-3</v>
      </c>
    </row>
    <row r="158" spans="1:32" x14ac:dyDescent="0.25">
      <c r="B158" s="3">
        <f t="shared" ref="B158:Z158" si="93">$C44*EXP(-B$129/$A44/EXP(-$B$126))</f>
        <v>3.1066969837399792E-3</v>
      </c>
      <c r="C158" s="3">
        <f t="shared" si="93"/>
        <v>3.1066969837399792E-3</v>
      </c>
      <c r="D158" s="3">
        <f t="shared" si="93"/>
        <v>3.1066969837399792E-3</v>
      </c>
      <c r="E158" s="3">
        <f t="shared" si="93"/>
        <v>3.1066969837399792E-3</v>
      </c>
      <c r="F158" s="3">
        <f t="shared" si="93"/>
        <v>3.1066969837399792E-3</v>
      </c>
      <c r="G158" s="3">
        <f t="shared" si="93"/>
        <v>3.1066969837399792E-3</v>
      </c>
      <c r="H158" s="3">
        <f t="shared" si="93"/>
        <v>3.1066969837399792E-3</v>
      </c>
      <c r="I158" s="3">
        <f t="shared" si="93"/>
        <v>3.1066969837399792E-3</v>
      </c>
      <c r="J158" s="3">
        <f t="shared" si="93"/>
        <v>3.1066969837399792E-3</v>
      </c>
      <c r="K158" s="3">
        <f t="shared" si="93"/>
        <v>3.1066969837399792E-3</v>
      </c>
      <c r="L158" s="3">
        <f t="shared" si="93"/>
        <v>3.1066969837399792E-3</v>
      </c>
      <c r="M158" s="3">
        <f t="shared" si="93"/>
        <v>3.1066969837399792E-3</v>
      </c>
      <c r="N158" s="3">
        <f t="shared" si="93"/>
        <v>3.1066969837399792E-3</v>
      </c>
      <c r="O158" s="3">
        <f t="shared" si="93"/>
        <v>3.1066969837399792E-3</v>
      </c>
      <c r="P158" s="3">
        <f t="shared" si="93"/>
        <v>3.1066969837399792E-3</v>
      </c>
      <c r="Q158" s="3">
        <f t="shared" si="93"/>
        <v>3.1066969837399792E-3</v>
      </c>
      <c r="R158" s="3">
        <f t="shared" si="93"/>
        <v>3.1066969837399787E-3</v>
      </c>
      <c r="S158" s="3">
        <f t="shared" si="93"/>
        <v>3.1066969837399757E-3</v>
      </c>
      <c r="T158" s="3">
        <f t="shared" si="93"/>
        <v>3.106696983739944E-3</v>
      </c>
      <c r="U158" s="3">
        <f t="shared" si="93"/>
        <v>3.1066969837396283E-3</v>
      </c>
      <c r="V158" s="3">
        <f t="shared" si="93"/>
        <v>3.1066969837364703E-3</v>
      </c>
      <c r="W158" s="3">
        <f t="shared" si="93"/>
        <v>3.1066969837048918E-3</v>
      </c>
      <c r="X158" s="3">
        <f t="shared" si="93"/>
        <v>3.1066969833891084E-3</v>
      </c>
      <c r="Y158" s="3">
        <f t="shared" si="93"/>
        <v>3.1066969802312685E-3</v>
      </c>
      <c r="Z158" s="3">
        <f t="shared" si="93"/>
        <v>3.1066969486528706E-3</v>
      </c>
      <c r="AA158" s="3">
        <f t="shared" ref="AA158:AF158" si="94">$C44*EXP(-AA$129/$A44/EXP(-$B$126))</f>
        <v>3.1066966328689148E-3</v>
      </c>
      <c r="AB158" s="3">
        <f t="shared" si="94"/>
        <v>3.1066934750311188E-3</v>
      </c>
      <c r="AC158" s="3">
        <f t="shared" si="94"/>
        <v>3.1066618968297005E-3</v>
      </c>
      <c r="AD158" s="3">
        <f t="shared" si="94"/>
        <v>3.106346132468814E-3</v>
      </c>
      <c r="AE158" s="3">
        <f t="shared" si="94"/>
        <v>3.1031902535258787E-3</v>
      </c>
      <c r="AF158" s="3">
        <f t="shared" si="94"/>
        <v>3.0718072688154679E-3</v>
      </c>
    </row>
    <row r="159" spans="1:32" x14ac:dyDescent="0.25">
      <c r="A159" s="11" t="s">
        <v>75</v>
      </c>
      <c r="B159" s="3">
        <f t="shared" ref="B159:Z159" si="95">$C45*EXP(-B$129/$A45/EXP(-$B$126))</f>
        <v>9.6514726179013565E-4</v>
      </c>
      <c r="C159" s="3">
        <f t="shared" si="95"/>
        <v>9.6514726179013565E-4</v>
      </c>
      <c r="D159" s="3">
        <f t="shared" si="95"/>
        <v>9.6514726179013565E-4</v>
      </c>
      <c r="E159" s="3">
        <f t="shared" si="95"/>
        <v>9.6514726179013565E-4</v>
      </c>
      <c r="F159" s="3">
        <f t="shared" si="95"/>
        <v>9.6514726179013565E-4</v>
      </c>
      <c r="G159" s="3">
        <f t="shared" si="95"/>
        <v>9.6514726179013565E-4</v>
      </c>
      <c r="H159" s="3">
        <f t="shared" si="95"/>
        <v>9.6514726179013565E-4</v>
      </c>
      <c r="I159" s="3">
        <f t="shared" si="95"/>
        <v>9.6514726179013565E-4</v>
      </c>
      <c r="J159" s="3">
        <f t="shared" si="95"/>
        <v>9.6514726179013565E-4</v>
      </c>
      <c r="K159" s="3">
        <f t="shared" si="95"/>
        <v>9.6514726179013565E-4</v>
      </c>
      <c r="L159" s="3">
        <f t="shared" si="95"/>
        <v>9.6514726179013565E-4</v>
      </c>
      <c r="M159" s="3">
        <f t="shared" si="95"/>
        <v>9.6514726179013565E-4</v>
      </c>
      <c r="N159" s="3">
        <f t="shared" si="95"/>
        <v>9.6514726179013565E-4</v>
      </c>
      <c r="O159" s="3">
        <f t="shared" si="95"/>
        <v>9.6514726179013565E-4</v>
      </c>
      <c r="P159" s="3">
        <f t="shared" si="95"/>
        <v>9.6514726179013565E-4</v>
      </c>
      <c r="Q159" s="3">
        <f t="shared" si="95"/>
        <v>9.6514726179013565E-4</v>
      </c>
      <c r="R159" s="3">
        <f t="shared" si="95"/>
        <v>9.6514726179013565E-4</v>
      </c>
      <c r="S159" s="3">
        <f t="shared" si="95"/>
        <v>9.6514726179013554E-4</v>
      </c>
      <c r="T159" s="3">
        <f t="shared" si="95"/>
        <v>9.6514726179013457E-4</v>
      </c>
      <c r="U159" s="3">
        <f t="shared" si="95"/>
        <v>9.651472617901247E-4</v>
      </c>
      <c r="V159" s="3">
        <f t="shared" si="95"/>
        <v>9.6514726179002669E-4</v>
      </c>
      <c r="W159" s="3">
        <f t="shared" si="95"/>
        <v>9.6514726178904559E-4</v>
      </c>
      <c r="X159" s="3">
        <f t="shared" si="95"/>
        <v>9.6514726177923519E-4</v>
      </c>
      <c r="Y159" s="3">
        <f t="shared" si="95"/>
        <v>9.651472616811317E-4</v>
      </c>
      <c r="Z159" s="3">
        <f t="shared" si="95"/>
        <v>9.6514726070009603E-4</v>
      </c>
      <c r="AA159" s="3">
        <f t="shared" ref="AA159:AF159" si="96">$C45*EXP(-AA$129/$A45/EXP(-$B$126))</f>
        <v>9.6514725088973994E-4</v>
      </c>
      <c r="AB159" s="3">
        <f t="shared" si="96"/>
        <v>9.6514715278618417E-4</v>
      </c>
      <c r="AC159" s="3">
        <f t="shared" si="96"/>
        <v>9.6514617175117573E-4</v>
      </c>
      <c r="AD159" s="3">
        <f t="shared" si="96"/>
        <v>9.6513636145593594E-4</v>
      </c>
      <c r="AE159" s="3">
        <f t="shared" si="96"/>
        <v>9.6503826398782887E-4</v>
      </c>
      <c r="AF159" s="3">
        <f t="shared" si="96"/>
        <v>9.6405783752967836E-4</v>
      </c>
    </row>
    <row r="160" spans="1:32" x14ac:dyDescent="0.25">
      <c r="B160" s="3">
        <f t="shared" ref="B160:Z160" si="97">$C46*EXP(-B$129/$A46/EXP(-$B$126))</f>
        <v>1.0056328677851901E-3</v>
      </c>
      <c r="C160" s="3">
        <f t="shared" si="97"/>
        <v>1.0056328677851901E-3</v>
      </c>
      <c r="D160" s="3">
        <f t="shared" si="97"/>
        <v>1.0056328677851901E-3</v>
      </c>
      <c r="E160" s="3">
        <f t="shared" si="97"/>
        <v>1.0056328677851901E-3</v>
      </c>
      <c r="F160" s="3">
        <f t="shared" si="97"/>
        <v>1.0056328677851901E-3</v>
      </c>
      <c r="G160" s="3">
        <f t="shared" si="97"/>
        <v>1.0056328677851901E-3</v>
      </c>
      <c r="H160" s="3">
        <f t="shared" si="97"/>
        <v>1.0056328677851901E-3</v>
      </c>
      <c r="I160" s="3">
        <f t="shared" si="97"/>
        <v>1.0056328677851901E-3</v>
      </c>
      <c r="J160" s="3">
        <f t="shared" si="97"/>
        <v>1.0056328677851901E-3</v>
      </c>
      <c r="K160" s="3">
        <f t="shared" si="97"/>
        <v>1.0056328677851901E-3</v>
      </c>
      <c r="L160" s="3">
        <f t="shared" si="97"/>
        <v>1.0056328677851901E-3</v>
      </c>
      <c r="M160" s="3">
        <f t="shared" si="97"/>
        <v>1.0056328677851901E-3</v>
      </c>
      <c r="N160" s="3">
        <f t="shared" si="97"/>
        <v>1.0056328677851901E-3</v>
      </c>
      <c r="O160" s="3">
        <f t="shared" si="97"/>
        <v>1.0056328677851901E-3</v>
      </c>
      <c r="P160" s="3">
        <f t="shared" si="97"/>
        <v>1.0056328677851901E-3</v>
      </c>
      <c r="Q160" s="3">
        <f t="shared" si="97"/>
        <v>1.0056328677851901E-3</v>
      </c>
      <c r="R160" s="3">
        <f t="shared" si="97"/>
        <v>1.0056328677851901E-3</v>
      </c>
      <c r="S160" s="3">
        <f t="shared" si="97"/>
        <v>1.0056328677851901E-3</v>
      </c>
      <c r="T160" s="3">
        <f t="shared" si="97"/>
        <v>1.0056328677851899E-3</v>
      </c>
      <c r="U160" s="3">
        <f t="shared" si="97"/>
        <v>1.005632867785189E-3</v>
      </c>
      <c r="V160" s="3">
        <f t="shared" si="97"/>
        <v>1.0056328677851786E-3</v>
      </c>
      <c r="W160" s="3">
        <f t="shared" si="97"/>
        <v>1.0056328677850764E-3</v>
      </c>
      <c r="X160" s="3">
        <f t="shared" si="97"/>
        <v>1.0056328677840543E-3</v>
      </c>
      <c r="Y160" s="3">
        <f t="shared" si="97"/>
        <v>1.0056328677738324E-3</v>
      </c>
      <c r="Z160" s="3">
        <f t="shared" si="97"/>
        <v>1.0056328676716136E-3</v>
      </c>
      <c r="AA160" s="3">
        <f t="shared" ref="AA160:AF160" si="98">$C46*EXP(-AA$129/$A46/EXP(-$B$126))</f>
        <v>1.0056328666494258E-3</v>
      </c>
      <c r="AB160" s="3">
        <f t="shared" si="98"/>
        <v>1.0056328564275489E-3</v>
      </c>
      <c r="AC160" s="3">
        <f t="shared" si="98"/>
        <v>1.0056327542087851E-3</v>
      </c>
      <c r="AD160" s="3">
        <f t="shared" si="98"/>
        <v>1.0056317320217179E-3</v>
      </c>
      <c r="AE160" s="3">
        <f t="shared" si="98"/>
        <v>1.0056215102081912E-3</v>
      </c>
      <c r="AF160" s="3">
        <f t="shared" si="98"/>
        <v>1.005519297787268E-3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2.1809087047795134E-2</v>
      </c>
      <c r="C162" s="3">
        <f t="shared" si="101"/>
        <v>2.1809087047795134E-2</v>
      </c>
      <c r="D162" s="3">
        <f t="shared" si="101"/>
        <v>2.1809087047795134E-2</v>
      </c>
      <c r="E162" s="3">
        <f t="shared" si="101"/>
        <v>2.1809087047795134E-2</v>
      </c>
      <c r="F162" s="3">
        <f t="shared" si="101"/>
        <v>2.1809087047795134E-2</v>
      </c>
      <c r="G162" s="3">
        <f t="shared" si="101"/>
        <v>2.1809087047795134E-2</v>
      </c>
      <c r="H162" s="3">
        <f t="shared" si="101"/>
        <v>2.1809087047795134E-2</v>
      </c>
      <c r="I162" s="3">
        <f t="shared" si="101"/>
        <v>2.1809087047795134E-2</v>
      </c>
      <c r="J162" s="3">
        <f t="shared" si="101"/>
        <v>2.1809087047795134E-2</v>
      </c>
      <c r="K162" s="3">
        <f t="shared" si="101"/>
        <v>2.1809087047795134E-2</v>
      </c>
      <c r="L162" s="3">
        <f t="shared" si="101"/>
        <v>2.1809087047795134E-2</v>
      </c>
      <c r="M162" s="3">
        <f t="shared" si="101"/>
        <v>2.1809087047795134E-2</v>
      </c>
      <c r="N162" s="3">
        <f t="shared" si="101"/>
        <v>2.1809087047795134E-2</v>
      </c>
      <c r="O162" s="3">
        <f t="shared" si="101"/>
        <v>2.1809087047795134E-2</v>
      </c>
      <c r="P162" s="3">
        <f t="shared" si="101"/>
        <v>2.1809087047795134E-2</v>
      </c>
      <c r="Q162" s="3">
        <f t="shared" si="101"/>
        <v>2.1809087047795134E-2</v>
      </c>
      <c r="R162" s="3">
        <f t="shared" si="101"/>
        <v>2.1809087047795134E-2</v>
      </c>
      <c r="S162" s="3">
        <f t="shared" si="101"/>
        <v>2.1809087047795134E-2</v>
      </c>
      <c r="T162" s="3">
        <f t="shared" si="101"/>
        <v>2.1809087047795134E-2</v>
      </c>
      <c r="U162" s="3">
        <f t="shared" si="101"/>
        <v>2.1809087047795134E-2</v>
      </c>
      <c r="V162" s="3">
        <f t="shared" si="101"/>
        <v>2.180908704779513E-2</v>
      </c>
      <c r="W162" s="3">
        <f t="shared" si="101"/>
        <v>2.1809087047795109E-2</v>
      </c>
      <c r="X162" s="3">
        <f t="shared" si="101"/>
        <v>2.1809087047794887E-2</v>
      </c>
      <c r="Y162" s="3">
        <f t="shared" si="101"/>
        <v>2.180908704779267E-2</v>
      </c>
      <c r="Z162" s="3">
        <f t="shared" si="101"/>
        <v>2.1809087047770501E-2</v>
      </c>
      <c r="AA162" s="3">
        <f t="shared" ref="AA162:AF162" si="102">$C48*EXP(-AA$129/$A48/EXP(-$B$126))</f>
        <v>2.180908704754882E-2</v>
      </c>
      <c r="AB162" s="3">
        <f t="shared" si="102"/>
        <v>2.180908704533201E-2</v>
      </c>
      <c r="AC162" s="3">
        <f t="shared" si="102"/>
        <v>2.1809087023163899E-2</v>
      </c>
      <c r="AD162" s="3">
        <f t="shared" si="102"/>
        <v>2.1809086801482795E-2</v>
      </c>
      <c r="AE162" s="3">
        <f t="shared" si="102"/>
        <v>2.180908458467188E-2</v>
      </c>
      <c r="AF162" s="3">
        <f t="shared" si="102"/>
        <v>2.1809062416575108E-2</v>
      </c>
    </row>
    <row r="163" spans="1:34" x14ac:dyDescent="0.25">
      <c r="A163" s="79">
        <f>AVERAGE(B163:AF163)</f>
        <v>2.4599539718911617E-3</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1.0181230182180938E-2</v>
      </c>
      <c r="M163" s="80">
        <f t="shared" si="103"/>
        <v>8.7737630217548726E-3</v>
      </c>
      <c r="N163" s="80">
        <f t="shared" si="103"/>
        <v>6.2368905663204906E-3</v>
      </c>
      <c r="O163" s="80">
        <f t="shared" si="103"/>
        <v>4.917481547311856E-3</v>
      </c>
      <c r="P163" s="80">
        <f t="shared" si="103"/>
        <v>5.2306522096733331E-3</v>
      </c>
      <c r="Q163" s="80">
        <f t="shared" si="103"/>
        <v>7.0135549567021012E-3</v>
      </c>
      <c r="R163" s="80">
        <f t="shared" si="103"/>
        <v>4.7860845602694423E-3</v>
      </c>
      <c r="S163" s="80">
        <f t="shared" si="103"/>
        <v>5.9473772611029971E-3</v>
      </c>
      <c r="T163" s="80">
        <f t="shared" si="103"/>
        <v>2.2953099262836879E-3</v>
      </c>
      <c r="U163" s="80">
        <f t="shared" si="103"/>
        <v>1.3912436274160142E-3</v>
      </c>
      <c r="V163" s="80">
        <f t="shared" si="103"/>
        <v>1.9484985269610278E-2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612438.28815964388</v>
      </c>
      <c r="C164" s="21">
        <f t="shared" ref="C164:AF164" si="104">(C131-C130)^2</f>
        <v>1043717.2673941802</v>
      </c>
      <c r="D164" s="21">
        <f t="shared" si="104"/>
        <v>519490.73359374912</v>
      </c>
      <c r="E164" s="21">
        <f t="shared" si="104"/>
        <v>266731.37814982224</v>
      </c>
      <c r="F164" s="21">
        <f t="shared" si="104"/>
        <v>106386.77640019738</v>
      </c>
      <c r="G164" s="21">
        <f t="shared" si="104"/>
        <v>16333.025420646041</v>
      </c>
      <c r="H164" s="21">
        <f t="shared" si="104"/>
        <v>258.24660220186058</v>
      </c>
      <c r="I164" s="21">
        <f t="shared" si="104"/>
        <v>18017.006087380498</v>
      </c>
      <c r="J164" s="21">
        <f t="shared" si="104"/>
        <v>8170.7308279040408</v>
      </c>
      <c r="K164" s="21">
        <f t="shared" si="104"/>
        <v>7684.2627362721514</v>
      </c>
      <c r="L164" s="21">
        <f t="shared" si="104"/>
        <v>7613.665259331151</v>
      </c>
      <c r="M164" s="21">
        <f t="shared" si="104"/>
        <v>5284.5347630019023</v>
      </c>
      <c r="N164" s="21">
        <f t="shared" si="104"/>
        <v>2450.1838852664869</v>
      </c>
      <c r="O164" s="21">
        <f t="shared" si="104"/>
        <v>1377.748939343408</v>
      </c>
      <c r="P164" s="21">
        <f t="shared" si="104"/>
        <v>1412.7033233735103</v>
      </c>
      <c r="Q164" s="21">
        <f t="shared" si="104"/>
        <v>2339.1744941379948</v>
      </c>
      <c r="R164" s="21">
        <f t="shared" si="104"/>
        <v>997.33787732970006</v>
      </c>
      <c r="S164" s="21">
        <f t="shared" si="104"/>
        <v>1409.4644022165805</v>
      </c>
      <c r="T164" s="21">
        <f t="shared" si="104"/>
        <v>190.26300038023706</v>
      </c>
      <c r="U164" s="21">
        <f t="shared" si="104"/>
        <v>63.186808500661186</v>
      </c>
      <c r="V164" s="21">
        <f t="shared" si="104"/>
        <v>10529.800735045057</v>
      </c>
      <c r="W164" s="21">
        <f t="shared" si="104"/>
        <v>59991.729218500732</v>
      </c>
      <c r="X164" s="21">
        <f t="shared" si="104"/>
        <v>87589.580428958987</v>
      </c>
      <c r="Y164" s="21">
        <f t="shared" si="104"/>
        <v>64119.684899058149</v>
      </c>
      <c r="Z164" s="21">
        <f t="shared" si="104"/>
        <v>47112.223205605871</v>
      </c>
      <c r="AA164" s="21">
        <f t="shared" si="104"/>
        <v>35018.329349093437</v>
      </c>
      <c r="AB164" s="21">
        <f t="shared" si="104"/>
        <v>30131.012549979212</v>
      </c>
      <c r="AC164" s="21">
        <f t="shared" si="104"/>
        <v>12598.515686244486</v>
      </c>
      <c r="AD164" s="21">
        <f t="shared" si="104"/>
        <v>6769.6331169526838</v>
      </c>
      <c r="AE164" s="21">
        <f t="shared" si="104"/>
        <v>1483.5039720231223</v>
      </c>
      <c r="AF164" s="21">
        <f t="shared" si="104"/>
        <v>542.78333011463917</v>
      </c>
    </row>
    <row r="165" spans="1:34" x14ac:dyDescent="0.25">
      <c r="A165" s="71">
        <f>SUM(B165:AF165)</f>
        <v>33668.063487926687</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7613.665259331151</v>
      </c>
      <c r="M165" s="60">
        <f t="shared" si="105"/>
        <v>5284.5347630019023</v>
      </c>
      <c r="N165" s="60">
        <f t="shared" si="105"/>
        <v>2450.1838852664869</v>
      </c>
      <c r="O165" s="60">
        <f t="shared" si="105"/>
        <v>1377.748939343408</v>
      </c>
      <c r="P165" s="60">
        <f t="shared" si="105"/>
        <v>1412.7033233735103</v>
      </c>
      <c r="Q165" s="60">
        <f t="shared" si="105"/>
        <v>2339.1744941379948</v>
      </c>
      <c r="R165" s="60">
        <f t="shared" si="105"/>
        <v>997.33787732970006</v>
      </c>
      <c r="S165" s="60">
        <f t="shared" si="105"/>
        <v>1409.4644022165805</v>
      </c>
      <c r="T165" s="60">
        <f t="shared" si="105"/>
        <v>190.26300038023706</v>
      </c>
      <c r="U165" s="60">
        <f t="shared" si="105"/>
        <v>63.186808500661186</v>
      </c>
      <c r="V165" s="60">
        <f t="shared" si="105"/>
        <v>10529.800735045057</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9764.1086742047082</v>
      </c>
      <c r="C170" s="27">
        <f t="shared" ref="C170:AF170" si="106">($C$17+SUM(C171:C201))*$B$51</f>
        <v>9764.0481635892284</v>
      </c>
      <c r="D170" s="27">
        <f t="shared" si="106"/>
        <v>9763.4434507682417</v>
      </c>
      <c r="E170" s="27">
        <f t="shared" si="106"/>
        <v>9757.4354784575407</v>
      </c>
      <c r="F170" s="27">
        <f t="shared" si="106"/>
        <v>9701.0997533208247</v>
      </c>
      <c r="G170" s="27">
        <f t="shared" si="106"/>
        <v>9386.3830710953353</v>
      </c>
      <c r="H170" s="27">
        <f t="shared" si="106"/>
        <v>9122.6269151392207</v>
      </c>
      <c r="I170" s="27">
        <f t="shared" si="106"/>
        <v>8856.2944922327224</v>
      </c>
      <c r="J170" s="27">
        <f t="shared" si="106"/>
        <v>8577.6326614134778</v>
      </c>
      <c r="K170" s="27">
        <f t="shared" si="106"/>
        <v>8313.6955955590856</v>
      </c>
      <c r="L170" s="27">
        <f t="shared" si="106"/>
        <v>8011.4405098533216</v>
      </c>
      <c r="M170" s="27">
        <f t="shared" si="106"/>
        <v>7650.2835567987959</v>
      </c>
      <c r="N170" s="27">
        <f t="shared" si="106"/>
        <v>7272.9641384982342</v>
      </c>
      <c r="O170" s="27">
        <f t="shared" si="106"/>
        <v>6944.2217616242988</v>
      </c>
      <c r="P170" s="27">
        <f t="shared" si="106"/>
        <v>6663.0622804613567</v>
      </c>
      <c r="Q170" s="27">
        <f t="shared" si="106"/>
        <v>6372.7509589077545</v>
      </c>
      <c r="R170" s="27">
        <f t="shared" si="106"/>
        <v>6080.9276922520767</v>
      </c>
      <c r="S170" s="27">
        <f t="shared" si="106"/>
        <v>5802.0851640357532</v>
      </c>
      <c r="T170" s="27">
        <f t="shared" si="106"/>
        <v>5477.7785011342648</v>
      </c>
      <c r="U170" s="27">
        <f t="shared" si="106"/>
        <v>5076.3603945375389</v>
      </c>
      <c r="V170" s="27">
        <f t="shared" si="106"/>
        <v>4495.9463807360826</v>
      </c>
      <c r="W170" s="27">
        <f t="shared" si="106"/>
        <v>3849.5124110699694</v>
      </c>
      <c r="X170" s="27">
        <f t="shared" si="106"/>
        <v>3215.2696021243369</v>
      </c>
      <c r="Y170" s="27">
        <f t="shared" si="106"/>
        <v>2622.2246832562378</v>
      </c>
      <c r="Z170" s="27">
        <f t="shared" si="106"/>
        <v>2002.1715435709295</v>
      </c>
      <c r="AA170" s="27">
        <f t="shared" si="106"/>
        <v>1523.8956618620045</v>
      </c>
      <c r="AB170" s="27">
        <f t="shared" si="106"/>
        <v>1057.8222763320389</v>
      </c>
      <c r="AC170" s="27">
        <f t="shared" si="106"/>
        <v>799.52957567909982</v>
      </c>
      <c r="AD170" s="27">
        <f t="shared" si="106"/>
        <v>648.62304718324958</v>
      </c>
      <c r="AE170" s="27">
        <f t="shared" si="106"/>
        <v>581.89133007618693</v>
      </c>
      <c r="AF170" s="27">
        <f t="shared" si="106"/>
        <v>543.09135259594291</v>
      </c>
      <c r="AG170" s="27"/>
      <c r="AH170" s="27"/>
    </row>
    <row r="171" spans="1:34" x14ac:dyDescent="0.25">
      <c r="B171" s="3">
        <f t="shared" ref="B171:AF171" si="107">$C18*EXP(-B$168/$A18/EXP(-$C$126))</f>
        <v>7.1303254257038789E-25</v>
      </c>
      <c r="C171" s="3">
        <f t="shared" si="107"/>
        <v>6.3693084598863197E-233</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4.3985293942119426E-2</v>
      </c>
      <c r="C172" s="3">
        <f t="shared" si="108"/>
        <v>4.3979896796695443E-2</v>
      </c>
      <c r="D172" s="3">
        <f t="shared" si="108"/>
        <v>4.3925961752698237E-2</v>
      </c>
      <c r="E172" s="3">
        <f t="shared" si="108"/>
        <v>4.339023585975018E-2</v>
      </c>
      <c r="F172" s="3">
        <f t="shared" si="108"/>
        <v>3.837950142247179E-2</v>
      </c>
      <c r="G172" s="3">
        <f t="shared" si="108"/>
        <v>1.1250517676603074E-2</v>
      </c>
      <c r="H172" s="3">
        <f t="shared" si="108"/>
        <v>5.2711367520192198E-8</v>
      </c>
      <c r="I172" s="3">
        <f t="shared" si="108"/>
        <v>2.6867178149191362E-61</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1.7074891500185419E-2</v>
      </c>
      <c r="C173" s="3">
        <f t="shared" si="109"/>
        <v>1.7074702489913239E-2</v>
      </c>
      <c r="D173" s="3">
        <f t="shared" si="109"/>
        <v>1.7072812502261173E-2</v>
      </c>
      <c r="E173" s="3">
        <f t="shared" si="109"/>
        <v>1.705392412800287E-2</v>
      </c>
      <c r="F173" s="3">
        <f t="shared" si="109"/>
        <v>1.6866185914556717E-2</v>
      </c>
      <c r="G173" s="3">
        <f t="shared" si="109"/>
        <v>1.5098800620999102E-2</v>
      </c>
      <c r="H173" s="3">
        <f t="shared" si="109"/>
        <v>4.9911212615280399E-3</v>
      </c>
      <c r="I173" s="3">
        <f t="shared" si="109"/>
        <v>7.775974575770348E-8</v>
      </c>
      <c r="J173" s="3">
        <f t="shared" si="109"/>
        <v>6.5512162867312748E-56</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3.0713961512924957E-2</v>
      </c>
      <c r="C174" s="3">
        <f t="shared" si="110"/>
        <v>3.071393084304555E-2</v>
      </c>
      <c r="D174" s="3">
        <f t="shared" si="110"/>
        <v>3.0713624145935901E-2</v>
      </c>
      <c r="E174" s="3">
        <f t="shared" si="110"/>
        <v>3.071055734327495E-2</v>
      </c>
      <c r="F174" s="3">
        <f t="shared" si="110"/>
        <v>3.0679906153994418E-2</v>
      </c>
      <c r="G174" s="3">
        <f t="shared" si="110"/>
        <v>3.0375071789799039E-2</v>
      </c>
      <c r="H174" s="3">
        <f t="shared" si="110"/>
        <v>2.7488445147089511E-2</v>
      </c>
      <c r="I174" s="3">
        <f t="shared" si="110"/>
        <v>1.0126953046424811E-2</v>
      </c>
      <c r="J174" s="3">
        <f t="shared" si="110"/>
        <v>4.6640694493533066E-7</v>
      </c>
      <c r="K174" s="3">
        <f t="shared" si="110"/>
        <v>2.0027517988172163E-50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2.5231519592074432E-2</v>
      </c>
      <c r="C175" s="3">
        <f t="shared" si="111"/>
        <v>2.5231517319247183E-2</v>
      </c>
      <c r="D175" s="3">
        <f t="shared" si="111"/>
        <v>2.523149459098593E-2</v>
      </c>
      <c r="E175" s="3">
        <f t="shared" si="111"/>
        <v>2.5231267309499456E-2</v>
      </c>
      <c r="F175" s="3">
        <f t="shared" si="111"/>
        <v>2.5228994607234101E-2</v>
      </c>
      <c r="G175" s="3">
        <f t="shared" si="111"/>
        <v>2.5206278840769224E-2</v>
      </c>
      <c r="H175" s="3">
        <f t="shared" si="111"/>
        <v>2.4980243052410492E-2</v>
      </c>
      <c r="I175" s="3">
        <f t="shared" si="111"/>
        <v>2.2828422067583683E-2</v>
      </c>
      <c r="J175" s="3">
        <f t="shared" si="111"/>
        <v>9.2740243498350763E-3</v>
      </c>
      <c r="K175" s="3">
        <f t="shared" si="111"/>
        <v>1.1355117051677004E-6</v>
      </c>
      <c r="L175" s="3">
        <f t="shared" si="111"/>
        <v>8.5985545545000352E-46</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2.5043165704371421E-2</v>
      </c>
      <c r="C176" s="3">
        <f t="shared" si="112"/>
        <v>2.5043165500874025E-2</v>
      </c>
      <c r="D176" s="3">
        <f t="shared" si="112"/>
        <v>2.5043163465900155E-2</v>
      </c>
      <c r="E176" s="3">
        <f t="shared" si="112"/>
        <v>2.5043143116170539E-2</v>
      </c>
      <c r="F176" s="3">
        <f t="shared" si="112"/>
        <v>2.5042939619783863E-2</v>
      </c>
      <c r="G176" s="3">
        <f t="shared" si="112"/>
        <v>2.5040904746861613E-2</v>
      </c>
      <c r="H176" s="3">
        <f t="shared" si="112"/>
        <v>2.5020565109360265E-2</v>
      </c>
      <c r="I176" s="3">
        <f t="shared" si="112"/>
        <v>2.4818075178902319E-2</v>
      </c>
      <c r="J176" s="3">
        <f t="shared" si="112"/>
        <v>2.2881153266178938E-2</v>
      </c>
      <c r="K176" s="3">
        <f t="shared" si="112"/>
        <v>1.0152571437343695E-2</v>
      </c>
      <c r="L176" s="3">
        <f t="shared" si="112"/>
        <v>3.0030149383728746E-6</v>
      </c>
      <c r="M176" s="3">
        <f t="shared" si="112"/>
        <v>1.5394722968782444E-41</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3.185846549419892E-2</v>
      </c>
      <c r="C177" s="3">
        <f t="shared" si="113"/>
        <v>3.1858465470846004E-2</v>
      </c>
      <c r="D177" s="3">
        <f t="shared" si="113"/>
        <v>3.185846523731687E-2</v>
      </c>
      <c r="E177" s="3">
        <f t="shared" si="113"/>
        <v>3.185846290202559E-2</v>
      </c>
      <c r="F177" s="3">
        <f t="shared" si="113"/>
        <v>3.1858439549122278E-2</v>
      </c>
      <c r="G177" s="3">
        <f t="shared" si="113"/>
        <v>3.1858206021030601E-2</v>
      </c>
      <c r="H177" s="3">
        <f t="shared" si="113"/>
        <v>3.1855870834260919E-2</v>
      </c>
      <c r="I177" s="3">
        <f t="shared" si="113"/>
        <v>3.1832528378720179E-2</v>
      </c>
      <c r="J177" s="3">
        <f t="shared" si="113"/>
        <v>3.160004249117232E-2</v>
      </c>
      <c r="K177" s="3">
        <f t="shared" si="113"/>
        <v>2.9366553716907013E-2</v>
      </c>
      <c r="L177" s="3">
        <f t="shared" si="113"/>
        <v>1.4109322178830897E-2</v>
      </c>
      <c r="M177" s="3">
        <f t="shared" si="113"/>
        <v>9.2477870784306745E-6</v>
      </c>
      <c r="N177" s="3">
        <f t="shared" si="113"/>
        <v>1.3531767806738878E-37</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3.8271853449197667E-2</v>
      </c>
      <c r="C178" s="3">
        <f t="shared" si="114"/>
        <v>3.8271853446666948E-2</v>
      </c>
      <c r="D178" s="3">
        <f t="shared" si="114"/>
        <v>3.8271853421359858E-2</v>
      </c>
      <c r="E178" s="3">
        <f t="shared" si="114"/>
        <v>3.8271853168288898E-2</v>
      </c>
      <c r="F178" s="3">
        <f t="shared" si="114"/>
        <v>3.827185063757943E-2</v>
      </c>
      <c r="G178" s="3">
        <f t="shared" si="114"/>
        <v>3.8271825330493912E-2</v>
      </c>
      <c r="H178" s="3">
        <f t="shared" si="114"/>
        <v>3.827157226055912E-2</v>
      </c>
      <c r="I178" s="3">
        <f t="shared" si="114"/>
        <v>3.8269041653246835E-2</v>
      </c>
      <c r="J178" s="3">
        <f t="shared" si="114"/>
        <v>3.8243744781435926E-2</v>
      </c>
      <c r="K178" s="3">
        <f t="shared" si="114"/>
        <v>3.7991693947299149E-2</v>
      </c>
      <c r="L178" s="3">
        <f t="shared" si="114"/>
        <v>3.5560767468489816E-2</v>
      </c>
      <c r="M178" s="3">
        <f t="shared" si="114"/>
        <v>1.8356750204797823E-2</v>
      </c>
      <c r="N178" s="3">
        <f t="shared" si="114"/>
        <v>2.4662808275598089E-5</v>
      </c>
      <c r="O178" s="3">
        <f t="shared" si="114"/>
        <v>4.7261751601962685E-34</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3.6033705300726332E-2</v>
      </c>
      <c r="C179" s="3">
        <f t="shared" si="115"/>
        <v>3.6033705300511393E-2</v>
      </c>
      <c r="D179" s="3">
        <f t="shared" si="115"/>
        <v>3.6033705298361987E-2</v>
      </c>
      <c r="E179" s="3">
        <f t="shared" si="115"/>
        <v>3.6033705276867938E-2</v>
      </c>
      <c r="F179" s="3">
        <f t="shared" si="115"/>
        <v>3.60337050619274E-2</v>
      </c>
      <c r="G179" s="3">
        <f t="shared" si="115"/>
        <v>3.6033702912522121E-2</v>
      </c>
      <c r="H179" s="3">
        <f t="shared" si="115"/>
        <v>3.6033681418476411E-2</v>
      </c>
      <c r="I179" s="3">
        <f t="shared" si="115"/>
        <v>3.6033466478724463E-2</v>
      </c>
      <c r="J179" s="3">
        <f t="shared" si="115"/>
        <v>3.6031317151719658E-2</v>
      </c>
      <c r="K179" s="3">
        <f t="shared" si="115"/>
        <v>3.6009830931587376E-2</v>
      </c>
      <c r="L179" s="3">
        <f t="shared" si="115"/>
        <v>3.5795672168366384E-2</v>
      </c>
      <c r="M179" s="3">
        <f t="shared" si="115"/>
        <v>3.3722900287304063E-2</v>
      </c>
      <c r="N179" s="3">
        <f t="shared" si="115"/>
        <v>1.8572436520954156E-2</v>
      </c>
      <c r="O179" s="3">
        <f t="shared" si="115"/>
        <v>4.7676956606817369E-5</v>
      </c>
      <c r="P179" s="3">
        <f t="shared" si="115"/>
        <v>5.9252263955855816E-31</v>
      </c>
      <c r="Q179" s="3">
        <f t="shared" si="115"/>
        <v>5.2079785538858367E-290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2.6918166434541726E-2</v>
      </c>
      <c r="C180" s="3">
        <f t="shared" si="116"/>
        <v>2.6918166434527241E-2</v>
      </c>
      <c r="D180" s="3">
        <f t="shared" si="116"/>
        <v>2.6918166434382398E-2</v>
      </c>
      <c r="E180" s="3">
        <f t="shared" si="116"/>
        <v>2.6918166432933953E-2</v>
      </c>
      <c r="F180" s="3">
        <f t="shared" si="116"/>
        <v>2.6918166418449522E-2</v>
      </c>
      <c r="G180" s="3">
        <f t="shared" si="116"/>
        <v>2.6918166273605201E-2</v>
      </c>
      <c r="H180" s="3">
        <f t="shared" si="116"/>
        <v>2.6918164825162051E-2</v>
      </c>
      <c r="I180" s="3">
        <f t="shared" si="116"/>
        <v>2.6918150340734821E-2</v>
      </c>
      <c r="J180" s="3">
        <f t="shared" si="116"/>
        <v>2.6918005496891172E-2</v>
      </c>
      <c r="K180" s="3">
        <f t="shared" si="116"/>
        <v>2.6916557101320463E-2</v>
      </c>
      <c r="L180" s="3">
        <f t="shared" si="116"/>
        <v>2.6902077431336237E-2</v>
      </c>
      <c r="M180" s="3">
        <f t="shared" si="116"/>
        <v>2.6757708451747176E-2</v>
      </c>
      <c r="N180" s="3">
        <f t="shared" si="116"/>
        <v>2.5355951234570046E-2</v>
      </c>
      <c r="O180" s="3">
        <f t="shared" si="116"/>
        <v>1.4804365960254057E-2</v>
      </c>
      <c r="P180" s="3">
        <f t="shared" si="116"/>
        <v>6.8153608592923259E-5</v>
      </c>
      <c r="Q180" s="3">
        <f t="shared" si="116"/>
        <v>2.9139311859660709E-28</v>
      </c>
      <c r="R180" s="3">
        <f t="shared" si="116"/>
        <v>5.9481737807107404E-262</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2.7316066250346896E-2</v>
      </c>
      <c r="C181" s="3">
        <f t="shared" si="117"/>
        <v>2.7316066250345571E-2</v>
      </c>
      <c r="D181" s="3">
        <f t="shared" si="117"/>
        <v>2.7316066250332314E-2</v>
      </c>
      <c r="E181" s="3">
        <f t="shared" si="117"/>
        <v>2.7316066250199719E-2</v>
      </c>
      <c r="F181" s="3">
        <f t="shared" si="117"/>
        <v>2.731606624887379E-2</v>
      </c>
      <c r="G181" s="3">
        <f t="shared" si="117"/>
        <v>2.7316066235614486E-2</v>
      </c>
      <c r="H181" s="3">
        <f t="shared" si="117"/>
        <v>2.7316066103021439E-2</v>
      </c>
      <c r="I181" s="3">
        <f t="shared" si="117"/>
        <v>2.7316064777091035E-2</v>
      </c>
      <c r="J181" s="3">
        <f t="shared" si="117"/>
        <v>2.7316051517790495E-2</v>
      </c>
      <c r="K181" s="3">
        <f t="shared" si="117"/>
        <v>2.731591892513912E-2</v>
      </c>
      <c r="L181" s="3">
        <f t="shared" si="117"/>
        <v>2.731459303402322E-2</v>
      </c>
      <c r="M181" s="3">
        <f t="shared" si="117"/>
        <v>2.7301337662017408E-2</v>
      </c>
      <c r="N181" s="3">
        <f t="shared" si="117"/>
        <v>2.716913722246991E-2</v>
      </c>
      <c r="O181" s="3">
        <f t="shared" si="117"/>
        <v>2.5881834543095693E-2</v>
      </c>
      <c r="P181" s="3">
        <f t="shared" si="117"/>
        <v>1.5928950002628457E-2</v>
      </c>
      <c r="Q181" s="3">
        <f t="shared" si="117"/>
        <v>1.2419613335087261E-4</v>
      </c>
      <c r="R181" s="3">
        <f t="shared" si="117"/>
        <v>1.0311392860740508E-25</v>
      </c>
      <c r="S181" s="3">
        <f t="shared" si="117"/>
        <v>1.6047593706721806E-236</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2.9609291080511118E-2</v>
      </c>
      <c r="C182" s="3">
        <f t="shared" si="118"/>
        <v>2.9609291080510986E-2</v>
      </c>
      <c r="D182" s="3">
        <f t="shared" si="118"/>
        <v>2.9609291080509692E-2</v>
      </c>
      <c r="E182" s="3">
        <f t="shared" si="118"/>
        <v>2.9609291080496727E-2</v>
      </c>
      <c r="F182" s="3">
        <f t="shared" si="118"/>
        <v>2.9609291080367077E-2</v>
      </c>
      <c r="G182" s="3">
        <f t="shared" si="118"/>
        <v>2.9609291079070562E-2</v>
      </c>
      <c r="H182" s="3">
        <f t="shared" si="118"/>
        <v>2.9609291066105423E-2</v>
      </c>
      <c r="I182" s="3">
        <f t="shared" si="118"/>
        <v>2.9609290936454029E-2</v>
      </c>
      <c r="J182" s="3">
        <f t="shared" si="118"/>
        <v>2.9609289639940136E-2</v>
      </c>
      <c r="K182" s="3">
        <f t="shared" si="118"/>
        <v>2.9609276674804334E-2</v>
      </c>
      <c r="L182" s="3">
        <f t="shared" si="118"/>
        <v>2.9609147023758556E-2</v>
      </c>
      <c r="M182" s="3">
        <f t="shared" si="118"/>
        <v>2.9607850544524247E-2</v>
      </c>
      <c r="N182" s="3">
        <f t="shared" si="118"/>
        <v>2.9594888874022826E-2</v>
      </c>
      <c r="O182" s="3">
        <f t="shared" si="118"/>
        <v>2.9465583847989189E-2</v>
      </c>
      <c r="P182" s="3">
        <f t="shared" si="118"/>
        <v>2.8203202383841778E-2</v>
      </c>
      <c r="Q182" s="3">
        <f t="shared" si="118"/>
        <v>1.8202546696627787E-2</v>
      </c>
      <c r="R182" s="3">
        <f t="shared" si="118"/>
        <v>2.2828083567028219E-4</v>
      </c>
      <c r="S182" s="3">
        <f t="shared" si="118"/>
        <v>2.1970627057585918E-23</v>
      </c>
      <c r="T182" s="3">
        <f t="shared" si="118"/>
        <v>1.4982091215862605E-213</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2.5103127911926253E-2</v>
      </c>
      <c r="C183" s="3">
        <f t="shared" si="119"/>
        <v>2.5103127911926242E-2</v>
      </c>
      <c r="D183" s="3">
        <f t="shared" si="119"/>
        <v>2.5103127911926142E-2</v>
      </c>
      <c r="E183" s="3">
        <f t="shared" si="119"/>
        <v>2.5103127911925153E-2</v>
      </c>
      <c r="F183" s="3">
        <f t="shared" si="119"/>
        <v>2.5103127911915237E-2</v>
      </c>
      <c r="G183" s="3">
        <f t="shared" si="119"/>
        <v>2.510312791181608E-2</v>
      </c>
      <c r="H183" s="3">
        <f t="shared" si="119"/>
        <v>2.5103127910824505E-2</v>
      </c>
      <c r="I183" s="3">
        <f t="shared" si="119"/>
        <v>2.5103127900908802E-2</v>
      </c>
      <c r="J183" s="3">
        <f t="shared" si="119"/>
        <v>2.5103127801751751E-2</v>
      </c>
      <c r="K183" s="3">
        <f t="shared" si="119"/>
        <v>2.5103126810181252E-2</v>
      </c>
      <c r="L183" s="3">
        <f t="shared" si="119"/>
        <v>2.5103116894478437E-2</v>
      </c>
      <c r="M183" s="3">
        <f t="shared" si="119"/>
        <v>2.5103017737665705E-2</v>
      </c>
      <c r="N183" s="3">
        <f t="shared" si="119"/>
        <v>2.5102026191079818E-2</v>
      </c>
      <c r="O183" s="3">
        <f t="shared" si="119"/>
        <v>2.5092112879051564E-2</v>
      </c>
      <c r="P183" s="3">
        <f t="shared" si="119"/>
        <v>2.499319482737947E-2</v>
      </c>
      <c r="Q183" s="3">
        <f t="shared" si="119"/>
        <v>2.4025210143266931E-2</v>
      </c>
      <c r="R183" s="3">
        <f t="shared" si="119"/>
        <v>1.6185324058941259E-2</v>
      </c>
      <c r="S183" s="3">
        <f t="shared" si="119"/>
        <v>3.1164735156955685E-4</v>
      </c>
      <c r="T183" s="3">
        <f t="shared" si="119"/>
        <v>2.1831513970889398E-21</v>
      </c>
      <c r="U183" s="3">
        <f t="shared" si="119"/>
        <v>6.2128088335610753E-193</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2.985290056573784E-2</v>
      </c>
      <c r="C184" s="3">
        <f t="shared" si="120"/>
        <v>2.985290056573784E-2</v>
      </c>
      <c r="D184" s="3">
        <f t="shared" si="120"/>
        <v>2.9852900565737826E-2</v>
      </c>
      <c r="E184" s="3">
        <f t="shared" si="120"/>
        <v>2.9852900565737722E-2</v>
      </c>
      <c r="F184" s="3">
        <f t="shared" si="120"/>
        <v>2.9852900565736657E-2</v>
      </c>
      <c r="G184" s="3">
        <f t="shared" si="120"/>
        <v>2.985290056572602E-2</v>
      </c>
      <c r="H184" s="3">
        <f t="shared" si="120"/>
        <v>2.9852900565619647E-2</v>
      </c>
      <c r="I184" s="3">
        <f t="shared" si="120"/>
        <v>2.9852900564555925E-2</v>
      </c>
      <c r="J184" s="3">
        <f t="shared" si="120"/>
        <v>2.9852900553918687E-2</v>
      </c>
      <c r="K184" s="3">
        <f t="shared" si="120"/>
        <v>2.9852900447546304E-2</v>
      </c>
      <c r="L184" s="3">
        <f t="shared" si="120"/>
        <v>2.9852899383822486E-2</v>
      </c>
      <c r="M184" s="3">
        <f t="shared" si="120"/>
        <v>2.9852888746586391E-2</v>
      </c>
      <c r="N184" s="3">
        <f t="shared" si="120"/>
        <v>2.9852782374433905E-2</v>
      </c>
      <c r="O184" s="3">
        <f t="shared" si="120"/>
        <v>2.9851718673755294E-2</v>
      </c>
      <c r="P184" s="3">
        <f t="shared" si="120"/>
        <v>2.984108375131762E-2</v>
      </c>
      <c r="Q184" s="3">
        <f t="shared" si="120"/>
        <v>2.9734942687249351E-2</v>
      </c>
      <c r="R184" s="3">
        <f t="shared" si="120"/>
        <v>2.8694076236871365E-2</v>
      </c>
      <c r="S184" s="3">
        <f t="shared" si="120"/>
        <v>2.0092948390292405E-2</v>
      </c>
      <c r="T184" s="3">
        <f t="shared" si="120"/>
        <v>5.6958412658867979E-4</v>
      </c>
      <c r="U184" s="3">
        <f t="shared" si="120"/>
        <v>1.9085342903627797E-19</v>
      </c>
      <c r="V184" s="3">
        <f t="shared" si="120"/>
        <v>3.4050293752510313E-174</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3.2229654464622864E-2</v>
      </c>
      <c r="C185" s="3">
        <f t="shared" si="121"/>
        <v>3.2229654464622864E-2</v>
      </c>
      <c r="D185" s="3">
        <f t="shared" si="121"/>
        <v>3.2229654464622864E-2</v>
      </c>
      <c r="E185" s="3">
        <f t="shared" si="121"/>
        <v>3.2229654464622851E-2</v>
      </c>
      <c r="F185" s="3">
        <f t="shared" si="121"/>
        <v>3.2229654464622746E-2</v>
      </c>
      <c r="G185" s="3">
        <f t="shared" si="121"/>
        <v>3.2229654464621713E-2</v>
      </c>
      <c r="H185" s="3">
        <f t="shared" si="121"/>
        <v>3.2229654464611353E-2</v>
      </c>
      <c r="I185" s="3">
        <f t="shared" si="121"/>
        <v>3.2229654464507755E-2</v>
      </c>
      <c r="J185" s="3">
        <f t="shared" si="121"/>
        <v>3.2229654463471792E-2</v>
      </c>
      <c r="K185" s="3">
        <f t="shared" si="121"/>
        <v>3.2229654453112155E-2</v>
      </c>
      <c r="L185" s="3">
        <f t="shared" si="121"/>
        <v>3.2229654349515767E-2</v>
      </c>
      <c r="M185" s="3">
        <f t="shared" si="121"/>
        <v>3.2229653313551945E-2</v>
      </c>
      <c r="N185" s="3">
        <f t="shared" si="121"/>
        <v>3.2229642953915526E-2</v>
      </c>
      <c r="O185" s="3">
        <f t="shared" si="121"/>
        <v>3.2229539357734462E-2</v>
      </c>
      <c r="P185" s="3">
        <f t="shared" si="121"/>
        <v>3.2228503414238101E-2</v>
      </c>
      <c r="Q185" s="3">
        <f t="shared" si="121"/>
        <v>3.2218145810487452E-2</v>
      </c>
      <c r="R185" s="3">
        <f t="shared" si="121"/>
        <v>3.2114752676676989E-2</v>
      </c>
      <c r="S185" s="3">
        <f t="shared" si="121"/>
        <v>3.109889603877997E-2</v>
      </c>
      <c r="T185" s="3">
        <f t="shared" si="121"/>
        <v>2.2550121196103199E-2</v>
      </c>
      <c r="U185" s="3">
        <f t="shared" si="121"/>
        <v>9.0612467795418174E-4</v>
      </c>
      <c r="V185" s="3">
        <f t="shared" si="121"/>
        <v>9.9444035295183599E-18</v>
      </c>
      <c r="W185" s="3">
        <f t="shared" si="121"/>
        <v>2.5204990918184938E-157</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5.4487827383483636E-2</v>
      </c>
      <c r="C186" s="3">
        <f t="shared" si="122"/>
        <v>5.4487827383483636E-2</v>
      </c>
      <c r="D186" s="3">
        <f t="shared" si="122"/>
        <v>5.4487827383483636E-2</v>
      </c>
      <c r="E186" s="3">
        <f t="shared" si="122"/>
        <v>5.4487827383483636E-2</v>
      </c>
      <c r="F186" s="3">
        <f t="shared" si="122"/>
        <v>5.4487827383483615E-2</v>
      </c>
      <c r="G186" s="3">
        <f t="shared" si="122"/>
        <v>5.4487827383483463E-2</v>
      </c>
      <c r="H186" s="3">
        <f t="shared" si="122"/>
        <v>5.4487827383481881E-2</v>
      </c>
      <c r="I186" s="3">
        <f t="shared" si="122"/>
        <v>5.4487827383466081E-2</v>
      </c>
      <c r="J186" s="3">
        <f t="shared" si="122"/>
        <v>5.4487827383308089E-2</v>
      </c>
      <c r="K186" s="3">
        <f t="shared" si="122"/>
        <v>5.4487827381728172E-2</v>
      </c>
      <c r="L186" s="3">
        <f t="shared" si="122"/>
        <v>5.4487827365928977E-2</v>
      </c>
      <c r="M186" s="3">
        <f t="shared" si="122"/>
        <v>5.4487827207936997E-2</v>
      </c>
      <c r="N186" s="3">
        <f t="shared" si="122"/>
        <v>5.448782562801726E-2</v>
      </c>
      <c r="O186" s="3">
        <f t="shared" si="122"/>
        <v>5.4487809828822419E-2</v>
      </c>
      <c r="P186" s="3">
        <f t="shared" si="122"/>
        <v>5.4487651837125936E-2</v>
      </c>
      <c r="Q186" s="3">
        <f t="shared" si="122"/>
        <v>5.4486071945356936E-2</v>
      </c>
      <c r="R186" s="3">
        <f t="shared" si="122"/>
        <v>5.4470275546976255E-2</v>
      </c>
      <c r="S186" s="3">
        <f t="shared" si="122"/>
        <v>5.4312563224027832E-2</v>
      </c>
      <c r="T186" s="3">
        <f t="shared" si="122"/>
        <v>5.2760338168384761E-2</v>
      </c>
      <c r="U186" s="3">
        <f t="shared" si="122"/>
        <v>3.9480285270556428E-2</v>
      </c>
      <c r="V186" s="3">
        <f t="shared" si="122"/>
        <v>2.1732385377580621E-3</v>
      </c>
      <c r="W186" s="3">
        <f t="shared" si="122"/>
        <v>5.5510936505902048E-16</v>
      </c>
      <c r="X186" s="3">
        <f t="shared" si="122"/>
        <v>6.5628143541756543E-142</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6.3046504540403295E-2</v>
      </c>
      <c r="C187" s="3">
        <f t="shared" si="123"/>
        <v>6.3046504540403295E-2</v>
      </c>
      <c r="D187" s="3">
        <f t="shared" si="123"/>
        <v>6.3046504540403295E-2</v>
      </c>
      <c r="E187" s="3">
        <f t="shared" si="123"/>
        <v>6.3046504540403295E-2</v>
      </c>
      <c r="F187" s="3">
        <f t="shared" si="123"/>
        <v>6.3046504540403295E-2</v>
      </c>
      <c r="G187" s="3">
        <f t="shared" si="123"/>
        <v>6.3046504540403267E-2</v>
      </c>
      <c r="H187" s="3">
        <f t="shared" si="123"/>
        <v>6.3046504540403114E-2</v>
      </c>
      <c r="I187" s="3">
        <f t="shared" si="123"/>
        <v>6.3046504540401463E-2</v>
      </c>
      <c r="J187" s="3">
        <f t="shared" si="123"/>
        <v>6.3046504540384976E-2</v>
      </c>
      <c r="K187" s="3">
        <f t="shared" si="123"/>
        <v>6.3046504540220066E-2</v>
      </c>
      <c r="L187" s="3">
        <f t="shared" si="123"/>
        <v>6.3046504538570983E-2</v>
      </c>
      <c r="M187" s="3">
        <f t="shared" si="123"/>
        <v>6.3046504522080132E-2</v>
      </c>
      <c r="N187" s="3">
        <f t="shared" si="123"/>
        <v>6.3046504357171587E-2</v>
      </c>
      <c r="O187" s="3">
        <f t="shared" si="123"/>
        <v>6.3046502708086219E-2</v>
      </c>
      <c r="P187" s="3">
        <f t="shared" si="123"/>
        <v>6.3046486217234937E-2</v>
      </c>
      <c r="Q187" s="3">
        <f t="shared" si="123"/>
        <v>6.3046321308959305E-2</v>
      </c>
      <c r="R187" s="3">
        <f t="shared" si="123"/>
        <v>6.3044672249926728E-2</v>
      </c>
      <c r="S187" s="3">
        <f t="shared" si="123"/>
        <v>6.3028184031746273E-2</v>
      </c>
      <c r="T187" s="3">
        <f t="shared" si="123"/>
        <v>6.2863538835045168E-2</v>
      </c>
      <c r="U187" s="3">
        <f t="shared" si="123"/>
        <v>6.1240557620975626E-2</v>
      </c>
      <c r="V187" s="3">
        <f t="shared" si="123"/>
        <v>4.7145717132563408E-2</v>
      </c>
      <c r="W187" s="3">
        <f t="shared" si="123"/>
        <v>3.4472544673007626E-3</v>
      </c>
      <c r="X187" s="3">
        <f t="shared" si="123"/>
        <v>1.5058590110859929E-14</v>
      </c>
      <c r="Y187" s="3">
        <f t="shared" si="123"/>
        <v>3.8097282875923163E-128</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6.2829439903481887E-2</v>
      </c>
      <c r="C188" s="3">
        <f t="shared" si="124"/>
        <v>6.2829439903481887E-2</v>
      </c>
      <c r="D188" s="3">
        <f t="shared" si="124"/>
        <v>6.2829439903481887E-2</v>
      </c>
      <c r="E188" s="3">
        <f t="shared" si="124"/>
        <v>6.2829439903481887E-2</v>
      </c>
      <c r="F188" s="3">
        <f t="shared" si="124"/>
        <v>6.2829439903481887E-2</v>
      </c>
      <c r="G188" s="3">
        <f t="shared" si="124"/>
        <v>6.2829439903481887E-2</v>
      </c>
      <c r="H188" s="3">
        <f t="shared" si="124"/>
        <v>6.2829439903481873E-2</v>
      </c>
      <c r="I188" s="3">
        <f t="shared" si="124"/>
        <v>6.2829439903481721E-2</v>
      </c>
      <c r="J188" s="3">
        <f t="shared" si="124"/>
        <v>6.2829439903480236E-2</v>
      </c>
      <c r="K188" s="3">
        <f t="shared" si="124"/>
        <v>6.2829439903465414E-2</v>
      </c>
      <c r="L188" s="3">
        <f t="shared" si="124"/>
        <v>6.2829439903317172E-2</v>
      </c>
      <c r="M188" s="3">
        <f t="shared" si="124"/>
        <v>6.2829439901834677E-2</v>
      </c>
      <c r="N188" s="3">
        <f t="shared" si="124"/>
        <v>6.2829439887009772E-2</v>
      </c>
      <c r="O188" s="3">
        <f t="shared" si="124"/>
        <v>6.282943973876072E-2</v>
      </c>
      <c r="P188" s="3">
        <f t="shared" si="124"/>
        <v>6.282943825627027E-2</v>
      </c>
      <c r="Q188" s="3">
        <f t="shared" si="124"/>
        <v>6.2829423431367701E-2</v>
      </c>
      <c r="R188" s="3">
        <f t="shared" si="124"/>
        <v>6.2829275182534325E-2</v>
      </c>
      <c r="S188" s="3">
        <f t="shared" si="124"/>
        <v>6.2827792713439481E-2</v>
      </c>
      <c r="T188" s="3">
        <f t="shared" si="124"/>
        <v>6.2812969946208094E-2</v>
      </c>
      <c r="U188" s="3">
        <f t="shared" si="124"/>
        <v>6.2664934477758824E-2</v>
      </c>
      <c r="V188" s="3">
        <f t="shared" si="124"/>
        <v>6.120363343330118E-2</v>
      </c>
      <c r="W188" s="3">
        <f t="shared" si="124"/>
        <v>4.8339634234005488E-2</v>
      </c>
      <c r="X188" s="3">
        <f t="shared" si="124"/>
        <v>4.5663048910383423E-3</v>
      </c>
      <c r="Y188" s="3">
        <f t="shared" si="124"/>
        <v>2.5833328399763711E-13</v>
      </c>
      <c r="Z188" s="3">
        <f t="shared" si="124"/>
        <v>8.6763078825798466E-116</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5.5245188990655253E-2</v>
      </c>
      <c r="C189" s="3">
        <f t="shared" si="125"/>
        <v>5.5245188990655253E-2</v>
      </c>
      <c r="D189" s="3">
        <f t="shared" si="125"/>
        <v>5.5245188990655253E-2</v>
      </c>
      <c r="E189" s="3">
        <f t="shared" si="125"/>
        <v>5.5245188990655253E-2</v>
      </c>
      <c r="F189" s="3">
        <f t="shared" si="125"/>
        <v>5.5245188990655253E-2</v>
      </c>
      <c r="G189" s="3">
        <f t="shared" si="125"/>
        <v>5.5245188990655253E-2</v>
      </c>
      <c r="H189" s="3">
        <f t="shared" si="125"/>
        <v>5.5245188990655253E-2</v>
      </c>
      <c r="I189" s="3">
        <f t="shared" si="125"/>
        <v>5.5245188990655239E-2</v>
      </c>
      <c r="J189" s="3">
        <f t="shared" si="125"/>
        <v>5.5245188990655121E-2</v>
      </c>
      <c r="K189" s="3">
        <f t="shared" si="125"/>
        <v>5.5245188990653948E-2</v>
      </c>
      <c r="L189" s="3">
        <f t="shared" si="125"/>
        <v>5.5245188990642187E-2</v>
      </c>
      <c r="M189" s="3">
        <f t="shared" si="125"/>
        <v>5.52451889905246E-2</v>
      </c>
      <c r="N189" s="3">
        <f t="shared" si="125"/>
        <v>5.5245188989348701E-2</v>
      </c>
      <c r="O189" s="3">
        <f t="shared" si="125"/>
        <v>5.5245188977589711E-2</v>
      </c>
      <c r="P189" s="3">
        <f t="shared" si="125"/>
        <v>5.5245188859999877E-2</v>
      </c>
      <c r="Q189" s="3">
        <f t="shared" si="125"/>
        <v>5.5245187684101554E-2</v>
      </c>
      <c r="R189" s="3">
        <f t="shared" si="125"/>
        <v>5.524517592511969E-2</v>
      </c>
      <c r="S189" s="3">
        <f t="shared" si="125"/>
        <v>5.5245058335438725E-2</v>
      </c>
      <c r="T189" s="3">
        <f t="shared" si="125"/>
        <v>5.5243882452394963E-2</v>
      </c>
      <c r="U189" s="3">
        <f t="shared" si="125"/>
        <v>5.5232124998436868E-2</v>
      </c>
      <c r="V189" s="3">
        <f t="shared" si="125"/>
        <v>5.5114687998472627E-2</v>
      </c>
      <c r="W189" s="3">
        <f t="shared" si="125"/>
        <v>5.3953964255398265E-2</v>
      </c>
      <c r="X189" s="3">
        <f t="shared" si="125"/>
        <v>4.3609732859279382E-2</v>
      </c>
      <c r="Y189" s="3">
        <f t="shared" si="125"/>
        <v>5.1901999683013613E-3</v>
      </c>
      <c r="Z189" s="3">
        <f t="shared" si="125"/>
        <v>2.9593118584424587E-12</v>
      </c>
      <c r="AA189" s="3">
        <f t="shared" si="125"/>
        <v>1.0746255741908341E-104</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6.6645884688751614E-2</v>
      </c>
      <c r="C190" s="3">
        <f t="shared" si="126"/>
        <v>6.6645884688751614E-2</v>
      </c>
      <c r="D190" s="3">
        <f t="shared" si="126"/>
        <v>6.6645884688751614E-2</v>
      </c>
      <c r="E190" s="3">
        <f t="shared" si="126"/>
        <v>6.6645884688751614E-2</v>
      </c>
      <c r="F190" s="3">
        <f t="shared" si="126"/>
        <v>6.6645884688751614E-2</v>
      </c>
      <c r="G190" s="3">
        <f t="shared" si="126"/>
        <v>6.6645884688751614E-2</v>
      </c>
      <c r="H190" s="3">
        <f t="shared" si="126"/>
        <v>6.6645884688751614E-2</v>
      </c>
      <c r="I190" s="3">
        <f t="shared" si="126"/>
        <v>6.6645884688751614E-2</v>
      </c>
      <c r="J190" s="3">
        <f t="shared" si="126"/>
        <v>6.66458846887516E-2</v>
      </c>
      <c r="K190" s="3">
        <f t="shared" si="126"/>
        <v>6.6645884688751475E-2</v>
      </c>
      <c r="L190" s="3">
        <f t="shared" si="126"/>
        <v>6.6645884688750198E-2</v>
      </c>
      <c r="M190" s="3">
        <f t="shared" si="126"/>
        <v>6.6645884688737389E-2</v>
      </c>
      <c r="N190" s="3">
        <f t="shared" si="126"/>
        <v>6.6645884688609436E-2</v>
      </c>
      <c r="O190" s="3">
        <f t="shared" si="126"/>
        <v>6.6645884687329765E-2</v>
      </c>
      <c r="P190" s="3">
        <f t="shared" si="126"/>
        <v>6.6645884674533154E-2</v>
      </c>
      <c r="Q190" s="3">
        <f t="shared" si="126"/>
        <v>6.6645884546566961E-2</v>
      </c>
      <c r="R190" s="3">
        <f t="shared" si="126"/>
        <v>6.664588326690507E-2</v>
      </c>
      <c r="S190" s="3">
        <f t="shared" si="126"/>
        <v>6.6645870470287513E-2</v>
      </c>
      <c r="T190" s="3">
        <f t="shared" si="126"/>
        <v>6.6645742504247082E-2</v>
      </c>
      <c r="U190" s="3">
        <f t="shared" si="126"/>
        <v>6.6644462857356521E-2</v>
      </c>
      <c r="V190" s="3">
        <f t="shared" si="126"/>
        <v>6.6631667739731643E-2</v>
      </c>
      <c r="W190" s="3">
        <f t="shared" si="126"/>
        <v>6.6503851595596353E-2</v>
      </c>
      <c r="X190" s="3">
        <f t="shared" si="126"/>
        <v>6.523909792493239E-2</v>
      </c>
      <c r="Y190" s="3">
        <f t="shared" si="126"/>
        <v>5.384178345109384E-2</v>
      </c>
      <c r="Z190" s="3">
        <f t="shared" si="126"/>
        <v>7.8928588020815271E-3</v>
      </c>
      <c r="AA190" s="3">
        <f t="shared" si="126"/>
        <v>3.6172897697360646E-11</v>
      </c>
      <c r="AB190" s="3">
        <f t="shared" si="126"/>
        <v>1.4786757989562182E-94</v>
      </c>
      <c r="AC190" s="3">
        <f t="shared" si="126"/>
        <v>0</v>
      </c>
      <c r="AD190" s="3">
        <f t="shared" si="126"/>
        <v>0</v>
      </c>
      <c r="AE190" s="3">
        <f t="shared" si="126"/>
        <v>0</v>
      </c>
      <c r="AF190" s="3">
        <f t="shared" si="126"/>
        <v>0</v>
      </c>
      <c r="AG190" s="3"/>
      <c r="AH190" s="3"/>
    </row>
    <row r="191" spans="2:34" x14ac:dyDescent="0.25">
      <c r="B191" s="3">
        <f t="shared" ref="B191:AF191" si="127">$C38*EXP(-B$168/$A38/EXP(-$C$126))</f>
        <v>2.5869055396656026E-2</v>
      </c>
      <c r="C191" s="3">
        <f t="shared" si="127"/>
        <v>2.5869055396656026E-2</v>
      </c>
      <c r="D191" s="3">
        <f t="shared" si="127"/>
        <v>2.5869055396656026E-2</v>
      </c>
      <c r="E191" s="3">
        <f t="shared" si="127"/>
        <v>2.5869055396656026E-2</v>
      </c>
      <c r="F191" s="3">
        <f t="shared" si="127"/>
        <v>2.5869055396656026E-2</v>
      </c>
      <c r="G191" s="3">
        <f t="shared" si="127"/>
        <v>2.5869055396656026E-2</v>
      </c>
      <c r="H191" s="3">
        <f t="shared" si="127"/>
        <v>2.5869055396656026E-2</v>
      </c>
      <c r="I191" s="3">
        <f t="shared" si="127"/>
        <v>2.5869055396656026E-2</v>
      </c>
      <c r="J191" s="3">
        <f t="shared" si="127"/>
        <v>2.5869055396656026E-2</v>
      </c>
      <c r="K191" s="3">
        <f t="shared" si="127"/>
        <v>2.5869055396656019E-2</v>
      </c>
      <c r="L191" s="3">
        <f t="shared" si="127"/>
        <v>2.5869055396655977E-2</v>
      </c>
      <c r="M191" s="3">
        <f t="shared" si="127"/>
        <v>2.586905539665553E-2</v>
      </c>
      <c r="N191" s="3">
        <f t="shared" si="127"/>
        <v>2.5869055396651047E-2</v>
      </c>
      <c r="O191" s="3">
        <f t="shared" si="127"/>
        <v>2.5869055396606239E-2</v>
      </c>
      <c r="P191" s="3">
        <f t="shared" si="127"/>
        <v>2.5869055396158167E-2</v>
      </c>
      <c r="Q191" s="3">
        <f t="shared" si="127"/>
        <v>2.5869055391677432E-2</v>
      </c>
      <c r="R191" s="3">
        <f t="shared" si="127"/>
        <v>2.5869055346870104E-2</v>
      </c>
      <c r="S191" s="3">
        <f t="shared" si="127"/>
        <v>2.586905489879681E-2</v>
      </c>
      <c r="T191" s="3">
        <f t="shared" si="127"/>
        <v>2.5869050418064279E-2</v>
      </c>
      <c r="U191" s="3">
        <f t="shared" si="127"/>
        <v>2.5869005610781676E-2</v>
      </c>
      <c r="V191" s="3">
        <f t="shared" si="127"/>
        <v>2.5868557542224148E-2</v>
      </c>
      <c r="W191" s="3">
        <f t="shared" si="127"/>
        <v>2.5864077283473345E-2</v>
      </c>
      <c r="X191" s="3">
        <f t="shared" si="127"/>
        <v>2.5819317351072679E-2</v>
      </c>
      <c r="Y191" s="3">
        <f t="shared" si="127"/>
        <v>2.5375956327596476E-2</v>
      </c>
      <c r="Z191" s="3">
        <f t="shared" si="127"/>
        <v>2.134022748389601E-2</v>
      </c>
      <c r="AA191" s="3">
        <f t="shared" si="127"/>
        <v>3.7754203191971798E-3</v>
      </c>
      <c r="AB191" s="3">
        <f t="shared" si="127"/>
        <v>1.1340388973465521E-10</v>
      </c>
      <c r="AC191" s="3">
        <f t="shared" si="127"/>
        <v>6.7803852889129701E-86</v>
      </c>
      <c r="AD191" s="3">
        <f t="shared" si="127"/>
        <v>0</v>
      </c>
      <c r="AE191" s="3">
        <f t="shared" si="127"/>
        <v>0</v>
      </c>
      <c r="AF191" s="3">
        <f t="shared" si="127"/>
        <v>0</v>
      </c>
      <c r="AG191" s="3"/>
      <c r="AH191" s="3"/>
    </row>
    <row r="192" spans="2:34" x14ac:dyDescent="0.25">
      <c r="B192" s="3">
        <f t="shared" ref="B192:AF192" si="128">$C39*EXP(-B$168/$A39/EXP(-$C$126))</f>
        <v>4.8591449840458205E-2</v>
      </c>
      <c r="C192" s="3">
        <f t="shared" si="128"/>
        <v>4.8591449840458205E-2</v>
      </c>
      <c r="D192" s="3">
        <f t="shared" si="128"/>
        <v>4.8591449840458205E-2</v>
      </c>
      <c r="E192" s="3">
        <f t="shared" si="128"/>
        <v>4.8591449840458205E-2</v>
      </c>
      <c r="F192" s="3">
        <f t="shared" si="128"/>
        <v>4.8591449840458205E-2</v>
      </c>
      <c r="G192" s="3">
        <f t="shared" si="128"/>
        <v>4.8591449840458205E-2</v>
      </c>
      <c r="H192" s="3">
        <f t="shared" si="128"/>
        <v>4.8591449840458205E-2</v>
      </c>
      <c r="I192" s="3">
        <f t="shared" si="128"/>
        <v>4.8591449840458205E-2</v>
      </c>
      <c r="J192" s="3">
        <f t="shared" si="128"/>
        <v>4.8591449840458205E-2</v>
      </c>
      <c r="K192" s="3">
        <f t="shared" si="128"/>
        <v>4.8591449840458205E-2</v>
      </c>
      <c r="L192" s="3">
        <f t="shared" si="128"/>
        <v>4.8591449840458177E-2</v>
      </c>
      <c r="M192" s="3">
        <f t="shared" si="128"/>
        <v>4.8591449840457948E-2</v>
      </c>
      <c r="N192" s="3">
        <f t="shared" si="128"/>
        <v>4.8591449840455624E-2</v>
      </c>
      <c r="O192" s="3">
        <f t="shared" si="128"/>
        <v>4.8591449840432344E-2</v>
      </c>
      <c r="P192" s="3">
        <f t="shared" si="128"/>
        <v>4.8591449840199565E-2</v>
      </c>
      <c r="Q192" s="3">
        <f t="shared" si="128"/>
        <v>4.8591449837871788E-2</v>
      </c>
      <c r="R192" s="3">
        <f t="shared" si="128"/>
        <v>4.8591449814594026E-2</v>
      </c>
      <c r="S192" s="3">
        <f t="shared" si="128"/>
        <v>4.8591449581816416E-2</v>
      </c>
      <c r="T192" s="3">
        <f t="shared" si="128"/>
        <v>4.8591447254040326E-2</v>
      </c>
      <c r="U192" s="3">
        <f t="shared" si="128"/>
        <v>4.8591423976285623E-2</v>
      </c>
      <c r="V192" s="3">
        <f t="shared" si="128"/>
        <v>4.8591191199351937E-2</v>
      </c>
      <c r="W192" s="3">
        <f t="shared" si="128"/>
        <v>4.858886349134553E-2</v>
      </c>
      <c r="X192" s="3">
        <f t="shared" si="128"/>
        <v>4.8565592543247375E-2</v>
      </c>
      <c r="Y192" s="3">
        <f t="shared" si="128"/>
        <v>4.8333495173366658E-2</v>
      </c>
      <c r="Z192" s="3">
        <f t="shared" si="128"/>
        <v>4.60726613879038E-2</v>
      </c>
      <c r="AA192" s="3">
        <f t="shared" si="128"/>
        <v>2.8536077967789154E-2</v>
      </c>
      <c r="AB192" s="3">
        <f t="shared" si="128"/>
        <v>2.3708501885028656E-4</v>
      </c>
      <c r="AC192" s="3">
        <f t="shared" si="128"/>
        <v>3.7153728680982162E-25</v>
      </c>
      <c r="AD192" s="3">
        <f t="shared" si="128"/>
        <v>3.3188325115008788E-233</v>
      </c>
      <c r="AE192" s="3">
        <f t="shared" si="128"/>
        <v>0</v>
      </c>
      <c r="AF192" s="3">
        <f t="shared" si="128"/>
        <v>0</v>
      </c>
      <c r="AG192" s="3"/>
      <c r="AH192" s="3"/>
    </row>
    <row r="193" spans="1:34" x14ac:dyDescent="0.25">
      <c r="B193" s="3">
        <f t="shared" ref="B193:AF193" si="129">$C40*EXP(-B$168/$A40/EXP(-$C$126))</f>
        <v>2.853497416803049E-2</v>
      </c>
      <c r="C193" s="3">
        <f t="shared" si="129"/>
        <v>2.853497416803049E-2</v>
      </c>
      <c r="D193" s="3">
        <f t="shared" si="129"/>
        <v>2.853497416803049E-2</v>
      </c>
      <c r="E193" s="3">
        <f t="shared" si="129"/>
        <v>2.853497416803049E-2</v>
      </c>
      <c r="F193" s="3">
        <f t="shared" si="129"/>
        <v>2.853497416803049E-2</v>
      </c>
      <c r="G193" s="3">
        <f t="shared" si="129"/>
        <v>2.853497416803049E-2</v>
      </c>
      <c r="H193" s="3">
        <f t="shared" si="129"/>
        <v>2.853497416803049E-2</v>
      </c>
      <c r="I193" s="3">
        <f t="shared" si="129"/>
        <v>2.853497416803049E-2</v>
      </c>
      <c r="J193" s="3">
        <f t="shared" si="129"/>
        <v>2.853497416803049E-2</v>
      </c>
      <c r="K193" s="3">
        <f t="shared" si="129"/>
        <v>2.853497416803049E-2</v>
      </c>
      <c r="L193" s="3">
        <f t="shared" si="129"/>
        <v>2.853497416803049E-2</v>
      </c>
      <c r="M193" s="3">
        <f t="shared" si="129"/>
        <v>2.8534974168030473E-2</v>
      </c>
      <c r="N193" s="3">
        <f t="shared" si="129"/>
        <v>2.8534974168030337E-2</v>
      </c>
      <c r="O193" s="3">
        <f t="shared" si="129"/>
        <v>2.8534974168028974E-2</v>
      </c>
      <c r="P193" s="3">
        <f t="shared" si="129"/>
        <v>2.8534974168015304E-2</v>
      </c>
      <c r="Q193" s="3">
        <f t="shared" si="129"/>
        <v>2.8534974167878605E-2</v>
      </c>
      <c r="R193" s="3">
        <f t="shared" si="129"/>
        <v>2.8534974166511635E-2</v>
      </c>
      <c r="S193" s="3">
        <f t="shared" si="129"/>
        <v>2.8534974152841938E-2</v>
      </c>
      <c r="T193" s="3">
        <f t="shared" si="129"/>
        <v>2.8534974016144986E-2</v>
      </c>
      <c r="U193" s="3">
        <f t="shared" si="129"/>
        <v>2.8534972649175476E-2</v>
      </c>
      <c r="V193" s="3">
        <f t="shared" si="129"/>
        <v>2.8534958979483969E-2</v>
      </c>
      <c r="W193" s="3">
        <f t="shared" si="129"/>
        <v>2.8534822282929088E-2</v>
      </c>
      <c r="X193" s="3">
        <f t="shared" si="129"/>
        <v>2.8533455353396187E-2</v>
      </c>
      <c r="Y193" s="3">
        <f t="shared" si="129"/>
        <v>2.8519789659019367E-2</v>
      </c>
      <c r="Z193" s="3">
        <f t="shared" si="129"/>
        <v>2.8383492173026267E-2</v>
      </c>
      <c r="AA193" s="3">
        <f t="shared" si="129"/>
        <v>2.7055834038144305E-2</v>
      </c>
      <c r="AB193" s="3">
        <f t="shared" si="129"/>
        <v>1.6757603453720883E-2</v>
      </c>
      <c r="AC193" s="3">
        <f t="shared" si="129"/>
        <v>1.3922644643723096E-4</v>
      </c>
      <c r="AD193" s="3">
        <f t="shared" si="129"/>
        <v>2.1818255920306208E-25</v>
      </c>
      <c r="AE193" s="3">
        <f t="shared" si="129"/>
        <v>1.9489601626343304E-233</v>
      </c>
      <c r="AF193" s="3">
        <f t="shared" si="129"/>
        <v>0</v>
      </c>
      <c r="AG193" s="3"/>
      <c r="AH193" s="3"/>
    </row>
    <row r="194" spans="1:34" x14ac:dyDescent="0.25">
      <c r="B194" s="3">
        <f t="shared" ref="B194:AF194" si="130">$C41*EXP(-B$168/$A41/EXP(-$C$126))</f>
        <v>1.8710063230340357E-2</v>
      </c>
      <c r="C194" s="3">
        <f t="shared" si="130"/>
        <v>1.8710063230340357E-2</v>
      </c>
      <c r="D194" s="3">
        <f t="shared" si="130"/>
        <v>1.8710063230340357E-2</v>
      </c>
      <c r="E194" s="3">
        <f t="shared" si="130"/>
        <v>1.8710063230340357E-2</v>
      </c>
      <c r="F194" s="3">
        <f t="shared" si="130"/>
        <v>1.8710063230340357E-2</v>
      </c>
      <c r="G194" s="3">
        <f t="shared" si="130"/>
        <v>1.8710063230340357E-2</v>
      </c>
      <c r="H194" s="3">
        <f t="shared" si="130"/>
        <v>1.8710063230340357E-2</v>
      </c>
      <c r="I194" s="3">
        <f t="shared" si="130"/>
        <v>1.8710063230340357E-2</v>
      </c>
      <c r="J194" s="3">
        <f t="shared" si="130"/>
        <v>1.8710063230340357E-2</v>
      </c>
      <c r="K194" s="3">
        <f t="shared" si="130"/>
        <v>1.8710063230340357E-2</v>
      </c>
      <c r="L194" s="3">
        <f t="shared" si="130"/>
        <v>1.8710063230340357E-2</v>
      </c>
      <c r="M194" s="3">
        <f t="shared" si="130"/>
        <v>1.8710063230340357E-2</v>
      </c>
      <c r="N194" s="3">
        <f t="shared" si="130"/>
        <v>1.8710063230340346E-2</v>
      </c>
      <c r="O194" s="3">
        <f t="shared" si="130"/>
        <v>1.8710063230340256E-2</v>
      </c>
      <c r="P194" s="3">
        <f t="shared" si="130"/>
        <v>1.8710063230339361E-2</v>
      </c>
      <c r="Q194" s="3">
        <f t="shared" si="130"/>
        <v>1.87100632303304E-2</v>
      </c>
      <c r="R194" s="3">
        <f t="shared" si="130"/>
        <v>1.8710063230240766E-2</v>
      </c>
      <c r="S194" s="3">
        <f t="shared" si="130"/>
        <v>1.8710063229344459E-2</v>
      </c>
      <c r="T194" s="3">
        <f t="shared" si="130"/>
        <v>1.8710063220381393E-2</v>
      </c>
      <c r="U194" s="3">
        <f t="shared" si="130"/>
        <v>1.8710063130750732E-2</v>
      </c>
      <c r="V194" s="3">
        <f t="shared" si="130"/>
        <v>1.871006223444412E-2</v>
      </c>
      <c r="W194" s="3">
        <f t="shared" si="130"/>
        <v>1.8710053271380377E-2</v>
      </c>
      <c r="X194" s="3">
        <f t="shared" si="130"/>
        <v>1.8709963640979096E-2</v>
      </c>
      <c r="Y194" s="3">
        <f t="shared" si="130"/>
        <v>1.8709067360581526E-2</v>
      </c>
      <c r="Z194" s="3">
        <f t="shared" si="130"/>
        <v>1.8700106917709867E-2</v>
      </c>
      <c r="AA194" s="3">
        <f t="shared" si="130"/>
        <v>1.8610738181433797E-2</v>
      </c>
      <c r="AB194" s="3">
        <f t="shared" si="130"/>
        <v>1.7740207600062261E-2</v>
      </c>
      <c r="AC194" s="3">
        <f t="shared" si="130"/>
        <v>1.0987773052178242E-2</v>
      </c>
      <c r="AD194" s="3">
        <f t="shared" si="130"/>
        <v>9.1289222861629839E-5</v>
      </c>
      <c r="AE194" s="3">
        <f t="shared" si="130"/>
        <v>1.430598624133441E-25</v>
      </c>
      <c r="AF194" s="3">
        <f t="shared" si="130"/>
        <v>1.2779113680487206E-233</v>
      </c>
      <c r="AG194" s="3"/>
      <c r="AH194" s="3"/>
    </row>
    <row r="195" spans="1:34" x14ac:dyDescent="0.25">
      <c r="B195" s="3">
        <f t="shared" ref="B195:AF195" si="131">$C42*EXP(-B$168/$A42/EXP(-$C$126))</f>
        <v>7.6798609611155137E-3</v>
      </c>
      <c r="C195" s="3">
        <f t="shared" si="131"/>
        <v>7.6798609611155137E-3</v>
      </c>
      <c r="D195" s="3">
        <f t="shared" si="131"/>
        <v>7.6798609611155137E-3</v>
      </c>
      <c r="E195" s="3">
        <f t="shared" si="131"/>
        <v>7.6798609611155137E-3</v>
      </c>
      <c r="F195" s="3">
        <f t="shared" si="131"/>
        <v>7.6798609611155137E-3</v>
      </c>
      <c r="G195" s="3">
        <f t="shared" si="131"/>
        <v>7.6798609611155137E-3</v>
      </c>
      <c r="H195" s="3">
        <f t="shared" si="131"/>
        <v>7.6798609611155137E-3</v>
      </c>
      <c r="I195" s="3">
        <f t="shared" si="131"/>
        <v>7.6798609611155137E-3</v>
      </c>
      <c r="J195" s="3">
        <f t="shared" si="131"/>
        <v>7.6798609611155137E-3</v>
      </c>
      <c r="K195" s="3">
        <f t="shared" si="131"/>
        <v>7.6798609611155137E-3</v>
      </c>
      <c r="L195" s="3">
        <f t="shared" si="131"/>
        <v>7.6798609611155137E-3</v>
      </c>
      <c r="M195" s="3">
        <f t="shared" si="131"/>
        <v>7.6798609611155137E-3</v>
      </c>
      <c r="N195" s="3">
        <f t="shared" si="131"/>
        <v>7.6798609611155137E-3</v>
      </c>
      <c r="O195" s="3">
        <f t="shared" si="131"/>
        <v>7.6798609611155094E-3</v>
      </c>
      <c r="P195" s="3">
        <f t="shared" si="131"/>
        <v>7.679860961115473E-3</v>
      </c>
      <c r="Q195" s="3">
        <f t="shared" si="131"/>
        <v>7.6798609611151052E-3</v>
      </c>
      <c r="R195" s="3">
        <f t="shared" si="131"/>
        <v>7.6798609611114258E-3</v>
      </c>
      <c r="S195" s="3">
        <f t="shared" si="131"/>
        <v>7.6798609610746358E-3</v>
      </c>
      <c r="T195" s="3">
        <f t="shared" si="131"/>
        <v>7.6798609607067313E-3</v>
      </c>
      <c r="U195" s="3">
        <f t="shared" si="131"/>
        <v>7.679860957027689E-3</v>
      </c>
      <c r="V195" s="3">
        <f t="shared" si="131"/>
        <v>7.6798609202372728E-3</v>
      </c>
      <c r="W195" s="3">
        <f t="shared" si="131"/>
        <v>7.67986055233311E-3</v>
      </c>
      <c r="X195" s="3">
        <f t="shared" si="131"/>
        <v>7.6798568732924519E-3</v>
      </c>
      <c r="Y195" s="3">
        <f t="shared" si="131"/>
        <v>7.6798200829828068E-3</v>
      </c>
      <c r="Z195" s="3">
        <f t="shared" si="131"/>
        <v>7.679452189579627E-3</v>
      </c>
      <c r="AA195" s="3">
        <f t="shared" si="131"/>
        <v>7.675774224702803E-3</v>
      </c>
      <c r="AB195" s="3">
        <f t="shared" si="131"/>
        <v>7.6390913198712542E-3</v>
      </c>
      <c r="AC195" s="3">
        <f t="shared" si="131"/>
        <v>7.2817673629702907E-3</v>
      </c>
      <c r="AD195" s="3">
        <f t="shared" si="131"/>
        <v>4.510116736333749E-3</v>
      </c>
      <c r="AE195" s="3">
        <f t="shared" si="131"/>
        <v>3.7471200935799901E-5</v>
      </c>
      <c r="AF195" s="3">
        <f t="shared" si="131"/>
        <v>5.872133294927469E-26</v>
      </c>
      <c r="AG195" s="3"/>
      <c r="AH195" s="3"/>
    </row>
    <row r="196" spans="1:34" x14ac:dyDescent="0.25">
      <c r="B196" s="3">
        <f t="shared" ref="B196:AF196" si="132">$C43*EXP(-B$168/$A43/EXP(-$C$126))</f>
        <v>4.1102249961922147E-3</v>
      </c>
      <c r="C196" s="3">
        <f t="shared" si="132"/>
        <v>4.1102249961922147E-3</v>
      </c>
      <c r="D196" s="3">
        <f t="shared" si="132"/>
        <v>4.1102249961922147E-3</v>
      </c>
      <c r="E196" s="3">
        <f t="shared" si="132"/>
        <v>4.1102249961922147E-3</v>
      </c>
      <c r="F196" s="3">
        <f t="shared" si="132"/>
        <v>4.1102249961922147E-3</v>
      </c>
      <c r="G196" s="3">
        <f t="shared" si="132"/>
        <v>4.1102249961922147E-3</v>
      </c>
      <c r="H196" s="3">
        <f t="shared" si="132"/>
        <v>4.1102249961922147E-3</v>
      </c>
      <c r="I196" s="3">
        <f t="shared" si="132"/>
        <v>4.1102249961922147E-3</v>
      </c>
      <c r="J196" s="3">
        <f t="shared" si="132"/>
        <v>4.1102249961922147E-3</v>
      </c>
      <c r="K196" s="3">
        <f t="shared" si="132"/>
        <v>4.1102249961922147E-3</v>
      </c>
      <c r="L196" s="3">
        <f t="shared" si="132"/>
        <v>4.1102249961922147E-3</v>
      </c>
      <c r="M196" s="3">
        <f t="shared" si="132"/>
        <v>4.1102249961922147E-3</v>
      </c>
      <c r="N196" s="3">
        <f t="shared" si="132"/>
        <v>4.1102249961922147E-3</v>
      </c>
      <c r="O196" s="3">
        <f t="shared" si="132"/>
        <v>4.1102249961922147E-3</v>
      </c>
      <c r="P196" s="3">
        <f t="shared" si="132"/>
        <v>4.1102249961922121E-3</v>
      </c>
      <c r="Q196" s="3">
        <f t="shared" si="132"/>
        <v>4.110224996192193E-3</v>
      </c>
      <c r="R196" s="3">
        <f t="shared" si="132"/>
        <v>4.1102249961919961E-3</v>
      </c>
      <c r="S196" s="3">
        <f t="shared" si="132"/>
        <v>4.1102249961900272E-3</v>
      </c>
      <c r="T196" s="3">
        <f t="shared" si="132"/>
        <v>4.1102249961703372E-3</v>
      </c>
      <c r="U196" s="3">
        <f t="shared" si="132"/>
        <v>4.1102249959734365E-3</v>
      </c>
      <c r="V196" s="3">
        <f t="shared" si="132"/>
        <v>4.1102249940044308E-3</v>
      </c>
      <c r="W196" s="3">
        <f t="shared" si="132"/>
        <v>4.1102249743143748E-3</v>
      </c>
      <c r="X196" s="3">
        <f t="shared" si="132"/>
        <v>4.1102247774138199E-3</v>
      </c>
      <c r="Y196" s="3">
        <f t="shared" si="132"/>
        <v>4.110222808408788E-3</v>
      </c>
      <c r="Z196" s="3">
        <f t="shared" si="132"/>
        <v>4.1102031184103516E-3</v>
      </c>
      <c r="AA196" s="3">
        <f t="shared" si="132"/>
        <v>4.1100062236137736E-3</v>
      </c>
      <c r="AB196" s="3">
        <f t="shared" si="132"/>
        <v>4.1080377943351213E-3</v>
      </c>
      <c r="AC196" s="3">
        <f t="shared" si="132"/>
        <v>4.0884052784425839E-3</v>
      </c>
      <c r="AD196" s="3">
        <f t="shared" si="132"/>
        <v>3.8971671991558836E-3</v>
      </c>
      <c r="AE196" s="3">
        <f t="shared" si="132"/>
        <v>2.4137929891287001E-3</v>
      </c>
      <c r="AF196" s="3">
        <f t="shared" si="132"/>
        <v>2.005440821174644E-5</v>
      </c>
      <c r="AG196" s="3"/>
      <c r="AH196" s="3"/>
    </row>
    <row r="197" spans="1:34" x14ac:dyDescent="0.25">
      <c r="B197" s="3">
        <f t="shared" ref="B197:AF197" si="133">$C44*EXP(-B$168/$A44/EXP(-$C$126))</f>
        <v>3.1066969837399792E-3</v>
      </c>
      <c r="C197" s="3">
        <f t="shared" si="133"/>
        <v>3.1066969837399792E-3</v>
      </c>
      <c r="D197" s="3">
        <f t="shared" si="133"/>
        <v>3.1066969837399792E-3</v>
      </c>
      <c r="E197" s="3">
        <f t="shared" si="133"/>
        <v>3.1066969837399792E-3</v>
      </c>
      <c r="F197" s="3">
        <f t="shared" si="133"/>
        <v>3.1066969837399792E-3</v>
      </c>
      <c r="G197" s="3">
        <f t="shared" si="133"/>
        <v>3.1066969837399792E-3</v>
      </c>
      <c r="H197" s="3">
        <f t="shared" si="133"/>
        <v>3.1066969837399792E-3</v>
      </c>
      <c r="I197" s="3">
        <f t="shared" si="133"/>
        <v>3.1066969837399792E-3</v>
      </c>
      <c r="J197" s="3">
        <f t="shared" si="133"/>
        <v>3.1066969837399792E-3</v>
      </c>
      <c r="K197" s="3">
        <f t="shared" si="133"/>
        <v>3.1066969837399792E-3</v>
      </c>
      <c r="L197" s="3">
        <f t="shared" si="133"/>
        <v>3.1066969837399792E-3</v>
      </c>
      <c r="M197" s="3">
        <f t="shared" si="133"/>
        <v>3.1066969837399792E-3</v>
      </c>
      <c r="N197" s="3">
        <f t="shared" si="133"/>
        <v>3.1066969837399792E-3</v>
      </c>
      <c r="O197" s="3">
        <f t="shared" si="133"/>
        <v>3.1066969837399792E-3</v>
      </c>
      <c r="P197" s="3">
        <f t="shared" si="133"/>
        <v>3.1066969837399792E-3</v>
      </c>
      <c r="Q197" s="3">
        <f t="shared" si="133"/>
        <v>3.1066969837399774E-3</v>
      </c>
      <c r="R197" s="3">
        <f t="shared" si="133"/>
        <v>3.1066969837399627E-3</v>
      </c>
      <c r="S197" s="3">
        <f t="shared" si="133"/>
        <v>3.1066969837398139E-3</v>
      </c>
      <c r="T197" s="3">
        <f t="shared" si="133"/>
        <v>3.1066969837383255E-3</v>
      </c>
      <c r="U197" s="3">
        <f t="shared" si="133"/>
        <v>3.1066969837234429E-3</v>
      </c>
      <c r="V197" s="3">
        <f t="shared" si="133"/>
        <v>3.1066969835746162E-3</v>
      </c>
      <c r="W197" s="3">
        <f t="shared" si="133"/>
        <v>3.1066969820863514E-3</v>
      </c>
      <c r="X197" s="3">
        <f t="shared" si="133"/>
        <v>3.106696967203702E-3</v>
      </c>
      <c r="Y197" s="3">
        <f t="shared" si="133"/>
        <v>3.1066968183772119E-3</v>
      </c>
      <c r="Z197" s="3">
        <f t="shared" si="133"/>
        <v>3.1066953301127011E-3</v>
      </c>
      <c r="AA197" s="3">
        <f t="shared" si="133"/>
        <v>3.1066804475068073E-3</v>
      </c>
      <c r="AB197" s="3">
        <f t="shared" si="133"/>
        <v>3.1065316253690387E-3</v>
      </c>
      <c r="AC197" s="3">
        <f t="shared" si="133"/>
        <v>3.1050437960389271E-3</v>
      </c>
      <c r="AD197" s="3">
        <f t="shared" si="133"/>
        <v>3.0902046380942702E-3</v>
      </c>
      <c r="AE197" s="3">
        <f t="shared" si="133"/>
        <v>2.94565810727257E-3</v>
      </c>
      <c r="AF197" s="3">
        <f t="shared" si="133"/>
        <v>1.824455694188512E-3</v>
      </c>
      <c r="AG197" s="3"/>
      <c r="AH197" s="3"/>
    </row>
    <row r="198" spans="1:34" x14ac:dyDescent="0.25">
      <c r="B198" s="3">
        <f t="shared" ref="B198:AF198" si="134">$C45*EXP(-B$168/$A45/EXP(-$C$126))</f>
        <v>9.6514726179013565E-4</v>
      </c>
      <c r="C198" s="3">
        <f t="shared" si="134"/>
        <v>9.6514726179013565E-4</v>
      </c>
      <c r="D198" s="3">
        <f t="shared" si="134"/>
        <v>9.6514726179013565E-4</v>
      </c>
      <c r="E198" s="3">
        <f t="shared" si="134"/>
        <v>9.6514726179013565E-4</v>
      </c>
      <c r="F198" s="3">
        <f t="shared" si="134"/>
        <v>9.6514726179013565E-4</v>
      </c>
      <c r="G198" s="3">
        <f t="shared" si="134"/>
        <v>9.6514726179013565E-4</v>
      </c>
      <c r="H198" s="3">
        <f t="shared" si="134"/>
        <v>9.6514726179013565E-4</v>
      </c>
      <c r="I198" s="3">
        <f t="shared" si="134"/>
        <v>9.6514726179013565E-4</v>
      </c>
      <c r="J198" s="3">
        <f t="shared" si="134"/>
        <v>9.6514726179013565E-4</v>
      </c>
      <c r="K198" s="3">
        <f t="shared" si="134"/>
        <v>9.6514726179013565E-4</v>
      </c>
      <c r="L198" s="3">
        <f t="shared" si="134"/>
        <v>9.6514726179013565E-4</v>
      </c>
      <c r="M198" s="3">
        <f t="shared" si="134"/>
        <v>9.6514726179013565E-4</v>
      </c>
      <c r="N198" s="3">
        <f t="shared" si="134"/>
        <v>9.6514726179013565E-4</v>
      </c>
      <c r="O198" s="3">
        <f t="shared" si="134"/>
        <v>9.6514726179013565E-4</v>
      </c>
      <c r="P198" s="3">
        <f t="shared" si="134"/>
        <v>9.6514726179013565E-4</v>
      </c>
      <c r="Q198" s="3">
        <f t="shared" si="134"/>
        <v>9.6514726179013565E-4</v>
      </c>
      <c r="R198" s="3">
        <f t="shared" si="134"/>
        <v>9.6514726179013511E-4</v>
      </c>
      <c r="S198" s="3">
        <f t="shared" si="134"/>
        <v>9.6514726179013056E-4</v>
      </c>
      <c r="T198" s="3">
        <f t="shared" si="134"/>
        <v>9.6514726179008437E-4</v>
      </c>
      <c r="U198" s="3">
        <f t="shared" si="134"/>
        <v>9.6514726178962196E-4</v>
      </c>
      <c r="V198" s="3">
        <f t="shared" si="134"/>
        <v>9.6514726178499838E-4</v>
      </c>
      <c r="W198" s="3">
        <f t="shared" si="134"/>
        <v>9.651472617387629E-4</v>
      </c>
      <c r="X198" s="3">
        <f t="shared" si="134"/>
        <v>9.6514726127640857E-4</v>
      </c>
      <c r="Y198" s="3">
        <f t="shared" si="134"/>
        <v>9.6514725665286527E-4</v>
      </c>
      <c r="Z198" s="3">
        <f t="shared" si="134"/>
        <v>9.6514721041743247E-4</v>
      </c>
      <c r="AA198" s="3">
        <f t="shared" si="134"/>
        <v>9.6514674806322644E-4</v>
      </c>
      <c r="AB198" s="3">
        <f t="shared" si="134"/>
        <v>9.6514212453334826E-4</v>
      </c>
      <c r="AC198" s="3">
        <f t="shared" si="134"/>
        <v>9.6509589045274335E-4</v>
      </c>
      <c r="AD198" s="3">
        <f t="shared" si="134"/>
        <v>9.6463367144281607E-4</v>
      </c>
      <c r="AE198" s="3">
        <f t="shared" si="134"/>
        <v>9.6002363939510886E-4</v>
      </c>
      <c r="AF198" s="3">
        <f t="shared" si="134"/>
        <v>9.1511784743857224E-4</v>
      </c>
      <c r="AG198" s="3"/>
      <c r="AH198" s="3"/>
    </row>
    <row r="199" spans="1:34" x14ac:dyDescent="0.25">
      <c r="B199" s="3">
        <f t="shared" ref="B199:AF199" si="135">$C46*EXP(-B$168/$A46/EXP(-$C$126))</f>
        <v>1.0056328677851901E-3</v>
      </c>
      <c r="C199" s="3">
        <f t="shared" si="135"/>
        <v>1.0056328677851901E-3</v>
      </c>
      <c r="D199" s="3">
        <f t="shared" si="135"/>
        <v>1.0056328677851901E-3</v>
      </c>
      <c r="E199" s="3">
        <f t="shared" si="135"/>
        <v>1.0056328677851901E-3</v>
      </c>
      <c r="F199" s="3">
        <f t="shared" si="135"/>
        <v>1.0056328677851901E-3</v>
      </c>
      <c r="G199" s="3">
        <f t="shared" si="135"/>
        <v>1.0056328677851901E-3</v>
      </c>
      <c r="H199" s="3">
        <f t="shared" si="135"/>
        <v>1.0056328677851901E-3</v>
      </c>
      <c r="I199" s="3">
        <f t="shared" si="135"/>
        <v>1.0056328677851901E-3</v>
      </c>
      <c r="J199" s="3">
        <f t="shared" si="135"/>
        <v>1.0056328677851901E-3</v>
      </c>
      <c r="K199" s="3">
        <f t="shared" si="135"/>
        <v>1.0056328677851901E-3</v>
      </c>
      <c r="L199" s="3">
        <f t="shared" si="135"/>
        <v>1.0056328677851901E-3</v>
      </c>
      <c r="M199" s="3">
        <f t="shared" si="135"/>
        <v>1.0056328677851901E-3</v>
      </c>
      <c r="N199" s="3">
        <f t="shared" si="135"/>
        <v>1.0056328677851901E-3</v>
      </c>
      <c r="O199" s="3">
        <f t="shared" si="135"/>
        <v>1.0056328677851901E-3</v>
      </c>
      <c r="P199" s="3">
        <f t="shared" si="135"/>
        <v>1.0056328677851901E-3</v>
      </c>
      <c r="Q199" s="3">
        <f t="shared" si="135"/>
        <v>1.0056328677851901E-3</v>
      </c>
      <c r="R199" s="3">
        <f t="shared" si="135"/>
        <v>1.0056328677851901E-3</v>
      </c>
      <c r="S199" s="3">
        <f t="shared" si="135"/>
        <v>1.0056328677851894E-3</v>
      </c>
      <c r="T199" s="3">
        <f t="shared" si="135"/>
        <v>1.0056328677851846E-3</v>
      </c>
      <c r="U199" s="3">
        <f t="shared" si="135"/>
        <v>1.0056328677851365E-3</v>
      </c>
      <c r="V199" s="3">
        <f t="shared" si="135"/>
        <v>1.0056328677846549E-3</v>
      </c>
      <c r="W199" s="3">
        <f t="shared" si="135"/>
        <v>1.0056328677798374E-3</v>
      </c>
      <c r="X199" s="3">
        <f t="shared" si="135"/>
        <v>1.0056328677316624E-3</v>
      </c>
      <c r="Y199" s="3">
        <f t="shared" si="135"/>
        <v>1.0056328672499134E-3</v>
      </c>
      <c r="Z199" s="3">
        <f t="shared" si="135"/>
        <v>1.0056328624324234E-3</v>
      </c>
      <c r="AA199" s="3">
        <f t="shared" si="135"/>
        <v>1.0056328142575256E-3</v>
      </c>
      <c r="AB199" s="3">
        <f t="shared" si="135"/>
        <v>1.0056323325086727E-3</v>
      </c>
      <c r="AC199" s="3">
        <f t="shared" si="135"/>
        <v>1.005627515032838E-3</v>
      </c>
      <c r="AD199" s="3">
        <f t="shared" si="135"/>
        <v>1.0055793415437667E-3</v>
      </c>
      <c r="AE199" s="3">
        <f t="shared" si="135"/>
        <v>1.0050977335582289E-3</v>
      </c>
      <c r="AF199" s="3">
        <f t="shared" si="135"/>
        <v>1.0002943217554345E-3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2.1809087047795134E-2</v>
      </c>
      <c r="C201" s="3">
        <f t="shared" si="137"/>
        <v>2.1809087047795134E-2</v>
      </c>
      <c r="D201" s="3">
        <f t="shared" si="137"/>
        <v>2.1809087047795134E-2</v>
      </c>
      <c r="E201" s="3">
        <f t="shared" si="137"/>
        <v>2.1809087047795134E-2</v>
      </c>
      <c r="F201" s="3">
        <f t="shared" si="137"/>
        <v>2.1809087047795134E-2</v>
      </c>
      <c r="G201" s="3">
        <f t="shared" si="137"/>
        <v>2.1809087047795134E-2</v>
      </c>
      <c r="H201" s="3">
        <f t="shared" si="137"/>
        <v>2.1809087047795134E-2</v>
      </c>
      <c r="I201" s="3">
        <f t="shared" si="137"/>
        <v>2.1809087047795134E-2</v>
      </c>
      <c r="J201" s="3">
        <f t="shared" si="137"/>
        <v>2.1809087047795134E-2</v>
      </c>
      <c r="K201" s="3">
        <f t="shared" si="137"/>
        <v>2.1809087047795134E-2</v>
      </c>
      <c r="L201" s="3">
        <f t="shared" si="137"/>
        <v>2.1809087047795134E-2</v>
      </c>
      <c r="M201" s="3">
        <f t="shared" si="137"/>
        <v>2.1809087047795134E-2</v>
      </c>
      <c r="N201" s="3">
        <f t="shared" si="137"/>
        <v>2.1809087047795134E-2</v>
      </c>
      <c r="O201" s="3">
        <f t="shared" si="137"/>
        <v>2.1809087047795134E-2</v>
      </c>
      <c r="P201" s="3">
        <f t="shared" si="137"/>
        <v>2.1809087047795134E-2</v>
      </c>
      <c r="Q201" s="3">
        <f t="shared" si="137"/>
        <v>2.1809087047795134E-2</v>
      </c>
      <c r="R201" s="3">
        <f t="shared" si="137"/>
        <v>2.1809087047795134E-2</v>
      </c>
      <c r="S201" s="3">
        <f t="shared" si="137"/>
        <v>2.1809087047795134E-2</v>
      </c>
      <c r="T201" s="3">
        <f t="shared" si="137"/>
        <v>2.1809087047795134E-2</v>
      </c>
      <c r="U201" s="3">
        <f t="shared" si="137"/>
        <v>2.1809087047795123E-2</v>
      </c>
      <c r="V201" s="3">
        <f t="shared" si="137"/>
        <v>2.1809087047795019E-2</v>
      </c>
      <c r="W201" s="3">
        <f t="shared" si="137"/>
        <v>2.1809087047793975E-2</v>
      </c>
      <c r="X201" s="3">
        <f t="shared" si="137"/>
        <v>2.1809087047783525E-2</v>
      </c>
      <c r="Y201" s="3">
        <f t="shared" si="137"/>
        <v>2.180908704767905E-2</v>
      </c>
      <c r="Z201" s="3">
        <f t="shared" si="137"/>
        <v>2.1809087046634281E-2</v>
      </c>
      <c r="AA201" s="3">
        <f t="shared" si="137"/>
        <v>2.1809087036186628E-2</v>
      </c>
      <c r="AB201" s="3">
        <f t="shared" si="137"/>
        <v>2.1809086931710076E-2</v>
      </c>
      <c r="AC201" s="3">
        <f t="shared" si="137"/>
        <v>2.1809085886944558E-2</v>
      </c>
      <c r="AD201" s="3">
        <f t="shared" si="137"/>
        <v>2.1809075439292135E-2</v>
      </c>
      <c r="AE201" s="3">
        <f t="shared" si="137"/>
        <v>2.1808970963043201E-2</v>
      </c>
      <c r="AF201" s="3">
        <f t="shared" si="137"/>
        <v>2.1807926228080563E-2</v>
      </c>
      <c r="AG201" s="3"/>
      <c r="AH201" s="3"/>
    </row>
    <row r="202" spans="1:34" x14ac:dyDescent="0.25">
      <c r="A202" s="79">
        <f>AVERAGE(B202:AF202)</f>
        <v>5.4574615210939148E-3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1.1509168056138816E-2</v>
      </c>
      <c r="M202" s="80">
        <f t="shared" si="138"/>
        <v>1.1397974047265898E-2</v>
      </c>
      <c r="N202" s="80">
        <f t="shared" si="138"/>
        <v>1.1383532626025558E-2</v>
      </c>
      <c r="O202" s="80">
        <f t="shared" si="138"/>
        <v>1.2115484398406876E-2</v>
      </c>
      <c r="P202" s="80">
        <f t="shared" si="138"/>
        <v>1.1475637887111043E-2</v>
      </c>
      <c r="Q202" s="80">
        <f t="shared" si="138"/>
        <v>1.2149593702019283E-2</v>
      </c>
      <c r="R202" s="80">
        <f t="shared" si="138"/>
        <v>1.2515900374531305E-2</v>
      </c>
      <c r="S202" s="80">
        <f t="shared" si="138"/>
        <v>1.0635135092641312E-2</v>
      </c>
      <c r="T202" s="80">
        <f t="shared" si="138"/>
        <v>3.5221002852284834E-3</v>
      </c>
      <c r="U202" s="80">
        <f t="shared" si="138"/>
        <v>2.7593304826034715E-2</v>
      </c>
      <c r="V202" s="80">
        <f t="shared" si="138"/>
        <v>4.4883475858508069E-2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841364.08221490099</v>
      </c>
      <c r="C203" s="21">
        <f t="shared" ref="C203:AF203" si="139">(C170-C169)^2</f>
        <v>332146.71875643585</v>
      </c>
      <c r="D203" s="21">
        <f t="shared" si="139"/>
        <v>145002.57984297638</v>
      </c>
      <c r="E203" s="21">
        <f t="shared" si="139"/>
        <v>35498.462675939983</v>
      </c>
      <c r="F203" s="21">
        <f t="shared" si="139"/>
        <v>1039.4523596996967</v>
      </c>
      <c r="G203" s="21">
        <f t="shared" si="139"/>
        <v>12544.910526222064</v>
      </c>
      <c r="H203" s="21">
        <f t="shared" si="139"/>
        <v>14350.689672218779</v>
      </c>
      <c r="I203" s="21">
        <f t="shared" si="139"/>
        <v>11261.896928487271</v>
      </c>
      <c r="J203" s="21">
        <f t="shared" si="139"/>
        <v>10294.677058380787</v>
      </c>
      <c r="K203" s="21">
        <f t="shared" si="139"/>
        <v>9702.8690732017931</v>
      </c>
      <c r="L203" s="21">
        <f t="shared" si="139"/>
        <v>8700.8923644280076</v>
      </c>
      <c r="M203" s="21">
        <f t="shared" si="139"/>
        <v>7779.7815105606505</v>
      </c>
      <c r="N203" s="21">
        <f t="shared" si="139"/>
        <v>7013.2823730149848</v>
      </c>
      <c r="O203" s="21">
        <f t="shared" si="139"/>
        <v>7252.9781949388407</v>
      </c>
      <c r="P203" s="21">
        <f t="shared" si="139"/>
        <v>5983.105527681917</v>
      </c>
      <c r="Q203" s="21">
        <f t="shared" si="139"/>
        <v>6143.2054235074156</v>
      </c>
      <c r="R203" s="21">
        <f t="shared" si="139"/>
        <v>5940.2353359453546</v>
      </c>
      <c r="S203" s="21">
        <f t="shared" si="139"/>
        <v>3889.9252289246333</v>
      </c>
      <c r="T203" s="21">
        <f t="shared" si="139"/>
        <v>374.86684155358842</v>
      </c>
      <c r="U203" s="21">
        <f t="shared" si="139"/>
        <v>18581.030642862072</v>
      </c>
      <c r="V203" s="21">
        <f t="shared" si="139"/>
        <v>37297.47986667751</v>
      </c>
      <c r="W203" s="21">
        <f t="shared" si="139"/>
        <v>24104.254806337594</v>
      </c>
      <c r="X203" s="21">
        <f t="shared" si="139"/>
        <v>7803.2264239144379</v>
      </c>
      <c r="Y203" s="21">
        <f t="shared" si="139"/>
        <v>3111.611899319259</v>
      </c>
      <c r="Z203" s="21">
        <f t="shared" si="139"/>
        <v>7.8358289449212979</v>
      </c>
      <c r="AA203" s="21">
        <f t="shared" si="139"/>
        <v>2950.4413216820121</v>
      </c>
      <c r="AB203" s="21">
        <f t="shared" si="139"/>
        <v>19.209405916490613</v>
      </c>
      <c r="AC203" s="21">
        <f t="shared" si="139"/>
        <v>83.52833125569272</v>
      </c>
      <c r="AD203" s="21">
        <f t="shared" si="139"/>
        <v>15.268316558792495</v>
      </c>
      <c r="AE203" s="21">
        <f t="shared" si="139"/>
        <v>8.7752421422791631</v>
      </c>
      <c r="AF203" s="21">
        <f t="shared" si="139"/>
        <v>6.4640114632843818E-2</v>
      </c>
      <c r="AG203" s="3"/>
      <c r="AH203" s="3"/>
    </row>
    <row r="204" spans="1:34" x14ac:dyDescent="0.25">
      <c r="A204" s="71">
        <f>SUM(B204:AF204)</f>
        <v>108956.78331009496</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8700.8923644280076</v>
      </c>
      <c r="M204" s="60">
        <f t="shared" ref="M204" si="150">IF($A$64&lt;=M168,IF($B$64&gt;=M168,ABS(M203),0),0)</f>
        <v>7779.7815105606505</v>
      </c>
      <c r="N204" s="60">
        <f t="shared" ref="N204" si="151">IF($A$64&lt;=N168,IF($B$64&gt;=N168,ABS(N203),0),0)</f>
        <v>7013.2823730149848</v>
      </c>
      <c r="O204" s="60">
        <f t="shared" ref="O204" si="152">IF($A$64&lt;=O168,IF($B$64&gt;=O168,ABS(O203),0),0)</f>
        <v>7252.9781949388407</v>
      </c>
      <c r="P204" s="60">
        <f t="shared" ref="P204" si="153">IF($A$64&lt;=P168,IF($B$64&gt;=P168,ABS(P203),0),0)</f>
        <v>5983.105527681917</v>
      </c>
      <c r="Q204" s="60">
        <f t="shared" ref="Q204" si="154">IF($A$64&lt;=Q168,IF($B$64&gt;=Q168,ABS(Q203),0),0)</f>
        <v>6143.2054235074156</v>
      </c>
      <c r="R204" s="60">
        <f t="shared" ref="R204" si="155">IF($A$64&lt;=R168,IF($B$64&gt;=R168,ABS(R203),0),0)</f>
        <v>5940.2353359453546</v>
      </c>
      <c r="S204" s="60">
        <f t="shared" ref="S204" si="156">IF($A$64&lt;=S168,IF($B$64&gt;=S168,ABS(S203),0),0)</f>
        <v>3889.9252289246333</v>
      </c>
      <c r="T204" s="60">
        <f t="shared" ref="T204" si="157">IF($A$64&lt;=T168,IF($B$64&gt;=T168,ABS(T203),0),0)</f>
        <v>374.86684155358842</v>
      </c>
      <c r="U204" s="60">
        <f t="shared" ref="U204" si="158">IF($A$64&lt;=U168,IF($B$64&gt;=U168,ABS(U203),0),0)</f>
        <v>18581.030642862072</v>
      </c>
      <c r="V204" s="60">
        <f t="shared" ref="V204" si="159">IF($A$64&lt;=V168,IF($B$64&gt;=V168,ABS(V203),0),0)</f>
        <v>37297.47986667751</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9764.0239678721773</v>
      </c>
      <c r="C209" s="27">
        <f t="shared" ref="C209:AF209" si="170">($C$17+SUM(C210:C240))*$B$51</f>
        <v>9763.2018309145042</v>
      </c>
      <c r="D209" s="27">
        <f t="shared" si="170"/>
        <v>9755.0527430634356</v>
      </c>
      <c r="E209" s="27">
        <f t="shared" si="170"/>
        <v>9680.3642213898438</v>
      </c>
      <c r="F209" s="27">
        <f t="shared" si="170"/>
        <v>9330.9490125239281</v>
      </c>
      <c r="G209" s="27">
        <f t="shared" si="170"/>
        <v>9090.7496347459164</v>
      </c>
      <c r="H209" s="27">
        <f t="shared" si="170"/>
        <v>8810.7150992719216</v>
      </c>
      <c r="I209" s="27">
        <f t="shared" si="170"/>
        <v>8538.4282747696307</v>
      </c>
      <c r="J209" s="27">
        <f t="shared" si="170"/>
        <v>8273.0381985106123</v>
      </c>
      <c r="K209" s="27">
        <f t="shared" si="170"/>
        <v>7961.8270818961564</v>
      </c>
      <c r="L209" s="27">
        <f t="shared" si="170"/>
        <v>7595.0174942910935</v>
      </c>
      <c r="M209" s="27">
        <f t="shared" si="170"/>
        <v>7223.8345963284182</v>
      </c>
      <c r="N209" s="27">
        <f t="shared" si="170"/>
        <v>6906.9313280977449</v>
      </c>
      <c r="O209" s="27">
        <f t="shared" si="170"/>
        <v>6626.4034077392007</v>
      </c>
      <c r="P209" s="27">
        <f t="shared" si="170"/>
        <v>6335.5580960476473</v>
      </c>
      <c r="Q209" s="27">
        <f t="shared" si="170"/>
        <v>6048.5387797193162</v>
      </c>
      <c r="R209" s="27">
        <f t="shared" si="170"/>
        <v>5765.6537298774429</v>
      </c>
      <c r="S209" s="27">
        <f t="shared" si="170"/>
        <v>5436.5038256778025</v>
      </c>
      <c r="T209" s="27">
        <f t="shared" si="170"/>
        <v>5015.2019084756057</v>
      </c>
      <c r="U209" s="27">
        <f t="shared" si="170"/>
        <v>4422.7120367673906</v>
      </c>
      <c r="V209" s="27">
        <f t="shared" si="170"/>
        <v>3773.0599120531447</v>
      </c>
      <c r="W209" s="27">
        <f t="shared" si="170"/>
        <v>3141.2477046804033</v>
      </c>
      <c r="X209" s="27">
        <f t="shared" si="170"/>
        <v>2544.3985940290422</v>
      </c>
      <c r="Y209" s="27">
        <f t="shared" si="170"/>
        <v>1931.2000295315604</v>
      </c>
      <c r="Z209" s="27">
        <f t="shared" si="170"/>
        <v>1444.0788314801071</v>
      </c>
      <c r="AA209" s="27">
        <f t="shared" si="170"/>
        <v>1020.3945997249127</v>
      </c>
      <c r="AB209" s="27">
        <f t="shared" si="170"/>
        <v>776.04487903655354</v>
      </c>
      <c r="AC209" s="27">
        <f t="shared" si="170"/>
        <v>638.45564775033267</v>
      </c>
      <c r="AD209" s="27">
        <f t="shared" si="170"/>
        <v>576.39162045376565</v>
      </c>
      <c r="AE209" s="27">
        <f t="shared" si="170"/>
        <v>539.27002941200874</v>
      </c>
      <c r="AF209" s="27">
        <f t="shared" si="170"/>
        <v>517.58217424954978</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4.3977738706027135E-2</v>
      </c>
      <c r="C211" s="3">
        <f t="shared" si="172"/>
        <v>4.3904412070820804E-2</v>
      </c>
      <c r="D211" s="3">
        <f t="shared" si="172"/>
        <v>4.3177836591152971E-2</v>
      </c>
      <c r="E211" s="3">
        <f t="shared" si="172"/>
        <v>3.6541637402169654E-2</v>
      </c>
      <c r="F211" s="3">
        <f t="shared" si="172"/>
        <v>6.8874626776134849E-3</v>
      </c>
      <c r="G211" s="3">
        <f t="shared" si="172"/>
        <v>3.8973714975064869E-10</v>
      </c>
      <c r="H211" s="3">
        <f t="shared" si="172"/>
        <v>1.3118895335419445E-82</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1.7074626906776483E-2</v>
      </c>
      <c r="C212" s="3">
        <f t="shared" si="173"/>
        <v>1.7072056769610221E-2</v>
      </c>
      <c r="D212" s="3">
        <f t="shared" si="173"/>
        <v>1.7046376666012178E-2</v>
      </c>
      <c r="E212" s="3">
        <f t="shared" si="173"/>
        <v>1.6791690638154326E-2</v>
      </c>
      <c r="F212" s="3">
        <f t="shared" si="173"/>
        <v>1.4445010518571893E-2</v>
      </c>
      <c r="G212" s="3">
        <f t="shared" si="173"/>
        <v>3.2059167640160328E-3</v>
      </c>
      <c r="H212" s="3">
        <f t="shared" si="173"/>
        <v>9.2959984568444885E-10</v>
      </c>
      <c r="I212" s="3">
        <f t="shared" si="173"/>
        <v>3.9060162681556572E-75</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3.0713918578410389E-2</v>
      </c>
      <c r="C213" s="3">
        <f t="shared" si="174"/>
        <v>3.0713501501029354E-2</v>
      </c>
      <c r="D213" s="3">
        <f t="shared" si="174"/>
        <v>3.0709331038708283E-2</v>
      </c>
      <c r="E213" s="3">
        <f t="shared" si="174"/>
        <v>3.0667657548776352E-2</v>
      </c>
      <c r="F213" s="3">
        <f t="shared" si="174"/>
        <v>3.0254020391322533E-2</v>
      </c>
      <c r="G213" s="3">
        <f t="shared" si="174"/>
        <v>2.6412408013893184E-2</v>
      </c>
      <c r="H213" s="3">
        <f t="shared" si="174"/>
        <v>6.7929281388827163E-3</v>
      </c>
      <c r="I213" s="3">
        <f t="shared" si="174"/>
        <v>8.6009663335004388E-9</v>
      </c>
      <c r="J213" s="3">
        <f t="shared" si="174"/>
        <v>9.1085557749820748E-68</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2.5231516410361483E-2</v>
      </c>
      <c r="C214" s="3">
        <f t="shared" si="175"/>
        <v>2.523148550213861E-2</v>
      </c>
      <c r="D214" s="3">
        <f t="shared" si="175"/>
        <v>2.5231176421992303E-2</v>
      </c>
      <c r="E214" s="3">
        <f t="shared" si="175"/>
        <v>2.5228085828760585E-2</v>
      </c>
      <c r="F214" s="3">
        <f t="shared" si="175"/>
        <v>2.5197200710144127E-2</v>
      </c>
      <c r="G214" s="3">
        <f t="shared" si="175"/>
        <v>2.4890421491186403E-2</v>
      </c>
      <c r="H214" s="3">
        <f t="shared" si="175"/>
        <v>2.2020734794860622E-2</v>
      </c>
      <c r="I214" s="3">
        <f t="shared" si="175"/>
        <v>6.4688541958890251E-3</v>
      </c>
      <c r="J214" s="3">
        <f t="shared" si="175"/>
        <v>3.0958714709958685E-8</v>
      </c>
      <c r="K214" s="3">
        <f t="shared" si="175"/>
        <v>1.9513650308065816E-61</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2.504316541949702E-2</v>
      </c>
      <c r="C215" s="3">
        <f t="shared" si="176"/>
        <v>2.5043162652130142E-2</v>
      </c>
      <c r="D215" s="3">
        <f t="shared" si="176"/>
        <v>2.5043134978478227E-2</v>
      </c>
      <c r="E215" s="3">
        <f t="shared" si="176"/>
        <v>2.504285824364098E-2</v>
      </c>
      <c r="F215" s="3">
        <f t="shared" si="176"/>
        <v>2.5040091063453496E-2</v>
      </c>
      <c r="G215" s="3">
        <f t="shared" si="176"/>
        <v>2.5012436073204497E-2</v>
      </c>
      <c r="H215" s="3">
        <f t="shared" si="176"/>
        <v>2.4737560479893832E-2</v>
      </c>
      <c r="I215" s="3">
        <f t="shared" si="176"/>
        <v>2.2149587484462711E-2</v>
      </c>
      <c r="J215" s="3">
        <f t="shared" si="176"/>
        <v>7.3358995387608492E-3</v>
      </c>
      <c r="K215" s="3">
        <f t="shared" si="176"/>
        <v>1.1650128213929479E-7</v>
      </c>
      <c r="L215" s="3">
        <f t="shared" si="176"/>
        <v>1.1887868757908336E-55</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3.1858465461507356E-2</v>
      </c>
      <c r="C216" s="3">
        <f t="shared" si="177"/>
        <v>3.1858465143930398E-2</v>
      </c>
      <c r="D216" s="3">
        <f t="shared" si="177"/>
        <v>3.1858461968161014E-2</v>
      </c>
      <c r="E216" s="3">
        <f t="shared" si="177"/>
        <v>3.1858430210484567E-2</v>
      </c>
      <c r="F216" s="3">
        <f t="shared" si="177"/>
        <v>3.1858112635461212E-2</v>
      </c>
      <c r="G216" s="3">
        <f t="shared" si="177"/>
        <v>3.1854937059335377E-2</v>
      </c>
      <c r="H216" s="3">
        <f t="shared" si="177"/>
        <v>3.1823198702428238E-2</v>
      </c>
      <c r="I216" s="3">
        <f t="shared" si="177"/>
        <v>3.1507549166320467E-2</v>
      </c>
      <c r="J216" s="3">
        <f t="shared" si="177"/>
        <v>2.8518228448559703E-2</v>
      </c>
      <c r="K216" s="3">
        <f t="shared" si="177"/>
        <v>1.0524506821524579E-2</v>
      </c>
      <c r="L216" s="3">
        <f t="shared" si="177"/>
        <v>4.9316682791158124E-7</v>
      </c>
      <c r="M216" s="3">
        <f t="shared" si="177"/>
        <v>2.5171835508931293E-50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3.8271853445654945E-2</v>
      </c>
      <c r="C217" s="3">
        <f t="shared" si="178"/>
        <v>3.8271853411239745E-2</v>
      </c>
      <c r="D217" s="3">
        <f t="shared" si="178"/>
        <v>3.8271853067087816E-2</v>
      </c>
      <c r="E217" s="3">
        <f t="shared" si="178"/>
        <v>3.8271849625568649E-2</v>
      </c>
      <c r="F217" s="3">
        <f t="shared" si="178"/>
        <v>3.8271815210393988E-2</v>
      </c>
      <c r="G217" s="3">
        <f t="shared" si="178"/>
        <v>3.8271471060349505E-2</v>
      </c>
      <c r="H217" s="3">
        <f t="shared" si="178"/>
        <v>3.8268029730107789E-2</v>
      </c>
      <c r="I217" s="3">
        <f t="shared" si="178"/>
        <v>3.8233633442343297E-2</v>
      </c>
      <c r="J217" s="3">
        <f t="shared" si="178"/>
        <v>3.7891366382521927E-2</v>
      </c>
      <c r="K217" s="3">
        <f t="shared" si="178"/>
        <v>3.4632768481263301E-2</v>
      </c>
      <c r="L217" s="3">
        <f t="shared" si="178"/>
        <v>1.4091481077417469E-2</v>
      </c>
      <c r="M217" s="3">
        <f t="shared" si="178"/>
        <v>1.7524714970482893E-6</v>
      </c>
      <c r="N217" s="3">
        <f t="shared" si="178"/>
        <v>1.5509370706605761E-45</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3.6033705300425441E-2</v>
      </c>
      <c r="C218" s="3">
        <f t="shared" si="179"/>
        <v>3.6033705297502459E-2</v>
      </c>
      <c r="D218" s="3">
        <f t="shared" si="179"/>
        <v>3.6033705268272632E-2</v>
      </c>
      <c r="E218" s="3">
        <f t="shared" si="179"/>
        <v>3.603370497597437E-2</v>
      </c>
      <c r="F218" s="3">
        <f t="shared" si="179"/>
        <v>3.6033702052991883E-2</v>
      </c>
      <c r="G218" s="3">
        <f t="shared" si="179"/>
        <v>3.6033672823180041E-2</v>
      </c>
      <c r="H218" s="3">
        <f t="shared" si="179"/>
        <v>3.6033380526365767E-2</v>
      </c>
      <c r="I218" s="3">
        <f t="shared" si="179"/>
        <v>3.603045768862722E-2</v>
      </c>
      <c r="J218" s="3">
        <f t="shared" si="179"/>
        <v>3.6001242347753946E-2</v>
      </c>
      <c r="K218" s="3">
        <f t="shared" si="179"/>
        <v>3.5710388685980532E-2</v>
      </c>
      <c r="L218" s="3">
        <f t="shared" si="179"/>
        <v>3.2928008950203119E-2</v>
      </c>
      <c r="M218" s="3">
        <f t="shared" si="179"/>
        <v>1.4631013461827382E-2</v>
      </c>
      <c r="N218" s="3">
        <f t="shared" si="179"/>
        <v>4.3889819787212531E-6</v>
      </c>
      <c r="O218" s="3">
        <f t="shared" si="179"/>
        <v>2.5897490048285273E-41</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2.691816643452145E-2</v>
      </c>
      <c r="C219" s="3">
        <f t="shared" si="180"/>
        <v>2.6918166434324476E-2</v>
      </c>
      <c r="D219" s="3">
        <f t="shared" si="180"/>
        <v>2.6918166432354736E-2</v>
      </c>
      <c r="E219" s="3">
        <f t="shared" si="180"/>
        <v>2.6918166412657311E-2</v>
      </c>
      <c r="F219" s="3">
        <f t="shared" si="180"/>
        <v>2.69181662156831E-2</v>
      </c>
      <c r="G219" s="3">
        <f t="shared" si="180"/>
        <v>2.691816424594104E-2</v>
      </c>
      <c r="H219" s="3">
        <f t="shared" si="180"/>
        <v>2.6918144548528387E-2</v>
      </c>
      <c r="I219" s="3">
        <f t="shared" si="180"/>
        <v>2.6917947575194601E-2</v>
      </c>
      <c r="J219" s="3">
        <f t="shared" si="180"/>
        <v>2.6915977921129316E-2</v>
      </c>
      <c r="K219" s="3">
        <f t="shared" si="180"/>
        <v>2.6896289305586994E-2</v>
      </c>
      <c r="L219" s="3">
        <f t="shared" si="180"/>
        <v>2.6700193519701213E-2</v>
      </c>
      <c r="M219" s="3">
        <f t="shared" si="180"/>
        <v>2.4816173944358463E-2</v>
      </c>
      <c r="N219" s="3">
        <f t="shared" si="180"/>
        <v>1.1938203552596643E-2</v>
      </c>
      <c r="O219" s="3">
        <f t="shared" si="180"/>
        <v>7.9246580122214799E-6</v>
      </c>
      <c r="P219" s="3">
        <f t="shared" si="180"/>
        <v>1.3164247150840237E-37</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2.731606625034504E-2</v>
      </c>
      <c r="C220" s="3">
        <f t="shared" si="181"/>
        <v>2.7316066250327013E-2</v>
      </c>
      <c r="D220" s="3">
        <f t="shared" si="181"/>
        <v>2.7316066250146695E-2</v>
      </c>
      <c r="E220" s="3">
        <f t="shared" si="181"/>
        <v>2.7316066248343561E-2</v>
      </c>
      <c r="F220" s="3">
        <f t="shared" si="181"/>
        <v>2.7316066230312193E-2</v>
      </c>
      <c r="G220" s="3">
        <f t="shared" si="181"/>
        <v>2.7316066049998526E-2</v>
      </c>
      <c r="H220" s="3">
        <f t="shared" si="181"/>
        <v>2.73160642468619E-2</v>
      </c>
      <c r="I220" s="3">
        <f t="shared" si="181"/>
        <v>2.731604621550222E-2</v>
      </c>
      <c r="J220" s="3">
        <f t="shared" si="181"/>
        <v>2.7315865902560046E-2</v>
      </c>
      <c r="K220" s="3">
        <f t="shared" si="181"/>
        <v>2.7314062838600415E-2</v>
      </c>
      <c r="L220" s="3">
        <f t="shared" si="181"/>
        <v>2.7296038743617319E-2</v>
      </c>
      <c r="M220" s="3">
        <f t="shared" si="181"/>
        <v>2.7116450659486757E-2</v>
      </c>
      <c r="N220" s="3">
        <f t="shared" si="181"/>
        <v>2.5384289609517195E-2</v>
      </c>
      <c r="O220" s="3">
        <f t="shared" si="181"/>
        <v>1.3118576847954288E-2</v>
      </c>
      <c r="P220" s="3">
        <f t="shared" si="181"/>
        <v>1.7828049077542743E-5</v>
      </c>
      <c r="Q220" s="3">
        <f t="shared" si="181"/>
        <v>3.8306704661406034E-34</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2.9609291080510934E-2</v>
      </c>
      <c r="C221" s="3">
        <f t="shared" si="182"/>
        <v>2.9609291080509172E-2</v>
      </c>
      <c r="D221" s="3">
        <f t="shared" si="182"/>
        <v>2.9609291080491543E-2</v>
      </c>
      <c r="E221" s="3">
        <f t="shared" si="182"/>
        <v>2.960929108031523E-2</v>
      </c>
      <c r="F221" s="3">
        <f t="shared" si="182"/>
        <v>2.9609291078552098E-2</v>
      </c>
      <c r="G221" s="3">
        <f t="shared" si="182"/>
        <v>2.9609291060920764E-2</v>
      </c>
      <c r="H221" s="3">
        <f t="shared" si="182"/>
        <v>2.9609290884607457E-2</v>
      </c>
      <c r="I221" s="3">
        <f t="shared" si="182"/>
        <v>2.9609289121474439E-2</v>
      </c>
      <c r="J221" s="3">
        <f t="shared" si="182"/>
        <v>2.9609271490150014E-2</v>
      </c>
      <c r="K221" s="3">
        <f t="shared" si="182"/>
        <v>2.96090951774832E-2</v>
      </c>
      <c r="L221" s="3">
        <f t="shared" si="182"/>
        <v>2.9607332108557403E-2</v>
      </c>
      <c r="M221" s="3">
        <f t="shared" si="182"/>
        <v>2.9589707192259555E-2</v>
      </c>
      <c r="N221" s="3">
        <f t="shared" si="182"/>
        <v>2.941403405540427E-2</v>
      </c>
      <c r="O221" s="3">
        <f t="shared" si="182"/>
        <v>2.7713656145162715E-2</v>
      </c>
      <c r="P221" s="3">
        <f t="shared" si="182"/>
        <v>1.5278691327884467E-2</v>
      </c>
      <c r="Q221" s="3">
        <f t="shared" si="182"/>
        <v>3.962866894112458E-5</v>
      </c>
      <c r="R221" s="3">
        <f t="shared" si="182"/>
        <v>5.4606302280065058E-31</v>
      </c>
      <c r="S221" s="3">
        <f t="shared" si="182"/>
        <v>1.3476453080512992E-289</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2.5103127911926239E-2</v>
      </c>
      <c r="C222" s="3">
        <f t="shared" si="183"/>
        <v>2.5103127911926103E-2</v>
      </c>
      <c r="D222" s="3">
        <f t="shared" si="183"/>
        <v>2.5103127911924754E-2</v>
      </c>
      <c r="E222" s="3">
        <f t="shared" si="183"/>
        <v>2.5103127911911268E-2</v>
      </c>
      <c r="F222" s="3">
        <f t="shared" si="183"/>
        <v>2.5103127911776425E-2</v>
      </c>
      <c r="G222" s="3">
        <f t="shared" si="183"/>
        <v>2.5103127910427986E-2</v>
      </c>
      <c r="H222" s="3">
        <f t="shared" si="183"/>
        <v>2.5103127896943588E-2</v>
      </c>
      <c r="I222" s="3">
        <f t="shared" si="183"/>
        <v>2.5103127762099622E-2</v>
      </c>
      <c r="J222" s="3">
        <f t="shared" si="183"/>
        <v>2.5103126413660016E-2</v>
      </c>
      <c r="K222" s="3">
        <f t="shared" si="183"/>
        <v>2.5103112929267909E-2</v>
      </c>
      <c r="L222" s="3">
        <f t="shared" si="183"/>
        <v>2.5102978085745211E-2</v>
      </c>
      <c r="M222" s="3">
        <f t="shared" si="183"/>
        <v>2.5101629690355381E-2</v>
      </c>
      <c r="N222" s="3">
        <f t="shared" si="183"/>
        <v>2.5088149719380712E-2</v>
      </c>
      <c r="O222" s="3">
        <f t="shared" si="183"/>
        <v>2.4953747511529765E-2</v>
      </c>
      <c r="P222" s="3">
        <f t="shared" si="183"/>
        <v>2.364869681374766E-2</v>
      </c>
      <c r="Q222" s="3">
        <f t="shared" si="183"/>
        <v>1.3820430891133901E-2</v>
      </c>
      <c r="R222" s="3">
        <f t="shared" si="183"/>
        <v>6.4219258233326679E-5</v>
      </c>
      <c r="S222" s="3">
        <f t="shared" si="183"/>
        <v>3.0137158214302123E-28</v>
      </c>
      <c r="T222" s="3">
        <f t="shared" si="183"/>
        <v>1.5612499216269648E-261</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2.985290056573784E-2</v>
      </c>
      <c r="C223" s="3">
        <f t="shared" si="184"/>
        <v>2.9852900565737823E-2</v>
      </c>
      <c r="D223" s="3">
        <f t="shared" si="184"/>
        <v>2.9852900565737681E-2</v>
      </c>
      <c r="E223" s="3">
        <f t="shared" si="184"/>
        <v>2.9852900565736234E-2</v>
      </c>
      <c r="F223" s="3">
        <f t="shared" si="184"/>
        <v>2.9852900565721766E-2</v>
      </c>
      <c r="G223" s="3">
        <f t="shared" si="184"/>
        <v>2.9852900565577111E-2</v>
      </c>
      <c r="H223" s="3">
        <f t="shared" si="184"/>
        <v>2.9852900564130549E-2</v>
      </c>
      <c r="I223" s="3">
        <f t="shared" si="184"/>
        <v>2.985290054966494E-2</v>
      </c>
      <c r="J223" s="3">
        <f t="shared" si="184"/>
        <v>2.9852900405008823E-2</v>
      </c>
      <c r="K223" s="3">
        <f t="shared" si="184"/>
        <v>2.9852898958447699E-2</v>
      </c>
      <c r="L223" s="3">
        <f t="shared" si="184"/>
        <v>2.9852884492840338E-2</v>
      </c>
      <c r="M223" s="3">
        <f t="shared" si="184"/>
        <v>2.9852739837152215E-2</v>
      </c>
      <c r="N223" s="3">
        <f t="shared" si="184"/>
        <v>2.9851293318822462E-2</v>
      </c>
      <c r="O223" s="3">
        <f t="shared" si="184"/>
        <v>2.983683198998232E-2</v>
      </c>
      <c r="P223" s="3">
        <f t="shared" si="184"/>
        <v>2.9692603457152814E-2</v>
      </c>
      <c r="Q223" s="3">
        <f t="shared" si="184"/>
        <v>2.8288112714043825E-2</v>
      </c>
      <c r="R223" s="3">
        <f t="shared" si="184"/>
        <v>1.742452420837368E-2</v>
      </c>
      <c r="S223" s="3">
        <f t="shared" si="184"/>
        <v>1.3700312449186714E-4</v>
      </c>
      <c r="T223" s="3">
        <f t="shared" si="184"/>
        <v>1.2371601089920067E-25</v>
      </c>
      <c r="U223" s="3">
        <f t="shared" si="184"/>
        <v>4.4604663965149206E-236</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3.2229654464622864E-2</v>
      </c>
      <c r="C224" s="3">
        <f t="shared" si="185"/>
        <v>3.2229654464622864E-2</v>
      </c>
      <c r="D224" s="3">
        <f t="shared" si="185"/>
        <v>3.2229654464622851E-2</v>
      </c>
      <c r="E224" s="3">
        <f t="shared" si="185"/>
        <v>3.2229654464622705E-2</v>
      </c>
      <c r="F224" s="3">
        <f t="shared" si="185"/>
        <v>3.2229654464621303E-2</v>
      </c>
      <c r="G224" s="3">
        <f t="shared" si="185"/>
        <v>3.222965446460721E-2</v>
      </c>
      <c r="H224" s="3">
        <f t="shared" si="185"/>
        <v>3.222965446446633E-2</v>
      </c>
      <c r="I224" s="3">
        <f t="shared" si="185"/>
        <v>3.2229654463057519E-2</v>
      </c>
      <c r="J224" s="3">
        <f t="shared" si="185"/>
        <v>3.2229654448969421E-2</v>
      </c>
      <c r="K224" s="3">
        <f t="shared" si="185"/>
        <v>3.2229654308088392E-2</v>
      </c>
      <c r="L224" s="3">
        <f t="shared" si="185"/>
        <v>3.2229652899278163E-2</v>
      </c>
      <c r="M224" s="3">
        <f t="shared" si="185"/>
        <v>3.2229638811179268E-2</v>
      </c>
      <c r="N224" s="3">
        <f t="shared" si="185"/>
        <v>3.2229497930529032E-2</v>
      </c>
      <c r="O224" s="3">
        <f t="shared" si="185"/>
        <v>3.2228089157895809E-2</v>
      </c>
      <c r="P224" s="3">
        <f t="shared" si="185"/>
        <v>3.2214004817930492E-2</v>
      </c>
      <c r="Q224" s="3">
        <f t="shared" si="185"/>
        <v>3.2073499507922321E-2</v>
      </c>
      <c r="R224" s="3">
        <f t="shared" si="185"/>
        <v>3.0701714904357892E-2</v>
      </c>
      <c r="S224" s="3">
        <f t="shared" si="185"/>
        <v>1.9830127208923142E-2</v>
      </c>
      <c r="T224" s="3">
        <f t="shared" si="185"/>
        <v>2.5058447274169132E-4</v>
      </c>
      <c r="U224" s="3">
        <f t="shared" si="185"/>
        <v>2.6016011920881463E-23</v>
      </c>
      <c r="V224" s="3">
        <f t="shared" si="185"/>
        <v>3.7853529877099358E-213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5.4487827383483636E-2</v>
      </c>
      <c r="C225" s="3">
        <f t="shared" si="186"/>
        <v>5.4487827383483636E-2</v>
      </c>
      <c r="D225" s="3">
        <f t="shared" si="186"/>
        <v>5.4487827383483636E-2</v>
      </c>
      <c r="E225" s="3">
        <f t="shared" si="186"/>
        <v>5.4487827383483615E-2</v>
      </c>
      <c r="F225" s="3">
        <f t="shared" si="186"/>
        <v>5.44878273834834E-2</v>
      </c>
      <c r="G225" s="3">
        <f t="shared" si="186"/>
        <v>5.4487827383481249E-2</v>
      </c>
      <c r="H225" s="3">
        <f t="shared" si="186"/>
        <v>5.4487827383459767E-2</v>
      </c>
      <c r="I225" s="3">
        <f t="shared" si="186"/>
        <v>5.4487827383244911E-2</v>
      </c>
      <c r="J225" s="3">
        <f t="shared" si="186"/>
        <v>5.4487827381096372E-2</v>
      </c>
      <c r="K225" s="3">
        <f t="shared" si="186"/>
        <v>5.4487827359610996E-2</v>
      </c>
      <c r="L225" s="3">
        <f t="shared" si="186"/>
        <v>5.4487827144757243E-2</v>
      </c>
      <c r="M225" s="3">
        <f t="shared" si="186"/>
        <v>5.4487824996219784E-2</v>
      </c>
      <c r="N225" s="3">
        <f t="shared" si="186"/>
        <v>5.448780351084985E-2</v>
      </c>
      <c r="O225" s="3">
        <f t="shared" si="186"/>
        <v>5.4487588657616423E-2</v>
      </c>
      <c r="P225" s="3">
        <f t="shared" si="186"/>
        <v>5.4485440171877439E-2</v>
      </c>
      <c r="Q225" s="3">
        <f t="shared" si="186"/>
        <v>5.4463959973337132E-2</v>
      </c>
      <c r="R225" s="3">
        <f t="shared" si="186"/>
        <v>5.4249623193887521E-2</v>
      </c>
      <c r="S225" s="3">
        <f t="shared" si="186"/>
        <v>5.2152104374295981E-2</v>
      </c>
      <c r="T225" s="3">
        <f t="shared" si="186"/>
        <v>3.5157901826882318E-2</v>
      </c>
      <c r="U225" s="3">
        <f t="shared" si="186"/>
        <v>6.8160704106570561E-4</v>
      </c>
      <c r="V225" s="3">
        <f t="shared" si="186"/>
        <v>5.112640522531267E-21</v>
      </c>
      <c r="W225" s="3">
        <f t="shared" si="186"/>
        <v>2.8824192932791907E-192</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6.3046504540403295E-2</v>
      </c>
      <c r="C226" s="3">
        <f t="shared" si="187"/>
        <v>6.3046504540403295E-2</v>
      </c>
      <c r="D226" s="3">
        <f t="shared" si="187"/>
        <v>6.3046504540403295E-2</v>
      </c>
      <c r="E226" s="3">
        <f t="shared" si="187"/>
        <v>6.3046504540403295E-2</v>
      </c>
      <c r="F226" s="3">
        <f t="shared" si="187"/>
        <v>6.3046504540403267E-2</v>
      </c>
      <c r="G226" s="3">
        <f t="shared" si="187"/>
        <v>6.3046504540403045E-2</v>
      </c>
      <c r="H226" s="3">
        <f t="shared" si="187"/>
        <v>6.3046504540400797E-2</v>
      </c>
      <c r="I226" s="3">
        <f t="shared" si="187"/>
        <v>6.304650454037837E-2</v>
      </c>
      <c r="J226" s="3">
        <f t="shared" si="187"/>
        <v>6.3046504540154119E-2</v>
      </c>
      <c r="K226" s="3">
        <f t="shared" si="187"/>
        <v>6.3046504537911524E-2</v>
      </c>
      <c r="L226" s="3">
        <f t="shared" si="187"/>
        <v>6.304650451548556E-2</v>
      </c>
      <c r="M226" s="3">
        <f t="shared" si="187"/>
        <v>6.3046504291225963E-2</v>
      </c>
      <c r="N226" s="3">
        <f t="shared" si="187"/>
        <v>6.3046502048629952E-2</v>
      </c>
      <c r="O226" s="3">
        <f t="shared" si="187"/>
        <v>6.3046479622674317E-2</v>
      </c>
      <c r="P226" s="3">
        <f t="shared" si="187"/>
        <v>6.3046255363556652E-2</v>
      </c>
      <c r="Q226" s="3">
        <f t="shared" si="187"/>
        <v>6.304401281625302E-2</v>
      </c>
      <c r="R226" s="3">
        <f t="shared" si="187"/>
        <v>6.3021591729940374E-2</v>
      </c>
      <c r="S226" s="3">
        <f t="shared" si="187"/>
        <v>6.2797818962386828E-2</v>
      </c>
      <c r="T226" s="3">
        <f t="shared" si="187"/>
        <v>6.0603329707569237E-2</v>
      </c>
      <c r="U226" s="3">
        <f t="shared" si="187"/>
        <v>4.2463495603314708E-2</v>
      </c>
      <c r="V226" s="3">
        <f t="shared" si="187"/>
        <v>1.2111789282230701E-3</v>
      </c>
      <c r="W226" s="3">
        <f t="shared" si="187"/>
        <v>4.3165218753690445E-19</v>
      </c>
      <c r="X226" s="3">
        <f t="shared" si="187"/>
        <v>1.4268895034583949E-173</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6.2829439903481887E-2</v>
      </c>
      <c r="C227" s="3">
        <f t="shared" si="188"/>
        <v>6.2829439903481887E-2</v>
      </c>
      <c r="D227" s="3">
        <f t="shared" si="188"/>
        <v>6.2829439903481887E-2</v>
      </c>
      <c r="E227" s="3">
        <f t="shared" si="188"/>
        <v>6.2829439903481887E-2</v>
      </c>
      <c r="F227" s="3">
        <f t="shared" si="188"/>
        <v>6.2829439903481887E-2</v>
      </c>
      <c r="G227" s="3">
        <f t="shared" si="188"/>
        <v>6.282943990348186E-2</v>
      </c>
      <c r="H227" s="3">
        <f t="shared" si="188"/>
        <v>6.2829439903481665E-2</v>
      </c>
      <c r="I227" s="3">
        <f t="shared" si="188"/>
        <v>6.2829439903479653E-2</v>
      </c>
      <c r="J227" s="3">
        <f t="shared" si="188"/>
        <v>6.2829439903459489E-2</v>
      </c>
      <c r="K227" s="3">
        <f t="shared" si="188"/>
        <v>6.2829439903257886E-2</v>
      </c>
      <c r="L227" s="3">
        <f t="shared" si="188"/>
        <v>6.2829439901241846E-2</v>
      </c>
      <c r="M227" s="3">
        <f t="shared" si="188"/>
        <v>6.2829439881081403E-2</v>
      </c>
      <c r="N227" s="3">
        <f t="shared" si="188"/>
        <v>6.2829439679477087E-2</v>
      </c>
      <c r="O227" s="3">
        <f t="shared" si="188"/>
        <v>6.2829437663434004E-2</v>
      </c>
      <c r="P227" s="3">
        <f t="shared" si="188"/>
        <v>6.2829417503006649E-2</v>
      </c>
      <c r="Q227" s="3">
        <f t="shared" si="188"/>
        <v>6.282921589908888E-2</v>
      </c>
      <c r="R227" s="3">
        <f t="shared" si="188"/>
        <v>6.2827199895490224E-2</v>
      </c>
      <c r="S227" s="3">
        <f t="shared" si="188"/>
        <v>6.2807043416978528E-2</v>
      </c>
      <c r="T227" s="3">
        <f t="shared" si="188"/>
        <v>6.2605833957361426E-2</v>
      </c>
      <c r="U227" s="3">
        <f t="shared" si="188"/>
        <v>6.0628853650987219E-2</v>
      </c>
      <c r="V227" s="3">
        <f t="shared" si="188"/>
        <v>4.3987053810858115E-2</v>
      </c>
      <c r="W227" s="3">
        <f t="shared" si="188"/>
        <v>1.7773790287711518E-3</v>
      </c>
      <c r="X227" s="3">
        <f t="shared" si="188"/>
        <v>2.0622049390019203E-17</v>
      </c>
      <c r="Y227" s="3">
        <f t="shared" si="188"/>
        <v>9.1169491579922464E-157</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5.5245188990655253E-2</v>
      </c>
      <c r="C228" s="3">
        <f t="shared" si="189"/>
        <v>5.5245188990655253E-2</v>
      </c>
      <c r="D228" s="3">
        <f t="shared" si="189"/>
        <v>5.5245188990655253E-2</v>
      </c>
      <c r="E228" s="3">
        <f t="shared" si="189"/>
        <v>5.5245188990655253E-2</v>
      </c>
      <c r="F228" s="3">
        <f t="shared" si="189"/>
        <v>5.5245188990655253E-2</v>
      </c>
      <c r="G228" s="3">
        <f t="shared" si="189"/>
        <v>5.5245188990655253E-2</v>
      </c>
      <c r="H228" s="3">
        <f t="shared" si="189"/>
        <v>5.5245188990655232E-2</v>
      </c>
      <c r="I228" s="3">
        <f t="shared" si="189"/>
        <v>5.5245188990655072E-2</v>
      </c>
      <c r="J228" s="3">
        <f t="shared" si="189"/>
        <v>5.5245188990653477E-2</v>
      </c>
      <c r="K228" s="3">
        <f t="shared" si="189"/>
        <v>5.5245188990637482E-2</v>
      </c>
      <c r="L228" s="3">
        <f t="shared" si="189"/>
        <v>5.5245188990477576E-2</v>
      </c>
      <c r="M228" s="3">
        <f t="shared" si="189"/>
        <v>5.5245188988878466E-2</v>
      </c>
      <c r="N228" s="3">
        <f t="shared" si="189"/>
        <v>5.5245188972887389E-2</v>
      </c>
      <c r="O228" s="3">
        <f t="shared" si="189"/>
        <v>5.5245188812976631E-2</v>
      </c>
      <c r="P228" s="3">
        <f t="shared" si="189"/>
        <v>5.5245187213869069E-2</v>
      </c>
      <c r="Q228" s="3">
        <f t="shared" si="189"/>
        <v>5.5245171222795965E-2</v>
      </c>
      <c r="R228" s="3">
        <f t="shared" si="189"/>
        <v>5.5245011312319528E-2</v>
      </c>
      <c r="S228" s="3">
        <f t="shared" si="189"/>
        <v>5.5243412233012788E-2</v>
      </c>
      <c r="T228" s="3">
        <f t="shared" si="189"/>
        <v>5.522742398543843E-2</v>
      </c>
      <c r="U228" s="3">
        <f t="shared" si="189"/>
        <v>5.5067795786592474E-2</v>
      </c>
      <c r="V228" s="3">
        <f t="shared" si="189"/>
        <v>5.3496671255822498E-2</v>
      </c>
      <c r="W228" s="3">
        <f t="shared" si="189"/>
        <v>4.0051374353218129E-2</v>
      </c>
      <c r="X228" s="3">
        <f t="shared" si="189"/>
        <v>2.2157668538272247E-3</v>
      </c>
      <c r="Y228" s="3">
        <f t="shared" si="189"/>
        <v>5.951006727398232E-16</v>
      </c>
      <c r="Z228" s="3">
        <f t="shared" si="189"/>
        <v>1.1621287348468173E-141</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6.6645884688751614E-2</v>
      </c>
      <c r="C229" s="3">
        <f t="shared" si="190"/>
        <v>6.6645884688751614E-2</v>
      </c>
      <c r="D229" s="3">
        <f t="shared" si="190"/>
        <v>6.6645884688751614E-2</v>
      </c>
      <c r="E229" s="3">
        <f t="shared" si="190"/>
        <v>6.6645884688751614E-2</v>
      </c>
      <c r="F229" s="3">
        <f t="shared" si="190"/>
        <v>6.6645884688751614E-2</v>
      </c>
      <c r="G229" s="3">
        <f t="shared" si="190"/>
        <v>6.6645884688751614E-2</v>
      </c>
      <c r="H229" s="3">
        <f t="shared" si="190"/>
        <v>6.6645884688751614E-2</v>
      </c>
      <c r="I229" s="3">
        <f t="shared" si="190"/>
        <v>6.6645884688751586E-2</v>
      </c>
      <c r="J229" s="3">
        <f t="shared" si="190"/>
        <v>6.6645884688751419E-2</v>
      </c>
      <c r="K229" s="3">
        <f t="shared" si="190"/>
        <v>6.6645884688749685E-2</v>
      </c>
      <c r="L229" s="3">
        <f t="shared" si="190"/>
        <v>6.6645884688732282E-2</v>
      </c>
      <c r="M229" s="3">
        <f t="shared" si="190"/>
        <v>6.6645884688558255E-2</v>
      </c>
      <c r="N229" s="3">
        <f t="shared" si="190"/>
        <v>6.6645884686818035E-2</v>
      </c>
      <c r="O229" s="3">
        <f t="shared" si="190"/>
        <v>6.6645884669415872E-2</v>
      </c>
      <c r="P229" s="3">
        <f t="shared" si="190"/>
        <v>6.6645884495394284E-2</v>
      </c>
      <c r="Q229" s="3">
        <f t="shared" si="190"/>
        <v>6.664588275517834E-2</v>
      </c>
      <c r="R229" s="3">
        <f t="shared" si="190"/>
        <v>6.6645865353021402E-2</v>
      </c>
      <c r="S229" s="3">
        <f t="shared" si="190"/>
        <v>6.6645691331701992E-2</v>
      </c>
      <c r="T229" s="3">
        <f t="shared" si="190"/>
        <v>6.6643951143499219E-2</v>
      </c>
      <c r="U229" s="3">
        <f t="shared" si="190"/>
        <v>6.6626551760372438E-2</v>
      </c>
      <c r="V229" s="3">
        <f t="shared" si="190"/>
        <v>6.645280757793888E-2</v>
      </c>
      <c r="W229" s="3">
        <f t="shared" si="190"/>
        <v>6.4740091121363669E-2</v>
      </c>
      <c r="X229" s="3">
        <f t="shared" si="190"/>
        <v>4.9862382633291902E-2</v>
      </c>
      <c r="Y229" s="3">
        <f t="shared" si="190"/>
        <v>3.6624376038095824E-3</v>
      </c>
      <c r="Z229" s="3">
        <f t="shared" si="190"/>
        <v>1.6739493309666354E-14</v>
      </c>
      <c r="AA229" s="3">
        <f t="shared" si="190"/>
        <v>6.6598284907715347E-128</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2.5869055396656026E-2</v>
      </c>
      <c r="C230" s="3">
        <f t="shared" si="191"/>
        <v>2.5869055396656026E-2</v>
      </c>
      <c r="D230" s="3">
        <f t="shared" si="191"/>
        <v>2.5869055396656026E-2</v>
      </c>
      <c r="E230" s="3">
        <f t="shared" si="191"/>
        <v>2.5869055396656026E-2</v>
      </c>
      <c r="F230" s="3">
        <f t="shared" si="191"/>
        <v>2.5869055396656026E-2</v>
      </c>
      <c r="G230" s="3">
        <f t="shared" si="191"/>
        <v>2.5869055396656026E-2</v>
      </c>
      <c r="H230" s="3">
        <f t="shared" si="191"/>
        <v>2.5869055396656026E-2</v>
      </c>
      <c r="I230" s="3">
        <f t="shared" si="191"/>
        <v>2.5869055396656026E-2</v>
      </c>
      <c r="J230" s="3">
        <f t="shared" si="191"/>
        <v>2.5869055396656019E-2</v>
      </c>
      <c r="K230" s="3">
        <f t="shared" si="191"/>
        <v>2.5869055396655957E-2</v>
      </c>
      <c r="L230" s="3">
        <f t="shared" si="191"/>
        <v>2.5869055396655349E-2</v>
      </c>
      <c r="M230" s="3">
        <f t="shared" si="191"/>
        <v>2.5869055396649257E-2</v>
      </c>
      <c r="N230" s="3">
        <f t="shared" si="191"/>
        <v>2.5869055396588323E-2</v>
      </c>
      <c r="O230" s="3">
        <f t="shared" si="191"/>
        <v>2.5869055395978984E-2</v>
      </c>
      <c r="P230" s="3">
        <f t="shared" si="191"/>
        <v>2.5869055389885622E-2</v>
      </c>
      <c r="Q230" s="3">
        <f t="shared" si="191"/>
        <v>2.5869055328952006E-2</v>
      </c>
      <c r="R230" s="3">
        <f t="shared" si="191"/>
        <v>2.5869054719615821E-2</v>
      </c>
      <c r="S230" s="3">
        <f t="shared" si="191"/>
        <v>2.5869048626254772E-2</v>
      </c>
      <c r="T230" s="3">
        <f t="shared" si="191"/>
        <v>2.5868987692723232E-2</v>
      </c>
      <c r="U230" s="3">
        <f t="shared" si="191"/>
        <v>2.5868378365301724E-2</v>
      </c>
      <c r="V230" s="3">
        <f t="shared" si="191"/>
        <v>2.5862285880408266E-2</v>
      </c>
      <c r="W230" s="3">
        <f t="shared" si="191"/>
        <v>2.5801439894890615E-2</v>
      </c>
      <c r="X230" s="3">
        <f t="shared" si="191"/>
        <v>2.5200798081134596E-2</v>
      </c>
      <c r="Y230" s="3">
        <f t="shared" si="191"/>
        <v>1.9912134114968102E-2</v>
      </c>
      <c r="Z230" s="3">
        <f t="shared" si="191"/>
        <v>1.8886563789981918E-3</v>
      </c>
      <c r="AA230" s="3">
        <f t="shared" si="191"/>
        <v>1.1130235688816965E-13</v>
      </c>
      <c r="AB230" s="3">
        <f t="shared" si="191"/>
        <v>5.6236524276001371E-116</v>
      </c>
      <c r="AC230" s="3">
        <f t="shared" si="191"/>
        <v>0</v>
      </c>
      <c r="AD230" s="3">
        <f t="shared" si="191"/>
        <v>0</v>
      </c>
      <c r="AE230" s="3">
        <f t="shared" si="191"/>
        <v>0</v>
      </c>
      <c r="AF230" s="3">
        <f t="shared" si="191"/>
        <v>0</v>
      </c>
      <c r="AG230" s="3"/>
      <c r="AH230" s="3"/>
    </row>
    <row r="231" spans="2:34" x14ac:dyDescent="0.25">
      <c r="B231" s="3">
        <f t="shared" ref="B231:AF231" si="192">$C39*EXP(-B$207/$A39/EXP(-$D$126))</f>
        <v>4.8591449840458205E-2</v>
      </c>
      <c r="C231" s="3">
        <f t="shared" si="192"/>
        <v>4.8591449840458205E-2</v>
      </c>
      <c r="D231" s="3">
        <f t="shared" si="192"/>
        <v>4.8591449840458205E-2</v>
      </c>
      <c r="E231" s="3">
        <f t="shared" si="192"/>
        <v>4.8591449840458205E-2</v>
      </c>
      <c r="F231" s="3">
        <f t="shared" si="192"/>
        <v>4.8591449840458205E-2</v>
      </c>
      <c r="G231" s="3">
        <f t="shared" si="192"/>
        <v>4.8591449840458205E-2</v>
      </c>
      <c r="H231" s="3">
        <f t="shared" si="192"/>
        <v>4.8591449840458205E-2</v>
      </c>
      <c r="I231" s="3">
        <f t="shared" si="192"/>
        <v>4.8591449840458205E-2</v>
      </c>
      <c r="J231" s="3">
        <f t="shared" si="192"/>
        <v>4.8591449840458198E-2</v>
      </c>
      <c r="K231" s="3">
        <f t="shared" si="192"/>
        <v>4.859144984045817E-2</v>
      </c>
      <c r="L231" s="3">
        <f t="shared" si="192"/>
        <v>4.8591449840457851E-2</v>
      </c>
      <c r="M231" s="3">
        <f t="shared" si="192"/>
        <v>4.8591449840454687E-2</v>
      </c>
      <c r="N231" s="3">
        <f t="shared" si="192"/>
        <v>4.8591449840423032E-2</v>
      </c>
      <c r="O231" s="3">
        <f t="shared" si="192"/>
        <v>4.8591449840106479E-2</v>
      </c>
      <c r="P231" s="3">
        <f t="shared" si="192"/>
        <v>4.8591449836940928E-2</v>
      </c>
      <c r="Q231" s="3">
        <f t="shared" si="192"/>
        <v>4.859144980528543E-2</v>
      </c>
      <c r="R231" s="3">
        <f t="shared" si="192"/>
        <v>4.8591449488730475E-2</v>
      </c>
      <c r="S231" s="3">
        <f t="shared" si="192"/>
        <v>4.8591446323180999E-2</v>
      </c>
      <c r="T231" s="3">
        <f t="shared" si="192"/>
        <v>4.8591414667697591E-2</v>
      </c>
      <c r="U231" s="3">
        <f t="shared" si="192"/>
        <v>4.8591098113997706E-2</v>
      </c>
      <c r="V231" s="3">
        <f t="shared" si="192"/>
        <v>4.858793269041882E-2</v>
      </c>
      <c r="W231" s="3">
        <f t="shared" si="192"/>
        <v>4.8556289793891455E-2</v>
      </c>
      <c r="X231" s="3">
        <f t="shared" si="192"/>
        <v>4.8240992026292936E-2</v>
      </c>
      <c r="Y231" s="3">
        <f t="shared" si="192"/>
        <v>4.5198454330061408E-2</v>
      </c>
      <c r="Z231" s="3">
        <f t="shared" si="192"/>
        <v>2.3561184282397878E-2</v>
      </c>
      <c r="AA231" s="3">
        <f t="shared" si="192"/>
        <v>3.4908600962120926E-5</v>
      </c>
      <c r="AB231" s="3">
        <f t="shared" si="192"/>
        <v>1.7794497219421472E-33</v>
      </c>
      <c r="AC231" s="3">
        <f t="shared" si="192"/>
        <v>0</v>
      </c>
      <c r="AD231" s="3">
        <f t="shared" si="192"/>
        <v>0</v>
      </c>
      <c r="AE231" s="3">
        <f t="shared" si="192"/>
        <v>0</v>
      </c>
      <c r="AF231" s="3">
        <f t="shared" si="192"/>
        <v>0</v>
      </c>
      <c r="AG231" s="3"/>
      <c r="AH231" s="3"/>
    </row>
    <row r="232" spans="2:34" x14ac:dyDescent="0.25">
      <c r="B232" s="3">
        <f t="shared" ref="B232:AF232" si="193">$C40*EXP(-B$207/$A40/EXP(-$D$126))</f>
        <v>2.853497416803049E-2</v>
      </c>
      <c r="C232" s="3">
        <f t="shared" si="193"/>
        <v>2.853497416803049E-2</v>
      </c>
      <c r="D232" s="3">
        <f t="shared" si="193"/>
        <v>2.853497416803049E-2</v>
      </c>
      <c r="E232" s="3">
        <f t="shared" si="193"/>
        <v>2.853497416803049E-2</v>
      </c>
      <c r="F232" s="3">
        <f t="shared" si="193"/>
        <v>2.853497416803049E-2</v>
      </c>
      <c r="G232" s="3">
        <f t="shared" si="193"/>
        <v>2.853497416803049E-2</v>
      </c>
      <c r="H232" s="3">
        <f t="shared" si="193"/>
        <v>2.853497416803049E-2</v>
      </c>
      <c r="I232" s="3">
        <f t="shared" si="193"/>
        <v>2.853497416803049E-2</v>
      </c>
      <c r="J232" s="3">
        <f t="shared" si="193"/>
        <v>2.853497416803049E-2</v>
      </c>
      <c r="K232" s="3">
        <f t="shared" si="193"/>
        <v>2.8534974168030487E-2</v>
      </c>
      <c r="L232" s="3">
        <f t="shared" si="193"/>
        <v>2.8534974168030469E-2</v>
      </c>
      <c r="M232" s="3">
        <f t="shared" si="193"/>
        <v>2.8534974168030285E-2</v>
      </c>
      <c r="N232" s="3">
        <f t="shared" si="193"/>
        <v>2.8534974168028426E-2</v>
      </c>
      <c r="O232" s="3">
        <f t="shared" si="193"/>
        <v>2.8534974168009833E-2</v>
      </c>
      <c r="P232" s="3">
        <f t="shared" si="193"/>
        <v>2.853497416782394E-2</v>
      </c>
      <c r="Q232" s="3">
        <f t="shared" si="193"/>
        <v>2.8534974165964996E-2</v>
      </c>
      <c r="R232" s="3">
        <f t="shared" si="193"/>
        <v>2.8534974147375537E-2</v>
      </c>
      <c r="S232" s="3">
        <f t="shared" si="193"/>
        <v>2.8534973961480949E-2</v>
      </c>
      <c r="T232" s="3">
        <f t="shared" si="193"/>
        <v>2.8534972102535128E-2</v>
      </c>
      <c r="U232" s="3">
        <f t="shared" si="193"/>
        <v>2.8534953513083602E-2</v>
      </c>
      <c r="V232" s="3">
        <f t="shared" si="193"/>
        <v>2.8534767619234406E-2</v>
      </c>
      <c r="W232" s="3">
        <f t="shared" si="193"/>
        <v>2.8532908747347457E-2</v>
      </c>
      <c r="X232" s="3">
        <f t="shared" si="193"/>
        <v>2.8514326687376527E-2</v>
      </c>
      <c r="Y232" s="3">
        <f t="shared" si="193"/>
        <v>2.8329170375243393E-2</v>
      </c>
      <c r="Z232" s="3">
        <f t="shared" si="193"/>
        <v>2.6542462325735088E-2</v>
      </c>
      <c r="AA232" s="3">
        <f t="shared" si="193"/>
        <v>1.3836133457097308E-2</v>
      </c>
      <c r="AB232" s="3">
        <f t="shared" si="193"/>
        <v>2.0499821058371033E-5</v>
      </c>
      <c r="AC232" s="3">
        <f t="shared" si="193"/>
        <v>1.0449688580119427E-33</v>
      </c>
      <c r="AD232" s="3">
        <f t="shared" si="193"/>
        <v>0</v>
      </c>
      <c r="AE232" s="3">
        <f t="shared" si="193"/>
        <v>0</v>
      </c>
      <c r="AF232" s="3">
        <f t="shared" si="193"/>
        <v>0</v>
      </c>
      <c r="AG232" s="3"/>
      <c r="AH232" s="3"/>
    </row>
    <row r="233" spans="2:34" x14ac:dyDescent="0.25">
      <c r="B233" s="3">
        <f t="shared" ref="B233:AF233" si="194">$C41*EXP(-B$207/$A41/EXP(-$D$126))</f>
        <v>1.8710063230340357E-2</v>
      </c>
      <c r="C233" s="3">
        <f t="shared" si="194"/>
        <v>1.8710063230340357E-2</v>
      </c>
      <c r="D233" s="3">
        <f t="shared" si="194"/>
        <v>1.8710063230340357E-2</v>
      </c>
      <c r="E233" s="3">
        <f t="shared" si="194"/>
        <v>1.8710063230340357E-2</v>
      </c>
      <c r="F233" s="3">
        <f t="shared" si="194"/>
        <v>1.8710063230340357E-2</v>
      </c>
      <c r="G233" s="3">
        <f t="shared" si="194"/>
        <v>1.8710063230340357E-2</v>
      </c>
      <c r="H233" s="3">
        <f t="shared" si="194"/>
        <v>1.8710063230340357E-2</v>
      </c>
      <c r="I233" s="3">
        <f t="shared" si="194"/>
        <v>1.8710063230340357E-2</v>
      </c>
      <c r="J233" s="3">
        <f t="shared" si="194"/>
        <v>1.8710063230340357E-2</v>
      </c>
      <c r="K233" s="3">
        <f t="shared" si="194"/>
        <v>1.8710063230340357E-2</v>
      </c>
      <c r="L233" s="3">
        <f t="shared" si="194"/>
        <v>1.8710063230340353E-2</v>
      </c>
      <c r="M233" s="3">
        <f t="shared" si="194"/>
        <v>1.8710063230340343E-2</v>
      </c>
      <c r="N233" s="3">
        <f t="shared" si="194"/>
        <v>1.8710063230340222E-2</v>
      </c>
      <c r="O233" s="3">
        <f t="shared" si="194"/>
        <v>1.8710063230339004E-2</v>
      </c>
      <c r="P233" s="3">
        <f t="shared" si="194"/>
        <v>1.8710063230326812E-2</v>
      </c>
      <c r="Q233" s="3">
        <f t="shared" si="194"/>
        <v>1.8710063230204927E-2</v>
      </c>
      <c r="R233" s="3">
        <f t="shared" si="194"/>
        <v>1.8710063228986034E-2</v>
      </c>
      <c r="S233" s="3">
        <f t="shared" si="194"/>
        <v>1.8710063216797135E-2</v>
      </c>
      <c r="T233" s="3">
        <f t="shared" si="194"/>
        <v>1.8710063094908132E-2</v>
      </c>
      <c r="U233" s="3">
        <f t="shared" si="194"/>
        <v>1.8710061876018164E-2</v>
      </c>
      <c r="V233" s="3">
        <f t="shared" si="194"/>
        <v>1.871004968712283E-2</v>
      </c>
      <c r="W233" s="3">
        <f t="shared" si="194"/>
        <v>1.8709927798606227E-2</v>
      </c>
      <c r="X233" s="3">
        <f t="shared" si="194"/>
        <v>1.870870895711238E-2</v>
      </c>
      <c r="Y233" s="3">
        <f t="shared" si="194"/>
        <v>1.869652490833915E-2</v>
      </c>
      <c r="Z233" s="3">
        <f t="shared" si="194"/>
        <v>1.85751199865366E-2</v>
      </c>
      <c r="AA233" s="3">
        <f t="shared" si="194"/>
        <v>1.7403595513319745E-2</v>
      </c>
      <c r="AB233" s="3">
        <f t="shared" si="194"/>
        <v>9.0721978692292655E-3</v>
      </c>
      <c r="AC233" s="3">
        <f t="shared" si="194"/>
        <v>1.3441503256817491E-5</v>
      </c>
      <c r="AD233" s="3">
        <f t="shared" si="194"/>
        <v>6.8517438607127569E-34</v>
      </c>
      <c r="AE233" s="3">
        <f t="shared" si="194"/>
        <v>0</v>
      </c>
      <c r="AF233" s="3">
        <f t="shared" si="194"/>
        <v>0</v>
      </c>
      <c r="AG233" s="3"/>
      <c r="AH233" s="3"/>
    </row>
    <row r="234" spans="2:34" x14ac:dyDescent="0.25">
      <c r="B234" s="3">
        <f t="shared" ref="B234:AF234" si="195">$C42*EXP(-B$207/$A42/EXP(-$D$126))</f>
        <v>7.6798609611155137E-3</v>
      </c>
      <c r="C234" s="3">
        <f t="shared" si="195"/>
        <v>7.6798609611155137E-3</v>
      </c>
      <c r="D234" s="3">
        <f t="shared" si="195"/>
        <v>7.6798609611155137E-3</v>
      </c>
      <c r="E234" s="3">
        <f t="shared" si="195"/>
        <v>7.6798609611155137E-3</v>
      </c>
      <c r="F234" s="3">
        <f t="shared" si="195"/>
        <v>7.6798609611155137E-3</v>
      </c>
      <c r="G234" s="3">
        <f t="shared" si="195"/>
        <v>7.6798609611155137E-3</v>
      </c>
      <c r="H234" s="3">
        <f t="shared" si="195"/>
        <v>7.6798609611155137E-3</v>
      </c>
      <c r="I234" s="3">
        <f t="shared" si="195"/>
        <v>7.6798609611155137E-3</v>
      </c>
      <c r="J234" s="3">
        <f t="shared" si="195"/>
        <v>7.6798609611155137E-3</v>
      </c>
      <c r="K234" s="3">
        <f t="shared" si="195"/>
        <v>7.6798609611155137E-3</v>
      </c>
      <c r="L234" s="3">
        <f t="shared" si="195"/>
        <v>7.6798609611155137E-3</v>
      </c>
      <c r="M234" s="3">
        <f t="shared" si="195"/>
        <v>7.6798609611155129E-3</v>
      </c>
      <c r="N234" s="3">
        <f t="shared" si="195"/>
        <v>7.6798609611155077E-3</v>
      </c>
      <c r="O234" s="3">
        <f t="shared" si="195"/>
        <v>7.6798609611154582E-3</v>
      </c>
      <c r="P234" s="3">
        <f t="shared" si="195"/>
        <v>7.6798609611149577E-3</v>
      </c>
      <c r="Q234" s="3">
        <f t="shared" si="195"/>
        <v>7.6798609611099548E-3</v>
      </c>
      <c r="R234" s="3">
        <f t="shared" si="195"/>
        <v>7.6798609610599236E-3</v>
      </c>
      <c r="S234" s="3">
        <f t="shared" si="195"/>
        <v>7.6798609605596094E-3</v>
      </c>
      <c r="T234" s="3">
        <f t="shared" si="195"/>
        <v>7.6798609555564692E-3</v>
      </c>
      <c r="U234" s="3">
        <f t="shared" si="195"/>
        <v>7.6798609055250735E-3</v>
      </c>
      <c r="V234" s="3">
        <f t="shared" si="195"/>
        <v>7.6798604052111313E-3</v>
      </c>
      <c r="W234" s="3">
        <f t="shared" si="195"/>
        <v>7.6798554020735006E-3</v>
      </c>
      <c r="X234" s="3">
        <f t="shared" si="195"/>
        <v>7.6798053708764524E-3</v>
      </c>
      <c r="Y234" s="3">
        <f t="shared" si="195"/>
        <v>7.6793050768319505E-3</v>
      </c>
      <c r="Z234" s="3">
        <f t="shared" si="195"/>
        <v>7.6743039285530864E-3</v>
      </c>
      <c r="AA234" s="3">
        <f t="shared" si="195"/>
        <v>7.6244712311452686E-3</v>
      </c>
      <c r="AB234" s="3">
        <f t="shared" si="195"/>
        <v>7.1435992556695407E-3</v>
      </c>
      <c r="AC234" s="3">
        <f t="shared" si="195"/>
        <v>3.7238366001044109E-3</v>
      </c>
      <c r="AD234" s="3">
        <f t="shared" si="195"/>
        <v>5.5172916761362456E-6</v>
      </c>
      <c r="AE234" s="3">
        <f t="shared" si="195"/>
        <v>2.8124138087423006E-34</v>
      </c>
      <c r="AF234" s="3">
        <f t="shared" si="195"/>
        <v>0</v>
      </c>
      <c r="AG234" s="3"/>
      <c r="AH234" s="3"/>
    </row>
    <row r="235" spans="2:34" x14ac:dyDescent="0.25">
      <c r="B235" s="3">
        <f t="shared" ref="B235:AF235" si="196">$C43*EXP(-B$207/$A43/EXP(-$D$126))</f>
        <v>4.1102249961922147E-3</v>
      </c>
      <c r="C235" s="3">
        <f t="shared" si="196"/>
        <v>4.1102249961922147E-3</v>
      </c>
      <c r="D235" s="3">
        <f t="shared" si="196"/>
        <v>4.1102249961922147E-3</v>
      </c>
      <c r="E235" s="3">
        <f t="shared" si="196"/>
        <v>4.1102249961922147E-3</v>
      </c>
      <c r="F235" s="3">
        <f t="shared" si="196"/>
        <v>4.1102249961922147E-3</v>
      </c>
      <c r="G235" s="3">
        <f t="shared" si="196"/>
        <v>4.1102249961922147E-3</v>
      </c>
      <c r="H235" s="3">
        <f t="shared" si="196"/>
        <v>4.1102249961922147E-3</v>
      </c>
      <c r="I235" s="3">
        <f t="shared" si="196"/>
        <v>4.1102249961922147E-3</v>
      </c>
      <c r="J235" s="3">
        <f t="shared" si="196"/>
        <v>4.1102249961922147E-3</v>
      </c>
      <c r="K235" s="3">
        <f t="shared" si="196"/>
        <v>4.1102249961922147E-3</v>
      </c>
      <c r="L235" s="3">
        <f t="shared" si="196"/>
        <v>4.1102249961922147E-3</v>
      </c>
      <c r="M235" s="3">
        <f t="shared" si="196"/>
        <v>4.1102249961922147E-3</v>
      </c>
      <c r="N235" s="3">
        <f t="shared" si="196"/>
        <v>4.1102249961922138E-3</v>
      </c>
      <c r="O235" s="3">
        <f t="shared" si="196"/>
        <v>4.1102249961922112E-3</v>
      </c>
      <c r="P235" s="3">
        <f t="shared" si="196"/>
        <v>4.1102249961921852E-3</v>
      </c>
      <c r="Q235" s="3">
        <f t="shared" si="196"/>
        <v>4.1102249961919171E-3</v>
      </c>
      <c r="R235" s="3">
        <f t="shared" si="196"/>
        <v>4.1102249961892396E-3</v>
      </c>
      <c r="S235" s="3">
        <f t="shared" si="196"/>
        <v>4.1102249961624633E-3</v>
      </c>
      <c r="T235" s="3">
        <f t="shared" si="196"/>
        <v>4.1102249958946974E-3</v>
      </c>
      <c r="U235" s="3">
        <f t="shared" si="196"/>
        <v>4.1102249932170407E-3</v>
      </c>
      <c r="V235" s="3">
        <f t="shared" si="196"/>
        <v>4.1102249664404763E-3</v>
      </c>
      <c r="W235" s="3">
        <f t="shared" si="196"/>
        <v>4.1102246986748376E-3</v>
      </c>
      <c r="X235" s="3">
        <f t="shared" si="196"/>
        <v>4.1102220210194147E-3</v>
      </c>
      <c r="Y235" s="3">
        <f t="shared" si="196"/>
        <v>4.1101952445611245E-3</v>
      </c>
      <c r="Z235" s="3">
        <f t="shared" si="196"/>
        <v>4.1099274895721261E-3</v>
      </c>
      <c r="AA235" s="3">
        <f t="shared" si="196"/>
        <v>4.1072508988409225E-3</v>
      </c>
      <c r="AB235" s="3">
        <f t="shared" si="196"/>
        <v>4.0805806766128962E-3</v>
      </c>
      <c r="AC235" s="3">
        <f t="shared" si="196"/>
        <v>3.8232202864214603E-3</v>
      </c>
      <c r="AD235" s="3">
        <f t="shared" si="196"/>
        <v>1.9929796063992006E-3</v>
      </c>
      <c r="AE235" s="3">
        <f t="shared" si="196"/>
        <v>2.9528282182916652E-6</v>
      </c>
      <c r="AF235" s="3">
        <f t="shared" si="196"/>
        <v>1.5051904708766619E-34</v>
      </c>
      <c r="AG235" s="3"/>
      <c r="AH235" s="3"/>
    </row>
    <row r="236" spans="2:34" x14ac:dyDescent="0.25">
      <c r="B236" s="3">
        <f t="shared" ref="B236:AF236" si="197">$C44*EXP(-B$207/$A44/EXP(-$D$126))</f>
        <v>3.1066969837399792E-3</v>
      </c>
      <c r="C236" s="3">
        <f t="shared" si="197"/>
        <v>3.1066969837399792E-3</v>
      </c>
      <c r="D236" s="3">
        <f t="shared" si="197"/>
        <v>3.1066969837399792E-3</v>
      </c>
      <c r="E236" s="3">
        <f t="shared" si="197"/>
        <v>3.1066969837399792E-3</v>
      </c>
      <c r="F236" s="3">
        <f t="shared" si="197"/>
        <v>3.1066969837399792E-3</v>
      </c>
      <c r="G236" s="3">
        <f t="shared" si="197"/>
        <v>3.1066969837399792E-3</v>
      </c>
      <c r="H236" s="3">
        <f t="shared" si="197"/>
        <v>3.1066969837399792E-3</v>
      </c>
      <c r="I236" s="3">
        <f t="shared" si="197"/>
        <v>3.1066969837399792E-3</v>
      </c>
      <c r="J236" s="3">
        <f t="shared" si="197"/>
        <v>3.1066969837399792E-3</v>
      </c>
      <c r="K236" s="3">
        <f t="shared" si="197"/>
        <v>3.1066969837399792E-3</v>
      </c>
      <c r="L236" s="3">
        <f t="shared" si="197"/>
        <v>3.1066969837399792E-3</v>
      </c>
      <c r="M236" s="3">
        <f t="shared" si="197"/>
        <v>3.1066969837399792E-3</v>
      </c>
      <c r="N236" s="3">
        <f t="shared" si="197"/>
        <v>3.1066969837399792E-3</v>
      </c>
      <c r="O236" s="3">
        <f t="shared" si="197"/>
        <v>3.1066969837399787E-3</v>
      </c>
      <c r="P236" s="3">
        <f t="shared" si="197"/>
        <v>3.1066969837399766E-3</v>
      </c>
      <c r="Q236" s="3">
        <f t="shared" si="197"/>
        <v>3.1066969837399566E-3</v>
      </c>
      <c r="R236" s="3">
        <f t="shared" si="197"/>
        <v>3.1066969837397541E-3</v>
      </c>
      <c r="S236" s="3">
        <f t="shared" si="197"/>
        <v>3.1066969837377305E-3</v>
      </c>
      <c r="T236" s="3">
        <f t="shared" si="197"/>
        <v>3.1066969837174915E-3</v>
      </c>
      <c r="U236" s="3">
        <f t="shared" si="197"/>
        <v>3.1066969835151022E-3</v>
      </c>
      <c r="V236" s="3">
        <f t="shared" si="197"/>
        <v>3.106696981491206E-3</v>
      </c>
      <c r="W236" s="3">
        <f t="shared" si="197"/>
        <v>3.1066969612522474E-3</v>
      </c>
      <c r="X236" s="3">
        <f t="shared" si="197"/>
        <v>3.1066967588626701E-3</v>
      </c>
      <c r="Y236" s="3">
        <f t="shared" si="197"/>
        <v>3.1066947349676194E-3</v>
      </c>
      <c r="Z236" s="3">
        <f t="shared" si="197"/>
        <v>3.1066744960896306E-3</v>
      </c>
      <c r="AA236" s="3">
        <f t="shared" si="197"/>
        <v>3.1064721145612536E-3</v>
      </c>
      <c r="AB236" s="3">
        <f t="shared" si="197"/>
        <v>3.1044490242537791E-3</v>
      </c>
      <c r="AC236" s="3">
        <f t="shared" si="197"/>
        <v>3.0842904443638109E-3</v>
      </c>
      <c r="AD236" s="3">
        <f t="shared" si="197"/>
        <v>2.8897656315658286E-3</v>
      </c>
      <c r="AE236" s="3">
        <f t="shared" si="197"/>
        <v>1.5063855963096131E-3</v>
      </c>
      <c r="AF236" s="3">
        <f t="shared" si="197"/>
        <v>2.2318832978164322E-6</v>
      </c>
      <c r="AG236" s="3"/>
      <c r="AH236" s="3"/>
    </row>
    <row r="237" spans="2:34" x14ac:dyDescent="0.25">
      <c r="B237" s="3">
        <f t="shared" ref="B237:AF237" si="198">$C45*EXP(-B$207/$A45/EXP(-$D$126))</f>
        <v>9.6514726179013565E-4</v>
      </c>
      <c r="C237" s="3">
        <f t="shared" si="198"/>
        <v>9.6514726179013565E-4</v>
      </c>
      <c r="D237" s="3">
        <f t="shared" si="198"/>
        <v>9.6514726179013565E-4</v>
      </c>
      <c r="E237" s="3">
        <f t="shared" si="198"/>
        <v>9.6514726179013565E-4</v>
      </c>
      <c r="F237" s="3">
        <f t="shared" si="198"/>
        <v>9.6514726179013565E-4</v>
      </c>
      <c r="G237" s="3">
        <f t="shared" si="198"/>
        <v>9.6514726179013565E-4</v>
      </c>
      <c r="H237" s="3">
        <f t="shared" si="198"/>
        <v>9.6514726179013565E-4</v>
      </c>
      <c r="I237" s="3">
        <f t="shared" si="198"/>
        <v>9.6514726179013565E-4</v>
      </c>
      <c r="J237" s="3">
        <f t="shared" si="198"/>
        <v>9.6514726179013565E-4</v>
      </c>
      <c r="K237" s="3">
        <f t="shared" si="198"/>
        <v>9.6514726179013565E-4</v>
      </c>
      <c r="L237" s="3">
        <f t="shared" si="198"/>
        <v>9.6514726179013565E-4</v>
      </c>
      <c r="M237" s="3">
        <f t="shared" si="198"/>
        <v>9.6514726179013565E-4</v>
      </c>
      <c r="N237" s="3">
        <f t="shared" si="198"/>
        <v>9.6514726179013565E-4</v>
      </c>
      <c r="O237" s="3">
        <f t="shared" si="198"/>
        <v>9.6514726179013565E-4</v>
      </c>
      <c r="P237" s="3">
        <f t="shared" si="198"/>
        <v>9.6514726179013554E-4</v>
      </c>
      <c r="Q237" s="3">
        <f t="shared" si="198"/>
        <v>9.6514726179013489E-4</v>
      </c>
      <c r="R237" s="3">
        <f t="shared" si="198"/>
        <v>9.6514726179012871E-4</v>
      </c>
      <c r="S237" s="3">
        <f t="shared" si="198"/>
        <v>9.6514726179006583E-4</v>
      </c>
      <c r="T237" s="3">
        <f t="shared" si="198"/>
        <v>9.6514726178943699E-4</v>
      </c>
      <c r="U237" s="3">
        <f t="shared" si="198"/>
        <v>9.6514726178314949E-4</v>
      </c>
      <c r="V237" s="3">
        <f t="shared" si="198"/>
        <v>9.6514726172027378E-4</v>
      </c>
      <c r="W237" s="3">
        <f t="shared" si="198"/>
        <v>9.6514726109151675E-4</v>
      </c>
      <c r="X237" s="3">
        <f t="shared" si="198"/>
        <v>9.6514725480394657E-4</v>
      </c>
      <c r="Y237" s="3">
        <f t="shared" si="198"/>
        <v>9.6514719192824681E-4</v>
      </c>
      <c r="Z237" s="3">
        <f t="shared" si="198"/>
        <v>9.6514656317147512E-4</v>
      </c>
      <c r="AA237" s="3">
        <f t="shared" si="198"/>
        <v>9.6514027562628652E-4</v>
      </c>
      <c r="AB237" s="3">
        <f t="shared" si="198"/>
        <v>9.6507740242720316E-4</v>
      </c>
      <c r="AC237" s="3">
        <f t="shared" si="198"/>
        <v>9.6444889566235539E-4</v>
      </c>
      <c r="AD237" s="3">
        <f t="shared" si="198"/>
        <v>9.581862964181386E-4</v>
      </c>
      <c r="AE237" s="3">
        <f t="shared" si="198"/>
        <v>8.9775391714045456E-4</v>
      </c>
      <c r="AF237" s="3">
        <f t="shared" si="198"/>
        <v>4.6798382368404469E-4</v>
      </c>
      <c r="AG237" s="3"/>
      <c r="AH237" s="3"/>
    </row>
    <row r="238" spans="2:34" x14ac:dyDescent="0.25">
      <c r="B238" s="3">
        <f t="shared" ref="B238:AF238" si="199">$C46*EXP(-B$207/$A46/EXP(-$D$126))</f>
        <v>1.0056328677851901E-3</v>
      </c>
      <c r="C238" s="3">
        <f t="shared" si="199"/>
        <v>1.0056328677851901E-3</v>
      </c>
      <c r="D238" s="3">
        <f t="shared" si="199"/>
        <v>1.0056328677851901E-3</v>
      </c>
      <c r="E238" s="3">
        <f t="shared" si="199"/>
        <v>1.0056328677851901E-3</v>
      </c>
      <c r="F238" s="3">
        <f t="shared" si="199"/>
        <v>1.0056328677851901E-3</v>
      </c>
      <c r="G238" s="3">
        <f t="shared" si="199"/>
        <v>1.0056328677851901E-3</v>
      </c>
      <c r="H238" s="3">
        <f t="shared" si="199"/>
        <v>1.0056328677851901E-3</v>
      </c>
      <c r="I238" s="3">
        <f t="shared" si="199"/>
        <v>1.0056328677851901E-3</v>
      </c>
      <c r="J238" s="3">
        <f t="shared" si="199"/>
        <v>1.0056328677851901E-3</v>
      </c>
      <c r="K238" s="3">
        <f t="shared" si="199"/>
        <v>1.0056328677851901E-3</v>
      </c>
      <c r="L238" s="3">
        <f t="shared" si="199"/>
        <v>1.0056328677851901E-3</v>
      </c>
      <c r="M238" s="3">
        <f t="shared" si="199"/>
        <v>1.0056328677851901E-3</v>
      </c>
      <c r="N238" s="3">
        <f t="shared" si="199"/>
        <v>1.0056328677851901E-3</v>
      </c>
      <c r="O238" s="3">
        <f t="shared" si="199"/>
        <v>1.0056328677851901E-3</v>
      </c>
      <c r="P238" s="3">
        <f t="shared" si="199"/>
        <v>1.0056328677851901E-3</v>
      </c>
      <c r="Q238" s="3">
        <f t="shared" si="199"/>
        <v>1.0056328677851899E-3</v>
      </c>
      <c r="R238" s="3">
        <f t="shared" si="199"/>
        <v>1.0056328677851892E-3</v>
      </c>
      <c r="S238" s="3">
        <f t="shared" si="199"/>
        <v>1.0056328677851829E-3</v>
      </c>
      <c r="T238" s="3">
        <f t="shared" si="199"/>
        <v>1.0056328677851172E-3</v>
      </c>
      <c r="U238" s="3">
        <f t="shared" si="199"/>
        <v>1.0056328677844621E-3</v>
      </c>
      <c r="V238" s="3">
        <f t="shared" si="199"/>
        <v>1.005632867777911E-3</v>
      </c>
      <c r="W238" s="3">
        <f t="shared" si="199"/>
        <v>1.0056328677123976E-3</v>
      </c>
      <c r="X238" s="3">
        <f t="shared" si="199"/>
        <v>1.0056328670572658E-3</v>
      </c>
      <c r="Y238" s="3">
        <f t="shared" si="199"/>
        <v>1.0056328605059471E-3</v>
      </c>
      <c r="Z238" s="3">
        <f t="shared" si="199"/>
        <v>1.005632794992763E-3</v>
      </c>
      <c r="AA238" s="3">
        <f t="shared" si="199"/>
        <v>1.0056321398611574E-3</v>
      </c>
      <c r="AB238" s="3">
        <f t="shared" si="199"/>
        <v>1.0056255885685726E-3</v>
      </c>
      <c r="AC238" s="3">
        <f t="shared" si="199"/>
        <v>1.0055600779900276E-3</v>
      </c>
      <c r="AD238" s="3">
        <f t="shared" si="199"/>
        <v>1.0049052068782512E-3</v>
      </c>
      <c r="AE238" s="3">
        <f t="shared" si="199"/>
        <v>9.9837990666026182E-4</v>
      </c>
      <c r="AF238" s="3">
        <f t="shared" si="199"/>
        <v>9.354125344404209E-4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2.1809087047795134E-2</v>
      </c>
      <c r="C240" s="3">
        <f t="shared" si="201"/>
        <v>2.1809087047795134E-2</v>
      </c>
      <c r="D240" s="3">
        <f t="shared" si="201"/>
        <v>2.1809087047795134E-2</v>
      </c>
      <c r="E240" s="3">
        <f t="shared" si="201"/>
        <v>2.1809087047795134E-2</v>
      </c>
      <c r="F240" s="3">
        <f t="shared" si="201"/>
        <v>2.1809087047795134E-2</v>
      </c>
      <c r="G240" s="3">
        <f t="shared" si="201"/>
        <v>2.1809087047795134E-2</v>
      </c>
      <c r="H240" s="3">
        <f t="shared" si="201"/>
        <v>2.1809087047795134E-2</v>
      </c>
      <c r="I240" s="3">
        <f t="shared" si="201"/>
        <v>2.1809087047795134E-2</v>
      </c>
      <c r="J240" s="3">
        <f t="shared" si="201"/>
        <v>2.1809087047795134E-2</v>
      </c>
      <c r="K240" s="3">
        <f t="shared" si="201"/>
        <v>2.1809087047795134E-2</v>
      </c>
      <c r="L240" s="3">
        <f t="shared" si="201"/>
        <v>2.1809087047795134E-2</v>
      </c>
      <c r="M240" s="3">
        <f t="shared" si="201"/>
        <v>2.1809087047795134E-2</v>
      </c>
      <c r="N240" s="3">
        <f t="shared" si="201"/>
        <v>2.1809087047795134E-2</v>
      </c>
      <c r="O240" s="3">
        <f t="shared" si="201"/>
        <v>2.1809087047795134E-2</v>
      </c>
      <c r="P240" s="3">
        <f t="shared" si="201"/>
        <v>2.1809087047795134E-2</v>
      </c>
      <c r="Q240" s="3">
        <f t="shared" si="201"/>
        <v>2.1809087047795134E-2</v>
      </c>
      <c r="R240" s="3">
        <f t="shared" si="201"/>
        <v>2.1809087047795134E-2</v>
      </c>
      <c r="S240" s="3">
        <f t="shared" si="201"/>
        <v>2.180908704779513E-2</v>
      </c>
      <c r="T240" s="3">
        <f t="shared" si="201"/>
        <v>2.1809087047795116E-2</v>
      </c>
      <c r="U240" s="3">
        <f t="shared" si="201"/>
        <v>2.1809087047794978E-2</v>
      </c>
      <c r="V240" s="3">
        <f t="shared" si="201"/>
        <v>2.1809087047793555E-2</v>
      </c>
      <c r="W240" s="3">
        <f t="shared" si="201"/>
        <v>2.1809087047779348E-2</v>
      </c>
      <c r="X240" s="3">
        <f t="shared" si="201"/>
        <v>2.180908704763727E-2</v>
      </c>
      <c r="Y240" s="3">
        <f t="shared" si="201"/>
        <v>2.180908704621649E-2</v>
      </c>
      <c r="Z240" s="3">
        <f t="shared" si="201"/>
        <v>2.1809087032008692E-2</v>
      </c>
      <c r="AA240" s="3">
        <f t="shared" si="201"/>
        <v>2.1809086889930721E-2</v>
      </c>
      <c r="AB240" s="3">
        <f t="shared" si="201"/>
        <v>2.180908546915105E-2</v>
      </c>
      <c r="AC240" s="3">
        <f t="shared" si="201"/>
        <v>2.1809071261359444E-2</v>
      </c>
      <c r="AD240" s="3">
        <f t="shared" si="201"/>
        <v>2.1808929183952438E-2</v>
      </c>
      <c r="AE240" s="3">
        <f t="shared" si="201"/>
        <v>2.180750846078814E-2</v>
      </c>
      <c r="AF240" s="3">
        <f t="shared" si="201"/>
        <v>2.1793306318496124E-2</v>
      </c>
      <c r="AG240" s="3"/>
      <c r="AH240" s="3"/>
    </row>
    <row r="241" spans="1:34" x14ac:dyDescent="0.25">
      <c r="A241" s="79">
        <f>AVERAGE(B241:AF241)</f>
        <v>4.6684660472472899E-3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1.0190906843144446E-2</v>
      </c>
      <c r="M241" s="80">
        <f t="shared" si="202"/>
        <v>9.8229156043918731E-3</v>
      </c>
      <c r="N241" s="80">
        <f t="shared" si="202"/>
        <v>1.01669806771793E-2</v>
      </c>
      <c r="O241" s="80">
        <f t="shared" si="202"/>
        <v>9.298725113636724E-3</v>
      </c>
      <c r="P241" s="80">
        <f t="shared" si="202"/>
        <v>1.0450444469618219E-2</v>
      </c>
      <c r="Q241" s="80">
        <f t="shared" si="202"/>
        <v>9.8300145174448125E-3</v>
      </c>
      <c r="R241" s="80">
        <f t="shared" si="202"/>
        <v>9.6507086806955009E-3</v>
      </c>
      <c r="S241" s="80">
        <f t="shared" si="202"/>
        <v>4.5879544981300285E-3</v>
      </c>
      <c r="T241" s="80">
        <f t="shared" si="202"/>
        <v>1.5923632965689705E-2</v>
      </c>
      <c r="U241" s="80">
        <f t="shared" si="202"/>
        <v>2.9264412431797459E-2</v>
      </c>
      <c r="V241" s="80">
        <f t="shared" si="202"/>
        <v>2.5535751662937912E-2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325758.08348988689</v>
      </c>
      <c r="C242" s="21">
        <f t="shared" ref="C242:AF242" si="203">(C209-C208)^2</f>
        <v>107961.21070981212</v>
      </c>
      <c r="D242" s="21">
        <f t="shared" si="203"/>
        <v>17753.881582625374</v>
      </c>
      <c r="E242" s="21">
        <f t="shared" si="203"/>
        <v>23.096931909452362</v>
      </c>
      <c r="F242" s="21">
        <f t="shared" si="203"/>
        <v>11435.188984586261</v>
      </c>
      <c r="G242" s="21">
        <f t="shared" si="203"/>
        <v>8439.7913209028666</v>
      </c>
      <c r="H242" s="21">
        <f t="shared" si="203"/>
        <v>7941.3638393604706</v>
      </c>
      <c r="I242" s="21">
        <f t="shared" si="203"/>
        <v>6918.6626151134406</v>
      </c>
      <c r="J242" s="21">
        <f t="shared" si="203"/>
        <v>6616.4247144496239</v>
      </c>
      <c r="K242" s="21">
        <f t="shared" si="203"/>
        <v>6394.1440544328143</v>
      </c>
      <c r="L242" s="21">
        <f t="shared" si="203"/>
        <v>6114.7730366677333</v>
      </c>
      <c r="M242" s="21">
        <f t="shared" si="203"/>
        <v>5135.5938457977491</v>
      </c>
      <c r="N242" s="21">
        <f t="shared" si="203"/>
        <v>5033.0401885086667</v>
      </c>
      <c r="O242" s="21">
        <f t="shared" si="203"/>
        <v>3868.2730180196609</v>
      </c>
      <c r="P242" s="21">
        <f t="shared" si="203"/>
        <v>4476.7638203949018</v>
      </c>
      <c r="Q242" s="21">
        <f t="shared" si="203"/>
        <v>3605.7012629929632</v>
      </c>
      <c r="R242" s="21">
        <f t="shared" si="203"/>
        <v>3156.7394255523959</v>
      </c>
      <c r="S242" s="21">
        <f t="shared" si="203"/>
        <v>627.87301242898104</v>
      </c>
      <c r="T242" s="21">
        <f t="shared" si="203"/>
        <v>6179.2965101682557</v>
      </c>
      <c r="U242" s="21">
        <f t="shared" si="203"/>
        <v>15812.590725627568</v>
      </c>
      <c r="V242" s="21">
        <f t="shared" si="203"/>
        <v>8826.389424955094</v>
      </c>
      <c r="W242" s="21">
        <f t="shared" si="203"/>
        <v>1903.7092595196464</v>
      </c>
      <c r="X242" s="21">
        <f t="shared" si="203"/>
        <v>265.95696236424158</v>
      </c>
      <c r="Y242" s="21">
        <f t="shared" si="203"/>
        <v>501.89212793190256</v>
      </c>
      <c r="Z242" s="21">
        <f t="shared" si="203"/>
        <v>136.80633004183139</v>
      </c>
      <c r="AA242" s="21">
        <f t="shared" si="203"/>
        <v>167.81413265660635</v>
      </c>
      <c r="AB242" s="21">
        <f t="shared" si="203"/>
        <v>1.5704032609561422E-2</v>
      </c>
      <c r="AC242" s="21">
        <f t="shared" si="203"/>
        <v>27.338557180557984</v>
      </c>
      <c r="AD242" s="21">
        <f t="shared" si="203"/>
        <v>0.30498962247716055</v>
      </c>
      <c r="AE242" s="21">
        <f t="shared" si="203"/>
        <v>1.2335995754138447</v>
      </c>
      <c r="AF242" s="21">
        <f t="shared" si="203"/>
        <v>0.30087586248817727</v>
      </c>
      <c r="AG242" s="3"/>
      <c r="AH242" s="3"/>
    </row>
    <row r="243" spans="1:34" x14ac:dyDescent="0.25">
      <c r="A243" s="71">
        <f>SUM(B243:AF243)</f>
        <v>62837.034271113967</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6114.7730366677333</v>
      </c>
      <c r="M243" s="60">
        <f t="shared" ref="M243" si="214">IF($A$64&lt;=M207,IF($B$64&gt;=M207,ABS(M242),0),0)</f>
        <v>5135.5938457977491</v>
      </c>
      <c r="N243" s="60">
        <f t="shared" ref="N243" si="215">IF($A$64&lt;=N207,IF($B$64&gt;=N207,ABS(N242),0),0)</f>
        <v>5033.0401885086667</v>
      </c>
      <c r="O243" s="60">
        <f t="shared" ref="O243" si="216">IF($A$64&lt;=O207,IF($B$64&gt;=O207,ABS(O242),0),0)</f>
        <v>3868.2730180196609</v>
      </c>
      <c r="P243" s="60">
        <f t="shared" ref="P243" si="217">IF($A$64&lt;=P207,IF($B$64&gt;=P207,ABS(P242),0),0)</f>
        <v>4476.7638203949018</v>
      </c>
      <c r="Q243" s="60">
        <f t="shared" ref="Q243" si="218">IF($A$64&lt;=Q207,IF($B$64&gt;=Q207,ABS(Q242),0),0)</f>
        <v>3605.7012629929632</v>
      </c>
      <c r="R243" s="60">
        <f t="shared" ref="R243" si="219">IF($A$64&lt;=R207,IF($B$64&gt;=R207,ABS(R242),0),0)</f>
        <v>3156.7394255523959</v>
      </c>
      <c r="S243" s="60">
        <f t="shared" ref="S243" si="220">IF($A$64&lt;=S207,IF($B$64&gt;=S207,ABS(S242),0),0)</f>
        <v>627.87301242898104</v>
      </c>
      <c r="T243" s="60">
        <f t="shared" ref="T243" si="221">IF($A$64&lt;=T207,IF($B$64&gt;=T207,ABS(T242),0),0)</f>
        <v>6179.2965101682557</v>
      </c>
      <c r="U243" s="60">
        <f t="shared" ref="U243" si="222">IF($A$64&lt;=U207,IF($B$64&gt;=U207,ABS(U242),0),0)</f>
        <v>15812.590725627568</v>
      </c>
      <c r="V243" s="60">
        <f t="shared" ref="V243" si="223">IF($A$64&lt;=V207,IF($B$64&gt;=V207,ABS(V242),0),0)</f>
        <v>8826.389424955094</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9763.3496530278189</v>
      </c>
      <c r="C248" s="27">
        <f t="shared" ref="C248:AF248" si="234">($C$17+SUM(C249:C279))*$B$51</f>
        <v>9756.5092880442826</v>
      </c>
      <c r="D248" s="27">
        <f t="shared" si="234"/>
        <v>9692.9353532614659</v>
      </c>
      <c r="E248" s="27">
        <f t="shared" si="234"/>
        <v>9362.0543607476302</v>
      </c>
      <c r="F248" s="27">
        <f t="shared" si="234"/>
        <v>9109.1749701672306</v>
      </c>
      <c r="G248" s="27">
        <f t="shared" si="234"/>
        <v>8836.8427738945957</v>
      </c>
      <c r="H248" s="27">
        <f t="shared" si="234"/>
        <v>8561.0766943684321</v>
      </c>
      <c r="I248" s="27">
        <f t="shared" si="234"/>
        <v>8296.6957297864064</v>
      </c>
      <c r="J248" s="27">
        <f t="shared" si="234"/>
        <v>7990.784373524084</v>
      </c>
      <c r="K248" s="27">
        <f t="shared" si="234"/>
        <v>7627.322311835359</v>
      </c>
      <c r="L248" s="27">
        <f t="shared" si="234"/>
        <v>7252.593473784179</v>
      </c>
      <c r="M248" s="27">
        <f t="shared" si="234"/>
        <v>6928.8118234213853</v>
      </c>
      <c r="N248" s="27">
        <f t="shared" si="234"/>
        <v>6647.9563050032293</v>
      </c>
      <c r="O248" s="27">
        <f t="shared" si="234"/>
        <v>6357.3852035951995</v>
      </c>
      <c r="P248" s="27">
        <f t="shared" si="234"/>
        <v>6067.4444205252585</v>
      </c>
      <c r="Q248" s="27">
        <f t="shared" si="234"/>
        <v>5786.9452367382692</v>
      </c>
      <c r="R248" s="27">
        <f t="shared" si="234"/>
        <v>5460.5021127066893</v>
      </c>
      <c r="S248" s="27">
        <f t="shared" si="234"/>
        <v>5050.8769348513688</v>
      </c>
      <c r="T248" s="27">
        <f t="shared" si="234"/>
        <v>4464.6384419900687</v>
      </c>
      <c r="U248" s="27">
        <f t="shared" si="234"/>
        <v>3816.264899421366</v>
      </c>
      <c r="V248" s="27">
        <f t="shared" si="234"/>
        <v>3182.7225072505048</v>
      </c>
      <c r="W248" s="27">
        <f t="shared" si="234"/>
        <v>2588.3307706062169</v>
      </c>
      <c r="X248" s="27">
        <f t="shared" si="234"/>
        <v>1970.2531425475399</v>
      </c>
      <c r="Y248" s="27">
        <f t="shared" si="234"/>
        <v>1489.9779033463653</v>
      </c>
      <c r="Z248" s="27">
        <f t="shared" si="234"/>
        <v>1042.0720767840603</v>
      </c>
      <c r="AA248" s="27">
        <f t="shared" si="234"/>
        <v>789.64816884144227</v>
      </c>
      <c r="AB248" s="27">
        <f t="shared" si="234"/>
        <v>644.2906267219571</v>
      </c>
      <c r="AC248" s="27">
        <f t="shared" si="234"/>
        <v>579.57340192439233</v>
      </c>
      <c r="AD248" s="27">
        <f t="shared" si="234"/>
        <v>541.48746671312563</v>
      </c>
      <c r="AE248" s="27">
        <f t="shared" si="234"/>
        <v>518.40869446962438</v>
      </c>
      <c r="AF248" s="27">
        <f t="shared" si="234"/>
        <v>507.12338903203926</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4.3917596038900962E-2</v>
      </c>
      <c r="C250" s="3">
        <f t="shared" si="236"/>
        <v>4.33076697995032E-2</v>
      </c>
      <c r="D250" s="3">
        <f t="shared" si="236"/>
        <v>3.7655410661991774E-2</v>
      </c>
      <c r="E250" s="3">
        <f t="shared" si="236"/>
        <v>9.2993609051404517E-3</v>
      </c>
      <c r="F250" s="3">
        <f t="shared" si="236"/>
        <v>7.8471191805077162E-9</v>
      </c>
      <c r="G250" s="3">
        <f t="shared" si="236"/>
        <v>1.436420869802376E-69</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1.7072519162446405E-2</v>
      </c>
      <c r="C251" s="3">
        <f t="shared" si="237"/>
        <v>1.7050994201739621E-2</v>
      </c>
      <c r="D251" s="3">
        <f t="shared" si="237"/>
        <v>1.6837231585128808E-2</v>
      </c>
      <c r="E251" s="3">
        <f t="shared" si="237"/>
        <v>1.4841591433920651E-2</v>
      </c>
      <c r="F251" s="3">
        <f t="shared" si="237"/>
        <v>4.2031833766654984E-3</v>
      </c>
      <c r="G251" s="3">
        <f t="shared" si="237"/>
        <v>1.3949447174862209E-8</v>
      </c>
      <c r="H251" s="3">
        <f t="shared" si="237"/>
        <v>2.261223988923371E-63</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3.0713576541547133E-2</v>
      </c>
      <c r="C252" s="3">
        <f t="shared" si="238"/>
        <v>3.0710081350240916E-2</v>
      </c>
      <c r="D252" s="3">
        <f t="shared" si="238"/>
        <v>3.0675151306028499E-2</v>
      </c>
      <c r="E252" s="3">
        <f t="shared" si="238"/>
        <v>3.0328028568260928E-2</v>
      </c>
      <c r="F252" s="3">
        <f t="shared" si="238"/>
        <v>2.7065674210387802E-2</v>
      </c>
      <c r="G252" s="3">
        <f t="shared" si="238"/>
        <v>8.67292406262005E-3</v>
      </c>
      <c r="H252" s="3">
        <f t="shared" si="238"/>
        <v>9.8999381966937705E-8</v>
      </c>
      <c r="I252" s="3">
        <f t="shared" si="238"/>
        <v>3.717935735403979E-57</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2.5231491063170935E-2</v>
      </c>
      <c r="C253" s="3">
        <f t="shared" si="239"/>
        <v>2.5231232031689484E-2</v>
      </c>
      <c r="D253" s="3">
        <f t="shared" si="239"/>
        <v>2.5228641863130227E-2</v>
      </c>
      <c r="E253" s="3">
        <f t="shared" si="239"/>
        <v>2.5202754797509736E-2</v>
      </c>
      <c r="F253" s="3">
        <f t="shared" si="239"/>
        <v>2.4945340600315412E-2</v>
      </c>
      <c r="G253" s="3">
        <f t="shared" si="239"/>
        <v>2.2511460811881941E-2</v>
      </c>
      <c r="H253" s="3">
        <f t="shared" si="239"/>
        <v>8.0639175406063759E-3</v>
      </c>
      <c r="I253" s="3">
        <f t="shared" si="239"/>
        <v>2.8052403589833043E-7</v>
      </c>
      <c r="J253" s="3">
        <f t="shared" si="239"/>
        <v>7.2813193922194573E-52</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2.5043163150037243E-2</v>
      </c>
      <c r="C254" s="3">
        <f t="shared" si="240"/>
        <v>2.5043139957544189E-2</v>
      </c>
      <c r="D254" s="3">
        <f t="shared" si="240"/>
        <v>2.5042908033794928E-2</v>
      </c>
      <c r="E254" s="3">
        <f t="shared" si="240"/>
        <v>2.5040588914430173E-2</v>
      </c>
      <c r="F254" s="3">
        <f t="shared" si="240"/>
        <v>2.5017409529520643E-2</v>
      </c>
      <c r="G254" s="3">
        <f t="shared" si="240"/>
        <v>2.4786792517875907E-2</v>
      </c>
      <c r="H254" s="3">
        <f t="shared" si="240"/>
        <v>2.259437158028945E-2</v>
      </c>
      <c r="I254" s="3">
        <f t="shared" si="240"/>
        <v>8.9495174629588611E-3</v>
      </c>
      <c r="J254" s="3">
        <f t="shared" si="240"/>
        <v>8.5073274700773781E-7</v>
      </c>
      <c r="K254" s="3">
        <f t="shared" si="240"/>
        <v>5.1254081510072074E-47</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3.1858465201069129E-2</v>
      </c>
      <c r="C255" s="3">
        <f t="shared" si="241"/>
        <v>3.1858462539548257E-2</v>
      </c>
      <c r="D255" s="3">
        <f t="shared" si="241"/>
        <v>3.1858435924351794E-2</v>
      </c>
      <c r="E255" s="3">
        <f t="shared" si="241"/>
        <v>3.185816977361005E-2</v>
      </c>
      <c r="F255" s="3">
        <f t="shared" si="241"/>
        <v>3.1855508388480239E-2</v>
      </c>
      <c r="G255" s="3">
        <f t="shared" si="241"/>
        <v>3.1828906762171316E-2</v>
      </c>
      <c r="H255" s="3">
        <f t="shared" si="241"/>
        <v>3.1564109227616072E-2</v>
      </c>
      <c r="I255" s="3">
        <f t="shared" si="241"/>
        <v>2.9034322284931319E-2</v>
      </c>
      <c r="J255" s="3">
        <f t="shared" si="241"/>
        <v>1.2591957518181559E-2</v>
      </c>
      <c r="K255" s="3">
        <f t="shared" si="241"/>
        <v>2.964208959515109E-6</v>
      </c>
      <c r="L255" s="3">
        <f t="shared" si="241"/>
        <v>1.5490465670495897E-42</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3.8271853417431757E-2</v>
      </c>
      <c r="C256" s="3">
        <f t="shared" si="242"/>
        <v>3.8271853129007938E-2</v>
      </c>
      <c r="D256" s="3">
        <f t="shared" si="242"/>
        <v>3.8271850244769832E-2</v>
      </c>
      <c r="E256" s="3">
        <f t="shared" si="242"/>
        <v>3.8271821402400728E-2</v>
      </c>
      <c r="F256" s="3">
        <f t="shared" si="242"/>
        <v>3.8271532979905161E-2</v>
      </c>
      <c r="G256" s="3">
        <f t="shared" si="242"/>
        <v>3.8268648874494653E-2</v>
      </c>
      <c r="H256" s="3">
        <f t="shared" si="242"/>
        <v>3.8239819771572932E-2</v>
      </c>
      <c r="I256" s="3">
        <f t="shared" si="242"/>
        <v>3.795272053494339E-2</v>
      </c>
      <c r="J256" s="3">
        <f t="shared" si="242"/>
        <v>3.5197650175274472E-2</v>
      </c>
      <c r="K256" s="3">
        <f t="shared" si="242"/>
        <v>1.6566137092587838E-2</v>
      </c>
      <c r="L256" s="3">
        <f t="shared" si="242"/>
        <v>8.8368412979740735E-6</v>
      </c>
      <c r="M256" s="3">
        <f t="shared" si="242"/>
        <v>1.6483715123918387E-38</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3.6033705298028358E-2</v>
      </c>
      <c r="C257" s="3">
        <f t="shared" si="243"/>
        <v>3.603370527353169E-2</v>
      </c>
      <c r="D257" s="3">
        <f t="shared" si="243"/>
        <v>3.6033705028564934E-2</v>
      </c>
      <c r="E257" s="3">
        <f t="shared" si="243"/>
        <v>3.6033702578897493E-2</v>
      </c>
      <c r="F257" s="3">
        <f t="shared" si="243"/>
        <v>3.60336780822322E-2</v>
      </c>
      <c r="G257" s="3">
        <f t="shared" si="243"/>
        <v>3.6033433116495234E-2</v>
      </c>
      <c r="H257" s="3">
        <f t="shared" si="243"/>
        <v>3.6030983550717204E-2</v>
      </c>
      <c r="I257" s="3">
        <f t="shared" si="243"/>
        <v>3.6006497049799385E-2</v>
      </c>
      <c r="J257" s="3">
        <f t="shared" si="243"/>
        <v>3.5762545427772956E-2</v>
      </c>
      <c r="K257" s="3">
        <f t="shared" si="243"/>
        <v>3.3412111607766234E-2</v>
      </c>
      <c r="L257" s="3">
        <f t="shared" si="243"/>
        <v>1.6930076982393908E-2</v>
      </c>
      <c r="M257" s="3">
        <f t="shared" si="243"/>
        <v>1.8889002646913665E-5</v>
      </c>
      <c r="N257" s="3">
        <f t="shared" si="243"/>
        <v>5.6455982946624721E-35</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2.6918166434359916E-2</v>
      </c>
      <c r="C258" s="3">
        <f t="shared" si="244"/>
        <v>2.6918166432709129E-2</v>
      </c>
      <c r="D258" s="3">
        <f t="shared" si="244"/>
        <v>2.6918166416201289E-2</v>
      </c>
      <c r="E258" s="3">
        <f t="shared" si="244"/>
        <v>2.6918166251122873E-2</v>
      </c>
      <c r="F258" s="3">
        <f t="shared" si="244"/>
        <v>2.6918164600338784E-2</v>
      </c>
      <c r="G258" s="3">
        <f t="shared" si="244"/>
        <v>2.6918148092503435E-2</v>
      </c>
      <c r="H258" s="3">
        <f t="shared" si="244"/>
        <v>2.6917983014706742E-2</v>
      </c>
      <c r="I258" s="3">
        <f t="shared" si="244"/>
        <v>2.691633229241824E-2</v>
      </c>
      <c r="J258" s="3">
        <f t="shared" si="244"/>
        <v>2.689983063611134E-2</v>
      </c>
      <c r="K258" s="3">
        <f t="shared" si="244"/>
        <v>2.6735369469833778E-2</v>
      </c>
      <c r="L258" s="3">
        <f t="shared" si="244"/>
        <v>2.5145057661837403E-2</v>
      </c>
      <c r="M258" s="3">
        <f t="shared" si="244"/>
        <v>1.361811798097713E-2</v>
      </c>
      <c r="N258" s="3">
        <f t="shared" si="244"/>
        <v>2.9563895433195593E-5</v>
      </c>
      <c r="O258" s="3">
        <f t="shared" si="244"/>
        <v>6.8739648793566461E-32</v>
      </c>
      <c r="P258" s="3">
        <f t="shared" si="244"/>
        <v>3.1744158774000562E-298</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2.7316066250330253E-2</v>
      </c>
      <c r="C259" s="3">
        <f t="shared" si="245"/>
        <v>2.7316066250179141E-2</v>
      </c>
      <c r="D259" s="3">
        <f t="shared" si="245"/>
        <v>2.7316066248667982E-2</v>
      </c>
      <c r="E259" s="3">
        <f t="shared" si="245"/>
        <v>2.7316066233556414E-2</v>
      </c>
      <c r="F259" s="3">
        <f t="shared" si="245"/>
        <v>2.7316066082440721E-2</v>
      </c>
      <c r="G259" s="3">
        <f t="shared" si="245"/>
        <v>2.7316064571283848E-2</v>
      </c>
      <c r="H259" s="3">
        <f t="shared" si="245"/>
        <v>2.7316049459719712E-2</v>
      </c>
      <c r="I259" s="3">
        <f t="shared" si="245"/>
        <v>2.7315898344538143E-2</v>
      </c>
      <c r="J259" s="3">
        <f t="shared" si="245"/>
        <v>2.7314387238700867E-2</v>
      </c>
      <c r="K259" s="3">
        <f t="shared" si="245"/>
        <v>2.7299280777226407E-2</v>
      </c>
      <c r="L259" s="3">
        <f t="shared" si="245"/>
        <v>2.7148674912770333E-2</v>
      </c>
      <c r="M259" s="3">
        <f t="shared" si="245"/>
        <v>2.5687566021937204E-2</v>
      </c>
      <c r="N259" s="3">
        <f t="shared" si="245"/>
        <v>1.4772912932904359E-2</v>
      </c>
      <c r="O259" s="3">
        <f t="shared" si="245"/>
        <v>5.846527087650046E-5</v>
      </c>
      <c r="P259" s="3">
        <f t="shared" si="245"/>
        <v>5.5108202478296766E-29</v>
      </c>
      <c r="Q259" s="3">
        <f t="shared" si="245"/>
        <v>3.0506967404527412E-269</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2.9609291080509491E-2</v>
      </c>
      <c r="C260" s="3">
        <f t="shared" si="246"/>
        <v>2.9609291080494714E-2</v>
      </c>
      <c r="D260" s="3">
        <f t="shared" si="246"/>
        <v>2.9609291080346951E-2</v>
      </c>
      <c r="E260" s="3">
        <f t="shared" si="246"/>
        <v>2.960929107886932E-2</v>
      </c>
      <c r="F260" s="3">
        <f t="shared" si="246"/>
        <v>2.9609291064093012E-2</v>
      </c>
      <c r="G260" s="3">
        <f t="shared" si="246"/>
        <v>2.9609290916329904E-2</v>
      </c>
      <c r="H260" s="3">
        <f t="shared" si="246"/>
        <v>2.9609289438698901E-2</v>
      </c>
      <c r="I260" s="3">
        <f t="shared" si="246"/>
        <v>2.9609274662392902E-2</v>
      </c>
      <c r="J260" s="3">
        <f t="shared" si="246"/>
        <v>2.9609126899738533E-2</v>
      </c>
      <c r="K260" s="3">
        <f t="shared" si="246"/>
        <v>2.9607649313751042E-2</v>
      </c>
      <c r="L260" s="3">
        <f t="shared" si="246"/>
        <v>2.9592877508752381E-2</v>
      </c>
      <c r="M260" s="3">
        <f t="shared" si="246"/>
        <v>2.9445564198668211E-2</v>
      </c>
      <c r="N260" s="3">
        <f t="shared" si="246"/>
        <v>2.8012167623451791E-2</v>
      </c>
      <c r="O260" s="3">
        <f t="shared" si="246"/>
        <v>1.7006505345376281E-2</v>
      </c>
      <c r="P260" s="3">
        <f t="shared" si="246"/>
        <v>1.1569077071496448E-4</v>
      </c>
      <c r="Q260" s="3">
        <f t="shared" si="246"/>
        <v>2.4554724060209524E-26</v>
      </c>
      <c r="R260" s="3">
        <f t="shared" si="246"/>
        <v>4.5551060779031443E-243</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2.5103127911926128E-2</v>
      </c>
      <c r="C261" s="3">
        <f t="shared" si="247"/>
        <v>2.5103127911924997E-2</v>
      </c>
      <c r="D261" s="3">
        <f t="shared" si="247"/>
        <v>2.5103127911913697E-2</v>
      </c>
      <c r="E261" s="3">
        <f t="shared" si="247"/>
        <v>2.5103127911800686E-2</v>
      </c>
      <c r="F261" s="3">
        <f t="shared" si="247"/>
        <v>2.5103127910670601E-2</v>
      </c>
      <c r="G261" s="3">
        <f t="shared" si="247"/>
        <v>2.5103127899369717E-2</v>
      </c>
      <c r="H261" s="3">
        <f t="shared" si="247"/>
        <v>2.5103127786360872E-2</v>
      </c>
      <c r="I261" s="3">
        <f t="shared" si="247"/>
        <v>2.510312665627247E-2</v>
      </c>
      <c r="J261" s="3">
        <f t="shared" si="247"/>
        <v>2.5103115355391271E-2</v>
      </c>
      <c r="K261" s="3">
        <f t="shared" si="247"/>
        <v>2.5103002346859041E-2</v>
      </c>
      <c r="L261" s="3">
        <f t="shared" si="247"/>
        <v>2.5101872289517033E-2</v>
      </c>
      <c r="M261" s="3">
        <f t="shared" si="247"/>
        <v>2.5090574513656441E-2</v>
      </c>
      <c r="N261" s="3">
        <f t="shared" si="247"/>
        <v>2.4977876045584761E-2</v>
      </c>
      <c r="O261" s="3">
        <f t="shared" si="247"/>
        <v>2.3878360763937612E-2</v>
      </c>
      <c r="P261" s="3">
        <f t="shared" si="247"/>
        <v>1.5222800046229576E-2</v>
      </c>
      <c r="Q261" s="3">
        <f t="shared" si="247"/>
        <v>1.6880872035581116E-4</v>
      </c>
      <c r="R261" s="3">
        <f t="shared" si="247"/>
        <v>4.7467704079183472E-24</v>
      </c>
      <c r="S261" s="3">
        <f t="shared" si="247"/>
        <v>1.4670053958893431E-219</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2.9852900565737826E-2</v>
      </c>
      <c r="C262" s="3">
        <f t="shared" si="248"/>
        <v>2.9852900565737705E-2</v>
      </c>
      <c r="D262" s="3">
        <f t="shared" si="248"/>
        <v>2.9852900565736494E-2</v>
      </c>
      <c r="E262" s="3">
        <f t="shared" si="248"/>
        <v>2.9852900565724372E-2</v>
      </c>
      <c r="F262" s="3">
        <f t="shared" si="248"/>
        <v>2.9852900565603139E-2</v>
      </c>
      <c r="G262" s="3">
        <f t="shared" si="248"/>
        <v>2.9852900564390817E-2</v>
      </c>
      <c r="H262" s="3">
        <f t="shared" si="248"/>
        <v>2.9852900552267601E-2</v>
      </c>
      <c r="I262" s="3">
        <f t="shared" si="248"/>
        <v>2.985290043103548E-2</v>
      </c>
      <c r="J262" s="3">
        <f t="shared" si="248"/>
        <v>2.9852899218714264E-2</v>
      </c>
      <c r="K262" s="3">
        <f t="shared" si="248"/>
        <v>2.9852887095504842E-2</v>
      </c>
      <c r="L262" s="3">
        <f t="shared" si="248"/>
        <v>2.9852765863681352E-2</v>
      </c>
      <c r="M262" s="3">
        <f t="shared" si="248"/>
        <v>2.9851553572523708E-2</v>
      </c>
      <c r="N262" s="3">
        <f t="shared" si="248"/>
        <v>2.9839433368264116E-2</v>
      </c>
      <c r="O262" s="3">
        <f t="shared" si="248"/>
        <v>2.9718501651000383E-2</v>
      </c>
      <c r="P262" s="3">
        <f t="shared" si="248"/>
        <v>2.8535815204948061E-2</v>
      </c>
      <c r="Q262" s="3">
        <f t="shared" si="248"/>
        <v>1.9011834682673697E-2</v>
      </c>
      <c r="R262" s="3">
        <f t="shared" si="248"/>
        <v>3.2761326854326058E-4</v>
      </c>
      <c r="S262" s="3">
        <f t="shared" si="248"/>
        <v>7.5637299855333308E-22</v>
      </c>
      <c r="T262" s="3">
        <f t="shared" si="248"/>
        <v>3.2544781328230933E-198</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3.2229654464622864E-2</v>
      </c>
      <c r="C263" s="3">
        <f t="shared" si="249"/>
        <v>3.2229654464622851E-2</v>
      </c>
      <c r="D263" s="3">
        <f t="shared" si="249"/>
        <v>3.2229654464622733E-2</v>
      </c>
      <c r="E263" s="3">
        <f t="shared" si="249"/>
        <v>3.2229654464621553E-2</v>
      </c>
      <c r="F263" s="3">
        <f t="shared" si="249"/>
        <v>3.222965446460975E-2</v>
      </c>
      <c r="G263" s="3">
        <f t="shared" si="249"/>
        <v>3.2229654464491678E-2</v>
      </c>
      <c r="H263" s="3">
        <f t="shared" si="249"/>
        <v>3.2229654463310997E-2</v>
      </c>
      <c r="I263" s="3">
        <f t="shared" si="249"/>
        <v>3.2229654451504164E-2</v>
      </c>
      <c r="J263" s="3">
        <f t="shared" si="249"/>
        <v>3.2229654333435831E-2</v>
      </c>
      <c r="K263" s="3">
        <f t="shared" si="249"/>
        <v>3.2229653152752551E-2</v>
      </c>
      <c r="L263" s="3">
        <f t="shared" si="249"/>
        <v>3.2229641345922176E-2</v>
      </c>
      <c r="M263" s="3">
        <f t="shared" si="249"/>
        <v>3.2229523277856262E-2</v>
      </c>
      <c r="N263" s="3">
        <f t="shared" si="249"/>
        <v>3.2228342620985617E-2</v>
      </c>
      <c r="O263" s="3">
        <f t="shared" si="249"/>
        <v>3.2216538430808322E-2</v>
      </c>
      <c r="P263" s="3">
        <f t="shared" si="249"/>
        <v>3.2098734059871147E-2</v>
      </c>
      <c r="Q263" s="3">
        <f t="shared" si="249"/>
        <v>3.0944124606364573E-2</v>
      </c>
      <c r="R263" s="3">
        <f t="shared" si="249"/>
        <v>2.1452660865586958E-2</v>
      </c>
      <c r="S263" s="3">
        <f t="shared" si="249"/>
        <v>5.5018763739796812E-4</v>
      </c>
      <c r="T263" s="3">
        <f t="shared" si="249"/>
        <v>6.7734110437302601E-20</v>
      </c>
      <c r="U263" s="3">
        <f t="shared" si="249"/>
        <v>5.4171825416475878E-179</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5.4487827383483636E-2</v>
      </c>
      <c r="C264" s="3">
        <f t="shared" si="250"/>
        <v>5.4487827383483636E-2</v>
      </c>
      <c r="D264" s="3">
        <f t="shared" si="250"/>
        <v>5.4487827383483615E-2</v>
      </c>
      <c r="E264" s="3">
        <f t="shared" si="250"/>
        <v>5.4487827383483435E-2</v>
      </c>
      <c r="F264" s="3">
        <f t="shared" si="250"/>
        <v>5.4487827383481631E-2</v>
      </c>
      <c r="G264" s="3">
        <f t="shared" si="250"/>
        <v>5.4487827383463631E-2</v>
      </c>
      <c r="H264" s="3">
        <f t="shared" si="250"/>
        <v>5.4487827383283567E-2</v>
      </c>
      <c r="I264" s="3">
        <f t="shared" si="250"/>
        <v>5.4487827381482938E-2</v>
      </c>
      <c r="J264" s="3">
        <f t="shared" si="250"/>
        <v>5.4487827363476668E-2</v>
      </c>
      <c r="K264" s="3">
        <f t="shared" si="250"/>
        <v>5.4487827183413926E-2</v>
      </c>
      <c r="L264" s="3">
        <f t="shared" si="250"/>
        <v>5.4487825382786563E-2</v>
      </c>
      <c r="M264" s="3">
        <f t="shared" si="250"/>
        <v>5.4487807376516206E-2</v>
      </c>
      <c r="N264" s="3">
        <f t="shared" si="250"/>
        <v>5.448762731413994E-2</v>
      </c>
      <c r="O264" s="3">
        <f t="shared" si="250"/>
        <v>5.4485826723104147E-2</v>
      </c>
      <c r="P264" s="3">
        <f t="shared" si="250"/>
        <v>5.4467824085037191E-2</v>
      </c>
      <c r="Q264" s="3">
        <f t="shared" si="250"/>
        <v>5.4288124533703304E-2</v>
      </c>
      <c r="R264" s="3">
        <f t="shared" si="250"/>
        <v>5.252341584184754E-2</v>
      </c>
      <c r="S264" s="3">
        <f t="shared" si="250"/>
        <v>3.7742807521997303E-2</v>
      </c>
      <c r="T264" s="3">
        <f t="shared" si="250"/>
        <v>1.3856278380363883E-3</v>
      </c>
      <c r="U264" s="3">
        <f t="shared" si="250"/>
        <v>6.162693614935499E-18</v>
      </c>
      <c r="V264" s="3">
        <f t="shared" si="250"/>
        <v>1.8664241509665311E-161</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6.3046504540403295E-2</v>
      </c>
      <c r="C265" s="3">
        <f t="shared" si="251"/>
        <v>6.3046504540403295E-2</v>
      </c>
      <c r="D265" s="3">
        <f t="shared" si="251"/>
        <v>6.3046504540403295E-2</v>
      </c>
      <c r="E265" s="3">
        <f t="shared" si="251"/>
        <v>6.3046504540403267E-2</v>
      </c>
      <c r="F265" s="3">
        <f t="shared" si="251"/>
        <v>6.3046504540403087E-2</v>
      </c>
      <c r="G265" s="3">
        <f t="shared" si="251"/>
        <v>6.3046504540401213E-2</v>
      </c>
      <c r="H265" s="3">
        <f t="shared" si="251"/>
        <v>6.3046504540382409E-2</v>
      </c>
      <c r="I265" s="3">
        <f t="shared" si="251"/>
        <v>6.3046504540194476E-2</v>
      </c>
      <c r="J265" s="3">
        <f t="shared" si="251"/>
        <v>6.3046504538315007E-2</v>
      </c>
      <c r="K265" s="3">
        <f t="shared" si="251"/>
        <v>6.3046504519520458E-2</v>
      </c>
      <c r="L265" s="3">
        <f t="shared" si="251"/>
        <v>6.3046504331574951E-2</v>
      </c>
      <c r="M265" s="3">
        <f t="shared" si="251"/>
        <v>6.3046502452119818E-2</v>
      </c>
      <c r="N265" s="3">
        <f t="shared" si="251"/>
        <v>6.3046483657571734E-2</v>
      </c>
      <c r="O265" s="3">
        <f t="shared" si="251"/>
        <v>6.3046295712398934E-2</v>
      </c>
      <c r="P265" s="3">
        <f t="shared" si="251"/>
        <v>6.3044416291485758E-2</v>
      </c>
      <c r="Q265" s="3">
        <f t="shared" si="251"/>
        <v>6.3025625163500812E-2</v>
      </c>
      <c r="R265" s="3">
        <f t="shared" si="251"/>
        <v>6.2838021658751103E-2</v>
      </c>
      <c r="S265" s="3">
        <f t="shared" si="251"/>
        <v>6.0992427337437878E-2</v>
      </c>
      <c r="T265" s="3">
        <f t="shared" si="251"/>
        <v>4.5269954306215353E-2</v>
      </c>
      <c r="U265" s="3">
        <f t="shared" si="251"/>
        <v>2.2969494772633846E-3</v>
      </c>
      <c r="V265" s="3">
        <f t="shared" si="251"/>
        <v>2.5975583304393455E-16</v>
      </c>
      <c r="W265" s="3">
        <f t="shared" si="251"/>
        <v>8.8859521319401905E-146</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6.2829439903481887E-2</v>
      </c>
      <c r="C266" s="3">
        <f t="shared" si="252"/>
        <v>6.2829439903481887E-2</v>
      </c>
      <c r="D266" s="3">
        <f t="shared" si="252"/>
        <v>6.2829439903481887E-2</v>
      </c>
      <c r="E266" s="3">
        <f t="shared" si="252"/>
        <v>6.2829439903481887E-2</v>
      </c>
      <c r="F266" s="3">
        <f t="shared" si="252"/>
        <v>6.282943990348186E-2</v>
      </c>
      <c r="G266" s="3">
        <f t="shared" si="252"/>
        <v>6.2829439903481693E-2</v>
      </c>
      <c r="H266" s="3">
        <f t="shared" si="252"/>
        <v>6.2829439903480014E-2</v>
      </c>
      <c r="I266" s="3">
        <f t="shared" si="252"/>
        <v>6.2829439903463111E-2</v>
      </c>
      <c r="J266" s="3">
        <f t="shared" si="252"/>
        <v>6.2829439903294163E-2</v>
      </c>
      <c r="K266" s="3">
        <f t="shared" si="252"/>
        <v>6.282943990160457E-2</v>
      </c>
      <c r="L266" s="3">
        <f t="shared" si="252"/>
        <v>6.2829439884708682E-2</v>
      </c>
      <c r="M266" s="3">
        <f t="shared" si="252"/>
        <v>6.2829439715749918E-2</v>
      </c>
      <c r="N266" s="3">
        <f t="shared" si="252"/>
        <v>6.2829438026162282E-2</v>
      </c>
      <c r="O266" s="3">
        <f t="shared" si="252"/>
        <v>6.2829421130288304E-2</v>
      </c>
      <c r="P266" s="3">
        <f t="shared" si="252"/>
        <v>6.2829252171798453E-2</v>
      </c>
      <c r="Q266" s="3">
        <f t="shared" si="252"/>
        <v>6.2827562611889348E-2</v>
      </c>
      <c r="R266" s="3">
        <f t="shared" si="252"/>
        <v>6.281066951149164E-2</v>
      </c>
      <c r="S266" s="3">
        <f t="shared" si="252"/>
        <v>6.264198812840692E-2</v>
      </c>
      <c r="T266" s="3">
        <f t="shared" si="252"/>
        <v>6.0979889792635245E-2</v>
      </c>
      <c r="U266" s="3">
        <f t="shared" si="252"/>
        <v>4.6601259831868233E-2</v>
      </c>
      <c r="V266" s="3">
        <f t="shared" si="252"/>
        <v>3.1659779308271848E-3</v>
      </c>
      <c r="W266" s="3">
        <f t="shared" si="252"/>
        <v>6.631475022027148E-15</v>
      </c>
      <c r="X266" s="3">
        <f t="shared" si="252"/>
        <v>1.0780345700506131E-131</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5.5245188990655253E-2</v>
      </c>
      <c r="C267" s="3">
        <f t="shared" si="253"/>
        <v>5.5245188990655253E-2</v>
      </c>
      <c r="D267" s="3">
        <f t="shared" si="253"/>
        <v>5.5245188990655253E-2</v>
      </c>
      <c r="E267" s="3">
        <f t="shared" si="253"/>
        <v>5.5245188990655253E-2</v>
      </c>
      <c r="F267" s="3">
        <f t="shared" si="253"/>
        <v>5.5245188990655253E-2</v>
      </c>
      <c r="G267" s="3">
        <f t="shared" si="253"/>
        <v>5.5245188990655239E-2</v>
      </c>
      <c r="H267" s="3">
        <f t="shared" si="253"/>
        <v>5.5245188990655107E-2</v>
      </c>
      <c r="I267" s="3">
        <f t="shared" si="253"/>
        <v>5.5245188990653761E-2</v>
      </c>
      <c r="J267" s="3">
        <f t="shared" si="253"/>
        <v>5.5245188990640362E-2</v>
      </c>
      <c r="K267" s="3">
        <f t="shared" si="253"/>
        <v>5.5245188990506344E-2</v>
      </c>
      <c r="L267" s="3">
        <f t="shared" si="253"/>
        <v>5.524518898916618E-2</v>
      </c>
      <c r="M267" s="3">
        <f t="shared" si="253"/>
        <v>5.5245188975764518E-2</v>
      </c>
      <c r="N267" s="3">
        <f t="shared" si="253"/>
        <v>5.5245188841747915E-2</v>
      </c>
      <c r="O267" s="3">
        <f t="shared" si="253"/>
        <v>5.524518750158193E-2</v>
      </c>
      <c r="P267" s="3">
        <f t="shared" si="253"/>
        <v>5.5245174099923799E-2</v>
      </c>
      <c r="Q267" s="3">
        <f t="shared" si="253"/>
        <v>5.5245040083521393E-2</v>
      </c>
      <c r="R267" s="3">
        <f t="shared" si="253"/>
        <v>5.5243699937377842E-2</v>
      </c>
      <c r="S267" s="3">
        <f t="shared" si="253"/>
        <v>5.5230300263837691E-2</v>
      </c>
      <c r="T267" s="3">
        <f t="shared" si="253"/>
        <v>5.5096482157607665E-2</v>
      </c>
      <c r="U267" s="3">
        <f t="shared" si="253"/>
        <v>5.3776004716220592E-2</v>
      </c>
      <c r="V267" s="3">
        <f t="shared" si="253"/>
        <v>4.2192490341426574E-2</v>
      </c>
      <c r="W267" s="3">
        <f t="shared" si="253"/>
        <v>3.7299363773087499E-3</v>
      </c>
      <c r="X267" s="3">
        <f t="shared" si="253"/>
        <v>1.0873367515520305E-13</v>
      </c>
      <c r="Y267" s="3">
        <f t="shared" si="253"/>
        <v>4.819372554858307E-119</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6.6645884688751614E-2</v>
      </c>
      <c r="C268" s="3">
        <f t="shared" si="254"/>
        <v>6.6645884688751614E-2</v>
      </c>
      <c r="D268" s="3">
        <f t="shared" si="254"/>
        <v>6.6645884688751614E-2</v>
      </c>
      <c r="E268" s="3">
        <f t="shared" si="254"/>
        <v>6.6645884688751614E-2</v>
      </c>
      <c r="F268" s="3">
        <f t="shared" si="254"/>
        <v>6.6645884688751614E-2</v>
      </c>
      <c r="G268" s="3">
        <f t="shared" si="254"/>
        <v>6.6645884688751614E-2</v>
      </c>
      <c r="H268" s="3">
        <f t="shared" si="254"/>
        <v>6.66458846887516E-2</v>
      </c>
      <c r="I268" s="3">
        <f t="shared" si="254"/>
        <v>6.6645884688751447E-2</v>
      </c>
      <c r="J268" s="3">
        <f t="shared" si="254"/>
        <v>6.664588468874999E-2</v>
      </c>
      <c r="K268" s="3">
        <f t="shared" si="254"/>
        <v>6.6645884688735404E-2</v>
      </c>
      <c r="L268" s="3">
        <f t="shared" si="254"/>
        <v>6.6645884688589563E-2</v>
      </c>
      <c r="M268" s="3">
        <f t="shared" si="254"/>
        <v>6.6645884687131146E-2</v>
      </c>
      <c r="N268" s="3">
        <f t="shared" si="254"/>
        <v>6.6645884672546896E-2</v>
      </c>
      <c r="O268" s="3">
        <f t="shared" si="254"/>
        <v>6.6645884526704405E-2</v>
      </c>
      <c r="P268" s="3">
        <f t="shared" si="254"/>
        <v>6.6645883068279552E-2</v>
      </c>
      <c r="Q268" s="3">
        <f t="shared" si="254"/>
        <v>6.6645868484032714E-2</v>
      </c>
      <c r="R268" s="3">
        <f t="shared" si="254"/>
        <v>6.6645722641739985E-2</v>
      </c>
      <c r="S268" s="3">
        <f t="shared" si="254"/>
        <v>6.6644264236365644E-2</v>
      </c>
      <c r="T268" s="3">
        <f t="shared" si="254"/>
        <v>6.6629681937789259E-2</v>
      </c>
      <c r="U268" s="3">
        <f t="shared" si="254"/>
        <v>6.6484034326682095E-2</v>
      </c>
      <c r="V268" s="3">
        <f t="shared" si="254"/>
        <v>6.5044954511605038E-2</v>
      </c>
      <c r="W268" s="3">
        <f t="shared" si="254"/>
        <v>5.226080640658666E-2</v>
      </c>
      <c r="X268" s="3">
        <f t="shared" si="254"/>
        <v>5.8586969177107755E-3</v>
      </c>
      <c r="Y268" s="3">
        <f t="shared" si="254"/>
        <v>1.8367509801026421E-12</v>
      </c>
      <c r="Z268" s="3">
        <f t="shared" si="254"/>
        <v>1.6847783239227522E-107</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2.5869055396656026E-2</v>
      </c>
      <c r="C269" s="3">
        <f t="shared" si="255"/>
        <v>2.5869055396656026E-2</v>
      </c>
      <c r="D269" s="3">
        <f t="shared" si="255"/>
        <v>2.5869055396656026E-2</v>
      </c>
      <c r="E269" s="3">
        <f t="shared" si="255"/>
        <v>2.5869055396656026E-2</v>
      </c>
      <c r="F269" s="3">
        <f t="shared" si="255"/>
        <v>2.5869055396656026E-2</v>
      </c>
      <c r="G269" s="3">
        <f t="shared" si="255"/>
        <v>2.5869055396656026E-2</v>
      </c>
      <c r="H269" s="3">
        <f t="shared" si="255"/>
        <v>2.5869055396656026E-2</v>
      </c>
      <c r="I269" s="3">
        <f t="shared" si="255"/>
        <v>2.5869055396656019E-2</v>
      </c>
      <c r="J269" s="3">
        <f t="shared" si="255"/>
        <v>2.5869055396655967E-2</v>
      </c>
      <c r="K269" s="3">
        <f t="shared" si="255"/>
        <v>2.5869055396655457E-2</v>
      </c>
      <c r="L269" s="3">
        <f t="shared" si="255"/>
        <v>2.586905539665035E-2</v>
      </c>
      <c r="M269" s="3">
        <f t="shared" si="255"/>
        <v>2.5869055396599287E-2</v>
      </c>
      <c r="N269" s="3">
        <f t="shared" si="255"/>
        <v>2.5869055396088615E-2</v>
      </c>
      <c r="O269" s="3">
        <f t="shared" si="255"/>
        <v>2.5869055390981947E-2</v>
      </c>
      <c r="P269" s="3">
        <f t="shared" si="255"/>
        <v>2.5869055339915237E-2</v>
      </c>
      <c r="Q269" s="3">
        <f t="shared" si="255"/>
        <v>2.5869054829248131E-2</v>
      </c>
      <c r="R269" s="3">
        <f t="shared" si="255"/>
        <v>2.5869049722577638E-2</v>
      </c>
      <c r="S269" s="3">
        <f t="shared" si="255"/>
        <v>2.5868998655928163E-2</v>
      </c>
      <c r="T269" s="3">
        <f t="shared" si="255"/>
        <v>2.5868487994977808E-2</v>
      </c>
      <c r="U269" s="3">
        <f t="shared" si="255"/>
        <v>2.5863381939873524E-2</v>
      </c>
      <c r="V269" s="3">
        <f t="shared" si="255"/>
        <v>2.5812376788286004E-2</v>
      </c>
      <c r="W269" s="3">
        <f t="shared" si="255"/>
        <v>2.5307824967113316E-2</v>
      </c>
      <c r="X269" s="3">
        <f t="shared" si="255"/>
        <v>2.077414143229038E-2</v>
      </c>
      <c r="Y269" s="3">
        <f t="shared" si="255"/>
        <v>2.8853978419954292E-3</v>
      </c>
      <c r="Z269" s="3">
        <f t="shared" si="255"/>
        <v>7.7096007635634831E-12</v>
      </c>
      <c r="AA269" s="3">
        <f t="shared" si="255"/>
        <v>1.4298607749203588E-97</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4.8591449840458205E-2</v>
      </c>
      <c r="C270" s="3">
        <f t="shared" si="256"/>
        <v>4.8591449840458205E-2</v>
      </c>
      <c r="D270" s="3">
        <f t="shared" si="256"/>
        <v>4.8591449840458205E-2</v>
      </c>
      <c r="E270" s="3">
        <f t="shared" si="256"/>
        <v>4.8591449840458205E-2</v>
      </c>
      <c r="F270" s="3">
        <f t="shared" si="256"/>
        <v>4.8591449840458205E-2</v>
      </c>
      <c r="G270" s="3">
        <f t="shared" si="256"/>
        <v>4.8591449840458205E-2</v>
      </c>
      <c r="H270" s="3">
        <f t="shared" si="256"/>
        <v>4.8591449840458205E-2</v>
      </c>
      <c r="I270" s="3">
        <f t="shared" si="256"/>
        <v>4.8591449840458198E-2</v>
      </c>
      <c r="J270" s="3">
        <f t="shared" si="256"/>
        <v>4.8591449840458177E-2</v>
      </c>
      <c r="K270" s="3">
        <f t="shared" si="256"/>
        <v>4.8591449840457906E-2</v>
      </c>
      <c r="L270" s="3">
        <f t="shared" si="256"/>
        <v>4.8591449840455263E-2</v>
      </c>
      <c r="M270" s="3">
        <f t="shared" si="256"/>
        <v>4.8591449840428728E-2</v>
      </c>
      <c r="N270" s="3">
        <f t="shared" si="256"/>
        <v>4.8591449840163434E-2</v>
      </c>
      <c r="O270" s="3">
        <f t="shared" si="256"/>
        <v>4.8591449837510479E-2</v>
      </c>
      <c r="P270" s="3">
        <f t="shared" si="256"/>
        <v>4.8591449810980916E-2</v>
      </c>
      <c r="Q270" s="3">
        <f t="shared" si="256"/>
        <v>4.8591449545685325E-2</v>
      </c>
      <c r="R270" s="3">
        <f t="shared" si="256"/>
        <v>4.8591446892729477E-2</v>
      </c>
      <c r="S270" s="3">
        <f t="shared" si="256"/>
        <v>4.8591420363178962E-2</v>
      </c>
      <c r="T270" s="3">
        <f t="shared" si="256"/>
        <v>4.8591155068470511E-2</v>
      </c>
      <c r="U270" s="3">
        <f t="shared" si="256"/>
        <v>4.8588502201048343E-2</v>
      </c>
      <c r="V270" s="3">
        <f t="shared" si="256"/>
        <v>4.8561981491453417E-2</v>
      </c>
      <c r="W270" s="3">
        <f t="shared" si="256"/>
        <v>4.8297569251598754E-2</v>
      </c>
      <c r="X270" s="3">
        <f t="shared" si="256"/>
        <v>4.5731349957135292E-2</v>
      </c>
      <c r="Y270" s="3">
        <f t="shared" si="256"/>
        <v>2.6491191937017652E-2</v>
      </c>
      <c r="Z270" s="3">
        <f t="shared" si="256"/>
        <v>1.1271358815860731E-4</v>
      </c>
      <c r="AA270" s="3">
        <f t="shared" si="256"/>
        <v>2.1914120104432151E-28</v>
      </c>
      <c r="AB270" s="3">
        <f t="shared" si="256"/>
        <v>1.6912260459020185E-265</v>
      </c>
      <c r="AC270" s="3">
        <f t="shared" si="256"/>
        <v>0</v>
      </c>
      <c r="AD270" s="3">
        <f t="shared" si="256"/>
        <v>0</v>
      </c>
      <c r="AE270" s="3">
        <f t="shared" si="256"/>
        <v>0</v>
      </c>
      <c r="AF270" s="3">
        <f t="shared" si="256"/>
        <v>0</v>
      </c>
      <c r="AG270" s="3"/>
      <c r="AH270" s="3"/>
    </row>
    <row r="271" spans="2:34" x14ac:dyDescent="0.25">
      <c r="B271" s="3">
        <f t="shared" ref="B271:AF271" si="257">$C40*EXP(-B$246/$A40/EXP(-$E$126))</f>
        <v>2.853497416803049E-2</v>
      </c>
      <c r="C271" s="3">
        <f t="shared" si="257"/>
        <v>2.853497416803049E-2</v>
      </c>
      <c r="D271" s="3">
        <f t="shared" si="257"/>
        <v>2.853497416803049E-2</v>
      </c>
      <c r="E271" s="3">
        <f t="shared" si="257"/>
        <v>2.853497416803049E-2</v>
      </c>
      <c r="F271" s="3">
        <f t="shared" si="257"/>
        <v>2.853497416803049E-2</v>
      </c>
      <c r="G271" s="3">
        <f t="shared" si="257"/>
        <v>2.853497416803049E-2</v>
      </c>
      <c r="H271" s="3">
        <f t="shared" si="257"/>
        <v>2.853497416803049E-2</v>
      </c>
      <c r="I271" s="3">
        <f t="shared" si="257"/>
        <v>2.853497416803049E-2</v>
      </c>
      <c r="J271" s="3">
        <f t="shared" si="257"/>
        <v>2.8534974168030487E-2</v>
      </c>
      <c r="K271" s="3">
        <f t="shared" si="257"/>
        <v>2.8534974168030473E-2</v>
      </c>
      <c r="L271" s="3">
        <f t="shared" si="257"/>
        <v>2.8534974168030316E-2</v>
      </c>
      <c r="M271" s="3">
        <f t="shared" si="257"/>
        <v>2.8534974168028759E-2</v>
      </c>
      <c r="N271" s="3">
        <f t="shared" si="257"/>
        <v>2.8534974168013181E-2</v>
      </c>
      <c r="O271" s="3">
        <f t="shared" si="257"/>
        <v>2.8534974167857385E-2</v>
      </c>
      <c r="P271" s="3">
        <f t="shared" si="257"/>
        <v>2.8534974166299458E-2</v>
      </c>
      <c r="Q271" s="3">
        <f t="shared" si="257"/>
        <v>2.8534974150720167E-2</v>
      </c>
      <c r="R271" s="3">
        <f t="shared" si="257"/>
        <v>2.8534973994927267E-2</v>
      </c>
      <c r="S271" s="3">
        <f t="shared" si="257"/>
        <v>2.8534972436998315E-2</v>
      </c>
      <c r="T271" s="3">
        <f t="shared" si="257"/>
        <v>2.8534956857713459E-2</v>
      </c>
      <c r="U271" s="3">
        <f t="shared" si="257"/>
        <v>2.8534801065332755E-2</v>
      </c>
      <c r="V271" s="3">
        <f t="shared" si="257"/>
        <v>2.8533243188306832E-2</v>
      </c>
      <c r="W271" s="3">
        <f t="shared" si="257"/>
        <v>2.8517669095216507E-2</v>
      </c>
      <c r="X271" s="3">
        <f t="shared" si="257"/>
        <v>2.8362394937751837E-2</v>
      </c>
      <c r="Y271" s="3">
        <f t="shared" si="257"/>
        <v>2.6855401392232105E-2</v>
      </c>
      <c r="Z271" s="3">
        <f t="shared" si="257"/>
        <v>1.5556759061215288E-2</v>
      </c>
      <c r="AA271" s="3">
        <f t="shared" si="257"/>
        <v>6.6190231759949436E-5</v>
      </c>
      <c r="AB271" s="3">
        <f t="shared" si="257"/>
        <v>1.2868907043280609E-28</v>
      </c>
      <c r="AC271" s="3">
        <f t="shared" si="257"/>
        <v>9.9316014835048134E-266</v>
      </c>
      <c r="AD271" s="3">
        <f t="shared" si="257"/>
        <v>0</v>
      </c>
      <c r="AE271" s="3">
        <f t="shared" si="257"/>
        <v>0</v>
      </c>
      <c r="AF271" s="3">
        <f t="shared" si="257"/>
        <v>0</v>
      </c>
      <c r="AG271" s="3"/>
      <c r="AH271" s="3"/>
    </row>
    <row r="272" spans="2:34" x14ac:dyDescent="0.25">
      <c r="B272" s="3">
        <f t="shared" ref="B272:AF272" si="258">$C41*EXP(-B$246/$A41/EXP(-$E$126))</f>
        <v>1.8710063230340357E-2</v>
      </c>
      <c r="C272" s="3">
        <f t="shared" si="258"/>
        <v>1.8710063230340357E-2</v>
      </c>
      <c r="D272" s="3">
        <f t="shared" si="258"/>
        <v>1.8710063230340357E-2</v>
      </c>
      <c r="E272" s="3">
        <f t="shared" si="258"/>
        <v>1.8710063230340357E-2</v>
      </c>
      <c r="F272" s="3">
        <f t="shared" si="258"/>
        <v>1.8710063230340357E-2</v>
      </c>
      <c r="G272" s="3">
        <f t="shared" si="258"/>
        <v>1.8710063230340357E-2</v>
      </c>
      <c r="H272" s="3">
        <f t="shared" si="258"/>
        <v>1.8710063230340357E-2</v>
      </c>
      <c r="I272" s="3">
        <f t="shared" si="258"/>
        <v>1.8710063230340357E-2</v>
      </c>
      <c r="J272" s="3">
        <f t="shared" si="258"/>
        <v>1.8710063230340357E-2</v>
      </c>
      <c r="K272" s="3">
        <f t="shared" si="258"/>
        <v>1.8710063230340353E-2</v>
      </c>
      <c r="L272" s="3">
        <f t="shared" si="258"/>
        <v>1.8710063230340346E-2</v>
      </c>
      <c r="M272" s="3">
        <f t="shared" si="258"/>
        <v>1.8710063230340242E-2</v>
      </c>
      <c r="N272" s="3">
        <f t="shared" si="258"/>
        <v>1.8710063230339222E-2</v>
      </c>
      <c r="O272" s="3">
        <f t="shared" si="258"/>
        <v>1.8710063230329008E-2</v>
      </c>
      <c r="P272" s="3">
        <f t="shared" si="258"/>
        <v>1.8710063230226854E-2</v>
      </c>
      <c r="Q272" s="3">
        <f t="shared" si="258"/>
        <v>1.8710063229205338E-2</v>
      </c>
      <c r="R272" s="3">
        <f t="shared" si="258"/>
        <v>1.8710063218990172E-2</v>
      </c>
      <c r="S272" s="3">
        <f t="shared" si="258"/>
        <v>1.871006311683851E-2</v>
      </c>
      <c r="T272" s="3">
        <f t="shared" si="258"/>
        <v>1.871006209532193E-2</v>
      </c>
      <c r="U272" s="3">
        <f t="shared" si="258"/>
        <v>1.8710051880159197E-2</v>
      </c>
      <c r="V272" s="3">
        <f t="shared" si="258"/>
        <v>1.8709949728838625E-2</v>
      </c>
      <c r="W272" s="3">
        <f t="shared" si="258"/>
        <v>1.8708928246306749E-2</v>
      </c>
      <c r="X272" s="3">
        <f t="shared" si="258"/>
        <v>1.8698716487755323E-2</v>
      </c>
      <c r="Y272" s="3">
        <f t="shared" si="258"/>
        <v>1.8596904960361101E-2</v>
      </c>
      <c r="Z272" s="3">
        <f t="shared" si="258"/>
        <v>1.7608786157156484E-2</v>
      </c>
      <c r="AA272" s="3">
        <f t="shared" si="258"/>
        <v>1.0200392822524783E-2</v>
      </c>
      <c r="AB272" s="3">
        <f t="shared" si="258"/>
        <v>4.3400194237674113E-5</v>
      </c>
      <c r="AC272" s="3">
        <f t="shared" si="258"/>
        <v>8.4379983338099964E-29</v>
      </c>
      <c r="AD272" s="3">
        <f t="shared" si="258"/>
        <v>6.5120399493160876E-266</v>
      </c>
      <c r="AE272" s="3">
        <f t="shared" si="258"/>
        <v>0</v>
      </c>
      <c r="AF272" s="3">
        <f t="shared" si="258"/>
        <v>0</v>
      </c>
      <c r="AG272" s="3"/>
      <c r="AH272" s="3"/>
    </row>
    <row r="273" spans="1:34" x14ac:dyDescent="0.25">
      <c r="B273" s="3">
        <f t="shared" ref="B273:AF273" si="259">$C42*EXP(-B$246/$A42/EXP(-$E$126))</f>
        <v>7.6798609611155137E-3</v>
      </c>
      <c r="C273" s="3">
        <f t="shared" si="259"/>
        <v>7.6798609611155137E-3</v>
      </c>
      <c r="D273" s="3">
        <f t="shared" si="259"/>
        <v>7.6798609611155137E-3</v>
      </c>
      <c r="E273" s="3">
        <f t="shared" si="259"/>
        <v>7.6798609611155137E-3</v>
      </c>
      <c r="F273" s="3">
        <f t="shared" si="259"/>
        <v>7.6798609611155137E-3</v>
      </c>
      <c r="G273" s="3">
        <f t="shared" si="259"/>
        <v>7.6798609611155137E-3</v>
      </c>
      <c r="H273" s="3">
        <f t="shared" si="259"/>
        <v>7.6798609611155137E-3</v>
      </c>
      <c r="I273" s="3">
        <f t="shared" si="259"/>
        <v>7.6798609611155137E-3</v>
      </c>
      <c r="J273" s="3">
        <f t="shared" si="259"/>
        <v>7.6798609611155137E-3</v>
      </c>
      <c r="K273" s="3">
        <f t="shared" si="259"/>
        <v>7.6798609611155137E-3</v>
      </c>
      <c r="L273" s="3">
        <f t="shared" si="259"/>
        <v>7.6798609611155129E-3</v>
      </c>
      <c r="M273" s="3">
        <f t="shared" si="259"/>
        <v>7.6798609611155094E-3</v>
      </c>
      <c r="N273" s="3">
        <f t="shared" si="259"/>
        <v>7.6798609611154669E-3</v>
      </c>
      <c r="O273" s="3">
        <f t="shared" si="259"/>
        <v>7.679860961115048E-3</v>
      </c>
      <c r="P273" s="3">
        <f t="shared" si="259"/>
        <v>7.6798609611108551E-3</v>
      </c>
      <c r="Q273" s="3">
        <f t="shared" si="259"/>
        <v>7.6798609610689251E-3</v>
      </c>
      <c r="R273" s="3">
        <f t="shared" si="259"/>
        <v>7.6798609606496268E-3</v>
      </c>
      <c r="S273" s="3">
        <f t="shared" si="259"/>
        <v>7.6798609564566389E-3</v>
      </c>
      <c r="T273" s="3">
        <f t="shared" si="259"/>
        <v>7.679860914526767E-3</v>
      </c>
      <c r="U273" s="3">
        <f t="shared" si="259"/>
        <v>7.679860495228061E-3</v>
      </c>
      <c r="V273" s="3">
        <f t="shared" si="259"/>
        <v>7.6798563022422587E-3</v>
      </c>
      <c r="W273" s="3">
        <f t="shared" si="259"/>
        <v>7.6798143725101495E-3</v>
      </c>
      <c r="X273" s="3">
        <f t="shared" si="259"/>
        <v>7.679395087779658E-3</v>
      </c>
      <c r="Y273" s="3">
        <f t="shared" si="259"/>
        <v>7.6752034992811071E-3</v>
      </c>
      <c r="Z273" s="3">
        <f t="shared" si="259"/>
        <v>7.6334132410120449E-3</v>
      </c>
      <c r="AA273" s="3">
        <f t="shared" si="259"/>
        <v>7.2278232155668304E-3</v>
      </c>
      <c r="AB273" s="3">
        <f t="shared" si="259"/>
        <v>4.1869232434617442E-3</v>
      </c>
      <c r="AC273" s="3">
        <f t="shared" si="259"/>
        <v>1.7814341583317068E-5</v>
      </c>
      <c r="AD273" s="3">
        <f t="shared" si="259"/>
        <v>3.4635187062703644E-29</v>
      </c>
      <c r="AE273" s="3">
        <f t="shared" si="259"/>
        <v>2.672976609874744E-266</v>
      </c>
      <c r="AF273" s="3">
        <f t="shared" si="259"/>
        <v>0</v>
      </c>
      <c r="AG273" s="3"/>
      <c r="AH273" s="3"/>
    </row>
    <row r="274" spans="1:34" x14ac:dyDescent="0.25">
      <c r="B274" s="3">
        <f t="shared" ref="B274:AF274" si="260">$C43*EXP(-B$246/$A43/EXP(-$E$126))</f>
        <v>4.1102249961922147E-3</v>
      </c>
      <c r="C274" s="3">
        <f t="shared" si="260"/>
        <v>4.1102249961922147E-3</v>
      </c>
      <c r="D274" s="3">
        <f t="shared" si="260"/>
        <v>4.1102249961922147E-3</v>
      </c>
      <c r="E274" s="3">
        <f t="shared" si="260"/>
        <v>4.1102249961922147E-3</v>
      </c>
      <c r="F274" s="3">
        <f t="shared" si="260"/>
        <v>4.1102249961922147E-3</v>
      </c>
      <c r="G274" s="3">
        <f t="shared" si="260"/>
        <v>4.1102249961922147E-3</v>
      </c>
      <c r="H274" s="3">
        <f t="shared" si="260"/>
        <v>4.1102249961922147E-3</v>
      </c>
      <c r="I274" s="3">
        <f t="shared" si="260"/>
        <v>4.1102249961922147E-3</v>
      </c>
      <c r="J274" s="3">
        <f t="shared" si="260"/>
        <v>4.1102249961922147E-3</v>
      </c>
      <c r="K274" s="3">
        <f t="shared" si="260"/>
        <v>4.1102249961922147E-3</v>
      </c>
      <c r="L274" s="3">
        <f t="shared" si="260"/>
        <v>4.1102249961922147E-3</v>
      </c>
      <c r="M274" s="3">
        <f t="shared" si="260"/>
        <v>4.1102249961922138E-3</v>
      </c>
      <c r="N274" s="3">
        <f t="shared" si="260"/>
        <v>4.1102249961922121E-3</v>
      </c>
      <c r="O274" s="3">
        <f t="shared" si="260"/>
        <v>4.1102249961921895E-3</v>
      </c>
      <c r="P274" s="3">
        <f t="shared" si="260"/>
        <v>4.1102249961919657E-3</v>
      </c>
      <c r="Q274" s="3">
        <f t="shared" si="260"/>
        <v>4.110224996189721E-3</v>
      </c>
      <c r="R274" s="3">
        <f t="shared" si="260"/>
        <v>4.1102249961672806E-3</v>
      </c>
      <c r="S274" s="3">
        <f t="shared" si="260"/>
        <v>4.1102249959428742E-3</v>
      </c>
      <c r="T274" s="3">
        <f t="shared" si="260"/>
        <v>4.1102249936988073E-3</v>
      </c>
      <c r="U274" s="3">
        <f t="shared" si="260"/>
        <v>4.1102249712581399E-3</v>
      </c>
      <c r="V274" s="3">
        <f t="shared" si="260"/>
        <v>4.1102247468514696E-3</v>
      </c>
      <c r="W274" s="3">
        <f t="shared" si="260"/>
        <v>4.1102225027854454E-3</v>
      </c>
      <c r="X274" s="3">
        <f t="shared" si="260"/>
        <v>4.1102000621925918E-3</v>
      </c>
      <c r="Y274" s="3">
        <f t="shared" si="260"/>
        <v>4.1099756630024881E-3</v>
      </c>
      <c r="Z274" s="3">
        <f t="shared" si="260"/>
        <v>4.1077323448086133E-3</v>
      </c>
      <c r="AA274" s="3">
        <f t="shared" si="260"/>
        <v>4.0853663976899721E-3</v>
      </c>
      <c r="AB274" s="3">
        <f t="shared" si="260"/>
        <v>3.868296548478924E-3</v>
      </c>
      <c r="AC274" s="3">
        <f t="shared" si="260"/>
        <v>2.2408213715779273E-3</v>
      </c>
      <c r="AD274" s="3">
        <f t="shared" si="260"/>
        <v>9.5341507401223486E-6</v>
      </c>
      <c r="AE274" s="3">
        <f t="shared" si="260"/>
        <v>1.8536587098868508E-29</v>
      </c>
      <c r="AF274" s="3">
        <f t="shared" si="260"/>
        <v>1.4305643463821884E-266</v>
      </c>
      <c r="AG274" s="3"/>
      <c r="AH274" s="3"/>
    </row>
    <row r="275" spans="1:34" x14ac:dyDescent="0.25">
      <c r="B275" s="3">
        <f t="shared" ref="B275:AF275" si="261">$C44*EXP(-B$246/$A44/EXP(-$E$126))</f>
        <v>3.1066969837399792E-3</v>
      </c>
      <c r="C275" s="3">
        <f t="shared" si="261"/>
        <v>3.1066969837399792E-3</v>
      </c>
      <c r="D275" s="3">
        <f t="shared" si="261"/>
        <v>3.1066969837399792E-3</v>
      </c>
      <c r="E275" s="3">
        <f t="shared" si="261"/>
        <v>3.1066969837399792E-3</v>
      </c>
      <c r="F275" s="3">
        <f t="shared" si="261"/>
        <v>3.1066969837399792E-3</v>
      </c>
      <c r="G275" s="3">
        <f t="shared" si="261"/>
        <v>3.1066969837399792E-3</v>
      </c>
      <c r="H275" s="3">
        <f t="shared" si="261"/>
        <v>3.1066969837399792E-3</v>
      </c>
      <c r="I275" s="3">
        <f t="shared" si="261"/>
        <v>3.1066969837399792E-3</v>
      </c>
      <c r="J275" s="3">
        <f t="shared" si="261"/>
        <v>3.1066969837399792E-3</v>
      </c>
      <c r="K275" s="3">
        <f t="shared" si="261"/>
        <v>3.1066969837399792E-3</v>
      </c>
      <c r="L275" s="3">
        <f t="shared" si="261"/>
        <v>3.1066969837399792E-3</v>
      </c>
      <c r="M275" s="3">
        <f t="shared" si="261"/>
        <v>3.1066969837399792E-3</v>
      </c>
      <c r="N275" s="3">
        <f t="shared" si="261"/>
        <v>3.1066969837399787E-3</v>
      </c>
      <c r="O275" s="3">
        <f t="shared" si="261"/>
        <v>3.1066969837399774E-3</v>
      </c>
      <c r="P275" s="3">
        <f t="shared" si="261"/>
        <v>3.1066969837399601E-3</v>
      </c>
      <c r="Q275" s="3">
        <f t="shared" si="261"/>
        <v>3.106696983739791E-3</v>
      </c>
      <c r="R275" s="3">
        <f t="shared" si="261"/>
        <v>3.1066969837380944E-3</v>
      </c>
      <c r="S275" s="3">
        <f t="shared" si="261"/>
        <v>3.1066969837211327E-3</v>
      </c>
      <c r="T275" s="3">
        <f t="shared" si="261"/>
        <v>3.1066969835515162E-3</v>
      </c>
      <c r="U275" s="3">
        <f t="shared" si="261"/>
        <v>3.106696981855347E-3</v>
      </c>
      <c r="V275" s="3">
        <f t="shared" si="261"/>
        <v>3.1066969648936588E-3</v>
      </c>
      <c r="W275" s="3">
        <f t="shared" si="261"/>
        <v>3.1066967952767827E-3</v>
      </c>
      <c r="X275" s="3">
        <f t="shared" si="261"/>
        <v>3.1066950991085304E-3</v>
      </c>
      <c r="Y275" s="3">
        <f t="shared" si="261"/>
        <v>3.106678137476942E-3</v>
      </c>
      <c r="Z275" s="3">
        <f t="shared" si="261"/>
        <v>3.1065085262542728E-3</v>
      </c>
      <c r="AA275" s="3">
        <f t="shared" si="261"/>
        <v>3.104812923246424E-3</v>
      </c>
      <c r="AB275" s="3">
        <f t="shared" si="261"/>
        <v>3.0879077123355022E-3</v>
      </c>
      <c r="AC275" s="3">
        <f t="shared" si="261"/>
        <v>2.9238363424154605E-3</v>
      </c>
      <c r="AD275" s="3">
        <f t="shared" si="261"/>
        <v>1.6937157947875202E-3</v>
      </c>
      <c r="AE275" s="3">
        <f t="shared" si="261"/>
        <v>7.2063493785134927E-6</v>
      </c>
      <c r="AF275" s="3">
        <f t="shared" si="261"/>
        <v>1.4010804586668208E-29</v>
      </c>
      <c r="AG275" s="3"/>
      <c r="AH275" s="3"/>
    </row>
    <row r="276" spans="1:34" x14ac:dyDescent="0.25">
      <c r="B276" s="3">
        <f t="shared" ref="B276:AF276" si="262">$C45*EXP(-B$246/$A45/EXP(-$E$126))</f>
        <v>9.6514726179013565E-4</v>
      </c>
      <c r="C276" s="3">
        <f t="shared" si="262"/>
        <v>9.6514726179013565E-4</v>
      </c>
      <c r="D276" s="3">
        <f t="shared" si="262"/>
        <v>9.6514726179013565E-4</v>
      </c>
      <c r="E276" s="3">
        <f t="shared" si="262"/>
        <v>9.6514726179013565E-4</v>
      </c>
      <c r="F276" s="3">
        <f t="shared" si="262"/>
        <v>9.6514726179013565E-4</v>
      </c>
      <c r="G276" s="3">
        <f t="shared" si="262"/>
        <v>9.6514726179013565E-4</v>
      </c>
      <c r="H276" s="3">
        <f t="shared" si="262"/>
        <v>9.6514726179013565E-4</v>
      </c>
      <c r="I276" s="3">
        <f t="shared" si="262"/>
        <v>9.6514726179013565E-4</v>
      </c>
      <c r="J276" s="3">
        <f t="shared" si="262"/>
        <v>9.6514726179013565E-4</v>
      </c>
      <c r="K276" s="3">
        <f t="shared" si="262"/>
        <v>9.6514726179013565E-4</v>
      </c>
      <c r="L276" s="3">
        <f t="shared" si="262"/>
        <v>9.6514726179013565E-4</v>
      </c>
      <c r="M276" s="3">
        <f t="shared" si="262"/>
        <v>9.6514726179013565E-4</v>
      </c>
      <c r="N276" s="3">
        <f t="shared" si="262"/>
        <v>9.6514726179013565E-4</v>
      </c>
      <c r="O276" s="3">
        <f t="shared" si="262"/>
        <v>9.6514726179013554E-4</v>
      </c>
      <c r="P276" s="3">
        <f t="shared" si="262"/>
        <v>9.6514726179013511E-4</v>
      </c>
      <c r="Q276" s="3">
        <f t="shared" si="262"/>
        <v>9.651472617901298E-4</v>
      </c>
      <c r="R276" s="3">
        <f t="shared" si="262"/>
        <v>9.651472617900771E-4</v>
      </c>
      <c r="S276" s="3">
        <f t="shared" si="262"/>
        <v>9.6514726178955018E-4</v>
      </c>
      <c r="T276" s="3">
        <f t="shared" si="262"/>
        <v>9.6514726178428074E-4</v>
      </c>
      <c r="U276" s="3">
        <f t="shared" si="262"/>
        <v>9.6514726173158646E-4</v>
      </c>
      <c r="V276" s="3">
        <f t="shared" si="262"/>
        <v>9.6514726120464328E-4</v>
      </c>
      <c r="W276" s="3">
        <f t="shared" si="262"/>
        <v>9.6514725593521179E-4</v>
      </c>
      <c r="X276" s="3">
        <f t="shared" si="262"/>
        <v>9.6514720324089869E-4</v>
      </c>
      <c r="Y276" s="3">
        <f t="shared" si="262"/>
        <v>9.6514667629792582E-4</v>
      </c>
      <c r="Z276" s="3">
        <f t="shared" si="262"/>
        <v>9.6514140688402136E-4</v>
      </c>
      <c r="AA276" s="3">
        <f t="shared" si="262"/>
        <v>9.6508871432726901E-4</v>
      </c>
      <c r="AB276" s="3">
        <f t="shared" si="262"/>
        <v>9.6456194695707694E-4</v>
      </c>
      <c r="AC276" s="3">
        <f t="shared" si="262"/>
        <v>9.5931006107761833E-4</v>
      </c>
      <c r="AD276" s="3">
        <f t="shared" si="262"/>
        <v>9.0833855202949337E-4</v>
      </c>
      <c r="AE276" s="3">
        <f t="shared" si="262"/>
        <v>5.2618107596125207E-4</v>
      </c>
      <c r="AF276" s="3">
        <f t="shared" si="262"/>
        <v>2.2387726922122865E-6</v>
      </c>
      <c r="AG276" s="3"/>
      <c r="AH276" s="3"/>
    </row>
    <row r="277" spans="1:34" x14ac:dyDescent="0.25">
      <c r="B277" s="3">
        <f t="shared" ref="B277:AF277" si="263">$C46*EXP(-B$246/$A46/EXP(-$E$126))</f>
        <v>1.0056328677851901E-3</v>
      </c>
      <c r="C277" s="3">
        <f t="shared" si="263"/>
        <v>1.0056328677851901E-3</v>
      </c>
      <c r="D277" s="3">
        <f t="shared" si="263"/>
        <v>1.0056328677851901E-3</v>
      </c>
      <c r="E277" s="3">
        <f t="shared" si="263"/>
        <v>1.0056328677851901E-3</v>
      </c>
      <c r="F277" s="3">
        <f t="shared" si="263"/>
        <v>1.0056328677851901E-3</v>
      </c>
      <c r="G277" s="3">
        <f t="shared" si="263"/>
        <v>1.0056328677851901E-3</v>
      </c>
      <c r="H277" s="3">
        <f t="shared" si="263"/>
        <v>1.0056328677851901E-3</v>
      </c>
      <c r="I277" s="3">
        <f t="shared" si="263"/>
        <v>1.0056328677851901E-3</v>
      </c>
      <c r="J277" s="3">
        <f t="shared" si="263"/>
        <v>1.0056328677851901E-3</v>
      </c>
      <c r="K277" s="3">
        <f t="shared" si="263"/>
        <v>1.0056328677851901E-3</v>
      </c>
      <c r="L277" s="3">
        <f t="shared" si="263"/>
        <v>1.0056328677851901E-3</v>
      </c>
      <c r="M277" s="3">
        <f t="shared" si="263"/>
        <v>1.0056328677851901E-3</v>
      </c>
      <c r="N277" s="3">
        <f t="shared" si="263"/>
        <v>1.0056328677851901E-3</v>
      </c>
      <c r="O277" s="3">
        <f t="shared" si="263"/>
        <v>1.0056328677851901E-3</v>
      </c>
      <c r="P277" s="3">
        <f t="shared" si="263"/>
        <v>1.0056328677851899E-3</v>
      </c>
      <c r="Q277" s="3">
        <f t="shared" si="263"/>
        <v>1.0056328677851894E-3</v>
      </c>
      <c r="R277" s="3">
        <f t="shared" si="263"/>
        <v>1.005632867785184E-3</v>
      </c>
      <c r="S277" s="3">
        <f t="shared" si="263"/>
        <v>1.0056328677851291E-3</v>
      </c>
      <c r="T277" s="3">
        <f t="shared" si="263"/>
        <v>1.0056328677845801E-3</v>
      </c>
      <c r="U277" s="3">
        <f t="shared" si="263"/>
        <v>1.0056328677790895E-3</v>
      </c>
      <c r="V277" s="3">
        <f t="shared" si="263"/>
        <v>1.0056328677241848E-3</v>
      </c>
      <c r="W277" s="3">
        <f t="shared" si="263"/>
        <v>1.0056328671751377E-3</v>
      </c>
      <c r="X277" s="3">
        <f t="shared" si="263"/>
        <v>1.0056328616846663E-3</v>
      </c>
      <c r="Y277" s="3">
        <f t="shared" si="263"/>
        <v>1.0056328067799534E-3</v>
      </c>
      <c r="Z277" s="3">
        <f t="shared" si="263"/>
        <v>1.0056322577329906E-3</v>
      </c>
      <c r="AA277" s="3">
        <f t="shared" si="263"/>
        <v>1.0056267672798481E-3</v>
      </c>
      <c r="AB277" s="3">
        <f t="shared" si="263"/>
        <v>1.0055718643970906E-3</v>
      </c>
      <c r="AC277" s="3">
        <f t="shared" si="263"/>
        <v>1.0050230004028445E-3</v>
      </c>
      <c r="AD277" s="3">
        <f t="shared" si="263"/>
        <v>9.9955081054401958E-4</v>
      </c>
      <c r="AE277" s="3">
        <f t="shared" si="263"/>
        <v>9.4644116930198662E-4</v>
      </c>
      <c r="AF277" s="3">
        <f t="shared" si="263"/>
        <v>5.4825310638271238E-4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2.1809087047795134E-2</v>
      </c>
      <c r="C279" s="3">
        <f t="shared" si="265"/>
        <v>2.1809087047795134E-2</v>
      </c>
      <c r="D279" s="3">
        <f t="shared" si="265"/>
        <v>2.1809087047795134E-2</v>
      </c>
      <c r="E279" s="3">
        <f t="shared" si="265"/>
        <v>2.1809087047795134E-2</v>
      </c>
      <c r="F279" s="3">
        <f t="shared" si="265"/>
        <v>2.1809087047795134E-2</v>
      </c>
      <c r="G279" s="3">
        <f t="shared" si="265"/>
        <v>2.1809087047795134E-2</v>
      </c>
      <c r="H279" s="3">
        <f t="shared" si="265"/>
        <v>2.1809087047795134E-2</v>
      </c>
      <c r="I279" s="3">
        <f t="shared" si="265"/>
        <v>2.1809087047795134E-2</v>
      </c>
      <c r="J279" s="3">
        <f t="shared" si="265"/>
        <v>2.1809087047795134E-2</v>
      </c>
      <c r="K279" s="3">
        <f t="shared" si="265"/>
        <v>2.1809087047795134E-2</v>
      </c>
      <c r="L279" s="3">
        <f t="shared" si="265"/>
        <v>2.1809087047795134E-2</v>
      </c>
      <c r="M279" s="3">
        <f t="shared" si="265"/>
        <v>2.1809087047795134E-2</v>
      </c>
      <c r="N279" s="3">
        <f t="shared" si="265"/>
        <v>2.1809087047795134E-2</v>
      </c>
      <c r="O279" s="3">
        <f t="shared" si="265"/>
        <v>2.1809087047795134E-2</v>
      </c>
      <c r="P279" s="3">
        <f t="shared" si="265"/>
        <v>2.1809087047795134E-2</v>
      </c>
      <c r="Q279" s="3">
        <f t="shared" si="265"/>
        <v>2.1809087047795134E-2</v>
      </c>
      <c r="R279" s="3">
        <f t="shared" si="265"/>
        <v>2.180908704779513E-2</v>
      </c>
      <c r="S279" s="3">
        <f t="shared" si="265"/>
        <v>2.1809087047795123E-2</v>
      </c>
      <c r="T279" s="3">
        <f t="shared" si="265"/>
        <v>2.1809087047795002E-2</v>
      </c>
      <c r="U279" s="3">
        <f t="shared" si="265"/>
        <v>2.1809087047793812E-2</v>
      </c>
      <c r="V279" s="3">
        <f t="shared" si="265"/>
        <v>2.1809087047781905E-2</v>
      </c>
      <c r="W279" s="3">
        <f t="shared" si="265"/>
        <v>2.1809087047662833E-2</v>
      </c>
      <c r="X279" s="3">
        <f t="shared" si="265"/>
        <v>2.1809087046472119E-2</v>
      </c>
      <c r="Y279" s="3">
        <f t="shared" si="265"/>
        <v>2.180908703456497E-2</v>
      </c>
      <c r="Z279" s="3">
        <f t="shared" si="265"/>
        <v>2.1809086915493516E-2</v>
      </c>
      <c r="AA279" s="3">
        <f t="shared" si="265"/>
        <v>2.1809085724778993E-2</v>
      </c>
      <c r="AB279" s="3">
        <f t="shared" si="265"/>
        <v>2.1809073817637338E-2</v>
      </c>
      <c r="AC279" s="3">
        <f t="shared" si="265"/>
        <v>2.1808954746578357E-2</v>
      </c>
      <c r="AD279" s="3">
        <f t="shared" si="265"/>
        <v>2.1807764071743046E-2</v>
      </c>
      <c r="AE279" s="3">
        <f t="shared" si="265"/>
        <v>2.1795860898118382E-2</v>
      </c>
      <c r="AF279" s="3">
        <f t="shared" si="265"/>
        <v>2.1677185913642174E-2</v>
      </c>
      <c r="AG279" s="3"/>
      <c r="AH279" s="3"/>
    </row>
    <row r="280" spans="1:34" x14ac:dyDescent="0.25">
      <c r="A280" s="79">
        <f>AVERAGE(B280:AF280)</f>
        <v>6.9962814215273426E-3</v>
      </c>
      <c r="B280" s="80">
        <f>IF($D$61&lt;=B246,IF($E$61&gt;=B246,ABS((B248-B247)/B247),0),0)</f>
        <v>3.4164937027127126E-2</v>
      </c>
      <c r="C280" s="80">
        <f t="shared" ref="C280:AF280" si="266">IF($D$61&lt;=C246,IF($E$61&gt;=C246,ABS((C248-C247)/C247),0),0)</f>
        <v>1.0827937534235423E-2</v>
      </c>
      <c r="D280" s="80">
        <f t="shared" si="266"/>
        <v>4.683023877025491E-3</v>
      </c>
      <c r="E280" s="80">
        <f t="shared" si="266"/>
        <v>5.3401005918125976E-3</v>
      </c>
      <c r="F280" s="80">
        <f t="shared" si="266"/>
        <v>5.367019626418593E-3</v>
      </c>
      <c r="G280" s="80">
        <f t="shared" si="266"/>
        <v>4.6990713711857765E-3</v>
      </c>
      <c r="H280" s="80">
        <f t="shared" si="266"/>
        <v>4.519107580743126E-3</v>
      </c>
      <c r="I280" s="80">
        <f t="shared" si="266"/>
        <v>4.5577670038352723E-3</v>
      </c>
      <c r="J280" s="80">
        <f t="shared" si="266"/>
        <v>4.4466587284308226E-3</v>
      </c>
      <c r="K280" s="80">
        <f t="shared" si="266"/>
        <v>4.4537622945628481E-3</v>
      </c>
      <c r="L280" s="80">
        <f t="shared" si="266"/>
        <v>4.3823066195487915E-3</v>
      </c>
      <c r="M280" s="80">
        <f t="shared" si="266"/>
        <v>5.1758597589758636E-3</v>
      </c>
      <c r="N280" s="80">
        <f t="shared" si="266"/>
        <v>4.4592019974499008E-3</v>
      </c>
      <c r="O280" s="80">
        <f t="shared" si="266"/>
        <v>5.4548219286774278E-3</v>
      </c>
      <c r="P280" s="80">
        <f t="shared" si="266"/>
        <v>5.5079258133928447E-3</v>
      </c>
      <c r="Q280" s="80">
        <f t="shared" si="266"/>
        <v>5.0992579810894287E-3</v>
      </c>
      <c r="R280" s="80">
        <f t="shared" si="266"/>
        <v>3.5809917070459322E-3</v>
      </c>
      <c r="S280" s="80">
        <f t="shared" si="266"/>
        <v>9.9018603376360755E-3</v>
      </c>
      <c r="T280" s="80">
        <f t="shared" si="266"/>
        <v>1.9629790304348506E-2</v>
      </c>
      <c r="U280" s="80">
        <f t="shared" si="266"/>
        <v>1.8865050799380414E-2</v>
      </c>
      <c r="V280" s="80">
        <f t="shared" si="266"/>
        <v>1.0865041137405322E-2</v>
      </c>
      <c r="W280" s="80">
        <f t="shared" si="266"/>
        <v>8.1993692308374652E-3</v>
      </c>
      <c r="X280" s="80">
        <f t="shared" si="266"/>
        <v>7.9628052338073692E-3</v>
      </c>
      <c r="Y280" s="80">
        <f t="shared" si="266"/>
        <v>2.4741055582375226E-2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119275.9816734184</v>
      </c>
      <c r="C281" s="21">
        <f t="shared" ref="C281:AF281" si="267">(C248-C247)^2</f>
        <v>11406.088163970609</v>
      </c>
      <c r="D281" s="21">
        <f t="shared" si="267"/>
        <v>2041.2925406415909</v>
      </c>
      <c r="E281" s="21">
        <f t="shared" si="267"/>
        <v>2526.3410231353137</v>
      </c>
      <c r="F281" s="21">
        <f t="shared" si="267"/>
        <v>2416.0100912595972</v>
      </c>
      <c r="G281" s="21">
        <f t="shared" si="267"/>
        <v>1740.6422473658936</v>
      </c>
      <c r="H281" s="21">
        <f t="shared" si="267"/>
        <v>1510.414961124319</v>
      </c>
      <c r="I281" s="21">
        <f t="shared" si="267"/>
        <v>1443.0535306490003</v>
      </c>
      <c r="J281" s="21">
        <f t="shared" si="267"/>
        <v>1273.8472499954203</v>
      </c>
      <c r="K281" s="21">
        <f t="shared" si="267"/>
        <v>1164.3281446374431</v>
      </c>
      <c r="L281" s="21">
        <f t="shared" si="267"/>
        <v>1019.0769519145047</v>
      </c>
      <c r="M281" s="21">
        <f t="shared" si="267"/>
        <v>1299.5407547331686</v>
      </c>
      <c r="N281" s="21">
        <f t="shared" si="267"/>
        <v>886.69136582619319</v>
      </c>
      <c r="O281" s="21">
        <f t="shared" si="267"/>
        <v>1215.8197022112913</v>
      </c>
      <c r="P281" s="21">
        <f t="shared" si="267"/>
        <v>1129.237066491025</v>
      </c>
      <c r="Q281" s="21">
        <f t="shared" si="267"/>
        <v>879.73770135579809</v>
      </c>
      <c r="R281" s="21">
        <f t="shared" si="267"/>
        <v>385.11264777836641</v>
      </c>
      <c r="S281" s="21">
        <f t="shared" si="267"/>
        <v>2452.4989071062837</v>
      </c>
      <c r="T281" s="21">
        <f t="shared" si="267"/>
        <v>7387.8637583308273</v>
      </c>
      <c r="U281" s="21">
        <f t="shared" si="267"/>
        <v>4992.9780080255059</v>
      </c>
      <c r="V281" s="21">
        <f t="shared" si="267"/>
        <v>1170.23732405176</v>
      </c>
      <c r="W281" s="21">
        <f t="shared" si="267"/>
        <v>443.10596411107423</v>
      </c>
      <c r="X281" s="21">
        <f t="shared" si="267"/>
        <v>250.10382459037945</v>
      </c>
      <c r="Y281" s="21">
        <f t="shared" si="267"/>
        <v>1294.099987257611</v>
      </c>
      <c r="Z281" s="21">
        <f t="shared" si="267"/>
        <v>50.525355594275929</v>
      </c>
      <c r="AA281" s="21">
        <f t="shared" si="267"/>
        <v>30.4860548083598</v>
      </c>
      <c r="AB281" s="21">
        <f t="shared" si="267"/>
        <v>18.759629561871034</v>
      </c>
      <c r="AC281" s="21">
        <f t="shared" si="267"/>
        <v>2.91710284288934</v>
      </c>
      <c r="AD281" s="21">
        <f t="shared" si="267"/>
        <v>0.41303084225599185</v>
      </c>
      <c r="AE281" s="21">
        <f t="shared" si="267"/>
        <v>0.4298958564117818</v>
      </c>
      <c r="AF281" s="21">
        <f t="shared" si="267"/>
        <v>0.30992295403968456</v>
      </c>
      <c r="AG281" s="3"/>
      <c r="AH281" s="3"/>
    </row>
    <row r="282" spans="1:34" s="3" customFormat="1" x14ac:dyDescent="0.25">
      <c r="A282" s="71">
        <f>SUM(B282:AF282)</f>
        <v>169604.10358998139</v>
      </c>
      <c r="B282" s="21">
        <f>IF($D$61&lt;=B246,IF($E$61&gt;=B246,ABS(B281),0),0)</f>
        <v>119275.9816734184</v>
      </c>
      <c r="C282" s="21">
        <f t="shared" ref="C282:AF282" si="268">IF($D$61&lt;=C246,IF($E$61&gt;=C246,ABS(C281),0),0)</f>
        <v>11406.088163970609</v>
      </c>
      <c r="D282" s="21">
        <f t="shared" si="268"/>
        <v>2041.2925406415909</v>
      </c>
      <c r="E282" s="21">
        <f t="shared" si="268"/>
        <v>2526.3410231353137</v>
      </c>
      <c r="F282" s="21">
        <f t="shared" si="268"/>
        <v>2416.0100912595972</v>
      </c>
      <c r="G282" s="21">
        <f t="shared" si="268"/>
        <v>1740.6422473658936</v>
      </c>
      <c r="H282" s="21">
        <f t="shared" si="268"/>
        <v>1510.414961124319</v>
      </c>
      <c r="I282" s="21">
        <f t="shared" si="268"/>
        <v>1443.0535306490003</v>
      </c>
      <c r="J282" s="21">
        <f t="shared" si="268"/>
        <v>1273.8472499954203</v>
      </c>
      <c r="K282" s="21">
        <f t="shared" si="268"/>
        <v>1164.3281446374431</v>
      </c>
      <c r="L282" s="21">
        <f t="shared" si="268"/>
        <v>1019.0769519145047</v>
      </c>
      <c r="M282" s="21">
        <f t="shared" si="268"/>
        <v>1299.5407547331686</v>
      </c>
      <c r="N282" s="21">
        <f t="shared" si="268"/>
        <v>886.69136582619319</v>
      </c>
      <c r="O282" s="21">
        <f t="shared" si="268"/>
        <v>1215.8197022112913</v>
      </c>
      <c r="P282" s="21">
        <f t="shared" si="268"/>
        <v>1129.237066491025</v>
      </c>
      <c r="Q282" s="21">
        <f t="shared" si="268"/>
        <v>879.73770135579809</v>
      </c>
      <c r="R282" s="21">
        <f t="shared" si="268"/>
        <v>385.11264777836641</v>
      </c>
      <c r="S282" s="21">
        <f t="shared" si="268"/>
        <v>2452.4989071062837</v>
      </c>
      <c r="T282" s="21">
        <f t="shared" si="268"/>
        <v>7387.8637583308273</v>
      </c>
      <c r="U282" s="21">
        <f t="shared" si="268"/>
        <v>4992.9780080255059</v>
      </c>
      <c r="V282" s="21">
        <f t="shared" si="268"/>
        <v>1170.23732405176</v>
      </c>
      <c r="W282" s="21">
        <f t="shared" si="268"/>
        <v>443.10596411107423</v>
      </c>
      <c r="X282" s="21">
        <f t="shared" si="268"/>
        <v>250.10382459037945</v>
      </c>
      <c r="Y282" s="21">
        <f t="shared" si="268"/>
        <v>1294.099987257611</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9751.6492401063861</v>
      </c>
      <c r="C287" s="27">
        <f t="shared" ref="C287:AF287" si="269">($C$17+SUM(C288:C318))*$B$51</f>
        <v>9652.2280097246585</v>
      </c>
      <c r="D287" s="27">
        <f t="shared" si="269"/>
        <v>9281.8274103329859</v>
      </c>
      <c r="E287" s="27">
        <f t="shared" si="269"/>
        <v>9057.122018962622</v>
      </c>
      <c r="F287" s="27">
        <f t="shared" si="269"/>
        <v>8765.4207578842161</v>
      </c>
      <c r="G287" s="27">
        <f t="shared" si="269"/>
        <v>8497.8112860319889</v>
      </c>
      <c r="H287" s="27">
        <f t="shared" si="269"/>
        <v>8229.2177507093766</v>
      </c>
      <c r="I287" s="27">
        <f t="shared" si="269"/>
        <v>7907.5592138640568</v>
      </c>
      <c r="J287" s="27">
        <f t="shared" si="269"/>
        <v>7534.1292508442739</v>
      </c>
      <c r="K287" s="27">
        <f t="shared" si="269"/>
        <v>7169.0691567657714</v>
      </c>
      <c r="L287" s="27">
        <f t="shared" si="269"/>
        <v>6864.3188508798949</v>
      </c>
      <c r="M287" s="27">
        <f t="shared" si="269"/>
        <v>6583.8479447799346</v>
      </c>
      <c r="N287" s="27">
        <f t="shared" si="269"/>
        <v>6292.3426345321504</v>
      </c>
      <c r="O287" s="27">
        <f t="shared" si="269"/>
        <v>6011.0138557566797</v>
      </c>
      <c r="P287" s="27">
        <f t="shared" si="269"/>
        <v>5723.1667743253247</v>
      </c>
      <c r="Q287" s="27">
        <f t="shared" si="269"/>
        <v>5388.820454544496</v>
      </c>
      <c r="R287" s="27">
        <f t="shared" si="269"/>
        <v>4944.1081226713095</v>
      </c>
      <c r="S287" s="27">
        <f t="shared" si="269"/>
        <v>4343.3620033945881</v>
      </c>
      <c r="T287" s="27">
        <f t="shared" si="269"/>
        <v>3695.0395618872294</v>
      </c>
      <c r="U287" s="27">
        <f t="shared" si="269"/>
        <v>3069.3232762990319</v>
      </c>
      <c r="V287" s="27">
        <f t="shared" si="269"/>
        <v>2467.2786597830905</v>
      </c>
      <c r="W287" s="27">
        <f t="shared" si="269"/>
        <v>1870.4309535642822</v>
      </c>
      <c r="X287" s="27">
        <f t="shared" si="269"/>
        <v>1361.8855666312179</v>
      </c>
      <c r="Y287" s="27">
        <f t="shared" si="269"/>
        <v>978.8702488296849</v>
      </c>
      <c r="Z287" s="27">
        <f t="shared" si="269"/>
        <v>750.11573550459559</v>
      </c>
      <c r="AA287" s="27">
        <f t="shared" si="269"/>
        <v>627.46043175346438</v>
      </c>
      <c r="AB287" s="27">
        <f t="shared" si="269"/>
        <v>570.29592944261276</v>
      </c>
      <c r="AC287" s="27">
        <f t="shared" si="269"/>
        <v>535.03912156654826</v>
      </c>
      <c r="AD287" s="27">
        <f t="shared" si="269"/>
        <v>516.00921765856049</v>
      </c>
      <c r="AE287" s="27">
        <f t="shared" si="269"/>
        <v>504.26925131403482</v>
      </c>
      <c r="AF287" s="27">
        <f t="shared" si="269"/>
        <v>480.28765033914868</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4.2874512378747606E-2</v>
      </c>
      <c r="C289" s="3">
        <f t="shared" si="271"/>
        <v>3.4054237262081614E-2</v>
      </c>
      <c r="D289" s="3">
        <f t="shared" si="271"/>
        <v>3.4032260362209001E-3</v>
      </c>
      <c r="E289" s="3">
        <f t="shared" si="271"/>
        <v>3.3813269908710177E-13</v>
      </c>
      <c r="F289" s="3">
        <f t="shared" si="271"/>
        <v>3.1699391965416246E-113</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1.7035539475019811E-2</v>
      </c>
      <c r="C290" s="3">
        <f t="shared" si="272"/>
        <v>1.6685242776108906E-2</v>
      </c>
      <c r="D290" s="3">
        <f t="shared" si="272"/>
        <v>1.3554981211847483E-2</v>
      </c>
      <c r="E290" s="3">
        <f t="shared" si="272"/>
        <v>1.6973164400059082E-3</v>
      </c>
      <c r="F290" s="3">
        <f t="shared" si="272"/>
        <v>1.6084286335395982E-12</v>
      </c>
      <c r="G290" s="3">
        <f t="shared" si="272"/>
        <v>9.3927243480697506E-103</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3.0707569357897247E-2</v>
      </c>
      <c r="C291" s="3">
        <f t="shared" si="273"/>
        <v>3.0650069188090916E-2</v>
      </c>
      <c r="D291" s="3">
        <f t="shared" si="273"/>
        <v>3.008095617238591E-2</v>
      </c>
      <c r="E291" s="3">
        <f t="shared" si="273"/>
        <v>2.4939825689803154E-2</v>
      </c>
      <c r="F291" s="3">
        <f t="shared" si="273"/>
        <v>3.8274645985793597E-3</v>
      </c>
      <c r="G291" s="3">
        <f t="shared" si="273"/>
        <v>2.773887665457993E-11</v>
      </c>
      <c r="H291" s="3">
        <f t="shared" si="273"/>
        <v>1.1088319693300664E-92</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2.523104584931999E-2</v>
      </c>
      <c r="C292" s="3">
        <f t="shared" si="274"/>
        <v>2.5226780292380568E-2</v>
      </c>
      <c r="D292" s="3">
        <f t="shared" si="274"/>
        <v>2.5184164365271149E-2</v>
      </c>
      <c r="E292" s="3">
        <f t="shared" si="274"/>
        <v>2.4761944635216301E-2</v>
      </c>
      <c r="F292" s="3">
        <f t="shared" si="274"/>
        <v>2.0910132234842761E-2</v>
      </c>
      <c r="G292" s="3">
        <f t="shared" si="274"/>
        <v>3.8554678843798775E-3</v>
      </c>
      <c r="H292" s="3">
        <f t="shared" si="274"/>
        <v>1.750976008397304E-10</v>
      </c>
      <c r="I292" s="3">
        <f t="shared" si="274"/>
        <v>6.5359880857163083E-84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2.5043123287493318E-2</v>
      </c>
      <c r="C293" s="3">
        <f t="shared" si="275"/>
        <v>2.50427413353294E-2</v>
      </c>
      <c r="D293" s="3">
        <f t="shared" si="275"/>
        <v>2.5038922134075263E-2</v>
      </c>
      <c r="E293" s="3">
        <f t="shared" si="275"/>
        <v>2.5000762141968814E-2</v>
      </c>
      <c r="F293" s="3">
        <f t="shared" si="275"/>
        <v>2.4622346268102505E-2</v>
      </c>
      <c r="G293" s="3">
        <f t="shared" si="275"/>
        <v>2.1139333870292074E-2</v>
      </c>
      <c r="H293" s="3">
        <f t="shared" si="275"/>
        <v>4.599492678784743E-3</v>
      </c>
      <c r="I293" s="3">
        <f t="shared" si="275"/>
        <v>1.0936951124775203E-9</v>
      </c>
      <c r="J293" s="3">
        <f t="shared" si="275"/>
        <v>6.3206197756395482E-76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3.1858460626527516E-2</v>
      </c>
      <c r="C294" s="3">
        <f t="shared" si="276"/>
        <v>3.185841679416547E-2</v>
      </c>
      <c r="D294" s="3">
        <f t="shared" si="276"/>
        <v>3.1857978473861889E-2</v>
      </c>
      <c r="E294" s="3">
        <f t="shared" si="276"/>
        <v>3.1853595602494254E-2</v>
      </c>
      <c r="F294" s="3">
        <f t="shared" si="276"/>
        <v>3.1809800038753756E-2</v>
      </c>
      <c r="G294" s="3">
        <f t="shared" si="276"/>
        <v>3.1375142581431641E-2</v>
      </c>
      <c r="H294" s="3">
        <f t="shared" si="276"/>
        <v>2.734219639204612E-2</v>
      </c>
      <c r="I294" s="3">
        <f t="shared" si="276"/>
        <v>6.9073315321539685E-3</v>
      </c>
      <c r="J294" s="3">
        <f t="shared" si="276"/>
        <v>7.3127265079845738E-9</v>
      </c>
      <c r="K294" s="3">
        <f t="shared" si="276"/>
        <v>1.2935095243364974E-68</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3.8271852921697595E-2</v>
      </c>
      <c r="C295" s="3">
        <f t="shared" si="277"/>
        <v>3.827184817166665E-2</v>
      </c>
      <c r="D295" s="3">
        <f t="shared" si="277"/>
        <v>3.8271800671389612E-2</v>
      </c>
      <c r="E295" s="3">
        <f t="shared" si="277"/>
        <v>3.8271325671861652E-2</v>
      </c>
      <c r="F295" s="3">
        <f t="shared" si="277"/>
        <v>3.8266576000812617E-2</v>
      </c>
      <c r="G295" s="3">
        <f t="shared" si="277"/>
        <v>3.8219111698496414E-2</v>
      </c>
      <c r="H295" s="3">
        <f t="shared" si="277"/>
        <v>3.7747694659618511E-2</v>
      </c>
      <c r="I295" s="3">
        <f t="shared" si="277"/>
        <v>3.3341787490421493E-2</v>
      </c>
      <c r="J295" s="3">
        <f t="shared" si="277"/>
        <v>9.6376985117045504E-3</v>
      </c>
      <c r="K295" s="3">
        <f t="shared" si="277"/>
        <v>3.9248034279612385E-8</v>
      </c>
      <c r="L295" s="3">
        <f t="shared" si="277"/>
        <v>4.9233832865092322E-62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3.6033705255924219E-2</v>
      </c>
      <c r="C296" s="3">
        <f t="shared" si="278"/>
        <v>3.6033704852490224E-2</v>
      </c>
      <c r="D296" s="3">
        <f t="shared" si="278"/>
        <v>3.6033700818150556E-2</v>
      </c>
      <c r="E296" s="3">
        <f t="shared" si="278"/>
        <v>3.6033660474778705E-2</v>
      </c>
      <c r="F296" s="3">
        <f t="shared" si="278"/>
        <v>3.6033257043544459E-2</v>
      </c>
      <c r="G296" s="3">
        <f t="shared" si="278"/>
        <v>3.602922297961754E-2</v>
      </c>
      <c r="H296" s="3">
        <f t="shared" si="278"/>
        <v>3.598890717161464E-2</v>
      </c>
      <c r="I296" s="3">
        <f t="shared" si="278"/>
        <v>3.5588221962529996E-2</v>
      </c>
      <c r="J296" s="3">
        <f t="shared" si="278"/>
        <v>3.1818712640572344E-2</v>
      </c>
      <c r="K296" s="3">
        <f t="shared" si="278"/>
        <v>1.0385938419377135E-2</v>
      </c>
      <c r="L296" s="3">
        <f t="shared" si="278"/>
        <v>1.4258608048548437E-7</v>
      </c>
      <c r="M296" s="3">
        <f t="shared" si="278"/>
        <v>3.39149364980858E-56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2.6918166431522596E-2</v>
      </c>
      <c r="C297" s="3">
        <f t="shared" si="279"/>
        <v>2.691816640433595E-2</v>
      </c>
      <c r="D297" s="3">
        <f t="shared" si="279"/>
        <v>2.6918166132469491E-2</v>
      </c>
      <c r="E297" s="3">
        <f t="shared" si="279"/>
        <v>2.6918163413805055E-2</v>
      </c>
      <c r="F297" s="3">
        <f t="shared" si="279"/>
        <v>2.6918136227175794E-2</v>
      </c>
      <c r="G297" s="3">
        <f t="shared" si="279"/>
        <v>2.6917864362393334E-2</v>
      </c>
      <c r="H297" s="3">
        <f t="shared" si="279"/>
        <v>2.6915145865580383E-2</v>
      </c>
      <c r="I297" s="3">
        <f t="shared" si="279"/>
        <v>2.6887975992974111E-2</v>
      </c>
      <c r="J297" s="3">
        <f t="shared" si="279"/>
        <v>2.6617781193390904E-2</v>
      </c>
      <c r="K297" s="3">
        <f t="shared" si="279"/>
        <v>2.4060754435886924E-2</v>
      </c>
      <c r="L297" s="3">
        <f t="shared" si="279"/>
        <v>8.763611990166802E-3</v>
      </c>
      <c r="M297" s="3">
        <f t="shared" si="279"/>
        <v>3.6009918836662134E-7</v>
      </c>
      <c r="N297" s="3">
        <f t="shared" si="279"/>
        <v>4.9409693377543225E-51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2.731606625007052E-2</v>
      </c>
      <c r="C298" s="3">
        <f t="shared" si="280"/>
        <v>2.7316066247581809E-2</v>
      </c>
      <c r="D298" s="3">
        <f t="shared" si="280"/>
        <v>2.7316066222694672E-2</v>
      </c>
      <c r="E298" s="3">
        <f t="shared" si="280"/>
        <v>2.7316065973823321E-2</v>
      </c>
      <c r="F298" s="3">
        <f t="shared" si="280"/>
        <v>2.731606348510994E-2</v>
      </c>
      <c r="G298" s="3">
        <f t="shared" si="280"/>
        <v>2.7316038597988593E-2</v>
      </c>
      <c r="H298" s="3">
        <f t="shared" si="280"/>
        <v>2.7315789728022198E-2</v>
      </c>
      <c r="I298" s="3">
        <f t="shared" si="280"/>
        <v>2.7313301153061565E-2</v>
      </c>
      <c r="J298" s="3">
        <f t="shared" si="280"/>
        <v>2.7288427869586372E-2</v>
      </c>
      <c r="K298" s="3">
        <f t="shared" si="280"/>
        <v>2.7040937455837473E-2</v>
      </c>
      <c r="L298" s="3">
        <f t="shared" si="280"/>
        <v>2.4686187338319749E-2</v>
      </c>
      <c r="M298" s="3">
        <f t="shared" si="280"/>
        <v>9.9260575353081748E-3</v>
      </c>
      <c r="N298" s="3">
        <f t="shared" si="280"/>
        <v>1.0964894714471286E-6</v>
      </c>
      <c r="O298" s="3">
        <f t="shared" si="280"/>
        <v>2.9667519941865351E-46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2.9609291080484094E-2</v>
      </c>
      <c r="C299" s="3">
        <f t="shared" si="281"/>
        <v>2.9609291080240744E-2</v>
      </c>
      <c r="D299" s="3">
        <f t="shared" si="281"/>
        <v>2.9609291077807243E-2</v>
      </c>
      <c r="E299" s="3">
        <f t="shared" si="281"/>
        <v>2.9609291053472243E-2</v>
      </c>
      <c r="F299" s="3">
        <f t="shared" si="281"/>
        <v>2.9609290810122244E-2</v>
      </c>
      <c r="G299" s="3">
        <f t="shared" si="281"/>
        <v>2.960928837662237E-2</v>
      </c>
      <c r="H299" s="3">
        <f t="shared" si="281"/>
        <v>2.9609264041634612E-2</v>
      </c>
      <c r="I299" s="3">
        <f t="shared" si="281"/>
        <v>2.9609020692857063E-2</v>
      </c>
      <c r="J299" s="3">
        <f t="shared" si="281"/>
        <v>2.9606587315079043E-2</v>
      </c>
      <c r="K299" s="3">
        <f t="shared" si="281"/>
        <v>2.9582264533701885E-2</v>
      </c>
      <c r="L299" s="3">
        <f t="shared" si="281"/>
        <v>2.9340133023656397E-2</v>
      </c>
      <c r="M299" s="3">
        <f t="shared" si="281"/>
        <v>2.702518654870922E-2</v>
      </c>
      <c r="N299" s="3">
        <f t="shared" si="281"/>
        <v>1.1880505503397762E-2</v>
      </c>
      <c r="O299" s="3">
        <f t="shared" si="281"/>
        <v>3.2025588080559352E-6</v>
      </c>
      <c r="P299" s="3">
        <f t="shared" si="281"/>
        <v>6.4881226156232855E-42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2.5103127911924185E-2</v>
      </c>
      <c r="C300" s="3">
        <f t="shared" si="282"/>
        <v>2.5103127911905575E-2</v>
      </c>
      <c r="D300" s="3">
        <f t="shared" si="282"/>
        <v>2.510312791171946E-2</v>
      </c>
      <c r="E300" s="3">
        <f t="shared" si="282"/>
        <v>2.5103127909858323E-2</v>
      </c>
      <c r="F300" s="3">
        <f t="shared" si="282"/>
        <v>2.5103127891246982E-2</v>
      </c>
      <c r="G300" s="3">
        <f t="shared" si="282"/>
        <v>2.5103127705133524E-2</v>
      </c>
      <c r="H300" s="3">
        <f t="shared" si="282"/>
        <v>2.5103125843999062E-2</v>
      </c>
      <c r="I300" s="3">
        <f t="shared" si="282"/>
        <v>2.5103107232662025E-2</v>
      </c>
      <c r="J300" s="3">
        <f t="shared" si="282"/>
        <v>2.5102921120050564E-2</v>
      </c>
      <c r="K300" s="3">
        <f t="shared" si="282"/>
        <v>2.5101060069824627E-2</v>
      </c>
      <c r="L300" s="3">
        <f t="shared" si="282"/>
        <v>2.5082457154354674E-2</v>
      </c>
      <c r="M300" s="3">
        <f t="shared" si="282"/>
        <v>2.4897184601534676E-2</v>
      </c>
      <c r="N300" s="3">
        <f t="shared" si="282"/>
        <v>2.3118084297298953E-2</v>
      </c>
      <c r="O300" s="3">
        <f t="shared" si="282"/>
        <v>1.1014578408022694E-2</v>
      </c>
      <c r="P300" s="3">
        <f t="shared" si="282"/>
        <v>6.6393908729719121E-6</v>
      </c>
      <c r="Q300" s="3">
        <f t="shared" si="282"/>
        <v>4.2046690667369166E-38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2.9852900565737618E-2</v>
      </c>
      <c r="C301" s="3">
        <f t="shared" si="283"/>
        <v>2.9852900565735623E-2</v>
      </c>
      <c r="D301" s="3">
        <f t="shared" si="283"/>
        <v>2.9852900565715657E-2</v>
      </c>
      <c r="E301" s="3">
        <f t="shared" si="283"/>
        <v>2.9852900565515997E-2</v>
      </c>
      <c r="F301" s="3">
        <f t="shared" si="283"/>
        <v>2.9852900563519438E-2</v>
      </c>
      <c r="G301" s="3">
        <f t="shared" si="283"/>
        <v>2.9852900543553804E-2</v>
      </c>
      <c r="H301" s="3">
        <f t="shared" si="283"/>
        <v>2.9852900343897489E-2</v>
      </c>
      <c r="I301" s="3">
        <f t="shared" si="283"/>
        <v>2.9852898347334393E-2</v>
      </c>
      <c r="J301" s="3">
        <f t="shared" si="283"/>
        <v>2.9852878381710787E-2</v>
      </c>
      <c r="K301" s="3">
        <f t="shared" si="283"/>
        <v>2.9852678726209125E-2</v>
      </c>
      <c r="L301" s="3">
        <f t="shared" si="283"/>
        <v>2.9850682244632123E-2</v>
      </c>
      <c r="M301" s="3">
        <f t="shared" si="283"/>
        <v>2.9830724771005554E-2</v>
      </c>
      <c r="N301" s="3">
        <f t="shared" si="283"/>
        <v>2.9631882435471879E-2</v>
      </c>
      <c r="O301" s="3">
        <f t="shared" si="283"/>
        <v>2.7714918749146653E-2</v>
      </c>
      <c r="P301" s="3">
        <f t="shared" si="283"/>
        <v>1.419898458026818E-2</v>
      </c>
      <c r="Q301" s="3">
        <f t="shared" si="283"/>
        <v>1.7688624629476537E-5</v>
      </c>
      <c r="R301" s="3">
        <f t="shared" si="283"/>
        <v>1.5924354935541763E-34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3.2229654464622844E-2</v>
      </c>
      <c r="C302" s="3">
        <f t="shared" si="284"/>
        <v>3.2229654464622649E-2</v>
      </c>
      <c r="D302" s="3">
        <f t="shared" si="284"/>
        <v>3.2229654464620706E-2</v>
      </c>
      <c r="E302" s="3">
        <f t="shared" si="284"/>
        <v>3.2229654464601257E-2</v>
      </c>
      <c r="F302" s="3">
        <f t="shared" si="284"/>
        <v>3.2229654464406815E-2</v>
      </c>
      <c r="G302" s="3">
        <f t="shared" si="284"/>
        <v>3.2229654462462357E-2</v>
      </c>
      <c r="H302" s="3">
        <f t="shared" si="284"/>
        <v>3.2229654443017765E-2</v>
      </c>
      <c r="I302" s="3">
        <f t="shared" si="284"/>
        <v>3.2229654248571875E-2</v>
      </c>
      <c r="J302" s="3">
        <f t="shared" si="284"/>
        <v>3.2229652304113073E-2</v>
      </c>
      <c r="K302" s="3">
        <f t="shared" si="284"/>
        <v>3.2229632859531461E-2</v>
      </c>
      <c r="L302" s="3">
        <f t="shared" si="284"/>
        <v>3.2229438414360566E-2</v>
      </c>
      <c r="M302" s="3">
        <f t="shared" si="284"/>
        <v>3.2227494027171524E-2</v>
      </c>
      <c r="N302" s="3">
        <f t="shared" si="284"/>
        <v>3.2208056605832681E-2</v>
      </c>
      <c r="O302" s="3">
        <f t="shared" si="284"/>
        <v>3.2014326009993634E-2</v>
      </c>
      <c r="P302" s="3">
        <f t="shared" si="284"/>
        <v>3.0139967975820789E-2</v>
      </c>
      <c r="Q302" s="3">
        <f t="shared" si="284"/>
        <v>1.6486445083999782E-2</v>
      </c>
      <c r="R302" s="3">
        <f t="shared" si="284"/>
        <v>3.9533872559376108E-5</v>
      </c>
      <c r="S302" s="3">
        <f t="shared" si="284"/>
        <v>2.4853796293768064E-31</v>
      </c>
      <c r="T302" s="3">
        <f t="shared" si="284"/>
        <v>2.3967707697685897E-293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5.4487827383483629E-2</v>
      </c>
      <c r="C303" s="3">
        <f t="shared" si="285"/>
        <v>5.4487827383483609E-2</v>
      </c>
      <c r="D303" s="3">
        <f t="shared" si="285"/>
        <v>5.448782738348331E-2</v>
      </c>
      <c r="E303" s="3">
        <f t="shared" si="285"/>
        <v>5.448782738348034E-2</v>
      </c>
      <c r="F303" s="3">
        <f t="shared" si="285"/>
        <v>5.4487827383450683E-2</v>
      </c>
      <c r="G303" s="3">
        <f t="shared" si="285"/>
        <v>5.4487827383154143E-2</v>
      </c>
      <c r="H303" s="3">
        <f t="shared" si="285"/>
        <v>5.4487827380188703E-2</v>
      </c>
      <c r="I303" s="3">
        <f t="shared" si="285"/>
        <v>5.4487827350534299E-2</v>
      </c>
      <c r="J303" s="3">
        <f t="shared" si="285"/>
        <v>5.4487827053990259E-2</v>
      </c>
      <c r="K303" s="3">
        <f t="shared" si="285"/>
        <v>5.4487824088549991E-2</v>
      </c>
      <c r="L303" s="3">
        <f t="shared" si="285"/>
        <v>5.448779443415612E-2</v>
      </c>
      <c r="M303" s="3">
        <f t="shared" si="285"/>
        <v>5.4487497891105137E-2</v>
      </c>
      <c r="N303" s="3">
        <f t="shared" si="285"/>
        <v>5.4484532549358276E-2</v>
      </c>
      <c r="O303" s="3">
        <f t="shared" si="285"/>
        <v>5.4454888006400456E-2</v>
      </c>
      <c r="P303" s="3">
        <f t="shared" si="285"/>
        <v>5.4159328243457108E-2</v>
      </c>
      <c r="Q303" s="3">
        <f t="shared" si="285"/>
        <v>5.1290539489696876E-2</v>
      </c>
      <c r="R303" s="3">
        <f t="shared" si="285"/>
        <v>2.9763037282991969E-2</v>
      </c>
      <c r="S303" s="3">
        <f t="shared" si="285"/>
        <v>1.2884781578044666E-4</v>
      </c>
      <c r="T303" s="3">
        <f t="shared" si="285"/>
        <v>2.9790321159969022E-28</v>
      </c>
      <c r="U303" s="3">
        <f t="shared" si="285"/>
        <v>1.3003385244549234E-264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6.3046504540403295E-2</v>
      </c>
      <c r="C304" s="3">
        <f t="shared" si="286"/>
        <v>6.3046504540403295E-2</v>
      </c>
      <c r="D304" s="3">
        <f t="shared" si="286"/>
        <v>6.3046504540403253E-2</v>
      </c>
      <c r="E304" s="3">
        <f t="shared" si="286"/>
        <v>6.3046504540402948E-2</v>
      </c>
      <c r="F304" s="3">
        <f t="shared" si="286"/>
        <v>6.3046504540399853E-2</v>
      </c>
      <c r="G304" s="3">
        <f t="shared" si="286"/>
        <v>6.3046504540368906E-2</v>
      </c>
      <c r="H304" s="3">
        <f t="shared" si="286"/>
        <v>6.3046504540059375E-2</v>
      </c>
      <c r="I304" s="3">
        <f t="shared" si="286"/>
        <v>6.3046504536964115E-2</v>
      </c>
      <c r="J304" s="3">
        <f t="shared" si="286"/>
        <v>6.30465045060115E-2</v>
      </c>
      <c r="K304" s="3">
        <f t="shared" si="286"/>
        <v>6.3046504196485387E-2</v>
      </c>
      <c r="L304" s="3">
        <f t="shared" si="286"/>
        <v>6.3046501101224242E-2</v>
      </c>
      <c r="M304" s="3">
        <f t="shared" si="286"/>
        <v>6.3046470148621178E-2</v>
      </c>
      <c r="N304" s="3">
        <f t="shared" si="286"/>
        <v>6.3046160623426384E-2</v>
      </c>
      <c r="O304" s="3">
        <f t="shared" si="286"/>
        <v>6.3043065455055558E-2</v>
      </c>
      <c r="P304" s="3">
        <f t="shared" si="286"/>
        <v>6.3012122127543799E-2</v>
      </c>
      <c r="Q304" s="3">
        <f t="shared" si="286"/>
        <v>6.2703522956149449E-2</v>
      </c>
      <c r="R304" s="3">
        <f t="shared" si="286"/>
        <v>5.96994461475963E-2</v>
      </c>
      <c r="S304" s="3">
        <f t="shared" si="286"/>
        <v>3.6538768166603439E-2</v>
      </c>
      <c r="T304" s="3">
        <f t="shared" si="286"/>
        <v>2.6951931866815487E-4</v>
      </c>
      <c r="U304" s="3">
        <f t="shared" si="286"/>
        <v>1.2851383463129236E-25</v>
      </c>
      <c r="V304" s="3">
        <f t="shared" si="286"/>
        <v>7.8081779996370337E-239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6.2829439903481887E-2</v>
      </c>
      <c r="C305" s="3">
        <f t="shared" si="287"/>
        <v>6.2829439903481887E-2</v>
      </c>
      <c r="D305" s="3">
        <f t="shared" si="287"/>
        <v>6.2829439903481887E-2</v>
      </c>
      <c r="E305" s="3">
        <f t="shared" si="287"/>
        <v>6.282943990348186E-2</v>
      </c>
      <c r="F305" s="3">
        <f t="shared" si="287"/>
        <v>6.2829439903481582E-2</v>
      </c>
      <c r="G305" s="3">
        <f t="shared" si="287"/>
        <v>6.2829439903478793E-2</v>
      </c>
      <c r="H305" s="3">
        <f t="shared" si="287"/>
        <v>6.2829439903450968E-2</v>
      </c>
      <c r="I305" s="3">
        <f t="shared" si="287"/>
        <v>6.2829439903172718E-2</v>
      </c>
      <c r="J305" s="3">
        <f t="shared" si="287"/>
        <v>6.2829439900390138E-2</v>
      </c>
      <c r="K305" s="3">
        <f t="shared" si="287"/>
        <v>6.2829439872564452E-2</v>
      </c>
      <c r="L305" s="3">
        <f t="shared" si="287"/>
        <v>6.2829439594307465E-2</v>
      </c>
      <c r="M305" s="3">
        <f t="shared" si="287"/>
        <v>6.2829436811737693E-2</v>
      </c>
      <c r="N305" s="3">
        <f t="shared" si="287"/>
        <v>6.2829408986046761E-2</v>
      </c>
      <c r="O305" s="3">
        <f t="shared" si="287"/>
        <v>6.2829130729815219E-2</v>
      </c>
      <c r="P305" s="3">
        <f t="shared" si="287"/>
        <v>6.2826348235277135E-2</v>
      </c>
      <c r="Q305" s="3">
        <f t="shared" si="287"/>
        <v>6.2798530066507638E-2</v>
      </c>
      <c r="R305" s="3">
        <f t="shared" si="287"/>
        <v>6.2521024930818847E-2</v>
      </c>
      <c r="S305" s="3">
        <f t="shared" si="287"/>
        <v>5.9812533157296323E-2</v>
      </c>
      <c r="T305" s="3">
        <f t="shared" si="287"/>
        <v>3.8410792261227726E-2</v>
      </c>
      <c r="U305" s="3">
        <f t="shared" si="287"/>
        <v>4.5820936003734814E-4</v>
      </c>
      <c r="V305" s="3">
        <f t="shared" si="287"/>
        <v>2.674058296020233E-23</v>
      </c>
      <c r="W305" s="3">
        <f t="shared" si="287"/>
        <v>1.225293177340098E-215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5.5245188990655253E-2</v>
      </c>
      <c r="C306" s="3">
        <f t="shared" si="288"/>
        <v>5.5245188990655253E-2</v>
      </c>
      <c r="D306" s="3">
        <f t="shared" si="288"/>
        <v>5.5245188990655253E-2</v>
      </c>
      <c r="E306" s="3">
        <f t="shared" si="288"/>
        <v>5.5245188990655253E-2</v>
      </c>
      <c r="F306" s="3">
        <f t="shared" si="288"/>
        <v>5.5245188990655225E-2</v>
      </c>
      <c r="G306" s="3">
        <f t="shared" si="288"/>
        <v>5.524518899065501E-2</v>
      </c>
      <c r="H306" s="3">
        <f t="shared" si="288"/>
        <v>5.5245188990652797E-2</v>
      </c>
      <c r="I306" s="3">
        <f t="shared" si="288"/>
        <v>5.5245188990630731E-2</v>
      </c>
      <c r="J306" s="3">
        <f t="shared" si="288"/>
        <v>5.5245188990410019E-2</v>
      </c>
      <c r="K306" s="3">
        <f t="shared" si="288"/>
        <v>5.5245188988202909E-2</v>
      </c>
      <c r="L306" s="3">
        <f t="shared" si="288"/>
        <v>5.5245188966131807E-2</v>
      </c>
      <c r="M306" s="3">
        <f t="shared" si="288"/>
        <v>5.524518874542083E-2</v>
      </c>
      <c r="N306" s="3">
        <f t="shared" si="288"/>
        <v>5.5245186538311078E-2</v>
      </c>
      <c r="O306" s="3">
        <f t="shared" si="288"/>
        <v>5.5245164467218374E-2</v>
      </c>
      <c r="P306" s="3">
        <f t="shared" si="288"/>
        <v>5.5244943756776348E-2</v>
      </c>
      <c r="Q306" s="3">
        <f t="shared" si="288"/>
        <v>5.5242736700852377E-2</v>
      </c>
      <c r="R306" s="3">
        <f t="shared" si="288"/>
        <v>5.5220670990530046E-2</v>
      </c>
      <c r="S306" s="3">
        <f t="shared" si="288"/>
        <v>5.5000498063041227E-2</v>
      </c>
      <c r="T306" s="3">
        <f t="shared" si="288"/>
        <v>5.2846478240225349E-2</v>
      </c>
      <c r="U306" s="3">
        <f t="shared" si="288"/>
        <v>3.544135633843154E-2</v>
      </c>
      <c r="V306" s="3">
        <f t="shared" si="288"/>
        <v>6.5230869430501538E-4</v>
      </c>
      <c r="W306" s="3">
        <f t="shared" si="288"/>
        <v>2.9099230062028078E-21</v>
      </c>
      <c r="X306" s="3">
        <f t="shared" si="288"/>
        <v>9.0816510078149206E-195</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6.6645884688751614E-2</v>
      </c>
      <c r="C307" s="3">
        <f t="shared" si="289"/>
        <v>6.6645884688751614E-2</v>
      </c>
      <c r="D307" s="3">
        <f t="shared" si="289"/>
        <v>6.6645884688751614E-2</v>
      </c>
      <c r="E307" s="3">
        <f t="shared" si="289"/>
        <v>6.6645884688751614E-2</v>
      </c>
      <c r="F307" s="3">
        <f t="shared" si="289"/>
        <v>6.6645884688751614E-2</v>
      </c>
      <c r="G307" s="3">
        <f t="shared" si="289"/>
        <v>6.6645884688751586E-2</v>
      </c>
      <c r="H307" s="3">
        <f t="shared" si="289"/>
        <v>6.664588468875135E-2</v>
      </c>
      <c r="I307" s="3">
        <f t="shared" si="289"/>
        <v>6.6645884688748949E-2</v>
      </c>
      <c r="J307" s="3">
        <f t="shared" si="289"/>
        <v>6.6645884688724927E-2</v>
      </c>
      <c r="K307" s="3">
        <f t="shared" si="289"/>
        <v>6.6645884688484744E-2</v>
      </c>
      <c r="L307" s="3">
        <f t="shared" si="289"/>
        <v>6.6645884686082874E-2</v>
      </c>
      <c r="M307" s="3">
        <f t="shared" si="289"/>
        <v>6.664588466206417E-2</v>
      </c>
      <c r="N307" s="3">
        <f t="shared" si="289"/>
        <v>6.664588442187723E-2</v>
      </c>
      <c r="O307" s="3">
        <f t="shared" si="289"/>
        <v>6.6645882020007791E-2</v>
      </c>
      <c r="P307" s="3">
        <f t="shared" si="289"/>
        <v>6.6645858001318184E-2</v>
      </c>
      <c r="Q307" s="3">
        <f t="shared" si="289"/>
        <v>6.6645617814898139E-2</v>
      </c>
      <c r="R307" s="3">
        <f t="shared" si="289"/>
        <v>6.6643215998306055E-2</v>
      </c>
      <c r="S307" s="3">
        <f t="shared" si="289"/>
        <v>6.6619202592570023E-2</v>
      </c>
      <c r="T307" s="3">
        <f t="shared" si="289"/>
        <v>6.6379543919559372E-2</v>
      </c>
      <c r="U307" s="3">
        <f t="shared" si="289"/>
        <v>6.4029867786029107E-2</v>
      </c>
      <c r="V307" s="3">
        <f t="shared" si="289"/>
        <v>4.4654580551991778E-2</v>
      </c>
      <c r="W307" s="3">
        <f t="shared" si="289"/>
        <v>1.2153464784541823E-3</v>
      </c>
      <c r="X307" s="3">
        <f t="shared" si="289"/>
        <v>2.7104477084158605E-19</v>
      </c>
      <c r="Y307" s="3">
        <f t="shared" si="289"/>
        <v>8.2499305773369751E-176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2.5869055396656026E-2</v>
      </c>
      <c r="C308" s="3">
        <f t="shared" si="290"/>
        <v>2.5869055396656026E-2</v>
      </c>
      <c r="D308" s="3">
        <f t="shared" si="290"/>
        <v>2.5869055396656026E-2</v>
      </c>
      <c r="E308" s="3">
        <f t="shared" si="290"/>
        <v>2.5869055396656026E-2</v>
      </c>
      <c r="F308" s="3">
        <f t="shared" si="290"/>
        <v>2.5869055396656026E-2</v>
      </c>
      <c r="G308" s="3">
        <f t="shared" si="290"/>
        <v>2.5869055396656026E-2</v>
      </c>
      <c r="H308" s="3">
        <f t="shared" si="290"/>
        <v>2.5869055396656019E-2</v>
      </c>
      <c r="I308" s="3">
        <f t="shared" si="290"/>
        <v>2.5869055396655932E-2</v>
      </c>
      <c r="J308" s="3">
        <f t="shared" si="290"/>
        <v>2.5869055396655093E-2</v>
      </c>
      <c r="K308" s="3">
        <f t="shared" si="290"/>
        <v>2.5869055396646679E-2</v>
      </c>
      <c r="L308" s="3">
        <f t="shared" si="290"/>
        <v>2.586905539656258E-2</v>
      </c>
      <c r="M308" s="3">
        <f t="shared" si="290"/>
        <v>2.5869055395721569E-2</v>
      </c>
      <c r="N308" s="3">
        <f t="shared" si="290"/>
        <v>2.5869055387311428E-2</v>
      </c>
      <c r="O308" s="3">
        <f t="shared" si="290"/>
        <v>2.5869055303210025E-2</v>
      </c>
      <c r="P308" s="3">
        <f t="shared" si="290"/>
        <v>2.586905446219603E-2</v>
      </c>
      <c r="Q308" s="3">
        <f t="shared" si="290"/>
        <v>2.5869046052057615E-2</v>
      </c>
      <c r="R308" s="3">
        <f t="shared" si="290"/>
        <v>2.5868961950823818E-2</v>
      </c>
      <c r="S308" s="3">
        <f t="shared" si="290"/>
        <v>2.5868120953523598E-2</v>
      </c>
      <c r="T308" s="3">
        <f t="shared" si="290"/>
        <v>2.5859712484115227E-2</v>
      </c>
      <c r="U308" s="3">
        <f t="shared" si="290"/>
        <v>2.577577796870649E-2</v>
      </c>
      <c r="V308" s="3">
        <f t="shared" si="290"/>
        <v>2.495127159449393E-2</v>
      </c>
      <c r="W308" s="3">
        <f t="shared" si="290"/>
        <v>1.8026096752481593E-2</v>
      </c>
      <c r="X308" s="3">
        <f t="shared" si="290"/>
        <v>6.9821928508368857E-4</v>
      </c>
      <c r="Y308" s="3">
        <f t="shared" si="290"/>
        <v>5.3075398395565004E-18</v>
      </c>
      <c r="Z308" s="3">
        <f t="shared" si="290"/>
        <v>3.4190660459278669E-159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4.8591449840458205E-2</v>
      </c>
      <c r="C309" s="3">
        <f t="shared" si="291"/>
        <v>4.8591449840458205E-2</v>
      </c>
      <c r="D309" s="3">
        <f t="shared" si="291"/>
        <v>4.8591449840458205E-2</v>
      </c>
      <c r="E309" s="3">
        <f t="shared" si="291"/>
        <v>4.8591449840458205E-2</v>
      </c>
      <c r="F309" s="3">
        <f t="shared" si="291"/>
        <v>4.8591449840458205E-2</v>
      </c>
      <c r="G309" s="3">
        <f t="shared" si="291"/>
        <v>4.8591449840458205E-2</v>
      </c>
      <c r="H309" s="3">
        <f t="shared" si="291"/>
        <v>4.8591449840458198E-2</v>
      </c>
      <c r="I309" s="3">
        <f t="shared" si="291"/>
        <v>4.8591449840458156E-2</v>
      </c>
      <c r="J309" s="3">
        <f t="shared" si="291"/>
        <v>4.8591449840457719E-2</v>
      </c>
      <c r="K309" s="3">
        <f t="shared" si="291"/>
        <v>4.8591449840453348E-2</v>
      </c>
      <c r="L309" s="3">
        <f t="shared" si="291"/>
        <v>4.859144984040966E-2</v>
      </c>
      <c r="M309" s="3">
        <f t="shared" si="291"/>
        <v>4.8591449839972746E-2</v>
      </c>
      <c r="N309" s="3">
        <f t="shared" si="291"/>
        <v>4.8591449835603616E-2</v>
      </c>
      <c r="O309" s="3">
        <f t="shared" si="291"/>
        <v>4.8591449791912274E-2</v>
      </c>
      <c r="P309" s="3">
        <f t="shared" si="291"/>
        <v>4.8591449354998859E-2</v>
      </c>
      <c r="Q309" s="3">
        <f t="shared" si="291"/>
        <v>4.8591444985864964E-2</v>
      </c>
      <c r="R309" s="3">
        <f t="shared" si="291"/>
        <v>4.8591401294547587E-2</v>
      </c>
      <c r="S309" s="3">
        <f t="shared" si="291"/>
        <v>4.8590964383534524E-2</v>
      </c>
      <c r="T309" s="3">
        <f t="shared" si="291"/>
        <v>4.8586595489465464E-2</v>
      </c>
      <c r="U309" s="3">
        <f t="shared" si="291"/>
        <v>4.8542928147745842E-2</v>
      </c>
      <c r="V309" s="3">
        <f t="shared" si="291"/>
        <v>4.8108407459178389E-2</v>
      </c>
      <c r="W309" s="3">
        <f t="shared" si="291"/>
        <v>4.3971480570003441E-2</v>
      </c>
      <c r="X309" s="3">
        <f t="shared" si="291"/>
        <v>1.7892547279386925E-2</v>
      </c>
      <c r="Y309" s="3">
        <f t="shared" si="291"/>
        <v>2.2268092547767422E-6</v>
      </c>
      <c r="Z309" s="3">
        <f t="shared" si="291"/>
        <v>1.9851414558847753E-45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2.853497416803049E-2</v>
      </c>
      <c r="C310" s="3">
        <f t="shared" si="292"/>
        <v>2.853497416803049E-2</v>
      </c>
      <c r="D310" s="3">
        <f t="shared" si="292"/>
        <v>2.853497416803049E-2</v>
      </c>
      <c r="E310" s="3">
        <f t="shared" si="292"/>
        <v>2.853497416803049E-2</v>
      </c>
      <c r="F310" s="3">
        <f t="shared" si="292"/>
        <v>2.853497416803049E-2</v>
      </c>
      <c r="G310" s="3">
        <f t="shared" si="292"/>
        <v>2.853497416803049E-2</v>
      </c>
      <c r="H310" s="3">
        <f t="shared" si="292"/>
        <v>2.853497416803049E-2</v>
      </c>
      <c r="I310" s="3">
        <f t="shared" si="292"/>
        <v>2.8534974168030487E-2</v>
      </c>
      <c r="J310" s="3">
        <f t="shared" si="292"/>
        <v>2.8534974168030462E-2</v>
      </c>
      <c r="K310" s="3">
        <f t="shared" si="292"/>
        <v>2.8534974168030205E-2</v>
      </c>
      <c r="L310" s="3">
        <f t="shared" si="292"/>
        <v>2.8534974168027638E-2</v>
      </c>
      <c r="M310" s="3">
        <f t="shared" si="292"/>
        <v>2.8534974168001982E-2</v>
      </c>
      <c r="N310" s="3">
        <f t="shared" si="292"/>
        <v>2.8534974167745406E-2</v>
      </c>
      <c r="O310" s="3">
        <f t="shared" si="292"/>
        <v>2.8534974165179666E-2</v>
      </c>
      <c r="P310" s="3">
        <f t="shared" si="292"/>
        <v>2.8534974139522246E-2</v>
      </c>
      <c r="Q310" s="3">
        <f t="shared" si="292"/>
        <v>2.8534973882948032E-2</v>
      </c>
      <c r="R310" s="3">
        <f t="shared" si="292"/>
        <v>2.8534971317206049E-2</v>
      </c>
      <c r="S310" s="3">
        <f t="shared" si="292"/>
        <v>2.8534945659798895E-2</v>
      </c>
      <c r="T310" s="3">
        <f t="shared" si="292"/>
        <v>2.8534689086996225E-2</v>
      </c>
      <c r="U310" s="3">
        <f t="shared" si="292"/>
        <v>2.8532123485850082E-2</v>
      </c>
      <c r="V310" s="3">
        <f t="shared" si="292"/>
        <v>2.8506480158226658E-2</v>
      </c>
      <c r="W310" s="3">
        <f t="shared" si="292"/>
        <v>2.8251311056163287E-2</v>
      </c>
      <c r="X310" s="3">
        <f t="shared" si="292"/>
        <v>2.5821930942887691E-2</v>
      </c>
      <c r="Y310" s="3">
        <f t="shared" si="292"/>
        <v>1.0507267762001721E-2</v>
      </c>
      <c r="Z310" s="3">
        <f t="shared" si="292"/>
        <v>1.3076774776388599E-6</v>
      </c>
      <c r="AA310" s="3">
        <f t="shared" si="292"/>
        <v>1.1657598270795772E-45</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1.8710063230340357E-2</v>
      </c>
      <c r="C311" s="3">
        <f t="shared" si="293"/>
        <v>1.8710063230340357E-2</v>
      </c>
      <c r="D311" s="3">
        <f t="shared" si="293"/>
        <v>1.8710063230340357E-2</v>
      </c>
      <c r="E311" s="3">
        <f t="shared" si="293"/>
        <v>1.8710063230340357E-2</v>
      </c>
      <c r="F311" s="3">
        <f t="shared" si="293"/>
        <v>1.8710063230340357E-2</v>
      </c>
      <c r="G311" s="3">
        <f t="shared" si="293"/>
        <v>1.8710063230340357E-2</v>
      </c>
      <c r="H311" s="3">
        <f t="shared" si="293"/>
        <v>1.8710063230340357E-2</v>
      </c>
      <c r="I311" s="3">
        <f t="shared" si="293"/>
        <v>1.8710063230340357E-2</v>
      </c>
      <c r="J311" s="3">
        <f t="shared" si="293"/>
        <v>1.8710063230340353E-2</v>
      </c>
      <c r="K311" s="3">
        <f t="shared" si="293"/>
        <v>1.871006323034034E-2</v>
      </c>
      <c r="L311" s="3">
        <f t="shared" si="293"/>
        <v>1.871006323034017E-2</v>
      </c>
      <c r="M311" s="3">
        <f t="shared" si="293"/>
        <v>1.8710063230338487E-2</v>
      </c>
      <c r="N311" s="3">
        <f t="shared" si="293"/>
        <v>1.8710063230321664E-2</v>
      </c>
      <c r="O311" s="3">
        <f t="shared" si="293"/>
        <v>1.871006323015343E-2</v>
      </c>
      <c r="P311" s="3">
        <f t="shared" si="293"/>
        <v>1.8710063228471102E-2</v>
      </c>
      <c r="Q311" s="3">
        <f t="shared" si="293"/>
        <v>1.871006321164782E-2</v>
      </c>
      <c r="R311" s="3">
        <f t="shared" si="293"/>
        <v>1.8710063043414979E-2</v>
      </c>
      <c r="S311" s="3">
        <f t="shared" si="293"/>
        <v>1.8710061361086675E-2</v>
      </c>
      <c r="T311" s="3">
        <f t="shared" si="293"/>
        <v>1.8710044537811932E-2</v>
      </c>
      <c r="U311" s="3">
        <f t="shared" si="293"/>
        <v>1.8709876305896499E-2</v>
      </c>
      <c r="V311" s="3">
        <f t="shared" si="293"/>
        <v>1.8708194069936322E-2</v>
      </c>
      <c r="W311" s="3">
        <f t="shared" si="293"/>
        <v>1.8691380026985192E-2</v>
      </c>
      <c r="X311" s="3">
        <f t="shared" si="293"/>
        <v>1.8524068502330522E-2</v>
      </c>
      <c r="Y311" s="3">
        <f t="shared" si="293"/>
        <v>1.6931151148971129E-2</v>
      </c>
      <c r="Z311" s="3">
        <f t="shared" si="293"/>
        <v>6.8894978859109285E-3</v>
      </c>
      <c r="AA311" s="3">
        <f t="shared" si="293"/>
        <v>8.5742948801848424E-7</v>
      </c>
      <c r="AB311" s="3">
        <f t="shared" si="293"/>
        <v>7.6437567273098311E-46</v>
      </c>
      <c r="AC311" s="3">
        <f t="shared" si="293"/>
        <v>0</v>
      </c>
      <c r="AD311" s="3">
        <f t="shared" si="293"/>
        <v>0</v>
      </c>
      <c r="AE311" s="3">
        <f t="shared" si="293"/>
        <v>0</v>
      </c>
      <c r="AF311" s="3">
        <f t="shared" si="293"/>
        <v>0</v>
      </c>
      <c r="AG311" s="3"/>
      <c r="AH311" s="3"/>
    </row>
    <row r="312" spans="1:34" x14ac:dyDescent="0.25">
      <c r="B312" s="3">
        <f t="shared" ref="B312:AF312" si="294">$C42*EXP(-B$285/$A42/EXP(-$F$126))</f>
        <v>7.6798609611155137E-3</v>
      </c>
      <c r="C312" s="3">
        <f t="shared" si="294"/>
        <v>7.6798609611155137E-3</v>
      </c>
      <c r="D312" s="3">
        <f t="shared" si="294"/>
        <v>7.6798609611155137E-3</v>
      </c>
      <c r="E312" s="3">
        <f t="shared" si="294"/>
        <v>7.6798609611155137E-3</v>
      </c>
      <c r="F312" s="3">
        <f t="shared" si="294"/>
        <v>7.6798609611155137E-3</v>
      </c>
      <c r="G312" s="3">
        <f t="shared" si="294"/>
        <v>7.6798609611155137E-3</v>
      </c>
      <c r="H312" s="3">
        <f t="shared" si="294"/>
        <v>7.6798609611155137E-3</v>
      </c>
      <c r="I312" s="3">
        <f t="shared" si="294"/>
        <v>7.6798609611155137E-3</v>
      </c>
      <c r="J312" s="3">
        <f t="shared" si="294"/>
        <v>7.6798609611155137E-3</v>
      </c>
      <c r="K312" s="3">
        <f t="shared" si="294"/>
        <v>7.6798609611155129E-3</v>
      </c>
      <c r="L312" s="3">
        <f t="shared" si="294"/>
        <v>7.6798609611155059E-3</v>
      </c>
      <c r="M312" s="3">
        <f t="shared" si="294"/>
        <v>7.6798609611154374E-3</v>
      </c>
      <c r="N312" s="3">
        <f t="shared" si="294"/>
        <v>7.6798609611147461E-3</v>
      </c>
      <c r="O312" s="3">
        <f t="shared" si="294"/>
        <v>7.679860961107841E-3</v>
      </c>
      <c r="P312" s="3">
        <f t="shared" si="294"/>
        <v>7.6798609610387869E-3</v>
      </c>
      <c r="Q312" s="3">
        <f t="shared" si="294"/>
        <v>7.6798609603482473E-3</v>
      </c>
      <c r="R312" s="3">
        <f t="shared" si="294"/>
        <v>7.6798609534428465E-3</v>
      </c>
      <c r="S312" s="3">
        <f t="shared" si="294"/>
        <v>7.679860884388841E-3</v>
      </c>
      <c r="T312" s="3">
        <f t="shared" si="294"/>
        <v>7.6798601938488182E-3</v>
      </c>
      <c r="U312" s="3">
        <f t="shared" si="294"/>
        <v>7.67985328845201E-3</v>
      </c>
      <c r="V312" s="3">
        <f t="shared" si="294"/>
        <v>7.6797842348254207E-3</v>
      </c>
      <c r="W312" s="3">
        <f t="shared" si="294"/>
        <v>7.6790937327079825E-3</v>
      </c>
      <c r="X312" s="3">
        <f t="shared" si="294"/>
        <v>7.6721921252431036E-3</v>
      </c>
      <c r="Y312" s="3">
        <f t="shared" si="294"/>
        <v>7.6035162885705436E-3</v>
      </c>
      <c r="Z312" s="3">
        <f t="shared" si="294"/>
        <v>6.9496764994825761E-3</v>
      </c>
      <c r="AA312" s="3">
        <f t="shared" si="294"/>
        <v>2.8279105850318766E-3</v>
      </c>
      <c r="AB312" s="3">
        <f t="shared" si="294"/>
        <v>3.5194639221016847E-7</v>
      </c>
      <c r="AC312" s="3">
        <f t="shared" si="294"/>
        <v>3.1375088455680744E-46</v>
      </c>
      <c r="AD312" s="3">
        <f t="shared" si="294"/>
        <v>0</v>
      </c>
      <c r="AE312" s="3">
        <f t="shared" si="294"/>
        <v>0</v>
      </c>
      <c r="AF312" s="3">
        <f t="shared" si="294"/>
        <v>0</v>
      </c>
      <c r="AG312" s="3"/>
      <c r="AH312" s="3"/>
    </row>
    <row r="313" spans="1:34" x14ac:dyDescent="0.25">
      <c r="B313" s="3">
        <f t="shared" ref="B313:AF313" si="295">$C43*EXP(-B$285/$A43/EXP(-$F$126))</f>
        <v>4.1102249961922147E-3</v>
      </c>
      <c r="C313" s="3">
        <f t="shared" si="295"/>
        <v>4.1102249961922147E-3</v>
      </c>
      <c r="D313" s="3">
        <f t="shared" si="295"/>
        <v>4.1102249961922147E-3</v>
      </c>
      <c r="E313" s="3">
        <f t="shared" si="295"/>
        <v>4.1102249961922147E-3</v>
      </c>
      <c r="F313" s="3">
        <f t="shared" si="295"/>
        <v>4.1102249961922147E-3</v>
      </c>
      <c r="G313" s="3">
        <f t="shared" si="295"/>
        <v>4.1102249961922147E-3</v>
      </c>
      <c r="H313" s="3">
        <f t="shared" si="295"/>
        <v>4.1102249961922147E-3</v>
      </c>
      <c r="I313" s="3">
        <f t="shared" si="295"/>
        <v>4.1102249961922147E-3</v>
      </c>
      <c r="J313" s="3">
        <f t="shared" si="295"/>
        <v>4.1102249961922147E-3</v>
      </c>
      <c r="K313" s="3">
        <f t="shared" si="295"/>
        <v>4.1102249961922147E-3</v>
      </c>
      <c r="L313" s="3">
        <f t="shared" si="295"/>
        <v>4.1102249961922138E-3</v>
      </c>
      <c r="M313" s="3">
        <f t="shared" si="295"/>
        <v>4.1102249961922103E-3</v>
      </c>
      <c r="N313" s="3">
        <f t="shared" si="295"/>
        <v>4.1102249961921739E-3</v>
      </c>
      <c r="O313" s="3">
        <f t="shared" si="295"/>
        <v>4.1102249961918044E-3</v>
      </c>
      <c r="P313" s="3">
        <f t="shared" si="295"/>
        <v>4.1102249961881086E-3</v>
      </c>
      <c r="Q313" s="3">
        <f t="shared" si="295"/>
        <v>4.1102249961511511E-3</v>
      </c>
      <c r="R313" s="3">
        <f t="shared" si="295"/>
        <v>4.110224995781577E-3</v>
      </c>
      <c r="S313" s="3">
        <f t="shared" si="295"/>
        <v>4.1102249920858397E-3</v>
      </c>
      <c r="T313" s="3">
        <f t="shared" si="295"/>
        <v>4.110224955128465E-3</v>
      </c>
      <c r="U313" s="3">
        <f t="shared" si="295"/>
        <v>4.1102245855547349E-3</v>
      </c>
      <c r="V313" s="3">
        <f t="shared" si="295"/>
        <v>4.1102208898192629E-3</v>
      </c>
      <c r="W313" s="3">
        <f t="shared" si="295"/>
        <v>4.1101839326473143E-3</v>
      </c>
      <c r="X313" s="3">
        <f t="shared" si="295"/>
        <v>4.1098143792039138E-3</v>
      </c>
      <c r="Y313" s="3">
        <f t="shared" si="295"/>
        <v>4.1061206717709691E-3</v>
      </c>
      <c r="Z313" s="3">
        <f t="shared" si="295"/>
        <v>4.0693656911853617E-3</v>
      </c>
      <c r="AA313" s="3">
        <f t="shared" si="295"/>
        <v>3.7194337512425246E-3</v>
      </c>
      <c r="AB313" s="3">
        <f t="shared" si="295"/>
        <v>1.5134842717134628E-3</v>
      </c>
      <c r="AC313" s="3">
        <f t="shared" si="295"/>
        <v>1.8836003228524402E-7</v>
      </c>
      <c r="AD313" s="3">
        <f t="shared" si="295"/>
        <v>1.67917978569171E-46</v>
      </c>
      <c r="AE313" s="3">
        <f t="shared" si="295"/>
        <v>0</v>
      </c>
      <c r="AF313" s="3">
        <f t="shared" si="295"/>
        <v>0</v>
      </c>
      <c r="AG313" s="3"/>
      <c r="AH313" s="3"/>
    </row>
    <row r="314" spans="1:34" x14ac:dyDescent="0.25">
      <c r="B314" s="3">
        <f t="shared" ref="B314:AF314" si="296">$C44*EXP(-B$285/$A44/EXP(-$F$126))</f>
        <v>3.1066969837399792E-3</v>
      </c>
      <c r="C314" s="3">
        <f t="shared" si="296"/>
        <v>3.1066969837399792E-3</v>
      </c>
      <c r="D314" s="3">
        <f t="shared" si="296"/>
        <v>3.1066969837399792E-3</v>
      </c>
      <c r="E314" s="3">
        <f t="shared" si="296"/>
        <v>3.1066969837399792E-3</v>
      </c>
      <c r="F314" s="3">
        <f t="shared" si="296"/>
        <v>3.1066969837399792E-3</v>
      </c>
      <c r="G314" s="3">
        <f t="shared" si="296"/>
        <v>3.1066969837399792E-3</v>
      </c>
      <c r="H314" s="3">
        <f t="shared" si="296"/>
        <v>3.1066969837399792E-3</v>
      </c>
      <c r="I314" s="3">
        <f t="shared" si="296"/>
        <v>3.1066969837399792E-3</v>
      </c>
      <c r="J314" s="3">
        <f t="shared" si="296"/>
        <v>3.1066969837399792E-3</v>
      </c>
      <c r="K314" s="3">
        <f t="shared" si="296"/>
        <v>3.1066969837399792E-3</v>
      </c>
      <c r="L314" s="3">
        <f t="shared" si="296"/>
        <v>3.1066969837399792E-3</v>
      </c>
      <c r="M314" s="3">
        <f t="shared" si="296"/>
        <v>3.1066969837399787E-3</v>
      </c>
      <c r="N314" s="3">
        <f t="shared" si="296"/>
        <v>3.1066969837399761E-3</v>
      </c>
      <c r="O314" s="3">
        <f t="shared" si="296"/>
        <v>3.1066969837399479E-3</v>
      </c>
      <c r="P314" s="3">
        <f t="shared" si="296"/>
        <v>3.1066969837396687E-3</v>
      </c>
      <c r="Q314" s="3">
        <f t="shared" si="296"/>
        <v>3.1066969837368753E-3</v>
      </c>
      <c r="R314" s="3">
        <f t="shared" si="296"/>
        <v>3.1066969837089411E-3</v>
      </c>
      <c r="S314" s="3">
        <f t="shared" si="296"/>
        <v>3.1066969834296007E-3</v>
      </c>
      <c r="T314" s="3">
        <f t="shared" si="296"/>
        <v>3.1066969806361924E-3</v>
      </c>
      <c r="U314" s="3">
        <f t="shared" si="296"/>
        <v>3.1066969527021094E-3</v>
      </c>
      <c r="V314" s="3">
        <f t="shared" si="296"/>
        <v>3.1066966733612963E-3</v>
      </c>
      <c r="W314" s="3">
        <f t="shared" si="296"/>
        <v>3.1066938799545478E-3</v>
      </c>
      <c r="X314" s="3">
        <f t="shared" si="296"/>
        <v>3.1066659460252063E-3</v>
      </c>
      <c r="Y314" s="3">
        <f t="shared" si="296"/>
        <v>3.1063866205456995E-3</v>
      </c>
      <c r="Z314" s="3">
        <f t="shared" si="296"/>
        <v>3.1035947466820112E-3</v>
      </c>
      <c r="AA314" s="3">
        <f t="shared" si="296"/>
        <v>3.0758136428668884E-3</v>
      </c>
      <c r="AB314" s="3">
        <f t="shared" si="296"/>
        <v>2.8113189976000648E-3</v>
      </c>
      <c r="AC314" s="3">
        <f t="shared" si="296"/>
        <v>1.1439609817530845E-3</v>
      </c>
      <c r="AD314" s="3">
        <f t="shared" si="296"/>
        <v>1.4237117060497942E-7</v>
      </c>
      <c r="AE314" s="3">
        <f t="shared" si="296"/>
        <v>1.2692012676187863E-46</v>
      </c>
      <c r="AF314" s="3">
        <f t="shared" si="296"/>
        <v>0</v>
      </c>
      <c r="AG314" s="3"/>
      <c r="AH314" s="3"/>
    </row>
    <row r="315" spans="1:34" x14ac:dyDescent="0.25">
      <c r="B315" s="3">
        <f t="shared" ref="B315:AF315" si="297">$C45*EXP(-B$285/$A45/EXP(-$F$126))</f>
        <v>9.6514726179013565E-4</v>
      </c>
      <c r="C315" s="3">
        <f t="shared" si="297"/>
        <v>9.6514726179013565E-4</v>
      </c>
      <c r="D315" s="3">
        <f t="shared" si="297"/>
        <v>9.6514726179013565E-4</v>
      </c>
      <c r="E315" s="3">
        <f t="shared" si="297"/>
        <v>9.6514726179013565E-4</v>
      </c>
      <c r="F315" s="3">
        <f t="shared" si="297"/>
        <v>9.6514726179013565E-4</v>
      </c>
      <c r="G315" s="3">
        <f t="shared" si="297"/>
        <v>9.6514726179013565E-4</v>
      </c>
      <c r="H315" s="3">
        <f t="shared" si="297"/>
        <v>9.6514726179013565E-4</v>
      </c>
      <c r="I315" s="3">
        <f t="shared" si="297"/>
        <v>9.6514726179013565E-4</v>
      </c>
      <c r="J315" s="3">
        <f t="shared" si="297"/>
        <v>9.6514726179013565E-4</v>
      </c>
      <c r="K315" s="3">
        <f t="shared" si="297"/>
        <v>9.6514726179013565E-4</v>
      </c>
      <c r="L315" s="3">
        <f t="shared" si="297"/>
        <v>9.6514726179013565E-4</v>
      </c>
      <c r="M315" s="3">
        <f t="shared" si="297"/>
        <v>9.6514726179013565E-4</v>
      </c>
      <c r="N315" s="3">
        <f t="shared" si="297"/>
        <v>9.6514726179013554E-4</v>
      </c>
      <c r="O315" s="3">
        <f t="shared" si="297"/>
        <v>9.6514726179013468E-4</v>
      </c>
      <c r="P315" s="3">
        <f t="shared" si="297"/>
        <v>9.65147261790126E-4</v>
      </c>
      <c r="Q315" s="3">
        <f t="shared" si="297"/>
        <v>9.6514726179003927E-4</v>
      </c>
      <c r="R315" s="3">
        <f t="shared" si="297"/>
        <v>9.6514726178917136E-4</v>
      </c>
      <c r="S315" s="3">
        <f t="shared" si="297"/>
        <v>9.6514726178049319E-4</v>
      </c>
      <c r="T315" s="3">
        <f t="shared" si="297"/>
        <v>9.6514726169371137E-4</v>
      </c>
      <c r="U315" s="3">
        <f t="shared" si="297"/>
        <v>9.6514726082589243E-4</v>
      </c>
      <c r="V315" s="3">
        <f t="shared" si="297"/>
        <v>9.6514725214770351E-4</v>
      </c>
      <c r="W315" s="3">
        <f t="shared" si="297"/>
        <v>9.6514716536581834E-4</v>
      </c>
      <c r="X315" s="3">
        <f t="shared" si="297"/>
        <v>9.6514629754739618E-4</v>
      </c>
      <c r="Y315" s="3">
        <f t="shared" si="297"/>
        <v>9.6513761940609176E-4</v>
      </c>
      <c r="Z315" s="3">
        <f t="shared" si="297"/>
        <v>9.6505084228456844E-4</v>
      </c>
      <c r="AA315" s="3">
        <f t="shared" si="297"/>
        <v>9.6418350007871278E-4</v>
      </c>
      <c r="AB315" s="3">
        <f t="shared" si="297"/>
        <v>9.555528365743516E-4</v>
      </c>
      <c r="AC315" s="3">
        <f t="shared" si="297"/>
        <v>8.7338316120095388E-4</v>
      </c>
      <c r="AD315" s="3">
        <f t="shared" si="297"/>
        <v>3.5539056911968017E-4</v>
      </c>
      <c r="AE315" s="3">
        <f t="shared" si="297"/>
        <v>4.4229980003338772E-8</v>
      </c>
      <c r="AF315" s="3">
        <f t="shared" si="297"/>
        <v>3.9429855390279243E-47</v>
      </c>
      <c r="AG315" s="3"/>
      <c r="AH315" s="3"/>
    </row>
    <row r="316" spans="1:34" x14ac:dyDescent="0.25">
      <c r="B316" s="3">
        <f t="shared" ref="B316:AF316" si="298">$C46*EXP(-B$285/$A46/EXP(-$F$126))</f>
        <v>1.0056328677851901E-3</v>
      </c>
      <c r="C316" s="3">
        <f t="shared" si="298"/>
        <v>1.0056328677851901E-3</v>
      </c>
      <c r="D316" s="3">
        <f t="shared" si="298"/>
        <v>1.0056328677851901E-3</v>
      </c>
      <c r="E316" s="3">
        <f t="shared" si="298"/>
        <v>1.0056328677851901E-3</v>
      </c>
      <c r="F316" s="3">
        <f t="shared" si="298"/>
        <v>1.0056328677851901E-3</v>
      </c>
      <c r="G316" s="3">
        <f t="shared" si="298"/>
        <v>1.0056328677851901E-3</v>
      </c>
      <c r="H316" s="3">
        <f t="shared" si="298"/>
        <v>1.0056328677851901E-3</v>
      </c>
      <c r="I316" s="3">
        <f t="shared" si="298"/>
        <v>1.0056328677851901E-3</v>
      </c>
      <c r="J316" s="3">
        <f t="shared" si="298"/>
        <v>1.0056328677851901E-3</v>
      </c>
      <c r="K316" s="3">
        <f t="shared" si="298"/>
        <v>1.0056328677851901E-3</v>
      </c>
      <c r="L316" s="3">
        <f t="shared" si="298"/>
        <v>1.0056328677851901E-3</v>
      </c>
      <c r="M316" s="3">
        <f t="shared" si="298"/>
        <v>1.0056328677851901E-3</v>
      </c>
      <c r="N316" s="3">
        <f t="shared" si="298"/>
        <v>1.0056328677851901E-3</v>
      </c>
      <c r="O316" s="3">
        <f t="shared" si="298"/>
        <v>1.0056328677851899E-3</v>
      </c>
      <c r="P316" s="3">
        <f t="shared" si="298"/>
        <v>1.005632867785189E-3</v>
      </c>
      <c r="Q316" s="3">
        <f t="shared" si="298"/>
        <v>1.0056328677851801E-3</v>
      </c>
      <c r="R316" s="3">
        <f t="shared" si="298"/>
        <v>1.0056328677850897E-3</v>
      </c>
      <c r="S316" s="3">
        <f t="shared" si="298"/>
        <v>1.0056328677841854E-3</v>
      </c>
      <c r="T316" s="3">
        <f t="shared" si="298"/>
        <v>1.0056328677751432E-3</v>
      </c>
      <c r="U316" s="3">
        <f t="shared" si="298"/>
        <v>1.005632867684721E-3</v>
      </c>
      <c r="V316" s="3">
        <f t="shared" si="298"/>
        <v>1.0056328667804992E-3</v>
      </c>
      <c r="W316" s="3">
        <f t="shared" si="298"/>
        <v>1.005632857738281E-3</v>
      </c>
      <c r="X316" s="3">
        <f t="shared" si="298"/>
        <v>1.0056327673161045E-3</v>
      </c>
      <c r="Y316" s="3">
        <f t="shared" si="298"/>
        <v>1.0056318630947871E-3</v>
      </c>
      <c r="Z316" s="3">
        <f t="shared" si="298"/>
        <v>1.00562282092633E-3</v>
      </c>
      <c r="AA316" s="3">
        <f t="shared" si="298"/>
        <v>1.0055324037132989E-3</v>
      </c>
      <c r="AB316" s="3">
        <f t="shared" si="298"/>
        <v>1.0046286785882772E-3</v>
      </c>
      <c r="AC316" s="3">
        <f t="shared" si="298"/>
        <v>9.9563597951074826E-4</v>
      </c>
      <c r="AD316" s="3">
        <f t="shared" si="298"/>
        <v>9.1001948391248807E-4</v>
      </c>
      <c r="AE316" s="3">
        <f t="shared" si="298"/>
        <v>3.7029834861133053E-4</v>
      </c>
      <c r="AF316" s="3">
        <f t="shared" si="298"/>
        <v>4.6085321270393701E-8</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2.1809087047795134E-2</v>
      </c>
      <c r="C318" s="3">
        <f t="shared" si="300"/>
        <v>2.1809087047795134E-2</v>
      </c>
      <c r="D318" s="3">
        <f t="shared" si="300"/>
        <v>2.1809087047795134E-2</v>
      </c>
      <c r="E318" s="3">
        <f t="shared" si="300"/>
        <v>2.1809087047795134E-2</v>
      </c>
      <c r="F318" s="3">
        <f t="shared" si="300"/>
        <v>2.1809087047795134E-2</v>
      </c>
      <c r="G318" s="3">
        <f t="shared" si="300"/>
        <v>2.1809087047795134E-2</v>
      </c>
      <c r="H318" s="3">
        <f t="shared" si="300"/>
        <v>2.1809087047795134E-2</v>
      </c>
      <c r="I318" s="3">
        <f t="shared" si="300"/>
        <v>2.1809087047795134E-2</v>
      </c>
      <c r="J318" s="3">
        <f t="shared" si="300"/>
        <v>2.1809087047795134E-2</v>
      </c>
      <c r="K318" s="3">
        <f t="shared" si="300"/>
        <v>2.1809087047795134E-2</v>
      </c>
      <c r="L318" s="3">
        <f t="shared" si="300"/>
        <v>2.1809087047795134E-2</v>
      </c>
      <c r="M318" s="3">
        <f t="shared" si="300"/>
        <v>2.1809087047795134E-2</v>
      </c>
      <c r="N318" s="3">
        <f t="shared" si="300"/>
        <v>2.1809087047795134E-2</v>
      </c>
      <c r="O318" s="3">
        <f t="shared" si="300"/>
        <v>2.1809087047795134E-2</v>
      </c>
      <c r="P318" s="3">
        <f t="shared" si="300"/>
        <v>2.1809087047795134E-2</v>
      </c>
      <c r="Q318" s="3">
        <f t="shared" si="300"/>
        <v>2.180908704779513E-2</v>
      </c>
      <c r="R318" s="3">
        <f t="shared" si="300"/>
        <v>2.1809087047795113E-2</v>
      </c>
      <c r="S318" s="3">
        <f t="shared" si="300"/>
        <v>2.1809087047794915E-2</v>
      </c>
      <c r="T318" s="3">
        <f t="shared" si="300"/>
        <v>2.1809087047792955E-2</v>
      </c>
      <c r="U318" s="3">
        <f t="shared" si="300"/>
        <v>2.1809087047773346E-2</v>
      </c>
      <c r="V318" s="3">
        <f t="shared" si="300"/>
        <v>2.1809087047577246E-2</v>
      </c>
      <c r="W318" s="3">
        <f t="shared" si="300"/>
        <v>2.1809087045616269E-2</v>
      </c>
      <c r="X318" s="3">
        <f t="shared" si="300"/>
        <v>2.1809087026006476E-2</v>
      </c>
      <c r="Y318" s="3">
        <f t="shared" si="300"/>
        <v>2.1809086829908546E-2</v>
      </c>
      <c r="Z318" s="3">
        <f t="shared" si="300"/>
        <v>2.1809084868929365E-2</v>
      </c>
      <c r="AA318" s="3">
        <f t="shared" si="300"/>
        <v>2.1809065259147255E-2</v>
      </c>
      <c r="AB318" s="3">
        <f t="shared" si="300"/>
        <v>2.1808869162295907E-2</v>
      </c>
      <c r="AC318" s="3">
        <f t="shared" si="300"/>
        <v>2.1806908290756419E-2</v>
      </c>
      <c r="AD318" s="3">
        <f t="shared" si="300"/>
        <v>2.178730926953281E-2</v>
      </c>
      <c r="AE318" s="3">
        <f t="shared" si="300"/>
        <v>2.1592285257033699E-2</v>
      </c>
      <c r="AF318" s="3">
        <f t="shared" si="300"/>
        <v>1.9735526528232412E-2</v>
      </c>
      <c r="AG318" s="3"/>
      <c r="AH318" s="3"/>
    </row>
    <row r="319" spans="1:34" x14ac:dyDescent="0.25">
      <c r="A319" s="79">
        <f>AVERAGE(B319:AF319)</f>
        <v>2.1571133817805616E-4</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4.9323562104482924E-4</v>
      </c>
      <c r="M319" s="80">
        <f t="shared" si="301"/>
        <v>7.9470288119983955E-4</v>
      </c>
      <c r="N319" s="80">
        <f t="shared" si="301"/>
        <v>9.7562589215431585E-4</v>
      </c>
      <c r="O319" s="80">
        <f t="shared" si="301"/>
        <v>1.1162731117318157E-3</v>
      </c>
      <c r="P319" s="80">
        <f t="shared" si="301"/>
        <v>1.0105748290281196E-3</v>
      </c>
      <c r="Q319" s="80">
        <f t="shared" si="301"/>
        <v>8.7609273086112984E-4</v>
      </c>
      <c r="R319" s="80">
        <f t="shared" si="301"/>
        <v>5.6586150644728252E-4</v>
      </c>
      <c r="S319" s="80">
        <f t="shared" si="301"/>
        <v>4.5308144412901707E-4</v>
      </c>
      <c r="T319" s="80">
        <f t="shared" si="301"/>
        <v>1.7077347236751466E-4</v>
      </c>
      <c r="U319" s="80">
        <f t="shared" si="301"/>
        <v>1.848715802726754E-4</v>
      </c>
      <c r="V319" s="80">
        <f t="shared" si="301"/>
        <v>4.5958414283201687E-5</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5683.8410771919571</v>
      </c>
      <c r="C320" s="21">
        <f t="shared" ref="C320:AF320" si="302">(C287-C286)^2</f>
        <v>9528.6650257796846</v>
      </c>
      <c r="D320" s="21">
        <f t="shared" si="302"/>
        <v>660.46947043784849</v>
      </c>
      <c r="E320" s="21">
        <f t="shared" si="302"/>
        <v>18.764946570885702</v>
      </c>
      <c r="F320" s="21">
        <f t="shared" si="302"/>
        <v>0.22739057548192856</v>
      </c>
      <c r="G320" s="21">
        <f t="shared" si="302"/>
        <v>4.6316316568554255E-2</v>
      </c>
      <c r="H320" s="21">
        <f t="shared" si="302"/>
        <v>8.3928424774425703E-5</v>
      </c>
      <c r="I320" s="21">
        <f t="shared" si="302"/>
        <v>0.31538445266481135</v>
      </c>
      <c r="J320" s="21">
        <f t="shared" si="302"/>
        <v>0.6746132023366247</v>
      </c>
      <c r="K320" s="21">
        <f t="shared" si="302"/>
        <v>4.8665924508489313</v>
      </c>
      <c r="L320" s="21">
        <f t="shared" si="302"/>
        <v>11.474460850838996</v>
      </c>
      <c r="M320" s="21">
        <f t="shared" si="302"/>
        <v>27.332487836619283</v>
      </c>
      <c r="N320" s="21">
        <f t="shared" si="302"/>
        <v>37.760626633475582</v>
      </c>
      <c r="O320" s="21">
        <f t="shared" si="302"/>
        <v>44.922854436595564</v>
      </c>
      <c r="P320" s="21">
        <f t="shared" si="302"/>
        <v>33.518762375529938</v>
      </c>
      <c r="Q320" s="21">
        <f t="shared" si="302"/>
        <v>22.249842976845486</v>
      </c>
      <c r="R320" s="21">
        <f t="shared" si="302"/>
        <v>7.835881552518809</v>
      </c>
      <c r="S320" s="21">
        <f t="shared" si="302"/>
        <v>3.8691106967237374</v>
      </c>
      <c r="T320" s="21">
        <f t="shared" si="302"/>
        <v>0.39831562957393063</v>
      </c>
      <c r="U320" s="21">
        <f t="shared" si="302"/>
        <v>0.32185852028215084</v>
      </c>
      <c r="V320" s="21">
        <f t="shared" si="302"/>
        <v>1.2856612610676929E-2</v>
      </c>
      <c r="W320" s="21">
        <f t="shared" si="302"/>
        <v>3.3162965353741462E-2</v>
      </c>
      <c r="X320" s="21">
        <f t="shared" si="302"/>
        <v>5.7659129084834261E-2</v>
      </c>
      <c r="Y320" s="21">
        <f t="shared" si="302"/>
        <v>1.4819889343716071E-2</v>
      </c>
      <c r="Z320" s="21">
        <f t="shared" si="302"/>
        <v>4.3559612732664245E-3</v>
      </c>
      <c r="AA320" s="21">
        <f t="shared" si="302"/>
        <v>1.5010302460141841E-3</v>
      </c>
      <c r="AB320" s="21">
        <f t="shared" si="302"/>
        <v>4.927544458228996E-5</v>
      </c>
      <c r="AC320" s="21">
        <f t="shared" si="302"/>
        <v>2.3241149164486162E-3</v>
      </c>
      <c r="AD320" s="21">
        <f t="shared" si="302"/>
        <v>3.4766665262421239E-3</v>
      </c>
      <c r="AE320" s="21">
        <f t="shared" si="302"/>
        <v>9.1590026585402235E-3</v>
      </c>
      <c r="AF320" s="21">
        <f t="shared" si="302"/>
        <v>9.4987359814883998E-4</v>
      </c>
      <c r="AG320" s="3"/>
      <c r="AH320" s="3"/>
    </row>
    <row r="321" spans="1:34" x14ac:dyDescent="0.25">
      <c r="A321" s="71">
        <f>SUM(B321:AF321)</f>
        <v>189.69705812161416</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11.474460850838996</v>
      </c>
      <c r="M321" s="60">
        <f t="shared" ref="M321" si="313">IF($A$64&lt;=M285,IF($B$64&gt;=M285,ABS(M320),0),0)</f>
        <v>27.332487836619283</v>
      </c>
      <c r="N321" s="60">
        <f t="shared" ref="N321" si="314">IF($A$64&lt;=N285,IF($B$64&gt;=N285,ABS(N320),0),0)</f>
        <v>37.760626633475582</v>
      </c>
      <c r="O321" s="60">
        <f t="shared" ref="O321" si="315">IF($A$64&lt;=O285,IF($B$64&gt;=O285,ABS(O320),0),0)</f>
        <v>44.922854436595564</v>
      </c>
      <c r="P321" s="60">
        <f t="shared" ref="P321" si="316">IF($A$64&lt;=P285,IF($B$64&gt;=P285,ABS(P320),0),0)</f>
        <v>33.518762375529938</v>
      </c>
      <c r="Q321" s="60">
        <f t="shared" ref="Q321" si="317">IF($A$64&lt;=Q285,IF($B$64&gt;=Q285,ABS(Q320),0),0)</f>
        <v>22.249842976845486</v>
      </c>
      <c r="R321" s="60">
        <f t="shared" ref="R321" si="318">IF($A$64&lt;=R285,IF($B$64&gt;=R285,ABS(R320),0),0)</f>
        <v>7.835881552518809</v>
      </c>
      <c r="S321" s="60">
        <f t="shared" ref="S321" si="319">IF($A$64&lt;=S285,IF($B$64&gt;=S285,ABS(S320),0),0)</f>
        <v>3.8691106967237374</v>
      </c>
      <c r="T321" s="60">
        <f t="shared" ref="T321" si="320">IF($A$64&lt;=T285,IF($B$64&gt;=T285,ABS(T320),0),0)</f>
        <v>0.39831562957393063</v>
      </c>
      <c r="U321" s="60">
        <f t="shared" ref="U321" si="321">IF($A$64&lt;=U285,IF($B$64&gt;=U285,ABS(U320),0),0)</f>
        <v>0.32185852028215084</v>
      </c>
      <c r="V321" s="60">
        <f t="shared" ref="V321" si="322">IF($A$64&lt;=V285,IF($B$64&gt;=V285,ABS(V320),0),0)</f>
        <v>1.2856612610676929E-2</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9200.6076342241104</v>
      </c>
      <c r="C326" s="27">
        <f t="shared" ref="C326:AF326" si="333">($C$17+SUM(C327:C357))*$B$51</f>
        <v>8970.8405975145797</v>
      </c>
      <c r="D326" s="27">
        <f t="shared" si="333"/>
        <v>8673.2786343300941</v>
      </c>
      <c r="E326" s="27">
        <f t="shared" si="333"/>
        <v>8409.0783510334568</v>
      </c>
      <c r="F326" s="27">
        <f t="shared" si="333"/>
        <v>8126.1653361778017</v>
      </c>
      <c r="G326" s="27">
        <f t="shared" si="333"/>
        <v>7780.1735059998009</v>
      </c>
      <c r="H326" s="27">
        <f t="shared" si="333"/>
        <v>7394.2891048447445</v>
      </c>
      <c r="I326" s="27">
        <f t="shared" si="333"/>
        <v>7042.1547800401122</v>
      </c>
      <c r="J326" s="27">
        <f t="shared" si="333"/>
        <v>6756.9967722950751</v>
      </c>
      <c r="K326" s="27">
        <f t="shared" si="333"/>
        <v>6471.9277475267991</v>
      </c>
      <c r="L326" s="27">
        <f t="shared" si="333"/>
        <v>6176.8687325101564</v>
      </c>
      <c r="M326" s="27">
        <f t="shared" si="333"/>
        <v>5904.1555115338906</v>
      </c>
      <c r="N326" s="27">
        <f t="shared" si="333"/>
        <v>5598.7369034382782</v>
      </c>
      <c r="O326" s="27">
        <f t="shared" si="333"/>
        <v>5241.5591526055732</v>
      </c>
      <c r="P326" s="27">
        <f t="shared" si="333"/>
        <v>4725.2142462320244</v>
      </c>
      <c r="Q326" s="27">
        <f t="shared" si="333"/>
        <v>4103.6161964896264</v>
      </c>
      <c r="R326" s="27">
        <f t="shared" si="333"/>
        <v>3465.9111557431888</v>
      </c>
      <c r="S326" s="27">
        <f t="shared" si="333"/>
        <v>2864.6903164092705</v>
      </c>
      <c r="T326" s="27">
        <f t="shared" si="333"/>
        <v>2250.5624694507642</v>
      </c>
      <c r="U326" s="27">
        <f t="shared" si="333"/>
        <v>1726.1407242515318</v>
      </c>
      <c r="V326" s="27">
        <f t="shared" si="333"/>
        <v>1180.7821441568169</v>
      </c>
      <c r="W326" s="27">
        <f t="shared" si="333"/>
        <v>875.05478944957633</v>
      </c>
      <c r="X326" s="27">
        <f t="shared" si="333"/>
        <v>687.46478673457432</v>
      </c>
      <c r="Y326" s="27">
        <f t="shared" si="333"/>
        <v>600.44804975042064</v>
      </c>
      <c r="Z326" s="27">
        <f t="shared" si="333"/>
        <v>554.87733959089678</v>
      </c>
      <c r="AA326" s="27">
        <f t="shared" si="333"/>
        <v>524.92909952356069</v>
      </c>
      <c r="AB326" s="27">
        <f t="shared" si="333"/>
        <v>511.80757279365474</v>
      </c>
      <c r="AC326" s="27">
        <f t="shared" si="333"/>
        <v>498.4961144484123</v>
      </c>
      <c r="AD326" s="27">
        <f t="shared" si="333"/>
        <v>455.10100308540098</v>
      </c>
      <c r="AE326" s="27">
        <f t="shared" si="333"/>
        <v>292.26286767027779</v>
      </c>
      <c r="AF326" s="27">
        <f t="shared" si="333"/>
        <v>267.76906406481442</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1.344535582060008E-4</v>
      </c>
      <c r="C328" s="3">
        <f t="shared" si="335"/>
        <v>3.1325803521746728E-27</v>
      </c>
      <c r="D328" s="3">
        <f t="shared" si="335"/>
        <v>1.4763910937690159E-253</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1.0127632113613375E-2</v>
      </c>
      <c r="C329" s="3">
        <f t="shared" si="336"/>
        <v>9.2013762637527377E-5</v>
      </c>
      <c r="D329" s="3">
        <f t="shared" si="336"/>
        <v>3.5261559931305448E-25</v>
      </c>
      <c r="E329" s="3">
        <f t="shared" si="336"/>
        <v>2.4087339232953168E-229</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2.9300300558842328E-2</v>
      </c>
      <c r="C330" s="3">
        <f t="shared" si="337"/>
        <v>1.9173341071545055E-2</v>
      </c>
      <c r="D330" s="3">
        <f t="shared" si="337"/>
        <v>2.7602919833084042E-4</v>
      </c>
      <c r="E330" s="3">
        <f t="shared" si="337"/>
        <v>1.055667826586087E-22</v>
      </c>
      <c r="F330" s="3">
        <f t="shared" si="337"/>
        <v>7.0672410274155999E-207</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2.5124498727422395E-2</v>
      </c>
      <c r="C331" s="3">
        <f t="shared" si="338"/>
        <v>2.4181506494089441E-2</v>
      </c>
      <c r="D331" s="3">
        <f t="shared" si="338"/>
        <v>1.6494639705794876E-2</v>
      </c>
      <c r="E331" s="3">
        <f t="shared" si="338"/>
        <v>3.596976772864727E-4</v>
      </c>
      <c r="F331" s="3">
        <f t="shared" si="338"/>
        <v>8.7475338372947042E-21</v>
      </c>
      <c r="G331" s="3">
        <f t="shared" si="338"/>
        <v>6.3294446733183021E-187</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2.5033565062261207E-2</v>
      </c>
      <c r="C332" s="3">
        <f t="shared" si="339"/>
        <v>2.4947324535566622E-2</v>
      </c>
      <c r="D332" s="3">
        <f t="shared" si="339"/>
        <v>2.4101091952637422E-2</v>
      </c>
      <c r="E332" s="3">
        <f t="shared" si="339"/>
        <v>1.7067273540321611E-2</v>
      </c>
      <c r="F332" s="3">
        <f t="shared" si="339"/>
        <v>5.4130051820231904E-4</v>
      </c>
      <c r="G332" s="3">
        <f t="shared" si="339"/>
        <v>5.5741850320383342E-19</v>
      </c>
      <c r="H332" s="3">
        <f t="shared" si="339"/>
        <v>7.4749924802877831E-169</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3.185736355344139E-2</v>
      </c>
      <c r="C333" s="3">
        <f t="shared" si="340"/>
        <v>3.1847447778278686E-2</v>
      </c>
      <c r="D333" s="3">
        <f t="shared" si="340"/>
        <v>3.1748459616844041E-2</v>
      </c>
      <c r="E333" s="3">
        <f t="shared" si="340"/>
        <v>3.0775343299567624E-2</v>
      </c>
      <c r="F333" s="3">
        <f t="shared" si="340"/>
        <v>2.2542671339855051E-2</v>
      </c>
      <c r="G333" s="3">
        <f t="shared" si="340"/>
        <v>1.002374731911347E-3</v>
      </c>
      <c r="H333" s="3">
        <f t="shared" si="340"/>
        <v>3.0288475917373895E-17</v>
      </c>
      <c r="I333" s="3">
        <f t="shared" si="340"/>
        <v>1.9219873458770666E-152</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3.8271734032154843E-2</v>
      </c>
      <c r="C334" s="3">
        <f t="shared" si="341"/>
        <v>3.8270659293006139E-2</v>
      </c>
      <c r="D334" s="3">
        <f t="shared" si="341"/>
        <v>3.8259913561312732E-2</v>
      </c>
      <c r="E334" s="3">
        <f t="shared" si="341"/>
        <v>3.8152622051414391E-2</v>
      </c>
      <c r="F334" s="3">
        <f t="shared" si="341"/>
        <v>3.7096116662120766E-2</v>
      </c>
      <c r="G334" s="3">
        <f t="shared" si="341"/>
        <v>2.801360702510822E-2</v>
      </c>
      <c r="H334" s="3">
        <f t="shared" si="341"/>
        <v>1.6895648505770614E-3</v>
      </c>
      <c r="I334" s="3">
        <f t="shared" si="341"/>
        <v>1.0760518656330783E-15</v>
      </c>
      <c r="J334" s="3">
        <f t="shared" si="341"/>
        <v>1.1814533912517357E-137</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3.6033695158274662E-2</v>
      </c>
      <c r="C335" s="3">
        <f t="shared" si="342"/>
        <v>3.6033603876123116E-2</v>
      </c>
      <c r="D335" s="3">
        <f t="shared" si="342"/>
        <v>3.6032691067325831E-2</v>
      </c>
      <c r="E335" s="3">
        <f t="shared" si="342"/>
        <v>3.6023564251044013E-2</v>
      </c>
      <c r="F335" s="3">
        <f t="shared" si="342"/>
        <v>3.593242313821704E-2</v>
      </c>
      <c r="G335" s="3">
        <f t="shared" si="342"/>
        <v>3.5033598727530792E-2</v>
      </c>
      <c r="H335" s="3">
        <f t="shared" si="342"/>
        <v>2.7193631707338035E-2</v>
      </c>
      <c r="I335" s="3">
        <f t="shared" si="342"/>
        <v>2.1591947379569045E-3</v>
      </c>
      <c r="J335" s="3">
        <f t="shared" si="342"/>
        <v>2.1504919945610209E-14</v>
      </c>
      <c r="K335" s="3">
        <f t="shared" si="342"/>
        <v>2.0653706466190746E-124</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2.69181657510612E-2</v>
      </c>
      <c r="C336" s="3">
        <f t="shared" si="343"/>
        <v>2.6918159599722758E-2</v>
      </c>
      <c r="D336" s="3">
        <f t="shared" si="343"/>
        <v>2.6918098086415657E-2</v>
      </c>
      <c r="E336" s="3">
        <f t="shared" si="343"/>
        <v>2.6917482961075934E-2</v>
      </c>
      <c r="F336" s="3">
        <f t="shared" si="343"/>
        <v>2.6911332480743306E-2</v>
      </c>
      <c r="G336" s="3">
        <f t="shared" si="343"/>
        <v>2.6849904918551531E-2</v>
      </c>
      <c r="H336" s="3">
        <f t="shared" si="343"/>
        <v>2.6243288498141094E-2</v>
      </c>
      <c r="I336" s="3">
        <f t="shared" si="343"/>
        <v>2.0882057209922977E-2</v>
      </c>
      <c r="J336" s="3">
        <f t="shared" si="343"/>
        <v>2.1248268529469659E-3</v>
      </c>
      <c r="K336" s="3">
        <f t="shared" si="343"/>
        <v>2.5282859765705483E-13</v>
      </c>
      <c r="L336" s="3">
        <f t="shared" si="343"/>
        <v>1.438310635266134E-112</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2.7316066187779882E-2</v>
      </c>
      <c r="C337" s="3">
        <f t="shared" si="344"/>
        <v>2.7316065624675444E-2</v>
      </c>
      <c r="D337" s="3">
        <f t="shared" si="344"/>
        <v>2.7316059993631684E-2</v>
      </c>
      <c r="E337" s="3">
        <f t="shared" si="344"/>
        <v>2.7316003683257921E-2</v>
      </c>
      <c r="F337" s="3">
        <f t="shared" si="344"/>
        <v>2.7315440585904686E-2</v>
      </c>
      <c r="G337" s="3">
        <f t="shared" si="344"/>
        <v>2.7309810250761676E-2</v>
      </c>
      <c r="H337" s="3">
        <f t="shared" si="344"/>
        <v>2.7253570689602543E-2</v>
      </c>
      <c r="I337" s="3">
        <f t="shared" si="344"/>
        <v>2.6697505717287663E-2</v>
      </c>
      <c r="J337" s="3">
        <f t="shared" si="344"/>
        <v>2.1724183658201938E-2</v>
      </c>
      <c r="K337" s="3">
        <f t="shared" si="344"/>
        <v>2.764847874339216E-3</v>
      </c>
      <c r="L337" s="3">
        <f t="shared" si="344"/>
        <v>3.0828258511327872E-12</v>
      </c>
      <c r="M337" s="3">
        <f t="shared" si="344"/>
        <v>9.1564368605247148E-102</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2.9609291074393227E-2</v>
      </c>
      <c r="C338" s="3">
        <f t="shared" si="345"/>
        <v>2.960929101933206E-2</v>
      </c>
      <c r="D338" s="3">
        <f t="shared" si="345"/>
        <v>2.960929046872041E-2</v>
      </c>
      <c r="E338" s="3">
        <f t="shared" si="345"/>
        <v>2.9609284962604485E-2</v>
      </c>
      <c r="F338" s="3">
        <f t="shared" si="345"/>
        <v>2.9609229901501548E-2</v>
      </c>
      <c r="G338" s="3">
        <f t="shared" si="345"/>
        <v>2.9608679296103637E-2</v>
      </c>
      <c r="H338" s="3">
        <f t="shared" si="345"/>
        <v>2.96031738052333E-2</v>
      </c>
      <c r="I338" s="3">
        <f t="shared" si="345"/>
        <v>2.9548175168679996E-2</v>
      </c>
      <c r="J338" s="3">
        <f t="shared" si="345"/>
        <v>2.9003777492015978E-2</v>
      </c>
      <c r="K338" s="3">
        <f t="shared" si="345"/>
        <v>2.408205600578988E-2</v>
      </c>
      <c r="L338" s="3">
        <f t="shared" si="345"/>
        <v>3.750451345599566E-3</v>
      </c>
      <c r="M338" s="3">
        <f t="shared" si="345"/>
        <v>3.1476270774815888E-11</v>
      </c>
      <c r="N338" s="3">
        <f t="shared" si="345"/>
        <v>5.4573353515103997E-92</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2.5103127911458356E-2</v>
      </c>
      <c r="C339" s="3">
        <f t="shared" si="346"/>
        <v>2.5103127907247294E-2</v>
      </c>
      <c r="D339" s="3">
        <f t="shared" si="346"/>
        <v>2.5103127865136653E-2</v>
      </c>
      <c r="E339" s="3">
        <f t="shared" si="346"/>
        <v>2.5103127444030281E-2</v>
      </c>
      <c r="F339" s="3">
        <f t="shared" si="346"/>
        <v>2.5103123232966918E-2</v>
      </c>
      <c r="G339" s="3">
        <f t="shared" si="346"/>
        <v>2.510308112237215E-2</v>
      </c>
      <c r="H339" s="3">
        <f t="shared" si="346"/>
        <v>2.5102660020309694E-2</v>
      </c>
      <c r="I339" s="3">
        <f t="shared" si="346"/>
        <v>2.5098449388182894E-2</v>
      </c>
      <c r="J339" s="3">
        <f t="shared" si="346"/>
        <v>2.5056381892590535E-2</v>
      </c>
      <c r="K339" s="3">
        <f t="shared" si="346"/>
        <v>2.4639565513774782E-2</v>
      </c>
      <c r="L339" s="3">
        <f t="shared" si="346"/>
        <v>2.0834347439715257E-2</v>
      </c>
      <c r="M339" s="3">
        <f t="shared" si="346"/>
        <v>3.892677921777101E-3</v>
      </c>
      <c r="N339" s="3">
        <f t="shared" si="346"/>
        <v>2.0180604342237113E-10</v>
      </c>
      <c r="O339" s="3">
        <f t="shared" si="346"/>
        <v>2.8300305685345594E-83</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2.9852900565687644E-2</v>
      </c>
      <c r="C340" s="3">
        <f t="shared" si="347"/>
        <v>2.9852900565235898E-2</v>
      </c>
      <c r="D340" s="3">
        <f t="shared" si="347"/>
        <v>2.9852900560718407E-2</v>
      </c>
      <c r="E340" s="3">
        <f t="shared" si="347"/>
        <v>2.9852900515543516E-2</v>
      </c>
      <c r="F340" s="3">
        <f t="shared" si="347"/>
        <v>2.9852900063794617E-2</v>
      </c>
      <c r="G340" s="3">
        <f t="shared" si="347"/>
        <v>2.9852895546306001E-2</v>
      </c>
      <c r="H340" s="3">
        <f t="shared" si="347"/>
        <v>2.9852850371457445E-2</v>
      </c>
      <c r="I340" s="3">
        <f t="shared" si="347"/>
        <v>2.985239862673169E-2</v>
      </c>
      <c r="J340" s="3">
        <f t="shared" si="347"/>
        <v>2.9847881555435642E-2</v>
      </c>
      <c r="K340" s="3">
        <f t="shared" si="347"/>
        <v>2.980274841758156E-2</v>
      </c>
      <c r="L340" s="3">
        <f t="shared" si="347"/>
        <v>2.935515359617815E-2</v>
      </c>
      <c r="M340" s="3">
        <f t="shared" si="347"/>
        <v>2.5232760251504172E-2</v>
      </c>
      <c r="N340" s="3">
        <f t="shared" si="347"/>
        <v>5.5560840005656805E-3</v>
      </c>
      <c r="O340" s="3">
        <f t="shared" si="347"/>
        <v>1.4887069675358462E-9</v>
      </c>
      <c r="P340" s="3">
        <f t="shared" si="347"/>
        <v>2.8393138451291667E-75</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3.2229654464617979E-2</v>
      </c>
      <c r="C341" s="3">
        <f t="shared" si="348"/>
        <v>3.222965446457398E-2</v>
      </c>
      <c r="D341" s="3">
        <f t="shared" si="348"/>
        <v>3.2229654464134019E-2</v>
      </c>
      <c r="E341" s="3">
        <f t="shared" si="348"/>
        <v>3.2229654459734428E-2</v>
      </c>
      <c r="F341" s="3">
        <f t="shared" si="348"/>
        <v>3.2229654415738461E-2</v>
      </c>
      <c r="G341" s="3">
        <f t="shared" si="348"/>
        <v>3.2229653975778851E-2</v>
      </c>
      <c r="H341" s="3">
        <f t="shared" si="348"/>
        <v>3.2229649576183073E-2</v>
      </c>
      <c r="I341" s="3">
        <f t="shared" si="348"/>
        <v>3.2229605580258315E-2</v>
      </c>
      <c r="J341" s="3">
        <f t="shared" si="348"/>
        <v>3.2229165624313924E-2</v>
      </c>
      <c r="K341" s="3">
        <f t="shared" si="348"/>
        <v>3.2224766395169815E-2</v>
      </c>
      <c r="L341" s="3">
        <f t="shared" si="348"/>
        <v>3.2180807117030731E-2</v>
      </c>
      <c r="M341" s="3">
        <f t="shared" si="348"/>
        <v>3.1744499052246578E-2</v>
      </c>
      <c r="N341" s="3">
        <f t="shared" si="348"/>
        <v>2.769388824002815E-2</v>
      </c>
      <c r="O341" s="3">
        <f t="shared" si="348"/>
        <v>7.0719390254304852E-3</v>
      </c>
      <c r="P341" s="3">
        <f t="shared" si="348"/>
        <v>8.3384289025494329E-9</v>
      </c>
      <c r="Q341" s="3">
        <f t="shared" si="348"/>
        <v>4.3305340331952649E-68</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5.4487827383482894E-2</v>
      </c>
      <c r="C342" s="3">
        <f t="shared" si="349"/>
        <v>5.4487827383476184E-2</v>
      </c>
      <c r="D342" s="3">
        <f t="shared" si="349"/>
        <v>5.4487827383409085E-2</v>
      </c>
      <c r="E342" s="3">
        <f t="shared" si="349"/>
        <v>5.4487827382738115E-2</v>
      </c>
      <c r="F342" s="3">
        <f t="shared" si="349"/>
        <v>5.4487827376028412E-2</v>
      </c>
      <c r="G342" s="3">
        <f t="shared" si="349"/>
        <v>5.448782730893139E-2</v>
      </c>
      <c r="H342" s="3">
        <f t="shared" si="349"/>
        <v>5.4487826637961173E-2</v>
      </c>
      <c r="I342" s="3">
        <f t="shared" si="349"/>
        <v>5.4487819928259462E-2</v>
      </c>
      <c r="J342" s="3">
        <f t="shared" si="349"/>
        <v>5.4487752831287845E-2</v>
      </c>
      <c r="K342" s="3">
        <f t="shared" si="349"/>
        <v>5.4487081866115936E-2</v>
      </c>
      <c r="L342" s="3">
        <f t="shared" si="349"/>
        <v>5.4480372668806634E-2</v>
      </c>
      <c r="M342" s="3">
        <f t="shared" si="349"/>
        <v>5.4413326115998056E-2</v>
      </c>
      <c r="N342" s="3">
        <f t="shared" si="349"/>
        <v>5.3747381989825802E-2</v>
      </c>
      <c r="O342" s="3">
        <f t="shared" si="349"/>
        <v>4.7520141507751149E-2</v>
      </c>
      <c r="P342" s="3">
        <f t="shared" si="349"/>
        <v>1.3870171449399714E-2</v>
      </c>
      <c r="Q342" s="3">
        <f t="shared" si="349"/>
        <v>6.2247637231187382E-8</v>
      </c>
      <c r="R342" s="3">
        <f t="shared" si="349"/>
        <v>2.0631618100429984E-61</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6.3046504540403212E-2</v>
      </c>
      <c r="C343" s="3">
        <f t="shared" si="350"/>
        <v>6.3046504540402518E-2</v>
      </c>
      <c r="D343" s="3">
        <f t="shared" si="350"/>
        <v>6.3046504540395509E-2</v>
      </c>
      <c r="E343" s="3">
        <f t="shared" si="350"/>
        <v>6.3046504540325482E-2</v>
      </c>
      <c r="F343" s="3">
        <f t="shared" si="350"/>
        <v>6.3046504539625126E-2</v>
      </c>
      <c r="G343" s="3">
        <f t="shared" si="350"/>
        <v>6.3046504532621686E-2</v>
      </c>
      <c r="H343" s="3">
        <f t="shared" si="350"/>
        <v>6.3046504462587305E-2</v>
      </c>
      <c r="I343" s="3">
        <f t="shared" si="350"/>
        <v>6.3046503762243397E-2</v>
      </c>
      <c r="J343" s="3">
        <f t="shared" si="350"/>
        <v>6.3046496758804735E-2</v>
      </c>
      <c r="K343" s="3">
        <f t="shared" si="350"/>
        <v>6.3046426724460952E-2</v>
      </c>
      <c r="L343" s="3">
        <f t="shared" si="350"/>
        <v>6.3045726385301953E-2</v>
      </c>
      <c r="M343" s="3">
        <f t="shared" si="350"/>
        <v>6.303872342157478E-2</v>
      </c>
      <c r="N343" s="3">
        <f t="shared" si="350"/>
        <v>6.296873655300575E-2</v>
      </c>
      <c r="O343" s="3">
        <f t="shared" si="350"/>
        <v>6.2273127211347111E-2</v>
      </c>
      <c r="P343" s="3">
        <f t="shared" si="350"/>
        <v>5.5725969979416194E-2</v>
      </c>
      <c r="Q343" s="3">
        <f t="shared" si="350"/>
        <v>1.8349627308072894E-2</v>
      </c>
      <c r="R343" s="3">
        <f t="shared" si="350"/>
        <v>2.7499409000578536E-7</v>
      </c>
      <c r="S343" s="3">
        <f t="shared" si="350"/>
        <v>1.5713918087399486E-55</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6.2829439903481873E-2</v>
      </c>
      <c r="C344" s="3">
        <f t="shared" si="351"/>
        <v>6.2829439903481818E-2</v>
      </c>
      <c r="D344" s="3">
        <f t="shared" si="351"/>
        <v>6.2829439903481193E-2</v>
      </c>
      <c r="E344" s="3">
        <f t="shared" si="351"/>
        <v>6.2829439903474893E-2</v>
      </c>
      <c r="F344" s="3">
        <f t="shared" si="351"/>
        <v>6.2829439903411929E-2</v>
      </c>
      <c r="G344" s="3">
        <f t="shared" si="351"/>
        <v>6.2829439902782336E-2</v>
      </c>
      <c r="H344" s="3">
        <f t="shared" si="351"/>
        <v>6.28294398964864E-2</v>
      </c>
      <c r="I344" s="3">
        <f t="shared" si="351"/>
        <v>6.2829439833527068E-2</v>
      </c>
      <c r="J344" s="3">
        <f t="shared" si="351"/>
        <v>6.2829439203933732E-2</v>
      </c>
      <c r="K344" s="3">
        <f t="shared" si="351"/>
        <v>6.2829432908000735E-2</v>
      </c>
      <c r="L344" s="3">
        <f t="shared" si="351"/>
        <v>6.2829369948705416E-2</v>
      </c>
      <c r="M344" s="3">
        <f t="shared" si="351"/>
        <v>6.2828740359222118E-2</v>
      </c>
      <c r="N344" s="3">
        <f t="shared" si="351"/>
        <v>6.282244481136702E-2</v>
      </c>
      <c r="O344" s="3">
        <f t="shared" si="351"/>
        <v>6.2759524017748439E-2</v>
      </c>
      <c r="P344" s="3">
        <f t="shared" si="351"/>
        <v>6.2133771749234207E-2</v>
      </c>
      <c r="Q344" s="3">
        <f t="shared" si="351"/>
        <v>5.6209339647482488E-2</v>
      </c>
      <c r="R344" s="3">
        <f t="shared" si="351"/>
        <v>2.063555425544868E-2</v>
      </c>
      <c r="S344" s="3">
        <f t="shared" si="351"/>
        <v>9.1768300359034171E-7</v>
      </c>
      <c r="T344" s="3">
        <f t="shared" si="351"/>
        <v>2.776247550494551E-50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5.5245188990655253E-2</v>
      </c>
      <c r="C345" s="3">
        <f t="shared" si="352"/>
        <v>5.5245188990655246E-2</v>
      </c>
      <c r="D345" s="3">
        <f t="shared" si="352"/>
        <v>5.5245188990655197E-2</v>
      </c>
      <c r="E345" s="3">
        <f t="shared" si="352"/>
        <v>5.5245188990654698E-2</v>
      </c>
      <c r="F345" s="3">
        <f t="shared" si="352"/>
        <v>5.5245188990649702E-2</v>
      </c>
      <c r="G345" s="3">
        <f t="shared" si="352"/>
        <v>5.5245188990599763E-2</v>
      </c>
      <c r="H345" s="3">
        <f t="shared" si="352"/>
        <v>5.5245188990100377E-2</v>
      </c>
      <c r="I345" s="3">
        <f t="shared" si="352"/>
        <v>5.5245188985106497E-2</v>
      </c>
      <c r="J345" s="3">
        <f t="shared" si="352"/>
        <v>5.5245188935167715E-2</v>
      </c>
      <c r="K345" s="3">
        <f t="shared" si="352"/>
        <v>5.5245188435779843E-2</v>
      </c>
      <c r="L345" s="3">
        <f t="shared" si="352"/>
        <v>5.5245183441901401E-2</v>
      </c>
      <c r="M345" s="3">
        <f t="shared" si="352"/>
        <v>5.5245133503141808E-2</v>
      </c>
      <c r="N345" s="3">
        <f t="shared" si="352"/>
        <v>5.5244634118028713E-2</v>
      </c>
      <c r="O345" s="3">
        <f t="shared" si="352"/>
        <v>5.5239640515169899E-2</v>
      </c>
      <c r="P345" s="3">
        <f t="shared" si="352"/>
        <v>5.518972930549864E-2</v>
      </c>
      <c r="Q345" s="3">
        <f t="shared" si="352"/>
        <v>5.4693090819551989E-2</v>
      </c>
      <c r="R345" s="3">
        <f t="shared" si="352"/>
        <v>4.9965990029940302E-2</v>
      </c>
      <c r="S345" s="3">
        <f t="shared" si="352"/>
        <v>2.023460809045419E-2</v>
      </c>
      <c r="T345" s="3">
        <f t="shared" si="352"/>
        <v>2.4004783877328976E-6</v>
      </c>
      <c r="U345" s="3">
        <f t="shared" si="352"/>
        <v>1.3253415998626462E-45</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6.6645884688751614E-2</v>
      </c>
      <c r="C346" s="3">
        <f t="shared" si="353"/>
        <v>6.6645884688751614E-2</v>
      </c>
      <c r="D346" s="3">
        <f t="shared" si="353"/>
        <v>6.66458846887516E-2</v>
      </c>
      <c r="E346" s="3">
        <f t="shared" si="353"/>
        <v>6.6645884688751558E-2</v>
      </c>
      <c r="F346" s="3">
        <f t="shared" si="353"/>
        <v>6.6645884688751003E-2</v>
      </c>
      <c r="G346" s="3">
        <f t="shared" si="353"/>
        <v>6.6645884688745577E-2</v>
      </c>
      <c r="H346" s="3">
        <f t="shared" si="353"/>
        <v>6.6645884688691232E-2</v>
      </c>
      <c r="I346" s="3">
        <f t="shared" si="353"/>
        <v>6.6645884688147777E-2</v>
      </c>
      <c r="J346" s="3">
        <f t="shared" si="353"/>
        <v>6.6645884682713222E-2</v>
      </c>
      <c r="K346" s="3">
        <f t="shared" si="353"/>
        <v>6.6645884628367749E-2</v>
      </c>
      <c r="L346" s="3">
        <f t="shared" si="353"/>
        <v>6.6645884084912912E-2</v>
      </c>
      <c r="M346" s="3">
        <f t="shared" si="353"/>
        <v>6.6645878650364851E-2</v>
      </c>
      <c r="N346" s="3">
        <f t="shared" si="353"/>
        <v>6.6645824304908619E-2</v>
      </c>
      <c r="O346" s="3">
        <f t="shared" si="353"/>
        <v>6.6645280852783595E-2</v>
      </c>
      <c r="P346" s="3">
        <f t="shared" si="353"/>
        <v>6.6639846575259301E-2</v>
      </c>
      <c r="Q346" s="3">
        <f t="shared" si="353"/>
        <v>6.6585528165255592E-2</v>
      </c>
      <c r="R346" s="3">
        <f t="shared" si="353"/>
        <v>6.6044773253884387E-2</v>
      </c>
      <c r="S346" s="3">
        <f t="shared" si="353"/>
        <v>6.087297099166207E-2</v>
      </c>
      <c r="T346" s="3">
        <f t="shared" si="353"/>
        <v>2.693301357646595E-2</v>
      </c>
      <c r="U346" s="3">
        <f t="shared" si="353"/>
        <v>7.7426470769337017E-6</v>
      </c>
      <c r="V346" s="3">
        <f t="shared" si="353"/>
        <v>2.9849331007998709E-41</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2.5869055396656026E-2</v>
      </c>
      <c r="C347" s="3">
        <f t="shared" si="354"/>
        <v>2.5869055396656026E-2</v>
      </c>
      <c r="D347" s="3">
        <f t="shared" si="354"/>
        <v>2.5869055396656026E-2</v>
      </c>
      <c r="E347" s="3">
        <f t="shared" si="354"/>
        <v>2.5869055396656022E-2</v>
      </c>
      <c r="F347" s="3">
        <f t="shared" si="354"/>
        <v>2.5869055396656005E-2</v>
      </c>
      <c r="G347" s="3">
        <f t="shared" si="354"/>
        <v>2.5869055396655814E-2</v>
      </c>
      <c r="H347" s="3">
        <f t="shared" si="354"/>
        <v>2.5869055396653913E-2</v>
      </c>
      <c r="I347" s="3">
        <f t="shared" si="354"/>
        <v>2.5869055396634883E-2</v>
      </c>
      <c r="J347" s="3">
        <f t="shared" si="354"/>
        <v>2.5869055396444591E-2</v>
      </c>
      <c r="K347" s="3">
        <f t="shared" si="354"/>
        <v>2.5869055394541686E-2</v>
      </c>
      <c r="L347" s="3">
        <f t="shared" si="354"/>
        <v>2.586905537551263E-2</v>
      </c>
      <c r="M347" s="3">
        <f t="shared" si="354"/>
        <v>2.5869055185222055E-2</v>
      </c>
      <c r="N347" s="3">
        <f t="shared" si="354"/>
        <v>2.5869053282316382E-2</v>
      </c>
      <c r="O347" s="3">
        <f t="shared" si="354"/>
        <v>2.5869034253267371E-2</v>
      </c>
      <c r="P347" s="3">
        <f t="shared" si="354"/>
        <v>2.5868843963547151E-2</v>
      </c>
      <c r="Q347" s="3">
        <f t="shared" si="354"/>
        <v>2.586694114332946E-2</v>
      </c>
      <c r="R347" s="3">
        <f t="shared" si="354"/>
        <v>2.5847920637512165E-2</v>
      </c>
      <c r="S347" s="3">
        <f t="shared" si="354"/>
        <v>2.5658483124704184E-2</v>
      </c>
      <c r="T347" s="3">
        <f t="shared" si="354"/>
        <v>2.3838813982122613E-2</v>
      </c>
      <c r="U347" s="3">
        <f t="shared" si="354"/>
        <v>1.142408196387735E-2</v>
      </c>
      <c r="V347" s="3">
        <f t="shared" si="354"/>
        <v>7.2977329358836876E-6</v>
      </c>
      <c r="W347" s="3">
        <f t="shared" si="354"/>
        <v>8.2576129635854863E-38</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4.8591449840458205E-2</v>
      </c>
      <c r="C348" s="3">
        <f t="shared" si="355"/>
        <v>4.8591449840458205E-2</v>
      </c>
      <c r="D348" s="3">
        <f t="shared" si="355"/>
        <v>4.8591449840458205E-2</v>
      </c>
      <c r="E348" s="3">
        <f t="shared" si="355"/>
        <v>4.8591449840458205E-2</v>
      </c>
      <c r="F348" s="3">
        <f t="shared" si="355"/>
        <v>4.8591449840458191E-2</v>
      </c>
      <c r="G348" s="3">
        <f t="shared" si="355"/>
        <v>4.8591449840458094E-2</v>
      </c>
      <c r="H348" s="3">
        <f t="shared" si="355"/>
        <v>4.8591449840457102E-2</v>
      </c>
      <c r="I348" s="3">
        <f t="shared" si="355"/>
        <v>4.8591449840447221E-2</v>
      </c>
      <c r="J348" s="3">
        <f t="shared" si="355"/>
        <v>4.8591449840348362E-2</v>
      </c>
      <c r="K348" s="3">
        <f t="shared" si="355"/>
        <v>4.8591449839359785E-2</v>
      </c>
      <c r="L348" s="3">
        <f t="shared" si="355"/>
        <v>4.8591449829474047E-2</v>
      </c>
      <c r="M348" s="3">
        <f t="shared" si="355"/>
        <v>4.859144973061659E-2</v>
      </c>
      <c r="N348" s="3">
        <f t="shared" si="355"/>
        <v>4.8591448742042048E-2</v>
      </c>
      <c r="O348" s="3">
        <f t="shared" si="355"/>
        <v>4.8591438856297721E-2</v>
      </c>
      <c r="P348" s="3">
        <f t="shared" si="355"/>
        <v>4.8591339998965047E-2</v>
      </c>
      <c r="Q348" s="3">
        <f t="shared" si="355"/>
        <v>4.8590351436699972E-2</v>
      </c>
      <c r="R348" s="3">
        <f t="shared" si="355"/>
        <v>4.8580466920126207E-2</v>
      </c>
      <c r="S348" s="3">
        <f t="shared" si="355"/>
        <v>4.8481732278874763E-2</v>
      </c>
      <c r="T348" s="3">
        <f t="shared" si="355"/>
        <v>4.7505355568382264E-2</v>
      </c>
      <c r="U348" s="3">
        <f t="shared" si="355"/>
        <v>3.8760289612836021E-2</v>
      </c>
      <c r="V348" s="3">
        <f t="shared" si="355"/>
        <v>5.0679394429202851E-3</v>
      </c>
      <c r="W348" s="3">
        <f t="shared" si="355"/>
        <v>7.4007451843661867E-12</v>
      </c>
      <c r="X348" s="3">
        <f t="shared" si="355"/>
        <v>3.2637418120621084E-100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2.853497416803049E-2</v>
      </c>
      <c r="C349" s="3">
        <f t="shared" si="356"/>
        <v>2.853497416803049E-2</v>
      </c>
      <c r="D349" s="3">
        <f t="shared" si="356"/>
        <v>2.853497416803049E-2</v>
      </c>
      <c r="E349" s="3">
        <f t="shared" si="356"/>
        <v>2.853497416803049E-2</v>
      </c>
      <c r="F349" s="3">
        <f t="shared" si="356"/>
        <v>2.853497416803049E-2</v>
      </c>
      <c r="G349" s="3">
        <f t="shared" si="356"/>
        <v>2.8534974168030483E-2</v>
      </c>
      <c r="H349" s="3">
        <f t="shared" si="356"/>
        <v>2.8534974168030428E-2</v>
      </c>
      <c r="I349" s="3">
        <f t="shared" si="356"/>
        <v>2.8534974168029845E-2</v>
      </c>
      <c r="J349" s="3">
        <f t="shared" si="356"/>
        <v>2.853497416802404E-2</v>
      </c>
      <c r="K349" s="3">
        <f t="shared" si="356"/>
        <v>2.8534974167965986E-2</v>
      </c>
      <c r="L349" s="3">
        <f t="shared" si="356"/>
        <v>2.8534974167385454E-2</v>
      </c>
      <c r="M349" s="3">
        <f t="shared" si="356"/>
        <v>2.8534974161580122E-2</v>
      </c>
      <c r="N349" s="3">
        <f t="shared" si="356"/>
        <v>2.8534974103526803E-2</v>
      </c>
      <c r="O349" s="3">
        <f t="shared" si="356"/>
        <v>2.8534973522993619E-2</v>
      </c>
      <c r="P349" s="3">
        <f t="shared" si="356"/>
        <v>2.8534967717662434E-2</v>
      </c>
      <c r="Q349" s="3">
        <f t="shared" si="356"/>
        <v>2.8534909664415551E-2</v>
      </c>
      <c r="R349" s="3">
        <f t="shared" si="356"/>
        <v>2.8534329138442564E-2</v>
      </c>
      <c r="S349" s="3">
        <f t="shared" si="356"/>
        <v>2.8528524528248347E-2</v>
      </c>
      <c r="T349" s="3">
        <f t="shared" si="356"/>
        <v>2.8470543331003764E-2</v>
      </c>
      <c r="U349" s="3">
        <f t="shared" si="356"/>
        <v>2.7897173235984032E-2</v>
      </c>
      <c r="V349" s="3">
        <f t="shared" si="356"/>
        <v>2.2761697098545079E-2</v>
      </c>
      <c r="W349" s="3">
        <f t="shared" si="356"/>
        <v>2.9761104384348927E-3</v>
      </c>
      <c r="X349" s="3">
        <f t="shared" si="356"/>
        <v>4.3460335790234536E-12</v>
      </c>
      <c r="Y349" s="3">
        <f t="shared" si="356"/>
        <v>1.9166085515886532E-100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1.8710063230340357E-2</v>
      </c>
      <c r="C350" s="3">
        <f t="shared" si="357"/>
        <v>1.8710063230340357E-2</v>
      </c>
      <c r="D350" s="3">
        <f t="shared" si="357"/>
        <v>1.8710063230340357E-2</v>
      </c>
      <c r="E350" s="3">
        <f t="shared" si="357"/>
        <v>1.8710063230340357E-2</v>
      </c>
      <c r="F350" s="3">
        <f t="shared" si="357"/>
        <v>1.8710063230340357E-2</v>
      </c>
      <c r="G350" s="3">
        <f t="shared" si="357"/>
        <v>1.8710063230340357E-2</v>
      </c>
      <c r="H350" s="3">
        <f t="shared" si="357"/>
        <v>1.8710063230340353E-2</v>
      </c>
      <c r="I350" s="3">
        <f t="shared" si="357"/>
        <v>1.8710063230340315E-2</v>
      </c>
      <c r="J350" s="3">
        <f t="shared" si="357"/>
        <v>1.8710063230339934E-2</v>
      </c>
      <c r="K350" s="3">
        <f t="shared" si="357"/>
        <v>1.8710063230336128E-2</v>
      </c>
      <c r="L350" s="3">
        <f t="shared" si="357"/>
        <v>1.8710063230298061E-2</v>
      </c>
      <c r="M350" s="3">
        <f t="shared" si="357"/>
        <v>1.8710063229917414E-2</v>
      </c>
      <c r="N350" s="3">
        <f t="shared" si="357"/>
        <v>1.8710063226110924E-2</v>
      </c>
      <c r="O350" s="3">
        <f t="shared" si="357"/>
        <v>1.8710063188046012E-2</v>
      </c>
      <c r="P350" s="3">
        <f t="shared" si="357"/>
        <v>1.8710062807396899E-2</v>
      </c>
      <c r="Q350" s="3">
        <f t="shared" si="357"/>
        <v>1.871005900090621E-2</v>
      </c>
      <c r="R350" s="3">
        <f t="shared" si="357"/>
        <v>1.8710020936041894E-2</v>
      </c>
      <c r="S350" s="3">
        <f t="shared" si="357"/>
        <v>1.8709640291658006E-2</v>
      </c>
      <c r="T350" s="3">
        <f t="shared" si="357"/>
        <v>1.8705834273712387E-2</v>
      </c>
      <c r="U350" s="3">
        <f t="shared" si="357"/>
        <v>1.8667816651540072E-2</v>
      </c>
      <c r="V350" s="3">
        <f t="shared" si="357"/>
        <v>1.8291864296754889E-2</v>
      </c>
      <c r="W350" s="3">
        <f t="shared" si="357"/>
        <v>1.4924590063963154E-2</v>
      </c>
      <c r="X350" s="3">
        <f t="shared" si="357"/>
        <v>1.9514023091697127E-3</v>
      </c>
      <c r="Y350" s="3">
        <f t="shared" si="357"/>
        <v>2.8496455818002102E-12</v>
      </c>
      <c r="Z350" s="3">
        <f t="shared" si="357"/>
        <v>1.2566987787292547E-100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7.6798609611155137E-3</v>
      </c>
      <c r="C351" s="3">
        <f t="shared" si="358"/>
        <v>7.6798609611155137E-3</v>
      </c>
      <c r="D351" s="3">
        <f t="shared" si="358"/>
        <v>7.6798609611155137E-3</v>
      </c>
      <c r="E351" s="3">
        <f t="shared" si="358"/>
        <v>7.6798609611155137E-3</v>
      </c>
      <c r="F351" s="3">
        <f t="shared" si="358"/>
        <v>7.6798609611155137E-3</v>
      </c>
      <c r="G351" s="3">
        <f t="shared" si="358"/>
        <v>7.6798609611155137E-3</v>
      </c>
      <c r="H351" s="3">
        <f t="shared" si="358"/>
        <v>7.6798609611155137E-3</v>
      </c>
      <c r="I351" s="3">
        <f t="shared" si="358"/>
        <v>7.679860961115512E-3</v>
      </c>
      <c r="J351" s="3">
        <f t="shared" si="358"/>
        <v>7.6798609611154964E-3</v>
      </c>
      <c r="K351" s="3">
        <f t="shared" si="358"/>
        <v>7.6798609611153394E-3</v>
      </c>
      <c r="L351" s="3">
        <f t="shared" si="358"/>
        <v>7.6798609611137781E-3</v>
      </c>
      <c r="M351" s="3">
        <f t="shared" si="358"/>
        <v>7.6798609610981535E-3</v>
      </c>
      <c r="N351" s="3">
        <f t="shared" si="358"/>
        <v>7.6798609609419095E-3</v>
      </c>
      <c r="O351" s="3">
        <f t="shared" si="358"/>
        <v>7.679860959379471E-3</v>
      </c>
      <c r="P351" s="3">
        <f t="shared" si="358"/>
        <v>7.6798609437550864E-3</v>
      </c>
      <c r="Q351" s="3">
        <f t="shared" si="358"/>
        <v>7.6798607875112395E-3</v>
      </c>
      <c r="R351" s="3">
        <f t="shared" si="358"/>
        <v>7.6798592250729471E-3</v>
      </c>
      <c r="S351" s="3">
        <f t="shared" si="358"/>
        <v>7.6798436007074998E-3</v>
      </c>
      <c r="T351" s="3">
        <f t="shared" si="358"/>
        <v>7.6796873588013187E-3</v>
      </c>
      <c r="U351" s="3">
        <f t="shared" si="358"/>
        <v>7.6781251145545716E-3</v>
      </c>
      <c r="V351" s="3">
        <f t="shared" si="358"/>
        <v>7.6625201404419167E-3</v>
      </c>
      <c r="W351" s="3">
        <f t="shared" si="358"/>
        <v>7.5082041567272181E-3</v>
      </c>
      <c r="X351" s="3">
        <f t="shared" si="358"/>
        <v>6.126049665455784E-3</v>
      </c>
      <c r="Y351" s="3">
        <f t="shared" si="358"/>
        <v>8.00985984340285E-4</v>
      </c>
      <c r="Z351" s="3">
        <f t="shared" si="358"/>
        <v>1.1696850826882337E-12</v>
      </c>
      <c r="AA351" s="3">
        <f t="shared" si="358"/>
        <v>5.1583320546954554E-101</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4.1102249961922147E-3</v>
      </c>
      <c r="C352" s="3">
        <f t="shared" si="359"/>
        <v>4.1102249961922147E-3</v>
      </c>
      <c r="D352" s="3">
        <f t="shared" si="359"/>
        <v>4.1102249961922147E-3</v>
      </c>
      <c r="E352" s="3">
        <f t="shared" si="359"/>
        <v>4.1102249961922147E-3</v>
      </c>
      <c r="F352" s="3">
        <f t="shared" si="359"/>
        <v>4.1102249961922147E-3</v>
      </c>
      <c r="G352" s="3">
        <f t="shared" si="359"/>
        <v>4.1102249961922147E-3</v>
      </c>
      <c r="H352" s="3">
        <f t="shared" si="359"/>
        <v>4.1102249961922147E-3</v>
      </c>
      <c r="I352" s="3">
        <f t="shared" si="359"/>
        <v>4.1102249961922147E-3</v>
      </c>
      <c r="J352" s="3">
        <f t="shared" si="359"/>
        <v>4.1102249961922138E-3</v>
      </c>
      <c r="K352" s="3">
        <f t="shared" si="359"/>
        <v>4.1102249961922051E-3</v>
      </c>
      <c r="L352" s="3">
        <f t="shared" si="359"/>
        <v>4.1102249961921218E-3</v>
      </c>
      <c r="M352" s="3">
        <f t="shared" si="359"/>
        <v>4.1102249961912857E-3</v>
      </c>
      <c r="N352" s="3">
        <f t="shared" si="359"/>
        <v>4.1102249961829235E-3</v>
      </c>
      <c r="O352" s="3">
        <f t="shared" si="359"/>
        <v>4.1102249960993029E-3</v>
      </c>
      <c r="P352" s="3">
        <f t="shared" si="359"/>
        <v>4.1102249952630933E-3</v>
      </c>
      <c r="Q352" s="3">
        <f t="shared" si="359"/>
        <v>4.1102249869009967E-3</v>
      </c>
      <c r="R352" s="3">
        <f t="shared" si="359"/>
        <v>4.1102249032800341E-3</v>
      </c>
      <c r="S352" s="3">
        <f t="shared" si="359"/>
        <v>4.1102240670705037E-3</v>
      </c>
      <c r="T352" s="3">
        <f t="shared" si="359"/>
        <v>4.1102157049845581E-3</v>
      </c>
      <c r="U352" s="3">
        <f t="shared" si="359"/>
        <v>4.1101320850607742E-3</v>
      </c>
      <c r="V352" s="3">
        <f t="shared" si="359"/>
        <v>4.1092959793831265E-3</v>
      </c>
      <c r="W352" s="3">
        <f t="shared" si="359"/>
        <v>4.1009442715869149E-3</v>
      </c>
      <c r="X352" s="3">
        <f t="shared" si="359"/>
        <v>4.0183550923312506E-3</v>
      </c>
      <c r="Y352" s="3">
        <f t="shared" si="359"/>
        <v>3.2786325937877343E-3</v>
      </c>
      <c r="Z352" s="3">
        <f t="shared" si="359"/>
        <v>4.2868388257342386E-4</v>
      </c>
      <c r="AA352" s="3">
        <f t="shared" si="359"/>
        <v>6.2600988336643177E-13</v>
      </c>
      <c r="AB352" s="3">
        <f t="shared" si="359"/>
        <v>2.7607147391362658E-101</v>
      </c>
      <c r="AC352" s="3">
        <f t="shared" si="359"/>
        <v>0</v>
      </c>
      <c r="AD352" s="3">
        <f t="shared" si="359"/>
        <v>0</v>
      </c>
      <c r="AE352" s="3">
        <f t="shared" si="359"/>
        <v>0</v>
      </c>
      <c r="AF352" s="3">
        <f t="shared" si="359"/>
        <v>0</v>
      </c>
      <c r="AG352" s="3"/>
      <c r="AH352" s="3"/>
    </row>
    <row r="353" spans="1:34" x14ac:dyDescent="0.25">
      <c r="B353" s="3">
        <f t="shared" ref="B353:AF353" si="360">$C44*EXP(-B$363/$A44/EXP(-$G$126))</f>
        <v>3.1066969837399792E-3</v>
      </c>
      <c r="C353" s="3">
        <f t="shared" si="360"/>
        <v>3.1066969837399792E-3</v>
      </c>
      <c r="D353" s="3">
        <f t="shared" si="360"/>
        <v>3.1066969837399792E-3</v>
      </c>
      <c r="E353" s="3">
        <f t="shared" si="360"/>
        <v>3.1066969837399792E-3</v>
      </c>
      <c r="F353" s="3">
        <f t="shared" si="360"/>
        <v>3.1066969837399792E-3</v>
      </c>
      <c r="G353" s="3">
        <f t="shared" si="360"/>
        <v>3.1066969837399792E-3</v>
      </c>
      <c r="H353" s="3">
        <f t="shared" si="360"/>
        <v>3.1066969837399792E-3</v>
      </c>
      <c r="I353" s="3">
        <f t="shared" si="360"/>
        <v>3.1066969837399792E-3</v>
      </c>
      <c r="J353" s="3">
        <f t="shared" si="360"/>
        <v>3.1066969837399792E-3</v>
      </c>
      <c r="K353" s="3">
        <f t="shared" si="360"/>
        <v>3.1066969837399783E-3</v>
      </c>
      <c r="L353" s="3">
        <f t="shared" si="360"/>
        <v>3.1066969837399722E-3</v>
      </c>
      <c r="M353" s="3">
        <f t="shared" si="360"/>
        <v>3.1066969837399089E-3</v>
      </c>
      <c r="N353" s="3">
        <f t="shared" si="360"/>
        <v>3.106696983739277E-3</v>
      </c>
      <c r="O353" s="3">
        <f t="shared" si="360"/>
        <v>3.1066969837329566E-3</v>
      </c>
      <c r="P353" s="3">
        <f t="shared" si="360"/>
        <v>3.1066969836697519E-3</v>
      </c>
      <c r="Q353" s="3">
        <f t="shared" si="360"/>
        <v>3.1066969830377063E-3</v>
      </c>
      <c r="R353" s="3">
        <f t="shared" si="360"/>
        <v>3.1066969767172496E-3</v>
      </c>
      <c r="S353" s="3">
        <f t="shared" si="360"/>
        <v>3.1066969135126825E-3</v>
      </c>
      <c r="T353" s="3">
        <f t="shared" si="360"/>
        <v>3.1066962814670822E-3</v>
      </c>
      <c r="U353" s="3">
        <f t="shared" si="360"/>
        <v>3.1066899610181502E-3</v>
      </c>
      <c r="V353" s="3">
        <f t="shared" si="360"/>
        <v>3.1066267572360602E-3</v>
      </c>
      <c r="W353" s="3">
        <f t="shared" si="360"/>
        <v>3.1059947901322538E-3</v>
      </c>
      <c r="X353" s="3">
        <f t="shared" si="360"/>
        <v>3.0996821854832129E-3</v>
      </c>
      <c r="Y353" s="3">
        <f t="shared" si="360"/>
        <v>3.037257487487159E-3</v>
      </c>
      <c r="Z353" s="3">
        <f t="shared" si="360"/>
        <v>2.4781412208207988E-3</v>
      </c>
      <c r="AA353" s="3">
        <f t="shared" si="360"/>
        <v>3.2401898343827751E-4</v>
      </c>
      <c r="AB353" s="3">
        <f t="shared" si="360"/>
        <v>4.7316704517334893E-13</v>
      </c>
      <c r="AC353" s="3">
        <f t="shared" si="360"/>
        <v>2.0866750995351231E-101</v>
      </c>
      <c r="AD353" s="3">
        <f t="shared" si="360"/>
        <v>0</v>
      </c>
      <c r="AE353" s="3">
        <f t="shared" si="360"/>
        <v>0</v>
      </c>
      <c r="AF353" s="3">
        <f t="shared" si="360"/>
        <v>0</v>
      </c>
      <c r="AG353" s="3"/>
      <c r="AH353" s="3"/>
    </row>
    <row r="354" spans="1:34" x14ac:dyDescent="0.25">
      <c r="B354" s="3">
        <f t="shared" ref="B354:AF354" si="361">$C45*EXP(-B$363/$A45/EXP(-$G$126))</f>
        <v>9.6514726179013565E-4</v>
      </c>
      <c r="C354" s="3">
        <f t="shared" si="361"/>
        <v>9.6514726179013565E-4</v>
      </c>
      <c r="D354" s="3">
        <f t="shared" si="361"/>
        <v>9.6514726179013565E-4</v>
      </c>
      <c r="E354" s="3">
        <f t="shared" si="361"/>
        <v>9.6514726179013565E-4</v>
      </c>
      <c r="F354" s="3">
        <f t="shared" si="361"/>
        <v>9.6514726179013565E-4</v>
      </c>
      <c r="G354" s="3">
        <f t="shared" si="361"/>
        <v>9.6514726179013565E-4</v>
      </c>
      <c r="H354" s="3">
        <f t="shared" si="361"/>
        <v>9.6514726179013565E-4</v>
      </c>
      <c r="I354" s="3">
        <f t="shared" si="361"/>
        <v>9.6514726179013565E-4</v>
      </c>
      <c r="J354" s="3">
        <f t="shared" si="361"/>
        <v>9.6514726179013565E-4</v>
      </c>
      <c r="K354" s="3">
        <f t="shared" si="361"/>
        <v>9.6514726179013565E-4</v>
      </c>
      <c r="L354" s="3">
        <f t="shared" si="361"/>
        <v>9.6514726179013543E-4</v>
      </c>
      <c r="M354" s="3">
        <f t="shared" si="361"/>
        <v>9.6514726179013348E-4</v>
      </c>
      <c r="N354" s="3">
        <f t="shared" si="361"/>
        <v>9.6514726179011375E-4</v>
      </c>
      <c r="O354" s="3">
        <f t="shared" si="361"/>
        <v>9.6514726178991751E-4</v>
      </c>
      <c r="P354" s="3">
        <f t="shared" si="361"/>
        <v>9.6514726178795391E-4</v>
      </c>
      <c r="Q354" s="3">
        <f t="shared" si="361"/>
        <v>9.6514726176831836E-4</v>
      </c>
      <c r="R354" s="3">
        <f t="shared" si="361"/>
        <v>9.6514726157196284E-4</v>
      </c>
      <c r="S354" s="3">
        <f t="shared" si="361"/>
        <v>9.6514725960840755E-4</v>
      </c>
      <c r="T354" s="3">
        <f t="shared" si="361"/>
        <v>9.6514723997285395E-4</v>
      </c>
      <c r="U354" s="3">
        <f t="shared" si="361"/>
        <v>9.6514704361734083E-4</v>
      </c>
      <c r="V354" s="3">
        <f t="shared" si="361"/>
        <v>9.651450800644061E-4</v>
      </c>
      <c r="W354" s="3">
        <f t="shared" si="361"/>
        <v>9.6512544475477072E-4</v>
      </c>
      <c r="X354" s="3">
        <f t="shared" si="361"/>
        <v>9.6492911362786244E-4</v>
      </c>
      <c r="Y354" s="3">
        <f t="shared" si="361"/>
        <v>9.6296799765045195E-4</v>
      </c>
      <c r="Z354" s="3">
        <f t="shared" si="361"/>
        <v>9.4357472349004855E-4</v>
      </c>
      <c r="AA354" s="3">
        <f t="shared" si="361"/>
        <v>7.6987592485609519E-4</v>
      </c>
      <c r="AB354" s="3">
        <f t="shared" si="361"/>
        <v>1.0066190435380132E-4</v>
      </c>
      <c r="AC354" s="3">
        <f t="shared" si="361"/>
        <v>1.4699723867778715E-13</v>
      </c>
      <c r="AD354" s="3">
        <f t="shared" si="361"/>
        <v>6.4826044158883568E-102</v>
      </c>
      <c r="AE354" s="3">
        <f t="shared" si="361"/>
        <v>0</v>
      </c>
      <c r="AF354" s="3">
        <f t="shared" si="361"/>
        <v>0</v>
      </c>
      <c r="AG354" s="3"/>
      <c r="AH354" s="3"/>
    </row>
    <row r="355" spans="1:34" x14ac:dyDescent="0.25">
      <c r="B355" s="3">
        <f t="shared" ref="B355:AF355" si="362">$C46*EXP(-B$363/$A46/EXP(-$G$126))</f>
        <v>1.0056328677851901E-3</v>
      </c>
      <c r="C355" s="3">
        <f t="shared" si="362"/>
        <v>1.0056328677851901E-3</v>
      </c>
      <c r="D355" s="3">
        <f t="shared" si="362"/>
        <v>1.0056328677851901E-3</v>
      </c>
      <c r="E355" s="3">
        <f t="shared" si="362"/>
        <v>1.0056328677851901E-3</v>
      </c>
      <c r="F355" s="3">
        <f t="shared" si="362"/>
        <v>1.0056328677851901E-3</v>
      </c>
      <c r="G355" s="3">
        <f t="shared" si="362"/>
        <v>1.0056328677851901E-3</v>
      </c>
      <c r="H355" s="3">
        <f t="shared" si="362"/>
        <v>1.0056328677851901E-3</v>
      </c>
      <c r="I355" s="3">
        <f t="shared" si="362"/>
        <v>1.0056328677851901E-3</v>
      </c>
      <c r="J355" s="3">
        <f t="shared" si="362"/>
        <v>1.0056328677851901E-3</v>
      </c>
      <c r="K355" s="3">
        <f t="shared" si="362"/>
        <v>1.0056328677851901E-3</v>
      </c>
      <c r="L355" s="3">
        <f t="shared" si="362"/>
        <v>1.0056328677851901E-3</v>
      </c>
      <c r="M355" s="3">
        <f t="shared" si="362"/>
        <v>1.0056328677851899E-3</v>
      </c>
      <c r="N355" s="3">
        <f t="shared" si="362"/>
        <v>1.0056328677851879E-3</v>
      </c>
      <c r="O355" s="3">
        <f t="shared" si="362"/>
        <v>1.0056328677851673E-3</v>
      </c>
      <c r="P355" s="3">
        <f t="shared" si="362"/>
        <v>1.0056328677849628E-3</v>
      </c>
      <c r="Q355" s="3">
        <f t="shared" si="362"/>
        <v>1.0056328677829167E-3</v>
      </c>
      <c r="R355" s="3">
        <f t="shared" si="362"/>
        <v>1.0056328677624576E-3</v>
      </c>
      <c r="S355" s="3">
        <f t="shared" si="362"/>
        <v>1.0056328675578654E-3</v>
      </c>
      <c r="T355" s="3">
        <f t="shared" si="362"/>
        <v>1.0056328655119436E-3</v>
      </c>
      <c r="U355" s="3">
        <f t="shared" si="362"/>
        <v>1.0056328450527259E-3</v>
      </c>
      <c r="V355" s="3">
        <f t="shared" si="362"/>
        <v>1.0056326404605713E-3</v>
      </c>
      <c r="W355" s="3">
        <f t="shared" si="362"/>
        <v>1.0056305945413142E-3</v>
      </c>
      <c r="X355" s="3">
        <f t="shared" si="362"/>
        <v>1.005610135577672E-3</v>
      </c>
      <c r="Y355" s="3">
        <f t="shared" si="362"/>
        <v>1.0054055688322593E-3</v>
      </c>
      <c r="Z355" s="3">
        <f t="shared" si="362"/>
        <v>1.0033621887570107E-3</v>
      </c>
      <c r="AA355" s="3">
        <f t="shared" si="362"/>
        <v>9.8315541339560322E-4</v>
      </c>
      <c r="AB355" s="3">
        <f t="shared" si="362"/>
        <v>8.0217036798697103E-4</v>
      </c>
      <c r="AC355" s="3">
        <f t="shared" si="362"/>
        <v>1.0488442910180813E-4</v>
      </c>
      <c r="AD355" s="3">
        <f t="shared" si="362"/>
        <v>1.5316341924222409E-13</v>
      </c>
      <c r="AE355" s="3">
        <f t="shared" si="362"/>
        <v>6.7545340773958299E-102</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2.1809087047795134E-2</v>
      </c>
      <c r="C357" s="3">
        <f t="shared" si="364"/>
        <v>2.1809087047795134E-2</v>
      </c>
      <c r="D357" s="3">
        <f t="shared" si="364"/>
        <v>2.1809087047795134E-2</v>
      </c>
      <c r="E357" s="3">
        <f t="shared" si="364"/>
        <v>2.1809087047795134E-2</v>
      </c>
      <c r="F357" s="3">
        <f t="shared" si="364"/>
        <v>2.1809087047795134E-2</v>
      </c>
      <c r="G357" s="3">
        <f t="shared" si="364"/>
        <v>2.1809087047795134E-2</v>
      </c>
      <c r="H357" s="3">
        <f t="shared" si="364"/>
        <v>2.1809087047795134E-2</v>
      </c>
      <c r="I357" s="3">
        <f t="shared" si="364"/>
        <v>2.1809087047795134E-2</v>
      </c>
      <c r="J357" s="3">
        <f t="shared" si="364"/>
        <v>2.1809087047795134E-2</v>
      </c>
      <c r="K357" s="3">
        <f t="shared" si="364"/>
        <v>2.1809087047795134E-2</v>
      </c>
      <c r="L357" s="3">
        <f t="shared" si="364"/>
        <v>2.1809087047795134E-2</v>
      </c>
      <c r="M357" s="3">
        <f t="shared" si="364"/>
        <v>2.1809087047795134E-2</v>
      </c>
      <c r="N357" s="3">
        <f t="shared" si="364"/>
        <v>2.1809087047795134E-2</v>
      </c>
      <c r="O357" s="3">
        <f t="shared" si="364"/>
        <v>2.180908704779513E-2</v>
      </c>
      <c r="P357" s="3">
        <f t="shared" si="364"/>
        <v>2.1809087047795085E-2</v>
      </c>
      <c r="Q357" s="3">
        <f t="shared" si="364"/>
        <v>2.1809087047794641E-2</v>
      </c>
      <c r="R357" s="3">
        <f t="shared" si="364"/>
        <v>2.1809087047790204E-2</v>
      </c>
      <c r="S357" s="3">
        <f t="shared" si="364"/>
        <v>2.1809087047745833E-2</v>
      </c>
      <c r="T357" s="3">
        <f t="shared" si="364"/>
        <v>2.1809087047302136E-2</v>
      </c>
      <c r="U357" s="3">
        <f t="shared" si="364"/>
        <v>2.1809087042865161E-2</v>
      </c>
      <c r="V357" s="3">
        <f t="shared" si="364"/>
        <v>2.1809086998495403E-2</v>
      </c>
      <c r="W357" s="3">
        <f t="shared" si="364"/>
        <v>2.1809086554797835E-2</v>
      </c>
      <c r="X357" s="3">
        <f t="shared" si="364"/>
        <v>2.1809082117822617E-2</v>
      </c>
      <c r="Y357" s="3">
        <f t="shared" si="364"/>
        <v>2.1809037748120114E-2</v>
      </c>
      <c r="Z357" s="3">
        <f t="shared" si="364"/>
        <v>2.1808594056059845E-2</v>
      </c>
      <c r="AA357" s="3">
        <f t="shared" si="364"/>
        <v>2.1804157631892831E-2</v>
      </c>
      <c r="AB357" s="3">
        <f t="shared" si="364"/>
        <v>2.1759842996442444E-2</v>
      </c>
      <c r="AC357" s="3">
        <f t="shared" si="364"/>
        <v>2.1321620125124844E-2</v>
      </c>
      <c r="AD357" s="3">
        <f t="shared" si="364"/>
        <v>1.7396610575308554E-2</v>
      </c>
      <c r="AE357" s="3">
        <f t="shared" si="364"/>
        <v>2.2746210048578503E-3</v>
      </c>
      <c r="AF357" s="3">
        <f t="shared" si="364"/>
        <v>3.3216439615268501E-12</v>
      </c>
      <c r="AG357" s="3"/>
      <c r="AH357" s="3"/>
    </row>
    <row r="358" spans="1:34" x14ac:dyDescent="0.25">
      <c r="A358" s="79">
        <f>AVERAGE(B358:AF358)</f>
        <v>1.0044927388069115E-2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1.6404452332762175E-2</v>
      </c>
      <c r="M358" s="80">
        <f t="shared" si="365"/>
        <v>1.895058525178615E-2</v>
      </c>
      <c r="N358" s="80">
        <f t="shared" si="365"/>
        <v>1.842230401435203E-2</v>
      </c>
      <c r="O358" s="80">
        <f t="shared" si="365"/>
        <v>1.9290006383769164E-2</v>
      </c>
      <c r="P358" s="80">
        <f t="shared" si="365"/>
        <v>6.3324550582534609E-3</v>
      </c>
      <c r="Q358" s="80">
        <f t="shared" si="365"/>
        <v>3.6699687804881045E-2</v>
      </c>
      <c r="R358" s="80">
        <f t="shared" si="365"/>
        <v>3.9616121028265526E-2</v>
      </c>
      <c r="S358" s="80">
        <f t="shared" si="365"/>
        <v>1.0434472826742286E-2</v>
      </c>
      <c r="T358" s="80">
        <f t="shared" si="365"/>
        <v>1.9251783998202258E-2</v>
      </c>
      <c r="U358" s="80">
        <f t="shared" si="365"/>
        <v>8.5110550775911953E-2</v>
      </c>
      <c r="V358" s="80">
        <f t="shared" si="365"/>
        <v>4.0880329555216512E-2</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2577.9062595890382</v>
      </c>
      <c r="C359" s="21">
        <f t="shared" ref="C359:AF359" si="366">(C326-C325)^2</f>
        <v>22668.830908130381</v>
      </c>
      <c r="D359" s="21">
        <f t="shared" si="366"/>
        <v>19434.137055219002</v>
      </c>
      <c r="E359" s="21">
        <f t="shared" si="366"/>
        <v>18326.871543670903</v>
      </c>
      <c r="F359" s="21">
        <f t="shared" si="366"/>
        <v>21632.265745172903</v>
      </c>
      <c r="G359" s="21">
        <f t="shared" si="366"/>
        <v>23979.913881157554</v>
      </c>
      <c r="H359" s="21">
        <f t="shared" si="366"/>
        <v>20513.740068962132</v>
      </c>
      <c r="I359" s="21">
        <f t="shared" si="366"/>
        <v>13867.74097708889</v>
      </c>
      <c r="J359" s="21">
        <f t="shared" si="366"/>
        <v>12777.085919151314</v>
      </c>
      <c r="K359" s="21">
        <f t="shared" si="366"/>
        <v>12474.835549029702</v>
      </c>
      <c r="L359" s="21">
        <f t="shared" si="366"/>
        <v>9938.6431711986716</v>
      </c>
      <c r="M359" s="21">
        <f t="shared" si="366"/>
        <v>12057.425397327228</v>
      </c>
      <c r="N359" s="21">
        <f t="shared" si="366"/>
        <v>10256.807505608738</v>
      </c>
      <c r="O359" s="21">
        <f t="shared" si="366"/>
        <v>9839.8888550702686</v>
      </c>
      <c r="P359" s="21">
        <f t="shared" si="366"/>
        <v>906.78647007912105</v>
      </c>
      <c r="Q359" s="21">
        <f t="shared" si="366"/>
        <v>24441.891286976548</v>
      </c>
      <c r="R359" s="21">
        <f t="shared" si="366"/>
        <v>20440.382981232862</v>
      </c>
      <c r="S359" s="21">
        <f t="shared" si="366"/>
        <v>912.44620560403473</v>
      </c>
      <c r="T359" s="21">
        <f t="shared" si="366"/>
        <v>1807.0124493760509</v>
      </c>
      <c r="U359" s="21">
        <f t="shared" si="366"/>
        <v>18330.369823357141</v>
      </c>
      <c r="V359" s="21">
        <f t="shared" si="366"/>
        <v>2150.6350917027962</v>
      </c>
      <c r="W359" s="21">
        <f t="shared" si="366"/>
        <v>2203.9146261797055</v>
      </c>
      <c r="X359" s="21">
        <f t="shared" si="366"/>
        <v>159.52773360979853</v>
      </c>
      <c r="Y359" s="21">
        <f t="shared" si="366"/>
        <v>96.323657336673307</v>
      </c>
      <c r="Z359" s="21">
        <f t="shared" si="366"/>
        <v>6.3471651730688183</v>
      </c>
      <c r="AA359" s="21">
        <f t="shared" si="366"/>
        <v>2.0500171234856093</v>
      </c>
      <c r="AB359" s="21">
        <f t="shared" si="366"/>
        <v>1.5616780170818027E-2</v>
      </c>
      <c r="AC359" s="21">
        <f t="shared" si="366"/>
        <v>16.105226258740135</v>
      </c>
      <c r="AD359" s="21">
        <f t="shared" si="366"/>
        <v>275.10081699428395</v>
      </c>
      <c r="AE359" s="21">
        <f t="shared" si="366"/>
        <v>31134.952275435815</v>
      </c>
      <c r="AF359" s="21">
        <f t="shared" si="366"/>
        <v>40283.504067386384</v>
      </c>
      <c r="AG359" s="3"/>
      <c r="AH359" s="3"/>
    </row>
    <row r="360" spans="1:34" x14ac:dyDescent="0.25">
      <c r="A360" s="71">
        <f>SUM(B360:AF360)</f>
        <v>111082.28923753346</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9938.6431711986716</v>
      </c>
      <c r="M360" s="60">
        <f t="shared" si="367"/>
        <v>12057.425397327228</v>
      </c>
      <c r="N360" s="60">
        <f t="shared" si="367"/>
        <v>10256.807505608738</v>
      </c>
      <c r="O360" s="60">
        <f t="shared" si="367"/>
        <v>9839.8888550702686</v>
      </c>
      <c r="P360" s="60">
        <f t="shared" si="367"/>
        <v>906.78647007912105</v>
      </c>
      <c r="Q360" s="60">
        <f t="shared" si="367"/>
        <v>24441.891286976548</v>
      </c>
      <c r="R360" s="60">
        <f t="shared" si="367"/>
        <v>20440.382981232862</v>
      </c>
      <c r="S360" s="60">
        <f t="shared" si="367"/>
        <v>912.44620560403473</v>
      </c>
      <c r="T360" s="60">
        <f t="shared" si="367"/>
        <v>1807.0124493760509</v>
      </c>
      <c r="U360" s="60">
        <f t="shared" si="367"/>
        <v>18330.369823357141</v>
      </c>
      <c r="V360" s="60">
        <f t="shared" si="367"/>
        <v>2150.6350917027962</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8600.651038640588</v>
      </c>
      <c r="C365" s="27">
        <f t="shared" ref="C365:AF365" si="368">($C$17+SUM(C366:C396))*$B$51</f>
        <v>8336.9831363379308</v>
      </c>
      <c r="D365" s="27">
        <f t="shared" si="368"/>
        <v>8039.5559313481554</v>
      </c>
      <c r="E365" s="27">
        <f t="shared" si="368"/>
        <v>7681.4892140317888</v>
      </c>
      <c r="F365" s="27">
        <f t="shared" si="368"/>
        <v>7300.717201437672</v>
      </c>
      <c r="G365" s="27">
        <f t="shared" si="368"/>
        <v>6965.3179782323823</v>
      </c>
      <c r="H365" s="27">
        <f t="shared" si="368"/>
        <v>6683.6893340204688</v>
      </c>
      <c r="I365" s="27">
        <f t="shared" si="368"/>
        <v>6393.9574737175026</v>
      </c>
      <c r="J365" s="27">
        <f t="shared" si="368"/>
        <v>6100.0340988990911</v>
      </c>
      <c r="K365" s="27">
        <f t="shared" si="368"/>
        <v>5823.3882735708457</v>
      </c>
      <c r="L365" s="27">
        <f t="shared" si="368"/>
        <v>5502.497960225267</v>
      </c>
      <c r="M365" s="27">
        <f t="shared" si="368"/>
        <v>5112.2418031761781</v>
      </c>
      <c r="N365" s="27">
        <f t="shared" si="368"/>
        <v>4542.2062680735453</v>
      </c>
      <c r="O365" s="27">
        <f t="shared" si="368"/>
        <v>3899.8687121860439</v>
      </c>
      <c r="P365" s="27">
        <f t="shared" si="368"/>
        <v>3265.1376226919942</v>
      </c>
      <c r="Q365" s="27">
        <f t="shared" si="368"/>
        <v>2672.9909848127622</v>
      </c>
      <c r="R365" s="27">
        <f t="shared" si="368"/>
        <v>2052.0743808471661</v>
      </c>
      <c r="S365" s="27">
        <f t="shared" si="368"/>
        <v>1571.8410341156982</v>
      </c>
      <c r="T365" s="27">
        <f t="shared" si="368"/>
        <v>1080.6175353260273</v>
      </c>
      <c r="U365" s="27">
        <f t="shared" si="368"/>
        <v>813.78018301949078</v>
      </c>
      <c r="V365" s="27">
        <f t="shared" si="368"/>
        <v>655.12076601137699</v>
      </c>
      <c r="W365" s="27">
        <f t="shared" si="368"/>
        <v>585.26544477674918</v>
      </c>
      <c r="X365" s="27">
        <f t="shared" si="368"/>
        <v>545.38448953734564</v>
      </c>
      <c r="Y365" s="27">
        <f t="shared" si="368"/>
        <v>519.96370263666734</v>
      </c>
      <c r="Z365" s="27">
        <f t="shared" si="368"/>
        <v>508.67272284475183</v>
      </c>
      <c r="AA365" s="27">
        <f t="shared" si="368"/>
        <v>492.60823898814164</v>
      </c>
      <c r="AB365" s="27">
        <f t="shared" si="368"/>
        <v>418.81972086891449</v>
      </c>
      <c r="AC365" s="27">
        <f t="shared" si="368"/>
        <v>270.61460031727671</v>
      </c>
      <c r="AD365" s="27">
        <f t="shared" si="368"/>
        <v>267.76906402904598</v>
      </c>
      <c r="AE365" s="27">
        <f t="shared" si="368"/>
        <v>267.76906402904598</v>
      </c>
      <c r="AF365" s="27">
        <f t="shared" si="368"/>
        <v>267.76906402904598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8.8004341971649962E-47</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3.1060109234843427E-6</v>
      </c>
      <c r="C369" s="3">
        <f t="shared" si="372"/>
        <v>3.435633528321837E-42</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1.1003964663674235E-2</v>
      </c>
      <c r="C370" s="3">
        <f t="shared" si="373"/>
        <v>6.2806004786481444E-6</v>
      </c>
      <c r="D370" s="3">
        <f t="shared" si="373"/>
        <v>2.3042042670590522E-38</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2.3236925751603372E-2</v>
      </c>
      <c r="C371" s="3">
        <f t="shared" si="374"/>
        <v>1.1846325328969076E-2</v>
      </c>
      <c r="D371" s="3">
        <f t="shared" si="374"/>
        <v>1.404861480238632E-5</v>
      </c>
      <c r="E371" s="3">
        <f t="shared" si="374"/>
        <v>7.7291547048123888E-35</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3.1644055016145527E-2</v>
      </c>
      <c r="C372" s="3">
        <f t="shared" si="375"/>
        <v>2.9778144045215407E-2</v>
      </c>
      <c r="D372" s="3">
        <f t="shared" si="375"/>
        <v>1.6216330285715952E-2</v>
      </c>
      <c r="E372" s="3">
        <f t="shared" si="375"/>
        <v>3.7196504540393291E-5</v>
      </c>
      <c r="F372" s="3">
        <f t="shared" si="375"/>
        <v>1.4996766055425322E-31</v>
      </c>
      <c r="G372" s="3">
        <f t="shared" si="375"/>
        <v>1.7019722864762924E-295</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3.8248546764422797E-2</v>
      </c>
      <c r="C373" s="3">
        <f t="shared" si="376"/>
        <v>3.8039424258581055E-2</v>
      </c>
      <c r="D373" s="3">
        <f t="shared" si="376"/>
        <v>3.6010064247293687E-2</v>
      </c>
      <c r="E373" s="3">
        <f t="shared" si="376"/>
        <v>2.0812464371780734E-2</v>
      </c>
      <c r="F373" s="3">
        <f t="shared" si="376"/>
        <v>8.6560472651646335E-5</v>
      </c>
      <c r="G373" s="3">
        <f t="shared" si="376"/>
        <v>1.3405429621962385E-28</v>
      </c>
      <c r="H373" s="3">
        <f t="shared" si="376"/>
        <v>1.0638782123697074E-266</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3.6031725247524536E-2</v>
      </c>
      <c r="C374" s="3">
        <f t="shared" si="377"/>
        <v>3.6013909663955422E-2</v>
      </c>
      <c r="D374" s="3">
        <f t="shared" si="377"/>
        <v>3.583623759243211E-2</v>
      </c>
      <c r="E374" s="3">
        <f t="shared" si="377"/>
        <v>3.4107019649219833E-2</v>
      </c>
      <c r="F374" s="3">
        <f t="shared" si="377"/>
        <v>2.0799716359604356E-2</v>
      </c>
      <c r="G374" s="3">
        <f t="shared" si="377"/>
        <v>1.4797686595124053E-4</v>
      </c>
      <c r="H374" s="3">
        <f t="shared" si="377"/>
        <v>4.9153896292533326E-26</v>
      </c>
      <c r="I374" s="3">
        <f t="shared" si="377"/>
        <v>8.0389474012803528E-241</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2.6918032999204325E-2</v>
      </c>
      <c r="C375" s="3">
        <f t="shared" si="378"/>
        <v>2.6916832110918037E-2</v>
      </c>
      <c r="D375" s="3">
        <f t="shared" si="378"/>
        <v>2.6904826174283882E-2</v>
      </c>
      <c r="E375" s="3">
        <f t="shared" si="378"/>
        <v>2.6785060945059357E-2</v>
      </c>
      <c r="F375" s="3">
        <f t="shared" si="378"/>
        <v>2.5616342569222704E-2</v>
      </c>
      <c r="G375" s="3">
        <f t="shared" si="378"/>
        <v>1.6396907940713516E-2</v>
      </c>
      <c r="H375" s="3">
        <f t="shared" si="378"/>
        <v>1.8932602523647998E-4</v>
      </c>
      <c r="I375" s="3">
        <f t="shared" si="378"/>
        <v>7.9743245390655075E-24</v>
      </c>
      <c r="J375" s="3">
        <f t="shared" si="378"/>
        <v>1.4012957335344226E-217</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2.7316054035413265E-2</v>
      </c>
      <c r="C376" s="3">
        <f t="shared" si="379"/>
        <v>2.7315944101255041E-2</v>
      </c>
      <c r="D376" s="3">
        <f t="shared" si="379"/>
        <v>2.7314844784006299E-2</v>
      </c>
      <c r="E376" s="3">
        <f t="shared" si="379"/>
        <v>2.7303854044507785E-2</v>
      </c>
      <c r="F376" s="3">
        <f t="shared" si="379"/>
        <v>2.71941895865105E-2</v>
      </c>
      <c r="G376" s="3">
        <f t="shared" si="379"/>
        <v>2.6121480814586422E-2</v>
      </c>
      <c r="H376" s="3">
        <f t="shared" si="379"/>
        <v>1.7466847010810346E-2</v>
      </c>
      <c r="I376" s="3">
        <f t="shared" si="379"/>
        <v>3.1216323111720709E-4</v>
      </c>
      <c r="J376" s="3">
        <f t="shared" si="379"/>
        <v>1.0376575663867387E-21</v>
      </c>
      <c r="K376" s="3">
        <f t="shared" si="379"/>
        <v>1.7091381013606532E-196</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2.9609289886117038E-2</v>
      </c>
      <c r="C377" s="3">
        <f t="shared" si="380"/>
        <v>2.9609279136572332E-2</v>
      </c>
      <c r="D377" s="3">
        <f t="shared" si="380"/>
        <v>2.960917164133994E-2</v>
      </c>
      <c r="E377" s="3">
        <f t="shared" si="380"/>
        <v>2.9608096710479929E-2</v>
      </c>
      <c r="F377" s="3">
        <f t="shared" si="380"/>
        <v>2.9597349547980992E-2</v>
      </c>
      <c r="G377" s="3">
        <f t="shared" si="380"/>
        <v>2.9490092245110608E-2</v>
      </c>
      <c r="H377" s="3">
        <f t="shared" si="380"/>
        <v>2.8438666309790108E-2</v>
      </c>
      <c r="I377" s="3">
        <f t="shared" si="380"/>
        <v>1.978063225858814E-2</v>
      </c>
      <c r="J377" s="3">
        <f t="shared" si="380"/>
        <v>5.2426347970864462E-4</v>
      </c>
      <c r="K377" s="3">
        <f t="shared" si="380"/>
        <v>8.9669339843208373E-20</v>
      </c>
      <c r="L377" s="3">
        <f t="shared" si="380"/>
        <v>1.921266629341259E-177</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2.5103127820579298E-2</v>
      </c>
      <c r="C378" s="3">
        <f t="shared" si="381"/>
        <v>2.5103126998456713E-2</v>
      </c>
      <c r="D378" s="3">
        <f t="shared" si="381"/>
        <v>2.5103118777232359E-2</v>
      </c>
      <c r="E378" s="3">
        <f t="shared" si="381"/>
        <v>2.5103036565136908E-2</v>
      </c>
      <c r="F378" s="3">
        <f t="shared" si="381"/>
        <v>2.5102214458990611E-2</v>
      </c>
      <c r="G378" s="3">
        <f t="shared" si="381"/>
        <v>2.5093994878167866E-2</v>
      </c>
      <c r="H378" s="3">
        <f t="shared" si="381"/>
        <v>2.5011946954707695E-2</v>
      </c>
      <c r="I378" s="3">
        <f t="shared" si="381"/>
        <v>2.4206078557485775E-2</v>
      </c>
      <c r="J378" s="3">
        <f t="shared" si="381"/>
        <v>1.7445918238077281E-2</v>
      </c>
      <c r="K378" s="3">
        <f t="shared" si="381"/>
        <v>6.5976272701624087E-4</v>
      </c>
      <c r="L378" s="3">
        <f t="shared" si="381"/>
        <v>3.9475461432215129E-18</v>
      </c>
      <c r="M378" s="3">
        <f t="shared" si="381"/>
        <v>2.321248312276564E-160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2.9852900555938443E-2</v>
      </c>
      <c r="C379" s="3">
        <f t="shared" si="382"/>
        <v>2.9852900467743866E-2</v>
      </c>
      <c r="D379" s="3">
        <f t="shared" si="382"/>
        <v>2.9852899585798131E-2</v>
      </c>
      <c r="E379" s="3">
        <f t="shared" si="382"/>
        <v>2.9852890766342191E-2</v>
      </c>
      <c r="F379" s="3">
        <f t="shared" si="382"/>
        <v>2.9852802571926105E-2</v>
      </c>
      <c r="G379" s="3">
        <f t="shared" si="382"/>
        <v>2.9851920642095523E-2</v>
      </c>
      <c r="H379" s="3">
        <f t="shared" si="382"/>
        <v>2.9843102776660906E-2</v>
      </c>
      <c r="I379" s="3">
        <f t="shared" si="382"/>
        <v>2.9755067252932983E-2</v>
      </c>
      <c r="J379" s="3">
        <f t="shared" si="382"/>
        <v>2.8888869851087878E-2</v>
      </c>
      <c r="K379" s="3">
        <f t="shared" si="382"/>
        <v>2.1499418500712065E-2</v>
      </c>
      <c r="L379" s="3">
        <f t="shared" si="382"/>
        <v>1.1204392819082597E-3</v>
      </c>
      <c r="M379" s="3">
        <f t="shared" si="382"/>
        <v>1.6557869502045904E-16</v>
      </c>
      <c r="N379" s="3">
        <f t="shared" si="382"/>
        <v>8.225565118596662E-145</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3.2229654463668496E-2</v>
      </c>
      <c r="C380" s="3">
        <f t="shared" si="383"/>
        <v>3.22296544550792E-2</v>
      </c>
      <c r="D380" s="3">
        <f t="shared" si="383"/>
        <v>3.2229654369186241E-2</v>
      </c>
      <c r="E380" s="3">
        <f t="shared" si="383"/>
        <v>3.2229653510256633E-2</v>
      </c>
      <c r="F380" s="3">
        <f t="shared" si="383"/>
        <v>3.2229644920961836E-2</v>
      </c>
      <c r="G380" s="3">
        <f t="shared" si="383"/>
        <v>3.222955902813978E-2</v>
      </c>
      <c r="H380" s="3">
        <f t="shared" si="383"/>
        <v>3.2228700112508987E-2</v>
      </c>
      <c r="I380" s="3">
        <f t="shared" si="383"/>
        <v>3.222011221505286E-2</v>
      </c>
      <c r="J380" s="3">
        <f t="shared" si="383"/>
        <v>3.2134359001633077E-2</v>
      </c>
      <c r="K380" s="3">
        <f t="shared" si="383"/>
        <v>3.1289279852504244E-2</v>
      </c>
      <c r="L380" s="3">
        <f t="shared" si="383"/>
        <v>2.3969271310993391E-2</v>
      </c>
      <c r="M380" s="3">
        <f t="shared" si="383"/>
        <v>1.668197506014281E-3</v>
      </c>
      <c r="N380" s="3">
        <f t="shared" si="383"/>
        <v>4.4480927126266453E-15</v>
      </c>
      <c r="O380" s="3">
        <f t="shared" si="383"/>
        <v>8.0804856369491651E-131</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5.4487827383338086E-2</v>
      </c>
      <c r="C381" s="3">
        <f t="shared" si="384"/>
        <v>5.4487827382028162E-2</v>
      </c>
      <c r="D381" s="3">
        <f t="shared" si="384"/>
        <v>5.4487827368928862E-2</v>
      </c>
      <c r="E381" s="3">
        <f t="shared" si="384"/>
        <v>5.4487827237935882E-2</v>
      </c>
      <c r="F381" s="3">
        <f t="shared" si="384"/>
        <v>5.4487825928006134E-2</v>
      </c>
      <c r="G381" s="3">
        <f t="shared" si="384"/>
        <v>5.4487812828710354E-2</v>
      </c>
      <c r="H381" s="3">
        <f t="shared" si="384"/>
        <v>5.4487681835925818E-2</v>
      </c>
      <c r="I381" s="3">
        <f t="shared" si="384"/>
        <v>5.4486371925400665E-2</v>
      </c>
      <c r="J381" s="3">
        <f t="shared" si="384"/>
        <v>5.4473274552023207E-2</v>
      </c>
      <c r="K381" s="3">
        <f t="shared" si="384"/>
        <v>5.4342473851698922E-2</v>
      </c>
      <c r="L381" s="3">
        <f t="shared" si="384"/>
        <v>5.3051617263467424E-2</v>
      </c>
      <c r="M381" s="3">
        <f t="shared" si="384"/>
        <v>4.1714866195211066E-2</v>
      </c>
      <c r="N381" s="3">
        <f t="shared" si="384"/>
        <v>3.7688870809977678E-3</v>
      </c>
      <c r="O381" s="3">
        <f t="shared" si="384"/>
        <v>1.3659532482701176E-13</v>
      </c>
      <c r="P381" s="3">
        <f t="shared" si="384"/>
        <v>5.341496270066479E-118</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6.3046504540388112E-2</v>
      </c>
      <c r="C382" s="3">
        <f t="shared" si="385"/>
        <v>6.3046504540251375E-2</v>
      </c>
      <c r="D382" s="3">
        <f t="shared" si="385"/>
        <v>6.3046504538884107E-2</v>
      </c>
      <c r="E382" s="3">
        <f t="shared" si="385"/>
        <v>6.3046504525211336E-2</v>
      </c>
      <c r="F382" s="3">
        <f t="shared" si="385"/>
        <v>6.3046504388483762E-2</v>
      </c>
      <c r="G382" s="3">
        <f t="shared" si="385"/>
        <v>6.3046503021207984E-2</v>
      </c>
      <c r="H382" s="3">
        <f t="shared" si="385"/>
        <v>6.3046489348451876E-2</v>
      </c>
      <c r="I382" s="3">
        <f t="shared" si="385"/>
        <v>6.3046352621053792E-2</v>
      </c>
      <c r="J382" s="3">
        <f t="shared" si="385"/>
        <v>6.3044985363381295E-2</v>
      </c>
      <c r="K382" s="3">
        <f t="shared" si="385"/>
        <v>6.3031314417360609E-2</v>
      </c>
      <c r="L382" s="3">
        <f t="shared" si="385"/>
        <v>6.2894767896806383E-2</v>
      </c>
      <c r="M382" s="3">
        <f t="shared" si="385"/>
        <v>6.1545466666945083E-2</v>
      </c>
      <c r="N382" s="3">
        <f t="shared" si="385"/>
        <v>4.9546339251857204E-2</v>
      </c>
      <c r="O382" s="3">
        <f t="shared" si="385"/>
        <v>5.6645654810117832E-3</v>
      </c>
      <c r="P382" s="3">
        <f t="shared" si="385"/>
        <v>2.1613091715361009E-12</v>
      </c>
      <c r="Q382" s="3">
        <f t="shared" si="385"/>
        <v>1.4132527701421959E-106</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6.2829439903480513E-2</v>
      </c>
      <c r="C383" s="3">
        <f t="shared" si="386"/>
        <v>6.2829439903468232E-2</v>
      </c>
      <c r="D383" s="3">
        <f t="shared" si="386"/>
        <v>6.2829439903345316E-2</v>
      </c>
      <c r="E383" s="3">
        <f t="shared" si="386"/>
        <v>6.282943990211616E-2</v>
      </c>
      <c r="F383" s="3">
        <f t="shared" si="386"/>
        <v>6.2829439889824659E-2</v>
      </c>
      <c r="G383" s="3">
        <f t="shared" si="386"/>
        <v>6.2829439766909662E-2</v>
      </c>
      <c r="H383" s="3">
        <f t="shared" si="386"/>
        <v>6.2829438537759671E-2</v>
      </c>
      <c r="I383" s="3">
        <f t="shared" si="386"/>
        <v>6.2829426246260978E-2</v>
      </c>
      <c r="J383" s="3">
        <f t="shared" si="386"/>
        <v>6.2829303331406433E-2</v>
      </c>
      <c r="K383" s="3">
        <f t="shared" si="386"/>
        <v>6.2828074196086228E-2</v>
      </c>
      <c r="L383" s="3">
        <f t="shared" si="386"/>
        <v>6.281578416531923E-2</v>
      </c>
      <c r="M383" s="3">
        <f t="shared" si="386"/>
        <v>6.2693016005481939E-2</v>
      </c>
      <c r="N383" s="3">
        <f t="shared" si="386"/>
        <v>6.1478454034796563E-2</v>
      </c>
      <c r="O383" s="3">
        <f t="shared" si="386"/>
        <v>5.0554600903960661E-2</v>
      </c>
      <c r="P383" s="3">
        <f t="shared" si="386"/>
        <v>7.1472367615155298E-3</v>
      </c>
      <c r="Q383" s="3">
        <f t="shared" si="386"/>
        <v>2.2798852841545015E-11</v>
      </c>
      <c r="R383" s="3">
        <f t="shared" si="386"/>
        <v>2.4869168220353639E-96</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5.5245188990655142E-2</v>
      </c>
      <c r="C384" s="3">
        <f t="shared" si="387"/>
        <v>5.524518899065417E-2</v>
      </c>
      <c r="D384" s="3">
        <f t="shared" si="387"/>
        <v>5.5245188990644421E-2</v>
      </c>
      <c r="E384" s="3">
        <f t="shared" si="387"/>
        <v>5.5245188990546923E-2</v>
      </c>
      <c r="F384" s="3">
        <f t="shared" si="387"/>
        <v>5.5245188989571974E-2</v>
      </c>
      <c r="G384" s="3">
        <f t="shared" si="387"/>
        <v>5.5245188979822467E-2</v>
      </c>
      <c r="H384" s="3">
        <f t="shared" si="387"/>
        <v>5.5245188882327372E-2</v>
      </c>
      <c r="I384" s="3">
        <f t="shared" si="387"/>
        <v>5.5245187907376453E-2</v>
      </c>
      <c r="J384" s="3">
        <f t="shared" si="387"/>
        <v>5.5245178157868224E-2</v>
      </c>
      <c r="K384" s="3">
        <f t="shared" si="387"/>
        <v>5.5245080662880537E-2</v>
      </c>
      <c r="L384" s="3">
        <f t="shared" si="387"/>
        <v>5.524410572246672E-2</v>
      </c>
      <c r="M384" s="3">
        <f t="shared" si="387"/>
        <v>5.523435726457053E-2</v>
      </c>
      <c r="N384" s="3">
        <f t="shared" si="387"/>
        <v>5.5136967248053892E-2</v>
      </c>
      <c r="O384" s="3">
        <f t="shared" si="387"/>
        <v>5.4172461871821606E-2</v>
      </c>
      <c r="P384" s="3">
        <f t="shared" si="387"/>
        <v>4.5408332442780162E-2</v>
      </c>
      <c r="Q384" s="3">
        <f t="shared" si="387"/>
        <v>7.7750888547328681E-3</v>
      </c>
      <c r="R384" s="3">
        <f t="shared" si="387"/>
        <v>1.6842379022210381E-10</v>
      </c>
      <c r="S384" s="3">
        <f t="shared" si="387"/>
        <v>3.8316355390645047E-87</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6.66458846887516E-2</v>
      </c>
      <c r="C385" s="3">
        <f t="shared" si="388"/>
        <v>6.6645884688751489E-2</v>
      </c>
      <c r="D385" s="3">
        <f t="shared" si="388"/>
        <v>6.6645884688750434E-2</v>
      </c>
      <c r="E385" s="3">
        <f t="shared" si="388"/>
        <v>6.6645884688739832E-2</v>
      </c>
      <c r="F385" s="3">
        <f t="shared" si="388"/>
        <v>6.6645884688633736E-2</v>
      </c>
      <c r="G385" s="3">
        <f t="shared" si="388"/>
        <v>6.6645884687572751E-2</v>
      </c>
      <c r="H385" s="3">
        <f t="shared" si="388"/>
        <v>6.6645884676962919E-2</v>
      </c>
      <c r="I385" s="3">
        <f t="shared" si="388"/>
        <v>6.6645884570864664E-2</v>
      </c>
      <c r="J385" s="3">
        <f t="shared" si="388"/>
        <v>6.6645883509882181E-2</v>
      </c>
      <c r="K385" s="3">
        <f t="shared" si="388"/>
        <v>6.6645872900058176E-2</v>
      </c>
      <c r="L385" s="3">
        <f t="shared" si="388"/>
        <v>6.6645766801911116E-2</v>
      </c>
      <c r="M385" s="3">
        <f t="shared" si="388"/>
        <v>6.6644705829730172E-2</v>
      </c>
      <c r="N385" s="3">
        <f t="shared" si="388"/>
        <v>6.663409703683873E-2</v>
      </c>
      <c r="O385" s="3">
        <f t="shared" si="388"/>
        <v>6.6528101945030338E-2</v>
      </c>
      <c r="P385" s="3">
        <f t="shared" si="388"/>
        <v>6.5477380285897446E-2</v>
      </c>
      <c r="Q385" s="3">
        <f t="shared" si="388"/>
        <v>5.5840965121118045E-2</v>
      </c>
      <c r="R385" s="3">
        <f t="shared" si="388"/>
        <v>1.1364991659216133E-2</v>
      </c>
      <c r="S385" s="3">
        <f t="shared" si="388"/>
        <v>1.385897709641701E-9</v>
      </c>
      <c r="T385" s="3">
        <f t="shared" si="388"/>
        <v>1.0077475110051071E-78</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2.5869055396656026E-2</v>
      </c>
      <c r="C386" s="3">
        <f t="shared" si="389"/>
        <v>2.5869055396656022E-2</v>
      </c>
      <c r="D386" s="3">
        <f t="shared" si="389"/>
        <v>2.5869055396655984E-2</v>
      </c>
      <c r="E386" s="3">
        <f t="shared" si="389"/>
        <v>2.5869055396655613E-2</v>
      </c>
      <c r="F386" s="3">
        <f t="shared" si="389"/>
        <v>2.5869055396651897E-2</v>
      </c>
      <c r="G386" s="3">
        <f t="shared" si="389"/>
        <v>2.586905539661475E-2</v>
      </c>
      <c r="H386" s="3">
        <f t="shared" si="389"/>
        <v>2.5869055396243245E-2</v>
      </c>
      <c r="I386" s="3">
        <f t="shared" si="389"/>
        <v>2.5869055392528217E-2</v>
      </c>
      <c r="J386" s="3">
        <f t="shared" si="389"/>
        <v>2.5869055355377944E-2</v>
      </c>
      <c r="K386" s="3">
        <f t="shared" si="389"/>
        <v>2.5869054983875182E-2</v>
      </c>
      <c r="L386" s="3">
        <f t="shared" si="389"/>
        <v>2.5869051268847896E-2</v>
      </c>
      <c r="M386" s="3">
        <f t="shared" si="389"/>
        <v>2.5869014118604362E-2</v>
      </c>
      <c r="N386" s="3">
        <f t="shared" si="389"/>
        <v>2.5868642619103318E-2</v>
      </c>
      <c r="O386" s="3">
        <f t="shared" si="389"/>
        <v>2.5864927917506678E-2</v>
      </c>
      <c r="P386" s="3">
        <f t="shared" si="389"/>
        <v>2.5827810227338016E-2</v>
      </c>
      <c r="Q386" s="3">
        <f t="shared" si="389"/>
        <v>2.5459550382747408E-2</v>
      </c>
      <c r="R386" s="3">
        <f t="shared" si="389"/>
        <v>2.20537354041935E-2</v>
      </c>
      <c r="S386" s="3">
        <f t="shared" si="389"/>
        <v>5.2456155676467078E-3</v>
      </c>
      <c r="T386" s="3">
        <f t="shared" si="389"/>
        <v>3.040461145555028E-9</v>
      </c>
      <c r="U386" s="3">
        <f t="shared" si="389"/>
        <v>1.3012760639311127E-71</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4.8591449840458205E-2</v>
      </c>
      <c r="C387" s="3">
        <f t="shared" si="390"/>
        <v>4.8591449840458205E-2</v>
      </c>
      <c r="D387" s="3">
        <f t="shared" si="390"/>
        <v>4.8591449840458184E-2</v>
      </c>
      <c r="E387" s="3">
        <f t="shared" si="390"/>
        <v>4.859144984045799E-2</v>
      </c>
      <c r="F387" s="3">
        <f t="shared" si="390"/>
        <v>4.8591449840456061E-2</v>
      </c>
      <c r="G387" s="3">
        <f t="shared" si="390"/>
        <v>4.8591449840436764E-2</v>
      </c>
      <c r="H387" s="3">
        <f t="shared" si="390"/>
        <v>4.8591449840243765E-2</v>
      </c>
      <c r="I387" s="3">
        <f t="shared" si="390"/>
        <v>4.8591449838313774E-2</v>
      </c>
      <c r="J387" s="3">
        <f t="shared" si="390"/>
        <v>4.8591449819013914E-2</v>
      </c>
      <c r="K387" s="3">
        <f t="shared" si="390"/>
        <v>4.8591449626015297E-2</v>
      </c>
      <c r="L387" s="3">
        <f t="shared" si="390"/>
        <v>4.8591447696029189E-2</v>
      </c>
      <c r="M387" s="3">
        <f t="shared" si="390"/>
        <v>4.8591428396172275E-2</v>
      </c>
      <c r="N387" s="3">
        <f t="shared" si="390"/>
        <v>4.8591235398024755E-2</v>
      </c>
      <c r="O387" s="3">
        <f t="shared" si="390"/>
        <v>4.8589305458709958E-2</v>
      </c>
      <c r="P387" s="3">
        <f t="shared" si="390"/>
        <v>4.8570010280976648E-2</v>
      </c>
      <c r="Q387" s="3">
        <f t="shared" si="390"/>
        <v>4.8377479426280956E-2</v>
      </c>
      <c r="R387" s="3">
        <f t="shared" si="390"/>
        <v>4.6493651076475809E-2</v>
      </c>
      <c r="S387" s="3">
        <f t="shared" si="390"/>
        <v>3.1253438334467205E-2</v>
      </c>
      <c r="T387" s="3">
        <f t="shared" si="390"/>
        <v>5.8876137829038094E-4</v>
      </c>
      <c r="U387" s="3">
        <f t="shared" si="390"/>
        <v>3.3140145894351077E-21</v>
      </c>
      <c r="V387" s="3">
        <f t="shared" si="390"/>
        <v>1.0580481761850776E-193</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2.853497416803049E-2</v>
      </c>
      <c r="C388" s="3">
        <f t="shared" si="391"/>
        <v>2.853497416803049E-2</v>
      </c>
      <c r="D388" s="3">
        <f t="shared" si="391"/>
        <v>2.853497416803049E-2</v>
      </c>
      <c r="E388" s="3">
        <f t="shared" si="391"/>
        <v>2.8534974168030476E-2</v>
      </c>
      <c r="F388" s="3">
        <f t="shared" si="391"/>
        <v>2.8534974168030362E-2</v>
      </c>
      <c r="G388" s="3">
        <f t="shared" si="391"/>
        <v>2.8534974168029231E-2</v>
      </c>
      <c r="H388" s="3">
        <f t="shared" si="391"/>
        <v>2.8534974168017896E-2</v>
      </c>
      <c r="I388" s="3">
        <f t="shared" si="391"/>
        <v>2.8534974167904563E-2</v>
      </c>
      <c r="J388" s="3">
        <f t="shared" si="391"/>
        <v>2.8534974166771188E-2</v>
      </c>
      <c r="K388" s="3">
        <f t="shared" si="391"/>
        <v>2.8534974155437487E-2</v>
      </c>
      <c r="L388" s="3">
        <f t="shared" si="391"/>
        <v>2.8534974042100456E-2</v>
      </c>
      <c r="M388" s="3">
        <f t="shared" si="391"/>
        <v>2.8534972908730204E-2</v>
      </c>
      <c r="N388" s="3">
        <f t="shared" si="391"/>
        <v>2.8534961575030136E-2</v>
      </c>
      <c r="O388" s="3">
        <f t="shared" si="391"/>
        <v>2.8534848238277025E-2</v>
      </c>
      <c r="P388" s="3">
        <f t="shared" si="391"/>
        <v>2.8533714895504284E-2</v>
      </c>
      <c r="Q388" s="3">
        <f t="shared" si="391"/>
        <v>2.8522383943248377E-2</v>
      </c>
      <c r="R388" s="3">
        <f t="shared" si="391"/>
        <v>2.8409321604435094E-2</v>
      </c>
      <c r="S388" s="3">
        <f t="shared" si="391"/>
        <v>2.7303057159245896E-2</v>
      </c>
      <c r="T388" s="3">
        <f t="shared" si="391"/>
        <v>1.8353353490465556E-2</v>
      </c>
      <c r="U388" s="3">
        <f t="shared" si="391"/>
        <v>3.4574582104075828E-4</v>
      </c>
      <c r="V388" s="3">
        <f t="shared" si="391"/>
        <v>1.9461308730753286E-21</v>
      </c>
      <c r="W388" s="3">
        <f t="shared" si="391"/>
        <v>6.2133106699020589E-194</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1.8710063230340357E-2</v>
      </c>
      <c r="C389" s="3">
        <f t="shared" si="392"/>
        <v>1.8710063230340357E-2</v>
      </c>
      <c r="D389" s="3">
        <f t="shared" si="392"/>
        <v>1.8710063230340357E-2</v>
      </c>
      <c r="E389" s="3">
        <f t="shared" si="392"/>
        <v>1.8710063230340357E-2</v>
      </c>
      <c r="F389" s="3">
        <f t="shared" si="392"/>
        <v>1.871006323034035E-2</v>
      </c>
      <c r="G389" s="3">
        <f t="shared" si="392"/>
        <v>1.8710063230340274E-2</v>
      </c>
      <c r="H389" s="3">
        <f t="shared" si="392"/>
        <v>1.8710063230339531E-2</v>
      </c>
      <c r="I389" s="3">
        <f t="shared" si="392"/>
        <v>1.87100632303321E-2</v>
      </c>
      <c r="J389" s="3">
        <f t="shared" si="392"/>
        <v>1.8710063230257788E-2</v>
      </c>
      <c r="K389" s="3">
        <f t="shared" si="392"/>
        <v>1.8710063229514649E-2</v>
      </c>
      <c r="L389" s="3">
        <f t="shared" si="392"/>
        <v>1.8710063222083264E-2</v>
      </c>
      <c r="M389" s="3">
        <f t="shared" si="392"/>
        <v>1.8710063147769445E-2</v>
      </c>
      <c r="N389" s="3">
        <f t="shared" si="392"/>
        <v>1.8710062404631252E-2</v>
      </c>
      <c r="O389" s="3">
        <f t="shared" si="392"/>
        <v>1.8710054973250952E-2</v>
      </c>
      <c r="P389" s="3">
        <f t="shared" si="392"/>
        <v>1.8709980659610274E-2</v>
      </c>
      <c r="Q389" s="3">
        <f t="shared" si="392"/>
        <v>1.8709237539437297E-2</v>
      </c>
      <c r="R389" s="3">
        <f t="shared" si="392"/>
        <v>1.8701807960846493E-2</v>
      </c>
      <c r="S389" s="3">
        <f t="shared" si="392"/>
        <v>1.8627674250554345E-2</v>
      </c>
      <c r="T389" s="3">
        <f t="shared" si="392"/>
        <v>1.7902309033922859E-2</v>
      </c>
      <c r="U389" s="3">
        <f t="shared" si="392"/>
        <v>1.2034088493415297E-2</v>
      </c>
      <c r="V389" s="3">
        <f t="shared" si="392"/>
        <v>2.2670166565442594E-4</v>
      </c>
      <c r="W389" s="3">
        <f t="shared" si="392"/>
        <v>1.2760562345471395E-21</v>
      </c>
      <c r="X389" s="3">
        <f t="shared" si="392"/>
        <v>4.0739982738046298E-194</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7.6798609611155137E-3</v>
      </c>
      <c r="C390" s="3">
        <f t="shared" si="393"/>
        <v>7.6798609611155137E-3</v>
      </c>
      <c r="D390" s="3">
        <f t="shared" si="393"/>
        <v>7.6798609611155137E-3</v>
      </c>
      <c r="E390" s="3">
        <f t="shared" si="393"/>
        <v>7.6798609611155137E-3</v>
      </c>
      <c r="F390" s="3">
        <f t="shared" si="393"/>
        <v>7.6798609611155137E-3</v>
      </c>
      <c r="G390" s="3">
        <f t="shared" si="393"/>
        <v>7.6798609611155103E-3</v>
      </c>
      <c r="H390" s="3">
        <f t="shared" si="393"/>
        <v>7.6798609611154799E-3</v>
      </c>
      <c r="I390" s="3">
        <f t="shared" si="393"/>
        <v>7.6798609611151746E-3</v>
      </c>
      <c r="J390" s="3">
        <f t="shared" si="393"/>
        <v>7.6798609611121241E-3</v>
      </c>
      <c r="K390" s="3">
        <f t="shared" si="393"/>
        <v>7.6798609610816216E-3</v>
      </c>
      <c r="L390" s="3">
        <f t="shared" si="393"/>
        <v>7.6798609607765878E-3</v>
      </c>
      <c r="M390" s="3">
        <f t="shared" si="393"/>
        <v>7.6798609577262509E-3</v>
      </c>
      <c r="N390" s="3">
        <f t="shared" si="393"/>
        <v>7.6798609272228898E-3</v>
      </c>
      <c r="O390" s="3">
        <f t="shared" si="393"/>
        <v>7.6798606221892881E-3</v>
      </c>
      <c r="P390" s="3">
        <f t="shared" si="393"/>
        <v>7.6798575718539279E-3</v>
      </c>
      <c r="Q390" s="3">
        <f t="shared" si="393"/>
        <v>7.6798270685669596E-3</v>
      </c>
      <c r="R390" s="3">
        <f t="shared" si="393"/>
        <v>7.6795220423607089E-3</v>
      </c>
      <c r="S390" s="3">
        <f t="shared" si="393"/>
        <v>7.6764724465429599E-3</v>
      </c>
      <c r="T390" s="3">
        <f t="shared" si="393"/>
        <v>7.6460430150351033E-3</v>
      </c>
      <c r="U390" s="3">
        <f t="shared" si="393"/>
        <v>7.3483046300185442E-3</v>
      </c>
      <c r="V390" s="3">
        <f t="shared" si="393"/>
        <v>4.9395945532306109E-3</v>
      </c>
      <c r="W390" s="3">
        <f t="shared" si="393"/>
        <v>9.3053521543209449E-5</v>
      </c>
      <c r="X390" s="3">
        <f t="shared" si="393"/>
        <v>5.2377879963521464E-22</v>
      </c>
      <c r="Y390" s="3">
        <f t="shared" si="393"/>
        <v>1.6722412914087736E-194</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4.1102249961922147E-3</v>
      </c>
      <c r="C391" s="3">
        <f t="shared" si="394"/>
        <v>4.1102249961922147E-3</v>
      </c>
      <c r="D391" s="3">
        <f t="shared" si="394"/>
        <v>4.1102249961922147E-3</v>
      </c>
      <c r="E391" s="3">
        <f t="shared" si="394"/>
        <v>4.1102249961922147E-3</v>
      </c>
      <c r="F391" s="3">
        <f t="shared" si="394"/>
        <v>4.1102249961922147E-3</v>
      </c>
      <c r="G391" s="3">
        <f t="shared" si="394"/>
        <v>4.1102249961922147E-3</v>
      </c>
      <c r="H391" s="3">
        <f t="shared" si="394"/>
        <v>4.1102249961922129E-3</v>
      </c>
      <c r="I391" s="3">
        <f t="shared" si="394"/>
        <v>4.1102249961921964E-3</v>
      </c>
      <c r="J391" s="3">
        <f t="shared" si="394"/>
        <v>4.1102249961920334E-3</v>
      </c>
      <c r="K391" s="3">
        <f t="shared" si="394"/>
        <v>4.110224996190401E-3</v>
      </c>
      <c r="L391" s="3">
        <f t="shared" si="394"/>
        <v>4.1102249961740755E-3</v>
      </c>
      <c r="M391" s="3">
        <f t="shared" si="394"/>
        <v>4.1102249960108233E-3</v>
      </c>
      <c r="N391" s="3">
        <f t="shared" si="394"/>
        <v>4.1102249943782976E-3</v>
      </c>
      <c r="O391" s="3">
        <f t="shared" si="394"/>
        <v>4.1102249780530439E-3</v>
      </c>
      <c r="P391" s="3">
        <f t="shared" si="394"/>
        <v>4.1102248148005135E-3</v>
      </c>
      <c r="Q391" s="3">
        <f t="shared" si="394"/>
        <v>4.1102231822755615E-3</v>
      </c>
      <c r="R391" s="3">
        <f t="shared" si="394"/>
        <v>4.1102068570617071E-3</v>
      </c>
      <c r="S391" s="3">
        <f t="shared" si="394"/>
        <v>4.1100436084893993E-3</v>
      </c>
      <c r="T391" s="3">
        <f t="shared" si="394"/>
        <v>4.1084114793373408E-3</v>
      </c>
      <c r="U391" s="3">
        <f t="shared" si="394"/>
        <v>4.0921257925733779E-3</v>
      </c>
      <c r="V391" s="3">
        <f t="shared" si="394"/>
        <v>3.9327776274676379E-3</v>
      </c>
      <c r="W391" s="3">
        <f t="shared" si="394"/>
        <v>2.6436474705128447E-3</v>
      </c>
      <c r="X391" s="3">
        <f t="shared" si="394"/>
        <v>4.9801801382489563E-5</v>
      </c>
      <c r="Y391" s="3">
        <f t="shared" si="394"/>
        <v>2.8032391805482733E-22</v>
      </c>
      <c r="Z391" s="3">
        <f t="shared" si="394"/>
        <v>8.9497557187737578E-195</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3.1066969837399792E-3</v>
      </c>
      <c r="C392" s="3">
        <f t="shared" si="395"/>
        <v>3.1066969837399792E-3</v>
      </c>
      <c r="D392" s="3">
        <f t="shared" si="395"/>
        <v>3.1066969837399792E-3</v>
      </c>
      <c r="E392" s="3">
        <f t="shared" si="395"/>
        <v>3.1066969837399792E-3</v>
      </c>
      <c r="F392" s="3">
        <f t="shared" si="395"/>
        <v>3.1066969837399792E-3</v>
      </c>
      <c r="G392" s="3">
        <f t="shared" si="395"/>
        <v>3.1066969837399792E-3</v>
      </c>
      <c r="H392" s="3">
        <f t="shared" si="395"/>
        <v>3.1066969837399792E-3</v>
      </c>
      <c r="I392" s="3">
        <f t="shared" si="395"/>
        <v>3.1066969837399779E-3</v>
      </c>
      <c r="J392" s="3">
        <f t="shared" si="395"/>
        <v>3.1066969837399653E-3</v>
      </c>
      <c r="K392" s="3">
        <f t="shared" si="395"/>
        <v>3.1066969837398417E-3</v>
      </c>
      <c r="L392" s="3">
        <f t="shared" si="395"/>
        <v>3.1066969837386083E-3</v>
      </c>
      <c r="M392" s="3">
        <f t="shared" si="395"/>
        <v>3.1066969837262688E-3</v>
      </c>
      <c r="N392" s="3">
        <f t="shared" si="395"/>
        <v>3.1066969836028749E-3</v>
      </c>
      <c r="O392" s="3">
        <f t="shared" si="395"/>
        <v>3.1066969823689374E-3</v>
      </c>
      <c r="P392" s="3">
        <f t="shared" si="395"/>
        <v>3.1066969700295601E-3</v>
      </c>
      <c r="Q392" s="3">
        <f t="shared" si="395"/>
        <v>3.1066968466357935E-3</v>
      </c>
      <c r="R392" s="3">
        <f t="shared" si="395"/>
        <v>3.1066956126983942E-3</v>
      </c>
      <c r="S392" s="3">
        <f t="shared" si="395"/>
        <v>3.106683273351354E-3</v>
      </c>
      <c r="T392" s="3">
        <f t="shared" si="395"/>
        <v>3.1065598825764794E-3</v>
      </c>
      <c r="U392" s="3">
        <f t="shared" si="395"/>
        <v>3.1053262443405017E-3</v>
      </c>
      <c r="V392" s="3">
        <f t="shared" si="395"/>
        <v>3.0930167736923963E-3</v>
      </c>
      <c r="W392" s="3">
        <f t="shared" si="395"/>
        <v>2.9725741058683418E-3</v>
      </c>
      <c r="X392" s="3">
        <f t="shared" si="395"/>
        <v>1.9981902767665419E-3</v>
      </c>
      <c r="Y392" s="3">
        <f t="shared" si="395"/>
        <v>3.76424906867951E-5</v>
      </c>
      <c r="Z392" s="3">
        <f t="shared" si="395"/>
        <v>2.1188170270433013E-22</v>
      </c>
      <c r="AA392" s="3">
        <f t="shared" si="395"/>
        <v>6.7646367589322602E-195</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9.6514726179013565E-4</v>
      </c>
      <c r="C393" s="3">
        <f t="shared" si="396"/>
        <v>9.6514726179013565E-4</v>
      </c>
      <c r="D393" s="3">
        <f t="shared" si="396"/>
        <v>9.6514726179013565E-4</v>
      </c>
      <c r="E393" s="3">
        <f t="shared" si="396"/>
        <v>9.6514726179013565E-4</v>
      </c>
      <c r="F393" s="3">
        <f t="shared" si="396"/>
        <v>9.6514726179013565E-4</v>
      </c>
      <c r="G393" s="3">
        <f t="shared" si="396"/>
        <v>9.6514726179013565E-4</v>
      </c>
      <c r="H393" s="3">
        <f t="shared" si="396"/>
        <v>9.6514726179013565E-4</v>
      </c>
      <c r="I393" s="3">
        <f t="shared" si="396"/>
        <v>9.6514726179013565E-4</v>
      </c>
      <c r="J393" s="3">
        <f t="shared" si="396"/>
        <v>9.6514726179013522E-4</v>
      </c>
      <c r="K393" s="3">
        <f t="shared" si="396"/>
        <v>9.6514726179013131E-4</v>
      </c>
      <c r="L393" s="3">
        <f t="shared" si="396"/>
        <v>9.6514726179009304E-4</v>
      </c>
      <c r="M393" s="3">
        <f t="shared" si="396"/>
        <v>9.6514726178970967E-4</v>
      </c>
      <c r="N393" s="3">
        <f t="shared" si="396"/>
        <v>9.6514726178587636E-4</v>
      </c>
      <c r="O393" s="3">
        <f t="shared" si="396"/>
        <v>9.6514726174754201E-4</v>
      </c>
      <c r="P393" s="3">
        <f t="shared" si="396"/>
        <v>9.6514726136419859E-4</v>
      </c>
      <c r="Q393" s="3">
        <f t="shared" si="396"/>
        <v>9.6514725753076523E-4</v>
      </c>
      <c r="R393" s="3">
        <f t="shared" si="396"/>
        <v>9.6514721919643235E-4</v>
      </c>
      <c r="S393" s="3">
        <f t="shared" si="396"/>
        <v>9.6514683585318761E-4</v>
      </c>
      <c r="T393" s="3">
        <f t="shared" si="396"/>
        <v>9.6514300242911367E-4</v>
      </c>
      <c r="U393" s="3">
        <f t="shared" si="396"/>
        <v>9.6510466902578415E-4</v>
      </c>
      <c r="V393" s="3">
        <f t="shared" si="396"/>
        <v>9.6472141872112763E-4</v>
      </c>
      <c r="W393" s="3">
        <f t="shared" si="396"/>
        <v>9.6089727624689043E-4</v>
      </c>
      <c r="X393" s="3">
        <f t="shared" si="396"/>
        <v>9.2347975156987984E-4</v>
      </c>
      <c r="Y393" s="3">
        <f t="shared" si="396"/>
        <v>6.2077115478292638E-4</v>
      </c>
      <c r="Z393" s="3">
        <f t="shared" si="396"/>
        <v>1.169426790043252E-5</v>
      </c>
      <c r="AA393" s="3">
        <f t="shared" si="396"/>
        <v>6.5824586774579222E-23</v>
      </c>
      <c r="AB393" s="3">
        <f t="shared" si="396"/>
        <v>2.1015472957483695E-195</v>
      </c>
      <c r="AC393" s="3">
        <f t="shared" si="396"/>
        <v>0</v>
      </c>
      <c r="AD393" s="3">
        <f t="shared" si="396"/>
        <v>0</v>
      </c>
      <c r="AE393" s="3">
        <f t="shared" si="396"/>
        <v>0</v>
      </c>
      <c r="AF393" s="3">
        <f t="shared" si="396"/>
        <v>0</v>
      </c>
      <c r="AG393" s="3"/>
      <c r="AH393" s="3"/>
    </row>
    <row r="394" spans="1:34" x14ac:dyDescent="0.25">
      <c r="B394" s="3">
        <f t="shared" ref="B394:AF394" si="397">$C46*EXP(-B$363/$A46/EXP(-$H$126))</f>
        <v>1.0056328677851901E-3</v>
      </c>
      <c r="C394" s="3">
        <f t="shared" si="397"/>
        <v>1.0056328677851901E-3</v>
      </c>
      <c r="D394" s="3">
        <f t="shared" si="397"/>
        <v>1.0056328677851901E-3</v>
      </c>
      <c r="E394" s="3">
        <f t="shared" si="397"/>
        <v>1.0056328677851901E-3</v>
      </c>
      <c r="F394" s="3">
        <f t="shared" si="397"/>
        <v>1.0056328677851901E-3</v>
      </c>
      <c r="G394" s="3">
        <f t="shared" si="397"/>
        <v>1.0056328677851901E-3</v>
      </c>
      <c r="H394" s="3">
        <f t="shared" si="397"/>
        <v>1.0056328677851901E-3</v>
      </c>
      <c r="I394" s="3">
        <f t="shared" si="397"/>
        <v>1.0056328677851901E-3</v>
      </c>
      <c r="J394" s="3">
        <f t="shared" si="397"/>
        <v>1.0056328677851901E-3</v>
      </c>
      <c r="K394" s="3">
        <f t="shared" si="397"/>
        <v>1.0056328677851896E-3</v>
      </c>
      <c r="L394" s="3">
        <f t="shared" si="397"/>
        <v>1.0056328677851855E-3</v>
      </c>
      <c r="M394" s="3">
        <f t="shared" si="397"/>
        <v>1.0056328677851456E-3</v>
      </c>
      <c r="N394" s="3">
        <f t="shared" si="397"/>
        <v>1.0056328677847462E-3</v>
      </c>
      <c r="O394" s="3">
        <f t="shared" si="397"/>
        <v>1.005632867780752E-3</v>
      </c>
      <c r="P394" s="3">
        <f t="shared" si="397"/>
        <v>1.0056328677408098E-3</v>
      </c>
      <c r="Q394" s="3">
        <f t="shared" si="397"/>
        <v>1.005632867341386E-3</v>
      </c>
      <c r="R394" s="3">
        <f t="shared" si="397"/>
        <v>1.0056328633471492E-3</v>
      </c>
      <c r="S394" s="3">
        <f t="shared" si="397"/>
        <v>1.0056328234047834E-3</v>
      </c>
      <c r="T394" s="3">
        <f t="shared" si="397"/>
        <v>1.0056324239812117E-3</v>
      </c>
      <c r="U394" s="3">
        <f t="shared" si="397"/>
        <v>1.0056284297542189E-3</v>
      </c>
      <c r="V394" s="3">
        <f t="shared" si="397"/>
        <v>1.0055884883568298E-3</v>
      </c>
      <c r="W394" s="3">
        <f t="shared" si="397"/>
        <v>1.0051891616237917E-3</v>
      </c>
      <c r="X394" s="3">
        <f t="shared" si="397"/>
        <v>1.0012046055716372E-3</v>
      </c>
      <c r="Y394" s="3">
        <f t="shared" si="397"/>
        <v>9.6221750574132417E-4</v>
      </c>
      <c r="Z394" s="3">
        <f t="shared" si="397"/>
        <v>6.4681101147694175E-4</v>
      </c>
      <c r="AA394" s="3">
        <f t="shared" si="397"/>
        <v>1.2184814308593466E-5</v>
      </c>
      <c r="AB394" s="3">
        <f t="shared" si="397"/>
        <v>6.8585769850413672E-23</v>
      </c>
      <c r="AC394" s="3">
        <f t="shared" si="397"/>
        <v>2.1897021495867685E-195</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2.1809087047795134E-2</v>
      </c>
      <c r="C396" s="3">
        <f t="shared" si="399"/>
        <v>2.1809087047795134E-2</v>
      </c>
      <c r="D396" s="3">
        <f t="shared" si="399"/>
        <v>2.1809087047795134E-2</v>
      </c>
      <c r="E396" s="3">
        <f t="shared" si="399"/>
        <v>2.1809087047795134E-2</v>
      </c>
      <c r="F396" s="3">
        <f t="shared" si="399"/>
        <v>2.1809087047795134E-2</v>
      </c>
      <c r="G396" s="3">
        <f t="shared" si="399"/>
        <v>2.1809087047795134E-2</v>
      </c>
      <c r="H396" s="3">
        <f t="shared" si="399"/>
        <v>2.1809087047795134E-2</v>
      </c>
      <c r="I396" s="3">
        <f t="shared" si="399"/>
        <v>2.1809087047795134E-2</v>
      </c>
      <c r="J396" s="3">
        <f t="shared" si="399"/>
        <v>2.1809087047795134E-2</v>
      </c>
      <c r="K396" s="3">
        <f t="shared" si="399"/>
        <v>2.1809087047795134E-2</v>
      </c>
      <c r="L396" s="3">
        <f t="shared" si="399"/>
        <v>2.1809087047795134E-2</v>
      </c>
      <c r="M396" s="3">
        <f t="shared" si="399"/>
        <v>2.1809087047795123E-2</v>
      </c>
      <c r="N396" s="3">
        <f t="shared" si="399"/>
        <v>2.1809087047795037E-2</v>
      </c>
      <c r="O396" s="3">
        <f t="shared" si="399"/>
        <v>2.1809087047794169E-2</v>
      </c>
      <c r="P396" s="3">
        <f t="shared" si="399"/>
        <v>2.1809087047785509E-2</v>
      </c>
      <c r="Q396" s="3">
        <f t="shared" si="399"/>
        <v>2.1809087047698888E-2</v>
      </c>
      <c r="R396" s="3">
        <f t="shared" si="399"/>
        <v>2.1809087046832661E-2</v>
      </c>
      <c r="S396" s="3">
        <f t="shared" si="399"/>
        <v>2.1809087038170388E-2</v>
      </c>
      <c r="T396" s="3">
        <f t="shared" si="399"/>
        <v>2.1809086951547665E-2</v>
      </c>
      <c r="U396" s="3">
        <f t="shared" si="399"/>
        <v>2.1809086085320475E-2</v>
      </c>
      <c r="V396" s="3">
        <f t="shared" si="399"/>
        <v>2.1809077423050452E-2</v>
      </c>
      <c r="W396" s="3">
        <f t="shared" si="399"/>
        <v>2.180899080053943E-2</v>
      </c>
      <c r="X396" s="3">
        <f t="shared" si="399"/>
        <v>2.1808124594351889E-2</v>
      </c>
      <c r="Y396" s="3">
        <f t="shared" si="399"/>
        <v>2.1799464424462536E-2</v>
      </c>
      <c r="Z396" s="3">
        <f t="shared" si="399"/>
        <v>2.1713051646427894E-2</v>
      </c>
      <c r="AA396" s="3">
        <f t="shared" si="399"/>
        <v>2.0867541240813352E-2</v>
      </c>
      <c r="AB396" s="3">
        <f t="shared" si="399"/>
        <v>1.4027343481563943E-2</v>
      </c>
      <c r="AC396" s="3">
        <f t="shared" si="399"/>
        <v>2.6425118393614237E-4</v>
      </c>
      <c r="AD396" s="3">
        <f t="shared" si="399"/>
        <v>1.4874146150394383E-21</v>
      </c>
      <c r="AE396" s="3">
        <f t="shared" si="399"/>
        <v>4.7487911661299075E-194</v>
      </c>
      <c r="AF396" s="3">
        <f t="shared" si="399"/>
        <v>0</v>
      </c>
      <c r="AG396" s="3"/>
      <c r="AH396" s="3"/>
    </row>
    <row r="397" spans="1:34" x14ac:dyDescent="0.25">
      <c r="A397" s="79">
        <f>AVERAGE(B397:AF397)</f>
        <v>1.6471450904645361E-2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4.2067497148674797E-2</v>
      </c>
      <c r="M397" s="80">
        <f t="shared" si="400"/>
        <v>3.7853093467151537E-2</v>
      </c>
      <c r="N397" s="80">
        <f t="shared" si="400"/>
        <v>5.7549342079224542E-3</v>
      </c>
      <c r="O397" s="80">
        <f t="shared" si="400"/>
        <v>3.818883963185421E-2</v>
      </c>
      <c r="P397" s="80">
        <f t="shared" si="400"/>
        <v>6.2005051962776281E-2</v>
      </c>
      <c r="Q397" s="80">
        <f t="shared" si="400"/>
        <v>3.7394467576273474E-2</v>
      </c>
      <c r="R397" s="80">
        <f t="shared" si="400"/>
        <v>1.5093278406156655E-2</v>
      </c>
      <c r="S397" s="80">
        <f t="shared" si="400"/>
        <v>0.10302688892631595</v>
      </c>
      <c r="T397" s="80">
        <f t="shared" si="400"/>
        <v>8.027783239762222E-2</v>
      </c>
      <c r="U397" s="80">
        <f t="shared" si="400"/>
        <v>6.1641551120983844E-2</v>
      </c>
      <c r="V397" s="80">
        <f t="shared" si="400"/>
        <v>2.7311543198274744E-2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30337.033226392625</v>
      </c>
      <c r="C398" s="21">
        <f t="shared" ref="C398:AF398" si="401">(C365-C364)^2</f>
        <v>63427.252088640533</v>
      </c>
      <c r="D398" s="21">
        <f t="shared" si="401"/>
        <v>82897.39929868991</v>
      </c>
      <c r="E398" s="21">
        <f t="shared" si="401"/>
        <v>91000.277616942098</v>
      </c>
      <c r="F398" s="21">
        <f t="shared" si="401"/>
        <v>76921.385939275206</v>
      </c>
      <c r="G398" s="21">
        <f t="shared" si="401"/>
        <v>51344.085870674229</v>
      </c>
      <c r="H398" s="21">
        <f t="shared" si="401"/>
        <v>53251.960984659214</v>
      </c>
      <c r="I398" s="21">
        <f t="shared" si="401"/>
        <v>46367.919892436541</v>
      </c>
      <c r="J398" s="21">
        <f t="shared" si="401"/>
        <v>44983.195656606906</v>
      </c>
      <c r="K398" s="21">
        <f t="shared" si="401"/>
        <v>41679.674823519963</v>
      </c>
      <c r="L398" s="21">
        <f t="shared" si="401"/>
        <v>49342.531621234353</v>
      </c>
      <c r="M398" s="21">
        <f t="shared" si="401"/>
        <v>34765.922723738258</v>
      </c>
      <c r="N398" s="21">
        <f t="shared" si="401"/>
        <v>675.5073623921927</v>
      </c>
      <c r="O398" s="21">
        <f t="shared" si="401"/>
        <v>23976.913397517721</v>
      </c>
      <c r="P398" s="21">
        <f t="shared" si="401"/>
        <v>46586.07646817014</v>
      </c>
      <c r="Q398" s="21">
        <f t="shared" si="401"/>
        <v>10782.339183864467</v>
      </c>
      <c r="R398" s="21">
        <f t="shared" si="401"/>
        <v>930.9823742190523</v>
      </c>
      <c r="S398" s="21">
        <f t="shared" si="401"/>
        <v>21554.910145878577</v>
      </c>
      <c r="T398" s="21">
        <f t="shared" si="401"/>
        <v>6448.5840909870803</v>
      </c>
      <c r="U398" s="21">
        <f t="shared" si="401"/>
        <v>2232.5722435952162</v>
      </c>
      <c r="V398" s="21">
        <f t="shared" si="401"/>
        <v>303.34083352852622</v>
      </c>
      <c r="W398" s="21">
        <f t="shared" si="401"/>
        <v>19.762927692809342</v>
      </c>
      <c r="X398" s="21">
        <f t="shared" si="401"/>
        <v>21.091397151952101</v>
      </c>
      <c r="Y398" s="21">
        <f t="shared" si="401"/>
        <v>6.7164659795706447E-3</v>
      </c>
      <c r="Z398" s="21">
        <f t="shared" si="401"/>
        <v>0.45388713265852731</v>
      </c>
      <c r="AA398" s="21">
        <f t="shared" si="401"/>
        <v>145.22424670889382</v>
      </c>
      <c r="AB398" s="21">
        <f t="shared" si="401"/>
        <v>2779.5592443720361</v>
      </c>
      <c r="AC398" s="21">
        <f t="shared" si="401"/>
        <v>39517.037395742474</v>
      </c>
      <c r="AD398" s="21">
        <f t="shared" si="401"/>
        <v>40519.012065713629</v>
      </c>
      <c r="AE398" s="21">
        <f t="shared" si="401"/>
        <v>39737.538532038321</v>
      </c>
      <c r="AF398" s="21">
        <f t="shared" si="401"/>
        <v>39358.966125381739</v>
      </c>
      <c r="AG398" s="3"/>
      <c r="AH398" s="3"/>
    </row>
    <row r="399" spans="1:34" x14ac:dyDescent="0.25">
      <c r="A399" s="71">
        <f>SUM(B399:AF399)</f>
        <v>197599.68044512559</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49342.531621234353</v>
      </c>
      <c r="M399" s="60">
        <f t="shared" ref="M399" si="412">IF($A$64&lt;=M363,IF($B$64&gt;=M363,ABS(M398),0),0)</f>
        <v>34765.922723738258</v>
      </c>
      <c r="N399" s="60">
        <f t="shared" ref="N399" si="413">IF($A$64&lt;=N363,IF($B$64&gt;=N363,ABS(N398),0),0)</f>
        <v>675.5073623921927</v>
      </c>
      <c r="O399" s="60">
        <f t="shared" ref="O399" si="414">IF($A$64&lt;=O363,IF($B$64&gt;=O363,ABS(O398),0),0)</f>
        <v>23976.913397517721</v>
      </c>
      <c r="P399" s="60">
        <f t="shared" ref="P399" si="415">IF($A$64&lt;=P363,IF($B$64&gt;=P363,ABS(P398),0),0)</f>
        <v>46586.07646817014</v>
      </c>
      <c r="Q399" s="60">
        <f t="shared" ref="Q399" si="416">IF($A$64&lt;=Q363,IF($B$64&gt;=Q363,ABS(Q398),0),0)</f>
        <v>10782.339183864467</v>
      </c>
      <c r="R399" s="60">
        <f t="shared" ref="R399" si="417">IF($A$64&lt;=R363,IF($B$64&gt;=R363,ABS(R398),0),0)</f>
        <v>930.9823742190523</v>
      </c>
      <c r="S399" s="60">
        <f t="shared" ref="S399" si="418">IF($A$64&lt;=S363,IF($B$64&gt;=S363,ABS(S398),0),0)</f>
        <v>21554.910145878577</v>
      </c>
      <c r="T399" s="60">
        <f t="shared" ref="T399" si="419">IF($A$64&lt;=T363,IF($B$64&gt;=T363,ABS(T398),0),0)</f>
        <v>6448.5840909870803</v>
      </c>
      <c r="U399" s="60">
        <f t="shared" ref="U399" si="420">IF($A$64&lt;=U363,IF($B$64&gt;=U363,ABS(U398),0),0)</f>
        <v>2232.5722435952162</v>
      </c>
      <c r="V399" s="60">
        <f t="shared" ref="V399" si="421">IF($A$64&lt;=V363,IF($B$64&gt;=V363,ABS(V398),0),0)</f>
        <v>303.34083352852622</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-11.391236875275727</v>
      </c>
      <c r="C403" s="107">
        <f t="shared" ref="C403:H403" si="432">IF(C125=$B$2,0,C126)</f>
        <v>-7.538343886132532</v>
      </c>
      <c r="D403" s="107">
        <f t="shared" si="432"/>
        <v>-4.9283454733188288</v>
      </c>
      <c r="E403" s="107">
        <f t="shared" si="432"/>
        <v>-2.8024126046356161</v>
      </c>
      <c r="F403" s="107">
        <f t="shared" si="432"/>
        <v>0</v>
      </c>
      <c r="G403" s="107">
        <f t="shared" si="432"/>
        <v>5.4207620853197769</v>
      </c>
      <c r="H403" s="107">
        <f t="shared" si="432"/>
        <v>10.69493631915163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1.1294023394843902E-20</v>
      </c>
      <c r="C404" s="3">
        <f t="shared" ref="C404:H419" si="433">$A404/EXP(-C$403)</f>
        <v>5.3227840590692943E-19</v>
      </c>
      <c r="D404" s="3">
        <f t="shared" si="433"/>
        <v>7.2384696204509273E-18</v>
      </c>
      <c r="E404" s="3">
        <f t="shared" si="433"/>
        <v>6.0663528821380426E-17</v>
      </c>
      <c r="F404" s="3">
        <f t="shared" si="433"/>
        <v>1.0000000000000001E-15</v>
      </c>
      <c r="G404" s="3">
        <f t="shared" si="433"/>
        <v>2.2605132727436635E-13</v>
      </c>
      <c r="H404" s="3">
        <f t="shared" si="433"/>
        <v>4.413181893875431E-11</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1.1294023394843901E-19</v>
      </c>
      <c r="C405" s="3">
        <f t="shared" si="433"/>
        <v>5.3227840590692937E-18</v>
      </c>
      <c r="D405" s="3">
        <f t="shared" si="433"/>
        <v>7.2384696204509261E-17</v>
      </c>
      <c r="E405" s="3">
        <f t="shared" si="433"/>
        <v>6.0663528821380423E-16</v>
      </c>
      <c r="F405" s="3">
        <f t="shared" si="433"/>
        <v>1E-14</v>
      </c>
      <c r="G405" s="3">
        <f t="shared" si="433"/>
        <v>2.2605132727436636E-12</v>
      </c>
      <c r="H405" s="3">
        <f t="shared" si="433"/>
        <v>4.413181893875431E-10</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1.1294023394843902E-18</v>
      </c>
      <c r="C406" s="3">
        <f t="shared" si="433"/>
        <v>5.3227840590692937E-17</v>
      </c>
      <c r="D406" s="3">
        <f t="shared" si="433"/>
        <v>7.2384696204509268E-16</v>
      </c>
      <c r="E406" s="3">
        <f t="shared" si="433"/>
        <v>6.0663528821380425E-15</v>
      </c>
      <c r="F406" s="3">
        <f t="shared" si="433"/>
        <v>1E-13</v>
      </c>
      <c r="G406" s="3">
        <f t="shared" si="433"/>
        <v>2.2605132727436636E-11</v>
      </c>
      <c r="H406" s="3">
        <f t="shared" si="433"/>
        <v>4.4131818938754311E-9</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1.1294023394843902E-17</v>
      </c>
      <c r="C407" s="3">
        <f t="shared" si="433"/>
        <v>5.3227840590692936E-16</v>
      </c>
      <c r="D407" s="3">
        <f t="shared" si="433"/>
        <v>7.2384696204509258E-15</v>
      </c>
      <c r="E407" s="3">
        <f t="shared" si="433"/>
        <v>6.0663528821380427E-14</v>
      </c>
      <c r="F407" s="3">
        <f t="shared" si="433"/>
        <v>9.9999999999999998E-13</v>
      </c>
      <c r="G407" s="3">
        <f t="shared" si="433"/>
        <v>2.2605132727436633E-10</v>
      </c>
      <c r="H407" s="3">
        <f t="shared" si="433"/>
        <v>4.413181893875431E-8</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1.12940233948439E-16</v>
      </c>
      <c r="C408" s="3">
        <f t="shared" si="433"/>
        <v>5.3227840590692934E-15</v>
      </c>
      <c r="D408" s="3">
        <f t="shared" si="433"/>
        <v>7.2384696204509265E-14</v>
      </c>
      <c r="E408" s="3">
        <f t="shared" si="433"/>
        <v>6.0663528821380419E-13</v>
      </c>
      <c r="F408" s="3">
        <f t="shared" si="433"/>
        <v>9.9999999999999994E-12</v>
      </c>
      <c r="G408" s="3">
        <f t="shared" si="433"/>
        <v>2.2605132727436634E-9</v>
      </c>
      <c r="H408" s="3">
        <f t="shared" si="433"/>
        <v>4.4131818938754307E-7</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1.1294023394843902E-15</v>
      </c>
      <c r="C409" s="3">
        <f t="shared" si="433"/>
        <v>5.3227840590692938E-14</v>
      </c>
      <c r="D409" s="3">
        <f t="shared" si="433"/>
        <v>7.2384696204509262E-13</v>
      </c>
      <c r="E409" s="3">
        <f t="shared" si="433"/>
        <v>6.0663528821380432E-12</v>
      </c>
      <c r="F409" s="3">
        <f t="shared" si="433"/>
        <v>1E-10</v>
      </c>
      <c r="G409" s="3">
        <f t="shared" si="433"/>
        <v>2.2605132727436635E-8</v>
      </c>
      <c r="H409" s="3">
        <f t="shared" si="433"/>
        <v>4.4131818938754312E-6</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1.1294023394843902E-14</v>
      </c>
      <c r="C410" s="3">
        <f t="shared" si="433"/>
        <v>5.3227840590692938E-13</v>
      </c>
      <c r="D410" s="3">
        <f t="shared" si="433"/>
        <v>7.2384696204509268E-12</v>
      </c>
      <c r="E410" s="3">
        <f t="shared" si="433"/>
        <v>6.066352882138043E-11</v>
      </c>
      <c r="F410" s="3">
        <f t="shared" si="433"/>
        <v>1.0000000000000001E-9</v>
      </c>
      <c r="G410" s="3">
        <f t="shared" si="433"/>
        <v>2.2605132727436637E-7</v>
      </c>
      <c r="H410" s="3">
        <f t="shared" si="433"/>
        <v>4.4131818938754309E-5</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1.1294023394843902E-13</v>
      </c>
      <c r="C411" s="3">
        <f t="shared" si="433"/>
        <v>5.3227840590692934E-12</v>
      </c>
      <c r="D411" s="3">
        <f t="shared" si="433"/>
        <v>7.2384696204509262E-11</v>
      </c>
      <c r="E411" s="3">
        <f t="shared" si="433"/>
        <v>6.0663528821380427E-10</v>
      </c>
      <c r="F411" s="3">
        <f t="shared" si="433"/>
        <v>1E-8</v>
      </c>
      <c r="G411" s="3">
        <f t="shared" si="433"/>
        <v>2.2605132727436637E-6</v>
      </c>
      <c r="H411" s="3">
        <f t="shared" si="433"/>
        <v>4.4131818938754309E-4</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1.1294023394843901E-12</v>
      </c>
      <c r="C412" s="3">
        <f t="shared" si="433"/>
        <v>5.3227840590692933E-11</v>
      </c>
      <c r="D412" s="3">
        <f t="shared" si="433"/>
        <v>7.2384696204509264E-10</v>
      </c>
      <c r="E412" s="3">
        <f t="shared" si="433"/>
        <v>6.0663528821380425E-9</v>
      </c>
      <c r="F412" s="3">
        <f t="shared" si="433"/>
        <v>9.9999999999999995E-8</v>
      </c>
      <c r="G412" s="3">
        <f t="shared" si="433"/>
        <v>2.2605132727436634E-5</v>
      </c>
      <c r="H412" s="3">
        <f t="shared" si="433"/>
        <v>4.4131818938754307E-3</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1.12940233948439E-11</v>
      </c>
      <c r="C413" s="3">
        <f t="shared" si="433"/>
        <v>5.3227840590692938E-10</v>
      </c>
      <c r="D413" s="3">
        <f t="shared" si="433"/>
        <v>7.2384696204509264E-9</v>
      </c>
      <c r="E413" s="3">
        <f t="shared" si="433"/>
        <v>6.0663528821380424E-8</v>
      </c>
      <c r="F413" s="3">
        <f t="shared" si="433"/>
        <v>9.9999999999999995E-7</v>
      </c>
      <c r="G413" s="3">
        <f t="shared" si="433"/>
        <v>2.2605132727436633E-4</v>
      </c>
      <c r="H413" s="3">
        <f t="shared" si="433"/>
        <v>4.4131818938754307E-2</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1.1294023394843902E-10</v>
      </c>
      <c r="C414" s="3">
        <f t="shared" si="433"/>
        <v>5.322784059069294E-9</v>
      </c>
      <c r="D414" s="3">
        <f t="shared" si="433"/>
        <v>7.2384696204509268E-8</v>
      </c>
      <c r="E414" s="3">
        <f t="shared" si="433"/>
        <v>6.0663528821380429E-7</v>
      </c>
      <c r="F414" s="3">
        <f t="shared" si="433"/>
        <v>1.0000000000000001E-5</v>
      </c>
      <c r="G414" s="3">
        <f t="shared" si="433"/>
        <v>2.2605132727436636E-3</v>
      </c>
      <c r="H414" s="3">
        <f t="shared" si="433"/>
        <v>0.44131818938754314</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1.1294023394843901E-9</v>
      </c>
      <c r="C415" s="3">
        <f t="shared" si="433"/>
        <v>5.3227840590692938E-8</v>
      </c>
      <c r="D415" s="3">
        <f t="shared" si="433"/>
        <v>7.238469620450927E-7</v>
      </c>
      <c r="E415" s="3">
        <f t="shared" si="433"/>
        <v>6.0663528821380427E-6</v>
      </c>
      <c r="F415" s="3">
        <f t="shared" si="433"/>
        <v>1E-4</v>
      </c>
      <c r="G415" s="3">
        <f t="shared" si="433"/>
        <v>2.2605132727436635E-2</v>
      </c>
      <c r="H415" s="3">
        <f t="shared" si="433"/>
        <v>4.4131818938754312</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1.1294023394843901E-8</v>
      </c>
      <c r="C416" s="3">
        <f t="shared" si="433"/>
        <v>5.3227840590692938E-7</v>
      </c>
      <c r="D416" s="3">
        <f t="shared" si="433"/>
        <v>7.2384696204509262E-6</v>
      </c>
      <c r="E416" s="3">
        <f t="shared" si="433"/>
        <v>6.0663528821380428E-5</v>
      </c>
      <c r="F416" s="3">
        <f t="shared" si="433"/>
        <v>1E-3</v>
      </c>
      <c r="G416" s="3">
        <f t="shared" si="433"/>
        <v>0.22605132727436636</v>
      </c>
      <c r="H416" s="3">
        <f t="shared" si="433"/>
        <v>44.131818938754307</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1.1294023394843902E-7</v>
      </c>
      <c r="C417" s="3">
        <f t="shared" si="433"/>
        <v>5.322784059069294E-6</v>
      </c>
      <c r="D417" s="3">
        <f t="shared" si="433"/>
        <v>7.2384696204509262E-5</v>
      </c>
      <c r="E417" s="3">
        <f t="shared" si="433"/>
        <v>6.0663528821380428E-4</v>
      </c>
      <c r="F417" s="3">
        <f t="shared" si="433"/>
        <v>0.01</v>
      </c>
      <c r="G417" s="3">
        <f t="shared" si="433"/>
        <v>2.2605132727436636</v>
      </c>
      <c r="H417" s="3">
        <f t="shared" si="433"/>
        <v>441.3181893875431</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1.1294023394843902E-6</v>
      </c>
      <c r="C418" s="3">
        <f t="shared" si="433"/>
        <v>5.3227840590692942E-5</v>
      </c>
      <c r="D418" s="3">
        <f t="shared" si="433"/>
        <v>7.2384696204509267E-4</v>
      </c>
      <c r="E418" s="3">
        <f t="shared" si="433"/>
        <v>6.0663528821380428E-3</v>
      </c>
      <c r="F418" s="3">
        <f t="shared" si="433"/>
        <v>0.1</v>
      </c>
      <c r="G418" s="3">
        <f t="shared" si="433"/>
        <v>22.605132727436636</v>
      </c>
      <c r="H418" s="3">
        <f t="shared" si="433"/>
        <v>4413.1818938754313</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1.1294023394843902E-5</v>
      </c>
      <c r="C419" s="3">
        <f t="shared" si="433"/>
        <v>5.3227840590692934E-4</v>
      </c>
      <c r="D419" s="3">
        <f t="shared" si="433"/>
        <v>7.2384696204509267E-3</v>
      </c>
      <c r="E419" s="3">
        <f t="shared" si="433"/>
        <v>6.066352882138043E-2</v>
      </c>
      <c r="F419" s="3">
        <f t="shared" si="433"/>
        <v>1</v>
      </c>
      <c r="G419" s="3">
        <f t="shared" si="433"/>
        <v>226.05132727436634</v>
      </c>
      <c r="H419" s="3">
        <f t="shared" si="433"/>
        <v>44131.81893875431</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1.1294023394843902E-4</v>
      </c>
      <c r="C420" s="3">
        <f t="shared" si="434"/>
        <v>5.3227840590692934E-3</v>
      </c>
      <c r="D420" s="3">
        <f t="shared" si="434"/>
        <v>7.2384696204509269E-2</v>
      </c>
      <c r="E420" s="3">
        <f t="shared" si="434"/>
        <v>0.6066352882138043</v>
      </c>
      <c r="F420" s="3">
        <f t="shared" si="434"/>
        <v>10</v>
      </c>
      <c r="G420" s="3">
        <f t="shared" si="434"/>
        <v>2260.5132727436635</v>
      </c>
      <c r="H420" s="3">
        <f t="shared" si="434"/>
        <v>441318.18938754307</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1.1294023394843901E-3</v>
      </c>
      <c r="C421" s="3">
        <f t="shared" si="434"/>
        <v>5.3227840590692937E-2</v>
      </c>
      <c r="D421" s="3">
        <f t="shared" si="434"/>
        <v>0.72384696204509269</v>
      </c>
      <c r="E421" s="3">
        <f t="shared" si="434"/>
        <v>6.0663528821380428</v>
      </c>
      <c r="F421" s="3">
        <f t="shared" si="434"/>
        <v>100</v>
      </c>
      <c r="G421" s="3">
        <f t="shared" si="434"/>
        <v>22605.132727436634</v>
      </c>
      <c r="H421" s="3">
        <f t="shared" si="434"/>
        <v>4413181.8938754313</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1.1294023394843901E-2</v>
      </c>
      <c r="C422" s="3">
        <f t="shared" si="434"/>
        <v>0.53227840590692932</v>
      </c>
      <c r="D422" s="3">
        <f t="shared" si="434"/>
        <v>7.2384696204509265</v>
      </c>
      <c r="E422" s="3">
        <f t="shared" si="434"/>
        <v>60.663528821380424</v>
      </c>
      <c r="F422" s="3">
        <f t="shared" si="434"/>
        <v>1000</v>
      </c>
      <c r="G422" s="3">
        <f t="shared" si="434"/>
        <v>226051.32727436634</v>
      </c>
      <c r="H422" s="3">
        <f t="shared" si="434"/>
        <v>44131818.938754305</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0.11294023394843901</v>
      </c>
      <c r="C423" s="3">
        <f t="shared" si="434"/>
        <v>5.3227840590692939</v>
      </c>
      <c r="D423" s="3">
        <f t="shared" si="434"/>
        <v>72.384696204509268</v>
      </c>
      <c r="E423" s="3">
        <f t="shared" si="434"/>
        <v>606.6352882138043</v>
      </c>
      <c r="F423" s="3">
        <f t="shared" si="434"/>
        <v>10000</v>
      </c>
      <c r="G423" s="3">
        <f t="shared" si="434"/>
        <v>2260513.2727436633</v>
      </c>
      <c r="H423" s="3">
        <f t="shared" si="434"/>
        <v>441318189.38754308</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1.1294023394843902</v>
      </c>
      <c r="C424" s="3">
        <f t="shared" si="434"/>
        <v>53.227840590692935</v>
      </c>
      <c r="D424" s="3">
        <f t="shared" si="434"/>
        <v>723.8469620450926</v>
      </c>
      <c r="E424" s="3">
        <f t="shared" si="434"/>
        <v>6066.3528821380423</v>
      </c>
      <c r="F424" s="3">
        <f t="shared" si="434"/>
        <v>100000</v>
      </c>
      <c r="G424" s="3">
        <f t="shared" si="434"/>
        <v>22605132.727436636</v>
      </c>
      <c r="H424" s="3">
        <f t="shared" si="434"/>
        <v>4413181893.8754311</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11.294023394843901</v>
      </c>
      <c r="C425" s="3">
        <f t="shared" si="434"/>
        <v>532.27840590692938</v>
      </c>
      <c r="D425" s="3">
        <f t="shared" si="434"/>
        <v>7238.4696204509264</v>
      </c>
      <c r="E425" s="3">
        <f t="shared" si="434"/>
        <v>60663.528821380431</v>
      </c>
      <c r="F425" s="3">
        <f t="shared" si="434"/>
        <v>1000000</v>
      </c>
      <c r="G425" s="3">
        <f t="shared" si="434"/>
        <v>226051327.27436635</v>
      </c>
      <c r="H425" s="3">
        <f t="shared" si="434"/>
        <v>44131818938.754311</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112.94023394843902</v>
      </c>
      <c r="C426" s="3">
        <f t="shared" si="434"/>
        <v>5322.784059069294</v>
      </c>
      <c r="D426" s="3">
        <f t="shared" si="434"/>
        <v>72384.696204509266</v>
      </c>
      <c r="E426" s="3">
        <f t="shared" si="434"/>
        <v>606635.28821380425</v>
      </c>
      <c r="F426" s="3">
        <f t="shared" si="434"/>
        <v>10000000</v>
      </c>
      <c r="G426" s="3">
        <f t="shared" si="434"/>
        <v>2260513272.7436633</v>
      </c>
      <c r="H426" s="3">
        <f t="shared" si="434"/>
        <v>441318189387.54309</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1129.40233948439</v>
      </c>
      <c r="C427" s="3">
        <f t="shared" si="434"/>
        <v>53227.840590692933</v>
      </c>
      <c r="D427" s="3">
        <f t="shared" si="434"/>
        <v>723846.9620450926</v>
      </c>
      <c r="E427" s="3">
        <f t="shared" si="434"/>
        <v>6066352.8821380427</v>
      </c>
      <c r="F427" s="3">
        <f t="shared" si="434"/>
        <v>100000000</v>
      </c>
      <c r="G427" s="3">
        <f t="shared" si="434"/>
        <v>22605132727.436634</v>
      </c>
      <c r="H427" s="3">
        <f t="shared" si="434"/>
        <v>4413181893875.4307</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11294.023394843902</v>
      </c>
      <c r="C428" s="3">
        <f t="shared" si="434"/>
        <v>532278.4059069294</v>
      </c>
      <c r="D428" s="3">
        <f t="shared" si="434"/>
        <v>7238469.620450926</v>
      </c>
      <c r="E428" s="3">
        <f t="shared" si="434"/>
        <v>60663528.821380429</v>
      </c>
      <c r="F428" s="3">
        <f t="shared" si="434"/>
        <v>1000000000</v>
      </c>
      <c r="G428" s="3">
        <f t="shared" si="434"/>
        <v>226051327274.36633</v>
      </c>
      <c r="H428" s="3">
        <f t="shared" si="434"/>
        <v>44131818938754.305</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112940.23394843901</v>
      </c>
      <c r="C429" s="3">
        <f t="shared" si="434"/>
        <v>5322784.0590692936</v>
      </c>
      <c r="D429" s="3">
        <f t="shared" si="434"/>
        <v>72384696.204509258</v>
      </c>
      <c r="E429" s="3">
        <f t="shared" si="434"/>
        <v>606635288.21380424</v>
      </c>
      <c r="F429" s="3">
        <f t="shared" si="434"/>
        <v>10000000000</v>
      </c>
      <c r="G429" s="3">
        <f t="shared" si="434"/>
        <v>2260513272743.6636</v>
      </c>
      <c r="H429" s="3">
        <f t="shared" si="434"/>
        <v>441318189387543.06</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1129402.3394843901</v>
      </c>
      <c r="C430" s="3">
        <f t="shared" si="434"/>
        <v>53227840.590692937</v>
      </c>
      <c r="D430" s="3">
        <f t="shared" si="434"/>
        <v>723846962.04509258</v>
      </c>
      <c r="E430" s="3">
        <f t="shared" si="434"/>
        <v>6066352882.1380424</v>
      </c>
      <c r="F430" s="3">
        <f t="shared" si="434"/>
        <v>100000000000</v>
      </c>
      <c r="G430" s="3">
        <f t="shared" si="434"/>
        <v>22605132727436.633</v>
      </c>
      <c r="H430" s="3">
        <f t="shared" si="434"/>
        <v>4413181893875431</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11294023.394843901</v>
      </c>
      <c r="C431" s="3">
        <f t="shared" si="434"/>
        <v>532278405.90692937</v>
      </c>
      <c r="D431" s="3">
        <f t="shared" si="434"/>
        <v>7238469620.4509268</v>
      </c>
      <c r="E431" s="3">
        <f t="shared" si="434"/>
        <v>60663528821.380424</v>
      </c>
      <c r="F431" s="3">
        <f t="shared" si="434"/>
        <v>1000000000000</v>
      </c>
      <c r="G431" s="3">
        <f t="shared" si="434"/>
        <v>226051327274366.34</v>
      </c>
      <c r="H431" s="3">
        <f t="shared" si="434"/>
        <v>4.4131818938754312E+16</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112940233.94843902</v>
      </c>
      <c r="C432" s="3">
        <f t="shared" si="434"/>
        <v>5322784059.069294</v>
      </c>
      <c r="D432" s="3">
        <f t="shared" si="434"/>
        <v>72384696204.509262</v>
      </c>
      <c r="E432" s="3">
        <f t="shared" si="434"/>
        <v>606635288213.80432</v>
      </c>
      <c r="F432" s="3">
        <f t="shared" si="434"/>
        <v>10000000000000</v>
      </c>
      <c r="G432" s="3">
        <f t="shared" si="434"/>
        <v>2260513272743663.5</v>
      </c>
      <c r="H432" s="3">
        <f t="shared" si="434"/>
        <v>4.413181893875431E+17</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1129402339.4843903</v>
      </c>
      <c r="C433" s="3">
        <f t="shared" si="434"/>
        <v>53227840590.69294</v>
      </c>
      <c r="D433" s="3">
        <f t="shared" si="434"/>
        <v>723846962045.09265</v>
      </c>
      <c r="E433" s="3">
        <f t="shared" si="434"/>
        <v>6066352882138.043</v>
      </c>
      <c r="F433" s="3">
        <f t="shared" si="434"/>
        <v>100000000000000</v>
      </c>
      <c r="G433" s="3">
        <f t="shared" si="434"/>
        <v>2.2605132727436636E+16</v>
      </c>
      <c r="H433" s="3">
        <f t="shared" si="434"/>
        <v>4.4131818938754309E+18</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11294023394.843901</v>
      </c>
      <c r="C434" s="3">
        <f t="shared" si="434"/>
        <v>532278405906.92938</v>
      </c>
      <c r="D434" s="3">
        <f t="shared" si="434"/>
        <v>7238469620450.9268</v>
      </c>
      <c r="E434" s="3">
        <f t="shared" si="434"/>
        <v>60663528821380.43</v>
      </c>
      <c r="F434" s="3">
        <f t="shared" si="434"/>
        <v>1000000000000000</v>
      </c>
      <c r="G434" s="3">
        <f t="shared" si="434"/>
        <v>2.2605132727436634E+17</v>
      </c>
      <c r="H434" s="3">
        <f t="shared" si="434"/>
        <v>4.413181893875431E+19</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-11.391236875275727</v>
      </c>
      <c r="M1" s="54">
        <v>1</v>
      </c>
      <c r="N1" s="56">
        <f>INDEX($H$217:$P$217,1,Q1)</f>
        <v>0.1040257780066212</v>
      </c>
      <c r="O1" s="11"/>
      <c r="P1" s="55">
        <v>1</v>
      </c>
      <c r="Q1" s="11">
        <v>2</v>
      </c>
    </row>
    <row r="2" spans="1:17" x14ac:dyDescent="0.25">
      <c r="A2" s="11">
        <f>'Mastercurve bestimmen'!M119</f>
        <v>0</v>
      </c>
      <c r="B2" s="11">
        <f>'Mastercurve bestimmen'!N119</f>
        <v>-7.538343886132532</v>
      </c>
      <c r="M2" s="54">
        <v>2</v>
      </c>
      <c r="N2" s="56">
        <f t="shared" ref="N2:N9" si="0">INDEX($H$217:$P$217,1,Q2)</f>
        <v>4.2263621002415887E-4</v>
      </c>
      <c r="O2" s="11"/>
      <c r="P2" s="55">
        <v>2</v>
      </c>
      <c r="Q2" s="11">
        <f>Q1+1</f>
        <v>3</v>
      </c>
    </row>
    <row r="3" spans="1:17" x14ac:dyDescent="0.25">
      <c r="A3" s="11">
        <f>'Mastercurve bestimmen'!M120</f>
        <v>25</v>
      </c>
      <c r="B3" s="11">
        <f>'Mastercurve bestimmen'!N120</f>
        <v>-4.9283454733188288</v>
      </c>
      <c r="M3" s="54">
        <v>3</v>
      </c>
      <c r="N3" s="56">
        <f t="shared" si="0"/>
        <v>-1.2095707830609978E-6</v>
      </c>
      <c r="O3" s="11"/>
      <c r="P3" s="55">
        <v>3</v>
      </c>
      <c r="Q3" s="11">
        <f t="shared" ref="Q3:Q8" si="1">Q2+1</f>
        <v>4</v>
      </c>
    </row>
    <row r="4" spans="1:17" x14ac:dyDescent="0.25">
      <c r="A4" s="11">
        <f>'Mastercurve bestimmen'!M121</f>
        <v>50</v>
      </c>
      <c r="B4" s="11">
        <f>'Mastercurve bestimmen'!N121</f>
        <v>-2.8024126046356161</v>
      </c>
      <c r="M4" s="54">
        <v>4</v>
      </c>
      <c r="N4" s="56">
        <f t="shared" si="0"/>
        <v>-5.5321756648864499E-8</v>
      </c>
      <c r="O4" s="11"/>
      <c r="P4" s="55">
        <v>4</v>
      </c>
      <c r="Q4" s="11">
        <f t="shared" si="1"/>
        <v>5</v>
      </c>
    </row>
    <row r="5" spans="1:17" x14ac:dyDescent="0.25">
      <c r="A5" s="11">
        <f>'Mastercurve bestimmen'!M122</f>
        <v>80</v>
      </c>
      <c r="B5" s="11">
        <f>'Mastercurve bestimmen'!N122</f>
        <v>0</v>
      </c>
      <c r="M5" s="54">
        <v>5</v>
      </c>
      <c r="N5" s="56">
        <f t="shared" si="0"/>
        <v>1.0245927819640256E-9</v>
      </c>
      <c r="O5" s="11"/>
      <c r="P5" s="55">
        <v>5</v>
      </c>
      <c r="Q5" s="11">
        <f t="shared" si="1"/>
        <v>6</v>
      </c>
    </row>
    <row r="6" spans="1:17" x14ac:dyDescent="0.25">
      <c r="A6" s="11">
        <f>'Mastercurve bestimmen'!M123</f>
        <v>125</v>
      </c>
      <c r="B6" s="11">
        <f>'Mastercurve bestimmen'!N123</f>
        <v>5.4207620853197769</v>
      </c>
      <c r="M6" s="54">
        <v>6</v>
      </c>
      <c r="N6" s="56">
        <f t="shared" si="0"/>
        <v>7.8635549127838659E-12</v>
      </c>
      <c r="O6" s="11"/>
      <c r="P6" s="55">
        <v>6</v>
      </c>
      <c r="Q6" s="11">
        <f t="shared" si="1"/>
        <v>7</v>
      </c>
    </row>
    <row r="7" spans="1:17" x14ac:dyDescent="0.25">
      <c r="A7" s="11">
        <f>'Mastercurve bestimmen'!M124</f>
        <v>160</v>
      </c>
      <c r="B7" s="11">
        <f>'Mastercurve bestimmen'!N124</f>
        <v>10.69493631915163</v>
      </c>
      <c r="M7" s="54">
        <v>7</v>
      </c>
      <c r="N7" s="56">
        <f t="shared" si="0"/>
        <v>-9.0620083454165273E-14</v>
      </c>
      <c r="O7" s="11"/>
      <c r="P7" s="55">
        <v>7</v>
      </c>
      <c r="Q7" s="11">
        <f t="shared" si="1"/>
        <v>8</v>
      </c>
    </row>
    <row r="8" spans="1:17" x14ac:dyDescent="0.25">
      <c r="A8" s="11"/>
      <c r="B8" s="11"/>
      <c r="M8" s="54">
        <v>8</v>
      </c>
      <c r="N8" s="56">
        <f t="shared" si="0"/>
        <v>-6.0573317453240753E-16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-11.391236875275727</v>
      </c>
      <c r="E15" s="11">
        <f>A15-'Mastercurve bestimmen'!$B$2</f>
        <v>-120</v>
      </c>
      <c r="F15" s="11">
        <f>B15</f>
        <v>-11.391236875275727</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-11.323065370515776</v>
      </c>
      <c r="E16" s="11">
        <f>A16-'Mastercurve bestimmen'!$B$2</f>
        <v>-119</v>
      </c>
      <c r="F16" s="11">
        <f t="shared" ref="F16:F79" si="4">B16</f>
        <v>-11.323065370515776</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-11.254788234161197</v>
      </c>
      <c r="E17" s="11">
        <f>A17-'Mastercurve bestimmen'!$B$2</f>
        <v>-118</v>
      </c>
      <c r="F17" s="11">
        <f t="shared" si="4"/>
        <v>-11.254788234161197</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-11.18629983461736</v>
      </c>
      <c r="E18" s="11">
        <f>A18-'Mastercurve bestimmen'!$B$2</f>
        <v>-117</v>
      </c>
      <c r="F18" s="11">
        <f t="shared" si="4"/>
        <v>-11.18629983461736</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-11.117494540289636</v>
      </c>
      <c r="E19" s="11">
        <f>A19-'Mastercurve bestimmen'!$B$2</f>
        <v>-116</v>
      </c>
      <c r="F19" s="11">
        <f t="shared" si="4"/>
        <v>-11.117494540289636</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-11.048266719583394</v>
      </c>
      <c r="E20" s="11">
        <f>A20-'Mastercurve bestimmen'!$B$2</f>
        <v>-115</v>
      </c>
      <c r="F20" s="11">
        <f t="shared" si="4"/>
        <v>-11.048266719583394</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-10.97851074090401</v>
      </c>
      <c r="E21" s="11">
        <f>A21-'Mastercurve bestimmen'!$B$2</f>
        <v>-114</v>
      </c>
      <c r="F21" s="11">
        <f t="shared" si="4"/>
        <v>-10.97851074090401</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-10.908120972656851</v>
      </c>
      <c r="E22" s="11">
        <f>A22-'Mastercurve bestimmen'!$B$2</f>
        <v>-113</v>
      </c>
      <c r="F22" s="11">
        <f t="shared" si="4"/>
        <v>-10.908120972656851</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-10.836991783247289</v>
      </c>
      <c r="E23" s="11">
        <f>A23-'Mastercurve bestimmen'!$B$2</f>
        <v>-112</v>
      </c>
      <c r="F23" s="11">
        <f t="shared" si="4"/>
        <v>-10.836991783247289</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-10.765017541080693</v>
      </c>
      <c r="E24" s="11">
        <f>A24-'Mastercurve bestimmen'!$B$2</f>
        <v>-111</v>
      </c>
      <c r="F24" s="11">
        <f t="shared" si="4"/>
        <v>-10.765017541080693</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-10.692092614562437</v>
      </c>
      <c r="E25" s="11">
        <f>A25-'Mastercurve bestimmen'!$B$2</f>
        <v>-110</v>
      </c>
      <c r="F25" s="11">
        <f t="shared" si="4"/>
        <v>-10.692092614562437</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-10.618111372097893</v>
      </c>
      <c r="E26" s="11">
        <f>A26-'Mastercurve bestimmen'!$B$2</f>
        <v>-109</v>
      </c>
      <c r="F26" s="11">
        <f t="shared" si="4"/>
        <v>-10.618111372097893</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-10.542968182092427</v>
      </c>
      <c r="E27" s="11">
        <f>A27-'Mastercurve bestimmen'!$B$2</f>
        <v>-108</v>
      </c>
      <c r="F27" s="11">
        <f t="shared" si="4"/>
        <v>-10.542968182092427</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-10.466557412951413</v>
      </c>
      <c r="E28" s="11">
        <f>A28-'Mastercurve bestimmen'!$B$2</f>
        <v>-107</v>
      </c>
      <c r="F28" s="11">
        <f t="shared" si="4"/>
        <v>-10.466557412951413</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-10.388773433080225</v>
      </c>
      <c r="E29" s="11">
        <f>A29-'Mastercurve bestimmen'!$B$2</f>
        <v>-106</v>
      </c>
      <c r="F29" s="11">
        <f t="shared" si="4"/>
        <v>-10.388773433080225</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-10.30951061088423</v>
      </c>
      <c r="E30" s="11">
        <f>A30-'Mastercurve bestimmen'!$B$2</f>
        <v>-105</v>
      </c>
      <c r="F30" s="11">
        <f t="shared" si="4"/>
        <v>-10.30951061088423</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-10.228663314768799</v>
      </c>
      <c r="E31" s="11">
        <f>A31-'Mastercurve bestimmen'!$B$2</f>
        <v>-104</v>
      </c>
      <c r="F31" s="11">
        <f t="shared" si="4"/>
        <v>-10.228663314768799</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-10.146125913139304</v>
      </c>
      <c r="E32" s="11">
        <f>A32-'Mastercurve bestimmen'!$B$2</f>
        <v>-103</v>
      </c>
      <c r="F32" s="11">
        <f t="shared" si="4"/>
        <v>-10.146125913139304</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-10.061792774401116</v>
      </c>
      <c r="E33" s="11">
        <f>A33-'Mastercurve bestimmen'!$B$2</f>
        <v>-102</v>
      </c>
      <c r="F33" s="11">
        <f t="shared" si="4"/>
        <v>-10.061792774401116</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-9.9755582669596059</v>
      </c>
      <c r="E34" s="11">
        <f>A34-'Mastercurve bestimmen'!$B$2</f>
        <v>-101</v>
      </c>
      <c r="F34" s="11">
        <f t="shared" si="4"/>
        <v>-9.9755582669596059</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-9.8873167592201447</v>
      </c>
      <c r="E35" s="11">
        <f>A35-'Mastercurve bestimmen'!$B$2</f>
        <v>-100</v>
      </c>
      <c r="F35" s="11">
        <f t="shared" si="4"/>
        <v>-9.8873167592201447</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-9.7969626195881023</v>
      </c>
      <c r="E36" s="11">
        <f>A36-'Mastercurve bestimmen'!$B$2</f>
        <v>-99</v>
      </c>
      <c r="F36" s="11">
        <f t="shared" si="4"/>
        <v>-9.7969626195881023</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-9.7043902164688518</v>
      </c>
      <c r="E37" s="11">
        <f>A37-'Mastercurve bestimmen'!$B$2</f>
        <v>-98</v>
      </c>
      <c r="F37" s="11">
        <f t="shared" si="4"/>
        <v>-9.7043902164688518</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-9.6094939182677646</v>
      </c>
      <c r="E38" s="11">
        <f>A38-'Mastercurve bestimmen'!$B$2</f>
        <v>-97</v>
      </c>
      <c r="F38" s="11">
        <f t="shared" si="4"/>
        <v>-9.6094939182677646</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-9.5121680933902084</v>
      </c>
      <c r="E39" s="11">
        <f>A39-'Mastercurve bestimmen'!$B$2</f>
        <v>-96</v>
      </c>
      <c r="F39" s="11">
        <f t="shared" si="4"/>
        <v>-9.5121680933902084</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-9.4123071102415565</v>
      </c>
      <c r="E40" s="11">
        <f>A40-'Mastercurve bestimmen'!$B$2</f>
        <v>-95</v>
      </c>
      <c r="F40" s="11">
        <f t="shared" si="4"/>
        <v>-9.4123071102415565</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-9.3098053372271821</v>
      </c>
      <c r="E41" s="11">
        <f>A41-'Mastercurve bestimmen'!$B$2</f>
        <v>-94</v>
      </c>
      <c r="F41" s="11">
        <f t="shared" si="4"/>
        <v>-9.3098053372271821</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-9.2045571427524511</v>
      </c>
      <c r="E42" s="11">
        <f>A42-'Mastercurve bestimmen'!$B$2</f>
        <v>-93</v>
      </c>
      <c r="F42" s="11">
        <f t="shared" si="4"/>
        <v>-9.2045571427524511</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-9.0964568952227367</v>
      </c>
      <c r="E43" s="11">
        <f>A43-'Mastercurve bestimmen'!$B$2</f>
        <v>-92</v>
      </c>
      <c r="F43" s="11">
        <f t="shared" si="4"/>
        <v>-9.0964568952227367</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-8.9853989630434103</v>
      </c>
      <c r="E44" s="11">
        <f>A44-'Mastercurve bestimmen'!$B$2</f>
        <v>-91</v>
      </c>
      <c r="F44" s="11">
        <f t="shared" si="4"/>
        <v>-8.9853989630434103</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-8.8712777146198434</v>
      </c>
      <c r="E45" s="11">
        <f>A45-'Mastercurve bestimmen'!$B$2</f>
        <v>-90</v>
      </c>
      <c r="F45" s="11">
        <f t="shared" si="4"/>
        <v>-8.8712777146198434</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-8.7539875183574072</v>
      </c>
      <c r="E46" s="11">
        <f>A46-'Mastercurve bestimmen'!$B$2</f>
        <v>-89</v>
      </c>
      <c r="F46" s="11">
        <f t="shared" si="4"/>
        <v>-8.7539875183574072</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-8.6334227426614696</v>
      </c>
      <c r="E47" s="11">
        <f>A47-'Mastercurve bestimmen'!$B$2</f>
        <v>-88</v>
      </c>
      <c r="F47" s="11">
        <f t="shared" si="4"/>
        <v>-8.6334227426614696</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-8.5094777559374055</v>
      </c>
      <c r="E48" s="11">
        <f>A48-'Mastercurve bestimmen'!$B$2</f>
        <v>-87</v>
      </c>
      <c r="F48" s="11">
        <f t="shared" si="4"/>
        <v>-8.5094777559374055</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-8.3820469265905846</v>
      </c>
      <c r="E49" s="11">
        <f>A49-'Mastercurve bestimmen'!$B$2</f>
        <v>-86</v>
      </c>
      <c r="F49" s="11">
        <f t="shared" si="4"/>
        <v>-8.3820469265905846</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-8.2510246230263782</v>
      </c>
      <c r="E50" s="11">
        <f>A50-'Mastercurve bestimmen'!$B$2</f>
        <v>-85</v>
      </c>
      <c r="F50" s="11">
        <f t="shared" si="4"/>
        <v>-8.2510246230263782</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-8.1163052136501541</v>
      </c>
      <c r="E51" s="11">
        <f>A51-'Mastercurve bestimmen'!$B$2</f>
        <v>-84</v>
      </c>
      <c r="F51" s="11">
        <f t="shared" si="4"/>
        <v>-8.1163052136501541</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-7.9777830668672873</v>
      </c>
      <c r="E52" s="11">
        <f>A52-'Mastercurve bestimmen'!$B$2</f>
        <v>-83</v>
      </c>
      <c r="F52" s="11">
        <f t="shared" si="4"/>
        <v>-7.9777830668672873</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-7.8353525510831483</v>
      </c>
      <c r="E53" s="11">
        <f>A53-'Mastercurve bestimmen'!$B$2</f>
        <v>-82</v>
      </c>
      <c r="F53" s="11">
        <f t="shared" si="4"/>
        <v>-7.8353525510831483</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-7.6889080347031058</v>
      </c>
      <c r="E54" s="11">
        <f>A54-'Mastercurve bestimmen'!$B$2</f>
        <v>-81</v>
      </c>
      <c r="F54" s="11">
        <f t="shared" si="4"/>
        <v>-7.6889080347031058</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-7.538343886132532</v>
      </c>
      <c r="E55" s="11">
        <f>A55-'Mastercurve bestimmen'!$B$2</f>
        <v>-80</v>
      </c>
      <c r="F55" s="11">
        <f t="shared" si="4"/>
        <v>-7.538343886132532</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-7.4569718077661182</v>
      </c>
      <c r="E56" s="11">
        <f>A56-'Mastercurve bestimmen'!$B$2</f>
        <v>-79</v>
      </c>
      <c r="F56" s="11">
        <f t="shared" si="4"/>
        <v>-7.4569718077661182</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-7.3716405743383495</v>
      </c>
      <c r="E57" s="11">
        <f>A57-'Mastercurve bestimmen'!$B$2</f>
        <v>-78</v>
      </c>
      <c r="F57" s="11">
        <f t="shared" si="4"/>
        <v>-7.3716405743383495</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-7.2826162945730326</v>
      </c>
      <c r="E58" s="11">
        <f>A58-'Mastercurve bestimmen'!$B$2</f>
        <v>-77</v>
      </c>
      <c r="F58" s="11">
        <f t="shared" si="4"/>
        <v>-7.2826162945730326</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-7.1901650771939725</v>
      </c>
      <c r="E59" s="11">
        <f>A59-'Mastercurve bestimmen'!$B$2</f>
        <v>-76</v>
      </c>
      <c r="F59" s="11">
        <f t="shared" si="4"/>
        <v>-7.1901650771939725</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-7.0945530309249758</v>
      </c>
      <c r="E60" s="11">
        <f>A60-'Mastercurve bestimmen'!$B$2</f>
        <v>-75</v>
      </c>
      <c r="F60" s="11">
        <f t="shared" si="4"/>
        <v>-7.0945530309249758</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-6.9960462644898467</v>
      </c>
      <c r="E61" s="11">
        <f>A61-'Mastercurve bestimmen'!$B$2</f>
        <v>-74</v>
      </c>
      <c r="F61" s="11">
        <f t="shared" si="4"/>
        <v>-6.9960462644898467</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-6.89491088661239</v>
      </c>
      <c r="E62" s="11">
        <f>A62-'Mastercurve bestimmen'!$B$2</f>
        <v>-73</v>
      </c>
      <c r="F62" s="11">
        <f t="shared" si="4"/>
        <v>-6.89491088661239</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-6.7914130060164126</v>
      </c>
      <c r="E63" s="11">
        <f>A63-'Mastercurve bestimmen'!$B$2</f>
        <v>-72</v>
      </c>
      <c r="F63" s="11">
        <f t="shared" si="4"/>
        <v>-6.7914130060164126</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-6.685818731425722</v>
      </c>
      <c r="E64" s="11">
        <f>A64-'Mastercurve bestimmen'!$B$2</f>
        <v>-71</v>
      </c>
      <c r="F64" s="11">
        <f t="shared" si="4"/>
        <v>-6.685818731425722</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-6.5783941715641223</v>
      </c>
      <c r="E65" s="11">
        <f>A65-'Mastercurve bestimmen'!$B$2</f>
        <v>-70</v>
      </c>
      <c r="F65" s="11">
        <f t="shared" si="4"/>
        <v>-6.5783941715641223</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-6.4694054351554167</v>
      </c>
      <c r="E66" s="11">
        <f>A66-'Mastercurve bestimmen'!$B$2</f>
        <v>-69</v>
      </c>
      <c r="F66" s="11">
        <f t="shared" si="4"/>
        <v>-6.4694054351554167</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-6.3591186309234153</v>
      </c>
      <c r="E67" s="11">
        <f>A67-'Mastercurve bestimmen'!$B$2</f>
        <v>-68</v>
      </c>
      <c r="F67" s="11">
        <f t="shared" si="4"/>
        <v>-6.3591186309234153</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-6.2477998675919206</v>
      </c>
      <c r="E68" s="11">
        <f>A68-'Mastercurve bestimmen'!$B$2</f>
        <v>-67</v>
      </c>
      <c r="F68" s="11">
        <f t="shared" si="4"/>
        <v>-6.2477998675919206</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-6.1357152538847384</v>
      </c>
      <c r="E69" s="11">
        <f>A69-'Mastercurve bestimmen'!$B$2</f>
        <v>-66</v>
      </c>
      <c r="F69" s="11">
        <f t="shared" si="4"/>
        <v>-6.1357152538847384</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-6.0231308985256753</v>
      </c>
      <c r="E70" s="11">
        <f>A70-'Mastercurve bestimmen'!$B$2</f>
        <v>-65</v>
      </c>
      <c r="F70" s="11">
        <f t="shared" si="4"/>
        <v>-6.0231308985256753</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-5.9103129102385381</v>
      </c>
      <c r="E71" s="11">
        <f>A71-'Mastercurve bestimmen'!$B$2</f>
        <v>-64</v>
      </c>
      <c r="F71" s="11">
        <f t="shared" si="4"/>
        <v>-5.9103129102385381</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-5.79752739774713</v>
      </c>
      <c r="E72" s="11">
        <f>A72-'Mastercurve bestimmen'!$B$2</f>
        <v>-63</v>
      </c>
      <c r="F72" s="11">
        <f t="shared" si="4"/>
        <v>-5.79752739774713</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-5.6850404697752568</v>
      </c>
      <c r="E73" s="11">
        <f>A73-'Mastercurve bestimmen'!$B$2</f>
        <v>-62</v>
      </c>
      <c r="F73" s="11">
        <f t="shared" si="4"/>
        <v>-5.6850404697752568</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-5.5731182350467261</v>
      </c>
      <c r="E74" s="11">
        <f>A74-'Mastercurve bestimmen'!$B$2</f>
        <v>-61</v>
      </c>
      <c r="F74" s="11">
        <f t="shared" si="4"/>
        <v>-5.5731182350467261</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-5.4620268022853429</v>
      </c>
      <c r="E75" s="11">
        <f>A75-'Mastercurve bestimmen'!$B$2</f>
        <v>-60</v>
      </c>
      <c r="F75" s="11">
        <f t="shared" si="4"/>
        <v>-5.4620268022853429</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-5.3520322802149121</v>
      </c>
      <c r="E76" s="11">
        <f>A76-'Mastercurve bestimmen'!$B$2</f>
        <v>-59</v>
      </c>
      <c r="F76" s="11">
        <f t="shared" si="4"/>
        <v>-5.3520322802149121</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-5.2434007775592395</v>
      </c>
      <c r="E77" s="11">
        <f>A77-'Mastercurve bestimmen'!$B$2</f>
        <v>-58</v>
      </c>
      <c r="F77" s="11">
        <f t="shared" si="4"/>
        <v>-5.2434007775592395</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-5.136398403042131</v>
      </c>
      <c r="E78" s="11">
        <f>A78-'Mastercurve bestimmen'!$B$2</f>
        <v>-57</v>
      </c>
      <c r="F78" s="11">
        <f t="shared" si="4"/>
        <v>-5.136398403042131</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-5.0312912653873925</v>
      </c>
      <c r="E79" s="11">
        <f>A79-'Mastercurve bestimmen'!$B$2</f>
        <v>-56</v>
      </c>
      <c r="F79" s="11">
        <f t="shared" si="4"/>
        <v>-5.0312912653873925</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-4.9283454733188288</v>
      </c>
      <c r="E80" s="11">
        <f>A80-'Mastercurve bestimmen'!$B$2</f>
        <v>-55</v>
      </c>
      <c r="F80" s="11">
        <f t="shared" ref="F80:F143" si="10">B80</f>
        <v>-4.9283454733188288</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-4.8277610175826711</v>
      </c>
      <c r="E81" s="11">
        <f>A81-'Mastercurve bestimmen'!$B$2</f>
        <v>-54</v>
      </c>
      <c r="F81" s="11">
        <f t="shared" si="10"/>
        <v>-4.8277610175826711</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-4.7294734170148507</v>
      </c>
      <c r="E82" s="11">
        <f>A82-'Mastercurve bestimmen'!$B$2</f>
        <v>-53</v>
      </c>
      <c r="F82" s="11">
        <f t="shared" si="10"/>
        <v>-4.7294734170148507</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-4.6333520724737234</v>
      </c>
      <c r="E83" s="11">
        <f>A83-'Mastercurve bestimmen'!$B$2</f>
        <v>-52</v>
      </c>
      <c r="F83" s="11">
        <f t="shared" si="10"/>
        <v>-4.6333520724737234</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-4.5392663848176484</v>
      </c>
      <c r="E84" s="11">
        <f>A84-'Mastercurve bestimmen'!$B$2</f>
        <v>-51</v>
      </c>
      <c r="F84" s="11">
        <f t="shared" si="10"/>
        <v>-4.5392663848176484</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-4.4470857549049772</v>
      </c>
      <c r="E85" s="11">
        <f>A85-'Mastercurve bestimmen'!$B$2</f>
        <v>-50</v>
      </c>
      <c r="F85" s="11">
        <f t="shared" si="10"/>
        <v>-4.4470857549049772</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-4.3566795835940697</v>
      </c>
      <c r="E86" s="11">
        <f>A86-'Mastercurve bestimmen'!$B$2</f>
        <v>-49</v>
      </c>
      <c r="F86" s="11">
        <f t="shared" si="10"/>
        <v>-4.3566795835940697</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-4.2679172717432809</v>
      </c>
      <c r="E87" s="11">
        <f>A87-'Mastercurve bestimmen'!$B$2</f>
        <v>-48</v>
      </c>
      <c r="F87" s="11">
        <f t="shared" si="10"/>
        <v>-4.2679172717432809</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-4.1806682202109666</v>
      </c>
      <c r="E88" s="11">
        <f>A88-'Mastercurve bestimmen'!$B$2</f>
        <v>-47</v>
      </c>
      <c r="F88" s="11">
        <f t="shared" si="10"/>
        <v>-4.1806682202109666</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-4.0948018298554851</v>
      </c>
      <c r="E89" s="11">
        <f>A89-'Mastercurve bestimmen'!$B$2</f>
        <v>-46</v>
      </c>
      <c r="F89" s="11">
        <f t="shared" si="10"/>
        <v>-4.0948018298554851</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-4.0101875015351904</v>
      </c>
      <c r="E90" s="11">
        <f>A90-'Mastercurve bestimmen'!$B$2</f>
        <v>-45</v>
      </c>
      <c r="F90" s="11">
        <f t="shared" si="10"/>
        <v>-4.0101875015351904</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-3.9266946361084409</v>
      </c>
      <c r="E91" s="11">
        <f>A91-'Mastercurve bestimmen'!$B$2</f>
        <v>-44</v>
      </c>
      <c r="F91" s="11">
        <f t="shared" si="10"/>
        <v>-3.9266946361084409</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-3.844192634433591</v>
      </c>
      <c r="E92" s="11">
        <f>A92-'Mastercurve bestimmen'!$B$2</f>
        <v>-43</v>
      </c>
      <c r="F92" s="11">
        <f t="shared" si="10"/>
        <v>-3.844192634433591</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-3.7625508973689983</v>
      </c>
      <c r="E93" s="11">
        <f>A93-'Mastercurve bestimmen'!$B$2</f>
        <v>-42</v>
      </c>
      <c r="F93" s="11">
        <f t="shared" si="10"/>
        <v>-3.7625508973689983</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-3.6816388257730184</v>
      </c>
      <c r="E94" s="11">
        <f>A94-'Mastercurve bestimmen'!$B$2</f>
        <v>-41</v>
      </c>
      <c r="F94" s="11">
        <f t="shared" si="10"/>
        <v>-3.6816388257730184</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-3.601325820504008</v>
      </c>
      <c r="E95" s="11">
        <f>A95-'Mastercurve bestimmen'!$B$2</f>
        <v>-40</v>
      </c>
      <c r="F95" s="11">
        <f t="shared" si="10"/>
        <v>-3.601325820504008</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-3.5214812824203232</v>
      </c>
      <c r="E96" s="11">
        <f>A96-'Mastercurve bestimmen'!$B$2</f>
        <v>-39</v>
      </c>
      <c r="F96" s="11">
        <f t="shared" si="10"/>
        <v>-3.5214812824203232</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-3.4419746123803212</v>
      </c>
      <c r="E97" s="11">
        <f>A97-'Mastercurve bestimmen'!$B$2</f>
        <v>-38</v>
      </c>
      <c r="F97" s="11">
        <f t="shared" si="10"/>
        <v>-3.4419746123803212</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-3.3626752112423572</v>
      </c>
      <c r="E98" s="11">
        <f>A98-'Mastercurve bestimmen'!$B$2</f>
        <v>-37</v>
      </c>
      <c r="F98" s="11">
        <f t="shared" si="10"/>
        <v>-3.3626752112423572</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-3.2834524798647884</v>
      </c>
      <c r="E99" s="11">
        <f>A99-'Mastercurve bestimmen'!$B$2</f>
        <v>-36</v>
      </c>
      <c r="F99" s="11">
        <f t="shared" si="10"/>
        <v>-3.2834524798647884</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-3.2041758191059699</v>
      </c>
      <c r="E100" s="11">
        <f>A100-'Mastercurve bestimmen'!$B$2</f>
        <v>-35</v>
      </c>
      <c r="F100" s="11">
        <f t="shared" si="10"/>
        <v>-3.2041758191059699</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-3.1247146298242594</v>
      </c>
      <c r="E101" s="11">
        <f>A101-'Mastercurve bestimmen'!$B$2</f>
        <v>-34</v>
      </c>
      <c r="F101" s="11">
        <f t="shared" si="10"/>
        <v>-3.1247146298242594</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-3.0449383128780121</v>
      </c>
      <c r="E102" s="11">
        <f>A102-'Mastercurve bestimmen'!$B$2</f>
        <v>-33</v>
      </c>
      <c r="F102" s="11">
        <f t="shared" si="10"/>
        <v>-3.0449383128780121</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-2.9647162691255851</v>
      </c>
      <c r="E103" s="11">
        <f>A103-'Mastercurve bestimmen'!$B$2</f>
        <v>-32</v>
      </c>
      <c r="F103" s="11">
        <f t="shared" si="10"/>
        <v>-2.9647162691255851</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-2.8839178994253345</v>
      </c>
      <c r="E104" s="11">
        <f>A104-'Mastercurve bestimmen'!$B$2</f>
        <v>-31</v>
      </c>
      <c r="F104" s="11">
        <f t="shared" si="10"/>
        <v>-2.8839178994253345</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-2.8024126046356161</v>
      </c>
      <c r="E105" s="11">
        <f>A105-'Mastercurve bestimmen'!$B$2</f>
        <v>-30</v>
      </c>
      <c r="F105" s="11">
        <f t="shared" si="10"/>
        <v>-2.8024126046356161</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-2.7200927203610172</v>
      </c>
      <c r="E106" s="11">
        <f>A106-'Mastercurve bestimmen'!$B$2</f>
        <v>-29</v>
      </c>
      <c r="F106" s="11">
        <f t="shared" si="10"/>
        <v>-2.7200927203610172</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-2.6369423211910434</v>
      </c>
      <c r="E107" s="11">
        <f>A107-'Mastercurve bestimmen'!$B$2</f>
        <v>-28</v>
      </c>
      <c r="F107" s="11">
        <f t="shared" si="10"/>
        <v>-2.6369423211910434</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-2.5529684164614319</v>
      </c>
      <c r="E108" s="11">
        <f>A108-'Mastercurve bestimmen'!$B$2</f>
        <v>-27</v>
      </c>
      <c r="F108" s="11">
        <f t="shared" si="10"/>
        <v>-2.5529684164614319</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-2.4681780155079194</v>
      </c>
      <c r="E109" s="11">
        <f>A109-'Mastercurve bestimmen'!$B$2</f>
        <v>-26</v>
      </c>
      <c r="F109" s="11">
        <f t="shared" si="10"/>
        <v>-2.4681780155079194</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-2.3825781276662408</v>
      </c>
      <c r="E110" s="11">
        <f>A110-'Mastercurve bestimmen'!$B$2</f>
        <v>-25</v>
      </c>
      <c r="F110" s="11">
        <f t="shared" si="10"/>
        <v>-2.3825781276662408</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-2.2961757622721346</v>
      </c>
      <c r="E111" s="11">
        <f>A111-'Mastercurve bestimmen'!$B$2</f>
        <v>-24</v>
      </c>
      <c r="F111" s="11">
        <f t="shared" si="10"/>
        <v>-2.2961757622721346</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-2.2089779286613362</v>
      </c>
      <c r="E112" s="11">
        <f>A112-'Mastercurve bestimmen'!$B$2</f>
        <v>-23</v>
      </c>
      <c r="F112" s="11">
        <f t="shared" si="10"/>
        <v>-2.2089779286613362</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-2.1209916361695824</v>
      </c>
      <c r="E113" s="11">
        <f>A113-'Mastercurve bestimmen'!$B$2</f>
        <v>-22</v>
      </c>
      <c r="F113" s="11">
        <f t="shared" si="10"/>
        <v>-2.1209916361695824</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-2.0322238941326103</v>
      </c>
      <c r="E114" s="11">
        <f>A114-'Mastercurve bestimmen'!$B$2</f>
        <v>-21</v>
      </c>
      <c r="F114" s="11">
        <f t="shared" si="10"/>
        <v>-2.0322238941326103</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-1.9426817118861552</v>
      </c>
      <c r="E115" s="11">
        <f>A115-'Mastercurve bestimmen'!$B$2</f>
        <v>-20</v>
      </c>
      <c r="F115" s="11">
        <f t="shared" si="10"/>
        <v>-1.9426817118861552</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-1.8523720987659544</v>
      </c>
      <c r="E116" s="11">
        <f>A116-'Mastercurve bestimmen'!$B$2</f>
        <v>-19</v>
      </c>
      <c r="F116" s="11">
        <f t="shared" si="10"/>
        <v>-1.8523720987659544</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-1.7613020641077446</v>
      </c>
      <c r="E117" s="11">
        <f>A117-'Mastercurve bestimmen'!$B$2</f>
        <v>-18</v>
      </c>
      <c r="F117" s="11">
        <f t="shared" si="10"/>
        <v>-1.7613020641077446</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-1.6694786172472615</v>
      </c>
      <c r="E118" s="11">
        <f>A118-'Mastercurve bestimmen'!$B$2</f>
        <v>-17</v>
      </c>
      <c r="F118" s="11">
        <f t="shared" si="10"/>
        <v>-1.6694786172472615</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-1.5769087675202422</v>
      </c>
      <c r="E119" s="11">
        <f>A119-'Mastercurve bestimmen'!$B$2</f>
        <v>-16</v>
      </c>
      <c r="F119" s="11">
        <f t="shared" si="10"/>
        <v>-1.5769087675202422</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-1.4835995242624234</v>
      </c>
      <c r="E120" s="11">
        <f>A120-'Mastercurve bestimmen'!$B$2</f>
        <v>-15</v>
      </c>
      <c r="F120" s="11">
        <f t="shared" si="10"/>
        <v>-1.4835995242624234</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-1.389557896809541</v>
      </c>
      <c r="E121" s="11">
        <f>A121-'Mastercurve bestimmen'!$B$2</f>
        <v>-14</v>
      </c>
      <c r="F121" s="11">
        <f t="shared" si="10"/>
        <v>-1.389557896809541</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-1.2947908944973325</v>
      </c>
      <c r="E122" s="11">
        <f>A122-'Mastercurve bestimmen'!$B$2</f>
        <v>-13</v>
      </c>
      <c r="F122" s="11">
        <f t="shared" si="10"/>
        <v>-1.2947908944973325</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-1.1993055266615333</v>
      </c>
      <c r="E123" s="11">
        <f>A123-'Mastercurve bestimmen'!$B$2</f>
        <v>-12</v>
      </c>
      <c r="F123" s="11">
        <f t="shared" si="10"/>
        <v>-1.1993055266615333</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-1.1031088026378806</v>
      </c>
      <c r="E124" s="11">
        <f>A124-'Mastercurve bestimmen'!$B$2</f>
        <v>-11</v>
      </c>
      <c r="F124" s="11">
        <f t="shared" si="10"/>
        <v>-1.1031088026378806</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-1.0062077317621105</v>
      </c>
      <c r="E125" s="11">
        <f>A125-'Mastercurve bestimmen'!$B$2</f>
        <v>-10</v>
      </c>
      <c r="F125" s="11">
        <f t="shared" si="10"/>
        <v>-1.0062077317621105</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-0.90860932336995992</v>
      </c>
      <c r="E126" s="11">
        <f>A126-'Mastercurve bestimmen'!$B$2</f>
        <v>-9</v>
      </c>
      <c r="F126" s="11">
        <f t="shared" si="10"/>
        <v>-0.90860932336995992</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-0.81032058679716512</v>
      </c>
      <c r="E127" s="11">
        <f>A127-'Mastercurve bestimmen'!$B$2</f>
        <v>-8</v>
      </c>
      <c r="F127" s="11">
        <f t="shared" si="10"/>
        <v>-0.81032058679716512</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-0.71134853137946263</v>
      </c>
      <c r="E128" s="11">
        <f>A128-'Mastercurve bestimmen'!$B$2</f>
        <v>-7</v>
      </c>
      <c r="F128" s="11">
        <f t="shared" si="10"/>
        <v>-0.71134853137946263</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-0.61170016645258918</v>
      </c>
      <c r="E129" s="11">
        <f>A129-'Mastercurve bestimmen'!$B$2</f>
        <v>-6</v>
      </c>
      <c r="F129" s="11">
        <f t="shared" si="10"/>
        <v>-0.61170016645258918</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-0.51138250135228103</v>
      </c>
      <c r="E130" s="11">
        <f>A130-'Mastercurve bestimmen'!$B$2</f>
        <v>-5</v>
      </c>
      <c r="F130" s="11">
        <f t="shared" si="10"/>
        <v>-0.51138250135228103</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-0.4104025454142749</v>
      </c>
      <c r="E131" s="11">
        <f>A131-'Mastercurve bestimmen'!$B$2</f>
        <v>-4</v>
      </c>
      <c r="F131" s="11">
        <f t="shared" si="10"/>
        <v>-0.4104025454142749</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-0.30876730797430718</v>
      </c>
      <c r="E132" s="11">
        <f>A132-'Mastercurve bestimmen'!$B$2</f>
        <v>-3</v>
      </c>
      <c r="F132" s="11">
        <f t="shared" si="10"/>
        <v>-0.30876730797430718</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-0.20648379836811448</v>
      </c>
      <c r="E133" s="11">
        <f>A133-'Mastercurve bestimmen'!$B$2</f>
        <v>-2</v>
      </c>
      <c r="F133" s="11">
        <f t="shared" si="10"/>
        <v>-0.20648379836811448</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-0.10355902593143325</v>
      </c>
      <c r="E134" s="11">
        <f>A134-'Mastercurve bestimmen'!$B$2</f>
        <v>-1</v>
      </c>
      <c r="F134" s="11">
        <f t="shared" si="10"/>
        <v>-0.10355902593143325</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0.10418866032288009</v>
      </c>
      <c r="E136" s="11">
        <f>A136-'Mastercurve bestimmen'!$B$2</f>
        <v>1</v>
      </c>
      <c r="F136" s="11">
        <f t="shared" si="10"/>
        <v>0.10418866032288009</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0.20901189686362706</v>
      </c>
      <c r="E137" s="11">
        <f>A137-'Mastercurve bestimmen'!$B$2</f>
        <v>2</v>
      </c>
      <c r="F137" s="11">
        <f t="shared" si="10"/>
        <v>0.20901189686362706</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0.31447704168109236</v>
      </c>
      <c r="E138" s="11">
        <f>A138-'Mastercurve bestimmen'!$B$2</f>
        <v>3</v>
      </c>
      <c r="F138" s="11">
        <f t="shared" si="10"/>
        <v>0.31447704168109236</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0.42059142683412754</v>
      </c>
      <c r="E139" s="11">
        <f>A139-'Mastercurve bestimmen'!$B$2</f>
        <v>4</v>
      </c>
      <c r="F139" s="11">
        <f t="shared" si="10"/>
        <v>0.42059142683412754</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0.52736238438158378</v>
      </c>
      <c r="E140" s="11">
        <f>A140-'Mastercurve bestimmen'!$B$2</f>
        <v>5</v>
      </c>
      <c r="F140" s="11">
        <f t="shared" si="10"/>
        <v>0.52736238438158378</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0.63479724638231294</v>
      </c>
      <c r="E141" s="11">
        <f>A141-'Mastercurve bestimmen'!$B$2</f>
        <v>6</v>
      </c>
      <c r="F141" s="11">
        <f t="shared" si="10"/>
        <v>0.63479724638231294</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0.74290334489516596</v>
      </c>
      <c r="E142" s="11">
        <f>A142-'Mastercurve bestimmen'!$B$2</f>
        <v>7</v>
      </c>
      <c r="F142" s="11">
        <f t="shared" si="10"/>
        <v>0.74290334489516596</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0.85168801197899469</v>
      </c>
      <c r="E143" s="11">
        <f>A143-'Mastercurve bestimmen'!$B$2</f>
        <v>8</v>
      </c>
      <c r="F143" s="11">
        <f t="shared" si="10"/>
        <v>0.85168801197899469</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0.96115857969265039</v>
      </c>
      <c r="E144" s="11">
        <f>A144-'Mastercurve bestimmen'!$B$2</f>
        <v>9</v>
      </c>
      <c r="F144" s="11">
        <f t="shared" ref="F144:F207" si="15">B144</f>
        <v>0.96115857969265039</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1.0713223800949845</v>
      </c>
      <c r="E145" s="11">
        <f>A145-'Mastercurve bestimmen'!$B$2</f>
        <v>10</v>
      </c>
      <c r="F145" s="11">
        <f t="shared" si="15"/>
        <v>1.0713223800949845</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1.1821867452448485</v>
      </c>
      <c r="E146" s="11">
        <f>A146-'Mastercurve bestimmen'!$B$2</f>
        <v>11</v>
      </c>
      <c r="F146" s="11">
        <f t="shared" si="15"/>
        <v>1.1821867452448485</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1.2937590072010938</v>
      </c>
      <c r="E147" s="11">
        <f>A147-'Mastercurve bestimmen'!$B$2</f>
        <v>12</v>
      </c>
      <c r="F147" s="11">
        <f t="shared" si="15"/>
        <v>1.2937590072010938</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1.4060464980225718</v>
      </c>
      <c r="E148" s="11">
        <f>A148-'Mastercurve bestimmen'!$B$2</f>
        <v>13</v>
      </c>
      <c r="F148" s="11">
        <f t="shared" si="15"/>
        <v>1.4060464980225718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1.5190565497681341</v>
      </c>
      <c r="E149" s="11">
        <f>A149-'Mastercurve bestimmen'!$B$2</f>
        <v>14</v>
      </c>
      <c r="F149" s="11">
        <f t="shared" si="15"/>
        <v>1.5190565497681341</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1.632796494496632</v>
      </c>
      <c r="E150" s="11">
        <f>A150-'Mastercurve bestimmen'!$B$2</f>
        <v>15</v>
      </c>
      <c r="F150" s="11">
        <f t="shared" si="15"/>
        <v>1.632796494496632</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1.7472736642669169</v>
      </c>
      <c r="E151" s="11">
        <f>A151-'Mastercurve bestimmen'!$B$2</f>
        <v>16</v>
      </c>
      <c r="F151" s="11">
        <f t="shared" si="15"/>
        <v>1.7472736642669169</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1.8624953911378404</v>
      </c>
      <c r="E152" s="11">
        <f>A152-'Mastercurve bestimmen'!$B$2</f>
        <v>17</v>
      </c>
      <c r="F152" s="11">
        <f t="shared" si="15"/>
        <v>1.8624953911378404</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1.9784690071682538</v>
      </c>
      <c r="E153" s="11">
        <f>A153-'Mastercurve bestimmen'!$B$2</f>
        <v>18</v>
      </c>
      <c r="F153" s="11">
        <f t="shared" si="15"/>
        <v>1.9784690071682538</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2.0952018444170082</v>
      </c>
      <c r="E154" s="11">
        <f>A154-'Mastercurve bestimmen'!$B$2</f>
        <v>19</v>
      </c>
      <c r="F154" s="11">
        <f t="shared" si="15"/>
        <v>2.0952018444170082</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2.2127012349429562</v>
      </c>
      <c r="E155" s="11">
        <f>A155-'Mastercurve bestimmen'!$B$2</f>
        <v>20</v>
      </c>
      <c r="F155" s="11">
        <f t="shared" si="15"/>
        <v>2.2127012349429562</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2.330974510804948</v>
      </c>
      <c r="E156" s="11">
        <f>A156-'Mastercurve bestimmen'!$B$2</f>
        <v>21</v>
      </c>
      <c r="F156" s="11">
        <f t="shared" si="15"/>
        <v>2.330974510804948</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2.4500290040618355</v>
      </c>
      <c r="E157" s="11">
        <f>A157-'Mastercurve bestimmen'!$B$2</f>
        <v>22</v>
      </c>
      <c r="F157" s="11">
        <f t="shared" si="15"/>
        <v>2.4500290040618355</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2.5698720467724705</v>
      </c>
      <c r="E158" s="11">
        <f>A158-'Mastercurve bestimmen'!$B$2</f>
        <v>23</v>
      </c>
      <c r="F158" s="11">
        <f t="shared" si="15"/>
        <v>2.5698720467724705</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2.690510970995704</v>
      </c>
      <c r="E159" s="11">
        <f>A159-'Mastercurve bestimmen'!$B$2</f>
        <v>24</v>
      </c>
      <c r="F159" s="11">
        <f t="shared" si="15"/>
        <v>2.690510970995704</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2.8119531087903868</v>
      </c>
      <c r="E160" s="11">
        <f>A160-'Mastercurve bestimmen'!$B$2</f>
        <v>25</v>
      </c>
      <c r="F160" s="11">
        <f t="shared" si="15"/>
        <v>2.8119531087903868</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2.9342057922153719</v>
      </c>
      <c r="E161" s="11">
        <f>A161-'Mastercurve bestimmen'!$B$2</f>
        <v>26</v>
      </c>
      <c r="F161" s="11">
        <f t="shared" si="15"/>
        <v>2.9342057922153719</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3.05727635332951</v>
      </c>
      <c r="E162" s="11">
        <f>A162-'Mastercurve bestimmen'!$B$2</f>
        <v>27</v>
      </c>
      <c r="F162" s="11">
        <f t="shared" si="15"/>
        <v>3.05727635332951</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3.1811721241916517</v>
      </c>
      <c r="E163" s="11">
        <f>A163-'Mastercurve bestimmen'!$B$2</f>
        <v>28</v>
      </c>
      <c r="F163" s="11">
        <f t="shared" si="15"/>
        <v>3.1811721241916517</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3.3059004368606497</v>
      </c>
      <c r="E164" s="11">
        <f>A164-'Mastercurve bestimmen'!$B$2</f>
        <v>29</v>
      </c>
      <c r="F164" s="11">
        <f t="shared" si="15"/>
        <v>3.3059004368606497</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3.4314686233953551</v>
      </c>
      <c r="E165" s="11">
        <f>A165-'Mastercurve bestimmen'!$B$2</f>
        <v>30</v>
      </c>
      <c r="F165" s="11">
        <f t="shared" si="15"/>
        <v>3.4314686233953551</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3.5578840158546186</v>
      </c>
      <c r="E166" s="11">
        <f>A166-'Mastercurve bestimmen'!$B$2</f>
        <v>31</v>
      </c>
      <c r="F166" s="11">
        <f t="shared" si="15"/>
        <v>3.5578840158546186</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3.6851539462972922</v>
      </c>
      <c r="E167" s="11">
        <f>A167-'Mastercurve bestimmen'!$B$2</f>
        <v>32</v>
      </c>
      <c r="F167" s="11">
        <f t="shared" si="15"/>
        <v>3.6851539462972922</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3.8132857467822281</v>
      </c>
      <c r="E168" s="11">
        <f>A168-'Mastercurve bestimmen'!$B$2</f>
        <v>33</v>
      </c>
      <c r="F168" s="11">
        <f t="shared" si="15"/>
        <v>3.8132857467822281</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3.9422867493682761</v>
      </c>
      <c r="E169" s="11">
        <f>A169-'Mastercurve bestimmen'!$B$2</f>
        <v>34</v>
      </c>
      <c r="F169" s="11">
        <f t="shared" si="15"/>
        <v>3.9422867493682761</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4.0721642861142886</v>
      </c>
      <c r="E170" s="11">
        <f>A170-'Mastercurve bestimmen'!$B$2</f>
        <v>35</v>
      </c>
      <c r="F170" s="11">
        <f t="shared" si="15"/>
        <v>4.0721642861142886</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4.2029256890791178</v>
      </c>
      <c r="E171" s="11">
        <f>A171-'Mastercurve bestimmen'!$B$2</f>
        <v>36</v>
      </c>
      <c r="F171" s="11">
        <f t="shared" si="15"/>
        <v>4.2029256890791178</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4.3345782903216143</v>
      </c>
      <c r="E172" s="11">
        <f>A172-'Mastercurve bestimmen'!$B$2</f>
        <v>37</v>
      </c>
      <c r="F172" s="11">
        <f t="shared" si="15"/>
        <v>4.3345782903216143</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4.4671294219006281</v>
      </c>
      <c r="E173" s="11">
        <f>A173-'Mastercurve bestimmen'!$B$2</f>
        <v>38</v>
      </c>
      <c r="F173" s="11">
        <f t="shared" si="15"/>
        <v>4.4671294219006281</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4.6005864158750134</v>
      </c>
      <c r="E174" s="11">
        <f>A174-'Mastercurve bestimmen'!$B$2</f>
        <v>39</v>
      </c>
      <c r="F174" s="11">
        <f t="shared" si="15"/>
        <v>4.6005864158750134</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4.73495660430362</v>
      </c>
      <c r="E175" s="11">
        <f>A175-'Mastercurve bestimmen'!$B$2</f>
        <v>40</v>
      </c>
      <c r="F175" s="11">
        <f t="shared" si="15"/>
        <v>4.73495660430362</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4.8702473192452995</v>
      </c>
      <c r="E176" s="11">
        <f>A176-'Mastercurve bestimmen'!$B$2</f>
        <v>41</v>
      </c>
      <c r="F176" s="11">
        <f t="shared" si="15"/>
        <v>4.8702473192452995</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5.0064658927589036</v>
      </c>
      <c r="E177" s="11">
        <f>A177-'Mastercurve bestimmen'!$B$2</f>
        <v>42</v>
      </c>
      <c r="F177" s="11">
        <f t="shared" si="15"/>
        <v>5.0064658927589036</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5.1436196569032839</v>
      </c>
      <c r="E178" s="11">
        <f>A178-'Mastercurve bestimmen'!$B$2</f>
        <v>43</v>
      </c>
      <c r="F178" s="11">
        <f t="shared" si="15"/>
        <v>5.1436196569032839</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5.2817159437372903</v>
      </c>
      <c r="E179" s="11">
        <f>A179-'Mastercurve bestimmen'!$B$2</f>
        <v>44</v>
      </c>
      <c r="F179" s="11">
        <f t="shared" si="15"/>
        <v>5.2817159437372903</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5.4207620853197769</v>
      </c>
      <c r="E180" s="11">
        <f>A180-'Mastercurve bestimmen'!$B$2</f>
        <v>45</v>
      </c>
      <c r="F180" s="11">
        <f t="shared" si="15"/>
        <v>5.4207620853197769</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5.5607596336673684</v>
      </c>
      <c r="E181" s="11">
        <f>A181-'Mastercurve bestimmen'!$B$2</f>
        <v>46</v>
      </c>
      <c r="F181" s="11">
        <f t="shared" si="15"/>
        <v>5.5607596336673684</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5.7016870206277961</v>
      </c>
      <c r="E182" s="11">
        <f>A182-'Mastercurve bestimmen'!$B$2</f>
        <v>47</v>
      </c>
      <c r="F182" s="11">
        <f t="shared" si="15"/>
        <v>5.7016870206277961</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5.8435168980065626</v>
      </c>
      <c r="E183" s="11">
        <f>A183-'Mastercurve bestimmen'!$B$2</f>
        <v>48</v>
      </c>
      <c r="F183" s="11">
        <f t="shared" si="15"/>
        <v>5.8435168980065626</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5.9862219176091749</v>
      </c>
      <c r="E184" s="11">
        <f>A184-'Mastercurve bestimmen'!$B$2</f>
        <v>49</v>
      </c>
      <c r="F184" s="11">
        <f t="shared" si="15"/>
        <v>5.9862219176091749</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6.1297747312411355</v>
      </c>
      <c r="E185" s="11">
        <f>A185-'Mastercurve bestimmen'!$B$2</f>
        <v>50</v>
      </c>
      <c r="F185" s="11">
        <f t="shared" si="15"/>
        <v>6.1297747312411355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6.2741479907079523</v>
      </c>
      <c r="E186" s="11">
        <f>A186-'Mastercurve bestimmen'!$B$2</f>
        <v>51</v>
      </c>
      <c r="F186" s="11">
        <f t="shared" si="15"/>
        <v>6.2741479907079523</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6.4193143478151278</v>
      </c>
      <c r="E187" s="11">
        <f>A187-'Mastercurve bestimmen'!$B$2</f>
        <v>52</v>
      </c>
      <c r="F187" s="11">
        <f t="shared" si="15"/>
        <v>6.4193143478151278</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6.5652464543681672</v>
      </c>
      <c r="E188" s="11">
        <f>A188-'Mastercurve bestimmen'!$B$2</f>
        <v>53</v>
      </c>
      <c r="F188" s="11">
        <f t="shared" si="15"/>
        <v>6.5652464543681672</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6.7119169621725758</v>
      </c>
      <c r="E189" s="11">
        <f>A189-'Mastercurve bestimmen'!$B$2</f>
        <v>54</v>
      </c>
      <c r="F189" s="11">
        <f t="shared" si="15"/>
        <v>6.7119169621725758</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6.8592985230338588</v>
      </c>
      <c r="E190" s="11">
        <f>A190-'Mastercurve bestimmen'!$B$2</f>
        <v>55</v>
      </c>
      <c r="F190" s="11">
        <f t="shared" si="15"/>
        <v>6.8592985230338588</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7.0073637887575195</v>
      </c>
      <c r="E191" s="11">
        <f>A191-'Mastercurve bestimmen'!$B$2</f>
        <v>56</v>
      </c>
      <c r="F191" s="11">
        <f t="shared" si="15"/>
        <v>7.0073637887575195</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7.1560854111490642</v>
      </c>
      <c r="E192" s="11">
        <f>A192-'Mastercurve bestimmen'!$B$2</f>
        <v>57</v>
      </c>
      <c r="F192" s="11">
        <f t="shared" si="15"/>
        <v>7.1560854111490642</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7.3054360420139979</v>
      </c>
      <c r="E193" s="11">
        <f>A193-'Mastercurve bestimmen'!$B$2</f>
        <v>58</v>
      </c>
      <c r="F193" s="11">
        <f t="shared" si="15"/>
        <v>7.3054360420139979</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7.455388333157825</v>
      </c>
      <c r="E194" s="11">
        <f>A194-'Mastercurve bestimmen'!$B$2</f>
        <v>59</v>
      </c>
      <c r="F194" s="11">
        <f t="shared" si="15"/>
        <v>7.455388333157825</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7.6059149363860499</v>
      </c>
      <c r="E195" s="11">
        <f>A195-'Mastercurve bestimmen'!$B$2</f>
        <v>60</v>
      </c>
      <c r="F195" s="11">
        <f t="shared" si="15"/>
        <v>7.6059149363860499</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7.7569885035041786</v>
      </c>
      <c r="E196" s="11">
        <f>A196-'Mastercurve bestimmen'!$B$2</f>
        <v>61</v>
      </c>
      <c r="F196" s="11">
        <f t="shared" si="15"/>
        <v>7.7569885035041786</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7.9085816863177136</v>
      </c>
      <c r="E197" s="11">
        <f>A197-'Mastercurve bestimmen'!$B$2</f>
        <v>62</v>
      </c>
      <c r="F197" s="11">
        <f t="shared" si="15"/>
        <v>7.9085816863177136</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8.0606671366321621</v>
      </c>
      <c r="E198" s="11">
        <f>A198-'Mastercurve bestimmen'!$B$2</f>
        <v>63</v>
      </c>
      <c r="F198" s="11">
        <f t="shared" si="15"/>
        <v>8.0606671366321621</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8.2132175062530273</v>
      </c>
      <c r="E199" s="11">
        <f>A199-'Mastercurve bestimmen'!$B$2</f>
        <v>64</v>
      </c>
      <c r="F199" s="11">
        <f t="shared" si="15"/>
        <v>8.2132175062530273</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8.3662054469858163</v>
      </c>
      <c r="E200" s="11">
        <f>A200-'Mastercurve bestimmen'!$B$2</f>
        <v>65</v>
      </c>
      <c r="F200" s="11">
        <f t="shared" si="15"/>
        <v>8.3662054469858163</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8.5196036106360324</v>
      </c>
      <c r="E201" s="11">
        <f>A201-'Mastercurve bestimmen'!$B$2</f>
        <v>66</v>
      </c>
      <c r="F201" s="11">
        <f t="shared" si="15"/>
        <v>8.5196036106360324</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8.6733846490091793</v>
      </c>
      <c r="E202" s="11">
        <f>A202-'Mastercurve bestimmen'!$B$2</f>
        <v>67</v>
      </c>
      <c r="F202" s="11">
        <f t="shared" si="15"/>
        <v>8.6733846490091793</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8.8275212139107637</v>
      </c>
      <c r="E203" s="11">
        <f>A203-'Mastercurve bestimmen'!$B$2</f>
        <v>68</v>
      </c>
      <c r="F203" s="11">
        <f t="shared" si="15"/>
        <v>8.8275212139107637</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8.981985957146291</v>
      </c>
      <c r="E204" s="11">
        <f>A204-'Mastercurve bestimmen'!$B$2</f>
        <v>69</v>
      </c>
      <c r="F204" s="11">
        <f t="shared" si="15"/>
        <v>8.981985957146291</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9.1367515305212645</v>
      </c>
      <c r="E205" s="11">
        <f>A205-'Mastercurve bestimmen'!$B$2</f>
        <v>70</v>
      </c>
      <c r="F205" s="11">
        <f t="shared" si="15"/>
        <v>9.1367515305212645</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9.2917905858411896</v>
      </c>
      <c r="E206" s="11">
        <f>A206-'Mastercurve bestimmen'!$B$2</f>
        <v>71</v>
      </c>
      <c r="F206" s="11">
        <f t="shared" si="15"/>
        <v>9.2917905858411896</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9.4470757749115712</v>
      </c>
      <c r="E207" s="11">
        <f>A207-'Mastercurve bestimmen'!$B$2</f>
        <v>72</v>
      </c>
      <c r="F207" s="11">
        <f t="shared" si="15"/>
        <v>9.4470757749115712</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9.602579749537913</v>
      </c>
      <c r="E208" s="11">
        <f>A208-'Mastercurve bestimmen'!$B$2</f>
        <v>73</v>
      </c>
      <c r="F208" s="11">
        <f t="shared" ref="F208:F215" si="21">B208</f>
        <v>9.602579749537913</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9.7582751615257202</v>
      </c>
      <c r="E209" s="11">
        <f>A209-'Mastercurve bestimmen'!$B$2</f>
        <v>74</v>
      </c>
      <c r="F209" s="11">
        <f t="shared" si="21"/>
        <v>9.7582751615257202</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9.9141346626804996</v>
      </c>
      <c r="E210" s="11">
        <f>A210-'Mastercurve bestimmen'!$B$2</f>
        <v>75</v>
      </c>
      <c r="F210" s="11">
        <f t="shared" si="21"/>
        <v>9.9141346626804996</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10.070130904807755</v>
      </c>
      <c r="E211" s="11">
        <f>A211-'Mastercurve bestimmen'!$B$2</f>
        <v>76</v>
      </c>
      <c r="F211" s="11">
        <f t="shared" si="21"/>
        <v>10.070130904807755</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10.226236539712991</v>
      </c>
      <c r="E212" s="11">
        <f>A212-'Mastercurve bestimmen'!$B$2</f>
        <v>77</v>
      </c>
      <c r="F212" s="11">
        <f t="shared" si="21"/>
        <v>10.226236539712991</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10.38242421920171</v>
      </c>
      <c r="E213" s="11">
        <f>A213-'Mastercurve bestimmen'!$B$2</f>
        <v>78</v>
      </c>
      <c r="F213" s="11">
        <f t="shared" si="21"/>
        <v>10.38242421920171</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10.538666595079423</v>
      </c>
      <c r="E214" s="11">
        <f>A214-'Mastercurve bestimmen'!$B$2</f>
        <v>79</v>
      </c>
      <c r="F214" s="11">
        <f t="shared" si="21"/>
        <v>10.538666595079423</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10.69493631915163</v>
      </c>
      <c r="E215" s="11">
        <f>A215-'Mastercurve bestimmen'!$B$2</f>
        <v>80</v>
      </c>
      <c r="F215" s="11">
        <f t="shared" si="21"/>
        <v>10.69493631915163</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0.1040257780066212</v>
      </c>
      <c r="J217" s="98">
        <v>4.2263621002415887E-4</v>
      </c>
      <c r="K217" s="98">
        <v>-1.2095707830609978E-6</v>
      </c>
      <c r="L217" s="98">
        <v>-5.5321756648864499E-8</v>
      </c>
      <c r="M217" s="98">
        <v>1.0245927819640256E-9</v>
      </c>
      <c r="N217" s="98">
        <v>7.8635549127838659E-12</v>
      </c>
      <c r="O217" s="98">
        <v>-9.0620083454165273E-14</v>
      </c>
      <c r="P217" s="98">
        <v>-6.0573317453240753E-16</v>
      </c>
    </row>
    <row r="218" spans="1:16" x14ac:dyDescent="0.25">
      <c r="G218" s="11"/>
      <c r="H218" s="11">
        <v>0</v>
      </c>
      <c r="I218" s="11">
        <v>2.8355319973880175E-4</v>
      </c>
      <c r="J218" s="11">
        <v>5.2816164226699048E-6</v>
      </c>
      <c r="K218" s="3">
        <v>2.683567850282308E-7</v>
      </c>
      <c r="L218" s="3">
        <v>2.4434683502256023E-9</v>
      </c>
      <c r="M218" s="3">
        <v>7.672536372983705E-11</v>
      </c>
      <c r="N218" s="3">
        <v>4.2161393612511663E-13</v>
      </c>
      <c r="O218" s="11">
        <v>6.7797976308038925E-15</v>
      </c>
      <c r="P218" s="11">
        <v>4.1227858368514419E-17</v>
      </c>
    </row>
    <row r="219" spans="1:16" x14ac:dyDescent="0.25">
      <c r="G219" s="11"/>
      <c r="H219" s="11">
        <v>0.99997976165059588</v>
      </c>
      <c r="I219" s="11">
        <v>2.9334921288539016E-2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-11.367814499653612</v>
      </c>
      <c r="G222">
        <f>F15</f>
        <v>-11.391236875275727</v>
      </c>
    </row>
    <row r="223" spans="1:16" x14ac:dyDescent="0.25">
      <c r="E223" s="11">
        <f t="shared" ref="E223:E286" si="25">E16</f>
        <v>-119</v>
      </c>
      <c r="F223" s="11">
        <f t="shared" ref="F223:F286" si="26">$H$217*0+E223*$I$217+E223^2*$J$217+E223^3*$K$217+E223^4*$L$217+E223^5*$M$217+E223^6*$N$217+E223^7*$O$217+E223^8*$P$217</f>
        <v>-11.304958431418875</v>
      </c>
      <c r="G223" s="11">
        <f t="shared" ref="G223:G286" si="27">F16</f>
        <v>-11.323065370515776</v>
      </c>
    </row>
    <row r="224" spans="1:16" x14ac:dyDescent="0.25">
      <c r="E224" s="11">
        <f t="shared" si="25"/>
        <v>-118</v>
      </c>
      <c r="F224" s="11">
        <f t="shared" si="26"/>
        <v>-11.242525483206265</v>
      </c>
      <c r="G224" s="11">
        <f t="shared" si="27"/>
        <v>-11.254788234161197</v>
      </c>
    </row>
    <row r="225" spans="5:7" x14ac:dyDescent="0.25">
      <c r="E225" s="11">
        <f t="shared" si="25"/>
        <v>-117</v>
      </c>
      <c r="F225" s="11">
        <f t="shared" si="26"/>
        <v>-11.180068937559298</v>
      </c>
      <c r="G225" s="11">
        <f t="shared" si="27"/>
        <v>-11.18629983461736</v>
      </c>
    </row>
    <row r="226" spans="5:7" x14ac:dyDescent="0.25">
      <c r="E226" s="11">
        <f t="shared" si="25"/>
        <v>-116</v>
      </c>
      <c r="F226" s="11">
        <f t="shared" si="26"/>
        <v>-11.117190741372774</v>
      </c>
      <c r="G226" s="11">
        <f t="shared" si="27"/>
        <v>-11.117494540289636</v>
      </c>
    </row>
    <row r="227" spans="5:7" x14ac:dyDescent="0.25">
      <c r="E227" s="11">
        <f t="shared" si="25"/>
        <v>-115</v>
      </c>
      <c r="F227" s="11">
        <f t="shared" si="26"/>
        <v>-11.053538597178203</v>
      </c>
      <c r="G227" s="11">
        <f t="shared" si="27"/>
        <v>-11.048266719583394</v>
      </c>
    </row>
    <row r="228" spans="5:7" x14ac:dyDescent="0.25">
      <c r="E228" s="11">
        <f t="shared" si="25"/>
        <v>-114</v>
      </c>
      <c r="F228" s="11">
        <f t="shared" si="26"/>
        <v>-10.988803162501156</v>
      </c>
      <c r="G228" s="11">
        <f t="shared" si="27"/>
        <v>-10.97851074090401</v>
      </c>
    </row>
    <row r="229" spans="5:7" x14ac:dyDescent="0.25">
      <c r="E229" s="11">
        <f t="shared" si="25"/>
        <v>-113</v>
      </c>
      <c r="F229" s="11">
        <f t="shared" si="26"/>
        <v>-10.922715354901772</v>
      </c>
      <c r="G229" s="11">
        <f t="shared" si="27"/>
        <v>-10.908120972656851</v>
      </c>
    </row>
    <row r="230" spans="5:7" x14ac:dyDescent="0.25">
      <c r="E230" s="11">
        <f t="shared" si="25"/>
        <v>-112</v>
      </c>
      <c r="F230" s="11">
        <f t="shared" si="26"/>
        <v>-10.855043760334466</v>
      </c>
      <c r="G230" s="11">
        <f t="shared" si="27"/>
        <v>-10.836991783247289</v>
      </c>
    </row>
    <row r="231" spans="5:7" x14ac:dyDescent="0.25">
      <c r="E231" s="11">
        <f t="shared" si="25"/>
        <v>-111</v>
      </c>
      <c r="F231" s="11">
        <f t="shared" si="26"/>
        <v>-10.785592142486903</v>
      </c>
      <c r="G231" s="11">
        <f t="shared" si="27"/>
        <v>-10.765017541080693</v>
      </c>
    </row>
    <row r="232" spans="5:7" x14ac:dyDescent="0.25">
      <c r="E232" s="11">
        <f t="shared" si="25"/>
        <v>-110</v>
      </c>
      <c r="F232" s="11">
        <f t="shared" si="26"/>
        <v>-10.714197050783172</v>
      </c>
      <c r="G232" s="11">
        <f t="shared" si="27"/>
        <v>-10.692092614562437</v>
      </c>
    </row>
    <row r="233" spans="5:7" x14ac:dyDescent="0.25">
      <c r="E233" s="11">
        <f t="shared" si="25"/>
        <v>-109</v>
      </c>
      <c r="F233" s="11">
        <f t="shared" si="26"/>
        <v>-10.640725524759993</v>
      </c>
      <c r="G233" s="11">
        <f t="shared" si="27"/>
        <v>-10.618111372097893</v>
      </c>
    </row>
    <row r="234" spans="5:7" x14ac:dyDescent="0.25">
      <c r="E234" s="11">
        <f t="shared" si="25"/>
        <v>-108</v>
      </c>
      <c r="F234" s="11">
        <f t="shared" si="26"/>
        <v>-10.565072892549832</v>
      </c>
      <c r="G234" s="11">
        <f t="shared" si="27"/>
        <v>-10.542968182092427</v>
      </c>
    </row>
    <row r="235" spans="5:7" x14ac:dyDescent="0.25">
      <c r="E235" s="11">
        <f t="shared" si="25"/>
        <v>-107</v>
      </c>
      <c r="F235" s="11">
        <f t="shared" si="26"/>
        <v>-10.487160661228577</v>
      </c>
      <c r="G235" s="11">
        <f t="shared" si="27"/>
        <v>-10.466557412951413</v>
      </c>
    </row>
    <row r="236" spans="5:7" x14ac:dyDescent="0.25">
      <c r="E236" s="11">
        <f t="shared" si="25"/>
        <v>-106</v>
      </c>
      <c r="F236" s="11">
        <f t="shared" si="26"/>
        <v>-10.40693449681036</v>
      </c>
      <c r="G236" s="11">
        <f t="shared" si="27"/>
        <v>-10.388773433080225</v>
      </c>
    </row>
    <row r="237" spans="5:7" x14ac:dyDescent="0.25">
      <c r="E237" s="11">
        <f t="shared" si="25"/>
        <v>-105</v>
      </c>
      <c r="F237" s="11">
        <f t="shared" si="26"/>
        <v>-10.324362291696296</v>
      </c>
      <c r="G237" s="11">
        <f t="shared" si="27"/>
        <v>-10.30951061088423</v>
      </c>
    </row>
    <row r="238" spans="5:7" x14ac:dyDescent="0.25">
      <c r="E238" s="11">
        <f t="shared" si="25"/>
        <v>-104</v>
      </c>
      <c r="F238" s="11">
        <f t="shared" si="26"/>
        <v>-10.239432317408308</v>
      </c>
      <c r="G238" s="11">
        <f t="shared" si="27"/>
        <v>-10.228663314768799</v>
      </c>
    </row>
    <row r="239" spans="5:7" x14ac:dyDescent="0.25">
      <c r="E239" s="11">
        <f t="shared" si="25"/>
        <v>-103</v>
      </c>
      <c r="F239" s="11">
        <f t="shared" si="26"/>
        <v>-10.152151460463809</v>
      </c>
      <c r="G239" s="11">
        <f t="shared" si="27"/>
        <v>-10.146125913139304</v>
      </c>
    </row>
    <row r="240" spans="5:7" x14ac:dyDescent="0.25">
      <c r="E240" s="11">
        <f t="shared" si="25"/>
        <v>-102</v>
      </c>
      <c r="F240" s="11">
        <f t="shared" si="26"/>
        <v>-10.062543539271193</v>
      </c>
      <c r="G240" s="11">
        <f t="shared" si="27"/>
        <v>-10.061792774401116</v>
      </c>
    </row>
    <row r="241" spans="5:7" x14ac:dyDescent="0.25">
      <c r="E241" s="11">
        <f t="shared" si="25"/>
        <v>-101</v>
      </c>
      <c r="F241" s="11">
        <f t="shared" si="26"/>
        <v>-9.970647699950753</v>
      </c>
      <c r="G241" s="11">
        <f t="shared" si="27"/>
        <v>-9.9755582669596059</v>
      </c>
    </row>
    <row r="242" spans="5:7" x14ac:dyDescent="0.25">
      <c r="E242" s="11">
        <f t="shared" si="25"/>
        <v>-100</v>
      </c>
      <c r="F242" s="11">
        <f t="shared" si="26"/>
        <v>-9.876516889009924</v>
      </c>
      <c r="G242" s="11">
        <f t="shared" si="27"/>
        <v>-9.8873167592201447</v>
      </c>
    </row>
    <row r="243" spans="5:7" x14ac:dyDescent="0.25">
      <c r="E243" s="11">
        <f t="shared" si="25"/>
        <v>-99</v>
      </c>
      <c r="F243" s="11">
        <f t="shared" si="26"/>
        <v>-9.7802164008260988</v>
      </c>
      <c r="G243" s="11">
        <f t="shared" si="27"/>
        <v>-9.7969626195881023</v>
      </c>
    </row>
    <row r="244" spans="5:7" x14ac:dyDescent="0.25">
      <c r="E244" s="11">
        <f t="shared" si="25"/>
        <v>-98</v>
      </c>
      <c r="F244" s="11">
        <f t="shared" si="26"/>
        <v>-9.6818224979150109</v>
      </c>
      <c r="G244" s="11">
        <f t="shared" si="27"/>
        <v>-9.7043902164688518</v>
      </c>
    </row>
    <row r="245" spans="5:7" x14ac:dyDescent="0.25">
      <c r="E245" s="11">
        <f t="shared" si="25"/>
        <v>-97</v>
      </c>
      <c r="F245" s="11">
        <f t="shared" si="26"/>
        <v>-9.5814211019866029</v>
      </c>
      <c r="G245" s="11">
        <f t="shared" si="27"/>
        <v>-9.6094939182677646</v>
      </c>
    </row>
    <row r="246" spans="5:7" x14ac:dyDescent="0.25">
      <c r="E246" s="11">
        <f t="shared" si="25"/>
        <v>-96</v>
      </c>
      <c r="F246" s="11">
        <f t="shared" si="26"/>
        <v>-9.4791065538152903</v>
      </c>
      <c r="G246" s="11">
        <f t="shared" si="27"/>
        <v>-9.5121680933902084</v>
      </c>
    </row>
    <row r="247" spans="5:7" x14ac:dyDescent="0.25">
      <c r="E247" s="11">
        <f t="shared" si="25"/>
        <v>-95</v>
      </c>
      <c r="F247" s="11">
        <f t="shared" si="26"/>
        <v>-9.3749804399753991</v>
      </c>
      <c r="G247" s="11">
        <f t="shared" si="27"/>
        <v>-9.4123071102415565</v>
      </c>
    </row>
    <row r="248" spans="5:7" x14ac:dyDescent="0.25">
      <c r="E248" s="11">
        <f t="shared" si="25"/>
        <v>-94</v>
      </c>
      <c r="F248" s="11">
        <f t="shared" si="26"/>
        <v>-9.2691504845174606</v>
      </c>
      <c r="G248" s="11">
        <f t="shared" si="27"/>
        <v>-9.3098053372271821</v>
      </c>
    </row>
    <row r="249" spans="5:7" x14ac:dyDescent="0.25">
      <c r="E249" s="11">
        <f t="shared" si="25"/>
        <v>-93</v>
      </c>
      <c r="F249" s="11">
        <f t="shared" si="26"/>
        <v>-9.1617295036850912</v>
      </c>
      <c r="G249" s="11">
        <f t="shared" si="27"/>
        <v>-9.2045571427524511</v>
      </c>
    </row>
    <row r="250" spans="5:7" x14ac:dyDescent="0.25">
      <c r="E250" s="11">
        <f t="shared" si="25"/>
        <v>-92</v>
      </c>
      <c r="F250" s="11">
        <f t="shared" si="26"/>
        <v>-9.0528344217968915</v>
      </c>
      <c r="G250" s="11">
        <f t="shared" si="27"/>
        <v>-9.0964568952227367</v>
      </c>
    </row>
    <row r="251" spans="5:7" x14ac:dyDescent="0.25">
      <c r="E251" s="11">
        <f t="shared" si="25"/>
        <v>-91</v>
      </c>
      <c r="F251" s="11">
        <f t="shared" si="26"/>
        <v>-8.9425853464420086</v>
      </c>
      <c r="G251" s="11">
        <f t="shared" si="27"/>
        <v>-8.9853989630434103</v>
      </c>
    </row>
    <row r="252" spans="5:7" x14ac:dyDescent="0.25">
      <c r="E252" s="11">
        <f t="shared" si="25"/>
        <v>-90</v>
      </c>
      <c r="F252" s="11">
        <f t="shared" si="26"/>
        <v>-8.8311047011625909</v>
      </c>
      <c r="G252" s="11">
        <f t="shared" si="27"/>
        <v>-8.8712777146198434</v>
      </c>
    </row>
    <row r="253" spans="5:7" x14ac:dyDescent="0.25">
      <c r="E253" s="11">
        <f t="shared" si="25"/>
        <v>-89</v>
      </c>
      <c r="F253" s="11">
        <f t="shared" si="26"/>
        <v>-8.7185164138206677</v>
      </c>
      <c r="G253" s="11">
        <f t="shared" si="27"/>
        <v>-8.7539875183574072</v>
      </c>
    </row>
    <row r="254" spans="5:7" x14ac:dyDescent="0.25">
      <c r="E254" s="11">
        <f t="shared" si="25"/>
        <v>-88</v>
      </c>
      <c r="F254" s="11">
        <f t="shared" si="26"/>
        <v>-8.6049451588715051</v>
      </c>
      <c r="G254" s="11">
        <f t="shared" si="27"/>
        <v>-8.6334227426614696</v>
      </c>
    </row>
    <row r="255" spans="5:7" x14ac:dyDescent="0.25">
      <c r="E255" s="11">
        <f t="shared" si="25"/>
        <v>-87</v>
      </c>
      <c r="F255" s="11">
        <f t="shared" si="26"/>
        <v>-8.4905156517898028</v>
      </c>
      <c r="G255" s="11">
        <f t="shared" si="27"/>
        <v>-8.5094777559374055</v>
      </c>
    </row>
    <row r="256" spans="5:7" x14ac:dyDescent="0.25">
      <c r="E256" s="11">
        <f t="shared" si="25"/>
        <v>-86</v>
      </c>
      <c r="F256" s="11">
        <f t="shared" si="26"/>
        <v>-8.3753519939196668</v>
      </c>
      <c r="G256" s="11">
        <f t="shared" si="27"/>
        <v>-8.3820469265905846</v>
      </c>
    </row>
    <row r="257" spans="5:7" x14ac:dyDescent="0.25">
      <c r="E257" s="11">
        <f t="shared" si="25"/>
        <v>-85</v>
      </c>
      <c r="F257" s="11">
        <f t="shared" si="26"/>
        <v>-8.2595770660435708</v>
      </c>
      <c r="G257" s="11">
        <f t="shared" si="27"/>
        <v>-8.2510246230263782</v>
      </c>
    </row>
    <row r="258" spans="5:7" x14ac:dyDescent="0.25">
      <c r="E258" s="11">
        <f t="shared" si="25"/>
        <v>-84</v>
      </c>
      <c r="F258" s="11">
        <f t="shared" si="26"/>
        <v>-8.1433119689900177</v>
      </c>
      <c r="G258" s="11">
        <f t="shared" si="27"/>
        <v>-8.1163052136501541</v>
      </c>
    </row>
    <row r="259" spans="5:7" x14ac:dyDescent="0.25">
      <c r="E259" s="11">
        <f t="shared" si="25"/>
        <v>-83</v>
      </c>
      <c r="F259" s="11">
        <f t="shared" si="26"/>
        <v>-8.0266755096240487</v>
      </c>
      <c r="G259" s="11">
        <f t="shared" si="27"/>
        <v>-7.9777830668672873</v>
      </c>
    </row>
    <row r="260" spans="5:7" x14ac:dyDescent="0.25">
      <c r="E260" s="11">
        <f t="shared" si="25"/>
        <v>-82</v>
      </c>
      <c r="F260" s="11">
        <f t="shared" si="26"/>
        <v>-7.9097837305891074</v>
      </c>
      <c r="G260" s="11">
        <f t="shared" si="27"/>
        <v>-7.8353525510831483</v>
      </c>
    </row>
    <row r="261" spans="5:7" x14ac:dyDescent="0.25">
      <c r="E261" s="11">
        <f t="shared" si="25"/>
        <v>-81</v>
      </c>
      <c r="F261" s="11">
        <f t="shared" si="26"/>
        <v>-7.7927494821932619</v>
      </c>
      <c r="G261" s="11">
        <f t="shared" si="27"/>
        <v>-7.6889080347031058</v>
      </c>
    </row>
    <row r="262" spans="5:7" x14ac:dyDescent="0.25">
      <c r="E262" s="11">
        <f t="shared" si="25"/>
        <v>-80</v>
      </c>
      <c r="F262" s="11">
        <f t="shared" si="26"/>
        <v>-7.6756820348571386</v>
      </c>
      <c r="G262" s="11">
        <f t="shared" si="27"/>
        <v>-7.538343886132532</v>
      </c>
    </row>
    <row r="263" spans="5:7" x14ac:dyDescent="0.25">
      <c r="E263" s="11">
        <f t="shared" si="25"/>
        <v>-79</v>
      </c>
      <c r="F263" s="11">
        <f t="shared" si="26"/>
        <v>-7.5586867305654382</v>
      </c>
      <c r="G263" s="11">
        <f t="shared" si="27"/>
        <v>-7.4569718077661182</v>
      </c>
    </row>
    <row r="264" spans="5:7" x14ac:dyDescent="0.25">
      <c r="E264" s="11">
        <f t="shared" si="25"/>
        <v>-78</v>
      </c>
      <c r="F264" s="11">
        <f t="shared" si="26"/>
        <v>-7.4418646717882018</v>
      </c>
      <c r="G264" s="11">
        <f t="shared" si="27"/>
        <v>-7.3716405743383495</v>
      </c>
    </row>
    <row r="265" spans="5:7" x14ac:dyDescent="0.25">
      <c r="E265" s="11">
        <f t="shared" si="25"/>
        <v>-77</v>
      </c>
      <c r="F265" s="11">
        <f t="shared" si="26"/>
        <v>-7.3253124463625321</v>
      </c>
      <c r="G265" s="11">
        <f t="shared" si="27"/>
        <v>-7.2826162945730326</v>
      </c>
    </row>
    <row r="266" spans="5:7" x14ac:dyDescent="0.25">
      <c r="E266" s="11">
        <f t="shared" si="25"/>
        <v>-76</v>
      </c>
      <c r="F266" s="11">
        <f t="shared" si="26"/>
        <v>-7.2091218868498652</v>
      </c>
      <c r="G266" s="11">
        <f t="shared" si="27"/>
        <v>-7.1901650771939725</v>
      </c>
    </row>
    <row r="267" spans="5:7" x14ac:dyDescent="0.25">
      <c r="E267" s="11">
        <f t="shared" si="25"/>
        <v>-75</v>
      </c>
      <c r="F267" s="11">
        <f t="shared" si="26"/>
        <v>-7.0933798629082512</v>
      </c>
      <c r="G267" s="11">
        <f t="shared" si="27"/>
        <v>-7.0945530309249758</v>
      </c>
    </row>
    <row r="268" spans="5:7" x14ac:dyDescent="0.25">
      <c r="E268" s="11">
        <f t="shared" si="25"/>
        <v>-74</v>
      </c>
      <c r="F268" s="11">
        <f t="shared" si="26"/>
        <v>-6.9781681052436166</v>
      </c>
      <c r="G268" s="11">
        <f t="shared" si="27"/>
        <v>-6.9960462644898467</v>
      </c>
    </row>
    <row r="269" spans="5:7" x14ac:dyDescent="0.25">
      <c r="E269" s="11">
        <f t="shared" si="25"/>
        <v>-73</v>
      </c>
      <c r="F269" s="11">
        <f t="shared" si="26"/>
        <v>-6.8635630597283317</v>
      </c>
      <c r="G269" s="11">
        <f t="shared" si="27"/>
        <v>-6.89491088661239</v>
      </c>
    </row>
    <row r="270" spans="5:7" x14ac:dyDescent="0.25">
      <c r="E270" s="11">
        <f t="shared" si="25"/>
        <v>-72</v>
      </c>
      <c r="F270" s="11">
        <f t="shared" si="26"/>
        <v>-6.7496357702999052</v>
      </c>
      <c r="G270" s="11">
        <f t="shared" si="27"/>
        <v>-6.7914130060164126</v>
      </c>
    </row>
    <row r="271" spans="5:7" x14ac:dyDescent="0.25">
      <c r="E271" s="11">
        <f t="shared" si="25"/>
        <v>-71</v>
      </c>
      <c r="F271" s="11">
        <f t="shared" si="26"/>
        <v>-6.6364517892769541</v>
      </c>
      <c r="G271" s="11">
        <f t="shared" si="27"/>
        <v>-6.685818731425722</v>
      </c>
    </row>
    <row r="272" spans="5:7" x14ac:dyDescent="0.25">
      <c r="E272" s="11">
        <f t="shared" si="25"/>
        <v>-70</v>
      </c>
      <c r="F272" s="11">
        <f t="shared" si="26"/>
        <v>-6.5240711137540739</v>
      </c>
      <c r="G272" s="11">
        <f t="shared" si="27"/>
        <v>-6.5783941715641223</v>
      </c>
    </row>
    <row r="273" spans="5:7" x14ac:dyDescent="0.25">
      <c r="E273" s="11">
        <f t="shared" si="25"/>
        <v>-69</v>
      </c>
      <c r="F273" s="11">
        <f t="shared" si="26"/>
        <v>-6.412548146761714</v>
      </c>
      <c r="G273" s="11">
        <f t="shared" si="27"/>
        <v>-6.4694054351554167</v>
      </c>
    </row>
    <row r="274" spans="5:7" x14ac:dyDescent="0.25">
      <c r="E274" s="11">
        <f t="shared" si="25"/>
        <v>-68</v>
      </c>
      <c r="F274" s="11">
        <f t="shared" si="26"/>
        <v>-6.3019316819014737</v>
      </c>
      <c r="G274" s="11">
        <f t="shared" si="27"/>
        <v>-6.3591186309234153</v>
      </c>
    </row>
    <row r="275" spans="5:7" x14ac:dyDescent="0.25">
      <c r="E275" s="11">
        <f t="shared" si="25"/>
        <v>-67</v>
      </c>
      <c r="F275" s="11">
        <f t="shared" si="26"/>
        <v>-6.1922649101916942</v>
      </c>
      <c r="G275" s="11">
        <f t="shared" si="27"/>
        <v>-6.2477998675919206</v>
      </c>
    </row>
    <row r="276" spans="5:7" x14ac:dyDescent="0.25">
      <c r="E276" s="11">
        <f t="shared" si="25"/>
        <v>-66</v>
      </c>
      <c r="F276" s="11">
        <f t="shared" si="26"/>
        <v>-6.0835854478827525</v>
      </c>
      <c r="G276" s="11">
        <f t="shared" si="27"/>
        <v>-6.1357152538847384</v>
      </c>
    </row>
    <row r="277" spans="5:7" x14ac:dyDescent="0.25">
      <c r="E277" s="11">
        <f t="shared" si="25"/>
        <v>-65</v>
      </c>
      <c r="F277" s="11">
        <f t="shared" si="26"/>
        <v>-5.9759253840256665</v>
      </c>
      <c r="G277" s="11">
        <f t="shared" si="27"/>
        <v>-6.0231308985256753</v>
      </c>
    </row>
    <row r="278" spans="5:7" x14ac:dyDescent="0.25">
      <c r="E278" s="11">
        <f t="shared" si="25"/>
        <v>-64</v>
      </c>
      <c r="F278" s="11">
        <f t="shared" si="26"/>
        <v>-5.8693113466023101</v>
      </c>
      <c r="G278" s="11">
        <f t="shared" si="27"/>
        <v>-5.9103129102385381</v>
      </c>
    </row>
    <row r="279" spans="5:7" x14ac:dyDescent="0.25">
      <c r="E279" s="11">
        <f t="shared" si="25"/>
        <v>-63</v>
      </c>
      <c r="F279" s="11">
        <f t="shared" si="26"/>
        <v>-5.7637645860497013</v>
      </c>
      <c r="G279" s="11">
        <f t="shared" si="27"/>
        <v>-5.79752739774713</v>
      </c>
    </row>
    <row r="280" spans="5:7" x14ac:dyDescent="0.25">
      <c r="E280" s="11">
        <f t="shared" si="25"/>
        <v>-62</v>
      </c>
      <c r="F280" s="11">
        <f t="shared" si="26"/>
        <v>-5.6593010750354633</v>
      </c>
      <c r="G280" s="11">
        <f t="shared" si="27"/>
        <v>-5.6850404697752568</v>
      </c>
    </row>
    <row r="281" spans="5:7" x14ac:dyDescent="0.25">
      <c r="E281" s="11">
        <f t="shared" si="25"/>
        <v>-61</v>
      </c>
      <c r="F281" s="11">
        <f t="shared" si="26"/>
        <v>-5.5559316233658276</v>
      </c>
      <c r="G281" s="11">
        <f t="shared" si="27"/>
        <v>-5.5731182350467261</v>
      </c>
    </row>
    <row r="282" spans="5:7" x14ac:dyDescent="0.25">
      <c r="E282" s="11">
        <f t="shared" si="25"/>
        <v>-60</v>
      </c>
      <c r="F282" s="11">
        <f t="shared" si="26"/>
        <v>-5.4536620069320829</v>
      </c>
      <c r="G282" s="11">
        <f t="shared" si="27"/>
        <v>-5.4620268022853429</v>
      </c>
    </row>
    <row r="283" spans="5:7" x14ac:dyDescent="0.25">
      <c r="E283" s="11">
        <f t="shared" si="25"/>
        <v>-59</v>
      </c>
      <c r="F283" s="11">
        <f t="shared" si="26"/>
        <v>-5.3524931096256898</v>
      </c>
      <c r="G283" s="11">
        <f t="shared" si="27"/>
        <v>-5.3520322802149121</v>
      </c>
    </row>
    <row r="284" spans="5:7" x14ac:dyDescent="0.25">
      <c r="E284" s="11">
        <f t="shared" si="25"/>
        <v>-58</v>
      </c>
      <c r="F284" s="11">
        <f t="shared" si="26"/>
        <v>-5.2524210771768365</v>
      </c>
      <c r="G284" s="11">
        <f t="shared" si="27"/>
        <v>-5.2434007775592395</v>
      </c>
    </row>
    <row r="285" spans="5:7" x14ac:dyDescent="0.25">
      <c r="E285" s="11">
        <f t="shared" si="25"/>
        <v>-57</v>
      </c>
      <c r="F285" s="11">
        <f t="shared" si="26"/>
        <v>-5.1534374818954856</v>
      </c>
      <c r="G285" s="11">
        <f t="shared" si="27"/>
        <v>-5.136398403042131</v>
      </c>
    </row>
    <row r="286" spans="5:7" x14ac:dyDescent="0.25">
      <c r="E286" s="11">
        <f t="shared" si="25"/>
        <v>-56</v>
      </c>
      <c r="F286" s="11">
        <f t="shared" si="26"/>
        <v>-5.0555294973185072</v>
      </c>
      <c r="G286" s="11">
        <f t="shared" si="27"/>
        <v>-5.0312912653873925</v>
      </c>
    </row>
    <row r="287" spans="5:7" x14ac:dyDescent="0.25">
      <c r="E287" s="11">
        <f t="shared" ref="E287:E350" si="28">E80</f>
        <v>-55</v>
      </c>
      <c r="F287" s="11">
        <f t="shared" ref="F287:F350" si="29">$H$217*0+E287*$I$217+E287^2*$J$217+E287^3*$K$217+E287^4*$L$217+E287^5*$M$217+E287^6*$N$217+E287^7*$O$217+E287^8*$P$217</f>
        <v>-4.9586800817908436</v>
      </c>
      <c r="G287" s="11">
        <f t="shared" ref="G287:G350" si="30">F80</f>
        <v>-4.9283454733188288</v>
      </c>
    </row>
    <row r="288" spans="5:7" x14ac:dyDescent="0.25">
      <c r="E288" s="11">
        <f t="shared" si="28"/>
        <v>-54</v>
      </c>
      <c r="F288" s="11">
        <f t="shared" si="29"/>
        <v>-4.8628681700331242</v>
      </c>
      <c r="G288" s="11">
        <f t="shared" si="30"/>
        <v>-4.8277610175826711</v>
      </c>
    </row>
    <row r="289" spans="5:7" x14ac:dyDescent="0.25">
      <c r="E289" s="11">
        <f t="shared" si="28"/>
        <v>-53</v>
      </c>
      <c r="F289" s="11">
        <f t="shared" si="29"/>
        <v>-4.7680688717725142</v>
      </c>
      <c r="G289" s="11">
        <f t="shared" si="30"/>
        <v>-4.7294734170148507</v>
      </c>
    </row>
    <row r="290" spans="5:7" x14ac:dyDescent="0.25">
      <c r="E290" s="11">
        <f t="shared" si="28"/>
        <v>-52</v>
      </c>
      <c r="F290" s="11">
        <f t="shared" si="29"/>
        <v>-4.6742536765380658</v>
      </c>
      <c r="G290" s="11">
        <f t="shared" si="30"/>
        <v>-4.6333520724737234</v>
      </c>
    </row>
    <row r="291" spans="5:7" x14ac:dyDescent="0.25">
      <c r="E291" s="11">
        <f t="shared" si="28"/>
        <v>-51</v>
      </c>
      <c r="F291" s="11">
        <f t="shared" si="29"/>
        <v>-4.5813906637462241</v>
      </c>
      <c r="G291" s="11">
        <f t="shared" si="30"/>
        <v>-4.5392663848176484</v>
      </c>
    </row>
    <row r="292" spans="5:7" x14ac:dyDescent="0.25">
      <c r="E292" s="11">
        <f t="shared" si="28"/>
        <v>-50</v>
      </c>
      <c r="F292" s="11">
        <f t="shared" si="29"/>
        <v>-4.4894447172265579</v>
      </c>
      <c r="G292" s="11">
        <f t="shared" si="30"/>
        <v>-4.4470857549049772</v>
      </c>
    </row>
    <row r="293" spans="5:7" x14ac:dyDescent="0.25">
      <c r="E293" s="11">
        <f t="shared" si="28"/>
        <v>-49</v>
      </c>
      <c r="F293" s="11">
        <f t="shared" si="29"/>
        <v>-4.3983777433622588</v>
      </c>
      <c r="G293" s="11">
        <f t="shared" si="30"/>
        <v>-4.3566795835940697</v>
      </c>
    </row>
    <row r="294" spans="5:7" x14ac:dyDescent="0.25">
      <c r="E294" s="11">
        <f t="shared" si="28"/>
        <v>-48</v>
      </c>
      <c r="F294" s="11">
        <f t="shared" si="29"/>
        <v>-4.3081488920443149</v>
      </c>
      <c r="G294" s="11">
        <f t="shared" si="30"/>
        <v>-4.2679172717432809</v>
      </c>
    </row>
    <row r="295" spans="5:7" x14ac:dyDescent="0.25">
      <c r="E295" s="11">
        <f t="shared" si="28"/>
        <v>-47</v>
      </c>
      <c r="F295" s="11">
        <f t="shared" si="29"/>
        <v>-4.2187147796627134</v>
      </c>
      <c r="G295" s="11">
        <f t="shared" si="30"/>
        <v>-4.1806682202109666</v>
      </c>
    </row>
    <row r="296" spans="5:7" x14ac:dyDescent="0.25">
      <c r="E296" s="11">
        <f t="shared" si="28"/>
        <v>-46</v>
      </c>
      <c r="F296" s="11">
        <f t="shared" si="29"/>
        <v>-4.1300297133824779</v>
      </c>
      <c r="G296" s="11">
        <f t="shared" si="30"/>
        <v>-4.0948018298554851</v>
      </c>
    </row>
    <row r="297" spans="5:7" x14ac:dyDescent="0.25">
      <c r="E297" s="11">
        <f t="shared" si="28"/>
        <v>-45</v>
      </c>
      <c r="F297" s="11">
        <f t="shared" si="29"/>
        <v>-4.0420459159766944</v>
      </c>
      <c r="G297" s="11">
        <f t="shared" si="30"/>
        <v>-4.0101875015351904</v>
      </c>
    </row>
    <row r="298" spans="5:7" x14ac:dyDescent="0.25">
      <c r="E298" s="11">
        <f t="shared" si="28"/>
        <v>-44</v>
      </c>
      <c r="F298" s="11">
        <f t="shared" si="29"/>
        <v>-3.9547137505132155</v>
      </c>
      <c r="G298" s="11">
        <f t="shared" si="30"/>
        <v>-3.9266946361084409</v>
      </c>
    </row>
    <row r="299" spans="5:7" x14ac:dyDescent="0.25">
      <c r="E299" s="11">
        <f t="shared" si="28"/>
        <v>-43</v>
      </c>
      <c r="F299" s="11">
        <f t="shared" si="29"/>
        <v>-3.867981944216031</v>
      </c>
      <c r="G299" s="11">
        <f t="shared" si="30"/>
        <v>-3.844192634433591</v>
      </c>
    </row>
    <row r="300" spans="5:7" x14ac:dyDescent="0.25">
      <c r="E300" s="11">
        <f t="shared" si="28"/>
        <v>-42</v>
      </c>
      <c r="F300" s="11">
        <f t="shared" si="29"/>
        <v>-3.781797810846804</v>
      </c>
      <c r="G300" s="11">
        <f t="shared" si="30"/>
        <v>-3.7625508973689983</v>
      </c>
    </row>
    <row r="301" spans="5:7" x14ac:dyDescent="0.25">
      <c r="E301" s="11">
        <f t="shared" si="28"/>
        <v>-41</v>
      </c>
      <c r="F301" s="11">
        <f t="shared" si="29"/>
        <v>-3.696107470976473</v>
      </c>
      <c r="G301" s="11">
        <f t="shared" si="30"/>
        <v>-3.6816388257730184</v>
      </c>
    </row>
    <row r="302" spans="5:7" x14ac:dyDescent="0.25">
      <c r="E302" s="11">
        <f t="shared" si="28"/>
        <v>-40</v>
      </c>
      <c r="F302" s="11">
        <f t="shared" si="29"/>
        <v>-3.6108560695412222</v>
      </c>
      <c r="G302" s="11">
        <f t="shared" si="30"/>
        <v>-3.601325820504008</v>
      </c>
    </row>
    <row r="303" spans="5:7" x14ac:dyDescent="0.25">
      <c r="E303" s="11">
        <f t="shared" si="28"/>
        <v>-39</v>
      </c>
      <c r="F303" s="11">
        <f t="shared" si="29"/>
        <v>-3.5259879901015672</v>
      </c>
      <c r="G303" s="11">
        <f t="shared" si="30"/>
        <v>-3.5214812824203232</v>
      </c>
    </row>
    <row r="304" spans="5:7" x14ac:dyDescent="0.25">
      <c r="E304" s="11">
        <f t="shared" si="28"/>
        <v>-38</v>
      </c>
      <c r="F304" s="11">
        <f t="shared" si="29"/>
        <v>-3.4414470652477225</v>
      </c>
      <c r="G304" s="11">
        <f t="shared" si="30"/>
        <v>-3.4419746123803212</v>
      </c>
    </row>
    <row r="305" spans="5:7" x14ac:dyDescent="0.25">
      <c r="E305" s="11">
        <f t="shared" si="28"/>
        <v>-37</v>
      </c>
      <c r="F305" s="11">
        <f t="shared" si="29"/>
        <v>-3.3571767826188381</v>
      </c>
      <c r="G305" s="11">
        <f t="shared" si="30"/>
        <v>-3.3626752112423572</v>
      </c>
    </row>
    <row r="306" spans="5:7" x14ac:dyDescent="0.25">
      <c r="E306" s="11">
        <f t="shared" si="28"/>
        <v>-36</v>
      </c>
      <c r="F306" s="11">
        <f t="shared" si="29"/>
        <v>-3.2731204860281036</v>
      </c>
      <c r="G306" s="11">
        <f t="shared" si="30"/>
        <v>-3.2834524798647884</v>
      </c>
    </row>
    <row r="307" spans="5:7" x14ac:dyDescent="0.25">
      <c r="E307" s="11">
        <f t="shared" si="28"/>
        <v>-35</v>
      </c>
      <c r="F307" s="11">
        <f t="shared" si="29"/>
        <v>-3.1892215712101755</v>
      </c>
      <c r="G307" s="11">
        <f t="shared" si="30"/>
        <v>-3.2041758191059699</v>
      </c>
    </row>
    <row r="308" spans="5:7" x14ac:dyDescent="0.25">
      <c r="E308" s="11">
        <f t="shared" si="28"/>
        <v>-34</v>
      </c>
      <c r="F308" s="11">
        <f t="shared" si="29"/>
        <v>-3.1054236757317599</v>
      </c>
      <c r="G308" s="11">
        <f t="shared" si="30"/>
        <v>-3.1247146298242594</v>
      </c>
    </row>
    <row r="309" spans="5:7" x14ac:dyDescent="0.25">
      <c r="E309" s="11">
        <f t="shared" si="28"/>
        <v>-33</v>
      </c>
      <c r="F309" s="11">
        <f t="shared" si="29"/>
        <v>-3.0216708626306525</v>
      </c>
      <c r="G309" s="11">
        <f t="shared" si="30"/>
        <v>-3.0449383128780121</v>
      </c>
    </row>
    <row r="310" spans="5:7" x14ac:dyDescent="0.25">
      <c r="E310" s="11">
        <f t="shared" si="28"/>
        <v>-32</v>
      </c>
      <c r="F310" s="11">
        <f t="shared" si="29"/>
        <v>-2.9379077973729188</v>
      </c>
      <c r="G310" s="11">
        <f t="shared" si="30"/>
        <v>-2.9647162691255851</v>
      </c>
    </row>
    <row r="311" spans="5:7" x14ac:dyDescent="0.25">
      <c r="E311" s="11">
        <f t="shared" si="28"/>
        <v>-31</v>
      </c>
      <c r="F311" s="11">
        <f t="shared" si="29"/>
        <v>-2.8540799177423608</v>
      </c>
      <c r="G311" s="11">
        <f t="shared" si="30"/>
        <v>-2.8839178994253345</v>
      </c>
    </row>
    <row r="312" spans="5:7" x14ac:dyDescent="0.25">
      <c r="E312" s="11">
        <f t="shared" si="28"/>
        <v>-30</v>
      </c>
      <c r="F312" s="11">
        <f t="shared" si="29"/>
        <v>-2.7701335963008007</v>
      </c>
      <c r="G312" s="11">
        <f t="shared" si="30"/>
        <v>-2.8024126046356161</v>
      </c>
    </row>
    <row r="313" spans="5:7" x14ac:dyDescent="0.25">
      <c r="E313" s="11">
        <f t="shared" si="28"/>
        <v>-29</v>
      </c>
      <c r="F313" s="11">
        <f t="shared" si="29"/>
        <v>-2.6860162950821644</v>
      </c>
      <c r="G313" s="11">
        <f t="shared" si="30"/>
        <v>-2.7200927203610172</v>
      </c>
    </row>
    <row r="314" spans="5:7" x14ac:dyDescent="0.25">
      <c r="E314" s="11">
        <f t="shared" si="28"/>
        <v>-28</v>
      </c>
      <c r="F314" s="11">
        <f t="shared" si="29"/>
        <v>-2.6016767122077638</v>
      </c>
      <c r="G314" s="11">
        <f t="shared" si="30"/>
        <v>-2.6369423211910434</v>
      </c>
    </row>
    <row r="315" spans="5:7" x14ac:dyDescent="0.25">
      <c r="E315" s="11">
        <f t="shared" si="28"/>
        <v>-27</v>
      </c>
      <c r="F315" s="11">
        <f t="shared" si="29"/>
        <v>-2.5170649201345832</v>
      </c>
      <c r="G315" s="11">
        <f t="shared" si="30"/>
        <v>-2.5529684164614319</v>
      </c>
    </row>
    <row r="316" spans="5:7" x14ac:dyDescent="0.25">
      <c r="E316" s="11">
        <f t="shared" si="28"/>
        <v>-26</v>
      </c>
      <c r="F316" s="11">
        <f t="shared" si="29"/>
        <v>-2.4321324952728269</v>
      </c>
      <c r="G316" s="11">
        <f t="shared" si="30"/>
        <v>-2.4681780155079194</v>
      </c>
    </row>
    <row r="317" spans="5:7" x14ac:dyDescent="0.25">
      <c r="E317" s="11">
        <f t="shared" si="28"/>
        <v>-25</v>
      </c>
      <c r="F317" s="11">
        <f t="shared" si="29"/>
        <v>-2.3468326387333867</v>
      </c>
      <c r="G317" s="11">
        <f t="shared" si="30"/>
        <v>-2.3825781276662408</v>
      </c>
    </row>
    <row r="318" spans="5:7" x14ac:dyDescent="0.25">
      <c r="E318" s="11">
        <f t="shared" si="28"/>
        <v>-24</v>
      </c>
      <c r="F318" s="11">
        <f t="shared" si="29"/>
        <v>-2.2611202879903036</v>
      </c>
      <c r="G318" s="11">
        <f t="shared" si="30"/>
        <v>-2.2961757622721346</v>
      </c>
    </row>
    <row r="319" spans="5:7" x14ac:dyDescent="0.25">
      <c r="E319" s="11">
        <f t="shared" si="28"/>
        <v>-23</v>
      </c>
      <c r="F319" s="11">
        <f t="shared" si="29"/>
        <v>-2.1749522192677713</v>
      </c>
      <c r="G319" s="11">
        <f t="shared" si="30"/>
        <v>-2.2089779286613362</v>
      </c>
    </row>
    <row r="320" spans="5:7" x14ac:dyDescent="0.25">
      <c r="E320" s="11">
        <f t="shared" si="28"/>
        <v>-22</v>
      </c>
      <c r="F320" s="11">
        <f t="shared" si="29"/>
        <v>-2.0882871404855727</v>
      </c>
      <c r="G320" s="11">
        <f t="shared" si="30"/>
        <v>-2.1209916361695824</v>
      </c>
    </row>
    <row r="321" spans="5:7" x14ac:dyDescent="0.25">
      <c r="E321" s="11">
        <f t="shared" si="28"/>
        <v>-21</v>
      </c>
      <c r="F321" s="11">
        <f t="shared" si="29"/>
        <v>-2.0010857746213397</v>
      </c>
      <c r="G321" s="11">
        <f t="shared" si="30"/>
        <v>-2.0322238941326103</v>
      </c>
    </row>
    <row r="322" spans="5:7" x14ac:dyDescent="0.25">
      <c r="E322" s="11">
        <f t="shared" si="28"/>
        <v>-20</v>
      </c>
      <c r="F322" s="11">
        <f t="shared" si="29"/>
        <v>-1.9133109333724043</v>
      </c>
      <c r="G322" s="11">
        <f t="shared" si="30"/>
        <v>-1.9426817118861552</v>
      </c>
    </row>
    <row r="323" spans="5:7" x14ac:dyDescent="0.25">
      <c r="E323" s="11">
        <f t="shared" si="28"/>
        <v>-19</v>
      </c>
      <c r="F323" s="11">
        <f t="shared" si="29"/>
        <v>-1.8249275810244376</v>
      </c>
      <c r="G323" s="11">
        <f t="shared" si="30"/>
        <v>-1.8523720987659544</v>
      </c>
    </row>
    <row r="324" spans="5:7" x14ac:dyDescent="0.25">
      <c r="E324" s="11">
        <f t="shared" si="28"/>
        <v>-18</v>
      </c>
      <c r="F324" s="11">
        <f t="shared" si="29"/>
        <v>-1.7359028884585246</v>
      </c>
      <c r="G324" s="11">
        <f t="shared" si="30"/>
        <v>-1.7613020641077446</v>
      </c>
    </row>
    <row r="325" spans="5:7" x14ac:dyDescent="0.25">
      <c r="E325" s="11">
        <f t="shared" si="28"/>
        <v>-17</v>
      </c>
      <c r="F325" s="11">
        <f t="shared" si="29"/>
        <v>-1.646206277252706</v>
      </c>
      <c r="G325" s="11">
        <f t="shared" si="30"/>
        <v>-1.6694786172472615</v>
      </c>
    </row>
    <row r="326" spans="5:7" x14ac:dyDescent="0.25">
      <c r="E326" s="11">
        <f t="shared" si="28"/>
        <v>-16</v>
      </c>
      <c r="F326" s="11">
        <f t="shared" si="29"/>
        <v>-1.5558094538584677</v>
      </c>
      <c r="G326" s="11">
        <f t="shared" si="30"/>
        <v>-1.5769087675202422</v>
      </c>
    </row>
    <row r="327" spans="5:7" x14ac:dyDescent="0.25">
      <c r="E327" s="11">
        <f t="shared" si="28"/>
        <v>-15</v>
      </c>
      <c r="F327" s="11">
        <f t="shared" si="29"/>
        <v>-1.4646864338570786</v>
      </c>
      <c r="G327" s="11">
        <f t="shared" si="30"/>
        <v>-1.4835995242624234</v>
      </c>
    </row>
    <row r="328" spans="5:7" x14ac:dyDescent="0.25">
      <c r="E328" s="11">
        <f t="shared" si="28"/>
        <v>-14</v>
      </c>
      <c r="F328" s="11">
        <f t="shared" si="29"/>
        <v>-1.3728135563250885</v>
      </c>
      <c r="G328" s="11">
        <f t="shared" si="30"/>
        <v>-1.389557896809541</v>
      </c>
    </row>
    <row r="329" spans="5:7" x14ac:dyDescent="0.25">
      <c r="E329" s="11">
        <f t="shared" si="28"/>
        <v>-13</v>
      </c>
      <c r="F329" s="11">
        <f t="shared" si="29"/>
        <v>-1.2801694883627368</v>
      </c>
      <c r="G329" s="11">
        <f t="shared" si="30"/>
        <v>-1.2947908944973325</v>
      </c>
    </row>
    <row r="330" spans="5:7" x14ac:dyDescent="0.25">
      <c r="E330" s="11">
        <f t="shared" si="28"/>
        <v>-12</v>
      </c>
      <c r="F330" s="11">
        <f t="shared" si="29"/>
        <v>-1.1867352198634322</v>
      </c>
      <c r="G330" s="11">
        <f t="shared" si="30"/>
        <v>-1.1993055266615333</v>
      </c>
    </row>
    <row r="331" spans="5:7" x14ac:dyDescent="0.25">
      <c r="E331" s="11">
        <f t="shared" si="28"/>
        <v>-11</v>
      </c>
      <c r="F331" s="11">
        <f t="shared" si="29"/>
        <v>-1.0924940486268984</v>
      </c>
      <c r="G331" s="11">
        <f t="shared" si="30"/>
        <v>-1.1031088026378806</v>
      </c>
    </row>
    <row r="332" spans="5:7" x14ac:dyDescent="0.25">
      <c r="E332" s="11">
        <f t="shared" si="28"/>
        <v>-10</v>
      </c>
      <c r="F332" s="11">
        <f t="shared" si="29"/>
        <v>-0.99743155594299038</v>
      </c>
      <c r="G332" s="11">
        <f t="shared" si="30"/>
        <v>-1.0062077317621105</v>
      </c>
    </row>
    <row r="333" spans="5:7" x14ac:dyDescent="0.25">
      <c r="E333" s="11">
        <f t="shared" si="28"/>
        <v>-9</v>
      </c>
      <c r="F333" s="11">
        <f t="shared" si="29"/>
        <v>-0.90153557279762853</v>
      </c>
      <c r="G333" s="11">
        <f t="shared" si="30"/>
        <v>-0.90860932336995992</v>
      </c>
    </row>
    <row r="334" spans="5:7" x14ac:dyDescent="0.25">
      <c r="E334" s="11">
        <f t="shared" si="28"/>
        <v>-8</v>
      </c>
      <c r="F334" s="11">
        <f t="shared" si="29"/>
        <v>-0.80479613687669738</v>
      </c>
      <c r="G334" s="11">
        <f t="shared" si="30"/>
        <v>-0.81032058679716512</v>
      </c>
    </row>
    <row r="335" spans="5:7" x14ac:dyDescent="0.25">
      <c r="E335" s="11">
        <f t="shared" si="28"/>
        <v>-7</v>
      </c>
      <c r="F335" s="11">
        <f t="shared" si="29"/>
        <v>-0.70720544056819901</v>
      </c>
      <c r="G335" s="11">
        <f t="shared" si="30"/>
        <v>-0.71134853137946263</v>
      </c>
    </row>
    <row r="336" spans="5:7" x14ac:dyDescent="0.25">
      <c r="E336" s="11">
        <f t="shared" si="28"/>
        <v>-6</v>
      </c>
      <c r="F336" s="11">
        <f t="shared" si="29"/>
        <v>-0.6087577701873631</v>
      </c>
      <c r="G336" s="11">
        <f t="shared" si="30"/>
        <v>-0.61170016645258918</v>
      </c>
    </row>
    <row r="337" spans="5:7" x14ac:dyDescent="0.25">
      <c r="E337" s="11">
        <f t="shared" si="28"/>
        <v>-5</v>
      </c>
      <c r="F337" s="11">
        <f t="shared" si="29"/>
        <v>-0.50944943667384357</v>
      </c>
      <c r="G337" s="11">
        <f t="shared" si="30"/>
        <v>-0.51138250135228103</v>
      </c>
    </row>
    <row r="338" spans="5:7" x14ac:dyDescent="0.25">
      <c r="E338" s="11">
        <f t="shared" si="28"/>
        <v>-4</v>
      </c>
      <c r="F338" s="11">
        <f t="shared" si="29"/>
        <v>-0.40927869803455019</v>
      </c>
      <c r="G338" s="11">
        <f t="shared" si="30"/>
        <v>-0.4104025454142749</v>
      </c>
    </row>
    <row r="339" spans="5:7" x14ac:dyDescent="0.25">
      <c r="E339" s="11">
        <f t="shared" si="28"/>
        <v>-3</v>
      </c>
      <c r="F339" s="11">
        <f t="shared" si="29"/>
        <v>-0.30824567383009466</v>
      </c>
      <c r="G339" s="11">
        <f t="shared" si="30"/>
        <v>-0.30876730797430718</v>
      </c>
    </row>
    <row r="340" spans="5:7" x14ac:dyDescent="0.25">
      <c r="E340" s="11">
        <f t="shared" si="28"/>
        <v>-2</v>
      </c>
      <c r="F340" s="11">
        <f t="shared" si="29"/>
        <v>-0.20635225202724489</v>
      </c>
      <c r="G340" s="11">
        <f t="shared" si="30"/>
        <v>-0.20648379836811448</v>
      </c>
    </row>
    <row r="341" spans="5:7" x14ac:dyDescent="0.25">
      <c r="E341" s="11">
        <f t="shared" si="28"/>
        <v>-1</v>
      </c>
      <c r="F341" s="11">
        <f t="shared" si="29"/>
        <v>-0.10360198856420985</v>
      </c>
      <c r="G341" s="11">
        <f t="shared" si="30"/>
        <v>-0.10355902593143325</v>
      </c>
    </row>
    <row r="342" spans="5:7" x14ac:dyDescent="0.25">
      <c r="E342" s="11">
        <f t="shared" si="28"/>
        <v>0</v>
      </c>
      <c r="F342" s="11">
        <f t="shared" si="29"/>
        <v>0</v>
      </c>
      <c r="G342" s="11">
        <f t="shared" si="30"/>
        <v>0</v>
      </c>
    </row>
    <row r="343" spans="5:7" x14ac:dyDescent="0.25">
      <c r="E343" s="11">
        <f t="shared" si="28"/>
        <v>1</v>
      </c>
      <c r="F343" s="11">
        <f t="shared" si="29"/>
        <v>0.10444715035647076</v>
      </c>
      <c r="G343" s="11">
        <f t="shared" si="30"/>
        <v>0.10418866032288009</v>
      </c>
    </row>
    <row r="344" spans="5:7" x14ac:dyDescent="0.25">
      <c r="E344" s="11">
        <f t="shared" si="28"/>
        <v>2</v>
      </c>
      <c r="F344" s="11">
        <f t="shared" si="29"/>
        <v>0.20973157241745027</v>
      </c>
      <c r="G344" s="11">
        <f t="shared" si="30"/>
        <v>0.20901189686362706</v>
      </c>
    </row>
    <row r="345" spans="5:7" x14ac:dyDescent="0.25">
      <c r="E345" s="11">
        <f t="shared" si="28"/>
        <v>3</v>
      </c>
      <c r="F345" s="11">
        <f t="shared" si="29"/>
        <v>0.31584417494306699</v>
      </c>
      <c r="G345" s="11">
        <f t="shared" si="30"/>
        <v>0.31447704168109236</v>
      </c>
    </row>
    <row r="346" spans="5:7" x14ac:dyDescent="0.25">
      <c r="E346" s="11">
        <f t="shared" si="28"/>
        <v>4</v>
      </c>
      <c r="F346" s="11">
        <f t="shared" si="29"/>
        <v>0.42277479635476622</v>
      </c>
      <c r="G346" s="11">
        <f t="shared" si="30"/>
        <v>0.42059142683412754</v>
      </c>
    </row>
    <row r="347" spans="5:7" x14ac:dyDescent="0.25">
      <c r="E347" s="11">
        <f t="shared" si="28"/>
        <v>5</v>
      </c>
      <c r="F347" s="11">
        <f t="shared" si="29"/>
        <v>0.53051234024210236</v>
      </c>
      <c r="G347" s="11">
        <f t="shared" si="30"/>
        <v>0.52736238438158378</v>
      </c>
    </row>
    <row r="348" spans="5:7" x14ac:dyDescent="0.25">
      <c r="E348" s="11">
        <f t="shared" si="28"/>
        <v>6</v>
      </c>
      <c r="F348" s="11">
        <f t="shared" si="29"/>
        <v>0.63904491504510641</v>
      </c>
      <c r="G348" s="11">
        <f t="shared" si="30"/>
        <v>0.63479724638231294</v>
      </c>
    </row>
    <row r="349" spans="5:7" x14ac:dyDescent="0.25">
      <c r="E349" s="11">
        <f t="shared" si="28"/>
        <v>7</v>
      </c>
      <c r="F349" s="11">
        <f t="shared" si="29"/>
        <v>0.74835997737002014</v>
      </c>
      <c r="G349" s="11">
        <f t="shared" si="30"/>
        <v>0.74290334489516596</v>
      </c>
    </row>
    <row r="350" spans="5:7" x14ac:dyDescent="0.25">
      <c r="E350" s="11">
        <f t="shared" si="28"/>
        <v>8</v>
      </c>
      <c r="F350" s="11">
        <f t="shared" si="29"/>
        <v>0.85844447837176774</v>
      </c>
      <c r="G350" s="11">
        <f t="shared" si="30"/>
        <v>0.85168801197899469</v>
      </c>
    </row>
    <row r="351" spans="5:7" x14ac:dyDescent="0.25">
      <c r="E351" s="11">
        <f t="shared" ref="E351:E414" si="31">E144</f>
        <v>9</v>
      </c>
      <c r="F351" s="11">
        <f t="shared" ref="F351:F414" si="32">$H$217*0+E351*$I$217+E351^2*$J$217+E351^3*$K$217+E351^4*$L$217+E351^5*$M$217+E351^6*$N$217+E351^7*$O$217+E351^8*$P$217</f>
        <v>0.96928501261211475</v>
      </c>
      <c r="G351" s="11">
        <f t="shared" ref="G351:G414" si="33">F144</f>
        <v>0.96115857969265039</v>
      </c>
    </row>
    <row r="352" spans="5:7" x14ac:dyDescent="0.25">
      <c r="E352" s="11">
        <f t="shared" si="31"/>
        <v>10</v>
      </c>
      <c r="F352" s="11">
        <f t="shared" si="32"/>
        <v>1.0808679687780354</v>
      </c>
      <c r="G352" s="11">
        <f t="shared" si="33"/>
        <v>1.0713223800949845</v>
      </c>
    </row>
    <row r="353" spans="5:7" x14ac:dyDescent="0.25">
      <c r="E353" s="11">
        <f t="shared" si="31"/>
        <v>11</v>
      </c>
      <c r="F353" s="11">
        <f t="shared" si="32"/>
        <v>1.1931796816203915</v>
      </c>
      <c r="G353" s="11">
        <f t="shared" si="33"/>
        <v>1.1821867452448485</v>
      </c>
    </row>
    <row r="354" spans="5:7" x14ac:dyDescent="0.25">
      <c r="E354" s="11">
        <f t="shared" si="31"/>
        <v>12</v>
      </c>
      <c r="F354" s="11">
        <f t="shared" si="32"/>
        <v>1.3062065844485986</v>
      </c>
      <c r="G354" s="11">
        <f t="shared" si="33"/>
        <v>1.2937590072010938</v>
      </c>
    </row>
    <row r="355" spans="5:7" x14ac:dyDescent="0.25">
      <c r="E355" s="11">
        <f t="shared" si="31"/>
        <v>13</v>
      </c>
      <c r="F355" s="11">
        <f t="shared" si="32"/>
        <v>1.4199353614925379</v>
      </c>
      <c r="G355" s="11">
        <f t="shared" si="33"/>
        <v>1.4060464980225718</v>
      </c>
    </row>
    <row r="356" spans="5:7" x14ac:dyDescent="0.25">
      <c r="E356" s="11">
        <f t="shared" si="31"/>
        <v>14</v>
      </c>
      <c r="F356" s="11">
        <f t="shared" si="32"/>
        <v>1.5343530994185413</v>
      </c>
      <c r="G356" s="11">
        <f t="shared" si="33"/>
        <v>1.5190565497681341</v>
      </c>
    </row>
    <row r="357" spans="5:7" x14ac:dyDescent="0.25">
      <c r="E357" s="11">
        <f t="shared" si="31"/>
        <v>15</v>
      </c>
      <c r="F357" s="11">
        <f t="shared" si="32"/>
        <v>1.6494474372618608</v>
      </c>
      <c r="G357" s="11">
        <f t="shared" si="33"/>
        <v>1.632796494496632</v>
      </c>
    </row>
    <row r="358" spans="5:7" x14ac:dyDescent="0.25">
      <c r="E358" s="11">
        <f t="shared" si="31"/>
        <v>16</v>
      </c>
      <c r="F358" s="11">
        <f t="shared" si="32"/>
        <v>1.765206714013607</v>
      </c>
      <c r="G358" s="11">
        <f t="shared" si="33"/>
        <v>1.7472736642669169</v>
      </c>
    </row>
    <row r="359" spans="5:7" x14ac:dyDescent="0.25">
      <c r="E359" s="11">
        <f t="shared" si="31"/>
        <v>17</v>
      </c>
      <c r="F359" s="11">
        <f t="shared" si="32"/>
        <v>1.8816201130757162</v>
      </c>
      <c r="G359" s="11">
        <f t="shared" si="33"/>
        <v>1.8624953911378404</v>
      </c>
    </row>
    <row r="360" spans="5:7" x14ac:dyDescent="0.25">
      <c r="E360" s="11">
        <f t="shared" si="31"/>
        <v>18</v>
      </c>
      <c r="F360" s="11">
        <f t="shared" si="32"/>
        <v>1.9986778027730914</v>
      </c>
      <c r="G360" s="11">
        <f t="shared" si="33"/>
        <v>1.9784690071682538</v>
      </c>
    </row>
    <row r="361" spans="5:7" x14ac:dyDescent="0.25">
      <c r="E361" s="11">
        <f t="shared" si="31"/>
        <v>19</v>
      </c>
      <c r="F361" s="11">
        <f t="shared" si="32"/>
        <v>2.1163710720876234</v>
      </c>
      <c r="G361" s="11">
        <f t="shared" si="33"/>
        <v>2.0952018444170082</v>
      </c>
    </row>
    <row r="362" spans="5:7" x14ac:dyDescent="0.25">
      <c r="E362" s="11">
        <f t="shared" si="31"/>
        <v>20</v>
      </c>
      <c r="F362" s="11">
        <f t="shared" si="32"/>
        <v>2.2346924607543945</v>
      </c>
      <c r="G362" s="11">
        <f t="shared" si="33"/>
        <v>2.2127012349429562</v>
      </c>
    </row>
    <row r="363" spans="5:7" x14ac:dyDescent="0.25">
      <c r="E363" s="11">
        <f t="shared" si="31"/>
        <v>21</v>
      </c>
      <c r="F363" s="11">
        <f t="shared" si="32"/>
        <v>2.3536358828359307</v>
      </c>
      <c r="G363" s="11">
        <f t="shared" si="33"/>
        <v>2.330974510804948</v>
      </c>
    </row>
    <row r="364" spans="5:7" x14ac:dyDescent="0.25">
      <c r="E364" s="11">
        <f t="shared" si="31"/>
        <v>22</v>
      </c>
      <c r="F364" s="11">
        <f t="shared" si="32"/>
        <v>2.47319674286594</v>
      </c>
      <c r="G364" s="11">
        <f t="shared" si="33"/>
        <v>2.4500290040618355</v>
      </c>
    </row>
    <row r="365" spans="5:7" x14ac:dyDescent="0.25">
      <c r="E365" s="11">
        <f t="shared" si="31"/>
        <v>23</v>
      </c>
      <c r="F365" s="11">
        <f t="shared" si="32"/>
        <v>2.5933720436295795</v>
      </c>
      <c r="G365" s="11">
        <f t="shared" si="33"/>
        <v>2.5698720467724705</v>
      </c>
    </row>
    <row r="366" spans="5:7" x14ac:dyDescent="0.25">
      <c r="E366" s="11">
        <f t="shared" si="31"/>
        <v>24</v>
      </c>
      <c r="F366" s="11">
        <f t="shared" si="32"/>
        <v>2.7141604846228242</v>
      </c>
      <c r="G366" s="11">
        <f t="shared" si="33"/>
        <v>2.690510970995704</v>
      </c>
    </row>
    <row r="367" spans="5:7" x14ac:dyDescent="0.25">
      <c r="E367" s="11">
        <f t="shared" si="31"/>
        <v>25</v>
      </c>
      <c r="F367" s="11">
        <f t="shared" si="32"/>
        <v>2.8355625502091493</v>
      </c>
      <c r="G367" s="11">
        <f t="shared" si="33"/>
        <v>2.8119531087903868</v>
      </c>
    </row>
    <row r="368" spans="5:7" x14ac:dyDescent="0.25">
      <c r="E368" s="11">
        <f t="shared" si="31"/>
        <v>26</v>
      </c>
      <c r="F368" s="11">
        <f t="shared" si="32"/>
        <v>2.9575805864672415</v>
      </c>
      <c r="G368" s="11">
        <f t="shared" si="33"/>
        <v>2.9342057922153719</v>
      </c>
    </row>
    <row r="369" spans="5:7" x14ac:dyDescent="0.25">
      <c r="E369" s="11">
        <f t="shared" si="31"/>
        <v>27</v>
      </c>
      <c r="F369" s="11">
        <f t="shared" si="32"/>
        <v>3.0802188656990968</v>
      </c>
      <c r="G369" s="11">
        <f t="shared" si="33"/>
        <v>3.05727635332951</v>
      </c>
    </row>
    <row r="370" spans="5:7" x14ac:dyDescent="0.25">
      <c r="E370" s="11">
        <f t="shared" si="31"/>
        <v>28</v>
      </c>
      <c r="F370" s="11">
        <f t="shared" si="32"/>
        <v>3.2034836375434064</v>
      </c>
      <c r="G370" s="11">
        <f t="shared" si="33"/>
        <v>3.1811721241916517</v>
      </c>
    </row>
    <row r="371" spans="5:7" x14ac:dyDescent="0.25">
      <c r="E371" s="11">
        <f t="shared" si="31"/>
        <v>29</v>
      </c>
      <c r="F371" s="11">
        <f t="shared" si="32"/>
        <v>3.3273831656147017</v>
      </c>
      <c r="G371" s="11">
        <f t="shared" si="33"/>
        <v>3.3059004368606497</v>
      </c>
    </row>
    <row r="372" spans="5:7" x14ac:dyDescent="0.25">
      <c r="E372" s="11">
        <f t="shared" si="31"/>
        <v>30</v>
      </c>
      <c r="F372" s="11">
        <f t="shared" si="32"/>
        <v>3.4519277485643438</v>
      </c>
      <c r="G372" s="11">
        <f t="shared" si="33"/>
        <v>3.4314686233953551</v>
      </c>
    </row>
    <row r="373" spans="5:7" x14ac:dyDescent="0.25">
      <c r="E373" s="11">
        <f t="shared" si="31"/>
        <v>31</v>
      </c>
      <c r="F373" s="11">
        <f t="shared" si="32"/>
        <v>3.5771297244349665</v>
      </c>
      <c r="G373" s="11">
        <f t="shared" si="33"/>
        <v>3.5578840158546186</v>
      </c>
    </row>
    <row r="374" spans="5:7" x14ac:dyDescent="0.25">
      <c r="E374" s="11">
        <f t="shared" si="31"/>
        <v>32</v>
      </c>
      <c r="F374" s="11">
        <f t="shared" si="32"/>
        <v>3.7030034571556145</v>
      </c>
      <c r="G374" s="11">
        <f t="shared" si="33"/>
        <v>3.6851539462972922</v>
      </c>
    </row>
    <row r="375" spans="5:7" x14ac:dyDescent="0.25">
      <c r="E375" s="11">
        <f t="shared" si="31"/>
        <v>33</v>
      </c>
      <c r="F375" s="11">
        <f t="shared" si="32"/>
        <v>3.8295653040003472</v>
      </c>
      <c r="G375" s="11">
        <f t="shared" si="33"/>
        <v>3.8132857467822281</v>
      </c>
    </row>
    <row r="376" spans="5:7" x14ac:dyDescent="0.25">
      <c r="E376" s="11">
        <f t="shared" si="31"/>
        <v>34</v>
      </c>
      <c r="F376" s="11">
        <f t="shared" si="32"/>
        <v>3.956833562808689</v>
      </c>
      <c r="G376" s="11">
        <f t="shared" si="33"/>
        <v>3.9422867493682761</v>
      </c>
    </row>
    <row r="377" spans="5:7" x14ac:dyDescent="0.25">
      <c r="E377" s="11">
        <f t="shared" si="31"/>
        <v>35</v>
      </c>
      <c r="F377" s="11">
        <f t="shared" si="32"/>
        <v>4.0848283977418722</v>
      </c>
      <c r="G377" s="11">
        <f t="shared" si="33"/>
        <v>4.0721642861142886</v>
      </c>
    </row>
    <row r="378" spans="5:7" x14ac:dyDescent="0.25">
      <c r="E378" s="11">
        <f t="shared" si="31"/>
        <v>36</v>
      </c>
      <c r="F378" s="11">
        <f t="shared" si="32"/>
        <v>4.2135717423243761</v>
      </c>
      <c r="G378" s="11">
        <f t="shared" si="33"/>
        <v>4.2029256890791178</v>
      </c>
    </row>
    <row r="379" spans="5:7" x14ac:dyDescent="0.25">
      <c r="E379" s="11">
        <f t="shared" si="31"/>
        <v>37</v>
      </c>
      <c r="F379" s="11">
        <f t="shared" si="32"/>
        <v>4.343087178495896</v>
      </c>
      <c r="G379" s="11">
        <f t="shared" si="33"/>
        <v>4.3345782903216143</v>
      </c>
    </row>
    <row r="380" spans="5:7" x14ac:dyDescent="0.25">
      <c r="E380" s="11">
        <f t="shared" si="31"/>
        <v>38</v>
      </c>
      <c r="F380" s="11">
        <f t="shared" si="32"/>
        <v>4.4733997903743692</v>
      </c>
      <c r="G380" s="11">
        <f t="shared" si="33"/>
        <v>4.4671294219006281</v>
      </c>
    </row>
    <row r="381" spans="5:7" x14ac:dyDescent="0.25">
      <c r="E381" s="11">
        <f t="shared" si="31"/>
        <v>39</v>
      </c>
      <c r="F381" s="11">
        <f t="shared" si="32"/>
        <v>4.6045359914063697</v>
      </c>
      <c r="G381" s="11">
        <f t="shared" si="33"/>
        <v>4.6005864158750134</v>
      </c>
    </row>
    <row r="382" spans="5:7" x14ac:dyDescent="0.25">
      <c r="E382" s="11">
        <f t="shared" si="31"/>
        <v>40</v>
      </c>
      <c r="F382" s="11">
        <f t="shared" si="32"/>
        <v>4.7365233235566375</v>
      </c>
      <c r="G382" s="11">
        <f t="shared" si="33"/>
        <v>4.73495660430362</v>
      </c>
    </row>
    <row r="383" spans="5:7" x14ac:dyDescent="0.25">
      <c r="E383" s="11">
        <f t="shared" si="31"/>
        <v>41</v>
      </c>
      <c r="F383" s="11">
        <f t="shared" si="32"/>
        <v>4.8693902271642129</v>
      </c>
      <c r="G383" s="11">
        <f t="shared" si="33"/>
        <v>4.8702473192452995</v>
      </c>
    </row>
    <row r="384" spans="5:7" x14ac:dyDescent="0.25">
      <c r="E384" s="11">
        <f t="shared" si="31"/>
        <v>42</v>
      </c>
      <c r="F384" s="11">
        <f t="shared" si="32"/>
        <v>5.0031657800680991</v>
      </c>
      <c r="G384" s="11">
        <f t="shared" si="33"/>
        <v>5.0064658927589036</v>
      </c>
    </row>
    <row r="385" spans="5:7" x14ac:dyDescent="0.25">
      <c r="E385" s="11">
        <f t="shared" si="31"/>
        <v>43</v>
      </c>
      <c r="F385" s="11">
        <f t="shared" si="32"/>
        <v>5.1378794045810467</v>
      </c>
      <c r="G385" s="11">
        <f t="shared" si="33"/>
        <v>5.1436196569032839</v>
      </c>
    </row>
    <row r="386" spans="5:7" x14ac:dyDescent="0.25">
      <c r="E386" s="11">
        <f t="shared" si="31"/>
        <v>44</v>
      </c>
      <c r="F386" s="11">
        <f t="shared" si="32"/>
        <v>5.2735605408656081</v>
      </c>
      <c r="G386" s="11">
        <f t="shared" si="33"/>
        <v>5.2817159437372903</v>
      </c>
    </row>
    <row r="387" spans="5:7" x14ac:dyDescent="0.25">
      <c r="E387" s="11">
        <f t="shared" si="31"/>
        <v>45</v>
      </c>
      <c r="F387" s="11">
        <f t="shared" si="32"/>
        <v>5.410238285242138</v>
      </c>
      <c r="G387" s="11">
        <f t="shared" si="33"/>
        <v>5.4207620853197769</v>
      </c>
    </row>
    <row r="388" spans="5:7" x14ac:dyDescent="0.25">
      <c r="E388" s="11">
        <f t="shared" si="31"/>
        <v>46</v>
      </c>
      <c r="F388" s="11">
        <f t="shared" si="32"/>
        <v>5.5479409919340581</v>
      </c>
      <c r="G388" s="11">
        <f t="shared" si="33"/>
        <v>5.5607596336673684</v>
      </c>
    </row>
    <row r="389" spans="5:7" x14ac:dyDescent="0.25">
      <c r="E389" s="11">
        <f t="shared" si="31"/>
        <v>47</v>
      </c>
      <c r="F389" s="11">
        <f t="shared" si="32"/>
        <v>5.6866958367312392</v>
      </c>
      <c r="G389" s="11">
        <f t="shared" si="33"/>
        <v>5.7016870206277961</v>
      </c>
    </row>
    <row r="390" spans="5:7" x14ac:dyDescent="0.25">
      <c r="E390" s="11">
        <f t="shared" si="31"/>
        <v>48</v>
      </c>
      <c r="F390" s="11">
        <f t="shared" si="32"/>
        <v>5.8265283410279682</v>
      </c>
      <c r="G390" s="11">
        <f t="shared" si="33"/>
        <v>5.8435168980065626</v>
      </c>
    </row>
    <row r="391" spans="5:7" x14ac:dyDescent="0.25">
      <c r="E391" s="11">
        <f t="shared" si="31"/>
        <v>49</v>
      </c>
      <c r="F391" s="11">
        <f t="shared" si="32"/>
        <v>5.9674618546674818</v>
      </c>
      <c r="G391" s="11">
        <f t="shared" si="33"/>
        <v>5.9862219176091749</v>
      </c>
    </row>
    <row r="392" spans="5:7" x14ac:dyDescent="0.25">
      <c r="E392" s="11">
        <f t="shared" si="31"/>
        <v>50</v>
      </c>
      <c r="F392" s="11">
        <f t="shared" si="32"/>
        <v>6.1095169960006963</v>
      </c>
      <c r="G392" s="11">
        <f t="shared" si="33"/>
        <v>6.1297747312411355</v>
      </c>
    </row>
    <row r="393" spans="5:7" x14ac:dyDescent="0.25">
      <c r="E393" s="11">
        <f t="shared" si="31"/>
        <v>51</v>
      </c>
      <c r="F393" s="11">
        <f t="shared" si="32"/>
        <v>6.2527110475423084</v>
      </c>
      <c r="G393" s="11">
        <f t="shared" si="33"/>
        <v>6.2741479907079523</v>
      </c>
    </row>
    <row r="394" spans="5:7" x14ac:dyDescent="0.25">
      <c r="E394" s="11">
        <f t="shared" si="31"/>
        <v>52</v>
      </c>
      <c r="F394" s="11">
        <f t="shared" si="32"/>
        <v>6.3970573055829894</v>
      </c>
      <c r="G394" s="11">
        <f t="shared" si="33"/>
        <v>6.4193143478151278</v>
      </c>
    </row>
    <row r="395" spans="5:7" x14ac:dyDescent="0.25">
      <c r="E395" s="11">
        <f t="shared" si="31"/>
        <v>53</v>
      </c>
      <c r="F395" s="11">
        <f t="shared" si="32"/>
        <v>6.5425643820920305</v>
      </c>
      <c r="G395" s="11">
        <f t="shared" si="33"/>
        <v>6.5652464543681672</v>
      </c>
    </row>
    <row r="396" spans="5:7" x14ac:dyDescent="0.25">
      <c r="E396" s="11">
        <f t="shared" si="31"/>
        <v>54</v>
      </c>
      <c r="F396" s="11">
        <f t="shared" si="32"/>
        <v>6.6892354572203381</v>
      </c>
      <c r="G396" s="11">
        <f t="shared" si="33"/>
        <v>6.7119169621725758</v>
      </c>
    </row>
    <row r="397" spans="5:7" x14ac:dyDescent="0.25">
      <c r="E397" s="11">
        <f t="shared" si="31"/>
        <v>55</v>
      </c>
      <c r="F397" s="11">
        <f t="shared" si="32"/>
        <v>6.8370674806892442</v>
      </c>
      <c r="G397" s="11">
        <f t="shared" si="33"/>
        <v>6.8592985230338588</v>
      </c>
    </row>
    <row r="398" spans="5:7" x14ac:dyDescent="0.25">
      <c r="E398" s="11">
        <f t="shared" si="31"/>
        <v>56</v>
      </c>
      <c r="F398" s="11">
        <f t="shared" si="32"/>
        <v>6.9860503203262221</v>
      </c>
      <c r="G398" s="11">
        <f t="shared" si="33"/>
        <v>7.0073637887575195</v>
      </c>
    </row>
    <row r="399" spans="5:7" x14ac:dyDescent="0.25">
      <c r="E399" s="11">
        <f t="shared" si="31"/>
        <v>57</v>
      </c>
      <c r="F399" s="11">
        <f t="shared" si="32"/>
        <v>7.1361658559840979</v>
      </c>
      <c r="G399" s="11">
        <f t="shared" si="33"/>
        <v>7.1560854111490642</v>
      </c>
    </row>
    <row r="400" spans="5:7" x14ac:dyDescent="0.25">
      <c r="E400" s="11">
        <f t="shared" si="31"/>
        <v>58</v>
      </c>
      <c r="F400" s="11">
        <f t="shared" si="32"/>
        <v>7.2873870170560258</v>
      </c>
      <c r="G400" s="11">
        <f t="shared" si="33"/>
        <v>7.3054360420139979</v>
      </c>
    </row>
    <row r="401" spans="5:7" x14ac:dyDescent="0.25">
      <c r="E401" s="11">
        <f t="shared" si="31"/>
        <v>59</v>
      </c>
      <c r="F401" s="11">
        <f t="shared" si="32"/>
        <v>7.4396767617739643</v>
      </c>
      <c r="G401" s="11">
        <f t="shared" si="33"/>
        <v>7.455388333157825</v>
      </c>
    </row>
    <row r="402" spans="5:7" x14ac:dyDescent="0.25">
      <c r="E402" s="11">
        <f t="shared" si="31"/>
        <v>60</v>
      </c>
      <c r="F402" s="11">
        <f t="shared" si="32"/>
        <v>7.5929869964540604</v>
      </c>
      <c r="G402" s="11">
        <f t="shared" si="33"/>
        <v>7.6059149363860499</v>
      </c>
    </row>
    <row r="403" spans="5:7" x14ac:dyDescent="0.25">
      <c r="E403" s="11">
        <f t="shared" si="31"/>
        <v>61</v>
      </c>
      <c r="F403" s="11">
        <f t="shared" si="32"/>
        <v>7.7472574328278467</v>
      </c>
      <c r="G403" s="11">
        <f t="shared" si="33"/>
        <v>7.7569885035041786</v>
      </c>
    </row>
    <row r="404" spans="5:7" x14ac:dyDescent="0.25">
      <c r="E404" s="11">
        <f t="shared" si="31"/>
        <v>62</v>
      </c>
      <c r="F404" s="11">
        <f t="shared" si="32"/>
        <v>7.9024143815738128</v>
      </c>
      <c r="G404" s="11">
        <f t="shared" si="33"/>
        <v>7.9085816863177136</v>
      </c>
    </row>
    <row r="405" spans="5:7" x14ac:dyDescent="0.25">
      <c r="E405" s="11">
        <f t="shared" si="31"/>
        <v>63</v>
      </c>
      <c r="F405" s="11">
        <f t="shared" si="32"/>
        <v>8.0583694801394152</v>
      </c>
      <c r="G405" s="11">
        <f t="shared" si="33"/>
        <v>8.0606671366321621</v>
      </c>
    </row>
    <row r="406" spans="5:7" x14ac:dyDescent="0.25">
      <c r="E406" s="11">
        <f t="shared" si="31"/>
        <v>64</v>
      </c>
      <c r="F406" s="11">
        <f t="shared" si="32"/>
        <v>8.2150183529192038</v>
      </c>
      <c r="G406" s="11">
        <f t="shared" si="33"/>
        <v>8.2132175062530273</v>
      </c>
    </row>
    <row r="407" spans="5:7" x14ac:dyDescent="0.25">
      <c r="E407" s="11">
        <f t="shared" si="31"/>
        <v>65</v>
      </c>
      <c r="F407" s="11">
        <f t="shared" si="32"/>
        <v>8.3722392018303466</v>
      </c>
      <c r="G407" s="11">
        <f t="shared" si="33"/>
        <v>8.3662054469858163</v>
      </c>
    </row>
    <row r="408" spans="5:7" x14ac:dyDescent="0.25">
      <c r="E408" s="11">
        <f t="shared" si="31"/>
        <v>66</v>
      </c>
      <c r="F408" s="11">
        <f t="shared" si="32"/>
        <v>8.5298913253023123</v>
      </c>
      <c r="G408" s="11">
        <f t="shared" si="33"/>
        <v>8.5196036106360324</v>
      </c>
    </row>
    <row r="409" spans="5:7" x14ac:dyDescent="0.25">
      <c r="E409" s="11">
        <f t="shared" si="31"/>
        <v>67</v>
      </c>
      <c r="F409" s="11">
        <f t="shared" si="32"/>
        <v>8.6878135636732168</v>
      </c>
      <c r="G409" s="11">
        <f t="shared" si="33"/>
        <v>8.6733846490091793</v>
      </c>
    </row>
    <row r="410" spans="5:7" x14ac:dyDescent="0.25">
      <c r="E410" s="11">
        <f t="shared" si="31"/>
        <v>68</v>
      </c>
      <c r="F410" s="11">
        <f t="shared" si="32"/>
        <v>8.8458226689606878</v>
      </c>
      <c r="G410" s="11">
        <f t="shared" si="33"/>
        <v>8.8275212139107637</v>
      </c>
    </row>
    <row r="411" spans="5:7" x14ac:dyDescent="0.25">
      <c r="E411" s="11">
        <f t="shared" si="31"/>
        <v>69</v>
      </c>
      <c r="F411" s="11">
        <f t="shared" si="32"/>
        <v>9.003711596950934</v>
      </c>
      <c r="G411" s="11">
        <f t="shared" si="33"/>
        <v>8.981985957146291</v>
      </c>
    </row>
    <row r="412" spans="5:7" x14ac:dyDescent="0.25">
      <c r="E412" s="11">
        <f t="shared" si="31"/>
        <v>70</v>
      </c>
      <c r="F412" s="11">
        <f t="shared" si="32"/>
        <v>9.1612477195250559</v>
      </c>
      <c r="G412" s="11">
        <f t="shared" si="33"/>
        <v>9.1367515305212645</v>
      </c>
    </row>
    <row r="413" spans="5:7" x14ac:dyDescent="0.25">
      <c r="E413" s="11">
        <f t="shared" si="31"/>
        <v>71</v>
      </c>
      <c r="F413" s="11">
        <f t="shared" si="32"/>
        <v>9.3181709551173384</v>
      </c>
      <c r="G413" s="11">
        <f t="shared" si="33"/>
        <v>9.2917905858411896</v>
      </c>
    </row>
    <row r="414" spans="5:7" x14ac:dyDescent="0.25">
      <c r="E414" s="11">
        <f t="shared" si="31"/>
        <v>72</v>
      </c>
      <c r="F414" s="11">
        <f t="shared" si="32"/>
        <v>9.4741918151758657</v>
      </c>
      <c r="G414" s="11">
        <f t="shared" si="33"/>
        <v>9.4470757749115712</v>
      </c>
    </row>
    <row r="415" spans="5:7" x14ac:dyDescent="0.25">
      <c r="E415" s="11">
        <f t="shared" ref="E415:E422" si="34">E208</f>
        <v>73</v>
      </c>
      <c r="F415" s="11">
        <f t="shared" ref="F415:F422" si="35">$H$217*0+E415*$I$217+E415^2*$J$217+E415^3*$K$217+E415^4*$L$217+E415^5*$M$217+E415^6*$N$217+E415^7*$O$217+E415^8*$P$217</f>
        <v>9.6289893644712272</v>
      </c>
      <c r="G415" s="11">
        <f t="shared" ref="G415:G422" si="36">F208</f>
        <v>9.602579749537913</v>
      </c>
    </row>
    <row r="416" spans="5:7" x14ac:dyDescent="0.25">
      <c r="E416" s="11">
        <f t="shared" si="34"/>
        <v>74</v>
      </c>
      <c r="F416" s="11">
        <f t="shared" si="35"/>
        <v>9.7822090930748491</v>
      </c>
      <c r="G416" s="11">
        <f t="shared" si="36"/>
        <v>9.7582751615257202</v>
      </c>
    </row>
    <row r="417" spans="5:7" x14ac:dyDescent="0.25">
      <c r="E417" s="11">
        <f t="shared" si="34"/>
        <v>75</v>
      </c>
      <c r="F417" s="11">
        <f t="shared" si="35"/>
        <v>9.9334606978038895</v>
      </c>
      <c r="G417" s="11">
        <f t="shared" si="36"/>
        <v>9.9141346626804996</v>
      </c>
    </row>
    <row r="418" spans="5:7" x14ac:dyDescent="0.25">
      <c r="E418" s="11">
        <f t="shared" si="34"/>
        <v>76</v>
      </c>
      <c r="F418" s="11">
        <f t="shared" si="35"/>
        <v>10.082315770905375</v>
      </c>
      <c r="G418" s="11">
        <f t="shared" si="36"/>
        <v>10.070130904807755</v>
      </c>
    </row>
    <row r="419" spans="5:7" x14ac:dyDescent="0.25">
      <c r="E419" s="11">
        <f t="shared" si="34"/>
        <v>77</v>
      </c>
      <c r="F419" s="11">
        <f t="shared" si="35"/>
        <v>10.228305393727657</v>
      </c>
      <c r="G419" s="11">
        <f t="shared" si="36"/>
        <v>10.226236539712991</v>
      </c>
    </row>
    <row r="420" spans="5:7" x14ac:dyDescent="0.25">
      <c r="E420" s="11">
        <f t="shared" si="34"/>
        <v>78</v>
      </c>
      <c r="F420" s="11">
        <f t="shared" si="35"/>
        <v>10.370917633103057</v>
      </c>
      <c r="G420" s="11">
        <f t="shared" si="36"/>
        <v>10.38242421920171</v>
      </c>
    </row>
    <row r="421" spans="5:7" x14ac:dyDescent="0.25">
      <c r="E421" s="11">
        <f t="shared" si="34"/>
        <v>79</v>
      </c>
      <c r="F421" s="11">
        <f t="shared" si="35"/>
        <v>10.509594938140879</v>
      </c>
      <c r="G421" s="11">
        <f t="shared" si="36"/>
        <v>10.538666595079423</v>
      </c>
    </row>
    <row r="422" spans="5:7" x14ac:dyDescent="0.25">
      <c r="E422" s="11">
        <f t="shared" si="34"/>
        <v>80</v>
      </c>
      <c r="F422" s="11">
        <f t="shared" si="35"/>
        <v>10.643731435105838</v>
      </c>
      <c r="G422" s="11">
        <f t="shared" si="36"/>
        <v>10.69493631915163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2022-01-09T09:03:01Z</dcterms:modified>
</cp:coreProperties>
</file>