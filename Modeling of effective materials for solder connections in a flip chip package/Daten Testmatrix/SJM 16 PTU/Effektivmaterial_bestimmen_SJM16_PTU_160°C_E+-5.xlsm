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P33" i="11" s="1"/>
  <c r="N33" i="1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P23" i="11"/>
  <c r="O23" i="11"/>
  <c r="N23" i="11"/>
  <c r="O22" i="11"/>
  <c r="N22" i="11"/>
  <c r="P22" i="11" s="1"/>
  <c r="O21" i="11"/>
  <c r="P21" i="11" s="1"/>
  <c r="N21" i="1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P11" i="11"/>
  <c r="O11" i="11"/>
  <c r="N11" i="11"/>
  <c r="O10" i="11"/>
  <c r="N10" i="11"/>
  <c r="P10" i="11" s="1"/>
  <c r="O9" i="11"/>
  <c r="P9" i="11" s="1"/>
  <c r="N9" i="11"/>
  <c r="O8" i="11"/>
  <c r="N8" i="11"/>
  <c r="O7" i="11"/>
  <c r="N7" i="11"/>
  <c r="P7" i="11" s="1"/>
  <c r="O6" i="11"/>
  <c r="N6" i="11"/>
  <c r="P6" i="11" s="1"/>
  <c r="O5" i="11"/>
  <c r="N5" i="11"/>
  <c r="P5" i="11" s="1"/>
  <c r="O4" i="11"/>
  <c r="N4" i="11"/>
  <c r="P3" i="11"/>
  <c r="O3" i="11"/>
  <c r="N3" i="11"/>
  <c r="P4" i="11" l="1"/>
  <c r="P16" i="1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G403" i="43" l="1"/>
  <c r="H403" i="43"/>
  <c r="C403" i="43"/>
  <c r="B403" i="43"/>
  <c r="D403" i="43"/>
  <c r="E403" i="43"/>
  <c r="F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M15" i="44"/>
  <c r="K15" i="44"/>
  <c r="O15" i="44"/>
  <c r="I15" i="44"/>
  <c r="J14" i="43"/>
  <c r="A6" i="43"/>
  <c r="K14" i="43"/>
  <c r="D430" i="43" l="1"/>
  <c r="D411" i="43"/>
  <c r="D416" i="43"/>
  <c r="D423" i="43"/>
  <c r="D428" i="43"/>
  <c r="D404" i="43"/>
  <c r="D409" i="43"/>
  <c r="D407" i="43"/>
  <c r="D414" i="43"/>
  <c r="D418" i="43"/>
  <c r="D425" i="43"/>
  <c r="D427" i="43"/>
  <c r="D429" i="43"/>
  <c r="D432" i="43"/>
  <c r="D410" i="43"/>
  <c r="D412" i="43"/>
  <c r="D420" i="43"/>
  <c r="D422" i="43"/>
  <c r="D431" i="43"/>
  <c r="D405" i="43"/>
  <c r="D408" i="43"/>
  <c r="D413" i="43"/>
  <c r="D415" i="43"/>
  <c r="D424" i="43"/>
  <c r="D433" i="43"/>
  <c r="D406" i="43"/>
  <c r="D417" i="43"/>
  <c r="D419" i="43"/>
  <c r="D426" i="43"/>
  <c r="D421" i="43"/>
  <c r="D434" i="43"/>
  <c r="B405" i="43"/>
  <c r="B424" i="43"/>
  <c r="B425" i="43"/>
  <c r="B413" i="43"/>
  <c r="B414" i="43"/>
  <c r="B408" i="43"/>
  <c r="B433" i="43"/>
  <c r="B415" i="43"/>
  <c r="B417" i="43"/>
  <c r="B409" i="43"/>
  <c r="B406" i="43"/>
  <c r="B429" i="43"/>
  <c r="B426" i="43"/>
  <c r="B411" i="43"/>
  <c r="B416" i="43"/>
  <c r="B432" i="43"/>
  <c r="B404" i="43"/>
  <c r="B428" i="43"/>
  <c r="B421" i="43"/>
  <c r="B410" i="43"/>
  <c r="B407" i="43"/>
  <c r="B431" i="43"/>
  <c r="B427" i="43"/>
  <c r="B420" i="43"/>
  <c r="B419" i="43"/>
  <c r="B422" i="43"/>
  <c r="B434" i="43"/>
  <c r="B430" i="43"/>
  <c r="B423" i="43"/>
  <c r="B418" i="43"/>
  <c r="B412" i="43"/>
  <c r="C406" i="43"/>
  <c r="C409" i="43"/>
  <c r="C421" i="43"/>
  <c r="C434" i="43"/>
  <c r="C407" i="43"/>
  <c r="C414" i="43"/>
  <c r="C429" i="43"/>
  <c r="C410" i="43"/>
  <c r="C412" i="43"/>
  <c r="C420" i="43"/>
  <c r="C422" i="43"/>
  <c r="C431" i="43"/>
  <c r="C405" i="43"/>
  <c r="C408" i="43"/>
  <c r="C415" i="43"/>
  <c r="C424" i="43"/>
  <c r="C433" i="43"/>
  <c r="C418" i="43"/>
  <c r="C427" i="43"/>
  <c r="C432" i="43"/>
  <c r="C417" i="43"/>
  <c r="C419" i="43"/>
  <c r="C426" i="43"/>
  <c r="C430" i="43"/>
  <c r="C423" i="43"/>
  <c r="C428" i="43"/>
  <c r="C404" i="43"/>
  <c r="C425" i="43"/>
  <c r="C413" i="43"/>
  <c r="C411" i="43"/>
  <c r="C416" i="43"/>
  <c r="E405" i="43"/>
  <c r="E406" i="43"/>
  <c r="E417" i="43"/>
  <c r="E419" i="43"/>
  <c r="E426" i="43"/>
  <c r="E430" i="43"/>
  <c r="E411" i="43"/>
  <c r="E423" i="43"/>
  <c r="E434" i="43"/>
  <c r="E418" i="43"/>
  <c r="E425" i="43"/>
  <c r="E427" i="43"/>
  <c r="E429" i="43"/>
  <c r="E404" i="43"/>
  <c r="E410" i="43"/>
  <c r="E420" i="43"/>
  <c r="E422" i="43"/>
  <c r="E431" i="43"/>
  <c r="E408" i="43"/>
  <c r="E413" i="43"/>
  <c r="E415" i="43"/>
  <c r="E424" i="43"/>
  <c r="E433" i="43"/>
  <c r="E416" i="43"/>
  <c r="E428" i="43"/>
  <c r="E421" i="43"/>
  <c r="E409" i="43"/>
  <c r="E432" i="43"/>
  <c r="E412" i="43"/>
  <c r="E414" i="43"/>
  <c r="E407" i="43"/>
  <c r="H434" i="43"/>
  <c r="H418" i="43"/>
  <c r="H415" i="43"/>
  <c r="H410" i="43"/>
  <c r="H424" i="43"/>
  <c r="H405" i="43"/>
  <c r="H429" i="43"/>
  <c r="H417" i="43"/>
  <c r="H414" i="43"/>
  <c r="H430" i="43"/>
  <c r="H423" i="43"/>
  <c r="H412" i="43"/>
  <c r="H431" i="43"/>
  <c r="H416" i="43"/>
  <c r="H404" i="43"/>
  <c r="H413" i="43"/>
  <c r="H427" i="43"/>
  <c r="H409" i="43"/>
  <c r="H422" i="43"/>
  <c r="H421" i="43"/>
  <c r="H419" i="43"/>
  <c r="H406" i="43"/>
  <c r="H433" i="43"/>
  <c r="H428" i="43"/>
  <c r="H426" i="43"/>
  <c r="H408" i="43"/>
  <c r="H420" i="43"/>
  <c r="H432" i="43"/>
  <c r="H425" i="43"/>
  <c r="H407" i="43"/>
  <c r="H411" i="43"/>
  <c r="L15" i="44"/>
  <c r="F415" i="43"/>
  <c r="F424" i="43"/>
  <c r="F419" i="43"/>
  <c r="F416" i="43"/>
  <c r="F423" i="43"/>
  <c r="F404" i="43"/>
  <c r="F434" i="43"/>
  <c r="F427" i="43"/>
  <c r="F410" i="43"/>
  <c r="F420" i="43"/>
  <c r="F431" i="43"/>
  <c r="F430" i="43"/>
  <c r="F421" i="43"/>
  <c r="F425" i="43"/>
  <c r="F426" i="43"/>
  <c r="F412" i="43"/>
  <c r="F405" i="43"/>
  <c r="F417" i="43"/>
  <c r="F414" i="43"/>
  <c r="F422" i="43"/>
  <c r="F411" i="43"/>
  <c r="F408" i="43"/>
  <c r="F432" i="43"/>
  <c r="F418" i="43"/>
  <c r="F409" i="43"/>
  <c r="F407" i="43"/>
  <c r="F413" i="43"/>
  <c r="F428" i="43"/>
  <c r="F429" i="43"/>
  <c r="F406" i="43"/>
  <c r="F433" i="43"/>
  <c r="G410" i="43"/>
  <c r="G413" i="43"/>
  <c r="G431" i="43"/>
  <c r="G416" i="43"/>
  <c r="G434" i="43"/>
  <c r="G428" i="43"/>
  <c r="G429" i="43"/>
  <c r="G411" i="43"/>
  <c r="G427" i="43"/>
  <c r="G409" i="43"/>
  <c r="G408" i="43"/>
  <c r="G422" i="43"/>
  <c r="G426" i="43"/>
  <c r="G424" i="43"/>
  <c r="G421" i="43"/>
  <c r="G433" i="43"/>
  <c r="G432" i="43"/>
  <c r="G406" i="43"/>
  <c r="G419" i="43"/>
  <c r="G423" i="43"/>
  <c r="G405" i="43"/>
  <c r="G425" i="43"/>
  <c r="G412" i="43"/>
  <c r="G407" i="43"/>
  <c r="G420" i="43"/>
  <c r="G404" i="43"/>
  <c r="G418" i="43"/>
  <c r="G415" i="43"/>
  <c r="G430" i="43"/>
  <c r="G417" i="43"/>
  <c r="G414"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Z169" i="43"/>
  <c r="K428" i="43"/>
  <c r="N169" i="43"/>
  <c r="K416" i="43"/>
  <c r="H169" i="43"/>
  <c r="K410" i="43"/>
  <c r="G208" i="43"/>
  <c r="K409" i="43"/>
  <c r="K208" i="43"/>
  <c r="K413" i="43"/>
  <c r="AD169" i="43"/>
  <c r="K432" i="43"/>
  <c r="R169" i="43"/>
  <c r="K420" i="43"/>
  <c r="L169" i="43"/>
  <c r="K414" i="43"/>
  <c r="F169" i="43"/>
  <c r="K408" i="43"/>
  <c r="D169" i="43"/>
  <c r="K406"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D247" i="43"/>
  <c r="L406" i="43"/>
  <c r="AE247" i="43"/>
  <c r="L433" i="43"/>
  <c r="M247" i="43"/>
  <c r="L415" i="43"/>
  <c r="J130" i="43"/>
  <c r="J412" i="43"/>
  <c r="AD130" i="43"/>
  <c r="J432" i="43"/>
  <c r="M130" i="43"/>
  <c r="J415" i="43"/>
  <c r="AE130" i="43"/>
  <c r="J433" i="43"/>
  <c r="AC130" i="43"/>
  <c r="J431" i="43"/>
  <c r="P130" i="43"/>
  <c r="J418" i="43"/>
  <c r="O130" i="43"/>
  <c r="J417" i="43"/>
  <c r="F130" i="43"/>
  <c r="J408" i="43"/>
  <c r="R130" i="43"/>
  <c r="J420" i="43"/>
  <c r="N130" i="43"/>
  <c r="J416" i="43"/>
  <c r="Z130" i="43"/>
  <c r="J428" i="43"/>
  <c r="E130" i="43"/>
  <c r="J407" i="43"/>
  <c r="AB130" i="43"/>
  <c r="J430" i="43"/>
  <c r="T130" i="43"/>
  <c r="J422" i="43"/>
  <c r="W130" i="43"/>
  <c r="J425" i="43"/>
  <c r="D130" i="43"/>
  <c r="J406" i="43"/>
  <c r="AF130" i="43"/>
  <c r="J434" i="43"/>
  <c r="S130" i="43"/>
  <c r="J421" i="43"/>
  <c r="C130" i="43"/>
  <c r="J405" i="43"/>
  <c r="V130" i="43"/>
  <c r="J424" i="43"/>
  <c r="Q130" i="43"/>
  <c r="J419" i="43"/>
  <c r="L130" i="43"/>
  <c r="J414" i="43"/>
  <c r="Y130" i="43"/>
  <c r="J427" i="43"/>
  <c r="G130" i="43"/>
  <c r="J409" i="43"/>
  <c r="I130" i="43"/>
  <c r="J411" i="43"/>
  <c r="X130" i="43"/>
  <c r="J426" i="43"/>
  <c r="K130" i="43"/>
  <c r="J413"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<sst xmlns="http://schemas.openxmlformats.org/spreadsheetml/2006/main" count="311" uniqueCount="164">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</sst>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792935200"/>
        <c:axId val="7929399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929352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9904"/>
        <c:crossesAt val="-8.0000000000000019E-3"/>
        <c:crossBetween val="midCat"/>
      </c:valAx>
      <c:valAx>
        <c:axId val="792939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5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792932456"/>
        <c:axId val="7929355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929324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5592"/>
        <c:crosses val="autoZero"/>
        <c:crossBetween val="midCat"/>
      </c:valAx>
      <c:valAx>
        <c:axId val="79293559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245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792936768"/>
        <c:axId val="7929375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792936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7552"/>
        <c:crosses val="autoZero"/>
        <c:crossBetween val="midCat"/>
        <c:majorUnit val="10000"/>
      </c:valAx>
      <c:valAx>
        <c:axId val="79293755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67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792937944"/>
        <c:axId val="792938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92937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792938336"/>
        <c:crosses val="autoZero"/>
        <c:crossBetween val="midCat"/>
        <c:majorUnit val="10000"/>
      </c:valAx>
      <c:valAx>
        <c:axId val="79293833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79293794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85944032"/>
        <c:axId val="6859428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59440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942856"/>
        <c:crosses val="autoZero"/>
        <c:crossBetween val="midCat"/>
        <c:majorUnit val="10000"/>
      </c:valAx>
      <c:valAx>
        <c:axId val="68594285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94403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1.1024147328500414E-2</c:v>
                </c:pt>
                <c:pt idx="1">
                  <c:v>1.4856896240947342E-2</c:v>
                </c:pt>
                <c:pt idx="2">
                  <c:v>4.1018927948765901E-3</c:v>
                </c:pt>
                <c:pt idx="3">
                  <c:v>7.059034015738161E-4</c:v>
                </c:pt>
                <c:pt idx="4">
                  <c:v>1.0328441865256091E-4</c:v>
                </c:pt>
                <c:pt idx="5">
                  <c:v>1.3574313851665601E-5</c:v>
                </c:pt>
                <c:pt idx="6">
                  <c:v>1.0179516084602506E-5</c:v>
                </c:pt>
                <c:pt idx="7">
                  <c:v>4.9946145437450541E-5</c:v>
                </c:pt>
                <c:pt idx="8">
                  <c:v>1.2414411728948571E-4</c:v>
                </c:pt>
                <c:pt idx="9">
                  <c:v>2.6765811993031209E-4</c:v>
                </c:pt>
                <c:pt idx="10">
                  <c:v>4.9317934421244192E-4</c:v>
                </c:pt>
                <c:pt idx="11">
                  <c:v>7.6237904002700676E-4</c:v>
                </c:pt>
                <c:pt idx="12">
                  <c:v>1.0227516574126282E-3</c:v>
                </c:pt>
                <c:pt idx="13">
                  <c:v>1.1977150638239813E-3</c:v>
                </c:pt>
                <c:pt idx="14">
                  <c:v>1.2558090846887652E-3</c:v>
                </c:pt>
                <c:pt idx="15">
                  <c:v>1.2182053583682107E-3</c:v>
                </c:pt>
                <c:pt idx="16">
                  <c:v>1.1116760415232035E-3</c:v>
                </c:pt>
                <c:pt idx="17">
                  <c:v>9.0278295576260608E-4</c:v>
                </c:pt>
                <c:pt idx="18">
                  <c:v>6.1329248266644054E-4</c:v>
                </c:pt>
                <c:pt idx="19">
                  <c:v>3.111960914216236E-4</c:v>
                </c:pt>
                <c:pt idx="20">
                  <c:v>1.6199058146931935E-4</c:v>
                </c:pt>
                <c:pt idx="21">
                  <c:v>6.8096163477398251E-5</c:v>
                </c:pt>
                <c:pt idx="22">
                  <c:v>1.5364378501086651E-5</c:v>
                </c:pt>
                <c:pt idx="23">
                  <c:v>1.1679413852857766E-3</c:v>
                </c:pt>
                <c:pt idx="24">
                  <c:v>3.0194970356640025E-3</c:v>
                </c:pt>
                <c:pt idx="25">
                  <c:v>4.4028197329085347E-3</c:v>
                </c:pt>
                <c:pt idx="26">
                  <c:v>3.239066186036118E-3</c:v>
                </c:pt>
                <c:pt idx="27">
                  <c:v>9.6911344108941138E-4</c:v>
                </c:pt>
                <c:pt idx="28">
                  <c:v>4.6945205533929714E-4</c:v>
                </c:pt>
                <c:pt idx="29">
                  <c:v>5.0771428338222701E-4</c:v>
                </c:pt>
                <c:pt idx="30">
                  <c:v>3.1071761439328366E-4</c:v>
                </c:pt>
              </c:numCache>
            </c:numRef>
          </c:yVal>
          <c:smooth val="1"/>
        </c:ser>
        <c:dLbls>
          <c:showLegendKey val="0"/>
          <c:showVal val="0"/>
          <c:showCatName val="0"/>
          <c:showSerName val="0"/>
          <c:showPercent val="0"/>
          <c:showBubbleSize val="0"/>
        </c:dLbls>
        <c:axId val="688499376"/>
        <c:axId val="688499768"/>
      </c:scatterChart>
      <c:valAx>
        <c:axId val="6884993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9768"/>
        <c:crossesAt val="-1.5000000000000005E-3"/>
        <c:crossBetween val="midCat"/>
      </c:valAx>
      <c:valAx>
        <c:axId val="68849976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93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8333.5810340424232</c:v>
                </c:pt>
                <c:pt idx="1">
                  <c:v>8205.255478599398</c:v>
                </c:pt>
                <c:pt idx="2">
                  <c:v>7719.8404633802975</c:v>
                </c:pt>
                <c:pt idx="3">
                  <c:v>7385.0361360709903</c:v>
                </c:pt>
                <c:pt idx="4">
                  <c:v>7022.6447471031015</c:v>
                </c:pt>
                <c:pt idx="5">
                  <c:v>6738.8171177141166</c:v>
                </c:pt>
                <c:pt idx="6">
                  <c:v>6452.9911575567739</c:v>
                </c:pt>
                <c:pt idx="7">
                  <c:v>6178.3167598668788</c:v>
                </c:pt>
                <c:pt idx="8">
                  <c:v>5888.6726297808382</c:v>
                </c:pt>
                <c:pt idx="9">
                  <c:v>5617.7282343344768</c:v>
                </c:pt>
                <c:pt idx="10">
                  <c:v>5282.9703388929101</c:v>
                </c:pt>
                <c:pt idx="11">
                  <c:v>4922.0302654901398</c:v>
                </c:pt>
                <c:pt idx="12">
                  <c:v>4520.834710737342</c:v>
                </c:pt>
                <c:pt idx="13">
                  <c:v>4049.8571249595243</c:v>
                </c:pt>
                <c:pt idx="14">
                  <c:v>3485.3471428841772</c:v>
                </c:pt>
                <c:pt idx="15">
                  <c:v>2773.4462798589138</c:v>
                </c:pt>
                <c:pt idx="16">
                  <c:v>2023.8096995356063</c:v>
                </c:pt>
                <c:pt idx="17">
                  <c:v>1423.738640088435</c:v>
                </c:pt>
                <c:pt idx="18">
                  <c:v>1000.9279441912024</c:v>
                </c:pt>
                <c:pt idx="19">
                  <c:v>766.29153874794963</c:v>
                </c:pt>
                <c:pt idx="20">
                  <c:v>637.80738544542442</c:v>
                </c:pt>
                <c:pt idx="21">
                  <c:v>580.78034172054333</c:v>
                </c:pt>
                <c:pt idx="22">
                  <c:v>540.80026135466926</c:v>
                </c:pt>
                <c:pt idx="23">
                  <c:v>520.4889399983233</c:v>
                </c:pt>
                <c:pt idx="24">
                  <c:v>507.80846425722166</c:v>
                </c:pt>
                <c:pt idx="25">
                  <c:v>482.67314399353853</c:v>
                </c:pt>
                <c:pt idx="26">
                  <c:v>470.01389299937927</c:v>
                </c:pt>
                <c:pt idx="27">
                  <c:v>469.85843232791916</c:v>
                </c:pt>
                <c:pt idx="28">
                  <c:v>468.84221000528782</c:v>
                </c:pt>
                <c:pt idx="29">
                  <c:v>467.34898981752758</c:v>
                </c:pt>
                <c:pt idx="30">
                  <c:v>466.01516255340709</c:v>
                </c:pt>
              </c:numCache>
            </c:numRef>
          </c:yVal>
          <c:smooth val="1"/>
        </c:ser>
        <c:dLbls>
          <c:showLegendKey val="0"/>
          <c:showVal val="0"/>
          <c:showCatName val="0"/>
          <c:showSerName val="0"/>
          <c:showPercent val="0"/>
          <c:showBubbleSize val="0"/>
        </c:dLbls>
        <c:axId val="688500160"/>
        <c:axId val="688496632"/>
      </c:scatterChart>
      <c:valAx>
        <c:axId val="6885001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6632"/>
        <c:crosses val="autoZero"/>
        <c:crossBetween val="midCat"/>
      </c:valAx>
      <c:valAx>
        <c:axId val="688496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50016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2.7935572314880374E-2</c:v>
                </c:pt>
                <c:pt idx="11">
                  <c:v>1.2239436587294112E-2</c:v>
                </c:pt>
                <c:pt idx="12">
                  <c:v>3.0746556666680018E-2</c:v>
                </c:pt>
                <c:pt idx="13">
                  <c:v>2.4597592490057073E-2</c:v>
                </c:pt>
                <c:pt idx="14">
                  <c:v>2.5950615227136438E-2</c:v>
                </c:pt>
                <c:pt idx="15">
                  <c:v>2.5624455254015129E-2</c:v>
                </c:pt>
                <c:pt idx="16">
                  <c:v>2.5237035948130135E-2</c:v>
                </c:pt>
                <c:pt idx="17">
                  <c:v>2.4547134017613922E-2</c:v>
                </c:pt>
                <c:pt idx="18">
                  <c:v>2.3809414351905943E-2</c:v>
                </c:pt>
                <c:pt idx="19">
                  <c:v>2.0472623359749413E-2</c:v>
                </c:pt>
                <c:pt idx="20">
                  <c:v>2.3243205462157011E-3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5.0697355469627142E-2</c:v>
                </c:pt>
                <c:pt idx="1">
                  <c:v>2.2533836548655366E-2</c:v>
                </c:pt>
                <c:pt idx="2">
                  <c:v>0.13407753252365559</c:v>
                </c:pt>
                <c:pt idx="3">
                  <c:v>0.11290240706335297</c:v>
                </c:pt>
                <c:pt idx="4">
                  <c:v>8.831043775664929E-2</c:v>
                </c:pt>
                <c:pt idx="5">
                  <c:v>5.9686443210072188E-2</c:v>
                </c:pt>
                <c:pt idx="6">
                  <c:v>3.0281386571066615E-2</c:v>
                </c:pt>
                <c:pt idx="7">
                  <c:v>9.5614490701988741E-3</c:v>
                </c:pt>
                <c:pt idx="8">
                  <c:v>2.577657793045016E-2</c:v>
                </c:pt>
                <c:pt idx="9">
                  <c:v>2.6820302089956668E-2</c:v>
                </c:pt>
                <c:pt idx="10">
                  <c:v>2.5094537503863153E-2</c:v>
                </c:pt>
                <c:pt idx="11">
                  <c:v>2.3677271389193323E-2</c:v>
                </c:pt>
                <c:pt idx="12">
                  <c:v>2.380482140714725E-2</c:v>
                </c:pt>
                <c:pt idx="13">
                  <c:v>2.3745638689742429E-2</c:v>
                </c:pt>
                <c:pt idx="14">
                  <c:v>2.3885383625438086E-2</c:v>
                </c:pt>
                <c:pt idx="15">
                  <c:v>2.4009023020658594E-2</c:v>
                </c:pt>
                <c:pt idx="16">
                  <c:v>2.1019230513876382E-2</c:v>
                </c:pt>
                <c:pt idx="17">
                  <c:v>8.437488251563912E-4</c:v>
                </c:pt>
                <c:pt idx="18">
                  <c:v>5.3249002458481756E-2</c:v>
                </c:pt>
                <c:pt idx="19">
                  <c:v>0.10777912940963819</c:v>
                </c:pt>
                <c:pt idx="20">
                  <c:v>0.14578869704038958</c:v>
                </c:pt>
                <c:pt idx="21">
                  <c:v>0.13788278835251874</c:v>
                </c:pt>
                <c:pt idx="22">
                  <c:v>7.9790671668532154E-2</c:v>
                </c:pt>
                <c:pt idx="23">
                  <c:v>4.1828588035968756E-2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2.8924530683680675E-2</c:v>
                </c:pt>
                <c:pt idx="11">
                  <c:v>3.0307465156854545E-2</c:v>
                </c:pt>
                <c:pt idx="12">
                  <c:v>3.096444865541137E-2</c:v>
                </c:pt>
                <c:pt idx="13">
                  <c:v>3.2458413682089737E-2</c:v>
                </c:pt>
                <c:pt idx="14">
                  <c:v>3.3342794401689232E-2</c:v>
                </c:pt>
                <c:pt idx="15">
                  <c:v>3.8577285177830295E-2</c:v>
                </c:pt>
                <c:pt idx="16">
                  <c:v>2.6189920357747871E-2</c:v>
                </c:pt>
                <c:pt idx="17">
                  <c:v>1.1569008906768529E-2</c:v>
                </c:pt>
                <c:pt idx="18">
                  <c:v>5.6212772909079056E-2</c:v>
                </c:pt>
                <c:pt idx="19">
                  <c:v>7.5800510890870088E-2</c:v>
                </c:pt>
                <c:pt idx="20">
                  <c:v>3.5030759929287961E-2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4.8071922520263297E-4</c:v>
                </c:pt>
                <c:pt idx="11">
                  <c:v>7.7490538765430524E-4</c:v>
                </c:pt>
                <c:pt idx="12">
                  <c:v>1.006067034284078E-3</c:v>
                </c:pt>
                <c:pt idx="13">
                  <c:v>1.218217582784084E-3</c:v>
                </c:pt>
                <c:pt idx="14">
                  <c:v>1.2263118753012548E-3</c:v>
                </c:pt>
                <c:pt idx="15">
                  <c:v>1.2625252976839637E-3</c:v>
                </c:pt>
                <c:pt idx="16">
                  <c:v>1.063702340584797E-3</c:v>
                </c:pt>
                <c:pt idx="17">
                  <c:v>9.524305379589623E-4</c:v>
                </c:pt>
                <c:pt idx="18">
                  <c:v>5.7447250614052015E-4</c:v>
                </c:pt>
                <c:pt idx="19">
                  <c:v>3.3959007925707499E-4</c:v>
                </c:pt>
                <c:pt idx="20">
                  <c:v>1.4583486033430766E-4</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88498592"/>
        <c:axId val="688497416"/>
      </c:scatterChart>
      <c:valAx>
        <c:axId val="688498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7416"/>
        <c:crossesAt val="1.0000000000000005E-9"/>
        <c:crossBetween val="midCat"/>
      </c:valAx>
      <c:valAx>
        <c:axId val="688497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859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-22.869278143205829</c:v>
                </c:pt>
                <c:pt idx="1">
                  <c:v>-19.023716525364829</c:v>
                </c:pt>
                <c:pt idx="2">
                  <c:v>-16.53105789690397</c:v>
                </c:pt>
                <c:pt idx="3">
                  <c:v>-14.281547476415687</c:v>
                </c:pt>
                <c:pt idx="4">
                  <c:v>-10.921386422257637</c:v>
                </c:pt>
                <c:pt idx="5">
                  <c:v>-5.4295324985427138</c:v>
                </c:pt>
                <c:pt idx="6">
                  <c:v>0</c:v>
                </c:pt>
              </c:numCache>
            </c:numRef>
          </c:yVal>
          <c:smooth val="0"/>
        </c:ser>
        <c:dLbls>
          <c:showLegendKey val="0"/>
          <c:showVal val="0"/>
          <c:showCatName val="0"/>
          <c:showSerName val="0"/>
          <c:showPercent val="0"/>
          <c:showBubbleSize val="0"/>
        </c:dLbls>
        <c:axId val="386206432"/>
        <c:axId val="386207608"/>
      </c:scatterChart>
      <c:valAx>
        <c:axId val="386206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7608"/>
        <c:crossesAt val="-100"/>
        <c:crossBetween val="midCat"/>
      </c:valAx>
      <c:valAx>
        <c:axId val="386207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643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386206040"/>
        <c:axId val="386209176"/>
      </c:scatterChart>
      <c:valAx>
        <c:axId val="38620604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9176"/>
        <c:crosses val="autoZero"/>
        <c:crossBetween val="midCat"/>
      </c:valAx>
      <c:valAx>
        <c:axId val="38620917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604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1.169495883007662E-25</c:v>
                </c:pt>
                <c:pt idx="1">
                  <c:v>1.1694958830076619E-24</c:v>
                </c:pt>
                <c:pt idx="2">
                  <c:v>1.1694958830076618E-23</c:v>
                </c:pt>
                <c:pt idx="3">
                  <c:v>1.1694958830076618E-22</c:v>
                </c:pt>
                <c:pt idx="4">
                  <c:v>1.1694958830076618E-21</c:v>
                </c:pt>
                <c:pt idx="5">
                  <c:v>1.1694958830076618E-20</c:v>
                </c:pt>
                <c:pt idx="6">
                  <c:v>1.169495883007662E-19</c:v>
                </c:pt>
                <c:pt idx="7">
                  <c:v>1.1694958830076619E-18</c:v>
                </c:pt>
                <c:pt idx="8">
                  <c:v>1.1694958830076617E-17</c:v>
                </c:pt>
                <c:pt idx="9">
                  <c:v>1.1694958830076618E-16</c:v>
                </c:pt>
                <c:pt idx="10">
                  <c:v>1.1694958830076619E-15</c:v>
                </c:pt>
                <c:pt idx="11">
                  <c:v>1.1694958830076619E-14</c:v>
                </c:pt>
                <c:pt idx="12">
                  <c:v>1.1694958830076618E-13</c:v>
                </c:pt>
                <c:pt idx="13">
                  <c:v>1.1694958830076617E-12</c:v>
                </c:pt>
                <c:pt idx="14">
                  <c:v>1.1694958830076618E-11</c:v>
                </c:pt>
                <c:pt idx="15">
                  <c:v>1.1694958830076617E-10</c:v>
                </c:pt>
                <c:pt idx="16">
                  <c:v>1.1694958830076618E-9</c:v>
                </c:pt>
                <c:pt idx="17">
                  <c:v>1.1694958830076618E-8</c:v>
                </c:pt>
                <c:pt idx="18">
                  <c:v>1.1694958830076618E-7</c:v>
                </c:pt>
                <c:pt idx="19">
                  <c:v>1.1694958830076618E-6</c:v>
                </c:pt>
                <c:pt idx="20">
                  <c:v>1.1694958830076617E-5</c:v>
                </c:pt>
                <c:pt idx="21">
                  <c:v>1.1694958830076618E-4</c:v>
                </c:pt>
                <c:pt idx="22">
                  <c:v>1.1694958830076618E-3</c:v>
                </c:pt>
                <c:pt idx="23">
                  <c:v>1.1694958830076619E-2</c:v>
                </c:pt>
                <c:pt idx="24">
                  <c:v>0.11694958830076618</c:v>
                </c:pt>
                <c:pt idx="25">
                  <c:v>1.1694958830076618</c:v>
                </c:pt>
                <c:pt idx="26">
                  <c:v>11.694958830076619</c:v>
                </c:pt>
                <c:pt idx="27">
                  <c:v>116.94958830076618</c:v>
                </c:pt>
                <c:pt idx="28">
                  <c:v>1169.4958830076619</c:v>
                </c:pt>
                <c:pt idx="29">
                  <c:v>11694.958830076617</c:v>
                </c:pt>
                <c:pt idx="30">
                  <c:v>116949.58830076618</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5.4714809028854452E-24</c:v>
                </c:pt>
                <c:pt idx="1">
                  <c:v>5.4714809028854454E-23</c:v>
                </c:pt>
                <c:pt idx="2">
                  <c:v>5.4714809028854454E-22</c:v>
                </c:pt>
                <c:pt idx="3">
                  <c:v>5.471480902885445E-21</c:v>
                </c:pt>
                <c:pt idx="4">
                  <c:v>5.4714809028854453E-20</c:v>
                </c:pt>
                <c:pt idx="5">
                  <c:v>5.4714809028854453E-19</c:v>
                </c:pt>
                <c:pt idx="6">
                  <c:v>5.4714809028854453E-18</c:v>
                </c:pt>
                <c:pt idx="7">
                  <c:v>5.471480902885445E-17</c:v>
                </c:pt>
                <c:pt idx="8">
                  <c:v>5.4714809028854449E-16</c:v>
                </c:pt>
                <c:pt idx="9">
                  <c:v>5.4714809028854451E-15</c:v>
                </c:pt>
                <c:pt idx="10">
                  <c:v>5.4714809028854456E-14</c:v>
                </c:pt>
                <c:pt idx="11">
                  <c:v>5.4714809028854454E-13</c:v>
                </c:pt>
                <c:pt idx="12">
                  <c:v>5.4714809028854452E-12</c:v>
                </c:pt>
                <c:pt idx="13">
                  <c:v>5.4714809028854452E-11</c:v>
                </c:pt>
                <c:pt idx="14">
                  <c:v>5.4714809028854457E-10</c:v>
                </c:pt>
                <c:pt idx="15">
                  <c:v>5.4714809028854451E-9</c:v>
                </c:pt>
                <c:pt idx="16">
                  <c:v>5.4714809028854455E-8</c:v>
                </c:pt>
                <c:pt idx="17">
                  <c:v>5.4714809028854451E-7</c:v>
                </c:pt>
                <c:pt idx="18">
                  <c:v>5.4714809028854455E-6</c:v>
                </c:pt>
                <c:pt idx="19">
                  <c:v>5.4714809028854453E-5</c:v>
                </c:pt>
                <c:pt idx="20">
                  <c:v>5.4714809028854456E-4</c:v>
                </c:pt>
                <c:pt idx="21">
                  <c:v>5.4714809028854451E-3</c:v>
                </c:pt>
                <c:pt idx="22">
                  <c:v>5.471480902885445E-2</c:v>
                </c:pt>
                <c:pt idx="23">
                  <c:v>0.5471480902885445</c:v>
                </c:pt>
                <c:pt idx="24">
                  <c:v>5.4714809028854452</c:v>
                </c:pt>
                <c:pt idx="25">
                  <c:v>54.714809028854454</c:v>
                </c:pt>
                <c:pt idx="26">
                  <c:v>547.14809028854449</c:v>
                </c:pt>
                <c:pt idx="27">
                  <c:v>5471.4809028854452</c:v>
                </c:pt>
                <c:pt idx="28">
                  <c:v>54714.809028854448</c:v>
                </c:pt>
                <c:pt idx="29">
                  <c:v>547148.09028854454</c:v>
                </c:pt>
                <c:pt idx="30">
                  <c:v>5471480.9028854454</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6.6168726373319759E-23</c:v>
                </c:pt>
                <c:pt idx="1">
                  <c:v>6.6168726373319756E-22</c:v>
                </c:pt>
                <c:pt idx="2">
                  <c:v>6.616872637331976E-21</c:v>
                </c:pt>
                <c:pt idx="3">
                  <c:v>6.6168726373319753E-20</c:v>
                </c:pt>
                <c:pt idx="4">
                  <c:v>6.6168726373319753E-19</c:v>
                </c:pt>
                <c:pt idx="5">
                  <c:v>6.6168726373319755E-18</c:v>
                </c:pt>
                <c:pt idx="6">
                  <c:v>6.6168726373319759E-17</c:v>
                </c:pt>
                <c:pt idx="7">
                  <c:v>6.6168726373319757E-16</c:v>
                </c:pt>
                <c:pt idx="8">
                  <c:v>6.6168726373319755E-15</c:v>
                </c:pt>
                <c:pt idx="9">
                  <c:v>6.6168726373319752E-14</c:v>
                </c:pt>
                <c:pt idx="10">
                  <c:v>6.6168726373319757E-13</c:v>
                </c:pt>
                <c:pt idx="11">
                  <c:v>6.6168726373319759E-12</c:v>
                </c:pt>
                <c:pt idx="12">
                  <c:v>6.6168726373319759E-11</c:v>
                </c:pt>
                <c:pt idx="13">
                  <c:v>6.6168726373319754E-10</c:v>
                </c:pt>
                <c:pt idx="14">
                  <c:v>6.616872637331976E-9</c:v>
                </c:pt>
                <c:pt idx="15">
                  <c:v>6.6168726373319753E-8</c:v>
                </c:pt>
                <c:pt idx="16">
                  <c:v>6.6168726373319756E-7</c:v>
                </c:pt>
                <c:pt idx="17">
                  <c:v>6.6168726373319758E-6</c:v>
                </c:pt>
                <c:pt idx="18">
                  <c:v>6.6168726373319749E-5</c:v>
                </c:pt>
                <c:pt idx="19">
                  <c:v>6.616872637331976E-4</c:v>
                </c:pt>
                <c:pt idx="20">
                  <c:v>6.6168726373319756E-3</c:v>
                </c:pt>
                <c:pt idx="21">
                  <c:v>6.6168726373319761E-2</c:v>
                </c:pt>
                <c:pt idx="22">
                  <c:v>0.66168726373319753</c:v>
                </c:pt>
                <c:pt idx="23">
                  <c:v>6.6168726373319755</c:v>
                </c:pt>
                <c:pt idx="24">
                  <c:v>66.168726373319757</c:v>
                </c:pt>
                <c:pt idx="25">
                  <c:v>661.6872637331976</c:v>
                </c:pt>
                <c:pt idx="26">
                  <c:v>6616.872637331976</c:v>
                </c:pt>
                <c:pt idx="27">
                  <c:v>66168.726373319761</c:v>
                </c:pt>
                <c:pt idx="28">
                  <c:v>661687.26373319759</c:v>
                </c:pt>
                <c:pt idx="29">
                  <c:v>6616872.6373319756</c:v>
                </c:pt>
                <c:pt idx="30">
                  <c:v>66168726.373319753</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6.2748411787779559E-22</c:v>
                </c:pt>
                <c:pt idx="1">
                  <c:v>6.2748411787779549E-21</c:v>
                </c:pt>
                <c:pt idx="2">
                  <c:v>6.2748411787779549E-20</c:v>
                </c:pt>
                <c:pt idx="3">
                  <c:v>6.2748411787779549E-19</c:v>
                </c:pt>
                <c:pt idx="4">
                  <c:v>6.2748411787779545E-18</c:v>
                </c:pt>
                <c:pt idx="5">
                  <c:v>6.2748411787779556E-17</c:v>
                </c:pt>
                <c:pt idx="6">
                  <c:v>6.2748411787779559E-16</c:v>
                </c:pt>
                <c:pt idx="7">
                  <c:v>6.2748411787779549E-15</c:v>
                </c:pt>
                <c:pt idx="8">
                  <c:v>6.2748411787779547E-14</c:v>
                </c:pt>
                <c:pt idx="9">
                  <c:v>6.2748411787779552E-13</c:v>
                </c:pt>
                <c:pt idx="10">
                  <c:v>6.2748411787779554E-12</c:v>
                </c:pt>
                <c:pt idx="11">
                  <c:v>6.2748411787779554E-11</c:v>
                </c:pt>
                <c:pt idx="12">
                  <c:v>6.2748411787779549E-10</c:v>
                </c:pt>
                <c:pt idx="13">
                  <c:v>6.2748411787779549E-9</c:v>
                </c:pt>
                <c:pt idx="14">
                  <c:v>6.2748411787779561E-8</c:v>
                </c:pt>
                <c:pt idx="15">
                  <c:v>6.274841178777955E-7</c:v>
                </c:pt>
                <c:pt idx="16">
                  <c:v>6.2748411787779554E-6</c:v>
                </c:pt>
                <c:pt idx="17">
                  <c:v>6.2748411787779551E-5</c:v>
                </c:pt>
                <c:pt idx="18">
                  <c:v>6.2748411787779551E-4</c:v>
                </c:pt>
                <c:pt idx="19">
                  <c:v>6.2748411787779549E-3</c:v>
                </c:pt>
                <c:pt idx="20">
                  <c:v>6.2748411787779554E-2</c:v>
                </c:pt>
                <c:pt idx="21">
                  <c:v>0.62748411787779557</c:v>
                </c:pt>
                <c:pt idx="22">
                  <c:v>6.2748411787779554</c:v>
                </c:pt>
                <c:pt idx="23">
                  <c:v>62.748411787779553</c:v>
                </c:pt>
                <c:pt idx="24">
                  <c:v>627.48411787779548</c:v>
                </c:pt>
                <c:pt idx="25">
                  <c:v>6274.8411787779551</c:v>
                </c:pt>
                <c:pt idx="26">
                  <c:v>62748.411787779551</c:v>
                </c:pt>
                <c:pt idx="27">
                  <c:v>627484.11787779548</c:v>
                </c:pt>
                <c:pt idx="28">
                  <c:v>6274841.1787779555</c:v>
                </c:pt>
                <c:pt idx="29">
                  <c:v>62748411.787779555</c:v>
                </c:pt>
                <c:pt idx="30">
                  <c:v>627484117.87779546</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1.8067669682294661E-20</c:v>
                </c:pt>
                <c:pt idx="1">
                  <c:v>1.806766968229466E-19</c:v>
                </c:pt>
                <c:pt idx="2">
                  <c:v>1.8067669682294662E-18</c:v>
                </c:pt>
                <c:pt idx="3">
                  <c:v>1.8067669682294659E-17</c:v>
                </c:pt>
                <c:pt idx="4">
                  <c:v>1.8067669682294658E-16</c:v>
                </c:pt>
                <c:pt idx="5">
                  <c:v>1.8067669682294661E-15</c:v>
                </c:pt>
                <c:pt idx="6">
                  <c:v>1.806766968229466E-14</c:v>
                </c:pt>
                <c:pt idx="7">
                  <c:v>1.806766968229466E-13</c:v>
                </c:pt>
                <c:pt idx="8">
                  <c:v>1.806766968229466E-12</c:v>
                </c:pt>
                <c:pt idx="9">
                  <c:v>1.8067669682294659E-11</c:v>
                </c:pt>
                <c:pt idx="10">
                  <c:v>1.8067669682294661E-10</c:v>
                </c:pt>
                <c:pt idx="11">
                  <c:v>1.8067669682294661E-9</c:v>
                </c:pt>
                <c:pt idx="12">
                  <c:v>1.8067669682294661E-8</c:v>
                </c:pt>
                <c:pt idx="13">
                  <c:v>1.8067669682294659E-7</c:v>
                </c:pt>
                <c:pt idx="14">
                  <c:v>1.8067669682294661E-6</c:v>
                </c:pt>
                <c:pt idx="15">
                  <c:v>1.806766968229466E-5</c:v>
                </c:pt>
                <c:pt idx="16">
                  <c:v>1.806766968229466E-4</c:v>
                </c:pt>
                <c:pt idx="17">
                  <c:v>1.806766968229466E-3</c:v>
                </c:pt>
                <c:pt idx="18">
                  <c:v>1.806766968229466E-2</c:v>
                </c:pt>
                <c:pt idx="19">
                  <c:v>0.1806766968229466</c:v>
                </c:pt>
                <c:pt idx="20">
                  <c:v>1.806766968229466</c:v>
                </c:pt>
                <c:pt idx="21">
                  <c:v>18.06766968229466</c:v>
                </c:pt>
                <c:pt idx="22">
                  <c:v>180.67669682294658</c:v>
                </c:pt>
                <c:pt idx="23">
                  <c:v>1806.7669682294659</c:v>
                </c:pt>
                <c:pt idx="24">
                  <c:v>18067.669682294658</c:v>
                </c:pt>
                <c:pt idx="25">
                  <c:v>180676.6968229466</c:v>
                </c:pt>
                <c:pt idx="26">
                  <c:v>1806766.9682294659</c:v>
                </c:pt>
                <c:pt idx="27">
                  <c:v>18067669.682294659</c:v>
                </c:pt>
                <c:pt idx="28">
                  <c:v>180676696.82294661</c:v>
                </c:pt>
                <c:pt idx="29">
                  <c:v>1806766968.229466</c:v>
                </c:pt>
                <c:pt idx="30">
                  <c:v>18067669682.294659</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4.3851453853980748E-18</c:v>
                </c:pt>
                <c:pt idx="1">
                  <c:v>4.3851453853980739E-17</c:v>
                </c:pt>
                <c:pt idx="2">
                  <c:v>4.3851453853980744E-16</c:v>
                </c:pt>
                <c:pt idx="3">
                  <c:v>4.3851453853980741E-15</c:v>
                </c:pt>
                <c:pt idx="4">
                  <c:v>4.3851453853980736E-14</c:v>
                </c:pt>
                <c:pt idx="5">
                  <c:v>4.3851453853980744E-13</c:v>
                </c:pt>
                <c:pt idx="6">
                  <c:v>4.3851453853980742E-12</c:v>
                </c:pt>
                <c:pt idx="7">
                  <c:v>4.3851453853980742E-11</c:v>
                </c:pt>
                <c:pt idx="8">
                  <c:v>4.3851453853980741E-10</c:v>
                </c:pt>
                <c:pt idx="9">
                  <c:v>4.3851453853980744E-9</c:v>
                </c:pt>
                <c:pt idx="10">
                  <c:v>4.3851453853980744E-8</c:v>
                </c:pt>
                <c:pt idx="11">
                  <c:v>4.3851453853980745E-7</c:v>
                </c:pt>
                <c:pt idx="12">
                  <c:v>4.3851453853980745E-6</c:v>
                </c:pt>
                <c:pt idx="13">
                  <c:v>4.3851453853980742E-5</c:v>
                </c:pt>
                <c:pt idx="14">
                  <c:v>4.3851453853980746E-4</c:v>
                </c:pt>
                <c:pt idx="15">
                  <c:v>4.3851453853980746E-3</c:v>
                </c:pt>
                <c:pt idx="16">
                  <c:v>4.3851453853980739E-2</c:v>
                </c:pt>
                <c:pt idx="17">
                  <c:v>0.43851453853980743</c:v>
                </c:pt>
                <c:pt idx="18">
                  <c:v>4.385145385398074</c:v>
                </c:pt>
                <c:pt idx="19">
                  <c:v>43.851453853980743</c:v>
                </c:pt>
                <c:pt idx="20">
                  <c:v>438.5145385398074</c:v>
                </c:pt>
                <c:pt idx="21">
                  <c:v>4385.1453853980738</c:v>
                </c:pt>
                <c:pt idx="22">
                  <c:v>43851.45385398074</c:v>
                </c:pt>
                <c:pt idx="23">
                  <c:v>438514.53853980743</c:v>
                </c:pt>
                <c:pt idx="24">
                  <c:v>4385145.3853980741</c:v>
                </c:pt>
                <c:pt idx="25">
                  <c:v>43851453.853980742</c:v>
                </c:pt>
                <c:pt idx="26">
                  <c:v>438514538.53980744</c:v>
                </c:pt>
                <c:pt idx="27">
                  <c:v>4385145385.3980742</c:v>
                </c:pt>
                <c:pt idx="28">
                  <c:v>43851453853.980743</c:v>
                </c:pt>
                <c:pt idx="29">
                  <c:v>438514538539.80743</c:v>
                </c:pt>
                <c:pt idx="30">
                  <c:v>4385145385398.0742</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386206824"/>
        <c:axId val="386208392"/>
      </c:scatterChart>
      <c:valAx>
        <c:axId val="3862068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8392"/>
        <c:crosses val="autoZero"/>
        <c:crossBetween val="midCat"/>
      </c:valAx>
      <c:valAx>
        <c:axId val="386208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682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1.169495883007662E-25</c:v>
                </c:pt>
                <c:pt idx="1">
                  <c:v>1.1694958830076619E-24</c:v>
                </c:pt>
                <c:pt idx="2">
                  <c:v>1.1694958830076618E-23</c:v>
                </c:pt>
                <c:pt idx="3">
                  <c:v>1.1694958830076618E-22</c:v>
                </c:pt>
                <c:pt idx="4">
                  <c:v>1.1694958830076618E-21</c:v>
                </c:pt>
                <c:pt idx="5">
                  <c:v>1.1694958830076618E-20</c:v>
                </c:pt>
                <c:pt idx="6">
                  <c:v>1.169495883007662E-19</c:v>
                </c:pt>
                <c:pt idx="7">
                  <c:v>1.1694958830076619E-18</c:v>
                </c:pt>
                <c:pt idx="8">
                  <c:v>1.1694958830076617E-17</c:v>
                </c:pt>
                <c:pt idx="9">
                  <c:v>1.1694958830076618E-16</c:v>
                </c:pt>
                <c:pt idx="10">
                  <c:v>1.1694958830076619E-15</c:v>
                </c:pt>
                <c:pt idx="11">
                  <c:v>1.1694958830076619E-14</c:v>
                </c:pt>
                <c:pt idx="12">
                  <c:v>1.1694958830076618E-13</c:v>
                </c:pt>
                <c:pt idx="13">
                  <c:v>1.1694958830076617E-12</c:v>
                </c:pt>
                <c:pt idx="14">
                  <c:v>1.1694958830076618E-11</c:v>
                </c:pt>
                <c:pt idx="15">
                  <c:v>1.1694958830076617E-10</c:v>
                </c:pt>
                <c:pt idx="16">
                  <c:v>1.1694958830076618E-9</c:v>
                </c:pt>
                <c:pt idx="17">
                  <c:v>1.1694958830076618E-8</c:v>
                </c:pt>
                <c:pt idx="18">
                  <c:v>1.1694958830076618E-7</c:v>
                </c:pt>
                <c:pt idx="19">
                  <c:v>1.1694958830076618E-6</c:v>
                </c:pt>
                <c:pt idx="20">
                  <c:v>1.1694958830076617E-5</c:v>
                </c:pt>
                <c:pt idx="21">
                  <c:v>1.1694958830076618E-4</c:v>
                </c:pt>
                <c:pt idx="22">
                  <c:v>1.1694958830076618E-3</c:v>
                </c:pt>
                <c:pt idx="23">
                  <c:v>1.1694958830076619E-2</c:v>
                </c:pt>
                <c:pt idx="24">
                  <c:v>0.11694958830076618</c:v>
                </c:pt>
                <c:pt idx="25">
                  <c:v>1.1694958830076618</c:v>
                </c:pt>
                <c:pt idx="26">
                  <c:v>11.694958830076619</c:v>
                </c:pt>
                <c:pt idx="27">
                  <c:v>116.94958830076618</c:v>
                </c:pt>
                <c:pt idx="28">
                  <c:v>1169.4958830076619</c:v>
                </c:pt>
                <c:pt idx="29">
                  <c:v>11694.958830076617</c:v>
                </c:pt>
                <c:pt idx="30">
                  <c:v>116949.58830076618</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5.4714809028854452E-24</c:v>
                </c:pt>
                <c:pt idx="1">
                  <c:v>5.4714809028854454E-23</c:v>
                </c:pt>
                <c:pt idx="2">
                  <c:v>5.4714809028854454E-22</c:v>
                </c:pt>
                <c:pt idx="3">
                  <c:v>5.471480902885445E-21</c:v>
                </c:pt>
                <c:pt idx="4">
                  <c:v>5.4714809028854453E-20</c:v>
                </c:pt>
                <c:pt idx="5">
                  <c:v>5.4714809028854453E-19</c:v>
                </c:pt>
                <c:pt idx="6">
                  <c:v>5.4714809028854453E-18</c:v>
                </c:pt>
                <c:pt idx="7">
                  <c:v>5.471480902885445E-17</c:v>
                </c:pt>
                <c:pt idx="8">
                  <c:v>5.4714809028854449E-16</c:v>
                </c:pt>
                <c:pt idx="9">
                  <c:v>5.4714809028854451E-15</c:v>
                </c:pt>
                <c:pt idx="10">
                  <c:v>5.4714809028854456E-14</c:v>
                </c:pt>
                <c:pt idx="11">
                  <c:v>5.4714809028854454E-13</c:v>
                </c:pt>
                <c:pt idx="12">
                  <c:v>5.4714809028854452E-12</c:v>
                </c:pt>
                <c:pt idx="13">
                  <c:v>5.4714809028854452E-11</c:v>
                </c:pt>
                <c:pt idx="14">
                  <c:v>5.4714809028854457E-10</c:v>
                </c:pt>
                <c:pt idx="15">
                  <c:v>5.4714809028854451E-9</c:v>
                </c:pt>
                <c:pt idx="16">
                  <c:v>5.4714809028854455E-8</c:v>
                </c:pt>
                <c:pt idx="17">
                  <c:v>5.4714809028854451E-7</c:v>
                </c:pt>
                <c:pt idx="18">
                  <c:v>5.4714809028854455E-6</c:v>
                </c:pt>
                <c:pt idx="19">
                  <c:v>5.4714809028854453E-5</c:v>
                </c:pt>
                <c:pt idx="20">
                  <c:v>5.4714809028854456E-4</c:v>
                </c:pt>
                <c:pt idx="21">
                  <c:v>5.4714809028854451E-3</c:v>
                </c:pt>
                <c:pt idx="22">
                  <c:v>5.471480902885445E-2</c:v>
                </c:pt>
                <c:pt idx="23">
                  <c:v>0.5471480902885445</c:v>
                </c:pt>
                <c:pt idx="24">
                  <c:v>5.4714809028854452</c:v>
                </c:pt>
                <c:pt idx="25">
                  <c:v>54.714809028854454</c:v>
                </c:pt>
                <c:pt idx="26">
                  <c:v>547.14809028854449</c:v>
                </c:pt>
                <c:pt idx="27">
                  <c:v>5471.4809028854452</c:v>
                </c:pt>
                <c:pt idx="28">
                  <c:v>54714.809028854448</c:v>
                </c:pt>
                <c:pt idx="29">
                  <c:v>547148.09028854454</c:v>
                </c:pt>
                <c:pt idx="30">
                  <c:v>5471480.9028854454</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6.6168726373319759E-23</c:v>
                </c:pt>
                <c:pt idx="1">
                  <c:v>6.6168726373319756E-22</c:v>
                </c:pt>
                <c:pt idx="2">
                  <c:v>6.616872637331976E-21</c:v>
                </c:pt>
                <c:pt idx="3">
                  <c:v>6.6168726373319753E-20</c:v>
                </c:pt>
                <c:pt idx="4">
                  <c:v>6.6168726373319753E-19</c:v>
                </c:pt>
                <c:pt idx="5">
                  <c:v>6.6168726373319755E-18</c:v>
                </c:pt>
                <c:pt idx="6">
                  <c:v>6.6168726373319759E-17</c:v>
                </c:pt>
                <c:pt idx="7">
                  <c:v>6.6168726373319757E-16</c:v>
                </c:pt>
                <c:pt idx="8">
                  <c:v>6.6168726373319755E-15</c:v>
                </c:pt>
                <c:pt idx="9">
                  <c:v>6.6168726373319752E-14</c:v>
                </c:pt>
                <c:pt idx="10">
                  <c:v>6.6168726373319757E-13</c:v>
                </c:pt>
                <c:pt idx="11">
                  <c:v>6.6168726373319759E-12</c:v>
                </c:pt>
                <c:pt idx="12">
                  <c:v>6.6168726373319759E-11</c:v>
                </c:pt>
                <c:pt idx="13">
                  <c:v>6.6168726373319754E-10</c:v>
                </c:pt>
                <c:pt idx="14">
                  <c:v>6.616872637331976E-9</c:v>
                </c:pt>
                <c:pt idx="15">
                  <c:v>6.6168726373319753E-8</c:v>
                </c:pt>
                <c:pt idx="16">
                  <c:v>6.6168726373319756E-7</c:v>
                </c:pt>
                <c:pt idx="17">
                  <c:v>6.6168726373319758E-6</c:v>
                </c:pt>
                <c:pt idx="18">
                  <c:v>6.6168726373319749E-5</c:v>
                </c:pt>
                <c:pt idx="19">
                  <c:v>6.616872637331976E-4</c:v>
                </c:pt>
                <c:pt idx="20">
                  <c:v>6.6168726373319756E-3</c:v>
                </c:pt>
                <c:pt idx="21">
                  <c:v>6.6168726373319761E-2</c:v>
                </c:pt>
                <c:pt idx="22">
                  <c:v>0.66168726373319753</c:v>
                </c:pt>
                <c:pt idx="23">
                  <c:v>6.6168726373319755</c:v>
                </c:pt>
                <c:pt idx="24">
                  <c:v>66.168726373319757</c:v>
                </c:pt>
                <c:pt idx="25">
                  <c:v>661.6872637331976</c:v>
                </c:pt>
                <c:pt idx="26">
                  <c:v>6616.872637331976</c:v>
                </c:pt>
                <c:pt idx="27">
                  <c:v>66168.726373319761</c:v>
                </c:pt>
                <c:pt idx="28">
                  <c:v>661687.26373319759</c:v>
                </c:pt>
                <c:pt idx="29">
                  <c:v>6616872.6373319756</c:v>
                </c:pt>
                <c:pt idx="30">
                  <c:v>66168726.373319753</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6.2748411787779559E-22</c:v>
                </c:pt>
                <c:pt idx="1">
                  <c:v>6.2748411787779549E-21</c:v>
                </c:pt>
                <c:pt idx="2">
                  <c:v>6.2748411787779549E-20</c:v>
                </c:pt>
                <c:pt idx="3">
                  <c:v>6.2748411787779549E-19</c:v>
                </c:pt>
                <c:pt idx="4">
                  <c:v>6.2748411787779545E-18</c:v>
                </c:pt>
                <c:pt idx="5">
                  <c:v>6.2748411787779556E-17</c:v>
                </c:pt>
                <c:pt idx="6">
                  <c:v>6.2748411787779559E-16</c:v>
                </c:pt>
                <c:pt idx="7">
                  <c:v>6.2748411787779549E-15</c:v>
                </c:pt>
                <c:pt idx="8">
                  <c:v>6.2748411787779547E-14</c:v>
                </c:pt>
                <c:pt idx="9">
                  <c:v>6.2748411787779552E-13</c:v>
                </c:pt>
                <c:pt idx="10">
                  <c:v>6.2748411787779554E-12</c:v>
                </c:pt>
                <c:pt idx="11">
                  <c:v>6.2748411787779554E-11</c:v>
                </c:pt>
                <c:pt idx="12">
                  <c:v>6.2748411787779549E-10</c:v>
                </c:pt>
                <c:pt idx="13">
                  <c:v>6.2748411787779549E-9</c:v>
                </c:pt>
                <c:pt idx="14">
                  <c:v>6.2748411787779561E-8</c:v>
                </c:pt>
                <c:pt idx="15">
                  <c:v>6.274841178777955E-7</c:v>
                </c:pt>
                <c:pt idx="16">
                  <c:v>6.2748411787779554E-6</c:v>
                </c:pt>
                <c:pt idx="17">
                  <c:v>6.2748411787779551E-5</c:v>
                </c:pt>
                <c:pt idx="18">
                  <c:v>6.2748411787779551E-4</c:v>
                </c:pt>
                <c:pt idx="19">
                  <c:v>6.2748411787779549E-3</c:v>
                </c:pt>
                <c:pt idx="20">
                  <c:v>6.2748411787779554E-2</c:v>
                </c:pt>
                <c:pt idx="21">
                  <c:v>0.62748411787779557</c:v>
                </c:pt>
                <c:pt idx="22">
                  <c:v>6.2748411787779554</c:v>
                </c:pt>
                <c:pt idx="23">
                  <c:v>62.748411787779553</c:v>
                </c:pt>
                <c:pt idx="24">
                  <c:v>627.48411787779548</c:v>
                </c:pt>
                <c:pt idx="25">
                  <c:v>6274.8411787779551</c:v>
                </c:pt>
                <c:pt idx="26">
                  <c:v>62748.411787779551</c:v>
                </c:pt>
                <c:pt idx="27">
                  <c:v>627484.11787779548</c:v>
                </c:pt>
                <c:pt idx="28">
                  <c:v>6274841.1787779555</c:v>
                </c:pt>
                <c:pt idx="29">
                  <c:v>62748411.787779555</c:v>
                </c:pt>
                <c:pt idx="30">
                  <c:v>627484117.87779546</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1.8067669682294661E-20</c:v>
                </c:pt>
                <c:pt idx="1">
                  <c:v>1.806766968229466E-19</c:v>
                </c:pt>
                <c:pt idx="2">
                  <c:v>1.8067669682294662E-18</c:v>
                </c:pt>
                <c:pt idx="3">
                  <c:v>1.8067669682294659E-17</c:v>
                </c:pt>
                <c:pt idx="4">
                  <c:v>1.8067669682294658E-16</c:v>
                </c:pt>
                <c:pt idx="5">
                  <c:v>1.8067669682294661E-15</c:v>
                </c:pt>
                <c:pt idx="6">
                  <c:v>1.806766968229466E-14</c:v>
                </c:pt>
                <c:pt idx="7">
                  <c:v>1.806766968229466E-13</c:v>
                </c:pt>
                <c:pt idx="8">
                  <c:v>1.806766968229466E-12</c:v>
                </c:pt>
                <c:pt idx="9">
                  <c:v>1.8067669682294659E-11</c:v>
                </c:pt>
                <c:pt idx="10">
                  <c:v>1.8067669682294661E-10</c:v>
                </c:pt>
                <c:pt idx="11">
                  <c:v>1.8067669682294661E-9</c:v>
                </c:pt>
                <c:pt idx="12">
                  <c:v>1.8067669682294661E-8</c:v>
                </c:pt>
                <c:pt idx="13">
                  <c:v>1.8067669682294659E-7</c:v>
                </c:pt>
                <c:pt idx="14">
                  <c:v>1.8067669682294661E-6</c:v>
                </c:pt>
                <c:pt idx="15">
                  <c:v>1.806766968229466E-5</c:v>
                </c:pt>
                <c:pt idx="16">
                  <c:v>1.806766968229466E-4</c:v>
                </c:pt>
                <c:pt idx="17">
                  <c:v>1.806766968229466E-3</c:v>
                </c:pt>
                <c:pt idx="18">
                  <c:v>1.806766968229466E-2</c:v>
                </c:pt>
                <c:pt idx="19">
                  <c:v>0.1806766968229466</c:v>
                </c:pt>
                <c:pt idx="20">
                  <c:v>1.806766968229466</c:v>
                </c:pt>
                <c:pt idx="21">
                  <c:v>18.06766968229466</c:v>
                </c:pt>
                <c:pt idx="22">
                  <c:v>180.67669682294658</c:v>
                </c:pt>
                <c:pt idx="23">
                  <c:v>1806.7669682294659</c:v>
                </c:pt>
                <c:pt idx="24">
                  <c:v>18067.669682294658</c:v>
                </c:pt>
                <c:pt idx="25">
                  <c:v>180676.6968229466</c:v>
                </c:pt>
                <c:pt idx="26">
                  <c:v>1806766.9682294659</c:v>
                </c:pt>
                <c:pt idx="27">
                  <c:v>18067669.682294659</c:v>
                </c:pt>
                <c:pt idx="28">
                  <c:v>180676696.82294661</c:v>
                </c:pt>
                <c:pt idx="29">
                  <c:v>1806766968.229466</c:v>
                </c:pt>
                <c:pt idx="30">
                  <c:v>18067669682.294659</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4.3851453853980748E-18</c:v>
                </c:pt>
                <c:pt idx="1">
                  <c:v>4.3851453853980739E-17</c:v>
                </c:pt>
                <c:pt idx="2">
                  <c:v>4.3851453853980744E-16</c:v>
                </c:pt>
                <c:pt idx="3">
                  <c:v>4.3851453853980741E-15</c:v>
                </c:pt>
                <c:pt idx="4">
                  <c:v>4.3851453853980736E-14</c:v>
                </c:pt>
                <c:pt idx="5">
                  <c:v>4.3851453853980744E-13</c:v>
                </c:pt>
                <c:pt idx="6">
                  <c:v>4.3851453853980742E-12</c:v>
                </c:pt>
                <c:pt idx="7">
                  <c:v>4.3851453853980742E-11</c:v>
                </c:pt>
                <c:pt idx="8">
                  <c:v>4.3851453853980741E-10</c:v>
                </c:pt>
                <c:pt idx="9">
                  <c:v>4.3851453853980744E-9</c:v>
                </c:pt>
                <c:pt idx="10">
                  <c:v>4.3851453853980744E-8</c:v>
                </c:pt>
                <c:pt idx="11">
                  <c:v>4.3851453853980745E-7</c:v>
                </c:pt>
                <c:pt idx="12">
                  <c:v>4.3851453853980745E-6</c:v>
                </c:pt>
                <c:pt idx="13">
                  <c:v>4.3851453853980742E-5</c:v>
                </c:pt>
                <c:pt idx="14">
                  <c:v>4.3851453853980746E-4</c:v>
                </c:pt>
                <c:pt idx="15">
                  <c:v>4.3851453853980746E-3</c:v>
                </c:pt>
                <c:pt idx="16">
                  <c:v>4.3851453853980739E-2</c:v>
                </c:pt>
                <c:pt idx="17">
                  <c:v>0.43851453853980743</c:v>
                </c:pt>
                <c:pt idx="18">
                  <c:v>4.385145385398074</c:v>
                </c:pt>
                <c:pt idx="19">
                  <c:v>43.851453853980743</c:v>
                </c:pt>
                <c:pt idx="20">
                  <c:v>438.5145385398074</c:v>
                </c:pt>
                <c:pt idx="21">
                  <c:v>4385.1453853980738</c:v>
                </c:pt>
                <c:pt idx="22">
                  <c:v>43851.45385398074</c:v>
                </c:pt>
                <c:pt idx="23">
                  <c:v>438514.53853980743</c:v>
                </c:pt>
                <c:pt idx="24">
                  <c:v>4385145.3853980741</c:v>
                </c:pt>
                <c:pt idx="25">
                  <c:v>43851453.853980742</c:v>
                </c:pt>
                <c:pt idx="26">
                  <c:v>438514538.53980744</c:v>
                </c:pt>
                <c:pt idx="27">
                  <c:v>4385145385.3980742</c:v>
                </c:pt>
                <c:pt idx="28">
                  <c:v>43851453853.980743</c:v>
                </c:pt>
                <c:pt idx="29">
                  <c:v>438514538539.80743</c:v>
                </c:pt>
                <c:pt idx="30">
                  <c:v>4385145385398.0742</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386209568"/>
        <c:axId val="786589040"/>
      </c:scatterChart>
      <c:valAx>
        <c:axId val="38620956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86589040"/>
        <c:crosses val="autoZero"/>
        <c:crossBetween val="midCat"/>
      </c:valAx>
      <c:valAx>
        <c:axId val="786589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956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-22.869278143205829</c:v>
                </c:pt>
                <c:pt idx="1">
                  <c:v>-22.798924986547075</c:v>
                </c:pt>
                <c:pt idx="2">
                  <c:v>-22.728475072350658</c:v>
                </c:pt>
                <c:pt idx="3">
                  <c:v>-22.657831643078911</c:v>
                </c:pt>
                <c:pt idx="4">
                  <c:v>-22.586897941194181</c:v>
                </c:pt>
                <c:pt idx="5">
                  <c:v>-22.515577209158792</c:v>
                </c:pt>
                <c:pt idx="6">
                  <c:v>-22.443772689435086</c:v>
                </c:pt>
                <c:pt idx="7">
                  <c:v>-22.371387624485401</c:v>
                </c:pt>
                <c:pt idx="8">
                  <c:v>-22.298325256772074</c:v>
                </c:pt>
                <c:pt idx="9">
                  <c:v>-22.224488828757444</c:v>
                </c:pt>
                <c:pt idx="10">
                  <c:v>-22.149781582903838</c:v>
                </c:pt>
                <c:pt idx="11">
                  <c:v>-22.074106761673605</c:v>
                </c:pt>
                <c:pt idx="12">
                  <c:v>-21.997367607529071</c:v>
                </c:pt>
                <c:pt idx="13">
                  <c:v>-21.919467362932579</c:v>
                </c:pt>
                <c:pt idx="14">
                  <c:v>-21.840309270346467</c:v>
                </c:pt>
                <c:pt idx="15">
                  <c:v>-21.759796572233064</c:v>
                </c:pt>
                <c:pt idx="16">
                  <c:v>-21.67783251105471</c:v>
                </c:pt>
                <c:pt idx="17">
                  <c:v>-21.594320329273749</c:v>
                </c:pt>
                <c:pt idx="18">
                  <c:v>-21.509163269352506</c:v>
                </c:pt>
                <c:pt idx="19">
                  <c:v>-21.422264573753328</c:v>
                </c:pt>
                <c:pt idx="20">
                  <c:v>-21.333527484938546</c:v>
                </c:pt>
                <c:pt idx="21">
                  <c:v>-21.2428552453705</c:v>
                </c:pt>
                <c:pt idx="22">
                  <c:v>-21.150151097511522</c:v>
                </c:pt>
                <c:pt idx="23">
                  <c:v>-21.055318283823951</c:v>
                </c:pt>
                <c:pt idx="24">
                  <c:v>-20.958260046770125</c:v>
                </c:pt>
                <c:pt idx="25">
                  <c:v>-20.858879628812375</c:v>
                </c:pt>
                <c:pt idx="26">
                  <c:v>-20.757080272413049</c:v>
                </c:pt>
                <c:pt idx="27">
                  <c:v>-20.652765220034475</c:v>
                </c:pt>
                <c:pt idx="28">
                  <c:v>-20.54583771413899</c:v>
                </c:pt>
                <c:pt idx="29">
                  <c:v>-20.436200997188937</c:v>
                </c:pt>
                <c:pt idx="30">
                  <c:v>-20.323758311646642</c:v>
                </c:pt>
                <c:pt idx="31">
                  <c:v>-20.208412899974455</c:v>
                </c:pt>
                <c:pt idx="32">
                  <c:v>-20.090068004634698</c:v>
                </c:pt>
                <c:pt idx="33">
                  <c:v>-19.968626868089718</c:v>
                </c:pt>
                <c:pt idx="34">
                  <c:v>-19.843992732801851</c:v>
                </c:pt>
                <c:pt idx="35">
                  <c:v>-19.71606884123343</c:v>
                </c:pt>
                <c:pt idx="36">
                  <c:v>-19.584758435846798</c:v>
                </c:pt>
                <c:pt idx="37">
                  <c:v>-19.449964759104279</c:v>
                </c:pt>
                <c:pt idx="38">
                  <c:v>-19.31159105346822</c:v>
                </c:pt>
                <c:pt idx="39">
                  <c:v>-19.169540561400961</c:v>
                </c:pt>
                <c:pt idx="40">
                  <c:v>-19.023716525364829</c:v>
                </c:pt>
                <c:pt idx="41">
                  <c:v>-18.946081958336485</c:v>
                </c:pt>
                <c:pt idx="42">
                  <c:v>-18.864811434416687</c:v>
                </c:pt>
                <c:pt idx="43">
                  <c:v>-18.780139298220515</c:v>
                </c:pt>
                <c:pt idx="44">
                  <c:v>-18.692299894363053</c:v>
                </c:pt>
                <c:pt idx="45">
                  <c:v>-18.601527567459375</c:v>
                </c:pt>
                <c:pt idx="46">
                  <c:v>-18.508056662124567</c:v>
                </c:pt>
                <c:pt idx="47">
                  <c:v>-18.412121522973703</c:v>
                </c:pt>
                <c:pt idx="48">
                  <c:v>-18.313956494621866</c:v>
                </c:pt>
                <c:pt idx="49">
                  <c:v>-18.213795921684135</c:v>
                </c:pt>
                <c:pt idx="50">
                  <c:v>-18.111874148775591</c:v>
                </c:pt>
                <c:pt idx="51">
                  <c:v>-18.00842552051131</c:v>
                </c:pt>
                <c:pt idx="52">
                  <c:v>-17.903684381506377</c:v>
                </c:pt>
                <c:pt idx="53">
                  <c:v>-17.79788507637587</c:v>
                </c:pt>
                <c:pt idx="54">
                  <c:v>-17.691261949734866</c:v>
                </c:pt>
                <c:pt idx="55">
                  <c:v>-17.584049346198444</c:v>
                </c:pt>
                <c:pt idx="56">
                  <c:v>-17.47648161038169</c:v>
                </c:pt>
                <c:pt idx="57">
                  <c:v>-17.368793086899679</c:v>
                </c:pt>
                <c:pt idx="58">
                  <c:v>-17.261218120367495</c:v>
                </c:pt>
                <c:pt idx="59">
                  <c:v>-17.153991055400212</c:v>
                </c:pt>
                <c:pt idx="60">
                  <c:v>-17.047346236612913</c:v>
                </c:pt>
                <c:pt idx="61">
                  <c:v>-16.94151800862068</c:v>
                </c:pt>
                <c:pt idx="62">
                  <c:v>-16.836740716038587</c:v>
                </c:pt>
                <c:pt idx="63">
                  <c:v>-16.733248703481721</c:v>
                </c:pt>
                <c:pt idx="64">
                  <c:v>-16.631276315565152</c:v>
                </c:pt>
                <c:pt idx="65">
                  <c:v>-16.53105789690397</c:v>
                </c:pt>
                <c:pt idx="66">
                  <c:v>-16.432763821043739</c:v>
                </c:pt>
                <c:pt idx="67">
                  <c:v>-16.336308577252005</c:v>
                </c:pt>
                <c:pt idx="68">
                  <c:v>-16.241542683726792</c:v>
                </c:pt>
                <c:pt idx="69">
                  <c:v>-16.148316658666129</c:v>
                </c:pt>
                <c:pt idx="70">
                  <c:v>-16.056481020268052</c:v>
                </c:pt>
                <c:pt idx="71">
                  <c:v>-15.965886286730592</c:v>
                </c:pt>
                <c:pt idx="72">
                  <c:v>-15.876382976251772</c:v>
                </c:pt>
                <c:pt idx="73">
                  <c:v>-15.787821607029628</c:v>
                </c:pt>
                <c:pt idx="74">
                  <c:v>-15.700052697262187</c:v>
                </c:pt>
                <c:pt idx="75">
                  <c:v>-15.612926765147483</c:v>
                </c:pt>
                <c:pt idx="76">
                  <c:v>-15.526294328883543</c:v>
                </c:pt>
                <c:pt idx="77">
                  <c:v>-15.440005906668397</c:v>
                </c:pt>
                <c:pt idx="78">
                  <c:v>-15.353912016700079</c:v>
                </c:pt>
                <c:pt idx="79">
                  <c:v>-15.267863177176615</c:v>
                </c:pt>
                <c:pt idx="80">
                  <c:v>-15.181709906296039</c:v>
                </c:pt>
                <c:pt idx="81">
                  <c:v>-15.095302722256381</c:v>
                </c:pt>
                <c:pt idx="82">
                  <c:v>-15.008492143255667</c:v>
                </c:pt>
                <c:pt idx="83">
                  <c:v>-14.921128687491933</c:v>
                </c:pt>
                <c:pt idx="84">
                  <c:v>-14.833062873163202</c:v>
                </c:pt>
                <c:pt idx="85">
                  <c:v>-14.744145218467512</c:v>
                </c:pt>
                <c:pt idx="86">
                  <c:v>-14.65422624160289</c:v>
                </c:pt>
                <c:pt idx="87">
                  <c:v>-14.563156460767367</c:v>
                </c:pt>
                <c:pt idx="88">
                  <c:v>-14.470786394158971</c:v>
                </c:pt>
                <c:pt idx="89">
                  <c:v>-14.376966559975735</c:v>
                </c:pt>
                <c:pt idx="90">
                  <c:v>-14.281547476415685</c:v>
                </c:pt>
                <c:pt idx="91">
                  <c:v>-14.184416235460217</c:v>
                </c:pt>
                <c:pt idx="92">
                  <c:v>-14.085606224224135</c:v>
                </c:pt>
                <c:pt idx="93">
                  <c:v>-13.985187403605613</c:v>
                </c:pt>
                <c:pt idx="94">
                  <c:v>-13.883229734502821</c:v>
                </c:pt>
                <c:pt idx="95">
                  <c:v>-13.77980317781393</c:v>
                </c:pt>
                <c:pt idx="96">
                  <c:v>-13.674977694437111</c:v>
                </c:pt>
                <c:pt idx="97">
                  <c:v>-13.568823245270533</c:v>
                </c:pt>
                <c:pt idx="98">
                  <c:v>-13.461409791212368</c:v>
                </c:pt>
                <c:pt idx="99">
                  <c:v>-13.352807293160783</c:v>
                </c:pt>
                <c:pt idx="100">
                  <c:v>-13.243085712013951</c:v>
                </c:pt>
                <c:pt idx="101">
                  <c:v>-13.132315008670041</c:v>
                </c:pt>
                <c:pt idx="102">
                  <c:v>-13.020565144027227</c:v>
                </c:pt>
                <c:pt idx="103">
                  <c:v>-12.907906078983675</c:v>
                </c:pt>
                <c:pt idx="104">
                  <c:v>-12.794407774437556</c:v>
                </c:pt>
                <c:pt idx="105">
                  <c:v>-12.680140191287041</c:v>
                </c:pt>
                <c:pt idx="106">
                  <c:v>-12.565173290430302</c:v>
                </c:pt>
                <c:pt idx="107">
                  <c:v>-12.449577032765506</c:v>
                </c:pt>
                <c:pt idx="108">
                  <c:v>-12.333421379190826</c:v>
                </c:pt>
                <c:pt idx="109">
                  <c:v>-12.216776290604431</c:v>
                </c:pt>
                <c:pt idx="110">
                  <c:v>-12.099711727904491</c:v>
                </c:pt>
                <c:pt idx="111">
                  <c:v>-11.982297651989178</c:v>
                </c:pt>
                <c:pt idx="112">
                  <c:v>-11.864604023756661</c:v>
                </c:pt>
                <c:pt idx="113">
                  <c:v>-11.746700804105112</c:v>
                </c:pt>
                <c:pt idx="114">
                  <c:v>-11.628657953932697</c:v>
                </c:pt>
                <c:pt idx="115">
                  <c:v>-11.51054543413759</c:v>
                </c:pt>
                <c:pt idx="116">
                  <c:v>-11.392433205617964</c:v>
                </c:pt>
                <c:pt idx="117">
                  <c:v>-11.274391229271984</c:v>
                </c:pt>
                <c:pt idx="118">
                  <c:v>-11.156489465997822</c:v>
                </c:pt>
                <c:pt idx="119">
                  <c:v>-11.03879787669365</c:v>
                </c:pt>
                <c:pt idx="120">
                  <c:v>-10.921386422257635</c:v>
                </c:pt>
                <c:pt idx="121">
                  <c:v>-10.804307146506728</c:v>
                </c:pt>
                <c:pt idx="122">
                  <c:v>-10.68754042493298</c:v>
                </c:pt>
                <c:pt idx="123">
                  <c:v>-10.571048715947224</c:v>
                </c:pt>
                <c:pt idx="124">
                  <c:v>-10.45479447796029</c:v>
                </c:pt>
                <c:pt idx="125">
                  <c:v>-10.338740169383005</c:v>
                </c:pt>
                <c:pt idx="126">
                  <c:v>-10.222848248626203</c:v>
                </c:pt>
                <c:pt idx="127">
                  <c:v>-10.107081174100717</c:v>
                </c:pt>
                <c:pt idx="128">
                  <c:v>-9.991401404217374</c:v>
                </c:pt>
                <c:pt idx="129">
                  <c:v>-9.8757713973870072</c:v>
                </c:pt>
                <c:pt idx="130">
                  <c:v>-9.760153612020444</c:v>
                </c:pt>
                <c:pt idx="131">
                  <c:v>-9.644510506528519</c:v>
                </c:pt>
                <c:pt idx="132">
                  <c:v>-9.5288045393220582</c:v>
                </c:pt>
                <c:pt idx="133">
                  <c:v>-9.4129981688118978</c:v>
                </c:pt>
                <c:pt idx="134">
                  <c:v>-9.2970538534088654</c:v>
                </c:pt>
                <c:pt idx="135">
                  <c:v>-9.1809340515237903</c:v>
                </c:pt>
                <c:pt idx="136">
                  <c:v>-9.0646012215675054</c:v>
                </c:pt>
                <c:pt idx="137">
                  <c:v>-8.9480178219508417</c:v>
                </c:pt>
                <c:pt idx="138">
                  <c:v>-8.8311463110846287</c:v>
                </c:pt>
                <c:pt idx="139">
                  <c:v>-8.7139491473796973</c:v>
                </c:pt>
                <c:pt idx="140">
                  <c:v>-8.5963887892468769</c:v>
                </c:pt>
                <c:pt idx="141">
                  <c:v>-8.4784276950970021</c:v>
                </c:pt>
                <c:pt idx="142">
                  <c:v>-8.3600283233408987</c:v>
                </c:pt>
                <c:pt idx="143">
                  <c:v>-8.2411531323894032</c:v>
                </c:pt>
                <c:pt idx="144">
                  <c:v>-8.1217645806533412</c:v>
                </c:pt>
                <c:pt idx="145">
                  <c:v>-8.0018251265435438</c:v>
                </c:pt>
                <c:pt idx="146">
                  <c:v>-7.881297228470844</c:v>
                </c:pt>
                <c:pt idx="147">
                  <c:v>-7.760143344846071</c:v>
                </c:pt>
                <c:pt idx="148">
                  <c:v>-7.6383259340800578</c:v>
                </c:pt>
                <c:pt idx="149">
                  <c:v>-7.5158074545836318</c:v>
                </c:pt>
                <c:pt idx="150">
                  <c:v>-7.3925503647676241</c:v>
                </c:pt>
                <c:pt idx="151">
                  <c:v>-7.2685171230428685</c:v>
                </c:pt>
                <c:pt idx="152">
                  <c:v>-7.1436701878201925</c:v>
                </c:pt>
                <c:pt idx="153">
                  <c:v>-7.0179720175104281</c:v>
                </c:pt>
                <c:pt idx="154">
                  <c:v>-6.8913850705244055</c:v>
                </c:pt>
                <c:pt idx="155">
                  <c:v>-6.7638718052729558</c:v>
                </c:pt>
                <c:pt idx="156">
                  <c:v>-6.6353946801669101</c:v>
                </c:pt>
                <c:pt idx="157">
                  <c:v>-6.5059161536170977</c:v>
                </c:pt>
                <c:pt idx="158">
                  <c:v>-6.3753986840343515</c:v>
                </c:pt>
                <c:pt idx="159">
                  <c:v>-6.243804729829499</c:v>
                </c:pt>
                <c:pt idx="160">
                  <c:v>-6.1110967494133739</c:v>
                </c:pt>
                <c:pt idx="161">
                  <c:v>-5.9772372011968056</c:v>
                </c:pt>
                <c:pt idx="162">
                  <c:v>-5.8421885435906251</c:v>
                </c:pt>
                <c:pt idx="163">
                  <c:v>-5.7059132350056618</c:v>
                </c:pt>
                <c:pt idx="164">
                  <c:v>-5.5683737338527477</c:v>
                </c:pt>
                <c:pt idx="165">
                  <c:v>-5.4295324985427147</c:v>
                </c:pt>
                <c:pt idx="166">
                  <c:v>-5.2893646219214725</c:v>
                </c:pt>
                <c:pt idx="167">
                  <c:v>-5.1478957345752629</c:v>
                </c:pt>
                <c:pt idx="168">
                  <c:v>-5.00516410152541</c:v>
                </c:pt>
                <c:pt idx="169">
                  <c:v>-4.861207987793235</c:v>
                </c:pt>
                <c:pt idx="170">
                  <c:v>-4.7160656584000593</c:v>
                </c:pt>
                <c:pt idx="171">
                  <c:v>-4.5697753783672086</c:v>
                </c:pt>
                <c:pt idx="172">
                  <c:v>-4.4223754127160024</c:v>
                </c:pt>
                <c:pt idx="173">
                  <c:v>-4.2739040264677648</c:v>
                </c:pt>
                <c:pt idx="174">
                  <c:v>-4.1243994846438179</c:v>
                </c:pt>
                <c:pt idx="175">
                  <c:v>-3.9739000522654853</c:v>
                </c:pt>
                <c:pt idx="176">
                  <c:v>-3.8224439943540878</c:v>
                </c:pt>
                <c:pt idx="177">
                  <c:v>-3.6700695759309485</c:v>
                </c:pt>
                <c:pt idx="178">
                  <c:v>-3.516815062017391</c:v>
                </c:pt>
                <c:pt idx="179">
                  <c:v>-3.3627187176347371</c:v>
                </c:pt>
                <c:pt idx="180">
                  <c:v>-3.2078188078043088</c:v>
                </c:pt>
                <c:pt idx="181">
                  <c:v>-3.0521535975474299</c:v>
                </c:pt>
                <c:pt idx="182">
                  <c:v>-2.8957613518854219</c:v>
                </c:pt>
                <c:pt idx="183">
                  <c:v>-2.7386803358396086</c:v>
                </c:pt>
                <c:pt idx="184">
                  <c:v>-2.5809488144313111</c:v>
                </c:pt>
                <c:pt idx="185">
                  <c:v>-2.4226050526818526</c:v>
                </c:pt>
                <c:pt idx="186">
                  <c:v>-2.2636873156125557</c:v>
                </c:pt>
                <c:pt idx="187">
                  <c:v>-2.104233868244743</c:v>
                </c:pt>
                <c:pt idx="188">
                  <c:v>-1.9442829755997371</c:v>
                </c:pt>
                <c:pt idx="189">
                  <c:v>-1.7838729026988602</c:v>
                </c:pt>
                <c:pt idx="190">
                  <c:v>-1.6230419145634352</c:v>
                </c:pt>
                <c:pt idx="191">
                  <c:v>-1.4618282762147847</c:v>
                </c:pt>
                <c:pt idx="192">
                  <c:v>-1.3002702526742311</c:v>
                </c:pt>
                <c:pt idx="193">
                  <c:v>-1.1384061089630972</c:v>
                </c:pt>
                <c:pt idx="194">
                  <c:v>-0.97627411010270515</c:v>
                </c:pt>
                <c:pt idx="195">
                  <c:v>-0.81391252111437773</c:v>
                </c:pt>
                <c:pt idx="196">
                  <c:v>-0.65135960701943763</c:v>
                </c:pt>
                <c:pt idx="197">
                  <c:v>-0.48865363283920715</c:v>
                </c:pt>
                <c:pt idx="198">
                  <c:v>-0.32583286359500901</c:v>
                </c:pt>
                <c:pt idx="199">
                  <c:v>-0.1629355643081658</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-22.869278143205829</c:v>
                </c:pt>
                <c:pt idx="1">
                  <c:v>-19.023716525364829</c:v>
                </c:pt>
                <c:pt idx="2">
                  <c:v>-16.53105789690397</c:v>
                </c:pt>
                <c:pt idx="3">
                  <c:v>-14.281547476415687</c:v>
                </c:pt>
                <c:pt idx="4">
                  <c:v>-10.921386422257637</c:v>
                </c:pt>
                <c:pt idx="5">
                  <c:v>-5.4295324985427138</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-22.815519819440169</c:v>
                </c:pt>
                <c:pt idx="1">
                  <c:v>-22.762343449494892</c:v>
                </c:pt>
                <c:pt idx="2">
                  <c:v>-22.707440734337524</c:v>
                </c:pt>
                <c:pt idx="3">
                  <c:v>-22.650603325507063</c:v>
                </c:pt>
                <c:pt idx="4">
                  <c:v>-22.591656999959014</c:v>
                </c:pt>
                <c:pt idx="5">
                  <c:v>-22.530459246048167</c:v>
                </c:pt>
                <c:pt idx="6">
                  <c:v>-22.466896949787724</c:v>
                </c:pt>
                <c:pt idx="7">
                  <c:v>-22.400884179026207</c:v>
                </c:pt>
                <c:pt idx="8">
                  <c:v>-22.332360063157694</c:v>
                </c:pt>
                <c:pt idx="9">
                  <c:v>-22.261286765983641</c:v>
                </c:pt>
                <c:pt idx="10">
                  <c:v>-22.187647549385247</c:v>
                </c:pt>
                <c:pt idx="11">
                  <c:v>-22.11144492555286</c:v>
                </c:pt>
                <c:pt idx="12">
                  <c:v>-22.032698895438216</c:v>
                </c:pt>
                <c:pt idx="13">
                  <c:v>-21.951445271205785</c:v>
                </c:pt>
                <c:pt idx="14">
                  <c:v>-21.867734080456785</c:v>
                </c:pt>
                <c:pt idx="15">
                  <c:v>-21.781628050007271</c:v>
                </c:pt>
                <c:pt idx="16">
                  <c:v>-21.693201167070697</c:v>
                </c:pt>
                <c:pt idx="17">
                  <c:v>-21.60253731567434</c:v>
                </c:pt>
                <c:pt idx="18">
                  <c:v>-21.509728986215009</c:v>
                </c:pt>
                <c:pt idx="19">
                  <c:v>-21.414876056021171</c:v>
                </c:pt>
                <c:pt idx="20">
                  <c:v>-21.318084638896266</c:v>
                </c:pt>
                <c:pt idx="21">
                  <c:v>-21.219466001565479</c:v>
                </c:pt>
                <c:pt idx="22">
                  <c:v>-21.119135545034283</c:v>
                </c:pt>
                <c:pt idx="23">
                  <c:v>-21.017211848845818</c:v>
                </c:pt>
                <c:pt idx="24">
                  <c:v>-20.913815776298293</c:v>
                </c:pt>
                <c:pt idx="25">
                  <c:v>-20.809069638665733</c:v>
                </c:pt>
                <c:pt idx="26">
                  <c:v>-20.703096416520566</c:v>
                </c:pt>
                <c:pt idx="27">
                  <c:v>-20.596019036266966</c:v>
                </c:pt>
                <c:pt idx="28">
                  <c:v>-20.487959700039994</c:v>
                </c:pt>
                <c:pt idx="29">
                  <c:v>-20.379039267115161</c:v>
                </c:pt>
                <c:pt idx="30">
                  <c:v>-20.269376685043881</c:v>
                </c:pt>
                <c:pt idx="31">
                  <c:v>-20.159088468729237</c:v>
                </c:pt>
                <c:pt idx="32">
                  <c:v>-20.048288225678675</c:v>
                </c:pt>
                <c:pt idx="33">
                  <c:v>-19.937086225721657</c:v>
                </c:pt>
                <c:pt idx="34">
                  <c:v>-19.825589013476701</c:v>
                </c:pt>
                <c:pt idx="35">
                  <c:v>-19.713899061910126</c:v>
                </c:pt>
                <c:pt idx="36">
                  <c:v>-19.602114465320369</c:v>
                </c:pt>
                <c:pt idx="37">
                  <c:v>-19.490328670136705</c:v>
                </c:pt>
                <c:pt idx="38">
                  <c:v>-19.378630241935412</c:v>
                </c:pt>
                <c:pt idx="39">
                  <c:v>-19.26710266710063</c:v>
                </c:pt>
                <c:pt idx="40">
                  <c:v>-19.155824187592657</c:v>
                </c:pt>
                <c:pt idx="41">
                  <c:v>-19.044867667294739</c:v>
                </c:pt>
                <c:pt idx="42">
                  <c:v>-18.934300488463919</c:v>
                </c:pt>
                <c:pt idx="43">
                  <c:v>-18.824184476812718</c:v>
                </c:pt>
                <c:pt idx="44">
                  <c:v>-18.714575853773312</c:v>
                </c:pt>
                <c:pt idx="45">
                  <c:v>-18.605525214563102</c:v>
                </c:pt>
                <c:pt idx="46">
                  <c:v>-18.497077530625035</c:v>
                </c:pt>
                <c:pt idx="47">
                  <c:v>-18.38927217512034</c:v>
                </c:pt>
                <c:pt idx="48">
                  <c:v>-18.282142970117661</c:v>
                </c:pt>
                <c:pt idx="49">
                  <c:v>-18.175718254183494</c:v>
                </c:pt>
                <c:pt idx="50">
                  <c:v>-18.070020969081725</c:v>
                </c:pt>
                <c:pt idx="51">
                  <c:v>-17.965068764349439</c:v>
                </c:pt>
                <c:pt idx="52">
                  <c:v>-17.860874118489619</c:v>
                </c:pt>
                <c:pt idx="53">
                  <c:v>-17.757444475615841</c:v>
                </c:pt>
                <c:pt idx="54">
                  <c:v>-17.654782396338533</c:v>
                </c:pt>
                <c:pt idx="55">
                  <c:v>-17.552885721770437</c:v>
                </c:pt>
                <c:pt idx="56">
                  <c:v>-17.451747749512776</c:v>
                </c:pt>
                <c:pt idx="57">
                  <c:v>-17.351357420535166</c:v>
                </c:pt>
                <c:pt idx="58">
                  <c:v>-17.251699515869319</c:v>
                </c:pt>
                <c:pt idx="59">
                  <c:v>-17.152754862085075</c:v>
                </c:pt>
                <c:pt idx="60">
                  <c:v>-17.054500544516742</c:v>
                </c:pt>
                <c:pt idx="61">
                  <c:v>-16.956910127261338</c:v>
                </c:pt>
                <c:pt idx="62">
                  <c:v>-16.859953878976214</c:v>
                </c:pt>
                <c:pt idx="63">
                  <c:v>-16.763599003539184</c:v>
                </c:pt>
                <c:pt idx="64">
                  <c:v>-16.66780987465728</c:v>
                </c:pt>
                <c:pt idx="65">
                  <c:v>-16.572548273541685</c:v>
                </c:pt>
                <c:pt idx="66">
                  <c:v>-16.477773628784206</c:v>
                </c:pt>
                <c:pt idx="67">
                  <c:v>-16.383443257604974</c:v>
                </c:pt>
                <c:pt idx="68">
                  <c:v>-16.289512607661592</c:v>
                </c:pt>
                <c:pt idx="69">
                  <c:v>-16.195935498640033</c:v>
                </c:pt>
                <c:pt idx="70">
                  <c:v>-16.102664362872183</c:v>
                </c:pt>
                <c:pt idx="71">
                  <c:v>-16.00965048425082</c:v>
                </c:pt>
                <c:pt idx="72">
                  <c:v>-15.916844234740935</c:v>
                </c:pt>
                <c:pt idx="73">
                  <c:v>-15.824195307809099</c:v>
                </c:pt>
                <c:pt idx="74">
                  <c:v>-15.731652948123127</c:v>
                </c:pt>
                <c:pt idx="75">
                  <c:v>-15.639166176898982</c:v>
                </c:pt>
                <c:pt idx="76">
                  <c:v>-15.546684012294619</c:v>
                </c:pt>
                <c:pt idx="77">
                  <c:v>-15.454155684283691</c:v>
                </c:pt>
                <c:pt idx="78">
                  <c:v>-15.361530843460905</c:v>
                </c:pt>
                <c:pt idx="79">
                  <c:v>-15.268759763263926</c:v>
                </c:pt>
                <c:pt idx="80">
                  <c:v>-15.175793535116608</c:v>
                </c:pt>
                <c:pt idx="81">
                  <c:v>-15.082584256030579</c:v>
                </c:pt>
                <c:pt idx="82">
                  <c:v>-14.989085208223344</c:v>
                </c:pt>
                <c:pt idx="83">
                  <c:v>-14.895251030340315</c:v>
                </c:pt>
                <c:pt idx="84">
                  <c:v>-14.801037879895045</c:v>
                </c:pt>
                <c:pt idx="85">
                  <c:v>-14.7064035865649</c:v>
                </c:pt>
                <c:pt idx="86">
                  <c:v>-14.611307796009044</c:v>
                </c:pt>
                <c:pt idx="87">
                  <c:v>-14.515712103899933</c:v>
                </c:pt>
                <c:pt idx="88">
                  <c:v>-14.419580179887191</c:v>
                </c:pt>
                <c:pt idx="89">
                  <c:v>-14.322877881237352</c:v>
                </c:pt>
                <c:pt idx="90">
                  <c:v>-14.225573355919821</c:v>
                </c:pt>
                <c:pt idx="91">
                  <c:v>-14.127637134938883</c:v>
                </c:pt>
                <c:pt idx="92">
                  <c:v>-14.029042213729577</c:v>
                </c:pt>
                <c:pt idx="93">
                  <c:v>-13.92976412247298</c:v>
                </c:pt>
                <c:pt idx="94">
                  <c:v>-13.829780985201749</c:v>
                </c:pt>
                <c:pt idx="95">
                  <c:v>-13.729073567601244</c:v>
                </c:pt>
                <c:pt idx="96">
                  <c:v>-13.627625313432612</c:v>
                </c:pt>
                <c:pt idx="97">
                  <c:v>-13.525422369533318</c:v>
                </c:pt>
                <c:pt idx="98">
                  <c:v>-13.422453599375578</c:v>
                </c:pt>
                <c:pt idx="99">
                  <c:v>-13.318710585190654</c:v>
                </c:pt>
                <c:pt idx="100">
                  <c:v>-13.214187618690826</c:v>
                </c:pt>
                <c:pt idx="101">
                  <c:v>-13.108881680450564</c:v>
                </c:pt>
                <c:pt idx="102">
                  <c:v>-13.002792408031492</c:v>
                </c:pt>
                <c:pt idx="103">
                  <c:v>-12.895922052964558</c:v>
                </c:pt>
                <c:pt idx="104">
                  <c:v>-12.78827542672639</c:v>
                </c:pt>
                <c:pt idx="105">
                  <c:v>-12.679859835876798</c:v>
                </c:pt>
                <c:pt idx="106">
                  <c:v>-12.570685006546061</c:v>
                </c:pt>
                <c:pt idx="107">
                  <c:v>-12.460762998491489</c:v>
                </c:pt>
                <c:pt idx="108">
                  <c:v>-12.350108108965557</c:v>
                </c:pt>
                <c:pt idx="109">
                  <c:v>-12.238736766666197</c:v>
                </c:pt>
                <c:pt idx="110">
                  <c:v>-12.126667416065041</c:v>
                </c:pt>
                <c:pt idx="111">
                  <c:v>-12.013920392436249</c:v>
                </c:pt>
                <c:pt idx="112">
                  <c:v>-11.9005177879349</c:v>
                </c:pt>
                <c:pt idx="113">
                  <c:v>-11.786483309099593</c:v>
                </c:pt>
                <c:pt idx="114">
                  <c:v>-11.671842126180525</c:v>
                </c:pt>
                <c:pt idx="115">
                  <c:v>-11.556620714721275</c:v>
                </c:pt>
                <c:pt idx="116">
                  <c:v>-11.440846689847207</c:v>
                </c:pt>
                <c:pt idx="117">
                  <c:v>-11.324548633741458</c:v>
                </c:pt>
                <c:pt idx="118">
                  <c:v>-11.207755916814159</c:v>
                </c:pt>
                <c:pt idx="119">
                  <c:v>-11.090498513098508</c:v>
                </c:pt>
                <c:pt idx="120">
                  <c:v>-10.972806810431612</c:v>
                </c:pt>
                <c:pt idx="121">
                  <c:v>-10.854711416006145</c:v>
                </c:pt>
                <c:pt idx="122">
                  <c:v>-10.736242957903976</c:v>
                </c:pt>
                <c:pt idx="123">
                  <c:v>-10.617431883249544</c:v>
                </c:pt>
                <c:pt idx="124">
                  <c:v>-10.498308253647185</c:v>
                </c:pt>
                <c:pt idx="125">
                  <c:v>-10.378901538592778</c:v>
                </c:pt>
                <c:pt idx="126">
                  <c:v>-10.259240407576065</c:v>
                </c:pt>
                <c:pt idx="127">
                  <c:v>-10.139352521616917</c:v>
                </c:pt>
                <c:pt idx="128">
                  <c:v>-10.019264325004448</c:v>
                </c:pt>
                <c:pt idx="129">
                  <c:v>-9.8990008380345156</c:v>
                </c:pt>
                <c:pt idx="130">
                  <c:v>-9.7785854515674355</c:v>
                </c:pt>
                <c:pt idx="131">
                  <c:v>-9.6580397242536851</c:v>
                </c:pt>
                <c:pt idx="132">
                  <c:v>-9.5373831833021985</c:v>
                </c:pt>
                <c:pt idx="133">
                  <c:v>-9.4166331296914514</c:v>
                </c:pt>
                <c:pt idx="134">
                  <c:v>-9.2958044487505571</c:v>
                </c:pt>
                <c:pt idx="135">
                  <c:v>-9.1749094270631062</c:v>
                </c:pt>
                <c:pt idx="136">
                  <c:v>-9.0539575766735112</c:v>
                </c:pt>
                <c:pt idx="137">
                  <c:v>-8.9329554676012037</c:v>
                </c:pt>
                <c:pt idx="138">
                  <c:v>-8.8119065696948535</c:v>
                </c:pt>
                <c:pt idx="139">
                  <c:v>-8.6908111048847161</c:v>
                </c:pt>
                <c:pt idx="140">
                  <c:v>-8.5696659109176814</c:v>
                </c:pt>
                <c:pt idx="141">
                  <c:v>-8.4484643176856924</c:v>
                </c:pt>
                <c:pt idx="142">
                  <c:v>-8.3271960372847555</c:v>
                </c:pt>
                <c:pt idx="143">
                  <c:v>-8.205847068967703</c:v>
                </c:pt>
                <c:pt idx="144">
                  <c:v>-8.0843996201804202</c:v>
                </c:pt>
                <c:pt idx="145">
                  <c:v>-7.9628320448973708</c:v>
                </c:pt>
                <c:pt idx="146">
                  <c:v>-7.841118800498637</c:v>
                </c:pt>
                <c:pt idx="147">
                  <c:v>-7.7192304244568577</c:v>
                </c:pt>
                <c:pt idx="148">
                  <c:v>-7.5971335321287778</c:v>
                </c:pt>
                <c:pt idx="149">
                  <c:v>-7.4747908369724794</c:v>
                </c:pt>
                <c:pt idx="150">
                  <c:v>-7.3521611945374596</c:v>
                </c:pt>
                <c:pt idx="151">
                  <c:v>-7.2291996716011679</c:v>
                </c:pt>
                <c:pt idx="152">
                  <c:v>-7.1058576418518244</c:v>
                </c:pt>
                <c:pt idx="153">
                  <c:v>-6.9820829095435721</c:v>
                </c:pt>
                <c:pt idx="154">
                  <c:v>-6.8578198625764086</c:v>
                </c:pt>
                <c:pt idx="155">
                  <c:v>-6.7330096564794788</c:v>
                </c:pt>
                <c:pt idx="156">
                  <c:v>-6.6075904308027145</c:v>
                </c:pt>
                <c:pt idx="157">
                  <c:v>-6.4814975594480178</c:v>
                </c:pt>
                <c:pt idx="158">
                  <c:v>-6.3546639364974347</c:v>
                </c:pt>
                <c:pt idx="159">
                  <c:v>-6.2270202991221586</c:v>
                </c:pt>
                <c:pt idx="160">
                  <c:v>-6.0984955891822823</c:v>
                </c:pt>
                <c:pt idx="161">
                  <c:v>-5.9690173551537695</c:v>
                </c:pt>
                <c:pt idx="162">
                  <c:v>-5.8385121960450794</c:v>
                </c:pt>
                <c:pt idx="163">
                  <c:v>-5.7069062489924463</c:v>
                </c:pt>
                <c:pt idx="164">
                  <c:v>-5.5741257222488709</c:v>
                </c:pt>
                <c:pt idx="165">
                  <c:v>-5.4400974753082787</c:v>
                </c:pt>
                <c:pt idx="166">
                  <c:v>-5.3047496479325673</c:v>
                </c:pt>
                <c:pt idx="167">
                  <c:v>-5.1680123398754771</c:v>
                </c:pt>
                <c:pt idx="168">
                  <c:v>-5.0298183431235648</c:v>
                </c:pt>
                <c:pt idx="169">
                  <c:v>-4.8901039285008174</c:v>
                </c:pt>
                <c:pt idx="170">
                  <c:v>-4.7488096885096853</c:v>
                </c:pt>
                <c:pt idx="171">
                  <c:v>-4.6058814383076552</c:v>
                </c:pt>
                <c:pt idx="172">
                  <c:v>-4.4612711767446882</c:v>
                </c:pt>
                <c:pt idx="173">
                  <c:v>-4.3149381094131911</c:v>
                </c:pt>
                <c:pt idx="174">
                  <c:v>-4.1668497356884302</c:v>
                </c:pt>
                <c:pt idx="175">
                  <c:v>-4.0169830017635633</c:v>
                </c:pt>
                <c:pt idx="176">
                  <c:v>-3.8653255217097691</c:v>
                </c:pt>
                <c:pt idx="177">
                  <c:v>-3.7118768686182411</c:v>
                </c:pt>
                <c:pt idx="178">
                  <c:v>-3.5566499379070282</c:v>
                </c:pt>
                <c:pt idx="179">
                  <c:v>-3.3996723849020576</c:v>
                </c:pt>
                <c:pt idx="180">
                  <c:v>-3.2409881388279027</c:v>
                </c:pt>
                <c:pt idx="181">
                  <c:v>-3.0806589953701424</c:v>
                </c:pt>
                <c:pt idx="182">
                  <c:v>-2.9187662899974605</c:v>
                </c:pt>
                <c:pt idx="183">
                  <c:v>-2.7554126542578845</c:v>
                </c:pt>
                <c:pt idx="184">
                  <c:v>-2.5907238572898379</c:v>
                </c:pt>
                <c:pt idx="185">
                  <c:v>-2.4248507348149886</c:v>
                </c:pt>
                <c:pt idx="186">
                  <c:v>-2.2579712079061163</c:v>
                </c:pt>
                <c:pt idx="187">
                  <c:v>-2.0902923938495177</c:v>
                </c:pt>
                <c:pt idx="188">
                  <c:v>-1.9220528114477469</c:v>
                </c:pt>
                <c:pt idx="189">
                  <c:v>-1.7535246831347573</c:v>
                </c:pt>
                <c:pt idx="190">
                  <c:v>-1.5850163363017893</c:v>
                </c:pt>
                <c:pt idx="191">
                  <c:v>-1.4168747062586278</c:v>
                </c:pt>
                <c:pt idx="192">
                  <c:v>-1.2494879432811339</c:v>
                </c:pt>
                <c:pt idx="193">
                  <c:v>-1.0832881262222231</c:v>
                </c:pt>
                <c:pt idx="194">
                  <c:v>-0.91875408518974566</c:v>
                </c:pt>
                <c:pt idx="195">
                  <c:v>-0.75641433582099904</c:v>
                </c:pt>
                <c:pt idx="196">
                  <c:v>-0.59685012770988455</c:v>
                </c:pt>
                <c:pt idx="197">
                  <c:v>-0.44069860956898665</c:v>
                </c:pt>
                <c:pt idx="198">
                  <c:v>-0.28865611373513977</c:v>
                </c:pt>
                <c:pt idx="199">
                  <c:v>-0.14148156265332407</c:v>
                </c:pt>
                <c:pt idx="200">
                  <c:v>0</c:v>
                </c:pt>
              </c:numCache>
            </c:numRef>
          </c:yVal>
          <c:smooth val="1"/>
        </c:ser>
        <c:dLbls>
          <c:showLegendKey val="0"/>
          <c:showVal val="0"/>
          <c:showCatName val="0"/>
          <c:showSerName val="0"/>
          <c:showPercent val="0"/>
          <c:showBubbleSize val="0"/>
        </c:dLbls>
        <c:axId val="786590608"/>
        <c:axId val="786589432"/>
      </c:scatterChart>
      <c:valAx>
        <c:axId val="78659060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86589432"/>
        <c:crossesAt val="-1000"/>
        <c:crossBetween val="midCat"/>
      </c:valAx>
      <c:valAx>
        <c:axId val="786589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8659060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0.13834279619103665</v>
      </c>
      <c r="D59" s="55">
        <v>1</v>
      </c>
    </row>
    <row r="60" spans="1:4" s="11" customFormat="1" x14ac:dyDescent="0.25">
      <c r="A60" s="54">
        <v>2</v>
      </c>
      <c r="B60" s="56">
        <f>'Shiftfunktion bestimmen'!N2</f>
        <v>-3.2908412904334005E-3</v>
      </c>
      <c r="D60" s="55">
        <v>2</v>
      </c>
    </row>
    <row r="61" spans="1:4" s="11" customFormat="1" x14ac:dyDescent="0.25">
      <c r="A61" s="54">
        <v>3</v>
      </c>
      <c r="B61" s="56">
        <f>'Shiftfunktion bestimmen'!N3</f>
        <v>-1.5510731410745281E-4</v>
      </c>
      <c r="D61" s="55">
        <v>3</v>
      </c>
    </row>
    <row r="62" spans="1:4" s="11" customFormat="1" x14ac:dyDescent="0.25">
      <c r="A62" s="54">
        <v>4</v>
      </c>
      <c r="B62" s="56">
        <f>'Shiftfunktion bestimmen'!N4</f>
        <v>-3.0644184589683188E-6</v>
      </c>
      <c r="D62" s="55">
        <v>4</v>
      </c>
    </row>
    <row r="63" spans="1:4" s="11" customFormat="1" x14ac:dyDescent="0.25">
      <c r="A63" s="54">
        <v>5</v>
      </c>
      <c r="B63" s="56">
        <f>'Shiftfunktion bestimmen'!N5</f>
        <v>-3.2116360029072318E-8</v>
      </c>
      <c r="D63" s="55">
        <v>5</v>
      </c>
    </row>
    <row r="64" spans="1:4" s="11" customFormat="1" x14ac:dyDescent="0.25">
      <c r="A64" s="54">
        <v>6</v>
      </c>
      <c r="B64" s="56">
        <f>'Shiftfunktion bestimmen'!N6</f>
        <v>-1.8440816766512693E-10</v>
      </c>
      <c r="D64" s="55">
        <v>6</v>
      </c>
    </row>
    <row r="65" spans="1:5" s="11" customFormat="1" x14ac:dyDescent="0.25">
      <c r="A65" s="54">
        <v>7</v>
      </c>
      <c r="B65" s="56">
        <f>'Shiftfunktion bestimmen'!N7</f>
        <v>-5.4624698498068876E-13</v>
      </c>
      <c r="D65" s="55">
        <v>7</v>
      </c>
    </row>
    <row r="66" spans="1:5" x14ac:dyDescent="0.25">
      <c r="A66" s="54">
        <v>8</v>
      </c>
      <c r="B66" s="56">
        <f>'Shiftfunktion bestimmen'!N8</f>
        <v>-6.5170944295392318E-16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0.22460803839481197</v>
      </c>
      <c r="D74" s="51">
        <v>1</v>
      </c>
      <c r="E74" s="56">
        <f>'Mastercurve bestimmen'!A18</f>
        <v>1.0000000000000001E-20</v>
      </c>
    </row>
    <row r="75" spans="1:5" x14ac:dyDescent="0.25">
      <c r="A75" s="50">
        <f>A74+1</f>
        <v>2</v>
      </c>
      <c r="B75" s="56">
        <f>'Mastercurve bestimmen'!C19</f>
        <v>5.6074298002427671E-2</v>
      </c>
      <c r="D75" s="51">
        <v>2</v>
      </c>
      <c r="E75" s="56">
        <f>'Mastercurve bestimmen'!A19</f>
        <v>3.9038946506297401E-14</v>
      </c>
    </row>
    <row r="76" spans="1:5" x14ac:dyDescent="0.25">
      <c r="A76" s="50">
        <f t="shared" ref="A76:A104" si="0">A75+1</f>
        <v>3</v>
      </c>
      <c r="B76" s="56">
        <f>'Mastercurve bestimmen'!C20</f>
        <v>2.8569534303425747E-2</v>
      </c>
      <c r="D76" s="51">
        <v>3</v>
      </c>
      <c r="E76" s="56">
        <f>'Mastercurve bestimmen'!A20</f>
        <v>4.3276437088188502E-13</v>
      </c>
    </row>
    <row r="77" spans="1:5" x14ac:dyDescent="0.25">
      <c r="A77" s="50">
        <f t="shared" si="0"/>
        <v>4</v>
      </c>
      <c r="B77" s="56">
        <f>'Mastercurve bestimmen'!C21</f>
        <v>3.8494837122574385E-2</v>
      </c>
      <c r="D77" s="51">
        <v>4</v>
      </c>
      <c r="E77" s="56">
        <f>'Mastercurve bestimmen'!A21</f>
        <v>4.7973886968128502E-12</v>
      </c>
    </row>
    <row r="78" spans="1:5" x14ac:dyDescent="0.25">
      <c r="A78" s="50">
        <f t="shared" si="0"/>
        <v>5</v>
      </c>
      <c r="B78" s="56">
        <f>'Mastercurve bestimmen'!C22</f>
        <v>2.5401059495138618E-2</v>
      </c>
      <c r="D78" s="51">
        <v>5</v>
      </c>
      <c r="E78" s="56">
        <f>'Mastercurve bestimmen'!A22</f>
        <v>5.31812225239524E-11</v>
      </c>
    </row>
    <row r="79" spans="1:5" x14ac:dyDescent="0.25">
      <c r="A79" s="50">
        <f t="shared" si="0"/>
        <v>6</v>
      </c>
      <c r="B79" s="56">
        <f>'Mastercurve bestimmen'!C23</f>
        <v>2.8782781461156089E-2</v>
      </c>
      <c r="D79" s="51">
        <v>6</v>
      </c>
      <c r="E79" s="56">
        <f>'Mastercurve bestimmen'!A23</f>
        <v>5.8953789402578301E-10</v>
      </c>
    </row>
    <row r="80" spans="1:5" x14ac:dyDescent="0.25">
      <c r="A80" s="50">
        <f t="shared" si="0"/>
        <v>7</v>
      </c>
      <c r="B80" s="56">
        <f>'Mastercurve bestimmen'!C24</f>
        <v>2.570129602770134E-2</v>
      </c>
      <c r="D80" s="51">
        <v>7</v>
      </c>
      <c r="E80" s="56">
        <f>'Mastercurve bestimmen'!A24</f>
        <v>6.5352940755699598E-9</v>
      </c>
    </row>
    <row r="81" spans="1:5" x14ac:dyDescent="0.25">
      <c r="A81" s="50">
        <f t="shared" si="0"/>
        <v>8</v>
      </c>
      <c r="B81" s="56">
        <f>'Mastercurve bestimmen'!C25</f>
        <v>2.9863008376267462E-2</v>
      </c>
      <c r="D81" s="51">
        <v>8</v>
      </c>
      <c r="E81" s="56">
        <f>'Mastercurve bestimmen'!A25</f>
        <v>7.2446689325643296E-8</v>
      </c>
    </row>
    <row r="82" spans="1:5" x14ac:dyDescent="0.25">
      <c r="A82" s="50">
        <f t="shared" si="0"/>
        <v>9</v>
      </c>
      <c r="B82" s="56">
        <f>'Mastercurve bestimmen'!C26</f>
        <v>2.3136710280310717E-2</v>
      </c>
      <c r="D82" s="51">
        <f>A82</f>
        <v>9</v>
      </c>
      <c r="E82" s="56">
        <f>'Mastercurve bestimmen'!A26</f>
        <v>8.03104303120212E-7</v>
      </c>
    </row>
    <row r="83" spans="1:5" x14ac:dyDescent="0.25">
      <c r="A83" s="50">
        <f t="shared" si="0"/>
        <v>10</v>
      </c>
      <c r="B83" s="56">
        <f>'Mastercurve bestimmen'!C27</f>
        <v>3.7322629147916536E-2</v>
      </c>
      <c r="C83" s="11"/>
      <c r="D83" s="51">
        <f t="shared" ref="D83:D104" si="1">A83</f>
        <v>10</v>
      </c>
      <c r="E83" s="56">
        <f>'Mastercurve bestimmen'!A27</f>
        <v>8.9027742702096099E-6</v>
      </c>
    </row>
    <row r="84" spans="1:5" x14ac:dyDescent="0.25">
      <c r="A84" s="50">
        <f t="shared" si="0"/>
        <v>11</v>
      </c>
      <c r="B84" s="56">
        <f>'Mastercurve bestimmen'!C28</f>
        <v>3.2712076759715769E-2</v>
      </c>
      <c r="C84" s="11"/>
      <c r="D84" s="51">
        <f t="shared" si="1"/>
        <v>11</v>
      </c>
      <c r="E84" s="56">
        <f>'Mastercurve bestimmen'!A28</f>
        <v>9.86912775817142E-5</v>
      </c>
    </row>
    <row r="85" spans="1:5" x14ac:dyDescent="0.25">
      <c r="A85" s="50">
        <f t="shared" si="0"/>
        <v>12</v>
      </c>
      <c r="B85" s="56">
        <f>'Mastercurve bestimmen'!C29</f>
        <v>4.2271951558424573E-2</v>
      </c>
      <c r="C85" s="11"/>
      <c r="D85" s="51">
        <f t="shared" si="1"/>
        <v>12</v>
      </c>
      <c r="E85" s="56">
        <f>'Mastercurve bestimmen'!A29</f>
        <v>1.0940374286813801E-3</v>
      </c>
    </row>
    <row r="86" spans="1:5" x14ac:dyDescent="0.25">
      <c r="A86" s="50">
        <f t="shared" si="0"/>
        <v>13</v>
      </c>
      <c r="B86" s="56">
        <f>'Mastercurve bestimmen'!C30</f>
        <v>4.6527520280984086E-2</v>
      </c>
      <c r="C86" s="11"/>
      <c r="D86" s="51">
        <f t="shared" si="1"/>
        <v>13</v>
      </c>
      <c r="E86" s="56">
        <f>'Mastercurve bestimmen'!A30</f>
        <v>1.2127899493091E-2</v>
      </c>
    </row>
    <row r="87" spans="1:5" x14ac:dyDescent="0.25">
      <c r="A87" s="50">
        <f t="shared" si="0"/>
        <v>14</v>
      </c>
      <c r="B87" s="56">
        <f>'Mastercurve bestimmen'!C31</f>
        <v>5.951973770461929E-2</v>
      </c>
      <c r="C87" s="11"/>
      <c r="D87" s="51">
        <f t="shared" si="1"/>
        <v>14</v>
      </c>
      <c r="E87" s="56">
        <f>'Mastercurve bestimmen'!A31</f>
        <v>0.13444324870292301</v>
      </c>
    </row>
    <row r="88" spans="1:5" x14ac:dyDescent="0.25">
      <c r="A88" s="50">
        <f t="shared" si="0"/>
        <v>15</v>
      </c>
      <c r="B88" s="56">
        <f>'Mastercurve bestimmen'!C32</f>
        <v>8.0489091133812765E-2</v>
      </c>
      <c r="C88" s="11"/>
      <c r="D88" s="51">
        <f t="shared" si="1"/>
        <v>15</v>
      </c>
      <c r="E88" s="56">
        <f>'Mastercurve bestimmen'!A32</f>
        <v>1.49036419143257</v>
      </c>
    </row>
    <row r="89" spans="1:5" x14ac:dyDescent="0.25">
      <c r="A89" s="50">
        <f t="shared" si="0"/>
        <v>16</v>
      </c>
      <c r="B89" s="56">
        <f>'Mastercurve bestimmen'!C33</f>
        <v>6.5723461611377515E-2</v>
      </c>
      <c r="C89" s="11"/>
      <c r="D89" s="51">
        <f t="shared" si="1"/>
        <v>16</v>
      </c>
      <c r="E89" s="56">
        <f>'Mastercurve bestimmen'!A33</f>
        <v>16.521360830937301</v>
      </c>
    </row>
    <row r="90" spans="1:5" x14ac:dyDescent="0.25">
      <c r="A90" s="50">
        <f t="shared" si="0"/>
        <v>17</v>
      </c>
      <c r="B90" s="56">
        <f>'Mastercurve bestimmen'!C34</f>
        <v>5.0766006496314589E-2</v>
      </c>
      <c r="C90" s="11"/>
      <c r="D90" s="51">
        <f t="shared" si="1"/>
        <v>17</v>
      </c>
      <c r="E90" s="56">
        <f>'Mastercurve bestimmen'!A34</f>
        <v>183.146753843879</v>
      </c>
    </row>
    <row r="91" spans="1:5" x14ac:dyDescent="0.25">
      <c r="A91" s="50">
        <f t="shared" si="0"/>
        <v>18</v>
      </c>
      <c r="B91" s="56">
        <f>'Mastercurve bestimmen'!C35</f>
        <v>2.7257633093652572E-2</v>
      </c>
      <c r="C91" s="11"/>
      <c r="D91" s="51">
        <f t="shared" si="1"/>
        <v>18</v>
      </c>
      <c r="E91" s="56">
        <f>'Mastercurve bestimmen'!A35</f>
        <v>2030.26456396616</v>
      </c>
    </row>
    <row r="92" spans="1:5" x14ac:dyDescent="0.25">
      <c r="A92" s="50">
        <f t="shared" si="0"/>
        <v>19</v>
      </c>
      <c r="B92" s="56">
        <f>'Mastercurve bestimmen'!C36</f>
        <v>1.5460526055255958E-2</v>
      </c>
      <c r="C92" s="11"/>
      <c r="D92" s="51">
        <f t="shared" si="1"/>
        <v>19</v>
      </c>
      <c r="E92" s="56">
        <f>'Mastercurve bestimmen'!A36</f>
        <v>22506.400540467101</v>
      </c>
    </row>
    <row r="93" spans="1:5" x14ac:dyDescent="0.25">
      <c r="A93" s="50">
        <f t="shared" si="0"/>
        <v>20</v>
      </c>
      <c r="B93" s="56">
        <f>'Mastercurve bestimmen'!C37</f>
        <v>6.5522275925880558E-3</v>
      </c>
      <c r="C93" s="11"/>
      <c r="D93" s="51">
        <f t="shared" si="1"/>
        <v>20</v>
      </c>
      <c r="E93" s="56">
        <f>'Mastercurve bestimmen'!A37</f>
        <v>249493.62476110301</v>
      </c>
    </row>
    <row r="94" spans="1:5" x14ac:dyDescent="0.25">
      <c r="A94" s="50">
        <f t="shared" si="0"/>
        <v>21</v>
      </c>
      <c r="B94" s="56">
        <f>'Mastercurve bestimmen'!C38</f>
        <v>1.7032131485439372E-3</v>
      </c>
      <c r="C94" s="11"/>
      <c r="D94" s="51">
        <f t="shared" si="1"/>
        <v>21</v>
      </c>
      <c r="E94" s="56">
        <f>'Mastercurve bestimmen'!A38</f>
        <v>2765749.6224023802</v>
      </c>
    </row>
    <row r="95" spans="1:5" x14ac:dyDescent="0.25">
      <c r="A95" s="50">
        <f t="shared" si="0"/>
        <v>22</v>
      </c>
      <c r="B95" s="56">
        <f>'Mastercurve bestimmen'!C39</f>
        <v>4.5350630336780827E-3</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1.6861233379433117E-3</v>
      </c>
      <c r="C97" s="11"/>
      <c r="D97" s="51">
        <f t="shared" si="1"/>
        <v>24</v>
      </c>
      <c r="E97" s="56">
        <f>'Mastercurve bestimmen'!A41</f>
        <v>1000000000</v>
      </c>
    </row>
    <row r="98" spans="1:5" x14ac:dyDescent="0.25">
      <c r="A98" s="50">
        <f t="shared" si="0"/>
        <v>25</v>
      </c>
      <c r="B98" s="56">
        <f>'Mastercurve bestimmen'!C42</f>
        <v>3.1917428644915027E-3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1.5213277079669291E-4</v>
      </c>
      <c r="C101" s="11"/>
      <c r="D101" s="51">
        <f t="shared" si="1"/>
        <v>28</v>
      </c>
      <c r="E101" s="56">
        <f>'Mastercurve bestimmen'!A45</f>
        <v>10000000000000</v>
      </c>
    </row>
    <row r="102" spans="1:5" x14ac:dyDescent="0.25">
      <c r="A102" s="50">
        <f t="shared" si="0"/>
        <v>29</v>
      </c>
      <c r="B102" s="56">
        <f>'Mastercurve bestimmen'!C46</f>
        <v>1.3986654220962105E-4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8.4977640874607974E-4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E74" sqref="E7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8426.4757441054771</v>
      </c>
      <c r="G16" s="26">
        <f>INDEX(Comparison!$AM$3:$AS$33,G14,$B$3)</f>
        <v>8085.1354599765227</v>
      </c>
      <c r="H16" s="26">
        <f>INDEX(Comparison!$AM$3:$AS$33,H14,$B$3)</f>
        <v>7751.6368467103184</v>
      </c>
      <c r="I16" s="26">
        <f>INDEX(Comparison!$AM$3:$AS$33,I14,$B$3)</f>
        <v>7379.8266913065718</v>
      </c>
      <c r="J16" s="26">
        <f>INDEX(Comparison!$AM$3:$AS$33,J14,$B$3)</f>
        <v>7023.3701518062126</v>
      </c>
      <c r="K16" s="26">
        <f>INDEX(Comparison!$AM$3:$AS$33,K14,$B$3)</f>
        <v>6738.7256441372629</v>
      </c>
      <c r="L16" s="26">
        <f>INDEX(Comparison!$AM$3:$AS$33,L14,$B$3)</f>
        <v>6452.9254698981604</v>
      </c>
      <c r="M16" s="26">
        <f>INDEX(Comparison!$AM$3:$AS$33,M14,$B$3)</f>
        <v>6178.6253583876323</v>
      </c>
      <c r="N16" s="26">
        <f>INDEX(Comparison!$AM$3:$AS$33,N14,$B$3)</f>
        <v>5887.9416764587622</v>
      </c>
      <c r="O16" s="26">
        <f>INDEX(Comparison!$AM$3:$AS$33,O14,$B$3)</f>
        <v>5619.2322674786419</v>
      </c>
      <c r="P16" s="26">
        <f>INDEX(Comparison!$AM$3:$AS$33,P14,$B$3)</f>
        <v>5280.3661713673137</v>
      </c>
      <c r="Q16" s="26">
        <f>INDEX(Comparison!$AM$3:$AS$33,Q14,$B$3)</f>
        <v>4925.7855811728932</v>
      </c>
      <c r="R16" s="26">
        <f>INDEX(Comparison!$AM$3:$AS$33,R14,$B$3)</f>
        <v>4516.2157436003417</v>
      </c>
      <c r="S16" s="26">
        <f>INDEX(Comparison!$AM$3:$AS$33,S14,$B$3)</f>
        <v>4054.7135164176284</v>
      </c>
      <c r="T16" s="26">
        <f>INDEX(Comparison!$AM$3:$AS$33,T14,$B$3)</f>
        <v>3480.9757019740573</v>
      </c>
      <c r="U16" s="26">
        <f>INDEX(Comparison!$AM$3:$AS$33,U14,$B$3)</f>
        <v>2776.8290278599252</v>
      </c>
      <c r="V16" s="26">
        <f>INDEX(Comparison!$AM$3:$AS$33,V14,$B$3)</f>
        <v>2021.5623770745678</v>
      </c>
      <c r="W16" s="26">
        <f>INDEX(Comparison!$AM$3:$AS$33,W14,$B$3)</f>
        <v>1425.0251284859655</v>
      </c>
      <c r="X16" s="26">
        <f>INDEX(Comparison!$AM$3:$AS$33,X14,$B$3)</f>
        <v>1000.3144588532851</v>
      </c>
      <c r="Y16" s="26">
        <f>INDEX(Comparison!$AM$3:$AS$33,Y14,$B$3)</f>
        <v>766.53007991277559</v>
      </c>
      <c r="Z16" s="26">
        <f>INDEX(Comparison!$AM$3:$AS$33,Z14,$B$3)</f>
        <v>637.70408339015069</v>
      </c>
      <c r="AA16" s="26">
        <f>INDEX(Comparison!$AM$3:$AS$33,AA14,$B$3)</f>
        <v>580.81989332695025</v>
      </c>
      <c r="AB16" s="26">
        <f>INDEX(Comparison!$AM$3:$AS$33,AB14,$B$3)</f>
        <v>540.7919524224219</v>
      </c>
      <c r="AC16" s="26">
        <f>INDEX(Comparison!$AM$3:$AS$33,AC14,$B$3)</f>
        <v>519.88174858869183</v>
      </c>
      <c r="AD16" s="26">
        <f>INDEX(Comparison!$AM$3:$AS$33,AD14,$B$3)</f>
        <v>509.34643430573385</v>
      </c>
      <c r="AE16" s="26">
        <f>INDEX(Comparison!$AM$3:$AS$33,AE14,$B$3)</f>
        <v>480.55733666885891</v>
      </c>
      <c r="AF16" s="26">
        <f>INDEX(Comparison!$AM$3:$AS$33,AF14,$B$3)</f>
        <v>471.54124630560909</v>
      </c>
      <c r="AG16" s="26">
        <f>INDEX(Comparison!$AM$3:$AS$33,AG14,$B$3)</f>
        <v>469.40352706055</v>
      </c>
      <c r="AH16" s="26">
        <f>INDEX(Comparison!$AM$3:$AS$33,AH14,$B$3)</f>
        <v>469.06241231883331</v>
      </c>
      <c r="AI16" s="26">
        <f>INDEX(Comparison!$AM$3:$AS$33,AI14,$B$3)</f>
        <v>467.11183046926152</v>
      </c>
      <c r="AJ16" s="26">
        <f>INDEX(Comparison!$AM$3:$AS$33,AJ14,$B$3)</f>
        <v>466.16000667860783</v>
      </c>
    </row>
    <row r="17" spans="1:36" x14ac:dyDescent="0.25">
      <c r="A17" s="14" t="s">
        <v>20</v>
      </c>
      <c r="B17" s="105">
        <v>2.3674234992205088E-2</v>
      </c>
      <c r="C17" s="18">
        <f t="shared" ref="C17:C48" si="3">ABS(B17/$B$49)</f>
        <v>4.2507656995115203E-2</v>
      </c>
      <c r="D17" s="66"/>
      <c r="E17" s="65" t="s">
        <v>22</v>
      </c>
      <c r="F17" s="27">
        <f>($C$17+SUM(F18:F48))*$B$51</f>
        <v>8333.5810340424232</v>
      </c>
      <c r="G17" s="27">
        <f t="shared" ref="G17:M17" si="4">($C$17+SUM(G18:G48))*$B$51</f>
        <v>8205.255478599398</v>
      </c>
      <c r="H17" s="27">
        <f t="shared" si="4"/>
        <v>7719.8404633802975</v>
      </c>
      <c r="I17" s="27">
        <f t="shared" si="4"/>
        <v>7385.0361360709903</v>
      </c>
      <c r="J17" s="27">
        <f t="shared" si="4"/>
        <v>7022.6447471031015</v>
      </c>
      <c r="K17" s="27">
        <f t="shared" si="4"/>
        <v>6738.8171177141166</v>
      </c>
      <c r="L17" s="27">
        <f t="shared" si="4"/>
        <v>6452.9911575567739</v>
      </c>
      <c r="M17" s="27">
        <f t="shared" si="4"/>
        <v>6178.3167598668788</v>
      </c>
      <c r="N17" s="27">
        <f t="shared" ref="N17" si="5">($C$17+SUM(N18:N48))*$B$51</f>
        <v>5888.6726297808382</v>
      </c>
      <c r="O17" s="27">
        <f t="shared" ref="O17" si="6">($C$17+SUM(O18:O48))*$B$51</f>
        <v>5617.7282343344768</v>
      </c>
      <c r="P17" s="27">
        <f t="shared" ref="P17" si="7">($C$17+SUM(P18:P48))*$B$51</f>
        <v>5282.9703388929101</v>
      </c>
      <c r="Q17" s="27">
        <f t="shared" ref="Q17" si="8">($C$17+SUM(Q18:Q48))*$B$51</f>
        <v>4922.0302654901398</v>
      </c>
      <c r="R17" s="27">
        <f t="shared" ref="R17" si="9">($C$17+SUM(R18:R48))*$B$51</f>
        <v>4520.834710737342</v>
      </c>
      <c r="S17" s="27">
        <f t="shared" ref="S17:T17" si="10">($C$17+SUM(S18:S48))*$B$51</f>
        <v>4049.8571249595243</v>
      </c>
      <c r="T17" s="27">
        <f t="shared" si="10"/>
        <v>3485.3471428841772</v>
      </c>
      <c r="U17" s="27">
        <f t="shared" ref="U17" si="11">($C$17+SUM(U18:U48))*$B$51</f>
        <v>2773.4462798589138</v>
      </c>
      <c r="V17" s="27">
        <f t="shared" ref="V17" si="12">($C$17+SUM(V18:V48))*$B$51</f>
        <v>2023.8096995356063</v>
      </c>
      <c r="W17" s="27">
        <f t="shared" ref="W17" si="13">($C$17+SUM(W18:W48))*$B$51</f>
        <v>1423.738640088435</v>
      </c>
      <c r="X17" s="27">
        <f t="shared" ref="X17" si="14">($C$17+SUM(X18:X48))*$B$51</f>
        <v>1000.9279441912024</v>
      </c>
      <c r="Y17" s="27">
        <f t="shared" ref="Y17" si="15">($C$17+SUM(Y18:Y48))*$B$51</f>
        <v>766.29153874794963</v>
      </c>
      <c r="Z17" s="27">
        <f t="shared" ref="Z17:AA17" si="16">($C$17+SUM(Z18:Z48))*$B$51</f>
        <v>637.80738544542442</v>
      </c>
      <c r="AA17" s="27">
        <f t="shared" si="16"/>
        <v>580.78034172054333</v>
      </c>
      <c r="AB17" s="27">
        <f t="shared" ref="AB17" si="17">($C$17+SUM(AB18:AB48))*$B$51</f>
        <v>540.80026135466926</v>
      </c>
      <c r="AC17" s="27">
        <f t="shared" ref="AC17" si="18">($C$17+SUM(AC18:AC48))*$B$51</f>
        <v>520.4889399983233</v>
      </c>
      <c r="AD17" s="27">
        <f t="shared" ref="AD17" si="19">($C$17+SUM(AD18:AD48))*$B$51</f>
        <v>507.80846425722166</v>
      </c>
      <c r="AE17" s="27">
        <f t="shared" ref="AE17" si="20">($C$17+SUM(AE18:AE48))*$B$51</f>
        <v>482.67314399353853</v>
      </c>
      <c r="AF17" s="27">
        <f t="shared" ref="AF17" si="21">($C$17+SUM(AF18:AF48))*$B$51</f>
        <v>470.01389299937927</v>
      </c>
      <c r="AG17" s="27">
        <f t="shared" ref="AG17:AH17" si="22">($C$17+SUM(AG18:AG48))*$B$51</f>
        <v>469.85843232791916</v>
      </c>
      <c r="AH17" s="27">
        <f t="shared" si="22"/>
        <v>468.84221000528782</v>
      </c>
      <c r="AI17" s="27">
        <f t="shared" ref="AI17" si="23">($C$17+SUM(AI18:AI48))*$B$51</f>
        <v>467.34898981752758</v>
      </c>
      <c r="AJ17" s="27">
        <f t="shared" ref="AJ17" si="24">($C$17+SUM(AJ18:AJ48))*$B$51</f>
        <v>466.01516255340709</v>
      </c>
    </row>
    <row r="18" spans="1:36" x14ac:dyDescent="0.25">
      <c r="A18" s="3">
        <f>0.000000000000001/10^5</f>
        <v>1.0000000000000001E-20</v>
      </c>
      <c r="B18" s="106">
        <v>0.12509330925268491</v>
      </c>
      <c r="C18" s="18">
        <f t="shared" si="3"/>
        <v>0.22460803839481197</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3.1230046579254215E-2</v>
      </c>
      <c r="C19" s="18">
        <f t="shared" si="3"/>
        <v>5.6074298002427671E-2</v>
      </c>
      <c r="D19" s="17"/>
      <c r="F19" s="3">
        <f t="shared" si="25"/>
        <v>5.4656170413660027E-2</v>
      </c>
      <c r="G19" s="3">
        <f t="shared" si="25"/>
        <v>4.3402763236198863E-2</v>
      </c>
      <c r="H19" s="3">
        <f t="shared" si="25"/>
        <v>4.3281189645471502E-3</v>
      </c>
      <c r="I19" s="3">
        <f t="shared" si="25"/>
        <v>4.2084026627250062E-13</v>
      </c>
      <c r="J19" s="3">
        <f t="shared" si="25"/>
        <v>3.1790565927011685E-113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1.5911530216659319E-2</v>
      </c>
      <c r="C20" s="18">
        <f t="shared" si="3"/>
        <v>2.8569534303425747E-2</v>
      </c>
      <c r="D20" s="17"/>
      <c r="F20" s="3">
        <f t="shared" si="25"/>
        <v>2.8503594144192707E-2</v>
      </c>
      <c r="G20" s="3">
        <f t="shared" si="25"/>
        <v>2.7916939447042332E-2</v>
      </c>
      <c r="H20" s="3">
        <f t="shared" si="25"/>
        <v>2.2675120019839554E-2</v>
      </c>
      <c r="I20" s="3">
        <f t="shared" si="25"/>
        <v>2.8337888914149872E-3</v>
      </c>
      <c r="J20" s="3">
        <f t="shared" si="25"/>
        <v>2.6335798090621688E-12</v>
      </c>
      <c r="K20" s="3">
        <f t="shared" si="25"/>
        <v>1.2657163439960975E-102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2.1439333156640761E-2</v>
      </c>
      <c r="C21" s="18">
        <f t="shared" si="3"/>
        <v>3.8494837122574385E-2</v>
      </c>
      <c r="D21" s="17"/>
      <c r="F21" s="3">
        <f t="shared" si="25"/>
        <v>3.84868138357881E-2</v>
      </c>
      <c r="G21" s="3">
        <f t="shared" si="25"/>
        <v>3.8414679464315094E-2</v>
      </c>
      <c r="H21" s="3">
        <f t="shared" si="25"/>
        <v>3.7700730024266209E-2</v>
      </c>
      <c r="I21" s="3">
        <f t="shared" si="25"/>
        <v>3.1251813257905263E-2</v>
      </c>
      <c r="J21" s="3">
        <f t="shared" si="25"/>
        <v>4.7877319538270216E-3</v>
      </c>
      <c r="K21" s="3">
        <f t="shared" si="25"/>
        <v>3.4093838705159317E-11</v>
      </c>
      <c r="L21" s="3">
        <f t="shared" si="25"/>
        <v>1.1432379816014806E-92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1.4146878328485586E-2</v>
      </c>
      <c r="C22" s="18">
        <f t="shared" si="3"/>
        <v>2.5401059495138618E-2</v>
      </c>
      <c r="D22" s="17"/>
      <c r="F22" s="3">
        <f t="shared" si="25"/>
        <v>2.5400581867519787E-2</v>
      </c>
      <c r="G22" s="3">
        <f t="shared" si="25"/>
        <v>2.5396283623077227E-2</v>
      </c>
      <c r="H22" s="3">
        <f t="shared" si="25"/>
        <v>2.5353341162150128E-2</v>
      </c>
      <c r="I22" s="3">
        <f t="shared" si="25"/>
        <v>2.4927889979556962E-2</v>
      </c>
      <c r="J22" s="3">
        <f t="shared" si="25"/>
        <v>2.1046927583455798E-2</v>
      </c>
      <c r="K22" s="3">
        <f t="shared" si="25"/>
        <v>3.8745438680062288E-3</v>
      </c>
      <c r="L22" s="3">
        <f t="shared" si="25"/>
        <v>1.7319659054113581E-10</v>
      </c>
      <c r="M22" s="3">
        <f t="shared" si="25"/>
        <v>5.5173038134517172E-84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1.6030296191554338E-2</v>
      </c>
      <c r="C23" s="18">
        <f t="shared" si="3"/>
        <v>2.8782781461156089E-2</v>
      </c>
      <c r="D23" s="17"/>
      <c r="F23" s="3">
        <f t="shared" si="25"/>
        <v>2.8782732638582779E-2</v>
      </c>
      <c r="G23" s="3">
        <f t="shared" si="25"/>
        <v>2.8782293239149648E-2</v>
      </c>
      <c r="H23" s="3">
        <f t="shared" si="25"/>
        <v>2.8777899613736255E-2</v>
      </c>
      <c r="I23" s="3">
        <f t="shared" si="25"/>
        <v>2.873400023056534E-2</v>
      </c>
      <c r="J23" s="3">
        <f t="shared" si="25"/>
        <v>2.8298672753396252E-2</v>
      </c>
      <c r="K23" s="3">
        <f t="shared" si="25"/>
        <v>2.4292142933949882E-2</v>
      </c>
      <c r="L23" s="3">
        <f t="shared" si="25"/>
        <v>5.2779276933481748E-3</v>
      </c>
      <c r="M23" s="3">
        <f t="shared" si="25"/>
        <v>1.2371988839831073E-9</v>
      </c>
      <c r="N23" s="3">
        <f t="shared" si="25"/>
        <v>6.1972690855977412E-76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1.4314092207762712E-2</v>
      </c>
      <c r="C24" s="18">
        <f t="shared" si="3"/>
        <v>2.570129602770134E-2</v>
      </c>
      <c r="D24" s="17"/>
      <c r="F24" s="3">
        <f t="shared" si="25"/>
        <v>2.5701292095010056E-2</v>
      </c>
      <c r="G24" s="3">
        <f t="shared" si="25"/>
        <v>2.5701256700815561E-2</v>
      </c>
      <c r="H24" s="3">
        <f t="shared" si="25"/>
        <v>2.5700902761551462E-2</v>
      </c>
      <c r="I24" s="3">
        <f t="shared" si="25"/>
        <v>2.5697363636980275E-2</v>
      </c>
      <c r="J24" s="3">
        <f t="shared" si="25"/>
        <v>2.5661999184593238E-2</v>
      </c>
      <c r="K24" s="3">
        <f t="shared" si="25"/>
        <v>2.5311020391055396E-2</v>
      </c>
      <c r="L24" s="3">
        <f t="shared" si="25"/>
        <v>2.2054708515346157E-2</v>
      </c>
      <c r="M24" s="3">
        <f t="shared" si="25"/>
        <v>5.5643957285817945E-3</v>
      </c>
      <c r="N24" s="3">
        <f t="shared" si="25"/>
        <v>5.815470686215331E-9</v>
      </c>
      <c r="O24" s="3">
        <f t="shared" si="25"/>
        <v>9.0417708164595449E-69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1.6631918290749084E-2</v>
      </c>
      <c r="C25" s="18">
        <f t="shared" si="3"/>
        <v>2.9863008376267462E-2</v>
      </c>
      <c r="D25" s="17"/>
      <c r="F25" s="3">
        <f t="shared" si="25"/>
        <v>2.9863007964060797E-2</v>
      </c>
      <c r="G25" s="3">
        <f t="shared" si="25"/>
        <v>2.9863004254201072E-2</v>
      </c>
      <c r="H25" s="3">
        <f t="shared" si="25"/>
        <v>2.9862967155629163E-2</v>
      </c>
      <c r="I25" s="3">
        <f t="shared" si="25"/>
        <v>2.9862596172444873E-2</v>
      </c>
      <c r="J25" s="3">
        <f t="shared" si="25"/>
        <v>2.9858886594069309E-2</v>
      </c>
      <c r="K25" s="3">
        <f t="shared" si="25"/>
        <v>2.9821816145400332E-2</v>
      </c>
      <c r="L25" s="3">
        <f t="shared" si="25"/>
        <v>2.9453633560743875E-2</v>
      </c>
      <c r="M25" s="3">
        <f t="shared" si="25"/>
        <v>2.6012781253179039E-2</v>
      </c>
      <c r="N25" s="3">
        <f t="shared" si="25"/>
        <v>7.5104487019234693E-3</v>
      </c>
      <c r="O25" s="3">
        <f t="shared" si="25"/>
        <v>3.0231300946028061E-8</v>
      </c>
      <c r="P25" s="3">
        <f t="shared" si="25"/>
        <v>3.3757195692787365E-62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1.2885770584475816E-2</v>
      </c>
      <c r="C26" s="18">
        <f t="shared" si="3"/>
        <v>2.3136710280310717E-2</v>
      </c>
      <c r="D26" s="17"/>
      <c r="F26" s="3">
        <f t="shared" si="25"/>
        <v>2.3136710251501619E-2</v>
      </c>
      <c r="G26" s="3">
        <f t="shared" si="25"/>
        <v>2.3136709992219742E-2</v>
      </c>
      <c r="H26" s="3">
        <f t="shared" si="25"/>
        <v>2.3136707399401133E-2</v>
      </c>
      <c r="I26" s="3">
        <f t="shared" si="25"/>
        <v>2.3136681471231015E-2</v>
      </c>
      <c r="J26" s="3">
        <f t="shared" si="25"/>
        <v>2.3136422191127961E-2</v>
      </c>
      <c r="K26" s="3">
        <f t="shared" si="25"/>
        <v>2.3133829549900564E-2</v>
      </c>
      <c r="L26" s="3">
        <f t="shared" si="25"/>
        <v>2.3107919111319972E-2</v>
      </c>
      <c r="M26" s="3">
        <f t="shared" si="25"/>
        <v>2.2850405491307884E-2</v>
      </c>
      <c r="N26" s="3">
        <f t="shared" si="25"/>
        <v>2.0427942993925155E-2</v>
      </c>
      <c r="O26" s="3">
        <f t="shared" si="25"/>
        <v>6.6608844126546524E-3</v>
      </c>
      <c r="P26" s="3">
        <f t="shared" si="25"/>
        <v>9.0490814717231686E-8</v>
      </c>
      <c r="Q26" s="3">
        <f t="shared" si="25"/>
        <v>1.9378961864774879E-56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2.0786483081771293E-2</v>
      </c>
      <c r="C27" s="18">
        <f t="shared" si="3"/>
        <v>3.7322629147916536E-2</v>
      </c>
      <c r="D27" s="17"/>
      <c r="F27" s="3">
        <f t="shared" si="25"/>
        <v>3.7322629143724292E-2</v>
      </c>
      <c r="G27" s="3">
        <f t="shared" si="25"/>
        <v>3.7322629105994064E-2</v>
      </c>
      <c r="H27" s="3">
        <f t="shared" si="25"/>
        <v>3.7322628728691833E-2</v>
      </c>
      <c r="I27" s="3">
        <f t="shared" si="25"/>
        <v>3.7322624955669723E-2</v>
      </c>
      <c r="J27" s="3">
        <f t="shared" si="25"/>
        <v>3.7322587225469606E-2</v>
      </c>
      <c r="K27" s="3">
        <f t="shared" si="25"/>
        <v>3.7322209925566251E-2</v>
      </c>
      <c r="L27" s="3">
        <f t="shared" si="25"/>
        <v>3.7318437136306434E-2</v>
      </c>
      <c r="M27" s="3">
        <f t="shared" si="25"/>
        <v>3.7280730213240076E-2</v>
      </c>
      <c r="N27" s="3">
        <f t="shared" si="25"/>
        <v>3.6905750113465856E-2</v>
      </c>
      <c r="O27" s="3">
        <f t="shared" si="25"/>
        <v>3.3357254836435243E-2</v>
      </c>
      <c r="P27" s="3">
        <f t="shared" si="25"/>
        <v>1.2138162923511615E-2</v>
      </c>
      <c r="Q27" s="3">
        <f t="shared" si="25"/>
        <v>4.9405984660694092E-7</v>
      </c>
      <c r="R27" s="3">
        <f t="shared" si="25"/>
        <v>6.1665964198984371E-51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1.8218679810594041E-2</v>
      </c>
      <c r="C28" s="18">
        <f t="shared" si="3"/>
        <v>3.2712076759715769E-2</v>
      </c>
      <c r="D28" s="17"/>
      <c r="F28" s="3">
        <f t="shared" si="25"/>
        <v>3.2712076759384312E-2</v>
      </c>
      <c r="G28" s="3">
        <f t="shared" si="25"/>
        <v>3.2712076756401184E-2</v>
      </c>
      <c r="H28" s="3">
        <f t="shared" si="25"/>
        <v>3.2712076726569901E-2</v>
      </c>
      <c r="I28" s="3">
        <f t="shared" si="25"/>
        <v>3.2712076428257131E-2</v>
      </c>
      <c r="J28" s="3">
        <f t="shared" si="25"/>
        <v>3.2712073445129525E-2</v>
      </c>
      <c r="K28" s="3">
        <f t="shared" si="25"/>
        <v>3.2712043613868452E-2</v>
      </c>
      <c r="L28" s="3">
        <f t="shared" si="25"/>
        <v>3.2711745302753892E-2</v>
      </c>
      <c r="M28" s="3">
        <f t="shared" si="25"/>
        <v>3.270876234122571E-2</v>
      </c>
      <c r="N28" s="3">
        <f t="shared" si="25"/>
        <v>3.2678947682633214E-2</v>
      </c>
      <c r="O28" s="3">
        <f t="shared" si="25"/>
        <v>3.2382291731308903E-2</v>
      </c>
      <c r="P28" s="3">
        <f t="shared" si="25"/>
        <v>2.9559886384111642E-2</v>
      </c>
      <c r="Q28" s="3">
        <f t="shared" si="25"/>
        <v>1.1875572493367161E-2</v>
      </c>
      <c r="R28" s="3">
        <f t="shared" si="25"/>
        <v>1.3006861070959513E-6</v>
      </c>
      <c r="S28" s="3">
        <f t="shared" si="25"/>
        <v>3.2311116494336358E-46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2.3542961092592237E-2</v>
      </c>
      <c r="C29" s="18">
        <f t="shared" si="3"/>
        <v>4.2271951558424573E-2</v>
      </c>
      <c r="D29" s="17"/>
      <c r="F29" s="3">
        <f t="shared" si="25"/>
        <v>4.2271951558385937E-2</v>
      </c>
      <c r="G29" s="3">
        <f t="shared" si="25"/>
        <v>4.2271951558038187E-2</v>
      </c>
      <c r="H29" s="3">
        <f t="shared" si="25"/>
        <v>4.2271951554560726E-2</v>
      </c>
      <c r="I29" s="3">
        <f t="shared" si="25"/>
        <v>4.2271951519786084E-2</v>
      </c>
      <c r="J29" s="3">
        <f t="shared" si="25"/>
        <v>4.2271951172039697E-2</v>
      </c>
      <c r="K29" s="3">
        <f t="shared" si="25"/>
        <v>4.2271947694575998E-2</v>
      </c>
      <c r="L29" s="3">
        <f t="shared" si="25"/>
        <v>4.2271912919954691E-2</v>
      </c>
      <c r="M29" s="3">
        <f t="shared" si="25"/>
        <v>4.2271565175315017E-2</v>
      </c>
      <c r="N29" s="3">
        <f t="shared" si="25"/>
        <v>4.2268087886251686E-2</v>
      </c>
      <c r="O29" s="3">
        <f t="shared" si="25"/>
        <v>4.2233330724171708E-2</v>
      </c>
      <c r="P29" s="3">
        <f t="shared" si="25"/>
        <v>4.1887327181806246E-2</v>
      </c>
      <c r="Q29" s="3">
        <f t="shared" si="25"/>
        <v>3.8579429940834305E-2</v>
      </c>
      <c r="R29" s="3">
        <f t="shared" si="25"/>
        <v>1.6946787229772983E-2</v>
      </c>
      <c r="S29" s="3">
        <f t="shared" si="25"/>
        <v>4.5331812531833908E-6</v>
      </c>
      <c r="T29" s="3">
        <f t="shared" si="25"/>
        <v>8.5027646166421129E-42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2.5913059589786035E-2</v>
      </c>
      <c r="C30" s="18">
        <f t="shared" si="3"/>
        <v>4.6527520280984086E-2</v>
      </c>
      <c r="D30" s="17"/>
      <c r="F30" s="3">
        <f t="shared" si="25"/>
        <v>4.6527520280980249E-2</v>
      </c>
      <c r="G30" s="3">
        <f t="shared" si="25"/>
        <v>4.6527520280945721E-2</v>
      </c>
      <c r="H30" s="3">
        <f t="shared" si="25"/>
        <v>4.6527520280600448E-2</v>
      </c>
      <c r="I30" s="3">
        <f t="shared" si="25"/>
        <v>4.6527520277147683E-2</v>
      </c>
      <c r="J30" s="3">
        <f t="shared" si="25"/>
        <v>4.6527520242620045E-2</v>
      </c>
      <c r="K30" s="3">
        <f t="shared" si="25"/>
        <v>4.6527519897343703E-2</v>
      </c>
      <c r="L30" s="3">
        <f t="shared" si="25"/>
        <v>4.6527516444580398E-2</v>
      </c>
      <c r="M30" s="3">
        <f t="shared" si="25"/>
        <v>4.6527481916961426E-2</v>
      </c>
      <c r="N30" s="3">
        <f t="shared" si="25"/>
        <v>4.6527136642180944E-2</v>
      </c>
      <c r="O30" s="3">
        <f t="shared" si="25"/>
        <v>4.6523684035296338E-2</v>
      </c>
      <c r="P30" s="3">
        <f t="shared" si="25"/>
        <v>4.6489172054599709E-2</v>
      </c>
      <c r="Q30" s="3">
        <f t="shared" si="25"/>
        <v>4.6145457202009355E-2</v>
      </c>
      <c r="R30" s="3">
        <f t="shared" si="25"/>
        <v>4.2845021860998589E-2</v>
      </c>
      <c r="S30" s="3">
        <f t="shared" si="25"/>
        <v>2.0399265183814852E-2</v>
      </c>
      <c r="T30" s="3">
        <f t="shared" si="25"/>
        <v>1.221113613360823E-5</v>
      </c>
      <c r="U30" s="3">
        <f t="shared" si="25"/>
        <v>7.2139240443936172E-38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3.3148951429044712E-2</v>
      </c>
      <c r="C31" s="18">
        <f t="shared" si="3"/>
        <v>5.951973770461929E-2</v>
      </c>
      <c r="D31" s="17"/>
      <c r="F31" s="3">
        <f t="shared" si="25"/>
        <v>5.9519737704618846E-2</v>
      </c>
      <c r="G31" s="3">
        <f t="shared" si="25"/>
        <v>5.9519737704614863E-2</v>
      </c>
      <c r="H31" s="3">
        <f t="shared" si="25"/>
        <v>5.9519737704575013E-2</v>
      </c>
      <c r="I31" s="3">
        <f t="shared" si="25"/>
        <v>5.9519737704176581E-2</v>
      </c>
      <c r="J31" s="3">
        <f t="shared" si="25"/>
        <v>5.9519737700192164E-2</v>
      </c>
      <c r="K31" s="3">
        <f t="shared" si="25"/>
        <v>5.9519737660348015E-2</v>
      </c>
      <c r="L31" s="3">
        <f t="shared" si="25"/>
        <v>5.9519737261906555E-2</v>
      </c>
      <c r="M31" s="3">
        <f t="shared" si="25"/>
        <v>5.9519733277492153E-2</v>
      </c>
      <c r="N31" s="3">
        <f t="shared" si="25"/>
        <v>5.9519693433362726E-2</v>
      </c>
      <c r="O31" s="3">
        <f t="shared" si="25"/>
        <v>5.9519294993535449E-2</v>
      </c>
      <c r="P31" s="3">
        <f t="shared" si="25"/>
        <v>5.951531074195883E-2</v>
      </c>
      <c r="Q31" s="3">
        <f t="shared" si="25"/>
        <v>5.947548289217662E-2</v>
      </c>
      <c r="R31" s="3">
        <f t="shared" si="25"/>
        <v>5.9078667366652508E-2</v>
      </c>
      <c r="S31" s="3">
        <f t="shared" si="25"/>
        <v>5.5253249704129918E-2</v>
      </c>
      <c r="T31" s="3">
        <f t="shared" si="25"/>
        <v>2.8289754728875838E-2</v>
      </c>
      <c r="U31" s="3">
        <f t="shared" si="25"/>
        <v>3.5022145144697311E-5</v>
      </c>
      <c r="V31" s="3">
        <f t="shared" si="26"/>
        <v>2.9612723922909781E-34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4.4827633243344094E-2</v>
      </c>
      <c r="C32" s="18">
        <f t="shared" si="3"/>
        <v>8.0489091133812765E-2</v>
      </c>
      <c r="D32" s="17"/>
      <c r="F32" s="3">
        <f t="shared" si="25"/>
        <v>8.048909113381271E-2</v>
      </c>
      <c r="G32" s="3">
        <f t="shared" si="25"/>
        <v>8.0489091133812224E-2</v>
      </c>
      <c r="H32" s="3">
        <f t="shared" si="25"/>
        <v>8.0489091133807367E-2</v>
      </c>
      <c r="I32" s="3">
        <f t="shared" si="25"/>
        <v>8.0489091133758753E-2</v>
      </c>
      <c r="J32" s="3">
        <f t="shared" si="25"/>
        <v>8.0489091133272697E-2</v>
      </c>
      <c r="K32" s="3">
        <f t="shared" si="25"/>
        <v>8.0489091128412141E-2</v>
      </c>
      <c r="L32" s="3">
        <f t="shared" si="25"/>
        <v>8.0489091079806438E-2</v>
      </c>
      <c r="M32" s="3">
        <f t="shared" si="25"/>
        <v>8.0489090593749535E-2</v>
      </c>
      <c r="N32" s="3">
        <f t="shared" si="25"/>
        <v>8.0489085733180574E-2</v>
      </c>
      <c r="O32" s="3">
        <f t="shared" si="25"/>
        <v>8.048903712750706E-2</v>
      </c>
      <c r="P32" s="3">
        <f t="shared" si="25"/>
        <v>8.0488551072386394E-2</v>
      </c>
      <c r="Q32" s="3">
        <f t="shared" si="25"/>
        <v>8.0483690682611589E-2</v>
      </c>
      <c r="R32" s="3">
        <f t="shared" si="25"/>
        <v>8.0435102924438895E-2</v>
      </c>
      <c r="S32" s="3">
        <f t="shared" si="25"/>
        <v>7.9950835699912223E-2</v>
      </c>
      <c r="T32" s="3">
        <f t="shared" si="25"/>
        <v>7.5265658449380435E-2</v>
      </c>
      <c r="U32" s="3">
        <f t="shared" si="25"/>
        <v>4.1146740941045194E-2</v>
      </c>
      <c r="V32" s="3">
        <f t="shared" si="26"/>
        <v>9.8111792819987852E-5</v>
      </c>
      <c r="W32" s="3">
        <f t="shared" si="26"/>
        <v>5.8287966784166489E-31</v>
      </c>
      <c r="X32" s="3">
        <f t="shared" si="26"/>
        <v>3.1926833913438067E-293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3.660405641430025E-2</v>
      </c>
      <c r="C33" s="18">
        <f t="shared" si="3"/>
        <v>6.5723461611377515E-2</v>
      </c>
      <c r="D33" s="17"/>
      <c r="F33" s="3">
        <f t="shared" si="25"/>
        <v>6.5723461611377501E-2</v>
      </c>
      <c r="G33" s="3">
        <f t="shared" si="25"/>
        <v>6.5723461611377473E-2</v>
      </c>
      <c r="H33" s="3">
        <f t="shared" si="25"/>
        <v>6.5723461611377113E-2</v>
      </c>
      <c r="I33" s="3">
        <f t="shared" si="25"/>
        <v>6.5723461611373532E-2</v>
      </c>
      <c r="J33" s="3">
        <f t="shared" si="25"/>
        <v>6.5723461611337727E-2</v>
      </c>
      <c r="K33" s="3">
        <f t="shared" si="25"/>
        <v>6.5723461610979708E-2</v>
      </c>
      <c r="L33" s="3">
        <f t="shared" si="25"/>
        <v>6.5723461607399419E-2</v>
      </c>
      <c r="M33" s="3">
        <f t="shared" si="25"/>
        <v>6.5723461571596614E-2</v>
      </c>
      <c r="N33" s="3">
        <f t="shared" si="25"/>
        <v>6.5723461213568507E-2</v>
      </c>
      <c r="O33" s="3">
        <f t="shared" si="25"/>
        <v>6.572345763328756E-2</v>
      </c>
      <c r="P33" s="3">
        <f t="shared" si="25"/>
        <v>6.5723421830488765E-2</v>
      </c>
      <c r="Q33" s="3">
        <f t="shared" si="25"/>
        <v>6.5723063803573539E-2</v>
      </c>
      <c r="R33" s="3">
        <f t="shared" si="25"/>
        <v>6.5719483641688517E-2</v>
      </c>
      <c r="S33" s="3">
        <f t="shared" si="25"/>
        <v>6.56836927473924E-2</v>
      </c>
      <c r="T33" s="3">
        <f t="shared" si="25"/>
        <v>6.532685410138378E-2</v>
      </c>
      <c r="U33" s="3">
        <f t="shared" ref="P33:AE48" si="27">$C33*EXP(-U$15/$A33)</f>
        <v>6.1863371149023377E-2</v>
      </c>
      <c r="V33" s="3">
        <f t="shared" si="27"/>
        <v>3.5879960881425726E-2</v>
      </c>
      <c r="W33" s="3">
        <f t="shared" si="27"/>
        <v>1.5453816263762764E-4</v>
      </c>
      <c r="X33" s="3">
        <f t="shared" si="27"/>
        <v>3.3952642463493015E-28</v>
      </c>
      <c r="Y33" s="3">
        <f t="shared" si="27"/>
        <v>8.8971709946526166E-265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2.8273644147163244E-2</v>
      </c>
      <c r="C34" s="18">
        <f t="shared" si="3"/>
        <v>5.0766006496314589E-2</v>
      </c>
      <c r="D34" s="17"/>
      <c r="F34" s="3">
        <f t="shared" ref="F34:O48" si="28">$C34*EXP(-F$15/$A34)</f>
        <v>5.0766006496314589E-2</v>
      </c>
      <c r="G34" s="3">
        <f t="shared" si="28"/>
        <v>5.0766006496314589E-2</v>
      </c>
      <c r="H34" s="3">
        <f t="shared" si="28"/>
        <v>5.0766006496314561E-2</v>
      </c>
      <c r="I34" s="3">
        <f t="shared" si="28"/>
        <v>5.0766006496314312E-2</v>
      </c>
      <c r="J34" s="3">
        <f t="shared" si="28"/>
        <v>5.0766006496311814E-2</v>
      </c>
      <c r="K34" s="3">
        <f t="shared" si="28"/>
        <v>5.0766006496286868E-2</v>
      </c>
      <c r="L34" s="3">
        <f t="shared" si="28"/>
        <v>5.0766006496037401E-2</v>
      </c>
      <c r="M34" s="3">
        <f t="shared" si="28"/>
        <v>5.0766006493542716E-2</v>
      </c>
      <c r="N34" s="3">
        <f t="shared" si="28"/>
        <v>5.0766006468595831E-2</v>
      </c>
      <c r="O34" s="3">
        <f t="shared" si="28"/>
        <v>5.0766006219127004E-2</v>
      </c>
      <c r="P34" s="3">
        <f t="shared" si="27"/>
        <v>5.0766003724438812E-2</v>
      </c>
      <c r="Q34" s="3">
        <f t="shared" si="27"/>
        <v>5.07659787775636E-2</v>
      </c>
      <c r="R34" s="3">
        <f t="shared" si="27"/>
        <v>5.0765729309485787E-2</v>
      </c>
      <c r="S34" s="3">
        <f t="shared" si="27"/>
        <v>5.0763234696131497E-2</v>
      </c>
      <c r="T34" s="3">
        <f t="shared" si="27"/>
        <v>5.0738295303746905E-2</v>
      </c>
      <c r="U34" s="3">
        <f t="shared" si="27"/>
        <v>5.0489574271650732E-2</v>
      </c>
      <c r="V34" s="3">
        <f t="shared" si="27"/>
        <v>4.806844557978291E-2</v>
      </c>
      <c r="W34" s="3">
        <f t="shared" si="27"/>
        <v>2.9406529562089809E-2</v>
      </c>
      <c r="X34" s="3">
        <f t="shared" si="27"/>
        <v>2.1591396347649556E-4</v>
      </c>
      <c r="Y34" s="3">
        <f t="shared" si="27"/>
        <v>9.8321905805657041E-26</v>
      </c>
      <c r="Z34" s="3">
        <f t="shared" si="27"/>
        <v>3.7700392461471179E-239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1.5180879324037846E-2</v>
      </c>
      <c r="C35" s="18">
        <f t="shared" si="3"/>
        <v>2.7257633093652572E-2</v>
      </c>
      <c r="D35" s="17"/>
      <c r="F35" s="3">
        <f t="shared" si="28"/>
        <v>2.7257633093652572E-2</v>
      </c>
      <c r="G35" s="3">
        <f t="shared" si="28"/>
        <v>2.7257633093652572E-2</v>
      </c>
      <c r="H35" s="3">
        <f t="shared" si="28"/>
        <v>2.7257633093652572E-2</v>
      </c>
      <c r="I35" s="3">
        <f t="shared" si="28"/>
        <v>2.7257633093652561E-2</v>
      </c>
      <c r="J35" s="3">
        <f t="shared" si="28"/>
        <v>2.725763309365244E-2</v>
      </c>
      <c r="K35" s="3">
        <f t="shared" si="28"/>
        <v>2.7257633093651229E-2</v>
      </c>
      <c r="L35" s="3">
        <f t="shared" si="28"/>
        <v>2.7257633093639148E-2</v>
      </c>
      <c r="M35" s="3">
        <f t="shared" si="28"/>
        <v>2.7257633093518314E-2</v>
      </c>
      <c r="N35" s="3">
        <f t="shared" si="28"/>
        <v>2.7257633092310003E-2</v>
      </c>
      <c r="O35" s="3">
        <f t="shared" si="28"/>
        <v>2.7257633080226915E-2</v>
      </c>
      <c r="P35" s="3">
        <f t="shared" si="27"/>
        <v>2.7257632959396014E-2</v>
      </c>
      <c r="Q35" s="3">
        <f t="shared" si="27"/>
        <v>2.725763175108703E-2</v>
      </c>
      <c r="R35" s="3">
        <f t="shared" si="27"/>
        <v>2.7257619668000138E-2</v>
      </c>
      <c r="S35" s="3">
        <f t="shared" si="27"/>
        <v>2.7257498837425825E-2</v>
      </c>
      <c r="T35" s="3">
        <f t="shared" si="27"/>
        <v>2.7256290561142E-2</v>
      </c>
      <c r="U35" s="3">
        <f t="shared" si="27"/>
        <v>2.7244210743752252E-2</v>
      </c>
      <c r="V35" s="3">
        <f t="shared" si="27"/>
        <v>2.7123706632172305E-2</v>
      </c>
      <c r="W35" s="3">
        <f t="shared" si="27"/>
        <v>2.5947595098504427E-2</v>
      </c>
      <c r="X35" s="3">
        <f t="shared" si="27"/>
        <v>1.6656273798022359E-2</v>
      </c>
      <c r="Y35" s="3">
        <f t="shared" si="27"/>
        <v>1.9787240853819224E-4</v>
      </c>
      <c r="Z35" s="3">
        <f t="shared" si="27"/>
        <v>1.1077943073492911E-23</v>
      </c>
      <c r="AA35" s="3">
        <f t="shared" si="27"/>
        <v>3.3511820329213101E-216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8.6105928392454113E-3</v>
      </c>
      <c r="C36" s="18">
        <f t="shared" si="3"/>
        <v>1.5460526055255958E-2</v>
      </c>
      <c r="D36" s="17"/>
      <c r="F36" s="3">
        <f t="shared" si="28"/>
        <v>1.5460526055255958E-2</v>
      </c>
      <c r="G36" s="3">
        <f t="shared" si="28"/>
        <v>1.5460526055255958E-2</v>
      </c>
      <c r="H36" s="3">
        <f t="shared" si="28"/>
        <v>1.5460526055255958E-2</v>
      </c>
      <c r="I36" s="3">
        <f t="shared" si="28"/>
        <v>1.5460526055255958E-2</v>
      </c>
      <c r="J36" s="3">
        <f t="shared" si="28"/>
        <v>1.5460526055255951E-2</v>
      </c>
      <c r="K36" s="3">
        <f t="shared" si="28"/>
        <v>1.5460526055255889E-2</v>
      </c>
      <c r="L36" s="3">
        <f t="shared" si="28"/>
        <v>1.5460526055255271E-2</v>
      </c>
      <c r="M36" s="3">
        <f t="shared" si="28"/>
        <v>1.5460526055249089E-2</v>
      </c>
      <c r="N36" s="3">
        <f t="shared" si="28"/>
        <v>1.5460526055187263E-2</v>
      </c>
      <c r="O36" s="3">
        <f t="shared" si="28"/>
        <v>1.546052605456902E-2</v>
      </c>
      <c r="P36" s="3">
        <f t="shared" si="27"/>
        <v>1.5460526048386568E-2</v>
      </c>
      <c r="Q36" s="3">
        <f t="shared" si="27"/>
        <v>1.546052598656205E-2</v>
      </c>
      <c r="R36" s="3">
        <f t="shared" si="27"/>
        <v>1.5460525368316895E-2</v>
      </c>
      <c r="S36" s="3">
        <f t="shared" si="27"/>
        <v>1.5460519185866696E-2</v>
      </c>
      <c r="T36" s="3">
        <f t="shared" si="27"/>
        <v>1.5460457361500684E-2</v>
      </c>
      <c r="U36" s="3">
        <f t="shared" si="27"/>
        <v>1.5459839131437865E-2</v>
      </c>
      <c r="V36" s="3">
        <f t="shared" si="27"/>
        <v>1.5453658190338726E-2</v>
      </c>
      <c r="W36" s="3">
        <f t="shared" si="27"/>
        <v>1.5391984531314684E-2</v>
      </c>
      <c r="X36" s="3">
        <f t="shared" si="27"/>
        <v>1.4788624412362226E-2</v>
      </c>
      <c r="Y36" s="3">
        <f t="shared" si="27"/>
        <v>9.9142391272880135E-3</v>
      </c>
      <c r="Z36" s="3">
        <f t="shared" si="27"/>
        <v>1.817923040184243E-4</v>
      </c>
      <c r="AA36" s="3">
        <f t="shared" si="27"/>
        <v>7.8115377482805537E-22</v>
      </c>
      <c r="AB36" s="3">
        <f t="shared" si="27"/>
        <v>1.6762815104047662E-195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3.6492007961569243E-3</v>
      </c>
      <c r="C37" s="18">
        <f t="shared" si="3"/>
        <v>6.5522275925880558E-3</v>
      </c>
      <c r="D37" s="17"/>
      <c r="F37" s="3">
        <f t="shared" si="28"/>
        <v>6.5522275925880558E-3</v>
      </c>
      <c r="G37" s="3">
        <f t="shared" si="28"/>
        <v>6.5522275925880558E-3</v>
      </c>
      <c r="H37" s="3">
        <f t="shared" si="28"/>
        <v>6.5522275925880558E-3</v>
      </c>
      <c r="I37" s="3">
        <f t="shared" si="28"/>
        <v>6.5522275925880558E-3</v>
      </c>
      <c r="J37" s="3">
        <f t="shared" si="28"/>
        <v>6.5522275925880558E-3</v>
      </c>
      <c r="K37" s="3">
        <f t="shared" si="28"/>
        <v>6.5522275925880532E-3</v>
      </c>
      <c r="L37" s="3">
        <f t="shared" si="28"/>
        <v>6.5522275925880297E-3</v>
      </c>
      <c r="M37" s="3">
        <f t="shared" si="28"/>
        <v>6.5522275925877929E-3</v>
      </c>
      <c r="N37" s="3">
        <f t="shared" si="28"/>
        <v>6.5522275925854294E-3</v>
      </c>
      <c r="O37" s="3">
        <f t="shared" si="28"/>
        <v>6.5522275925617938E-3</v>
      </c>
      <c r="P37" s="3">
        <f t="shared" si="27"/>
        <v>6.5522275923254351E-3</v>
      </c>
      <c r="Q37" s="3">
        <f t="shared" si="27"/>
        <v>6.5522275899618457E-3</v>
      </c>
      <c r="R37" s="3">
        <f t="shared" si="27"/>
        <v>6.5522275663259522E-3</v>
      </c>
      <c r="S37" s="3">
        <f t="shared" si="27"/>
        <v>6.552227329967018E-3</v>
      </c>
      <c r="T37" s="3">
        <f t="shared" si="27"/>
        <v>6.5522249663781534E-3</v>
      </c>
      <c r="U37" s="3">
        <f t="shared" si="27"/>
        <v>6.5522013305363992E-3</v>
      </c>
      <c r="V37" s="3">
        <f t="shared" si="27"/>
        <v>6.5519649768081903E-3</v>
      </c>
      <c r="W37" s="3">
        <f t="shared" si="27"/>
        <v>6.549601908397101E-3</v>
      </c>
      <c r="X37" s="3">
        <f t="shared" si="27"/>
        <v>6.5260180488662693E-3</v>
      </c>
      <c r="Y37" s="3">
        <f t="shared" si="27"/>
        <v>6.2948000130864552E-3</v>
      </c>
      <c r="Z37" s="3">
        <f t="shared" si="27"/>
        <v>4.3885252535920188E-3</v>
      </c>
      <c r="AA37" s="3">
        <f t="shared" si="27"/>
        <v>1.190378980640793E-4</v>
      </c>
      <c r="AB37" s="3">
        <f t="shared" si="27"/>
        <v>2.5665618090485514E-20</v>
      </c>
      <c r="AC37" s="3">
        <f t="shared" si="27"/>
        <v>5.5720692756881805E-177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9.4858835256613513E-4</v>
      </c>
      <c r="C38" s="18">
        <f t="shared" si="3"/>
        <v>1.7032131485439372E-3</v>
      </c>
      <c r="D38" s="17"/>
      <c r="F38" s="3">
        <f t="shared" si="28"/>
        <v>1.7032131485439372E-3</v>
      </c>
      <c r="G38" s="3">
        <f t="shared" si="28"/>
        <v>1.7032131485439372E-3</v>
      </c>
      <c r="H38" s="3">
        <f t="shared" si="28"/>
        <v>1.7032131485439372E-3</v>
      </c>
      <c r="I38" s="3">
        <f t="shared" si="28"/>
        <v>1.7032131485439372E-3</v>
      </c>
      <c r="J38" s="3">
        <f t="shared" si="28"/>
        <v>1.7032131485439372E-3</v>
      </c>
      <c r="K38" s="3">
        <f t="shared" si="28"/>
        <v>1.7032131485439372E-3</v>
      </c>
      <c r="L38" s="3">
        <f t="shared" si="28"/>
        <v>1.7032131485439366E-3</v>
      </c>
      <c r="M38" s="3">
        <f t="shared" si="28"/>
        <v>1.7032131485439309E-3</v>
      </c>
      <c r="N38" s="3">
        <f t="shared" si="28"/>
        <v>1.7032131485438756E-3</v>
      </c>
      <c r="O38" s="3">
        <f t="shared" si="28"/>
        <v>1.7032131485433214E-3</v>
      </c>
      <c r="P38" s="3">
        <f t="shared" si="27"/>
        <v>1.7032131485377789E-3</v>
      </c>
      <c r="Q38" s="3">
        <f t="shared" si="27"/>
        <v>1.703213148482355E-3</v>
      </c>
      <c r="R38" s="3">
        <f t="shared" si="27"/>
        <v>1.7032131479281138E-3</v>
      </c>
      <c r="S38" s="3">
        <f t="shared" si="27"/>
        <v>1.7032131423857038E-3</v>
      </c>
      <c r="T38" s="3">
        <f t="shared" si="27"/>
        <v>1.7032130869616051E-3</v>
      </c>
      <c r="U38" s="3">
        <f t="shared" si="27"/>
        <v>1.7032125327207165E-3</v>
      </c>
      <c r="V38" s="3">
        <f t="shared" si="27"/>
        <v>1.7032069903217481E-3</v>
      </c>
      <c r="W38" s="3">
        <f t="shared" si="27"/>
        <v>1.7031515673240048E-3</v>
      </c>
      <c r="X38" s="3">
        <f t="shared" si="27"/>
        <v>1.7025974365285793E-3</v>
      </c>
      <c r="Y38" s="3">
        <f t="shared" si="27"/>
        <v>1.6970660348436624E-3</v>
      </c>
      <c r="Z38" s="3">
        <f t="shared" si="27"/>
        <v>1.6427308207519159E-3</v>
      </c>
      <c r="AA38" s="3">
        <f t="shared" si="27"/>
        <v>1.1864325247851854E-3</v>
      </c>
      <c r="AB38" s="3">
        <f t="shared" si="27"/>
        <v>4.581518334454287E-5</v>
      </c>
      <c r="AC38" s="3">
        <f t="shared" si="27"/>
        <v>3.3781060437807778E-19</v>
      </c>
      <c r="AD38" s="3">
        <f t="shared" si="27"/>
        <v>1.6043967583504134E-160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2.5257601936539398E-3</v>
      </c>
      <c r="C39" s="18">
        <f t="shared" si="3"/>
        <v>4.5350630336780827E-3</v>
      </c>
      <c r="D39" s="17"/>
      <c r="F39" s="3">
        <f t="shared" si="28"/>
        <v>4.5350630336780827E-3</v>
      </c>
      <c r="G39" s="3">
        <f t="shared" si="28"/>
        <v>4.5350630336780827E-3</v>
      </c>
      <c r="H39" s="3">
        <f t="shared" si="28"/>
        <v>4.5350630336780827E-3</v>
      </c>
      <c r="I39" s="3">
        <f t="shared" si="28"/>
        <v>4.5350630336780827E-3</v>
      </c>
      <c r="J39" s="3">
        <f t="shared" si="28"/>
        <v>4.5350630336780827E-3</v>
      </c>
      <c r="K39" s="3">
        <f t="shared" si="28"/>
        <v>4.5350630336780827E-3</v>
      </c>
      <c r="L39" s="3">
        <f t="shared" si="28"/>
        <v>4.5350630336780818E-3</v>
      </c>
      <c r="M39" s="3">
        <f t="shared" si="28"/>
        <v>4.5350630336780783E-3</v>
      </c>
      <c r="N39" s="3">
        <f t="shared" si="28"/>
        <v>4.5350630336780376E-3</v>
      </c>
      <c r="O39" s="3">
        <f t="shared" si="28"/>
        <v>4.535063033677629E-3</v>
      </c>
      <c r="P39" s="3">
        <f t="shared" si="27"/>
        <v>4.5350630336735481E-3</v>
      </c>
      <c r="Q39" s="3">
        <f t="shared" si="27"/>
        <v>4.5350630336327318E-3</v>
      </c>
      <c r="R39" s="3">
        <f t="shared" si="27"/>
        <v>4.5350630332245765E-3</v>
      </c>
      <c r="S39" s="3">
        <f t="shared" si="27"/>
        <v>4.5350630291430194E-3</v>
      </c>
      <c r="T39" s="3">
        <f t="shared" si="27"/>
        <v>4.5350629883274523E-3</v>
      </c>
      <c r="U39" s="3">
        <f t="shared" si="27"/>
        <v>4.5350625801718024E-3</v>
      </c>
      <c r="V39" s="3">
        <f t="shared" si="27"/>
        <v>4.5350584986173165E-3</v>
      </c>
      <c r="W39" s="3">
        <f t="shared" si="27"/>
        <v>4.5350176832744983E-3</v>
      </c>
      <c r="X39" s="3">
        <f t="shared" si="27"/>
        <v>4.5346095500492746E-3</v>
      </c>
      <c r="Y39" s="3">
        <f t="shared" si="27"/>
        <v>4.5305302374202662E-3</v>
      </c>
      <c r="Z39" s="3">
        <f t="shared" si="27"/>
        <v>4.4899384025349834E-3</v>
      </c>
      <c r="AA39" s="3">
        <f t="shared" si="27"/>
        <v>4.1034947260236024E-3</v>
      </c>
      <c r="AB39" s="3">
        <f t="shared" si="27"/>
        <v>1.668356454506759E-3</v>
      </c>
      <c r="AC39" s="3">
        <f t="shared" si="27"/>
        <v>2.0589154319742642E-7</v>
      </c>
      <c r="AD39" s="3">
        <f t="shared" si="27"/>
        <v>1.6870779041326008E-46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9.3907034520623802E-4</v>
      </c>
      <c r="C41" s="18">
        <f t="shared" si="3"/>
        <v>1.6861233379433117E-3</v>
      </c>
      <c r="D41" s="17"/>
      <c r="F41" s="3">
        <f t="shared" si="28"/>
        <v>1.6861233379433117E-3</v>
      </c>
      <c r="G41" s="3">
        <f t="shared" si="28"/>
        <v>1.6861233379433117E-3</v>
      </c>
      <c r="H41" s="3">
        <f t="shared" si="28"/>
        <v>1.6861233379433117E-3</v>
      </c>
      <c r="I41" s="3">
        <f t="shared" si="28"/>
        <v>1.6861233379433117E-3</v>
      </c>
      <c r="J41" s="3">
        <f t="shared" si="28"/>
        <v>1.6861233379433117E-3</v>
      </c>
      <c r="K41" s="3">
        <f t="shared" si="28"/>
        <v>1.6861233379433117E-3</v>
      </c>
      <c r="L41" s="3">
        <f t="shared" si="28"/>
        <v>1.6861233379433117E-3</v>
      </c>
      <c r="M41" s="3">
        <f t="shared" si="28"/>
        <v>1.6861233379433117E-3</v>
      </c>
      <c r="N41" s="3">
        <f t="shared" si="28"/>
        <v>1.6861233379433114E-3</v>
      </c>
      <c r="O41" s="3">
        <f t="shared" si="28"/>
        <v>1.6861233379433099E-3</v>
      </c>
      <c r="P41" s="3">
        <f t="shared" si="27"/>
        <v>1.6861233379432948E-3</v>
      </c>
      <c r="Q41" s="3">
        <f t="shared" si="27"/>
        <v>1.686123337943143E-3</v>
      </c>
      <c r="R41" s="3">
        <f t="shared" si="27"/>
        <v>1.6861233379416255E-3</v>
      </c>
      <c r="S41" s="3">
        <f t="shared" si="27"/>
        <v>1.6861233379264504E-3</v>
      </c>
      <c r="T41" s="3">
        <f t="shared" si="27"/>
        <v>1.6861233377746994E-3</v>
      </c>
      <c r="U41" s="3">
        <f t="shared" si="27"/>
        <v>1.6861233362571884E-3</v>
      </c>
      <c r="V41" s="3">
        <f t="shared" si="27"/>
        <v>1.6861233210820783E-3</v>
      </c>
      <c r="W41" s="3">
        <f t="shared" si="27"/>
        <v>1.6861231693309864E-3</v>
      </c>
      <c r="X41" s="3">
        <f t="shared" si="27"/>
        <v>1.6861216518208168E-3</v>
      </c>
      <c r="Y41" s="3">
        <f t="shared" si="27"/>
        <v>1.6861064767942381E-3</v>
      </c>
      <c r="Z41" s="3">
        <f t="shared" si="27"/>
        <v>1.6859547340398529E-3</v>
      </c>
      <c r="AA41" s="3">
        <f t="shared" si="27"/>
        <v>1.6844380573860871E-3</v>
      </c>
      <c r="AB41" s="3">
        <f t="shared" si="27"/>
        <v>1.6693461304113681E-3</v>
      </c>
      <c r="AC41" s="3">
        <f t="shared" si="27"/>
        <v>1.5256674875947997E-3</v>
      </c>
      <c r="AD41" s="3">
        <f t="shared" si="27"/>
        <v>6.2029011130871248E-4</v>
      </c>
      <c r="AE41" s="3">
        <f t="shared" si="27"/>
        <v>7.654988111351287E-8</v>
      </c>
      <c r="AF41" s="3">
        <f t="shared" si="29"/>
        <v>6.272506922090975E-47</v>
      </c>
      <c r="AG41" s="3">
        <f t="shared" si="29"/>
        <v>0</v>
      </c>
      <c r="AH41" s="3">
        <f t="shared" si="29"/>
        <v>0</v>
      </c>
      <c r="AI41" s="3">
        <f t="shared" si="29"/>
        <v>0</v>
      </c>
      <c r="AJ41" s="3">
        <f t="shared" si="29"/>
        <v>0</v>
      </c>
    </row>
    <row r="42" spans="1:36" x14ac:dyDescent="0.25">
      <c r="A42" s="3">
        <f t="shared" si="30"/>
        <v>10000000000</v>
      </c>
      <c r="B42" s="106">
        <v>1.7776108106205173E-3</v>
      </c>
      <c r="C42" s="18">
        <f t="shared" si="3"/>
        <v>3.1917428644915027E-3</v>
      </c>
      <c r="D42" s="17"/>
      <c r="F42" s="3">
        <f t="shared" si="28"/>
        <v>3.1917428644915027E-3</v>
      </c>
      <c r="G42" s="3">
        <f t="shared" si="28"/>
        <v>3.1917428644915027E-3</v>
      </c>
      <c r="H42" s="3">
        <f t="shared" si="28"/>
        <v>3.1917428644915027E-3</v>
      </c>
      <c r="I42" s="3">
        <f t="shared" si="28"/>
        <v>3.1917428644915027E-3</v>
      </c>
      <c r="J42" s="3">
        <f t="shared" si="28"/>
        <v>3.1917428644915027E-3</v>
      </c>
      <c r="K42" s="3">
        <f t="shared" si="28"/>
        <v>3.1917428644915027E-3</v>
      </c>
      <c r="L42" s="3">
        <f t="shared" si="28"/>
        <v>3.1917428644915027E-3</v>
      </c>
      <c r="M42" s="3">
        <f t="shared" si="28"/>
        <v>3.1917428644915027E-3</v>
      </c>
      <c r="N42" s="3">
        <f t="shared" si="28"/>
        <v>3.1917428644915027E-3</v>
      </c>
      <c r="O42" s="3">
        <f t="shared" si="28"/>
        <v>3.1917428644915023E-3</v>
      </c>
      <c r="P42" s="3">
        <f t="shared" si="27"/>
        <v>3.1917428644914997E-3</v>
      </c>
      <c r="Q42" s="3">
        <f t="shared" si="27"/>
        <v>3.1917428644914706E-3</v>
      </c>
      <c r="R42" s="3">
        <f t="shared" si="27"/>
        <v>3.1917428644911835E-3</v>
      </c>
      <c r="S42" s="3">
        <f t="shared" si="27"/>
        <v>3.1917428644883112E-3</v>
      </c>
      <c r="T42" s="3">
        <f t="shared" si="27"/>
        <v>3.1917428644595851E-3</v>
      </c>
      <c r="U42" s="3">
        <f t="shared" si="27"/>
        <v>3.1917428641723283E-3</v>
      </c>
      <c r="V42" s="3">
        <f t="shared" si="27"/>
        <v>3.1917428612997598E-3</v>
      </c>
      <c r="W42" s="3">
        <f t="shared" si="27"/>
        <v>3.1917428325740744E-3</v>
      </c>
      <c r="X42" s="3">
        <f t="shared" si="27"/>
        <v>3.1917425453172324E-3</v>
      </c>
      <c r="Y42" s="3">
        <f t="shared" si="27"/>
        <v>3.1917396727502343E-3</v>
      </c>
      <c r="Z42" s="3">
        <f t="shared" si="27"/>
        <v>3.1917109472224445E-3</v>
      </c>
      <c r="AA42" s="3">
        <f t="shared" si="27"/>
        <v>3.191423706163236E-3</v>
      </c>
      <c r="AB42" s="3">
        <f t="shared" si="27"/>
        <v>3.1885527169666192E-3</v>
      </c>
      <c r="AC42" s="3">
        <f t="shared" si="27"/>
        <v>3.1599844923599057E-3</v>
      </c>
      <c r="AD42" s="3">
        <f t="shared" si="27"/>
        <v>2.8880083725411889E-3</v>
      </c>
      <c r="AE42" s="3">
        <f t="shared" si="27"/>
        <v>1.1741765813520727E-3</v>
      </c>
      <c r="AF42" s="3">
        <f t="shared" si="29"/>
        <v>1.4490490186782644E-7</v>
      </c>
      <c r="AG42" s="3">
        <f t="shared" si="29"/>
        <v>1.1873525951830766E-46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8.4728898755112927E-5</v>
      </c>
      <c r="C45" s="18">
        <f t="shared" si="3"/>
        <v>1.5213277079669291E-4</v>
      </c>
      <c r="D45" s="17"/>
      <c r="F45" s="3">
        <f t="shared" si="28"/>
        <v>1.5213277079669291E-4</v>
      </c>
      <c r="G45" s="3">
        <f t="shared" si="28"/>
        <v>1.5213277079669291E-4</v>
      </c>
      <c r="H45" s="3">
        <f t="shared" si="28"/>
        <v>1.5213277079669291E-4</v>
      </c>
      <c r="I45" s="3">
        <f t="shared" si="28"/>
        <v>1.5213277079669291E-4</v>
      </c>
      <c r="J45" s="3">
        <f t="shared" si="28"/>
        <v>1.5213277079669291E-4</v>
      </c>
      <c r="K45" s="3">
        <f t="shared" si="28"/>
        <v>1.5213277079669291E-4</v>
      </c>
      <c r="L45" s="3">
        <f t="shared" si="28"/>
        <v>1.5213277079669291E-4</v>
      </c>
      <c r="M45" s="3">
        <f t="shared" si="28"/>
        <v>1.5213277079669291E-4</v>
      </c>
      <c r="N45" s="3">
        <f t="shared" si="28"/>
        <v>1.5213277079669291E-4</v>
      </c>
      <c r="O45" s="3">
        <f t="shared" si="28"/>
        <v>1.5213277079669291E-4</v>
      </c>
      <c r="P45" s="3">
        <f t="shared" si="27"/>
        <v>1.5213277079669291E-4</v>
      </c>
      <c r="Q45" s="3">
        <f t="shared" si="27"/>
        <v>1.5213277079669291E-4</v>
      </c>
      <c r="R45" s="3">
        <f t="shared" si="27"/>
        <v>1.5213277079669288E-4</v>
      </c>
      <c r="S45" s="3">
        <f t="shared" si="27"/>
        <v>1.5213277079669275E-4</v>
      </c>
      <c r="T45" s="3">
        <f t="shared" si="27"/>
        <v>1.5213277079669139E-4</v>
      </c>
      <c r="U45" s="3">
        <f t="shared" si="27"/>
        <v>1.5213277079667771E-4</v>
      </c>
      <c r="V45" s="3">
        <f t="shared" si="27"/>
        <v>1.5213277079654077E-4</v>
      </c>
      <c r="W45" s="3">
        <f t="shared" si="27"/>
        <v>1.5213277079517159E-4</v>
      </c>
      <c r="X45" s="3">
        <f t="shared" si="27"/>
        <v>1.5213277078147963E-4</v>
      </c>
      <c r="Y45" s="3">
        <f t="shared" si="27"/>
        <v>1.5213277064456016E-4</v>
      </c>
      <c r="Z45" s="3">
        <f t="shared" si="27"/>
        <v>1.5213276927536522E-4</v>
      </c>
      <c r="AA45" s="3">
        <f t="shared" si="27"/>
        <v>1.5213275558341661E-4</v>
      </c>
      <c r="AB45" s="3">
        <f t="shared" si="27"/>
        <v>1.5213261866399818E-4</v>
      </c>
      <c r="AC45" s="3">
        <f t="shared" si="27"/>
        <v>1.5213124947659155E-4</v>
      </c>
      <c r="AD45" s="3">
        <f t="shared" si="27"/>
        <v>1.5211755828025173E-4</v>
      </c>
      <c r="AE45" s="3">
        <f t="shared" si="27"/>
        <v>1.519807140669325E-4</v>
      </c>
      <c r="AF45" s="3">
        <f t="shared" si="29"/>
        <v>1.5061902443506611E-4</v>
      </c>
      <c r="AG45" s="3">
        <f t="shared" si="29"/>
        <v>1.3765542352633603E-4</v>
      </c>
      <c r="AH45" s="3">
        <f t="shared" si="29"/>
        <v>5.5966518704550509E-5</v>
      </c>
      <c r="AI45" s="3">
        <f t="shared" si="29"/>
        <v>6.9068171087420648E-9</v>
      </c>
      <c r="AJ45" s="3">
        <f t="shared" si="29"/>
        <v>5.6594546580626157E-48</v>
      </c>
    </row>
    <row r="46" spans="1:36" x14ac:dyDescent="0.25">
      <c r="A46" s="3">
        <f t="shared" si="30"/>
        <v>100000000000000</v>
      </c>
      <c r="B46" s="106">
        <v>7.7897339488700908E-5</v>
      </c>
      <c r="C46" s="18">
        <f t="shared" si="3"/>
        <v>1.3986654220962105E-4</v>
      </c>
      <c r="D46" s="17"/>
      <c r="F46" s="3">
        <f t="shared" si="28"/>
        <v>1.3986654220962105E-4</v>
      </c>
      <c r="G46" s="3">
        <f t="shared" si="28"/>
        <v>1.3986654220962105E-4</v>
      </c>
      <c r="H46" s="3">
        <f t="shared" si="28"/>
        <v>1.3986654220962105E-4</v>
      </c>
      <c r="I46" s="3">
        <f t="shared" si="28"/>
        <v>1.3986654220962105E-4</v>
      </c>
      <c r="J46" s="3">
        <f t="shared" si="28"/>
        <v>1.3986654220962105E-4</v>
      </c>
      <c r="K46" s="3">
        <f t="shared" si="28"/>
        <v>1.3986654220962105E-4</v>
      </c>
      <c r="L46" s="3">
        <f t="shared" si="28"/>
        <v>1.3986654220962105E-4</v>
      </c>
      <c r="M46" s="3">
        <f t="shared" si="28"/>
        <v>1.3986654220962105E-4</v>
      </c>
      <c r="N46" s="3">
        <f t="shared" si="28"/>
        <v>1.3986654220962105E-4</v>
      </c>
      <c r="O46" s="3">
        <f t="shared" si="28"/>
        <v>1.3986654220962105E-4</v>
      </c>
      <c r="P46" s="3">
        <f t="shared" si="27"/>
        <v>1.3986654220962105E-4</v>
      </c>
      <c r="Q46" s="3">
        <f t="shared" si="27"/>
        <v>1.3986654220962105E-4</v>
      </c>
      <c r="R46" s="3">
        <f t="shared" si="27"/>
        <v>1.3986654220962105E-4</v>
      </c>
      <c r="S46" s="3">
        <f t="shared" si="27"/>
        <v>1.3986654220962103E-4</v>
      </c>
      <c r="T46" s="3">
        <f t="shared" si="27"/>
        <v>1.3986654220962092E-4</v>
      </c>
      <c r="U46" s="3">
        <f t="shared" si="27"/>
        <v>1.3986654220961964E-4</v>
      </c>
      <c r="V46" s="3">
        <f t="shared" si="27"/>
        <v>1.3986654220960707E-4</v>
      </c>
      <c r="W46" s="3">
        <f t="shared" si="27"/>
        <v>1.3986654220948119E-4</v>
      </c>
      <c r="X46" s="3">
        <f t="shared" si="27"/>
        <v>1.3986654220822238E-4</v>
      </c>
      <c r="Y46" s="3">
        <f t="shared" si="27"/>
        <v>1.3986654219563438E-4</v>
      </c>
      <c r="Z46" s="3">
        <f t="shared" si="27"/>
        <v>1.3986654206975453E-4</v>
      </c>
      <c r="AA46" s="3">
        <f t="shared" si="27"/>
        <v>1.3986654081095563E-4</v>
      </c>
      <c r="AB46" s="3">
        <f t="shared" si="27"/>
        <v>1.3986652822296753E-4</v>
      </c>
      <c r="AC46" s="3">
        <f t="shared" si="27"/>
        <v>1.3986640234314878E-4</v>
      </c>
      <c r="AD46" s="3">
        <f t="shared" si="27"/>
        <v>1.3986514355119226E-4</v>
      </c>
      <c r="AE46" s="3">
        <f t="shared" si="27"/>
        <v>1.3985255625470949E-4</v>
      </c>
      <c r="AF46" s="3">
        <f t="shared" si="29"/>
        <v>1.3972674557737727E-4</v>
      </c>
      <c r="AG46" s="3">
        <f t="shared" si="29"/>
        <v>1.3847484686170633E-4</v>
      </c>
      <c r="AH46" s="3">
        <f t="shared" si="29"/>
        <v>1.2655648092257105E-4</v>
      </c>
      <c r="AI46" s="3">
        <f t="shared" si="29"/>
        <v>5.1454025386657341E-5</v>
      </c>
      <c r="AJ46" s="3">
        <f t="shared" si="29"/>
        <v>6.3499311924384188E-9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4.7327488301222219E-4</v>
      </c>
      <c r="C48" s="18">
        <f t="shared" si="3"/>
        <v>8.4977640874607974E-4</v>
      </c>
      <c r="D48" s="17"/>
      <c r="F48" s="3">
        <f t="shared" si="28"/>
        <v>8.4977640874607974E-4</v>
      </c>
      <c r="G48" s="3">
        <f t="shared" si="28"/>
        <v>8.4977640874607974E-4</v>
      </c>
      <c r="H48" s="3">
        <f t="shared" si="28"/>
        <v>8.4977640874607974E-4</v>
      </c>
      <c r="I48" s="3">
        <f t="shared" si="28"/>
        <v>8.4977640874607974E-4</v>
      </c>
      <c r="J48" s="3">
        <f t="shared" si="28"/>
        <v>8.4977640874607974E-4</v>
      </c>
      <c r="K48" s="3">
        <f t="shared" si="28"/>
        <v>8.4977640874607974E-4</v>
      </c>
      <c r="L48" s="3">
        <f t="shared" si="28"/>
        <v>8.4977640874607974E-4</v>
      </c>
      <c r="M48" s="3">
        <f t="shared" si="28"/>
        <v>8.4977640874607974E-4</v>
      </c>
      <c r="N48" s="3">
        <f t="shared" si="28"/>
        <v>8.4977640874607974E-4</v>
      </c>
      <c r="O48" s="3">
        <f t="shared" si="28"/>
        <v>8.4977640874607974E-4</v>
      </c>
      <c r="P48" s="3">
        <f t="shared" si="27"/>
        <v>8.4977640874607974E-4</v>
      </c>
      <c r="Q48" s="3">
        <f t="shared" si="27"/>
        <v>8.4977640874607974E-4</v>
      </c>
      <c r="R48" s="3">
        <f t="shared" si="27"/>
        <v>8.4977640874607974E-4</v>
      </c>
      <c r="S48" s="3">
        <f t="shared" si="27"/>
        <v>8.4977640874607974E-4</v>
      </c>
      <c r="T48" s="3">
        <f t="shared" si="27"/>
        <v>8.4977640874607974E-4</v>
      </c>
      <c r="U48" s="3">
        <f t="shared" si="27"/>
        <v>8.4977640874607963E-4</v>
      </c>
      <c r="V48" s="3">
        <f t="shared" si="27"/>
        <v>8.4977640874607887E-4</v>
      </c>
      <c r="W48" s="3">
        <f t="shared" si="27"/>
        <v>8.4977640874607128E-4</v>
      </c>
      <c r="X48" s="3">
        <f t="shared" si="27"/>
        <v>8.4977640874599474E-4</v>
      </c>
      <c r="Y48" s="3">
        <f t="shared" si="27"/>
        <v>8.4977640874522994E-4</v>
      </c>
      <c r="Z48" s="3">
        <f t="shared" si="27"/>
        <v>8.4977640873758198E-4</v>
      </c>
      <c r="AA48" s="3">
        <f t="shared" si="27"/>
        <v>8.4977640866110214E-4</v>
      </c>
      <c r="AB48" s="3">
        <f t="shared" si="27"/>
        <v>8.4977640789630333E-4</v>
      </c>
      <c r="AC48" s="3">
        <f t="shared" si="27"/>
        <v>8.4977640024831572E-4</v>
      </c>
      <c r="AD48" s="3">
        <f t="shared" si="27"/>
        <v>8.4977632376844316E-4</v>
      </c>
      <c r="AE48" s="3">
        <f t="shared" si="27"/>
        <v>8.4977555897009589E-4</v>
      </c>
      <c r="AF48" s="3">
        <f t="shared" si="29"/>
        <v>8.4976791102448098E-4</v>
      </c>
      <c r="AG48" s="3">
        <f t="shared" si="29"/>
        <v>8.4969143535394557E-4</v>
      </c>
      <c r="AH48" s="3">
        <f t="shared" si="29"/>
        <v>8.489270570839441E-4</v>
      </c>
      <c r="AI48" s="3">
        <f t="shared" si="29"/>
        <v>8.4132099220302135E-4</v>
      </c>
      <c r="AJ48" s="3">
        <f t="shared" si="29"/>
        <v>7.6890949159767296E-4</v>
      </c>
    </row>
    <row r="49" spans="1:36" x14ac:dyDescent="0.25">
      <c r="B49" s="16">
        <f>SUM(B17:B48)</f>
        <v>0.55694048239181071</v>
      </c>
      <c r="C49" s="18">
        <f>SUM(C17:C48)</f>
        <v>1.0000000000000002</v>
      </c>
      <c r="F49" s="3">
        <f t="shared" ref="F49:AJ49" si="31">F16-F17</f>
        <v>92.894710063053935</v>
      </c>
      <c r="G49" s="3">
        <f t="shared" si="31"/>
        <v>-120.12001862287525</v>
      </c>
      <c r="H49" s="3">
        <f t="shared" si="31"/>
        <v>31.796383330020944</v>
      </c>
      <c r="I49" s="3">
        <f t="shared" si="31"/>
        <v>-5.2094447644185493</v>
      </c>
      <c r="J49" s="3">
        <f t="shared" si="31"/>
        <v>0.7254047031110531</v>
      </c>
      <c r="K49" s="3">
        <f t="shared" si="31"/>
        <v>-9.1473576853786653E-2</v>
      </c>
      <c r="L49" s="3">
        <f t="shared" si="31"/>
        <v>-6.5687658613569511E-2</v>
      </c>
      <c r="M49" s="3">
        <f t="shared" si="31"/>
        <v>0.30859852075354866</v>
      </c>
      <c r="N49" s="3">
        <f t="shared" si="31"/>
        <v>-0.73095332207594765</v>
      </c>
      <c r="O49" s="3">
        <f t="shared" si="31"/>
        <v>1.5040331441650778</v>
      </c>
      <c r="P49" s="3">
        <f t="shared" si="31"/>
        <v>-2.6041675255964947</v>
      </c>
      <c r="Q49" s="3">
        <f t="shared" si="31"/>
        <v>3.7553156827534622</v>
      </c>
      <c r="R49" s="3">
        <f t="shared" si="31"/>
        <v>-4.6189671370002543</v>
      </c>
      <c r="S49" s="3">
        <f t="shared" si="31"/>
        <v>4.856391458104099</v>
      </c>
      <c r="T49" s="3">
        <f t="shared" si="31"/>
        <v>-4.3714409101198726</v>
      </c>
      <c r="U49" s="3">
        <f t="shared" si="31"/>
        <v>3.3827480010113504</v>
      </c>
      <c r="V49" s="3">
        <f t="shared" si="31"/>
        <v>-2.2473224610384932</v>
      </c>
      <c r="W49" s="3">
        <f t="shared" si="31"/>
        <v>1.2864883975305474</v>
      </c>
      <c r="X49" s="3">
        <f t="shared" si="31"/>
        <v>-0.61348533791726823</v>
      </c>
      <c r="Y49" s="3">
        <f t="shared" si="31"/>
        <v>0.23854116482596055</v>
      </c>
      <c r="Z49" s="3">
        <f t="shared" si="31"/>
        <v>-0.10330205527372982</v>
      </c>
      <c r="AA49" s="3">
        <f t="shared" si="31"/>
        <v>3.9551606406917017E-2</v>
      </c>
      <c r="AB49" s="3">
        <f t="shared" si="31"/>
        <v>-8.3089322473597349E-3</v>
      </c>
      <c r="AC49" s="3">
        <f t="shared" si="31"/>
        <v>-0.60719140963146856</v>
      </c>
      <c r="AD49" s="3">
        <f t="shared" si="31"/>
        <v>1.537970048512193</v>
      </c>
      <c r="AE49" s="3">
        <f t="shared" si="31"/>
        <v>-2.1158073246796221</v>
      </c>
      <c r="AF49" s="3">
        <f t="shared" si="31"/>
        <v>1.527353306229827</v>
      </c>
      <c r="AG49" s="3">
        <f t="shared" si="31"/>
        <v>-0.45490526736915626</v>
      </c>
      <c r="AH49" s="3">
        <f t="shared" si="31"/>
        <v>0.22020231354548514</v>
      </c>
      <c r="AI49" s="3">
        <f t="shared" si="31"/>
        <v>-0.23715934826606144</v>
      </c>
      <c r="AJ49" s="3">
        <f t="shared" si="31"/>
        <v>0.1448441252007342</v>
      </c>
    </row>
    <row r="50" spans="1:36" x14ac:dyDescent="0.25">
      <c r="F50" s="57">
        <f t="shared" ref="F50:AJ50" si="32">F49/F17</f>
        <v>1.1147033872183146E-2</v>
      </c>
      <c r="G50" s="57">
        <f t="shared" si="32"/>
        <v>-1.4639400191275851E-2</v>
      </c>
      <c r="H50" s="57">
        <f t="shared" si="32"/>
        <v>4.1187876201392659E-3</v>
      </c>
      <c r="I50" s="57">
        <f t="shared" si="32"/>
        <v>-7.0540545346472658E-4</v>
      </c>
      <c r="J50" s="57">
        <f t="shared" si="32"/>
        <v>1.0329508742561532E-4</v>
      </c>
      <c r="K50" s="57">
        <f t="shared" si="32"/>
        <v>-1.3574129592170254E-5</v>
      </c>
      <c r="L50" s="57">
        <f t="shared" si="32"/>
        <v>-1.0179412463109606E-5</v>
      </c>
      <c r="M50" s="57">
        <f t="shared" si="32"/>
        <v>4.9948640179497348E-5</v>
      </c>
      <c r="N50" s="57">
        <f t="shared" si="32"/>
        <v>-1.2412870744067019E-4</v>
      </c>
      <c r="O50" s="57">
        <f t="shared" si="32"/>
        <v>2.6772977997987086E-4</v>
      </c>
      <c r="P50" s="57">
        <f t="shared" si="32"/>
        <v>-4.9293623824172737E-4</v>
      </c>
      <c r="Q50" s="57">
        <f t="shared" si="32"/>
        <v>7.6296070527707429E-4</v>
      </c>
      <c r="R50" s="57">
        <f t="shared" si="32"/>
        <v>-1.0217067051865091E-3</v>
      </c>
      <c r="S50" s="57">
        <f t="shared" si="32"/>
        <v>1.1991513054062704E-3</v>
      </c>
      <c r="T50" s="57">
        <f t="shared" si="32"/>
        <v>-1.2542340062294166E-3</v>
      </c>
      <c r="U50" s="57">
        <f t="shared" si="32"/>
        <v>1.2196911927147304E-3</v>
      </c>
      <c r="V50" s="57">
        <f t="shared" si="32"/>
        <v>-1.110441590211854E-3</v>
      </c>
      <c r="W50" s="57">
        <f t="shared" si="32"/>
        <v>9.0359870927618968E-4</v>
      </c>
      <c r="X50" s="57">
        <f t="shared" si="32"/>
        <v>-6.1291658553203217E-4</v>
      </c>
      <c r="Y50" s="57">
        <f t="shared" si="32"/>
        <v>3.1129296457548656E-4</v>
      </c>
      <c r="Z50" s="57">
        <f t="shared" si="32"/>
        <v>-1.619643447709326E-4</v>
      </c>
      <c r="AA50" s="57">
        <f t="shared" si="32"/>
        <v>6.8100800880667965E-5</v>
      </c>
      <c r="AB50" s="57">
        <f t="shared" si="32"/>
        <v>-1.536414244058685E-5</v>
      </c>
      <c r="AC50" s="57">
        <f t="shared" si="32"/>
        <v>-1.1665788895215037E-3</v>
      </c>
      <c r="AD50" s="57">
        <f t="shared" si="32"/>
        <v>3.0286420112390264E-3</v>
      </c>
      <c r="AE50" s="57">
        <f t="shared" si="32"/>
        <v>-4.3835198850589998E-3</v>
      </c>
      <c r="AF50" s="57">
        <f t="shared" si="32"/>
        <v>3.2495918290480069E-3</v>
      </c>
      <c r="AG50" s="57">
        <f t="shared" si="32"/>
        <v>-9.681751695193012E-4</v>
      </c>
      <c r="AH50" s="57">
        <f t="shared" si="32"/>
        <v>4.696725440804521E-4</v>
      </c>
      <c r="AI50" s="57">
        <f t="shared" si="32"/>
        <v>-5.0745664039770003E-4</v>
      </c>
      <c r="AJ50" s="57">
        <f t="shared" si="32"/>
        <v>3.1081418983686934E-4</v>
      </c>
    </row>
    <row r="51" spans="1:36" x14ac:dyDescent="0.25">
      <c r="A51" s="13" t="s">
        <v>21</v>
      </c>
      <c r="B51" s="3">
        <f>STUTT!D8</f>
        <v>10768.300999999999</v>
      </c>
      <c r="E51" s="11" t="s">
        <v>24</v>
      </c>
      <c r="F51" s="20">
        <f t="shared" ref="F51:AJ51" si="33">(F16-F17)^2</f>
        <v>8629.427157698854</v>
      </c>
      <c r="G51" s="20">
        <f t="shared" si="33"/>
        <v>14428.818873959897</v>
      </c>
      <c r="H51" s="20">
        <f t="shared" si="33"/>
        <v>1011.0099928696338</v>
      </c>
      <c r="I51" s="20">
        <f t="shared" si="33"/>
        <v>27.138314753527833</v>
      </c>
      <c r="J51" s="20">
        <f t="shared" si="33"/>
        <v>0.52621198329563512</v>
      </c>
      <c r="K51" s="20">
        <f t="shared" si="33"/>
        <v>8.3674152624256138E-3</v>
      </c>
      <c r="L51" s="20">
        <f t="shared" si="33"/>
        <v>4.314868494132853E-3</v>
      </c>
      <c r="M51" s="20">
        <f t="shared" si="33"/>
        <v>9.5233047011278396E-2</v>
      </c>
      <c r="N51" s="20">
        <f t="shared" si="33"/>
        <v>0.53429275905386409</v>
      </c>
      <c r="O51" s="20">
        <f t="shared" si="33"/>
        <v>2.2621156987470896</v>
      </c>
      <c r="P51" s="20">
        <f t="shared" si="33"/>
        <v>6.7816885013713701</v>
      </c>
      <c r="Q51" s="20">
        <f t="shared" si="33"/>
        <v>14.102395877134102</v>
      </c>
      <c r="R51" s="20">
        <f t="shared" si="33"/>
        <v>21.334857412688326</v>
      </c>
      <c r="S51" s="20">
        <f t="shared" si="33"/>
        <v>23.584537994346455</v>
      </c>
      <c r="T51" s="20">
        <f t="shared" si="33"/>
        <v>19.10949563066966</v>
      </c>
      <c r="U51" s="20">
        <f t="shared" si="33"/>
        <v>11.442984038346287</v>
      </c>
      <c r="V51" s="20">
        <f t="shared" si="33"/>
        <v>5.0504582438881096</v>
      </c>
      <c r="W51" s="20">
        <f t="shared" si="33"/>
        <v>1.6550523969807158</v>
      </c>
      <c r="X51" s="20">
        <f t="shared" si="33"/>
        <v>0.37636425983946481</v>
      </c>
      <c r="Y51" s="20">
        <f t="shared" si="33"/>
        <v>5.6901887316526081E-2</v>
      </c>
      <c r="Z51" s="20">
        <f t="shared" si="33"/>
        <v>1.0671314623776731E-2</v>
      </c>
      <c r="AA51" s="20">
        <f t="shared" si="33"/>
        <v>1.5643295693676792E-3</v>
      </c>
      <c r="AB51" s="20">
        <f t="shared" si="33"/>
        <v>6.9038355091214501E-5</v>
      </c>
      <c r="AC51" s="20">
        <f t="shared" si="33"/>
        <v>0.36868140793024984</v>
      </c>
      <c r="AD51" s="20">
        <f t="shared" si="33"/>
        <v>2.3653518701205973</v>
      </c>
      <c r="AE51" s="20">
        <f t="shared" si="33"/>
        <v>4.4766406351679393</v>
      </c>
      <c r="AF51" s="20">
        <f t="shared" si="33"/>
        <v>2.3328081220511838</v>
      </c>
      <c r="AG51" s="20">
        <f t="shared" si="33"/>
        <v>0.20693880228020356</v>
      </c>
      <c r="AH51" s="20">
        <f t="shared" si="33"/>
        <v>4.8489058890784149E-2</v>
      </c>
      <c r="AI51" s="20">
        <f t="shared" si="33"/>
        <v>5.6244556469983019E-2</v>
      </c>
      <c r="AJ51" s="20">
        <f t="shared" si="33"/>
        <v>2.0979820605165962E-2</v>
      </c>
    </row>
    <row r="52" spans="1:36" x14ac:dyDescent="0.25">
      <c r="A52" s="13"/>
    </row>
    <row r="53" spans="1:36" x14ac:dyDescent="0.25">
      <c r="E53" s="118" t="s">
        <v>25</v>
      </c>
      <c r="F53" s="118"/>
      <c r="G53" s="104">
        <f>SUM(F51:AJ51)</f>
        <v>24213.208050252415</v>
      </c>
      <c r="I53" s="3">
        <f>G53+C123</f>
        <v>24213.208050252415</v>
      </c>
      <c r="K53" s="3">
        <f>SUM(Z51:AJ51)</f>
        <v>9.8884389560643431</v>
      </c>
    </row>
    <row r="55" spans="1:36" x14ac:dyDescent="0.25">
      <c r="E55" s="30" t="s">
        <v>30</v>
      </c>
      <c r="F55" s="31">
        <f t="shared" ref="F55:AJ55" si="34">ABS(F17-F16)/F16</f>
        <v>1.1024147328500414E-2</v>
      </c>
      <c r="G55" s="31">
        <f t="shared" si="34"/>
        <v>1.4856896240947342E-2</v>
      </c>
      <c r="H55" s="31">
        <f t="shared" si="34"/>
        <v>4.1018927948765901E-3</v>
      </c>
      <c r="I55" s="31">
        <f t="shared" si="34"/>
        <v>7.059034015738161E-4</v>
      </c>
      <c r="J55" s="31">
        <f t="shared" si="34"/>
        <v>1.0328441865256091E-4</v>
      </c>
      <c r="K55" s="31">
        <f t="shared" si="34"/>
        <v>1.3574313851665601E-5</v>
      </c>
      <c r="L55" s="31">
        <f t="shared" si="34"/>
        <v>1.0179516084602506E-5</v>
      </c>
      <c r="M55" s="31">
        <f t="shared" si="34"/>
        <v>4.9946145437450541E-5</v>
      </c>
      <c r="N55" s="31">
        <f t="shared" si="34"/>
        <v>1.2414411728948571E-4</v>
      </c>
      <c r="O55" s="31">
        <f t="shared" si="34"/>
        <v>2.6765811993031209E-4</v>
      </c>
      <c r="P55" s="31">
        <f t="shared" si="34"/>
        <v>4.9317934421244192E-4</v>
      </c>
      <c r="Q55" s="31">
        <f t="shared" si="34"/>
        <v>7.6237904002700676E-4</v>
      </c>
      <c r="R55" s="31">
        <f t="shared" si="34"/>
        <v>1.0227516574126282E-3</v>
      </c>
      <c r="S55" s="31">
        <f t="shared" si="34"/>
        <v>1.1977150638239813E-3</v>
      </c>
      <c r="T55" s="31">
        <f t="shared" si="34"/>
        <v>1.2558090846887652E-3</v>
      </c>
      <c r="U55" s="31">
        <f t="shared" si="34"/>
        <v>1.2182053583682107E-3</v>
      </c>
      <c r="V55" s="31">
        <f t="shared" si="34"/>
        <v>1.1116760415232035E-3</v>
      </c>
      <c r="W55" s="31">
        <f t="shared" si="34"/>
        <v>9.0278295576260608E-4</v>
      </c>
      <c r="X55" s="31">
        <f t="shared" si="34"/>
        <v>6.1329248266644054E-4</v>
      </c>
      <c r="Y55" s="31">
        <f t="shared" si="34"/>
        <v>3.111960914216236E-4</v>
      </c>
      <c r="Z55" s="31">
        <f t="shared" si="34"/>
        <v>1.6199058146931935E-4</v>
      </c>
      <c r="AA55" s="31">
        <f t="shared" si="34"/>
        <v>6.8096163477398251E-5</v>
      </c>
      <c r="AB55" s="31">
        <f t="shared" si="34"/>
        <v>1.5364378501086651E-5</v>
      </c>
      <c r="AC55" s="31">
        <f t="shared" si="34"/>
        <v>1.1679413852857766E-3</v>
      </c>
      <c r="AD55" s="31">
        <f t="shared" si="34"/>
        <v>3.0194970356640025E-3</v>
      </c>
      <c r="AE55" s="31">
        <f t="shared" si="34"/>
        <v>4.4028197329085347E-3</v>
      </c>
      <c r="AF55" s="31">
        <f t="shared" si="34"/>
        <v>3.239066186036118E-3</v>
      </c>
      <c r="AG55" s="31">
        <f t="shared" si="34"/>
        <v>9.6911344108941138E-4</v>
      </c>
      <c r="AH55" s="31">
        <f t="shared" si="34"/>
        <v>4.6945205533929714E-4</v>
      </c>
      <c r="AI55" s="31">
        <f t="shared" si="34"/>
        <v>5.0771428338222701E-4</v>
      </c>
      <c r="AJ55" s="31">
        <f t="shared" si="34"/>
        <v>3.1071761439328366E-4</v>
      </c>
    </row>
    <row r="56" spans="1:36" x14ac:dyDescent="0.25">
      <c r="E56" s="13" t="s">
        <v>31</v>
      </c>
      <c r="F56" s="32">
        <f>AVERAGE(F55:AJ55)</f>
        <v>1.7573673024063739E-3</v>
      </c>
    </row>
    <row r="57" spans="1:36" x14ac:dyDescent="0.25">
      <c r="A57" s="42"/>
      <c r="B57" s="15"/>
      <c r="C57" s="15"/>
      <c r="D57" s="15"/>
      <c r="F57" s="60">
        <f>AVERAGE(S55:X55)</f>
        <v>1.0499134978055346E-3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-22.869278143205829</v>
      </c>
    </row>
    <row r="119" spans="1:14" x14ac:dyDescent="0.25">
      <c r="L119" s="11">
        <f>L118+1</f>
        <v>2</v>
      </c>
      <c r="M119" s="11">
        <f t="shared" ref="M119:M124" si="35">INDEX($B$125:$K$126,1,L119)</f>
        <v>0</v>
      </c>
      <c r="N119" s="11">
        <f t="shared" ref="N119:N124" si="36">IF(L119=$B$3,0,INDEX($B$125:$K$126,2,L119))</f>
        <v>-19.023716525364829</v>
      </c>
    </row>
    <row r="120" spans="1:14" x14ac:dyDescent="0.25">
      <c r="L120" s="11">
        <f t="shared" ref="L120:L124" si="37">L119+1</f>
        <v>3</v>
      </c>
      <c r="M120" s="11">
        <f t="shared" si="35"/>
        <v>25</v>
      </c>
      <c r="N120" s="11">
        <f t="shared" si="36"/>
        <v>-16.53105789690397</v>
      </c>
    </row>
    <row r="121" spans="1:14" x14ac:dyDescent="0.25">
      <c r="A121" s="103">
        <f>(A165+A204+A243+A282+A321+A360+A399)*10^9</f>
        <v>6740770993245142</v>
      </c>
      <c r="L121" s="11">
        <f t="shared" si="37"/>
        <v>4</v>
      </c>
      <c r="M121" s="11">
        <f t="shared" si="35"/>
        <v>50</v>
      </c>
      <c r="N121" s="11">
        <f t="shared" si="36"/>
        <v>-14.281547476415687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-10.921386422257637</v>
      </c>
    </row>
    <row r="123" spans="1:14" x14ac:dyDescent="0.25">
      <c r="A123" s="118"/>
      <c r="B123" s="118"/>
      <c r="C123" s="3"/>
      <c r="D123" s="3"/>
      <c r="E123" s="3"/>
      <c r="F123" s="3"/>
      <c r="G123" s="3"/>
      <c r="H123" s="3"/>
      <c r="I123" s="3"/>
      <c r="J123" s="3"/>
      <c r="K123" s="3"/>
      <c r="L123" s="11">
        <f t="shared" si="37"/>
        <v>6</v>
      </c>
      <c r="M123" s="11">
        <f t="shared" si="35"/>
        <v>125</v>
      </c>
      <c r="N123" s="11">
        <f t="shared" si="36"/>
        <v>-5.4295324985427138</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-22.869278143205829</v>
      </c>
      <c r="C126" s="107">
        <v>-19.023716525364829</v>
      </c>
      <c r="D126" s="107">
        <v>-16.53105789690397</v>
      </c>
      <c r="E126" s="107">
        <v>-14.281547476415687</v>
      </c>
      <c r="F126" s="107">
        <v>-10.921386422257637</v>
      </c>
      <c r="G126" s="107">
        <v>-5.4295324985427138</v>
      </c>
      <c r="H126" s="107">
        <v>3.5821070577816841E-4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10768.272714186825</v>
      </c>
      <c r="C131" s="27">
        <f t="shared" ref="C131:AF131" si="40">($C$17+SUM(C132:C162))*$B$51</f>
        <v>10768.018156753757</v>
      </c>
      <c r="D131" s="27">
        <f t="shared" si="40"/>
        <v>10765.474055514405</v>
      </c>
      <c r="E131" s="27">
        <f t="shared" si="40"/>
        <v>10740.179780181979</v>
      </c>
      <c r="F131" s="27">
        <f t="shared" si="40"/>
        <v>10501.355011755177</v>
      </c>
      <c r="G131" s="27">
        <f t="shared" si="40"/>
        <v>9100.7004255501197</v>
      </c>
      <c r="H131" s="27">
        <f t="shared" si="40"/>
        <v>8349.6722939495285</v>
      </c>
      <c r="I131" s="27">
        <f t="shared" si="40"/>
        <v>8349.6350078259438</v>
      </c>
      <c r="J131" s="27">
        <f t="shared" si="40"/>
        <v>8349.4637828381074</v>
      </c>
      <c r="K131" s="27">
        <f t="shared" si="40"/>
        <v>8347.7539545304026</v>
      </c>
      <c r="L131" s="27">
        <f t="shared" si="40"/>
        <v>8330.8954392695759</v>
      </c>
      <c r="M131" s="27">
        <f t="shared" si="40"/>
        <v>8184.066742022057</v>
      </c>
      <c r="N131" s="27">
        <f t="shared" si="40"/>
        <v>7692.5188342183565</v>
      </c>
      <c r="O131" s="27">
        <f t="shared" si="40"/>
        <v>7362.5138870027304</v>
      </c>
      <c r="P131" s="27">
        <f t="shared" si="40"/>
        <v>6999.235647292161</v>
      </c>
      <c r="Q131" s="27">
        <f t="shared" si="40"/>
        <v>6719.2295913813177</v>
      </c>
      <c r="R131" s="27">
        <f t="shared" si="40"/>
        <v>6431.9077817634234</v>
      </c>
      <c r="S131" s="27">
        <f t="shared" si="40"/>
        <v>6157.5487213166671</v>
      </c>
      <c r="T131" s="27">
        <f t="shared" si="40"/>
        <v>5866.3835036953733</v>
      </c>
      <c r="U131" s="27">
        <f t="shared" si="40"/>
        <v>5596.6300569179557</v>
      </c>
      <c r="V131" s="27">
        <f t="shared" si="40"/>
        <v>5254.1126504401454</v>
      </c>
      <c r="W131" s="27">
        <f t="shared" si="40"/>
        <v>4894.6737357690372</v>
      </c>
      <c r="X131" s="27">
        <f t="shared" si="40"/>
        <v>4487.3211897760302</v>
      </c>
      <c r="Y131" s="27">
        <f t="shared" si="40"/>
        <v>4012.6571506516975</v>
      </c>
      <c r="Z131" s="27">
        <f t="shared" si="40"/>
        <v>3439.2250245438199</v>
      </c>
      <c r="AA131" s="27">
        <f t="shared" si="40"/>
        <v>2718.2171765969588</v>
      </c>
      <c r="AB131" s="27">
        <f t="shared" si="40"/>
        <v>1980.3944120874003</v>
      </c>
      <c r="AC131" s="27">
        <f t="shared" si="40"/>
        <v>1392.2279111880641</v>
      </c>
      <c r="AD131" s="27">
        <f t="shared" si="40"/>
        <v>983.9141791220012</v>
      </c>
      <c r="AE131" s="27">
        <f t="shared" si="40"/>
        <v>756.86219246291739</v>
      </c>
      <c r="AF131" s="27">
        <f t="shared" si="40"/>
        <v>633.47748544912486</v>
      </c>
    </row>
    <row r="132" spans="1:33" x14ac:dyDescent="0.25">
      <c r="B132" s="3">
        <f t="shared" ref="B132:Z133" si="41">$C18*EXP(-B$129/$A18/EXP(-$B$126))</f>
        <v>0.22460541162841005</v>
      </c>
      <c r="C132" s="3">
        <f t="shared" ref="C132:AF132" si="42">$C18*EXP(-C$129/$A18/EXP(-$B$126))</f>
        <v>0.22458177211313801</v>
      </c>
      <c r="D132" s="3">
        <f t="shared" si="42"/>
        <v>0.22434551375928072</v>
      </c>
      <c r="E132" s="3">
        <f t="shared" si="42"/>
        <v>0.2219965569814282</v>
      </c>
      <c r="F132" s="3">
        <f t="shared" si="42"/>
        <v>0.19981805813545345</v>
      </c>
      <c r="G132" s="3">
        <f t="shared" si="42"/>
        <v>6.9746061173893134E-2</v>
      </c>
      <c r="H132" s="3">
        <f t="shared" si="42"/>
        <v>1.872273149105683E-6</v>
      </c>
      <c r="I132" s="3">
        <f t="shared" si="42"/>
        <v>3.6380145787159962E-52</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5.6074298002259687E-2</v>
      </c>
      <c r="C133" s="3">
        <f t="shared" si="41"/>
        <v>5.6074298000747848E-2</v>
      </c>
      <c r="D133" s="3">
        <f t="shared" si="41"/>
        <v>5.6074297985629407E-2</v>
      </c>
      <c r="E133" s="3">
        <f t="shared" si="41"/>
        <v>5.6074297834445008E-2</v>
      </c>
      <c r="F133" s="3">
        <f t="shared" si="41"/>
        <v>5.6074296322601101E-2</v>
      </c>
      <c r="G133" s="3">
        <f t="shared" si="41"/>
        <v>5.6074281204164217E-2</v>
      </c>
      <c r="H133" s="3">
        <f t="shared" si="41"/>
        <v>5.6074130020019597E-2</v>
      </c>
      <c r="I133" s="3">
        <f t="shared" si="41"/>
        <v>5.6072618200991929E-2</v>
      </c>
      <c r="J133" s="3">
        <f t="shared" si="41"/>
        <v>5.6057502252348929E-2</v>
      </c>
      <c r="K133" s="3">
        <f t="shared" si="41"/>
        <v>5.5906566705823189E-2</v>
      </c>
      <c r="L133" s="3">
        <f t="shared" si="41"/>
        <v>5.4419383436462965E-2</v>
      </c>
      <c r="M133" s="3">
        <f t="shared" si="41"/>
        <v>4.1558662480906013E-2</v>
      </c>
      <c r="N133" s="3">
        <f t="shared" si="41"/>
        <v>2.8037611281212086E-3</v>
      </c>
      <c r="O133" s="3">
        <f t="shared" si="41"/>
        <v>5.4769086219154864E-15</v>
      </c>
      <c r="P133" s="3">
        <f t="shared" si="41"/>
        <v>4.4307815964202901E-132</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2.8569534303418027E-2</v>
      </c>
      <c r="C134" s="3">
        <f t="shared" si="44"/>
        <v>2.8569534303348541E-2</v>
      </c>
      <c r="D134" s="3">
        <f t="shared" si="44"/>
        <v>2.8569534302653687E-2</v>
      </c>
      <c r="E134" s="3">
        <f t="shared" si="44"/>
        <v>2.8569534295705159E-2</v>
      </c>
      <c r="F134" s="3">
        <f t="shared" si="44"/>
        <v>2.856953422621987E-2</v>
      </c>
      <c r="G134" s="3">
        <f t="shared" si="44"/>
        <v>2.8569533531366986E-2</v>
      </c>
      <c r="H134" s="3">
        <f t="shared" si="44"/>
        <v>2.8569526582839101E-2</v>
      </c>
      <c r="I134" s="3">
        <f t="shared" si="44"/>
        <v>2.8569457097653163E-2</v>
      </c>
      <c r="J134" s="3">
        <f t="shared" si="44"/>
        <v>2.8568762255088601E-2</v>
      </c>
      <c r="K134" s="3">
        <f t="shared" si="44"/>
        <v>2.8561814758841217E-2</v>
      </c>
      <c r="L134" s="3">
        <f t="shared" si="44"/>
        <v>2.8492432652609333E-2</v>
      </c>
      <c r="M134" s="3">
        <f t="shared" si="44"/>
        <v>2.7807814194530135E-2</v>
      </c>
      <c r="N134" s="3">
        <f t="shared" si="44"/>
        <v>2.1804196038466665E-2</v>
      </c>
      <c r="O134" s="3">
        <f t="shared" si="44"/>
        <v>1.9154566577632894E-3</v>
      </c>
      <c r="P134" s="3">
        <f t="shared" si="44"/>
        <v>5.2431809075830611E-14</v>
      </c>
      <c r="Q134" s="3">
        <f t="shared" si="44"/>
        <v>1.2382831832298249E-119</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3.8494837122573441E-2</v>
      </c>
      <c r="C135" s="3">
        <f t="shared" si="47"/>
        <v>3.8494837122564997E-2</v>
      </c>
      <c r="D135" s="3">
        <f t="shared" si="47"/>
        <v>3.8494837122480544E-2</v>
      </c>
      <c r="E135" s="3">
        <f t="shared" si="47"/>
        <v>3.8494837121635969E-2</v>
      </c>
      <c r="F135" s="3">
        <f t="shared" si="47"/>
        <v>3.8494837113190211E-2</v>
      </c>
      <c r="G135" s="3">
        <f t="shared" si="47"/>
        <v>3.8494837028732597E-2</v>
      </c>
      <c r="H135" s="3">
        <f t="shared" si="47"/>
        <v>3.8494836184156514E-2</v>
      </c>
      <c r="I135" s="3">
        <f t="shared" si="47"/>
        <v>3.8494827738396679E-2</v>
      </c>
      <c r="J135" s="3">
        <f t="shared" si="47"/>
        <v>3.8494743280900294E-2</v>
      </c>
      <c r="K135" s="3">
        <f t="shared" si="47"/>
        <v>3.8493898716127802E-2</v>
      </c>
      <c r="L135" s="3">
        <f t="shared" si="47"/>
        <v>3.8485454087460215E-2</v>
      </c>
      <c r="M135" s="3">
        <f t="shared" si="47"/>
        <v>3.8401109623837464E-2</v>
      </c>
      <c r="N135" s="3">
        <f t="shared" si="47"/>
        <v>3.7567765117916256E-2</v>
      </c>
      <c r="O135" s="3">
        <f t="shared" si="47"/>
        <v>3.0166937373652964E-2</v>
      </c>
      <c r="P135" s="3">
        <f t="shared" si="47"/>
        <v>3.3627132829698518E-3</v>
      </c>
      <c r="Q135" s="3">
        <f t="shared" si="47"/>
        <v>9.9603824912742085E-13</v>
      </c>
      <c r="R135" s="3">
        <f t="shared" si="47"/>
        <v>5.1777107407371396E-108</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2.5401059495138562E-2</v>
      </c>
      <c r="C136" s="3">
        <f t="shared" si="49"/>
        <v>2.5401059495138059E-2</v>
      </c>
      <c r="D136" s="3">
        <f t="shared" si="49"/>
        <v>2.5401059495133032E-2</v>
      </c>
      <c r="E136" s="3">
        <f t="shared" si="49"/>
        <v>2.5401059495082756E-2</v>
      </c>
      <c r="F136" s="3">
        <f t="shared" si="49"/>
        <v>2.540105949458003E-2</v>
      </c>
      <c r="G136" s="3">
        <f t="shared" si="49"/>
        <v>2.5401059489552732E-2</v>
      </c>
      <c r="H136" s="3">
        <f t="shared" si="49"/>
        <v>2.5401059439279741E-2</v>
      </c>
      <c r="I136" s="3">
        <f t="shared" si="49"/>
        <v>2.5401058936549838E-2</v>
      </c>
      <c r="J136" s="3">
        <f t="shared" si="49"/>
        <v>2.5401053909251375E-2</v>
      </c>
      <c r="K136" s="3">
        <f t="shared" si="49"/>
        <v>2.540100363632148E-2</v>
      </c>
      <c r="L136" s="3">
        <f t="shared" si="49"/>
        <v>2.5400500912494923E-2</v>
      </c>
      <c r="M136" s="3">
        <f t="shared" si="49"/>
        <v>2.5395474221427919E-2</v>
      </c>
      <c r="N136" s="3">
        <f t="shared" si="49"/>
        <v>2.5345261990566574E-2</v>
      </c>
      <c r="O136" s="3">
        <f t="shared" si="49"/>
        <v>2.484856783230574E-2</v>
      </c>
      <c r="P136" s="3">
        <f t="shared" si="49"/>
        <v>2.0386709913831798E-2</v>
      </c>
      <c r="Q136" s="3">
        <f t="shared" si="49"/>
        <v>2.8171174105340985E-3</v>
      </c>
      <c r="R136" s="3">
        <f t="shared" si="49"/>
        <v>7.1512669724867591E-12</v>
      </c>
      <c r="S136" s="3">
        <f t="shared" si="49"/>
        <v>7.946272052621233E-98</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2.8782781461156082E-2</v>
      </c>
      <c r="C137" s="3">
        <f t="shared" si="51"/>
        <v>2.878278146115603E-2</v>
      </c>
      <c r="D137" s="3">
        <f t="shared" si="51"/>
        <v>2.8782781461155517E-2</v>
      </c>
      <c r="E137" s="3">
        <f t="shared" si="51"/>
        <v>2.8782781461150379E-2</v>
      </c>
      <c r="F137" s="3">
        <f t="shared" si="51"/>
        <v>2.8782781461098993E-2</v>
      </c>
      <c r="G137" s="3">
        <f t="shared" si="51"/>
        <v>2.8782781460585112E-2</v>
      </c>
      <c r="H137" s="3">
        <f t="shared" si="51"/>
        <v>2.8782781455446306E-2</v>
      </c>
      <c r="I137" s="3">
        <f t="shared" si="51"/>
        <v>2.8782781404058242E-2</v>
      </c>
      <c r="J137" s="3">
        <f t="shared" si="51"/>
        <v>2.8782780890177623E-2</v>
      </c>
      <c r="K137" s="3">
        <f t="shared" si="51"/>
        <v>2.8782775751371965E-2</v>
      </c>
      <c r="L137" s="3">
        <f t="shared" si="51"/>
        <v>2.8782724363365812E-2</v>
      </c>
      <c r="M137" s="3">
        <f t="shared" si="51"/>
        <v>2.8782210488350352E-2</v>
      </c>
      <c r="N137" s="3">
        <f t="shared" si="51"/>
        <v>2.8777072242767019E-2</v>
      </c>
      <c r="O137" s="3">
        <f t="shared" si="51"/>
        <v>2.8725740210747194E-2</v>
      </c>
      <c r="P137" s="3">
        <f t="shared" si="51"/>
        <v>2.821742912096881E-2</v>
      </c>
      <c r="Q137" s="3">
        <f t="shared" si="51"/>
        <v>2.360367281965179E-2</v>
      </c>
      <c r="R137" s="3">
        <f t="shared" si="51"/>
        <v>3.9591414531111495E-3</v>
      </c>
      <c r="S137" s="3">
        <f t="shared" si="51"/>
        <v>6.9793558827730259E-11</v>
      </c>
      <c r="T137" s="3">
        <f t="shared" si="51"/>
        <v>2.0228263251085285E-88</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2.570129602770134E-2</v>
      </c>
      <c r="C138" s="3">
        <f t="shared" si="53"/>
        <v>2.5701296027701333E-2</v>
      </c>
      <c r="D138" s="3">
        <f t="shared" si="53"/>
        <v>2.5701296027701295E-2</v>
      </c>
      <c r="E138" s="3">
        <f t="shared" si="53"/>
        <v>2.5701296027700882E-2</v>
      </c>
      <c r="F138" s="3">
        <f t="shared" si="53"/>
        <v>2.5701296027696739E-2</v>
      </c>
      <c r="G138" s="3">
        <f t="shared" si="53"/>
        <v>2.5701296027655349E-2</v>
      </c>
      <c r="H138" s="3">
        <f t="shared" si="53"/>
        <v>2.5701296027241412E-2</v>
      </c>
      <c r="I138" s="3">
        <f t="shared" si="53"/>
        <v>2.5701296023102074E-2</v>
      </c>
      <c r="J138" s="3">
        <f t="shared" si="53"/>
        <v>2.5701295981708675E-2</v>
      </c>
      <c r="K138" s="3">
        <f t="shared" si="53"/>
        <v>2.5701295567774684E-2</v>
      </c>
      <c r="L138" s="3">
        <f t="shared" si="53"/>
        <v>2.5701291428435132E-2</v>
      </c>
      <c r="M138" s="3">
        <f t="shared" si="53"/>
        <v>2.5701250035076294E-2</v>
      </c>
      <c r="N138" s="3">
        <f t="shared" si="53"/>
        <v>2.5700836105154546E-2</v>
      </c>
      <c r="O138" s="3">
        <f t="shared" si="53"/>
        <v>2.5696697172578137E-2</v>
      </c>
      <c r="P138" s="3">
        <f t="shared" si="53"/>
        <v>2.5655344489081265E-2</v>
      </c>
      <c r="Q138" s="3">
        <f t="shared" si="53"/>
        <v>2.5245460139237931E-2</v>
      </c>
      <c r="R138" s="3">
        <f t="shared" si="53"/>
        <v>2.1490063239572095E-2</v>
      </c>
      <c r="S138" s="3">
        <f t="shared" si="53"/>
        <v>4.2932059280947439E-3</v>
      </c>
      <c r="T138" s="3">
        <f t="shared" si="53"/>
        <v>4.3473238017856959E-10</v>
      </c>
      <c r="U138" s="3">
        <f t="shared" si="53"/>
        <v>4.9274777837570225E-80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2.9863008376267462E-2</v>
      </c>
      <c r="C139" s="3">
        <f t="shared" si="55"/>
        <v>2.9863008376267462E-2</v>
      </c>
      <c r="D139" s="3">
        <f t="shared" si="55"/>
        <v>2.9863008376267458E-2</v>
      </c>
      <c r="E139" s="3">
        <f t="shared" si="55"/>
        <v>2.9863008376267413E-2</v>
      </c>
      <c r="F139" s="3">
        <f t="shared" si="55"/>
        <v>2.9863008376266979E-2</v>
      </c>
      <c r="G139" s="3">
        <f t="shared" si="55"/>
        <v>2.9863008376262642E-2</v>
      </c>
      <c r="H139" s="3">
        <f t="shared" si="55"/>
        <v>2.9863008376219254E-2</v>
      </c>
      <c r="I139" s="3">
        <f t="shared" si="55"/>
        <v>2.9863008375785385E-2</v>
      </c>
      <c r="J139" s="3">
        <f t="shared" si="55"/>
        <v>2.9863008371446724E-2</v>
      </c>
      <c r="K139" s="3">
        <f t="shared" si="55"/>
        <v>2.9863008328060062E-2</v>
      </c>
      <c r="L139" s="3">
        <f t="shared" si="55"/>
        <v>2.9863007894193466E-2</v>
      </c>
      <c r="M139" s="3">
        <f t="shared" si="55"/>
        <v>2.9863003555527845E-2</v>
      </c>
      <c r="N139" s="3">
        <f t="shared" si="55"/>
        <v>2.9862960168906317E-2</v>
      </c>
      <c r="O139" s="3">
        <f t="shared" si="55"/>
        <v>2.9862526306157908E-2</v>
      </c>
      <c r="P139" s="3">
        <f t="shared" si="55"/>
        <v>2.9858188025343325E-2</v>
      </c>
      <c r="Q139" s="3">
        <f t="shared" si="55"/>
        <v>2.98148398655191E-2</v>
      </c>
      <c r="R139" s="3">
        <f t="shared" si="55"/>
        <v>2.9384804546157363E-2</v>
      </c>
      <c r="S139" s="3">
        <f t="shared" si="55"/>
        <v>2.541125174212926E-2</v>
      </c>
      <c r="T139" s="3">
        <f t="shared" si="55"/>
        <v>5.9437232776400209E-3</v>
      </c>
      <c r="U139" s="3">
        <f t="shared" si="55"/>
        <v>2.9132906345077949E-9</v>
      </c>
      <c r="V139" s="3">
        <f t="shared" si="55"/>
        <v>2.3315037710776878E-72</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2.3136710280310717E-2</v>
      </c>
      <c r="C140" s="3">
        <f t="shared" si="57"/>
        <v>2.3136710280310717E-2</v>
      </c>
      <c r="D140" s="3">
        <f t="shared" si="57"/>
        <v>2.3136710280310717E-2</v>
      </c>
      <c r="E140" s="3">
        <f t="shared" si="57"/>
        <v>2.3136710280310713E-2</v>
      </c>
      <c r="F140" s="3">
        <f t="shared" si="57"/>
        <v>2.3136710280310682E-2</v>
      </c>
      <c r="G140" s="3">
        <f t="shared" si="57"/>
        <v>2.313671028031038E-2</v>
      </c>
      <c r="H140" s="3">
        <f t="shared" si="57"/>
        <v>2.3136710280307348E-2</v>
      </c>
      <c r="I140" s="3">
        <f t="shared" si="57"/>
        <v>2.3136710280277025E-2</v>
      </c>
      <c r="J140" s="3">
        <f t="shared" si="57"/>
        <v>2.3136710279973795E-2</v>
      </c>
      <c r="K140" s="3">
        <f t="shared" si="57"/>
        <v>2.3136710276941502E-2</v>
      </c>
      <c r="L140" s="3">
        <f t="shared" si="57"/>
        <v>2.3136710246618595E-2</v>
      </c>
      <c r="M140" s="3">
        <f t="shared" si="57"/>
        <v>2.3136709943389511E-2</v>
      </c>
      <c r="N140" s="3">
        <f t="shared" si="57"/>
        <v>2.3136706911098856E-2</v>
      </c>
      <c r="O140" s="3">
        <f t="shared" si="57"/>
        <v>2.313667658821417E-2</v>
      </c>
      <c r="P140" s="3">
        <f t="shared" si="57"/>
        <v>2.3136373361553077E-2</v>
      </c>
      <c r="Q140" s="3">
        <f t="shared" si="57"/>
        <v>2.3133341313506549E-2</v>
      </c>
      <c r="R140" s="3">
        <f t="shared" si="57"/>
        <v>2.3103042678885383E-2</v>
      </c>
      <c r="S140" s="3">
        <f t="shared" si="57"/>
        <v>2.2802230360611513E-2</v>
      </c>
      <c r="T140" s="3">
        <f t="shared" si="57"/>
        <v>2.000132714424746E-2</v>
      </c>
      <c r="U140" s="3">
        <f t="shared" si="57"/>
        <v>5.3935369417223511E-3</v>
      </c>
      <c r="V140" s="3">
        <f t="shared" si="57"/>
        <v>1.0965339982787664E-8</v>
      </c>
      <c r="W140" s="3">
        <f t="shared" si="57"/>
        <v>1.3228376316053008E-65</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3.7322629147916536E-2</v>
      </c>
      <c r="C141" s="3">
        <f t="shared" si="59"/>
        <v>3.7322629147916536E-2</v>
      </c>
      <c r="D141" s="3">
        <f t="shared" si="59"/>
        <v>3.7322629147916536E-2</v>
      </c>
      <c r="E141" s="3">
        <f t="shared" si="59"/>
        <v>3.7322629147916536E-2</v>
      </c>
      <c r="F141" s="3">
        <f t="shared" si="59"/>
        <v>3.7322629147916529E-2</v>
      </c>
      <c r="G141" s="3">
        <f t="shared" si="59"/>
        <v>3.7322629147916488E-2</v>
      </c>
      <c r="H141" s="3">
        <f t="shared" si="59"/>
        <v>3.732262914791605E-2</v>
      </c>
      <c r="I141" s="3">
        <f t="shared" si="59"/>
        <v>3.7322629147911637E-2</v>
      </c>
      <c r="J141" s="3">
        <f t="shared" si="59"/>
        <v>3.7322629147867506E-2</v>
      </c>
      <c r="K141" s="3">
        <f t="shared" si="59"/>
        <v>3.7322629147426255E-2</v>
      </c>
      <c r="L141" s="3">
        <f t="shared" si="59"/>
        <v>3.7322629143013722E-2</v>
      </c>
      <c r="M141" s="3">
        <f t="shared" si="59"/>
        <v>3.732262909888838E-2</v>
      </c>
      <c r="N141" s="3">
        <f t="shared" si="59"/>
        <v>3.7322628657634978E-2</v>
      </c>
      <c r="O141" s="3">
        <f t="shared" si="59"/>
        <v>3.7322624245101195E-2</v>
      </c>
      <c r="P141" s="3">
        <f t="shared" si="59"/>
        <v>3.7322580119792115E-2</v>
      </c>
      <c r="Q141" s="3">
        <f t="shared" si="59"/>
        <v>3.7322138869570518E-2</v>
      </c>
      <c r="R141" s="3">
        <f t="shared" si="59"/>
        <v>3.7317726654264451E-2</v>
      </c>
      <c r="S141" s="3">
        <f t="shared" si="59"/>
        <v>3.7273633179644904E-2</v>
      </c>
      <c r="T141" s="3">
        <f t="shared" si="59"/>
        <v>3.6835553772069797E-2</v>
      </c>
      <c r="U141" s="3">
        <f t="shared" si="59"/>
        <v>3.2728188441164117E-2</v>
      </c>
      <c r="V141" s="3">
        <f t="shared" si="59"/>
        <v>1.003389622531547E-2</v>
      </c>
      <c r="W141" s="3">
        <f t="shared" si="59"/>
        <v>7.3611553818012239E-8</v>
      </c>
      <c r="X141" s="3">
        <f t="shared" si="59"/>
        <v>3.3243732963201934E-59</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3.2712076759715769E-2</v>
      </c>
      <c r="C142" s="3">
        <f t="shared" si="61"/>
        <v>3.2712076759715769E-2</v>
      </c>
      <c r="D142" s="3">
        <f t="shared" si="61"/>
        <v>3.2712076759715769E-2</v>
      </c>
      <c r="E142" s="3">
        <f t="shared" si="61"/>
        <v>3.2712076759715769E-2</v>
      </c>
      <c r="F142" s="3">
        <f t="shared" si="61"/>
        <v>3.2712076759715769E-2</v>
      </c>
      <c r="G142" s="3">
        <f t="shared" si="61"/>
        <v>3.2712076759715762E-2</v>
      </c>
      <c r="H142" s="3">
        <f t="shared" si="61"/>
        <v>3.2712076759715727E-2</v>
      </c>
      <c r="I142" s="3">
        <f t="shared" si="61"/>
        <v>3.2712076759715381E-2</v>
      </c>
      <c r="J142" s="3">
        <f t="shared" si="61"/>
        <v>3.2712076759711897E-2</v>
      </c>
      <c r="K142" s="3">
        <f t="shared" si="61"/>
        <v>3.2712076759677002E-2</v>
      </c>
      <c r="L142" s="3">
        <f t="shared" si="61"/>
        <v>3.2712076759328128E-2</v>
      </c>
      <c r="M142" s="3">
        <f t="shared" si="61"/>
        <v>3.2712076755839377E-2</v>
      </c>
      <c r="N142" s="3">
        <f t="shared" si="61"/>
        <v>3.2712076720951819E-2</v>
      </c>
      <c r="O142" s="3">
        <f t="shared" si="61"/>
        <v>3.2712076372076251E-2</v>
      </c>
      <c r="P142" s="3">
        <f t="shared" si="61"/>
        <v>3.2712072883320842E-2</v>
      </c>
      <c r="Q142" s="3">
        <f t="shared" si="61"/>
        <v>3.2712037995787119E-2</v>
      </c>
      <c r="R142" s="3">
        <f t="shared" si="61"/>
        <v>3.2711689122496328E-2</v>
      </c>
      <c r="S142" s="3">
        <f t="shared" si="61"/>
        <v>3.2708200594221928E-2</v>
      </c>
      <c r="T142" s="3">
        <f t="shared" si="61"/>
        <v>3.2673335766750668E-2</v>
      </c>
      <c r="U142" s="3">
        <f t="shared" si="61"/>
        <v>3.2326724970510548E-2</v>
      </c>
      <c r="V142" s="3">
        <f t="shared" si="61"/>
        <v>2.9056549081581878E-2</v>
      </c>
      <c r="W142" s="3">
        <f t="shared" si="61"/>
        <v>1.0001549486610447E-2</v>
      </c>
      <c r="X142" s="3">
        <f t="shared" si="61"/>
        <v>2.3350696098617956E-7</v>
      </c>
      <c r="Y142" s="3">
        <f t="shared" si="61"/>
        <v>1.1236350222407479E-53</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4.2271951558424573E-2</v>
      </c>
      <c r="C143" s="3">
        <f t="shared" si="63"/>
        <v>4.2271951558424573E-2</v>
      </c>
      <c r="D143" s="3">
        <f t="shared" si="63"/>
        <v>4.2271951558424573E-2</v>
      </c>
      <c r="E143" s="3">
        <f t="shared" si="63"/>
        <v>4.2271951558424573E-2</v>
      </c>
      <c r="F143" s="3">
        <f t="shared" si="63"/>
        <v>4.2271951558424573E-2</v>
      </c>
      <c r="G143" s="3">
        <f t="shared" si="63"/>
        <v>4.2271951558424573E-2</v>
      </c>
      <c r="H143" s="3">
        <f t="shared" si="63"/>
        <v>4.2271951558424566E-2</v>
      </c>
      <c r="I143" s="3">
        <f t="shared" si="63"/>
        <v>4.2271951558424524E-2</v>
      </c>
      <c r="J143" s="3">
        <f t="shared" si="63"/>
        <v>4.2271951558424121E-2</v>
      </c>
      <c r="K143" s="3">
        <f t="shared" si="63"/>
        <v>4.2271951558420055E-2</v>
      </c>
      <c r="L143" s="3">
        <f t="shared" si="63"/>
        <v>4.2271951558379386E-2</v>
      </c>
      <c r="M143" s="3">
        <f t="shared" si="63"/>
        <v>4.2271951557972698E-2</v>
      </c>
      <c r="N143" s="3">
        <f t="shared" si="63"/>
        <v>4.2271951553905819E-2</v>
      </c>
      <c r="O143" s="3">
        <f t="shared" si="63"/>
        <v>4.2271951513237017E-2</v>
      </c>
      <c r="P143" s="3">
        <f t="shared" si="63"/>
        <v>4.2271951106549056E-2</v>
      </c>
      <c r="Q143" s="3">
        <f t="shared" si="63"/>
        <v>4.2271947039669605E-2</v>
      </c>
      <c r="R143" s="3">
        <f t="shared" si="63"/>
        <v>4.2271906370896624E-2</v>
      </c>
      <c r="S143" s="3">
        <f t="shared" si="63"/>
        <v>4.2271499685318716E-2</v>
      </c>
      <c r="T143" s="3">
        <f t="shared" si="63"/>
        <v>4.2267433044726632E-2</v>
      </c>
      <c r="U143" s="3">
        <f t="shared" si="63"/>
        <v>4.2226788149839448E-2</v>
      </c>
      <c r="V143" s="3">
        <f t="shared" si="63"/>
        <v>4.1822482666770702E-2</v>
      </c>
      <c r="W143" s="3">
        <f t="shared" si="63"/>
        <v>3.79863367648249E-2</v>
      </c>
      <c r="X143" s="3">
        <f t="shared" si="63"/>
        <v>1.4514546028808662E-2</v>
      </c>
      <c r="Y143" s="3">
        <f t="shared" si="63"/>
        <v>9.6286164080138962E-7</v>
      </c>
      <c r="Z143" s="3">
        <f t="shared" si="63"/>
        <v>1.5891619892992399E-48</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4.6527520280984086E-2</v>
      </c>
      <c r="C144" s="3">
        <f t="shared" si="65"/>
        <v>4.6527520280984086E-2</v>
      </c>
      <c r="D144" s="3">
        <f t="shared" si="65"/>
        <v>4.6527520280984086E-2</v>
      </c>
      <c r="E144" s="3">
        <f t="shared" si="65"/>
        <v>4.6527520280984086E-2</v>
      </c>
      <c r="F144" s="3">
        <f t="shared" si="65"/>
        <v>4.6527520280984086E-2</v>
      </c>
      <c r="G144" s="3">
        <f t="shared" si="65"/>
        <v>4.6527520280984086E-2</v>
      </c>
      <c r="H144" s="3">
        <f t="shared" si="65"/>
        <v>4.6527520280984086E-2</v>
      </c>
      <c r="I144" s="3">
        <f t="shared" si="65"/>
        <v>4.6527520280984079E-2</v>
      </c>
      <c r="J144" s="3">
        <f t="shared" si="65"/>
        <v>4.6527520280984037E-2</v>
      </c>
      <c r="K144" s="3">
        <f t="shared" si="65"/>
        <v>4.6527520280983635E-2</v>
      </c>
      <c r="L144" s="3">
        <f t="shared" si="65"/>
        <v>4.6527520280979597E-2</v>
      </c>
      <c r="M144" s="3">
        <f t="shared" si="65"/>
        <v>4.6527520280939219E-2</v>
      </c>
      <c r="N144" s="3">
        <f t="shared" si="65"/>
        <v>4.6527520280535417E-2</v>
      </c>
      <c r="O144" s="3">
        <f t="shared" si="65"/>
        <v>4.6527520276497425E-2</v>
      </c>
      <c r="P144" s="3">
        <f t="shared" si="65"/>
        <v>4.6527520236117503E-2</v>
      </c>
      <c r="Q144" s="3">
        <f t="shared" si="65"/>
        <v>4.6527519832318238E-2</v>
      </c>
      <c r="R144" s="3">
        <f t="shared" si="65"/>
        <v>4.6527515794325798E-2</v>
      </c>
      <c r="S144" s="3">
        <f t="shared" si="65"/>
        <v>4.6527475414420663E-2</v>
      </c>
      <c r="T144" s="3">
        <f t="shared" si="65"/>
        <v>4.6527071617296772E-2</v>
      </c>
      <c r="U144" s="3">
        <f t="shared" si="65"/>
        <v>4.6523033838796288E-2</v>
      </c>
      <c r="V144" s="3">
        <f t="shared" si="65"/>
        <v>4.6482675321447696E-2</v>
      </c>
      <c r="W144" s="3">
        <f t="shared" si="65"/>
        <v>4.6081010740834517E-2</v>
      </c>
      <c r="X144" s="3">
        <f t="shared" si="65"/>
        <v>4.2250397519956025E-2</v>
      </c>
      <c r="Y144" s="3">
        <f t="shared" si="65"/>
        <v>1.7738579163027707E-2</v>
      </c>
      <c r="Z144" s="3">
        <f t="shared" si="65"/>
        <v>3.0185553294735806E-6</v>
      </c>
      <c r="AA144" s="3">
        <f t="shared" ref="AA144" si="66">$C30*EXP(-AA$129/$A30/EXP(-$B$126))</f>
        <v>6.1461371037689191E-44</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5.951973770461929E-2</v>
      </c>
      <c r="C145" s="3">
        <f t="shared" si="68"/>
        <v>5.951973770461929E-2</v>
      </c>
      <c r="D145" s="3">
        <f t="shared" si="68"/>
        <v>5.951973770461929E-2</v>
      </c>
      <c r="E145" s="3">
        <f t="shared" si="68"/>
        <v>5.951973770461929E-2</v>
      </c>
      <c r="F145" s="3">
        <f t="shared" si="68"/>
        <v>5.951973770461929E-2</v>
      </c>
      <c r="G145" s="3">
        <f t="shared" si="68"/>
        <v>5.951973770461929E-2</v>
      </c>
      <c r="H145" s="3">
        <f t="shared" si="68"/>
        <v>5.951973770461929E-2</v>
      </c>
      <c r="I145" s="3">
        <f t="shared" si="68"/>
        <v>5.951973770461929E-2</v>
      </c>
      <c r="J145" s="3">
        <f t="shared" si="68"/>
        <v>5.9519737704619283E-2</v>
      </c>
      <c r="K145" s="3">
        <f t="shared" si="68"/>
        <v>5.9519737704619234E-2</v>
      </c>
      <c r="L145" s="3">
        <f t="shared" si="68"/>
        <v>5.9519737704618776E-2</v>
      </c>
      <c r="M145" s="3">
        <f t="shared" si="68"/>
        <v>5.9519737704614106E-2</v>
      </c>
      <c r="N145" s="3">
        <f t="shared" si="68"/>
        <v>5.9519737704567519E-2</v>
      </c>
      <c r="O145" s="3">
        <f t="shared" si="68"/>
        <v>5.9519737704101537E-2</v>
      </c>
      <c r="P145" s="3">
        <f t="shared" si="68"/>
        <v>5.9519737699441778E-2</v>
      </c>
      <c r="Q145" s="3">
        <f t="shared" si="68"/>
        <v>5.9519737652844219E-2</v>
      </c>
      <c r="R145" s="3">
        <f t="shared" si="68"/>
        <v>5.9519737186868579E-2</v>
      </c>
      <c r="S145" s="3">
        <f t="shared" si="68"/>
        <v>5.951973252711236E-2</v>
      </c>
      <c r="T145" s="3">
        <f t="shared" si="68"/>
        <v>5.9519685929570264E-2</v>
      </c>
      <c r="U145" s="3">
        <f t="shared" si="68"/>
        <v>5.9519219956155743E-2</v>
      </c>
      <c r="V145" s="3">
        <f t="shared" si="68"/>
        <v>5.9514560422648945E-2</v>
      </c>
      <c r="W145" s="3">
        <f t="shared" si="68"/>
        <v>5.9467985145614091E-2</v>
      </c>
      <c r="X145" s="3">
        <f t="shared" si="68"/>
        <v>5.9004232380504541E-2</v>
      </c>
      <c r="Y145" s="3">
        <f t="shared" si="68"/>
        <v>5.4561031160197178E-2</v>
      </c>
      <c r="Z145" s="3">
        <f t="shared" si="68"/>
        <v>2.493886116373006E-2</v>
      </c>
      <c r="AA145" s="3">
        <f t="shared" ref="AA145" si="69">$C31*EXP(-AA$129/$A31/EXP(-$B$126))</f>
        <v>9.9269788556153187E-6</v>
      </c>
      <c r="AB145" s="3">
        <f t="shared" si="67"/>
        <v>9.9133831156170833E-40</v>
      </c>
      <c r="AC145" s="3">
        <f t="shared" si="67"/>
        <v>0</v>
      </c>
      <c r="AD145" s="3">
        <f t="shared" si="67"/>
        <v>0</v>
      </c>
      <c r="AE145" s="3">
        <f t="shared" si="67"/>
        <v>0</v>
      </c>
      <c r="AF145" s="3">
        <f t="shared" si="67"/>
        <v>0</v>
      </c>
    </row>
    <row r="146" spans="1:32" x14ac:dyDescent="0.25">
      <c r="B146" s="3">
        <f t="shared" ref="B146:Z146" si="70">$C32*EXP(-B$129/$A32/EXP(-$B$126))</f>
        <v>8.0489091133812765E-2</v>
      </c>
      <c r="C146" s="3">
        <f t="shared" si="70"/>
        <v>8.0489091133812765E-2</v>
      </c>
      <c r="D146" s="3">
        <f t="shared" si="70"/>
        <v>8.0489091133812765E-2</v>
      </c>
      <c r="E146" s="3">
        <f t="shared" si="70"/>
        <v>8.0489091133812765E-2</v>
      </c>
      <c r="F146" s="3">
        <f t="shared" si="70"/>
        <v>8.0489091133812765E-2</v>
      </c>
      <c r="G146" s="3">
        <f t="shared" si="70"/>
        <v>8.0489091133812765E-2</v>
      </c>
      <c r="H146" s="3">
        <f t="shared" si="70"/>
        <v>8.0489091133812765E-2</v>
      </c>
      <c r="I146" s="3">
        <f t="shared" si="70"/>
        <v>8.0489091133812765E-2</v>
      </c>
      <c r="J146" s="3">
        <f t="shared" si="70"/>
        <v>8.0489091133812765E-2</v>
      </c>
      <c r="K146" s="3">
        <f t="shared" si="70"/>
        <v>8.0489091133812751E-2</v>
      </c>
      <c r="L146" s="3">
        <f t="shared" si="70"/>
        <v>8.0489091133812696E-2</v>
      </c>
      <c r="M146" s="3">
        <f t="shared" si="70"/>
        <v>8.0489091133812127E-2</v>
      </c>
      <c r="N146" s="3">
        <f t="shared" si="70"/>
        <v>8.0489091133806451E-2</v>
      </c>
      <c r="O146" s="3">
        <f t="shared" si="70"/>
        <v>8.0489091133749607E-2</v>
      </c>
      <c r="P146" s="3">
        <f t="shared" si="70"/>
        <v>8.0489091133181159E-2</v>
      </c>
      <c r="Q146" s="3">
        <f t="shared" si="70"/>
        <v>8.0489091127496748E-2</v>
      </c>
      <c r="R146" s="3">
        <f t="shared" si="70"/>
        <v>8.0489091070652594E-2</v>
      </c>
      <c r="S146" s="3">
        <f t="shared" si="70"/>
        <v>8.0489090502211036E-2</v>
      </c>
      <c r="T146" s="3">
        <f t="shared" si="70"/>
        <v>8.0489084817795681E-2</v>
      </c>
      <c r="U146" s="3">
        <f t="shared" si="70"/>
        <v>8.0489027973664182E-2</v>
      </c>
      <c r="V146" s="3">
        <f t="shared" si="70"/>
        <v>8.0488459534557216E-2</v>
      </c>
      <c r="W146" s="3">
        <f t="shared" si="70"/>
        <v>8.0482775364280223E-2</v>
      </c>
      <c r="X146" s="3">
        <f t="shared" si="70"/>
        <v>8.0425955735011503E-2</v>
      </c>
      <c r="Y146" s="3">
        <f t="shared" si="70"/>
        <v>7.9859961035374002E-2</v>
      </c>
      <c r="Z146" s="3">
        <f t="shared" si="70"/>
        <v>7.4414527498077213E-2</v>
      </c>
      <c r="AA146" s="3">
        <f t="shared" ref="AA146" si="71">$C32*EXP(-AA$129/$A32/EXP(-$B$126))</f>
        <v>3.6723500697379258E-2</v>
      </c>
      <c r="AB146" s="3">
        <f t="shared" si="67"/>
        <v>3.1463535988401103E-5</v>
      </c>
      <c r="AC146" s="3">
        <f t="shared" si="67"/>
        <v>6.7056684296968319E-36</v>
      </c>
      <c r="AD146" s="3">
        <f t="shared" si="67"/>
        <v>0</v>
      </c>
      <c r="AE146" s="3">
        <f t="shared" si="67"/>
        <v>0</v>
      </c>
      <c r="AF146" s="3">
        <f t="shared" si="67"/>
        <v>0</v>
      </c>
    </row>
    <row r="147" spans="1:32" x14ac:dyDescent="0.25">
      <c r="B147" s="3">
        <f t="shared" ref="B147:Z147" si="72">$C33*EXP(-B$129/$A33/EXP(-$B$126))</f>
        <v>6.5723461611377515E-2</v>
      </c>
      <c r="C147" s="3">
        <f t="shared" si="72"/>
        <v>6.5723461611377515E-2</v>
      </c>
      <c r="D147" s="3">
        <f t="shared" si="72"/>
        <v>6.5723461611377515E-2</v>
      </c>
      <c r="E147" s="3">
        <f t="shared" si="72"/>
        <v>6.5723461611377515E-2</v>
      </c>
      <c r="F147" s="3">
        <f t="shared" si="72"/>
        <v>6.5723461611377515E-2</v>
      </c>
      <c r="G147" s="3">
        <f t="shared" si="72"/>
        <v>6.5723461611377515E-2</v>
      </c>
      <c r="H147" s="3">
        <f t="shared" si="72"/>
        <v>6.5723461611377515E-2</v>
      </c>
      <c r="I147" s="3">
        <f t="shared" si="72"/>
        <v>6.5723461611377515E-2</v>
      </c>
      <c r="J147" s="3">
        <f t="shared" si="72"/>
        <v>6.5723461611377515E-2</v>
      </c>
      <c r="K147" s="3">
        <f t="shared" si="72"/>
        <v>6.5723461611377515E-2</v>
      </c>
      <c r="L147" s="3">
        <f t="shared" si="72"/>
        <v>6.5723461611377501E-2</v>
      </c>
      <c r="M147" s="3">
        <f t="shared" si="72"/>
        <v>6.5723461611377473E-2</v>
      </c>
      <c r="N147" s="3">
        <f t="shared" si="72"/>
        <v>6.5723461611377043E-2</v>
      </c>
      <c r="O147" s="3">
        <f t="shared" si="72"/>
        <v>6.5723461611372866E-2</v>
      </c>
      <c r="P147" s="3">
        <f t="shared" si="72"/>
        <v>6.5723461611330997E-2</v>
      </c>
      <c r="Q147" s="3">
        <f t="shared" si="72"/>
        <v>6.5723461610912276E-2</v>
      </c>
      <c r="R147" s="3">
        <f t="shared" si="72"/>
        <v>6.5723461606725153E-2</v>
      </c>
      <c r="S147" s="3">
        <f t="shared" si="72"/>
        <v>6.5723461564853911E-2</v>
      </c>
      <c r="T147" s="3">
        <f t="shared" si="72"/>
        <v>6.5723461146141526E-2</v>
      </c>
      <c r="U147" s="3">
        <f t="shared" si="72"/>
        <v>6.5723456959017712E-2</v>
      </c>
      <c r="V147" s="3">
        <f t="shared" si="72"/>
        <v>6.5723415087794293E-2</v>
      </c>
      <c r="W147" s="3">
        <f t="shared" si="72"/>
        <v>6.5722996377027193E-2</v>
      </c>
      <c r="X147" s="3">
        <f t="shared" si="72"/>
        <v>6.5718809416067198E-2</v>
      </c>
      <c r="Y147" s="3">
        <f t="shared" si="72"/>
        <v>6.567695447410439E-2</v>
      </c>
      <c r="Z147" s="3">
        <f t="shared" si="72"/>
        <v>6.5259868366616111E-2</v>
      </c>
      <c r="AA147" s="3">
        <f t="shared" ref="AA147" si="73">$C33*EXP(-AA$129/$A33/EXP(-$B$126))</f>
        <v>6.123194717339904E-2</v>
      </c>
      <c r="AB147" s="3">
        <f t="shared" si="67"/>
        <v>3.2381490687246543E-2</v>
      </c>
      <c r="AC147" s="3">
        <f t="shared" si="67"/>
        <v>5.5396778854796402E-5</v>
      </c>
      <c r="AD147" s="3">
        <f t="shared" si="67"/>
        <v>1.189491278203517E-32</v>
      </c>
      <c r="AE147" s="3">
        <f t="shared" si="67"/>
        <v>0</v>
      </c>
      <c r="AF147" s="3">
        <f t="shared" si="67"/>
        <v>0</v>
      </c>
    </row>
    <row r="148" spans="1:32" x14ac:dyDescent="0.25">
      <c r="B148" s="3">
        <f t="shared" ref="B148:Z148" si="74">$C34*EXP(-B$129/$A34/EXP(-$B$126))</f>
        <v>5.0766006496314589E-2</v>
      </c>
      <c r="C148" s="3">
        <f t="shared" si="74"/>
        <v>5.0766006496314589E-2</v>
      </c>
      <c r="D148" s="3">
        <f t="shared" si="74"/>
        <v>5.0766006496314589E-2</v>
      </c>
      <c r="E148" s="3">
        <f t="shared" si="74"/>
        <v>5.0766006496314589E-2</v>
      </c>
      <c r="F148" s="3">
        <f t="shared" si="74"/>
        <v>5.0766006496314589E-2</v>
      </c>
      <c r="G148" s="3">
        <f t="shared" si="74"/>
        <v>5.0766006496314589E-2</v>
      </c>
      <c r="H148" s="3">
        <f t="shared" si="74"/>
        <v>5.0766006496314589E-2</v>
      </c>
      <c r="I148" s="3">
        <f t="shared" si="74"/>
        <v>5.0766006496314589E-2</v>
      </c>
      <c r="J148" s="3">
        <f t="shared" si="74"/>
        <v>5.0766006496314589E-2</v>
      </c>
      <c r="K148" s="3">
        <f t="shared" si="74"/>
        <v>5.0766006496314589E-2</v>
      </c>
      <c r="L148" s="3">
        <f t="shared" si="74"/>
        <v>5.0766006496314589E-2</v>
      </c>
      <c r="M148" s="3">
        <f t="shared" si="74"/>
        <v>5.0766006496314582E-2</v>
      </c>
      <c r="N148" s="3">
        <f t="shared" si="74"/>
        <v>5.0766006496314554E-2</v>
      </c>
      <c r="O148" s="3">
        <f t="shared" si="74"/>
        <v>5.0766006496314263E-2</v>
      </c>
      <c r="P148" s="3">
        <f t="shared" si="74"/>
        <v>5.0766006496311349E-2</v>
      </c>
      <c r="Q148" s="3">
        <f t="shared" si="74"/>
        <v>5.0766006496282171E-2</v>
      </c>
      <c r="R148" s="3">
        <f t="shared" si="74"/>
        <v>5.0766006495990418E-2</v>
      </c>
      <c r="S148" s="3">
        <f t="shared" si="74"/>
        <v>5.076600649307289E-2</v>
      </c>
      <c r="T148" s="3">
        <f t="shared" si="74"/>
        <v>5.076600646389761E-2</v>
      </c>
      <c r="U148" s="3">
        <f t="shared" si="74"/>
        <v>5.0766006172144849E-2</v>
      </c>
      <c r="V148" s="3">
        <f t="shared" si="74"/>
        <v>5.0766003254617297E-2</v>
      </c>
      <c r="W148" s="3">
        <f t="shared" si="74"/>
        <v>5.0765974079350927E-2</v>
      </c>
      <c r="X148" s="3">
        <f t="shared" si="74"/>
        <v>5.0765682327609488E-2</v>
      </c>
      <c r="Y148" s="3">
        <f t="shared" si="74"/>
        <v>5.0762764902411744E-2</v>
      </c>
      <c r="Z148" s="3">
        <f t="shared" si="74"/>
        <v>5.0733599870139777E-2</v>
      </c>
      <c r="AA148" s="3">
        <f>$C34*EXP(-AA$129/$A34/EXP(-$B$126))</f>
        <v>5.0442869560506899E-2</v>
      </c>
      <c r="AB148" s="3">
        <f t="shared" si="67"/>
        <v>4.7625641172204726E-2</v>
      </c>
      <c r="AC148" s="3">
        <f t="shared" si="67"/>
        <v>2.6807193312110181E-2</v>
      </c>
      <c r="AD148" s="3">
        <f t="shared" si="67"/>
        <v>8.5576880706113461E-5</v>
      </c>
      <c r="AE148" s="3">
        <f t="shared" si="67"/>
        <v>9.4060550051343117E-30</v>
      </c>
      <c r="AF148" s="3">
        <f t="shared" si="67"/>
        <v>2.4205727060650368E-279</v>
      </c>
    </row>
    <row r="149" spans="1:32" x14ac:dyDescent="0.25">
      <c r="B149" s="3">
        <f t="shared" ref="B149:Z149" si="75">$C35*EXP(-B$129/$A35/EXP(-$B$126))</f>
        <v>2.7257633093652572E-2</v>
      </c>
      <c r="C149" s="3">
        <f t="shared" si="75"/>
        <v>2.7257633093652572E-2</v>
      </c>
      <c r="D149" s="3">
        <f t="shared" si="75"/>
        <v>2.7257633093652572E-2</v>
      </c>
      <c r="E149" s="3">
        <f t="shared" si="75"/>
        <v>2.7257633093652572E-2</v>
      </c>
      <c r="F149" s="3">
        <f t="shared" si="75"/>
        <v>2.7257633093652572E-2</v>
      </c>
      <c r="G149" s="3">
        <f t="shared" si="75"/>
        <v>2.7257633093652572E-2</v>
      </c>
      <c r="H149" s="3">
        <f t="shared" si="75"/>
        <v>2.7257633093652572E-2</v>
      </c>
      <c r="I149" s="3">
        <f t="shared" si="75"/>
        <v>2.7257633093652572E-2</v>
      </c>
      <c r="J149" s="3">
        <f t="shared" si="75"/>
        <v>2.7257633093652572E-2</v>
      </c>
      <c r="K149" s="3">
        <f t="shared" si="75"/>
        <v>2.7257633093652572E-2</v>
      </c>
      <c r="L149" s="3">
        <f t="shared" si="75"/>
        <v>2.7257633093652572E-2</v>
      </c>
      <c r="M149" s="3">
        <f t="shared" si="75"/>
        <v>2.7257633093652572E-2</v>
      </c>
      <c r="N149" s="3">
        <f t="shared" si="75"/>
        <v>2.7257633093652568E-2</v>
      </c>
      <c r="O149" s="3">
        <f t="shared" si="75"/>
        <v>2.7257633093652558E-2</v>
      </c>
      <c r="P149" s="3">
        <f t="shared" si="75"/>
        <v>2.7257633093652416E-2</v>
      </c>
      <c r="Q149" s="3">
        <f t="shared" si="75"/>
        <v>2.7257633093651E-2</v>
      </c>
      <c r="R149" s="3">
        <f t="shared" si="75"/>
        <v>2.7257633093636872E-2</v>
      </c>
      <c r="S149" s="3">
        <f t="shared" si="75"/>
        <v>2.7257633093495558E-2</v>
      </c>
      <c r="T149" s="3">
        <f t="shared" si="75"/>
        <v>2.7257633092082446E-2</v>
      </c>
      <c r="U149" s="3">
        <f t="shared" si="75"/>
        <v>2.7257633077951322E-2</v>
      </c>
      <c r="V149" s="3">
        <f t="shared" si="75"/>
        <v>2.7257632936640082E-2</v>
      </c>
      <c r="W149" s="3">
        <f t="shared" si="75"/>
        <v>2.7257631523527705E-2</v>
      </c>
      <c r="X149" s="3">
        <f t="shared" si="75"/>
        <v>2.7257617392407982E-2</v>
      </c>
      <c r="Y149" s="3">
        <f t="shared" si="75"/>
        <v>2.7257476081613663E-2</v>
      </c>
      <c r="Z149" s="3">
        <f t="shared" si="75"/>
        <v>2.7256063013962484E-2</v>
      </c>
      <c r="AA149" s="3">
        <f t="shared" ref="AA149" si="76">$C35*EXP(-AA$129/$A35/EXP(-$B$126))</f>
        <v>2.7241936365876931E-2</v>
      </c>
      <c r="AB149" s="3">
        <f t="shared" si="67"/>
        <v>2.7101071955990177E-2</v>
      </c>
      <c r="AC149" s="3">
        <f t="shared" si="67"/>
        <v>2.5731874286128539E-2</v>
      </c>
      <c r="AD149" s="3">
        <f t="shared" si="67"/>
        <v>1.5322193326273223E-2</v>
      </c>
      <c r="AE149" s="3">
        <f t="shared" si="67"/>
        <v>8.5864986312181711E-5</v>
      </c>
      <c r="AF149" s="3">
        <f t="shared" si="67"/>
        <v>2.6228157215234379E-27</v>
      </c>
    </row>
    <row r="150" spans="1:32" x14ac:dyDescent="0.25">
      <c r="B150" s="3">
        <f t="shared" ref="B150:Z150" si="77">$C36*EXP(-B$129/$A36/EXP(-$B$126))</f>
        <v>1.5460526055255958E-2</v>
      </c>
      <c r="C150" s="3">
        <f t="shared" si="77"/>
        <v>1.5460526055255958E-2</v>
      </c>
      <c r="D150" s="3">
        <f t="shared" si="77"/>
        <v>1.5460526055255958E-2</v>
      </c>
      <c r="E150" s="3">
        <f t="shared" si="77"/>
        <v>1.5460526055255958E-2</v>
      </c>
      <c r="F150" s="3">
        <f t="shared" si="77"/>
        <v>1.5460526055255958E-2</v>
      </c>
      <c r="G150" s="3">
        <f t="shared" si="77"/>
        <v>1.5460526055255958E-2</v>
      </c>
      <c r="H150" s="3">
        <f t="shared" si="77"/>
        <v>1.5460526055255958E-2</v>
      </c>
      <c r="I150" s="3">
        <f t="shared" si="77"/>
        <v>1.5460526055255958E-2</v>
      </c>
      <c r="J150" s="3">
        <f t="shared" si="77"/>
        <v>1.5460526055255958E-2</v>
      </c>
      <c r="K150" s="3">
        <f t="shared" si="77"/>
        <v>1.5460526055255958E-2</v>
      </c>
      <c r="L150" s="3">
        <f t="shared" si="77"/>
        <v>1.5460526055255958E-2</v>
      </c>
      <c r="M150" s="3">
        <f t="shared" si="77"/>
        <v>1.5460526055255958E-2</v>
      </c>
      <c r="N150" s="3">
        <f t="shared" si="77"/>
        <v>1.5460526055255958E-2</v>
      </c>
      <c r="O150" s="3">
        <f t="shared" si="77"/>
        <v>1.5460526055255958E-2</v>
      </c>
      <c r="P150" s="3">
        <f t="shared" si="77"/>
        <v>1.546052605525595E-2</v>
      </c>
      <c r="Q150" s="3">
        <f t="shared" si="77"/>
        <v>1.5460526055255877E-2</v>
      </c>
      <c r="R150" s="3">
        <f t="shared" si="77"/>
        <v>1.5460526055255155E-2</v>
      </c>
      <c r="S150" s="3">
        <f t="shared" si="77"/>
        <v>1.5460526055247925E-2</v>
      </c>
      <c r="T150" s="3">
        <f t="shared" si="77"/>
        <v>1.5460526055175621E-2</v>
      </c>
      <c r="U150" s="3">
        <f t="shared" si="77"/>
        <v>1.5460526054452587E-2</v>
      </c>
      <c r="V150" s="3">
        <f t="shared" si="77"/>
        <v>1.5460526047222234E-2</v>
      </c>
      <c r="W150" s="3">
        <f t="shared" si="77"/>
        <v>1.5460525974918716E-2</v>
      </c>
      <c r="X150" s="3">
        <f t="shared" si="77"/>
        <v>1.5460525251883553E-2</v>
      </c>
      <c r="Y150" s="3">
        <f t="shared" si="77"/>
        <v>1.54605180215338E-2</v>
      </c>
      <c r="Z150" s="3">
        <f t="shared" si="77"/>
        <v>1.5460445718222226E-2</v>
      </c>
      <c r="AA150" s="3">
        <f t="shared" ref="AA150" si="78">$C36*EXP(-AA$129/$A36/EXP(-$B$126))</f>
        <v>1.5459722703703764E-2</v>
      </c>
      <c r="AB150" s="3">
        <f t="shared" si="67"/>
        <v>1.5452494417923228E-2</v>
      </c>
      <c r="AC150" s="3">
        <f t="shared" si="67"/>
        <v>1.5380397179187062E-2</v>
      </c>
      <c r="AD150" s="3">
        <f t="shared" si="67"/>
        <v>1.4677669488903771E-2</v>
      </c>
      <c r="AE150" s="3">
        <f t="shared" si="67"/>
        <v>9.1950191366298242E-3</v>
      </c>
      <c r="AF150" s="3">
        <f t="shared" si="67"/>
        <v>8.5606742413206168E-5</v>
      </c>
    </row>
    <row r="151" spans="1:32" x14ac:dyDescent="0.25">
      <c r="B151" s="3">
        <f t="shared" ref="B151:Z151" si="79">$C37*EXP(-B$129/$A37/EXP(-$B$126))</f>
        <v>6.5522275925880558E-3</v>
      </c>
      <c r="C151" s="3">
        <f t="shared" si="79"/>
        <v>6.5522275925880558E-3</v>
      </c>
      <c r="D151" s="3">
        <f t="shared" si="79"/>
        <v>6.5522275925880558E-3</v>
      </c>
      <c r="E151" s="3">
        <f t="shared" si="79"/>
        <v>6.5522275925880558E-3</v>
      </c>
      <c r="F151" s="3">
        <f t="shared" si="79"/>
        <v>6.5522275925880558E-3</v>
      </c>
      <c r="G151" s="3">
        <f t="shared" si="79"/>
        <v>6.5522275925880558E-3</v>
      </c>
      <c r="H151" s="3">
        <f t="shared" si="79"/>
        <v>6.5522275925880558E-3</v>
      </c>
      <c r="I151" s="3">
        <f t="shared" si="79"/>
        <v>6.5522275925880558E-3</v>
      </c>
      <c r="J151" s="3">
        <f t="shared" si="79"/>
        <v>6.5522275925880558E-3</v>
      </c>
      <c r="K151" s="3">
        <f t="shared" si="79"/>
        <v>6.5522275925880558E-3</v>
      </c>
      <c r="L151" s="3">
        <f t="shared" si="79"/>
        <v>6.5522275925880558E-3</v>
      </c>
      <c r="M151" s="3">
        <f t="shared" si="79"/>
        <v>6.5522275925880558E-3</v>
      </c>
      <c r="N151" s="3">
        <f t="shared" si="79"/>
        <v>6.5522275925880558E-3</v>
      </c>
      <c r="O151" s="3">
        <f t="shared" si="79"/>
        <v>6.5522275925880558E-3</v>
      </c>
      <c r="P151" s="3">
        <f t="shared" si="79"/>
        <v>6.5522275925880558E-3</v>
      </c>
      <c r="Q151" s="3">
        <f t="shared" si="79"/>
        <v>6.5522275925880532E-3</v>
      </c>
      <c r="R151" s="3">
        <f t="shared" si="79"/>
        <v>6.5522275925880254E-3</v>
      </c>
      <c r="S151" s="3">
        <f t="shared" si="79"/>
        <v>6.5522275925877487E-3</v>
      </c>
      <c r="T151" s="3">
        <f t="shared" si="79"/>
        <v>6.5522275925849844E-3</v>
      </c>
      <c r="U151" s="3">
        <f t="shared" si="79"/>
        <v>6.5522275925573425E-3</v>
      </c>
      <c r="V151" s="3">
        <f t="shared" si="79"/>
        <v>6.5522275922809221E-3</v>
      </c>
      <c r="W151" s="3">
        <f t="shared" si="79"/>
        <v>6.5522275895167131E-3</v>
      </c>
      <c r="X151" s="3">
        <f t="shared" si="79"/>
        <v>6.5522275618746335E-3</v>
      </c>
      <c r="Y151" s="3">
        <f t="shared" si="79"/>
        <v>6.5522272854538341E-3</v>
      </c>
      <c r="Z151" s="3">
        <f t="shared" si="79"/>
        <v>6.552224521246491E-3</v>
      </c>
      <c r="AA151" s="3">
        <f t="shared" ref="AA151" si="80">$C37*EXP(-AA$129/$A37/EXP(-$B$126))</f>
        <v>6.5521968792371958E-3</v>
      </c>
      <c r="AB151" s="3">
        <f t="shared" si="67"/>
        <v>6.5519204655579318E-3</v>
      </c>
      <c r="AC151" s="3">
        <f t="shared" si="67"/>
        <v>6.5491569700337109E-3</v>
      </c>
      <c r="AD151" s="3">
        <f t="shared" si="67"/>
        <v>6.5215860416486153E-3</v>
      </c>
      <c r="AE151" s="3">
        <f t="shared" si="67"/>
        <v>6.252180619820971E-3</v>
      </c>
      <c r="AF151" s="3">
        <f t="shared" si="67"/>
        <v>4.1002882658243318E-3</v>
      </c>
    </row>
    <row r="152" spans="1:32" x14ac:dyDescent="0.25">
      <c r="B152" s="3">
        <f t="shared" ref="B152:Z152" si="81">$C38*EXP(-B$129/$A38/EXP(-$B$126))</f>
        <v>1.7032131485439372E-3</v>
      </c>
      <c r="C152" s="3">
        <f t="shared" si="81"/>
        <v>1.7032131485439372E-3</v>
      </c>
      <c r="D152" s="3">
        <f t="shared" si="81"/>
        <v>1.7032131485439372E-3</v>
      </c>
      <c r="E152" s="3">
        <f t="shared" si="81"/>
        <v>1.7032131485439372E-3</v>
      </c>
      <c r="F152" s="3">
        <f t="shared" si="81"/>
        <v>1.7032131485439372E-3</v>
      </c>
      <c r="G152" s="3">
        <f t="shared" si="81"/>
        <v>1.7032131485439372E-3</v>
      </c>
      <c r="H152" s="3">
        <f t="shared" si="81"/>
        <v>1.7032131485439372E-3</v>
      </c>
      <c r="I152" s="3">
        <f t="shared" si="81"/>
        <v>1.7032131485439372E-3</v>
      </c>
      <c r="J152" s="3">
        <f t="shared" si="81"/>
        <v>1.7032131485439372E-3</v>
      </c>
      <c r="K152" s="3">
        <f t="shared" si="81"/>
        <v>1.7032131485439372E-3</v>
      </c>
      <c r="L152" s="3">
        <f t="shared" si="81"/>
        <v>1.7032131485439372E-3</v>
      </c>
      <c r="M152" s="3">
        <f t="shared" si="81"/>
        <v>1.7032131485439372E-3</v>
      </c>
      <c r="N152" s="3">
        <f t="shared" si="81"/>
        <v>1.7032131485439372E-3</v>
      </c>
      <c r="O152" s="3">
        <f t="shared" si="81"/>
        <v>1.7032131485439372E-3</v>
      </c>
      <c r="P152" s="3">
        <f t="shared" si="81"/>
        <v>1.7032131485439372E-3</v>
      </c>
      <c r="Q152" s="3">
        <f t="shared" si="81"/>
        <v>1.7032131485439372E-3</v>
      </c>
      <c r="R152" s="3">
        <f t="shared" si="81"/>
        <v>1.7032131485439366E-3</v>
      </c>
      <c r="S152" s="3">
        <f t="shared" si="81"/>
        <v>1.7032131485439301E-3</v>
      </c>
      <c r="T152" s="3">
        <f t="shared" si="81"/>
        <v>1.7032131485438652E-3</v>
      </c>
      <c r="U152" s="3">
        <f t="shared" si="81"/>
        <v>1.7032131485432169E-3</v>
      </c>
      <c r="V152" s="3">
        <f t="shared" si="81"/>
        <v>1.7032131485367351E-3</v>
      </c>
      <c r="W152" s="3">
        <f t="shared" si="81"/>
        <v>1.7032131484719169E-3</v>
      </c>
      <c r="X152" s="3">
        <f t="shared" si="81"/>
        <v>1.7032131478237342E-3</v>
      </c>
      <c r="Y152" s="3">
        <f t="shared" si="81"/>
        <v>1.7032131413419087E-3</v>
      </c>
      <c r="Z152" s="3">
        <f t="shared" si="81"/>
        <v>1.7032130765236536E-3</v>
      </c>
      <c r="AA152" s="3">
        <f t="shared" ref="AA152" si="82">$C38*EXP(-AA$129/$A38/EXP(-$B$126))</f>
        <v>1.7032124283412379E-3</v>
      </c>
      <c r="AB152" s="3">
        <f t="shared" si="67"/>
        <v>1.7032059465306472E-3</v>
      </c>
      <c r="AC152" s="3">
        <f t="shared" si="67"/>
        <v>1.7031411297814341E-3</v>
      </c>
      <c r="AD152" s="3">
        <f t="shared" si="67"/>
        <v>1.7024930979395031E-3</v>
      </c>
      <c r="AE152" s="3">
        <f t="shared" si="67"/>
        <v>1.6960263254587674E-3</v>
      </c>
      <c r="AF152" s="3">
        <f t="shared" si="67"/>
        <v>1.6326943132303011E-3</v>
      </c>
    </row>
    <row r="153" spans="1:32" x14ac:dyDescent="0.25">
      <c r="B153" s="3">
        <f t="shared" ref="B153:Z153" si="83">$C39*EXP(-B$129/$A39/EXP(-$B$126))</f>
        <v>4.5350630336780827E-3</v>
      </c>
      <c r="C153" s="3">
        <f t="shared" si="83"/>
        <v>4.5350630336780827E-3</v>
      </c>
      <c r="D153" s="3">
        <f t="shared" si="83"/>
        <v>4.5350630336780827E-3</v>
      </c>
      <c r="E153" s="3">
        <f t="shared" si="83"/>
        <v>4.5350630336780827E-3</v>
      </c>
      <c r="F153" s="3">
        <f t="shared" si="83"/>
        <v>4.5350630336780827E-3</v>
      </c>
      <c r="G153" s="3">
        <f t="shared" si="83"/>
        <v>4.5350630336780827E-3</v>
      </c>
      <c r="H153" s="3">
        <f t="shared" si="83"/>
        <v>4.5350630336780827E-3</v>
      </c>
      <c r="I153" s="3">
        <f t="shared" si="83"/>
        <v>4.5350630336780827E-3</v>
      </c>
      <c r="J153" s="3">
        <f t="shared" si="83"/>
        <v>4.5350630336780827E-3</v>
      </c>
      <c r="K153" s="3">
        <f t="shared" si="83"/>
        <v>4.5350630336780827E-3</v>
      </c>
      <c r="L153" s="3">
        <f t="shared" si="83"/>
        <v>4.5350630336780827E-3</v>
      </c>
      <c r="M153" s="3">
        <f t="shared" si="83"/>
        <v>4.5350630336780827E-3</v>
      </c>
      <c r="N153" s="3">
        <f t="shared" si="83"/>
        <v>4.5350630336780827E-3</v>
      </c>
      <c r="O153" s="3">
        <f t="shared" si="83"/>
        <v>4.5350630336780827E-3</v>
      </c>
      <c r="P153" s="3">
        <f t="shared" si="83"/>
        <v>4.5350630336780827E-3</v>
      </c>
      <c r="Q153" s="3">
        <f t="shared" si="83"/>
        <v>4.5350630336780827E-3</v>
      </c>
      <c r="R153" s="3">
        <f t="shared" si="83"/>
        <v>4.5350630336780818E-3</v>
      </c>
      <c r="S153" s="3">
        <f t="shared" si="83"/>
        <v>4.5350630336780775E-3</v>
      </c>
      <c r="T153" s="3">
        <f t="shared" si="83"/>
        <v>4.5350630336780298E-3</v>
      </c>
      <c r="U153" s="3">
        <f t="shared" si="83"/>
        <v>4.5350630336775527E-3</v>
      </c>
      <c r="V153" s="3">
        <f t="shared" si="83"/>
        <v>4.5350630336727787E-3</v>
      </c>
      <c r="W153" s="3">
        <f t="shared" si="83"/>
        <v>4.5350630336250452E-3</v>
      </c>
      <c r="X153" s="3">
        <f t="shared" si="83"/>
        <v>4.5350630331477092E-3</v>
      </c>
      <c r="Y153" s="3">
        <f t="shared" si="83"/>
        <v>4.5350630283743452E-3</v>
      </c>
      <c r="Z153" s="3">
        <f t="shared" si="83"/>
        <v>4.5350629806407078E-3</v>
      </c>
      <c r="AA153" s="3">
        <f t="shared" ref="AA153" si="84">$C39*EXP(-AA$129/$A39/EXP(-$B$126))</f>
        <v>4.5350625033043586E-3</v>
      </c>
      <c r="AB153" s="3">
        <f t="shared" si="67"/>
        <v>4.5350577299436371E-3</v>
      </c>
      <c r="AC153" s="3">
        <f t="shared" si="67"/>
        <v>4.5350099966127459E-3</v>
      </c>
      <c r="AD153" s="3">
        <f t="shared" si="67"/>
        <v>4.5345326909356637E-3</v>
      </c>
      <c r="AE153" s="3">
        <f t="shared" si="67"/>
        <v>4.5297623962719767E-3</v>
      </c>
      <c r="AF153" s="3">
        <f t="shared" si="67"/>
        <v>4.4823345876900704E-3</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1.6861233379433117E-3</v>
      </c>
      <c r="C155" s="3">
        <f t="shared" si="87"/>
        <v>1.6861233379433117E-3</v>
      </c>
      <c r="D155" s="3">
        <f t="shared" si="87"/>
        <v>1.6861233379433117E-3</v>
      </c>
      <c r="E155" s="3">
        <f t="shared" si="87"/>
        <v>1.6861233379433117E-3</v>
      </c>
      <c r="F155" s="3">
        <f t="shared" si="87"/>
        <v>1.6861233379433117E-3</v>
      </c>
      <c r="G155" s="3">
        <f t="shared" si="87"/>
        <v>1.6861233379433117E-3</v>
      </c>
      <c r="H155" s="3">
        <f t="shared" si="87"/>
        <v>1.6861233379433117E-3</v>
      </c>
      <c r="I155" s="3">
        <f t="shared" si="87"/>
        <v>1.6861233379433117E-3</v>
      </c>
      <c r="J155" s="3">
        <f t="shared" si="87"/>
        <v>1.6861233379433117E-3</v>
      </c>
      <c r="K155" s="3">
        <f t="shared" si="87"/>
        <v>1.6861233379433117E-3</v>
      </c>
      <c r="L155" s="3">
        <f t="shared" si="87"/>
        <v>1.6861233379433117E-3</v>
      </c>
      <c r="M155" s="3">
        <f t="shared" si="87"/>
        <v>1.6861233379433117E-3</v>
      </c>
      <c r="N155" s="3">
        <f t="shared" si="87"/>
        <v>1.6861233379433117E-3</v>
      </c>
      <c r="O155" s="3">
        <f t="shared" si="87"/>
        <v>1.6861233379433117E-3</v>
      </c>
      <c r="P155" s="3">
        <f t="shared" si="87"/>
        <v>1.6861233379433117E-3</v>
      </c>
      <c r="Q155" s="3">
        <f t="shared" si="87"/>
        <v>1.6861233379433117E-3</v>
      </c>
      <c r="R155" s="3">
        <f t="shared" si="87"/>
        <v>1.6861233379433117E-3</v>
      </c>
      <c r="S155" s="3">
        <f t="shared" si="87"/>
        <v>1.6861233379433117E-3</v>
      </c>
      <c r="T155" s="3">
        <f t="shared" si="87"/>
        <v>1.6861233379433114E-3</v>
      </c>
      <c r="U155" s="3">
        <f t="shared" si="87"/>
        <v>1.6861233379433097E-3</v>
      </c>
      <c r="V155" s="3">
        <f t="shared" si="87"/>
        <v>1.6861233379432919E-3</v>
      </c>
      <c r="W155" s="3">
        <f t="shared" si="87"/>
        <v>1.6861233379431146E-3</v>
      </c>
      <c r="X155" s="3">
        <f t="shared" si="87"/>
        <v>1.6861233379413397E-3</v>
      </c>
      <c r="Y155" s="3">
        <f t="shared" si="87"/>
        <v>1.6861233379235924E-3</v>
      </c>
      <c r="Z155" s="3">
        <f t="shared" si="87"/>
        <v>1.6861233377461202E-3</v>
      </c>
      <c r="AA155" s="3">
        <f t="shared" ref="AA155:AF155" si="88">$C41*EXP(-AA$129/$A41/EXP(-$B$126))</f>
        <v>1.6861233359713975E-3</v>
      </c>
      <c r="AB155" s="3">
        <f t="shared" si="88"/>
        <v>1.6861233182241687E-3</v>
      </c>
      <c r="AC155" s="3">
        <f t="shared" si="88"/>
        <v>1.6861231407518931E-3</v>
      </c>
      <c r="AD155" s="3">
        <f t="shared" si="88"/>
        <v>1.6861213660301628E-3</v>
      </c>
      <c r="AE155" s="3">
        <f t="shared" si="88"/>
        <v>1.6861036189155989E-3</v>
      </c>
      <c r="AF155" s="3">
        <f t="shared" si="88"/>
        <v>1.6859261580433938E-3</v>
      </c>
    </row>
    <row r="156" spans="1:32" x14ac:dyDescent="0.25">
      <c r="B156" s="3">
        <f t="shared" ref="B156:Z156" si="89">$C42*EXP(-B$129/$A42/EXP(-$B$126))</f>
        <v>3.1917428644915027E-3</v>
      </c>
      <c r="C156" s="3">
        <f t="shared" si="89"/>
        <v>3.1917428644915027E-3</v>
      </c>
      <c r="D156" s="3">
        <f t="shared" si="89"/>
        <v>3.1917428644915027E-3</v>
      </c>
      <c r="E156" s="3">
        <f t="shared" si="89"/>
        <v>3.1917428644915027E-3</v>
      </c>
      <c r="F156" s="3">
        <f t="shared" si="89"/>
        <v>3.1917428644915027E-3</v>
      </c>
      <c r="G156" s="3">
        <f t="shared" si="89"/>
        <v>3.1917428644915027E-3</v>
      </c>
      <c r="H156" s="3">
        <f t="shared" si="89"/>
        <v>3.1917428644915027E-3</v>
      </c>
      <c r="I156" s="3">
        <f t="shared" si="89"/>
        <v>3.1917428644915027E-3</v>
      </c>
      <c r="J156" s="3">
        <f t="shared" si="89"/>
        <v>3.1917428644915027E-3</v>
      </c>
      <c r="K156" s="3">
        <f t="shared" si="89"/>
        <v>3.1917428644915027E-3</v>
      </c>
      <c r="L156" s="3">
        <f t="shared" si="89"/>
        <v>3.1917428644915027E-3</v>
      </c>
      <c r="M156" s="3">
        <f t="shared" si="89"/>
        <v>3.1917428644915027E-3</v>
      </c>
      <c r="N156" s="3">
        <f t="shared" si="89"/>
        <v>3.1917428644915027E-3</v>
      </c>
      <c r="O156" s="3">
        <f t="shared" si="89"/>
        <v>3.1917428644915027E-3</v>
      </c>
      <c r="P156" s="3">
        <f t="shared" si="89"/>
        <v>3.1917428644915027E-3</v>
      </c>
      <c r="Q156" s="3">
        <f t="shared" si="89"/>
        <v>3.1917428644915027E-3</v>
      </c>
      <c r="R156" s="3">
        <f t="shared" si="89"/>
        <v>3.1917428644915027E-3</v>
      </c>
      <c r="S156" s="3">
        <f t="shared" si="89"/>
        <v>3.1917428644915027E-3</v>
      </c>
      <c r="T156" s="3">
        <f t="shared" si="89"/>
        <v>3.1917428644915027E-3</v>
      </c>
      <c r="U156" s="3">
        <f t="shared" si="89"/>
        <v>3.1917428644915023E-3</v>
      </c>
      <c r="V156" s="3">
        <f t="shared" si="89"/>
        <v>3.1917428644914988E-3</v>
      </c>
      <c r="W156" s="3">
        <f t="shared" si="89"/>
        <v>3.1917428644914654E-3</v>
      </c>
      <c r="X156" s="3">
        <f t="shared" si="89"/>
        <v>3.1917428644911297E-3</v>
      </c>
      <c r="Y156" s="3">
        <f t="shared" si="89"/>
        <v>3.19174286448777E-3</v>
      </c>
      <c r="Z156" s="3">
        <f t="shared" si="89"/>
        <v>3.1917428644541754E-3</v>
      </c>
      <c r="AA156" s="3">
        <f t="shared" ref="AA156:AF156" si="90">$C42*EXP(-AA$129/$A42/EXP(-$B$126))</f>
        <v>3.1917428641182297E-3</v>
      </c>
      <c r="AB156" s="3">
        <f t="shared" si="90"/>
        <v>3.1917428607587729E-3</v>
      </c>
      <c r="AC156" s="3">
        <f t="shared" si="90"/>
        <v>3.1917428271642013E-3</v>
      </c>
      <c r="AD156" s="3">
        <f t="shared" si="90"/>
        <v>3.1917424912185108E-3</v>
      </c>
      <c r="AE156" s="3">
        <f t="shared" si="90"/>
        <v>3.1917391317635457E-3</v>
      </c>
      <c r="AF156" s="3">
        <f t="shared" si="90"/>
        <v>3.191705537408376E-3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1.5213277079669291E-4</v>
      </c>
      <c r="C159" s="3">
        <f t="shared" si="95"/>
        <v>1.5213277079669291E-4</v>
      </c>
      <c r="D159" s="3">
        <f t="shared" si="95"/>
        <v>1.5213277079669291E-4</v>
      </c>
      <c r="E159" s="3">
        <f t="shared" si="95"/>
        <v>1.5213277079669291E-4</v>
      </c>
      <c r="F159" s="3">
        <f t="shared" si="95"/>
        <v>1.5213277079669291E-4</v>
      </c>
      <c r="G159" s="3">
        <f t="shared" si="95"/>
        <v>1.5213277079669291E-4</v>
      </c>
      <c r="H159" s="3">
        <f t="shared" si="95"/>
        <v>1.5213277079669291E-4</v>
      </c>
      <c r="I159" s="3">
        <f t="shared" si="95"/>
        <v>1.5213277079669291E-4</v>
      </c>
      <c r="J159" s="3">
        <f t="shared" si="95"/>
        <v>1.5213277079669291E-4</v>
      </c>
      <c r="K159" s="3">
        <f t="shared" si="95"/>
        <v>1.5213277079669291E-4</v>
      </c>
      <c r="L159" s="3">
        <f t="shared" si="95"/>
        <v>1.5213277079669291E-4</v>
      </c>
      <c r="M159" s="3">
        <f t="shared" si="95"/>
        <v>1.5213277079669291E-4</v>
      </c>
      <c r="N159" s="3">
        <f t="shared" si="95"/>
        <v>1.5213277079669291E-4</v>
      </c>
      <c r="O159" s="3">
        <f t="shared" si="95"/>
        <v>1.5213277079669291E-4</v>
      </c>
      <c r="P159" s="3">
        <f t="shared" si="95"/>
        <v>1.5213277079669291E-4</v>
      </c>
      <c r="Q159" s="3">
        <f t="shared" si="95"/>
        <v>1.5213277079669291E-4</v>
      </c>
      <c r="R159" s="3">
        <f t="shared" si="95"/>
        <v>1.5213277079669291E-4</v>
      </c>
      <c r="S159" s="3">
        <f t="shared" si="95"/>
        <v>1.5213277079669291E-4</v>
      </c>
      <c r="T159" s="3">
        <f t="shared" si="95"/>
        <v>1.5213277079669291E-4</v>
      </c>
      <c r="U159" s="3">
        <f t="shared" si="95"/>
        <v>1.5213277079669291E-4</v>
      </c>
      <c r="V159" s="3">
        <f t="shared" si="95"/>
        <v>1.5213277079669291E-4</v>
      </c>
      <c r="W159" s="3">
        <f t="shared" si="95"/>
        <v>1.5213277079669291E-4</v>
      </c>
      <c r="X159" s="3">
        <f t="shared" si="95"/>
        <v>1.5213277079669288E-4</v>
      </c>
      <c r="Y159" s="3">
        <f t="shared" si="95"/>
        <v>1.5213277079669272E-4</v>
      </c>
      <c r="Z159" s="3">
        <f t="shared" si="95"/>
        <v>1.5213277079669115E-4</v>
      </c>
      <c r="AA159" s="3">
        <f t="shared" ref="AA159:AF159" si="96">$C45*EXP(-AA$129/$A45/EXP(-$B$126))</f>
        <v>1.5213277079667513E-4</v>
      </c>
      <c r="AB159" s="3">
        <f t="shared" si="96"/>
        <v>1.5213277079651499E-4</v>
      </c>
      <c r="AC159" s="3">
        <f t="shared" si="96"/>
        <v>1.5213277079491371E-4</v>
      </c>
      <c r="AD159" s="3">
        <f t="shared" si="96"/>
        <v>1.5213277077890105E-4</v>
      </c>
      <c r="AE159" s="3">
        <f t="shared" si="96"/>
        <v>1.5213277061877428E-4</v>
      </c>
      <c r="AF159" s="3">
        <f t="shared" si="96"/>
        <v>1.5213276901750644E-4</v>
      </c>
    </row>
    <row r="160" spans="1:32" x14ac:dyDescent="0.25">
      <c r="B160" s="3">
        <f t="shared" ref="B160:Z160" si="97">$C46*EXP(-B$129/$A46/EXP(-$B$126))</f>
        <v>1.3986654220962105E-4</v>
      </c>
      <c r="C160" s="3">
        <f t="shared" si="97"/>
        <v>1.3986654220962105E-4</v>
      </c>
      <c r="D160" s="3">
        <f t="shared" si="97"/>
        <v>1.3986654220962105E-4</v>
      </c>
      <c r="E160" s="3">
        <f t="shared" si="97"/>
        <v>1.3986654220962105E-4</v>
      </c>
      <c r="F160" s="3">
        <f t="shared" si="97"/>
        <v>1.3986654220962105E-4</v>
      </c>
      <c r="G160" s="3">
        <f t="shared" si="97"/>
        <v>1.3986654220962105E-4</v>
      </c>
      <c r="H160" s="3">
        <f t="shared" si="97"/>
        <v>1.3986654220962105E-4</v>
      </c>
      <c r="I160" s="3">
        <f t="shared" si="97"/>
        <v>1.3986654220962105E-4</v>
      </c>
      <c r="J160" s="3">
        <f t="shared" si="97"/>
        <v>1.3986654220962105E-4</v>
      </c>
      <c r="K160" s="3">
        <f t="shared" si="97"/>
        <v>1.3986654220962105E-4</v>
      </c>
      <c r="L160" s="3">
        <f t="shared" si="97"/>
        <v>1.3986654220962105E-4</v>
      </c>
      <c r="M160" s="3">
        <f t="shared" si="97"/>
        <v>1.3986654220962105E-4</v>
      </c>
      <c r="N160" s="3">
        <f t="shared" si="97"/>
        <v>1.3986654220962105E-4</v>
      </c>
      <c r="O160" s="3">
        <f t="shared" si="97"/>
        <v>1.3986654220962105E-4</v>
      </c>
      <c r="P160" s="3">
        <f t="shared" si="97"/>
        <v>1.3986654220962105E-4</v>
      </c>
      <c r="Q160" s="3">
        <f t="shared" si="97"/>
        <v>1.3986654220962105E-4</v>
      </c>
      <c r="R160" s="3">
        <f t="shared" si="97"/>
        <v>1.3986654220962105E-4</v>
      </c>
      <c r="S160" s="3">
        <f t="shared" si="97"/>
        <v>1.3986654220962105E-4</v>
      </c>
      <c r="T160" s="3">
        <f t="shared" si="97"/>
        <v>1.3986654220962105E-4</v>
      </c>
      <c r="U160" s="3">
        <f t="shared" si="97"/>
        <v>1.3986654220962105E-4</v>
      </c>
      <c r="V160" s="3">
        <f t="shared" si="97"/>
        <v>1.3986654220962105E-4</v>
      </c>
      <c r="W160" s="3">
        <f t="shared" si="97"/>
        <v>1.3986654220962105E-4</v>
      </c>
      <c r="X160" s="3">
        <f t="shared" si="97"/>
        <v>1.3986654220962105E-4</v>
      </c>
      <c r="Y160" s="3">
        <f t="shared" si="97"/>
        <v>1.3986654220962103E-4</v>
      </c>
      <c r="Z160" s="3">
        <f t="shared" si="97"/>
        <v>1.3986654220962089E-4</v>
      </c>
      <c r="AA160" s="3">
        <f t="shared" ref="AA160:AF160" si="98">$C46*EXP(-AA$129/$A46/EXP(-$B$126))</f>
        <v>1.3986654220961943E-4</v>
      </c>
      <c r="AB160" s="3">
        <f t="shared" si="98"/>
        <v>1.3986654220960471E-4</v>
      </c>
      <c r="AC160" s="3">
        <f t="shared" si="98"/>
        <v>1.3986654220945747E-4</v>
      </c>
      <c r="AD160" s="3">
        <f t="shared" si="98"/>
        <v>1.3986654220798532E-4</v>
      </c>
      <c r="AE160" s="3">
        <f t="shared" si="98"/>
        <v>1.3986654219326372E-4</v>
      </c>
      <c r="AF160" s="3">
        <f t="shared" si="98"/>
        <v>1.3986654204604771E-4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8.4977640874607974E-4</v>
      </c>
      <c r="C162" s="3">
        <f t="shared" si="101"/>
        <v>8.4977640874607974E-4</v>
      </c>
      <c r="D162" s="3">
        <f t="shared" si="101"/>
        <v>8.4977640874607974E-4</v>
      </c>
      <c r="E162" s="3">
        <f t="shared" si="101"/>
        <v>8.4977640874607974E-4</v>
      </c>
      <c r="F162" s="3">
        <f t="shared" si="101"/>
        <v>8.4977640874607974E-4</v>
      </c>
      <c r="G162" s="3">
        <f t="shared" si="101"/>
        <v>8.4977640874607974E-4</v>
      </c>
      <c r="H162" s="3">
        <f t="shared" si="101"/>
        <v>8.4977640874607974E-4</v>
      </c>
      <c r="I162" s="3">
        <f t="shared" si="101"/>
        <v>8.4977640874607974E-4</v>
      </c>
      <c r="J162" s="3">
        <f t="shared" si="101"/>
        <v>8.4977640874607974E-4</v>
      </c>
      <c r="K162" s="3">
        <f t="shared" si="101"/>
        <v>8.4977640874607974E-4</v>
      </c>
      <c r="L162" s="3">
        <f t="shared" si="101"/>
        <v>8.4977640874607974E-4</v>
      </c>
      <c r="M162" s="3">
        <f t="shared" si="101"/>
        <v>8.4977640874607974E-4</v>
      </c>
      <c r="N162" s="3">
        <f t="shared" si="101"/>
        <v>8.4977640874607974E-4</v>
      </c>
      <c r="O162" s="3">
        <f t="shared" si="101"/>
        <v>8.4977640874607974E-4</v>
      </c>
      <c r="P162" s="3">
        <f t="shared" si="101"/>
        <v>8.4977640874607974E-4</v>
      </c>
      <c r="Q162" s="3">
        <f t="shared" si="101"/>
        <v>8.4977640874607974E-4</v>
      </c>
      <c r="R162" s="3">
        <f t="shared" si="101"/>
        <v>8.4977640874607974E-4</v>
      </c>
      <c r="S162" s="3">
        <f t="shared" si="101"/>
        <v>8.4977640874607974E-4</v>
      </c>
      <c r="T162" s="3">
        <f t="shared" si="101"/>
        <v>8.4977640874607974E-4</v>
      </c>
      <c r="U162" s="3">
        <f t="shared" si="101"/>
        <v>8.4977640874607974E-4</v>
      </c>
      <c r="V162" s="3">
        <f t="shared" si="101"/>
        <v>8.4977640874607974E-4</v>
      </c>
      <c r="W162" s="3">
        <f t="shared" si="101"/>
        <v>8.4977640874607974E-4</v>
      </c>
      <c r="X162" s="3">
        <f t="shared" si="101"/>
        <v>8.4977640874607974E-4</v>
      </c>
      <c r="Y162" s="3">
        <f t="shared" si="101"/>
        <v>8.4977640874607974E-4</v>
      </c>
      <c r="Z162" s="3">
        <f t="shared" si="101"/>
        <v>8.4977640874607974E-4</v>
      </c>
      <c r="AA162" s="3">
        <f t="shared" ref="AA162:AF162" si="102">$C48*EXP(-AA$129/$A48/EXP(-$B$126))</f>
        <v>8.4977640874607963E-4</v>
      </c>
      <c r="AB162" s="3">
        <f t="shared" si="102"/>
        <v>8.4977640874607865E-4</v>
      </c>
      <c r="AC162" s="3">
        <f t="shared" si="102"/>
        <v>8.4977640874606987E-4</v>
      </c>
      <c r="AD162" s="3">
        <f t="shared" si="102"/>
        <v>8.4977640874598043E-4</v>
      </c>
      <c r="AE162" s="3">
        <f t="shared" si="102"/>
        <v>8.4977640874508596E-4</v>
      </c>
      <c r="AF162" s="3">
        <f t="shared" si="102"/>
        <v>8.4977640873614162E-4</v>
      </c>
    </row>
    <row r="163" spans="1:34" x14ac:dyDescent="0.25">
      <c r="A163" s="79">
        <f>AVERAGE(B163:AF163)</f>
        <v>7.8543469923767189E-3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2.7935572314880374E-2</v>
      </c>
      <c r="M163" s="80">
        <f t="shared" si="103"/>
        <v>1.2239436587294112E-2</v>
      </c>
      <c r="N163" s="80">
        <f t="shared" si="103"/>
        <v>3.0746556666680018E-2</v>
      </c>
      <c r="O163" s="80">
        <f t="shared" si="103"/>
        <v>2.4597592490057073E-2</v>
      </c>
      <c r="P163" s="80">
        <f t="shared" si="103"/>
        <v>2.5950615227136438E-2</v>
      </c>
      <c r="Q163" s="80">
        <f t="shared" si="103"/>
        <v>2.5624455254015129E-2</v>
      </c>
      <c r="R163" s="80">
        <f t="shared" si="103"/>
        <v>2.5237035948130135E-2</v>
      </c>
      <c r="S163" s="80">
        <f t="shared" si="103"/>
        <v>2.4547134017613922E-2</v>
      </c>
      <c r="T163" s="80">
        <f t="shared" si="103"/>
        <v>2.3809414351905943E-2</v>
      </c>
      <c r="U163" s="80">
        <f t="shared" si="103"/>
        <v>2.0472623359749413E-2</v>
      </c>
      <c r="V163" s="80">
        <f t="shared" si="103"/>
        <v>2.3243205462157011E-3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10610.27340355376</v>
      </c>
      <c r="C164" s="21">
        <f t="shared" ref="C164:AF164" si="104">(C131-C130)^2</f>
        <v>314.46393971636775</v>
      </c>
      <c r="D164" s="21">
        <f t="shared" si="104"/>
        <v>78745.265549638672</v>
      </c>
      <c r="E164" s="21">
        <f t="shared" si="104"/>
        <v>211366.93542984137</v>
      </c>
      <c r="F164" s="21">
        <f t="shared" si="104"/>
        <v>170151.68043683266</v>
      </c>
      <c r="G164" s="21">
        <f t="shared" si="104"/>
        <v>603955.47981263895</v>
      </c>
      <c r="H164" s="21">
        <f t="shared" si="104"/>
        <v>1705498.597942465</v>
      </c>
      <c r="I164" s="21">
        <f t="shared" si="104"/>
        <v>1104043.8198191489</v>
      </c>
      <c r="J164" s="21">
        <f t="shared" si="104"/>
        <v>616820.49552526872</v>
      </c>
      <c r="K164" s="21">
        <f t="shared" si="104"/>
        <v>239520.13699733812</v>
      </c>
      <c r="L164" s="21">
        <f t="shared" si="104"/>
        <v>57320.294431947863</v>
      </c>
      <c r="M164" s="21">
        <f t="shared" si="104"/>
        <v>10283.899227785794</v>
      </c>
      <c r="N164" s="21">
        <f t="shared" si="104"/>
        <v>59546.385273701169</v>
      </c>
      <c r="O164" s="21">
        <f t="shared" si="104"/>
        <v>34472.264393018995</v>
      </c>
      <c r="P164" s="21">
        <f t="shared" si="104"/>
        <v>34772.394235227177</v>
      </c>
      <c r="Q164" s="21">
        <f t="shared" si="104"/>
        <v>31224.5001090562</v>
      </c>
      <c r="R164" s="21">
        <f t="shared" si="104"/>
        <v>27730.536440159722</v>
      </c>
      <c r="S164" s="21">
        <f t="shared" si="104"/>
        <v>24010.69455109549</v>
      </c>
      <c r="T164" s="21">
        <f t="shared" si="104"/>
        <v>20472.415986904078</v>
      </c>
      <c r="U164" s="21">
        <f t="shared" si="104"/>
        <v>13682.54979615421</v>
      </c>
      <c r="V164" s="21">
        <f t="shared" si="104"/>
        <v>149.83457198584617</v>
      </c>
      <c r="W164" s="21">
        <f t="shared" si="104"/>
        <v>50664.559610337368</v>
      </c>
      <c r="X164" s="21">
        <f t="shared" si="104"/>
        <v>222976.3331929096</v>
      </c>
      <c r="Y164" s="21">
        <f t="shared" si="104"/>
        <v>362058.39071338554</v>
      </c>
      <c r="Z164" s="21">
        <f t="shared" si="104"/>
        <v>377687.08114669635</v>
      </c>
      <c r="AA164" s="21">
        <f t="shared" si="104"/>
        <v>218663.45347944138</v>
      </c>
      <c r="AB164" s="21">
        <f t="shared" si="104"/>
        <v>92636.391006114834</v>
      </c>
      <c r="AC164" s="21">
        <f t="shared" si="104"/>
        <v>29869.418704996646</v>
      </c>
      <c r="AD164" s="21">
        <f t="shared" si="104"/>
        <v>10741.162151675919</v>
      </c>
      <c r="AE164" s="21">
        <f t="shared" si="104"/>
        <v>3065.7949415219568</v>
      </c>
      <c r="AF164" s="21">
        <f t="shared" si="104"/>
        <v>1129.3685705065316</v>
      </c>
    </row>
    <row r="165" spans="1:34" x14ac:dyDescent="0.25">
      <c r="A165" s="71">
        <f>SUM(B165:AF165)</f>
        <v>313665.76901703648</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57320.294431947863</v>
      </c>
      <c r="M165" s="60">
        <f t="shared" si="105"/>
        <v>10283.899227785794</v>
      </c>
      <c r="N165" s="60">
        <f t="shared" si="105"/>
        <v>59546.385273701169</v>
      </c>
      <c r="O165" s="60">
        <f t="shared" si="105"/>
        <v>34472.264393018995</v>
      </c>
      <c r="P165" s="60">
        <f t="shared" si="105"/>
        <v>34772.394235227177</v>
      </c>
      <c r="Q165" s="60">
        <f t="shared" si="105"/>
        <v>31224.5001090562</v>
      </c>
      <c r="R165" s="60">
        <f t="shared" si="105"/>
        <v>27730.536440159722</v>
      </c>
      <c r="S165" s="60">
        <f t="shared" si="105"/>
        <v>24010.69455109549</v>
      </c>
      <c r="T165" s="60">
        <f t="shared" si="105"/>
        <v>20472.415986904078</v>
      </c>
      <c r="U165" s="60">
        <f t="shared" si="105"/>
        <v>13682.54979615421</v>
      </c>
      <c r="V165" s="60">
        <f t="shared" si="105"/>
        <v>149.83457198584617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10766.978003813692</v>
      </c>
      <c r="C170" s="27">
        <f t="shared" ref="C170:AF170" si="106">($C$17+SUM(C171:C201))*$B$51</f>
        <v>10755.103556135959</v>
      </c>
      <c r="D170" s="27">
        <f t="shared" si="106"/>
        <v>10639.520412747632</v>
      </c>
      <c r="E170" s="27">
        <f t="shared" si="106"/>
        <v>9749.0771971807317</v>
      </c>
      <c r="F170" s="27">
        <f t="shared" si="106"/>
        <v>8359.8235566483818</v>
      </c>
      <c r="G170" s="27">
        <f t="shared" si="106"/>
        <v>8349.6451333680488</v>
      </c>
      <c r="H170" s="27">
        <f t="shared" si="106"/>
        <v>8349.5650191340828</v>
      </c>
      <c r="I170" s="27">
        <f t="shared" si="106"/>
        <v>8348.7644071469767</v>
      </c>
      <c r="J170" s="27">
        <f t="shared" si="106"/>
        <v>8340.8110767767248</v>
      </c>
      <c r="K170" s="27">
        <f t="shared" si="106"/>
        <v>8266.3193486476448</v>
      </c>
      <c r="L170" s="27">
        <f t="shared" si="106"/>
        <v>7852.9498001988759</v>
      </c>
      <c r="M170" s="27">
        <f t="shared" si="106"/>
        <v>7477.2802105928286</v>
      </c>
      <c r="N170" s="27">
        <f t="shared" si="106"/>
        <v>7126.3022711298936</v>
      </c>
      <c r="O170" s="27">
        <f t="shared" si="106"/>
        <v>6817.8616296720529</v>
      </c>
      <c r="P170" s="27">
        <f t="shared" si="106"/>
        <v>6537.8792906291837</v>
      </c>
      <c r="Q170" s="27">
        <f t="shared" si="106"/>
        <v>6257.9211647893517</v>
      </c>
      <c r="R170" s="27">
        <f t="shared" si="106"/>
        <v>5973.9376063085192</v>
      </c>
      <c r="S170" s="27">
        <f t="shared" si="106"/>
        <v>5692.7845675687367</v>
      </c>
      <c r="T170" s="27">
        <f t="shared" si="106"/>
        <v>5386.9395757342118</v>
      </c>
      <c r="U170" s="27">
        <f t="shared" si="106"/>
        <v>5017.0057533792087</v>
      </c>
      <c r="V170" s="27">
        <f t="shared" si="106"/>
        <v>4635.7520386011129</v>
      </c>
      <c r="W170" s="27">
        <f t="shared" si="106"/>
        <v>4175.5162192921798</v>
      </c>
      <c r="X170" s="27">
        <f t="shared" si="106"/>
        <v>3639.803333361263</v>
      </c>
      <c r="Y170" s="27">
        <f t="shared" si="106"/>
        <v>2961.2691282443611</v>
      </c>
      <c r="Z170" s="27">
        <f t="shared" si="106"/>
        <v>2180.2919567647295</v>
      </c>
      <c r="AA170" s="27">
        <f t="shared" si="106"/>
        <v>1543.349298192622</v>
      </c>
      <c r="AB170" s="27">
        <f t="shared" si="106"/>
        <v>1074.3511799424732</v>
      </c>
      <c r="AC170" s="27">
        <f t="shared" si="106"/>
        <v>809.07500186956634</v>
      </c>
      <c r="AD170" s="27">
        <f t="shared" si="106"/>
        <v>660.40843801495998</v>
      </c>
      <c r="AE170" s="27">
        <f t="shared" si="106"/>
        <v>591.70070317394277</v>
      </c>
      <c r="AF170" s="27">
        <f t="shared" si="106"/>
        <v>553.23105393078936</v>
      </c>
      <c r="AG170" s="27"/>
      <c r="AH170" s="27"/>
    </row>
    <row r="171" spans="1:34" x14ac:dyDescent="0.25">
      <c r="B171" s="3">
        <f t="shared" ref="B171:AF171" si="107">$C18*EXP(-B$168/$A18/EXP(-$C$126))</f>
        <v>0.22448517814998004</v>
      </c>
      <c r="C171" s="3">
        <f t="shared" si="107"/>
        <v>0.22338245573568871</v>
      </c>
      <c r="D171" s="3">
        <f t="shared" si="107"/>
        <v>0.21264880932514438</v>
      </c>
      <c r="E171" s="3">
        <f t="shared" si="107"/>
        <v>0.12995766469176362</v>
      </c>
      <c r="F171" s="3">
        <f t="shared" si="107"/>
        <v>9.4447687953176727E-4</v>
      </c>
      <c r="G171" s="3">
        <f t="shared" si="107"/>
        <v>3.882269279444288E-25</v>
      </c>
      <c r="H171" s="3">
        <f t="shared" si="107"/>
        <v>5.3459993147657085E-239</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5.607429799456861E-2</v>
      </c>
      <c r="C172" s="3">
        <f t="shared" si="108"/>
        <v>5.6074297923837065E-2</v>
      </c>
      <c r="D172" s="3">
        <f t="shared" si="108"/>
        <v>5.6074297216521601E-2</v>
      </c>
      <c r="E172" s="3">
        <f t="shared" si="108"/>
        <v>5.6074290143367511E-2</v>
      </c>
      <c r="F172" s="3">
        <f t="shared" si="108"/>
        <v>5.6074219411875646E-2</v>
      </c>
      <c r="G172" s="3">
        <f t="shared" si="108"/>
        <v>5.6073512101864016E-2</v>
      </c>
      <c r="H172" s="3">
        <f t="shared" si="108"/>
        <v>5.6066439492432597E-2</v>
      </c>
      <c r="I172" s="3">
        <f t="shared" si="108"/>
        <v>5.599576244370786E-2</v>
      </c>
      <c r="J172" s="3">
        <f t="shared" si="108"/>
        <v>5.5293873702167193E-2</v>
      </c>
      <c r="K172" s="3">
        <f t="shared" si="108"/>
        <v>4.8741125579488169E-2</v>
      </c>
      <c r="L172" s="3">
        <f t="shared" si="108"/>
        <v>1.3806415313976302E-2</v>
      </c>
      <c r="M172" s="3">
        <f t="shared" si="108"/>
        <v>4.591290006771721E-8</v>
      </c>
      <c r="N172" s="3">
        <f t="shared" si="108"/>
        <v>7.5940359459115016E-63</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2.8569534303064539E-2</v>
      </c>
      <c r="C173" s="3">
        <f t="shared" si="109"/>
        <v>2.8569534299813674E-2</v>
      </c>
      <c r="D173" s="3">
        <f t="shared" si="109"/>
        <v>2.8569534267305016E-2</v>
      </c>
      <c r="E173" s="3">
        <f t="shared" si="109"/>
        <v>2.8569533942218422E-2</v>
      </c>
      <c r="F173" s="3">
        <f t="shared" si="109"/>
        <v>2.8569530691352714E-2</v>
      </c>
      <c r="G173" s="3">
        <f t="shared" si="109"/>
        <v>2.8569498182715949E-2</v>
      </c>
      <c r="H173" s="3">
        <f t="shared" si="109"/>
        <v>2.8569173098382777E-2</v>
      </c>
      <c r="I173" s="3">
        <f t="shared" si="109"/>
        <v>2.8565922458491551E-2</v>
      </c>
      <c r="J173" s="3">
        <f t="shared" si="109"/>
        <v>2.8533436395062894E-2</v>
      </c>
      <c r="K173" s="3">
        <f t="shared" si="109"/>
        <v>2.821060077358848E-2</v>
      </c>
      <c r="L173" s="3">
        <f t="shared" si="109"/>
        <v>2.5176473555873529E-2</v>
      </c>
      <c r="M173" s="3">
        <f t="shared" si="109"/>
        <v>8.0690152656883313E-3</v>
      </c>
      <c r="N173" s="3">
        <f t="shared" si="109"/>
        <v>9.2273484247574949E-8</v>
      </c>
      <c r="O173" s="3">
        <f t="shared" si="109"/>
        <v>3.5289113428644465E-57</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3.8494837122530483E-2</v>
      </c>
      <c r="C174" s="3">
        <f t="shared" si="110"/>
        <v>3.8494837122135347E-2</v>
      </c>
      <c r="D174" s="3">
        <f t="shared" si="110"/>
        <v>3.8494837118184001E-2</v>
      </c>
      <c r="E174" s="3">
        <f t="shared" si="110"/>
        <v>3.8494837078670546E-2</v>
      </c>
      <c r="F174" s="3">
        <f t="shared" si="110"/>
        <v>3.8494836683536031E-2</v>
      </c>
      <c r="G174" s="3">
        <f t="shared" si="110"/>
        <v>3.8494832732191044E-2</v>
      </c>
      <c r="H174" s="3">
        <f t="shared" si="110"/>
        <v>3.8494793218763507E-2</v>
      </c>
      <c r="I174" s="3">
        <f t="shared" si="110"/>
        <v>3.8494398086718846E-2</v>
      </c>
      <c r="J174" s="3">
        <f t="shared" si="110"/>
        <v>3.8490446989337478E-2</v>
      </c>
      <c r="K174" s="3">
        <f t="shared" si="110"/>
        <v>3.8450958313574625E-2</v>
      </c>
      <c r="L174" s="3">
        <f t="shared" si="110"/>
        <v>3.8058292915643041E-2</v>
      </c>
      <c r="M174" s="3">
        <f t="shared" si="110"/>
        <v>3.4345565052866192E-2</v>
      </c>
      <c r="N174" s="3">
        <f t="shared" si="110"/>
        <v>1.2305075426919531E-2</v>
      </c>
      <c r="O174" s="3">
        <f t="shared" si="110"/>
        <v>4.2876608323110614E-7</v>
      </c>
      <c r="P174" s="3">
        <f t="shared" si="110"/>
        <v>1.1313106146736902E-51</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2.5401059495136005E-2</v>
      </c>
      <c r="C175" s="3">
        <f t="shared" si="111"/>
        <v>2.5401059495112482E-2</v>
      </c>
      <c r="D175" s="3">
        <f t="shared" si="111"/>
        <v>2.5401059494877282E-2</v>
      </c>
      <c r="E175" s="3">
        <f t="shared" si="111"/>
        <v>2.5401059492525264E-2</v>
      </c>
      <c r="F175" s="3">
        <f t="shared" si="111"/>
        <v>2.5401059469005068E-2</v>
      </c>
      <c r="G175" s="3">
        <f t="shared" si="111"/>
        <v>2.5401059233803123E-2</v>
      </c>
      <c r="H175" s="3">
        <f t="shared" si="111"/>
        <v>2.5401056881783787E-2</v>
      </c>
      <c r="I175" s="3">
        <f t="shared" si="111"/>
        <v>2.5401033361602411E-2</v>
      </c>
      <c r="J175" s="3">
        <f t="shared" si="111"/>
        <v>2.5400798160986445E-2</v>
      </c>
      <c r="K175" s="3">
        <f t="shared" si="111"/>
        <v>2.5398446274604577E-2</v>
      </c>
      <c r="L175" s="3">
        <f t="shared" si="111"/>
        <v>2.5374939384458256E-2</v>
      </c>
      <c r="M175" s="3">
        <f t="shared" si="111"/>
        <v>2.5141063758161514E-2</v>
      </c>
      <c r="N175" s="3">
        <f t="shared" si="111"/>
        <v>2.2917646110457605E-2</v>
      </c>
      <c r="O175" s="3">
        <f t="shared" si="111"/>
        <v>9.0789077475062988E-3</v>
      </c>
      <c r="P175" s="3">
        <f t="shared" si="111"/>
        <v>8.6431001701682043E-7</v>
      </c>
      <c r="Q175" s="3">
        <f t="shared" si="111"/>
        <v>5.2848051302403577E-47</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2.8782781461155822E-2</v>
      </c>
      <c r="C176" s="3">
        <f t="shared" si="112"/>
        <v>2.8782781461153418E-2</v>
      </c>
      <c r="D176" s="3">
        <f t="shared" si="112"/>
        <v>2.8782781461129375E-2</v>
      </c>
      <c r="E176" s="3">
        <f t="shared" si="112"/>
        <v>2.8782781460888956E-2</v>
      </c>
      <c r="F176" s="3">
        <f t="shared" si="112"/>
        <v>2.8782781458484768E-2</v>
      </c>
      <c r="G176" s="3">
        <f t="shared" si="112"/>
        <v>2.8782781434442888E-2</v>
      </c>
      <c r="H176" s="3">
        <f t="shared" si="112"/>
        <v>2.8782781194024085E-2</v>
      </c>
      <c r="I176" s="3">
        <f t="shared" si="112"/>
        <v>2.8782778789836171E-2</v>
      </c>
      <c r="J176" s="3">
        <f t="shared" si="112"/>
        <v>2.8782754747968081E-2</v>
      </c>
      <c r="K176" s="3">
        <f t="shared" si="112"/>
        <v>2.8782514330391654E-2</v>
      </c>
      <c r="L176" s="3">
        <f t="shared" si="112"/>
        <v>2.8780110265073863E-2</v>
      </c>
      <c r="M176" s="3">
        <f t="shared" si="112"/>
        <v>2.8756080653131334E-2</v>
      </c>
      <c r="N176" s="3">
        <f t="shared" si="112"/>
        <v>2.8516885252490194E-2</v>
      </c>
      <c r="O176" s="3">
        <f t="shared" si="112"/>
        <v>2.6231675959911039E-2</v>
      </c>
      <c r="P176" s="3">
        <f t="shared" si="112"/>
        <v>1.137798996498259E-2</v>
      </c>
      <c r="Q176" s="3">
        <f t="shared" si="112"/>
        <v>2.6820114145776756E-6</v>
      </c>
      <c r="R176" s="3">
        <f t="shared" si="112"/>
        <v>1.4204023316738206E-42</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2.5701296027701315E-2</v>
      </c>
      <c r="C177" s="3">
        <f t="shared" si="113"/>
        <v>2.5701296027701125E-2</v>
      </c>
      <c r="D177" s="3">
        <f t="shared" si="113"/>
        <v>2.5701296027699189E-2</v>
      </c>
      <c r="E177" s="3">
        <f t="shared" si="113"/>
        <v>2.5701296027679822E-2</v>
      </c>
      <c r="F177" s="3">
        <f t="shared" si="113"/>
        <v>2.5701296027486165E-2</v>
      </c>
      <c r="G177" s="3">
        <f t="shared" si="113"/>
        <v>2.5701296025549575E-2</v>
      </c>
      <c r="H177" s="3">
        <f t="shared" si="113"/>
        <v>2.5701296006183694E-2</v>
      </c>
      <c r="I177" s="3">
        <f t="shared" si="113"/>
        <v>2.5701295812524869E-2</v>
      </c>
      <c r="J177" s="3">
        <f t="shared" si="113"/>
        <v>2.5701293875936736E-2</v>
      </c>
      <c r="K177" s="3">
        <f t="shared" si="113"/>
        <v>2.5701274510063432E-2</v>
      </c>
      <c r="L177" s="3">
        <f t="shared" si="113"/>
        <v>2.5701080852132949E-2</v>
      </c>
      <c r="M177" s="3">
        <f t="shared" si="113"/>
        <v>2.5699144353082515E-2</v>
      </c>
      <c r="N177" s="3">
        <f t="shared" si="113"/>
        <v>2.5679787385779924E-2</v>
      </c>
      <c r="O177" s="3">
        <f t="shared" si="113"/>
        <v>2.5487017800608185E-2</v>
      </c>
      <c r="P177" s="3">
        <f t="shared" si="113"/>
        <v>2.363714438079776E-2</v>
      </c>
      <c r="Q177" s="3">
        <f t="shared" si="113"/>
        <v>1.1126405021677235E-2</v>
      </c>
      <c r="R177" s="3">
        <f t="shared" si="113"/>
        <v>5.9422844268524674E-6</v>
      </c>
      <c r="S177" s="3">
        <f t="shared" si="113"/>
        <v>1.121861229777813E-38</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2.9863008376267458E-2</v>
      </c>
      <c r="C178" s="3">
        <f t="shared" si="114"/>
        <v>2.9863008376267437E-2</v>
      </c>
      <c r="D178" s="3">
        <f t="shared" si="114"/>
        <v>2.9863008376267236E-2</v>
      </c>
      <c r="E178" s="3">
        <f t="shared" si="114"/>
        <v>2.9863008376265206E-2</v>
      </c>
      <c r="F178" s="3">
        <f t="shared" si="114"/>
        <v>2.9863008376244907E-2</v>
      </c>
      <c r="G178" s="3">
        <f t="shared" si="114"/>
        <v>2.9863008376041923E-2</v>
      </c>
      <c r="H178" s="3">
        <f t="shared" si="114"/>
        <v>2.9863008374012082E-2</v>
      </c>
      <c r="I178" s="3">
        <f t="shared" si="114"/>
        <v>2.9863008353713656E-2</v>
      </c>
      <c r="J178" s="3">
        <f t="shared" si="114"/>
        <v>2.9863008150729373E-2</v>
      </c>
      <c r="K178" s="3">
        <f t="shared" si="114"/>
        <v>2.9863006120886635E-2</v>
      </c>
      <c r="L178" s="3">
        <f t="shared" si="114"/>
        <v>2.9862985822466888E-2</v>
      </c>
      <c r="M178" s="3">
        <f t="shared" si="114"/>
        <v>2.986278283902823E-2</v>
      </c>
      <c r="N178" s="3">
        <f t="shared" si="114"/>
        <v>2.9860753080524164E-2</v>
      </c>
      <c r="O178" s="3">
        <f t="shared" si="114"/>
        <v>2.9840463081828725E-2</v>
      </c>
      <c r="P178" s="3">
        <f t="shared" si="114"/>
        <v>2.9638319824923234E-2</v>
      </c>
      <c r="Q178" s="3">
        <f t="shared" si="114"/>
        <v>2.7690691224745607E-2</v>
      </c>
      <c r="R178" s="3">
        <f t="shared" si="114"/>
        <v>1.4032529509505514E-2</v>
      </c>
      <c r="S178" s="3">
        <f t="shared" si="114"/>
        <v>1.5673198615013298E-5</v>
      </c>
      <c r="T178" s="3">
        <f t="shared" si="114"/>
        <v>4.7355929628143292E-35</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2.3136710280310717E-2</v>
      </c>
      <c r="C179" s="3">
        <f t="shared" si="115"/>
        <v>2.3136710280310713E-2</v>
      </c>
      <c r="D179" s="3">
        <f t="shared" si="115"/>
        <v>2.3136710280310703E-2</v>
      </c>
      <c r="E179" s="3">
        <f t="shared" si="115"/>
        <v>2.3136710280310561E-2</v>
      </c>
      <c r="F179" s="3">
        <f t="shared" si="115"/>
        <v>2.3136710280309138E-2</v>
      </c>
      <c r="G179" s="3">
        <f t="shared" si="115"/>
        <v>2.3136710280294952E-2</v>
      </c>
      <c r="H179" s="3">
        <f t="shared" si="115"/>
        <v>2.313671028015309E-2</v>
      </c>
      <c r="I179" s="3">
        <f t="shared" si="115"/>
        <v>2.3136710278734433E-2</v>
      </c>
      <c r="J179" s="3">
        <f t="shared" si="115"/>
        <v>2.3136710264547874E-2</v>
      </c>
      <c r="K179" s="3">
        <f t="shared" si="115"/>
        <v>2.3136710122682289E-2</v>
      </c>
      <c r="L179" s="3">
        <f t="shared" si="115"/>
        <v>2.3136708704026496E-2</v>
      </c>
      <c r="M179" s="3">
        <f t="shared" si="115"/>
        <v>2.3136694517473331E-2</v>
      </c>
      <c r="N179" s="3">
        <f t="shared" si="115"/>
        <v>2.3136552652420126E-2</v>
      </c>
      <c r="O179" s="3">
        <f t="shared" si="115"/>
        <v>2.313513404972951E-2</v>
      </c>
      <c r="P179" s="3">
        <f t="shared" si="115"/>
        <v>2.3120952805882108E-2</v>
      </c>
      <c r="Q179" s="3">
        <f t="shared" si="115"/>
        <v>2.2979617589927927E-2</v>
      </c>
      <c r="R179" s="3">
        <f t="shared" si="115"/>
        <v>2.1612922535527771E-2</v>
      </c>
      <c r="S179" s="3">
        <f t="shared" si="115"/>
        <v>1.1706322749875301E-2</v>
      </c>
      <c r="T179" s="3">
        <f t="shared" si="115"/>
        <v>2.5438439229301479E-5</v>
      </c>
      <c r="U179" s="3">
        <f t="shared" si="115"/>
        <v>5.9729673703407371E-32</v>
      </c>
      <c r="V179" s="3">
        <f t="shared" si="115"/>
        <v>3.0421942937482504E-298</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3.7322629147916536E-2</v>
      </c>
      <c r="C180" s="3">
        <f t="shared" si="116"/>
        <v>3.7322629147916536E-2</v>
      </c>
      <c r="D180" s="3">
        <f t="shared" si="116"/>
        <v>3.7322629147916529E-2</v>
      </c>
      <c r="E180" s="3">
        <f t="shared" si="116"/>
        <v>3.7322629147916508E-2</v>
      </c>
      <c r="F180" s="3">
        <f t="shared" si="116"/>
        <v>3.7322629147916307E-2</v>
      </c>
      <c r="G180" s="3">
        <f t="shared" si="116"/>
        <v>3.7322629147914239E-2</v>
      </c>
      <c r="H180" s="3">
        <f t="shared" si="116"/>
        <v>3.7322629147893596E-2</v>
      </c>
      <c r="I180" s="3">
        <f t="shared" si="116"/>
        <v>3.7322629147687157E-2</v>
      </c>
      <c r="J180" s="3">
        <f t="shared" si="116"/>
        <v>3.7322629145622753E-2</v>
      </c>
      <c r="K180" s="3">
        <f t="shared" si="116"/>
        <v>3.7322629124978732E-2</v>
      </c>
      <c r="L180" s="3">
        <f t="shared" si="116"/>
        <v>3.732262891853854E-2</v>
      </c>
      <c r="M180" s="3">
        <f t="shared" si="116"/>
        <v>3.7322626854136641E-2</v>
      </c>
      <c r="N180" s="3">
        <f t="shared" si="116"/>
        <v>3.7322606210123926E-2</v>
      </c>
      <c r="O180" s="3">
        <f t="shared" si="116"/>
        <v>3.7322399770624792E-2</v>
      </c>
      <c r="P180" s="3">
        <f t="shared" si="116"/>
        <v>3.732033543843484E-2</v>
      </c>
      <c r="Q180" s="3">
        <f t="shared" si="116"/>
        <v>3.7299698395387132E-2</v>
      </c>
      <c r="R180" s="3">
        <f t="shared" si="116"/>
        <v>3.7093954566993131E-2</v>
      </c>
      <c r="S180" s="3">
        <f t="shared" si="116"/>
        <v>3.5097912866914965E-2</v>
      </c>
      <c r="T180" s="3">
        <f t="shared" si="116"/>
        <v>2.0186584737239721E-2</v>
      </c>
      <c r="U180" s="3">
        <f t="shared" si="116"/>
        <v>7.9961038495275695E-5</v>
      </c>
      <c r="V180" s="3">
        <f t="shared" si="116"/>
        <v>7.6038614210834404E-29</v>
      </c>
      <c r="W180" s="3">
        <f t="shared" si="116"/>
        <v>4.5982424639751915E-269</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3.2712076759715769E-2</v>
      </c>
      <c r="C181" s="3">
        <f t="shared" si="117"/>
        <v>3.2712076759715769E-2</v>
      </c>
      <c r="D181" s="3">
        <f t="shared" si="117"/>
        <v>3.2712076759715769E-2</v>
      </c>
      <c r="E181" s="3">
        <f t="shared" si="117"/>
        <v>3.2712076759715769E-2</v>
      </c>
      <c r="F181" s="3">
        <f t="shared" si="117"/>
        <v>3.2712076759715748E-2</v>
      </c>
      <c r="G181" s="3">
        <f t="shared" si="117"/>
        <v>3.2712076759715589E-2</v>
      </c>
      <c r="H181" s="3">
        <f t="shared" si="117"/>
        <v>3.2712076759713958E-2</v>
      </c>
      <c r="I181" s="3">
        <f t="shared" si="117"/>
        <v>3.2712076759697631E-2</v>
      </c>
      <c r="J181" s="3">
        <f t="shared" si="117"/>
        <v>3.2712076759534414E-2</v>
      </c>
      <c r="K181" s="3">
        <f t="shared" si="117"/>
        <v>3.2712076757902199E-2</v>
      </c>
      <c r="L181" s="3">
        <f t="shared" si="117"/>
        <v>3.2712076741580068E-2</v>
      </c>
      <c r="M181" s="3">
        <f t="shared" si="117"/>
        <v>3.2712076578358812E-2</v>
      </c>
      <c r="N181" s="3">
        <f t="shared" si="117"/>
        <v>3.271207494614619E-2</v>
      </c>
      <c r="O181" s="3">
        <f t="shared" si="117"/>
        <v>3.2712058624024543E-2</v>
      </c>
      <c r="P181" s="3">
        <f t="shared" si="117"/>
        <v>3.2711895403255982E-2</v>
      </c>
      <c r="Q181" s="3">
        <f t="shared" si="117"/>
        <v>3.2710263240362226E-2</v>
      </c>
      <c r="R181" s="3">
        <f t="shared" si="117"/>
        <v>3.2693946089784369E-2</v>
      </c>
      <c r="S181" s="3">
        <f t="shared" si="117"/>
        <v>3.2531221594301607E-2</v>
      </c>
      <c r="T181" s="3">
        <f t="shared" si="117"/>
        <v>3.0947863313165708E-2</v>
      </c>
      <c r="U181" s="3">
        <f t="shared" si="117"/>
        <v>1.8790297268090027E-2</v>
      </c>
      <c r="V181" s="3">
        <f t="shared" si="117"/>
        <v>1.2792736618102394E-4</v>
      </c>
      <c r="W181" s="3">
        <f t="shared" si="117"/>
        <v>2.7369164246318826E-26</v>
      </c>
      <c r="X181" s="3">
        <f t="shared" si="117"/>
        <v>5.4984756849196401E-243</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4.2271951558424573E-2</v>
      </c>
      <c r="C182" s="3">
        <f t="shared" si="118"/>
        <v>4.2271951558424573E-2</v>
      </c>
      <c r="D182" s="3">
        <f t="shared" si="118"/>
        <v>4.2271951558424573E-2</v>
      </c>
      <c r="E182" s="3">
        <f t="shared" si="118"/>
        <v>4.2271951558424573E-2</v>
      </c>
      <c r="F182" s="3">
        <f t="shared" si="118"/>
        <v>4.2271951558424573E-2</v>
      </c>
      <c r="G182" s="3">
        <f t="shared" si="118"/>
        <v>4.2271951558424552E-2</v>
      </c>
      <c r="H182" s="3">
        <f t="shared" si="118"/>
        <v>4.2271951558424364E-2</v>
      </c>
      <c r="I182" s="3">
        <f t="shared" si="118"/>
        <v>4.2271951558422463E-2</v>
      </c>
      <c r="J182" s="3">
        <f t="shared" si="118"/>
        <v>4.227195155840343E-2</v>
      </c>
      <c r="K182" s="3">
        <f t="shared" si="118"/>
        <v>4.2271951558213158E-2</v>
      </c>
      <c r="L182" s="3">
        <f t="shared" si="118"/>
        <v>4.2271951556310479E-2</v>
      </c>
      <c r="M182" s="3">
        <f t="shared" si="118"/>
        <v>4.2271951537283595E-2</v>
      </c>
      <c r="N182" s="3">
        <f t="shared" si="118"/>
        <v>4.2271951347014822E-2</v>
      </c>
      <c r="O182" s="3">
        <f t="shared" si="118"/>
        <v>4.2271949444327155E-2</v>
      </c>
      <c r="P182" s="3">
        <f t="shared" si="118"/>
        <v>4.2271930417455188E-2</v>
      </c>
      <c r="Q182" s="3">
        <f t="shared" si="118"/>
        <v>4.2271740149206517E-2</v>
      </c>
      <c r="R182" s="3">
        <f t="shared" si="118"/>
        <v>4.2269837513821615E-2</v>
      </c>
      <c r="S182" s="3">
        <f t="shared" si="118"/>
        <v>4.2250815869366916E-2</v>
      </c>
      <c r="T182" s="3">
        <f t="shared" si="118"/>
        <v>4.2061069580901646E-2</v>
      </c>
      <c r="U182" s="3">
        <f t="shared" si="118"/>
        <v>4.0209848647037742E-2</v>
      </c>
      <c r="V182" s="3">
        <f t="shared" si="118"/>
        <v>2.5636202864713506E-2</v>
      </c>
      <c r="W182" s="3">
        <f t="shared" si="118"/>
        <v>2.8448954560302556E-4</v>
      </c>
      <c r="X182" s="3">
        <f t="shared" si="118"/>
        <v>8.0573537587259194E-24</v>
      </c>
      <c r="Y182" s="3">
        <f t="shared" si="118"/>
        <v>2.6757999029857527E-219</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4.6527520280984086E-2</v>
      </c>
      <c r="C183" s="3">
        <f t="shared" si="119"/>
        <v>4.6527520280984086E-2</v>
      </c>
      <c r="D183" s="3">
        <f t="shared" si="119"/>
        <v>4.6527520280984086E-2</v>
      </c>
      <c r="E183" s="3">
        <f t="shared" si="119"/>
        <v>4.6527520280984086E-2</v>
      </c>
      <c r="F183" s="3">
        <f t="shared" si="119"/>
        <v>4.6527520280984086E-2</v>
      </c>
      <c r="G183" s="3">
        <f t="shared" si="119"/>
        <v>4.6527520280984086E-2</v>
      </c>
      <c r="H183" s="3">
        <f t="shared" si="119"/>
        <v>4.6527520280984065E-2</v>
      </c>
      <c r="I183" s="3">
        <f t="shared" si="119"/>
        <v>4.6527520280983871E-2</v>
      </c>
      <c r="J183" s="3">
        <f t="shared" si="119"/>
        <v>4.652752028098199E-2</v>
      </c>
      <c r="K183" s="3">
        <f t="shared" si="119"/>
        <v>4.6527520280963096E-2</v>
      </c>
      <c r="L183" s="3">
        <f t="shared" si="119"/>
        <v>4.6527520280774178E-2</v>
      </c>
      <c r="M183" s="3">
        <f t="shared" si="119"/>
        <v>4.6527520278885008E-2</v>
      </c>
      <c r="N183" s="3">
        <f t="shared" si="119"/>
        <v>4.652752025999328E-2</v>
      </c>
      <c r="O183" s="3">
        <f t="shared" si="119"/>
        <v>4.6527520071075981E-2</v>
      </c>
      <c r="P183" s="3">
        <f t="shared" si="119"/>
        <v>4.6527518181903094E-2</v>
      </c>
      <c r="Q183" s="3">
        <f t="shared" si="119"/>
        <v>4.6527499290178437E-2</v>
      </c>
      <c r="R183" s="3">
        <f t="shared" si="119"/>
        <v>4.6527310373353697E-2</v>
      </c>
      <c r="S183" s="3">
        <f t="shared" si="119"/>
        <v>4.6525421247294314E-2</v>
      </c>
      <c r="T183" s="3">
        <f t="shared" si="119"/>
        <v>4.6506534204867056E-2</v>
      </c>
      <c r="U183" s="3">
        <f t="shared" si="119"/>
        <v>4.6318084964228838E-2</v>
      </c>
      <c r="V183" s="3">
        <f t="shared" si="119"/>
        <v>4.4475084980545768E-2</v>
      </c>
      <c r="W183" s="3">
        <f t="shared" si="119"/>
        <v>2.9633210218371078E-2</v>
      </c>
      <c r="X183" s="3">
        <f t="shared" si="119"/>
        <v>5.1097288570444517E-4</v>
      </c>
      <c r="Y183" s="3">
        <f t="shared" si="119"/>
        <v>1.1873790698656031E-21</v>
      </c>
      <c r="Z183" s="3">
        <f t="shared" si="119"/>
        <v>5.4513583139522339E-198</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5.951973770461929E-2</v>
      </c>
      <c r="C184" s="3">
        <f t="shared" si="120"/>
        <v>5.951973770461929E-2</v>
      </c>
      <c r="D184" s="3">
        <f t="shared" si="120"/>
        <v>5.951973770461929E-2</v>
      </c>
      <c r="E184" s="3">
        <f t="shared" si="120"/>
        <v>5.951973770461929E-2</v>
      </c>
      <c r="F184" s="3">
        <f t="shared" si="120"/>
        <v>5.951973770461929E-2</v>
      </c>
      <c r="G184" s="3">
        <f t="shared" si="120"/>
        <v>5.951973770461929E-2</v>
      </c>
      <c r="H184" s="3">
        <f t="shared" si="120"/>
        <v>5.951973770461929E-2</v>
      </c>
      <c r="I184" s="3">
        <f t="shared" si="120"/>
        <v>5.9519737704619262E-2</v>
      </c>
      <c r="J184" s="3">
        <f t="shared" si="120"/>
        <v>5.9519737704619047E-2</v>
      </c>
      <c r="K184" s="3">
        <f t="shared" si="120"/>
        <v>5.9519737704616868E-2</v>
      </c>
      <c r="L184" s="3">
        <f t="shared" si="120"/>
        <v>5.9519737704595066E-2</v>
      </c>
      <c r="M184" s="3">
        <f t="shared" si="120"/>
        <v>5.951973770437706E-2</v>
      </c>
      <c r="N184" s="3">
        <f t="shared" si="120"/>
        <v>5.9519737702196998E-2</v>
      </c>
      <c r="O184" s="3">
        <f t="shared" si="120"/>
        <v>5.9519737680396347E-2</v>
      </c>
      <c r="P184" s="3">
        <f t="shared" si="120"/>
        <v>5.9519737462389866E-2</v>
      </c>
      <c r="Q184" s="3">
        <f t="shared" si="120"/>
        <v>5.9519735282325091E-2</v>
      </c>
      <c r="R184" s="3">
        <f t="shared" si="120"/>
        <v>5.9519713481681724E-2</v>
      </c>
      <c r="S184" s="3">
        <f t="shared" si="120"/>
        <v>5.9519495475687259E-2</v>
      </c>
      <c r="T184" s="3">
        <f t="shared" si="120"/>
        <v>5.9517315459659728E-2</v>
      </c>
      <c r="U184" s="3">
        <f t="shared" si="120"/>
        <v>5.9495519690502402E-2</v>
      </c>
      <c r="V184" s="3">
        <f t="shared" si="120"/>
        <v>5.927800051621198E-2</v>
      </c>
      <c r="W184" s="3">
        <f t="shared" si="120"/>
        <v>5.7146071991279281E-2</v>
      </c>
      <c r="X184" s="3">
        <f t="shared" si="120"/>
        <v>3.9620026500585416E-2</v>
      </c>
      <c r="Y184" s="3">
        <f t="shared" si="120"/>
        <v>1.0167133799164692E-3</v>
      </c>
      <c r="Z184" s="3">
        <f t="shared" si="120"/>
        <v>1.2590306738326975E-19</v>
      </c>
      <c r="AA184" s="3">
        <f t="shared" si="120"/>
        <v>1.067613438456136E-178</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8.0489091133812765E-2</v>
      </c>
      <c r="C185" s="3">
        <f t="shared" si="121"/>
        <v>8.0489091133812765E-2</v>
      </c>
      <c r="D185" s="3">
        <f t="shared" si="121"/>
        <v>8.0489091133812765E-2</v>
      </c>
      <c r="E185" s="3">
        <f t="shared" si="121"/>
        <v>8.0489091133812765E-2</v>
      </c>
      <c r="F185" s="3">
        <f t="shared" si="121"/>
        <v>8.0489091133812765E-2</v>
      </c>
      <c r="G185" s="3">
        <f t="shared" si="121"/>
        <v>8.0489091133812765E-2</v>
      </c>
      <c r="H185" s="3">
        <f t="shared" si="121"/>
        <v>8.0489091133812765E-2</v>
      </c>
      <c r="I185" s="3">
        <f t="shared" si="121"/>
        <v>8.0489091133812765E-2</v>
      </c>
      <c r="J185" s="3">
        <f t="shared" si="121"/>
        <v>8.0489091133812737E-2</v>
      </c>
      <c r="K185" s="3">
        <f t="shared" si="121"/>
        <v>8.0489091133812474E-2</v>
      </c>
      <c r="L185" s="3">
        <f t="shared" si="121"/>
        <v>8.0489091133809809E-2</v>
      </c>
      <c r="M185" s="3">
        <f t="shared" si="121"/>
        <v>8.0489091133783219E-2</v>
      </c>
      <c r="N185" s="3">
        <f t="shared" si="121"/>
        <v>8.0489091133517265E-2</v>
      </c>
      <c r="O185" s="3">
        <f t="shared" si="121"/>
        <v>8.0489091130857823E-2</v>
      </c>
      <c r="P185" s="3">
        <f t="shared" si="121"/>
        <v>8.0489091104263305E-2</v>
      </c>
      <c r="Q185" s="3">
        <f t="shared" si="121"/>
        <v>8.0489090838318192E-2</v>
      </c>
      <c r="R185" s="3">
        <f t="shared" si="121"/>
        <v>8.048908817886713E-2</v>
      </c>
      <c r="S185" s="3">
        <f t="shared" si="121"/>
        <v>8.0489061584361254E-2</v>
      </c>
      <c r="T185" s="3">
        <f t="shared" si="121"/>
        <v>8.0488795639785754E-2</v>
      </c>
      <c r="U185" s="3">
        <f t="shared" si="121"/>
        <v>8.0486136242359424E-2</v>
      </c>
      <c r="V185" s="3">
        <f t="shared" si="121"/>
        <v>8.0459547100360559E-2</v>
      </c>
      <c r="W185" s="3">
        <f t="shared" si="121"/>
        <v>8.0194138316592667E-2</v>
      </c>
      <c r="X185" s="3">
        <f t="shared" si="121"/>
        <v>7.7587729245967268E-2</v>
      </c>
      <c r="Y185" s="3">
        <f t="shared" si="121"/>
        <v>5.5756718357568451E-2</v>
      </c>
      <c r="Z185" s="3">
        <f t="shared" si="121"/>
        <v>2.0480418979917018E-3</v>
      </c>
      <c r="AA185" s="3">
        <f t="shared" si="121"/>
        <v>9.1570410062242742E-18</v>
      </c>
      <c r="AB185" s="3">
        <f t="shared" si="121"/>
        <v>2.9236028662597996E-161</v>
      </c>
      <c r="AC185" s="3">
        <f t="shared" si="121"/>
        <v>0</v>
      </c>
      <c r="AD185" s="3">
        <f t="shared" si="121"/>
        <v>0</v>
      </c>
      <c r="AE185" s="3">
        <f t="shared" si="121"/>
        <v>0</v>
      </c>
      <c r="AF185" s="3">
        <f t="shared" si="121"/>
        <v>0</v>
      </c>
      <c r="AG185" s="3"/>
      <c r="AH185" s="3"/>
    </row>
    <row r="186" spans="2:34" x14ac:dyDescent="0.25">
      <c r="B186" s="3">
        <f t="shared" ref="B186:AF186" si="122">$C33*EXP(-B$168/$A33/EXP(-$C$126))</f>
        <v>6.5723461611377515E-2</v>
      </c>
      <c r="C186" s="3">
        <f t="shared" si="122"/>
        <v>6.5723461611377515E-2</v>
      </c>
      <c r="D186" s="3">
        <f t="shared" si="122"/>
        <v>6.5723461611377515E-2</v>
      </c>
      <c r="E186" s="3">
        <f t="shared" si="122"/>
        <v>6.5723461611377515E-2</v>
      </c>
      <c r="F186" s="3">
        <f t="shared" si="122"/>
        <v>6.5723461611377515E-2</v>
      </c>
      <c r="G186" s="3">
        <f t="shared" si="122"/>
        <v>6.5723461611377515E-2</v>
      </c>
      <c r="H186" s="3">
        <f t="shared" si="122"/>
        <v>6.5723461611377515E-2</v>
      </c>
      <c r="I186" s="3">
        <f t="shared" si="122"/>
        <v>6.5723461611377515E-2</v>
      </c>
      <c r="J186" s="3">
        <f t="shared" si="122"/>
        <v>6.5723461611377515E-2</v>
      </c>
      <c r="K186" s="3">
        <f t="shared" si="122"/>
        <v>6.5723461611377487E-2</v>
      </c>
      <c r="L186" s="3">
        <f t="shared" si="122"/>
        <v>6.5723461611377293E-2</v>
      </c>
      <c r="M186" s="3">
        <f t="shared" si="122"/>
        <v>6.5723461611375336E-2</v>
      </c>
      <c r="N186" s="3">
        <f t="shared" si="122"/>
        <v>6.5723461611355755E-2</v>
      </c>
      <c r="O186" s="3">
        <f t="shared" si="122"/>
        <v>6.5723461611159856E-2</v>
      </c>
      <c r="P186" s="3">
        <f t="shared" si="122"/>
        <v>6.5723461609200909E-2</v>
      </c>
      <c r="Q186" s="3">
        <f t="shared" si="122"/>
        <v>6.5723461589611468E-2</v>
      </c>
      <c r="R186" s="3">
        <f t="shared" si="122"/>
        <v>6.572346139371707E-2</v>
      </c>
      <c r="S186" s="3">
        <f t="shared" si="122"/>
        <v>6.572345943477316E-2</v>
      </c>
      <c r="T186" s="3">
        <f t="shared" si="122"/>
        <v>6.5723439845337225E-2</v>
      </c>
      <c r="U186" s="3">
        <f t="shared" si="122"/>
        <v>6.5723243951298971E-2</v>
      </c>
      <c r="V186" s="3">
        <f t="shared" si="122"/>
        <v>6.5721285043029432E-2</v>
      </c>
      <c r="W186" s="3">
        <f t="shared" si="122"/>
        <v>6.5701699171280506E-2</v>
      </c>
      <c r="X186" s="3">
        <f t="shared" si="122"/>
        <v>6.5506161194611778E-2</v>
      </c>
      <c r="Y186" s="3">
        <f t="shared" si="122"/>
        <v>6.3582504594026742E-2</v>
      </c>
      <c r="Z186" s="3">
        <f t="shared" si="122"/>
        <v>4.7194615135320341E-2</v>
      </c>
      <c r="AA186" s="3">
        <f t="shared" si="122"/>
        <v>2.3957451854087881E-3</v>
      </c>
      <c r="AB186" s="3">
        <f t="shared" si="122"/>
        <v>2.7222147079506544E-16</v>
      </c>
      <c r="AC186" s="3">
        <f t="shared" si="122"/>
        <v>9.7665211947930676E-146</v>
      </c>
      <c r="AD186" s="3">
        <f t="shared" si="122"/>
        <v>0</v>
      </c>
      <c r="AE186" s="3">
        <f t="shared" si="122"/>
        <v>0</v>
      </c>
      <c r="AF186" s="3">
        <f t="shared" si="122"/>
        <v>0</v>
      </c>
      <c r="AG186" s="3"/>
      <c r="AH186" s="3"/>
    </row>
    <row r="187" spans="2:34" x14ac:dyDescent="0.25">
      <c r="B187" s="3">
        <f t="shared" ref="B187:AF187" si="123">$C34*EXP(-B$168/$A34/EXP(-$C$126))</f>
        <v>5.0766006496314589E-2</v>
      </c>
      <c r="C187" s="3">
        <f t="shared" si="123"/>
        <v>5.0766006496314589E-2</v>
      </c>
      <c r="D187" s="3">
        <f t="shared" si="123"/>
        <v>5.0766006496314589E-2</v>
      </c>
      <c r="E187" s="3">
        <f t="shared" si="123"/>
        <v>5.0766006496314589E-2</v>
      </c>
      <c r="F187" s="3">
        <f t="shared" si="123"/>
        <v>5.0766006496314589E-2</v>
      </c>
      <c r="G187" s="3">
        <f t="shared" si="123"/>
        <v>5.0766006496314589E-2</v>
      </c>
      <c r="H187" s="3">
        <f t="shared" si="123"/>
        <v>5.0766006496314589E-2</v>
      </c>
      <c r="I187" s="3">
        <f t="shared" si="123"/>
        <v>5.0766006496314589E-2</v>
      </c>
      <c r="J187" s="3">
        <f t="shared" si="123"/>
        <v>5.0766006496314589E-2</v>
      </c>
      <c r="K187" s="3">
        <f t="shared" si="123"/>
        <v>5.0766006496314589E-2</v>
      </c>
      <c r="L187" s="3">
        <f t="shared" si="123"/>
        <v>5.0766006496314575E-2</v>
      </c>
      <c r="M187" s="3">
        <f t="shared" si="123"/>
        <v>5.0766006496314436E-2</v>
      </c>
      <c r="N187" s="3">
        <f t="shared" si="123"/>
        <v>5.0766006496313076E-2</v>
      </c>
      <c r="O187" s="3">
        <f t="shared" si="123"/>
        <v>5.0766006496299421E-2</v>
      </c>
      <c r="P187" s="3">
        <f t="shared" si="123"/>
        <v>5.0766006496162926E-2</v>
      </c>
      <c r="Q187" s="3">
        <f t="shared" si="123"/>
        <v>5.0766006494797962E-2</v>
      </c>
      <c r="R187" s="3">
        <f t="shared" si="123"/>
        <v>5.0766006481148325E-2</v>
      </c>
      <c r="S187" s="3">
        <f t="shared" si="123"/>
        <v>5.0766006344651934E-2</v>
      </c>
      <c r="T187" s="3">
        <f t="shared" si="123"/>
        <v>5.0766004979688029E-2</v>
      </c>
      <c r="U187" s="3">
        <f t="shared" si="123"/>
        <v>5.0765991330051045E-2</v>
      </c>
      <c r="V187" s="3">
        <f t="shared" si="123"/>
        <v>5.0765854833883059E-2</v>
      </c>
      <c r="W187" s="3">
        <f t="shared" si="123"/>
        <v>5.0764489892388097E-2</v>
      </c>
      <c r="X187" s="3">
        <f t="shared" si="123"/>
        <v>5.0750842495730572E-2</v>
      </c>
      <c r="Y187" s="3">
        <f t="shared" si="123"/>
        <v>5.0614570157727655E-2</v>
      </c>
      <c r="Z187" s="3">
        <f t="shared" si="123"/>
        <v>4.9271810482750963E-2</v>
      </c>
      <c r="AA187" s="3">
        <f t="shared" si="123"/>
        <v>3.765548080152812E-2</v>
      </c>
      <c r="AB187" s="3">
        <f t="shared" si="123"/>
        <v>2.5593221965548017E-3</v>
      </c>
      <c r="AC187" s="3">
        <f t="shared" si="123"/>
        <v>5.3838459336442913E-15</v>
      </c>
      <c r="AD187" s="3">
        <f t="shared" si="123"/>
        <v>9.1362763060606153E-132</v>
      </c>
      <c r="AE187" s="3">
        <f t="shared" si="123"/>
        <v>0</v>
      </c>
      <c r="AF187" s="3">
        <f t="shared" si="123"/>
        <v>0</v>
      </c>
      <c r="AG187" s="3"/>
      <c r="AH187" s="3"/>
    </row>
    <row r="188" spans="2:34" x14ac:dyDescent="0.25">
      <c r="B188" s="3">
        <f t="shared" ref="B188:AF188" si="124">$C35*EXP(-B$168/$A35/EXP(-$C$126))</f>
        <v>2.7257633093652572E-2</v>
      </c>
      <c r="C188" s="3">
        <f t="shared" si="124"/>
        <v>2.7257633093652572E-2</v>
      </c>
      <c r="D188" s="3">
        <f t="shared" si="124"/>
        <v>2.7257633093652572E-2</v>
      </c>
      <c r="E188" s="3">
        <f t="shared" si="124"/>
        <v>2.7257633093652572E-2</v>
      </c>
      <c r="F188" s="3">
        <f t="shared" si="124"/>
        <v>2.7257633093652572E-2</v>
      </c>
      <c r="G188" s="3">
        <f t="shared" si="124"/>
        <v>2.7257633093652572E-2</v>
      </c>
      <c r="H188" s="3">
        <f t="shared" si="124"/>
        <v>2.7257633093652572E-2</v>
      </c>
      <c r="I188" s="3">
        <f t="shared" si="124"/>
        <v>2.7257633093652572E-2</v>
      </c>
      <c r="J188" s="3">
        <f t="shared" si="124"/>
        <v>2.7257633093652572E-2</v>
      </c>
      <c r="K188" s="3">
        <f t="shared" si="124"/>
        <v>2.7257633093652572E-2</v>
      </c>
      <c r="L188" s="3">
        <f t="shared" si="124"/>
        <v>2.7257633093652572E-2</v>
      </c>
      <c r="M188" s="3">
        <f t="shared" si="124"/>
        <v>2.7257633093652565E-2</v>
      </c>
      <c r="N188" s="3">
        <f t="shared" si="124"/>
        <v>2.7257633093652499E-2</v>
      </c>
      <c r="O188" s="3">
        <f t="shared" si="124"/>
        <v>2.7257633093651836E-2</v>
      </c>
      <c r="P188" s="3">
        <f t="shared" si="124"/>
        <v>2.7257633093645227E-2</v>
      </c>
      <c r="Q188" s="3">
        <f t="shared" si="124"/>
        <v>2.7257633093579113E-2</v>
      </c>
      <c r="R188" s="3">
        <f t="shared" si="124"/>
        <v>2.7257633092917989E-2</v>
      </c>
      <c r="S188" s="3">
        <f t="shared" si="124"/>
        <v>2.725763308630675E-2</v>
      </c>
      <c r="T188" s="3">
        <f t="shared" si="124"/>
        <v>2.7257633020194353E-2</v>
      </c>
      <c r="U188" s="3">
        <f t="shared" si="124"/>
        <v>2.7257632359070392E-2</v>
      </c>
      <c r="V188" s="3">
        <f t="shared" si="124"/>
        <v>2.7257625747831662E-2</v>
      </c>
      <c r="W188" s="3">
        <f t="shared" si="124"/>
        <v>2.7257559635532575E-2</v>
      </c>
      <c r="X188" s="3">
        <f t="shared" si="124"/>
        <v>2.7256898521361015E-2</v>
      </c>
      <c r="Y188" s="3">
        <f t="shared" si="124"/>
        <v>2.725028826150018E-2</v>
      </c>
      <c r="Z188" s="3">
        <f t="shared" si="124"/>
        <v>2.7184273769277224E-2</v>
      </c>
      <c r="AA188" s="3">
        <f t="shared" si="124"/>
        <v>2.6532860927382551E-2</v>
      </c>
      <c r="AB188" s="3">
        <f t="shared" si="124"/>
        <v>2.0818408910763871E-2</v>
      </c>
      <c r="AC188" s="3">
        <f t="shared" si="124"/>
        <v>1.8411199078038872E-3</v>
      </c>
      <c r="AD188" s="3">
        <f t="shared" si="124"/>
        <v>5.3879985228024255E-14</v>
      </c>
      <c r="AE188" s="3">
        <f t="shared" si="124"/>
        <v>2.482455132059015E-119</v>
      </c>
      <c r="AF188" s="3">
        <f t="shared" si="124"/>
        <v>0</v>
      </c>
      <c r="AG188" s="3"/>
      <c r="AH188" s="3"/>
    </row>
    <row r="189" spans="2:34" x14ac:dyDescent="0.25">
      <c r="B189" s="3">
        <f t="shared" ref="B189:AF189" si="125">$C36*EXP(-B$168/$A36/EXP(-$C$126))</f>
        <v>1.5460526055255958E-2</v>
      </c>
      <c r="C189" s="3">
        <f t="shared" si="125"/>
        <v>1.5460526055255958E-2</v>
      </c>
      <c r="D189" s="3">
        <f t="shared" si="125"/>
        <v>1.5460526055255958E-2</v>
      </c>
      <c r="E189" s="3">
        <f t="shared" si="125"/>
        <v>1.5460526055255958E-2</v>
      </c>
      <c r="F189" s="3">
        <f t="shared" si="125"/>
        <v>1.5460526055255958E-2</v>
      </c>
      <c r="G189" s="3">
        <f t="shared" si="125"/>
        <v>1.5460526055255958E-2</v>
      </c>
      <c r="H189" s="3">
        <f t="shared" si="125"/>
        <v>1.5460526055255958E-2</v>
      </c>
      <c r="I189" s="3">
        <f t="shared" si="125"/>
        <v>1.5460526055255958E-2</v>
      </c>
      <c r="J189" s="3">
        <f t="shared" si="125"/>
        <v>1.5460526055255958E-2</v>
      </c>
      <c r="K189" s="3">
        <f t="shared" si="125"/>
        <v>1.5460526055255958E-2</v>
      </c>
      <c r="L189" s="3">
        <f t="shared" si="125"/>
        <v>1.5460526055255958E-2</v>
      </c>
      <c r="M189" s="3">
        <f t="shared" si="125"/>
        <v>1.5460526055255958E-2</v>
      </c>
      <c r="N189" s="3">
        <f t="shared" si="125"/>
        <v>1.5460526055255955E-2</v>
      </c>
      <c r="O189" s="3">
        <f t="shared" si="125"/>
        <v>1.546052605525592E-2</v>
      </c>
      <c r="P189" s="3">
        <f t="shared" si="125"/>
        <v>1.5460526055255582E-2</v>
      </c>
      <c r="Q189" s="3">
        <f t="shared" si="125"/>
        <v>1.5460526055252199E-2</v>
      </c>
      <c r="R189" s="3">
        <f t="shared" si="125"/>
        <v>1.5460526055218372E-2</v>
      </c>
      <c r="S189" s="3">
        <f t="shared" si="125"/>
        <v>1.5460526054880101E-2</v>
      </c>
      <c r="T189" s="3">
        <f t="shared" si="125"/>
        <v>1.5460526051497385E-2</v>
      </c>
      <c r="U189" s="3">
        <f t="shared" si="125"/>
        <v>1.5460526017670218E-2</v>
      </c>
      <c r="V189" s="3">
        <f t="shared" si="125"/>
        <v>1.5460525679398558E-2</v>
      </c>
      <c r="W189" s="3">
        <f t="shared" si="125"/>
        <v>1.5460522296682364E-2</v>
      </c>
      <c r="X189" s="3">
        <f t="shared" si="125"/>
        <v>1.5460488469561133E-2</v>
      </c>
      <c r="Y189" s="3">
        <f t="shared" si="125"/>
        <v>1.5460150202419483E-2</v>
      </c>
      <c r="Z189" s="3">
        <f t="shared" si="125"/>
        <v>1.5456767938036905E-2</v>
      </c>
      <c r="AA189" s="3">
        <f t="shared" si="125"/>
        <v>1.542298596467075E-2</v>
      </c>
      <c r="AB189" s="3">
        <f t="shared" si="125"/>
        <v>1.5089200544051082E-2</v>
      </c>
      <c r="AC189" s="3">
        <f t="shared" si="125"/>
        <v>1.2123943474681051E-2</v>
      </c>
      <c r="AD189" s="3">
        <f t="shared" si="125"/>
        <v>1.3596296469159099E-3</v>
      </c>
      <c r="AE189" s="3">
        <f t="shared" si="125"/>
        <v>4.2774786997131733E-13</v>
      </c>
      <c r="AF189" s="3">
        <f t="shared" si="125"/>
        <v>4.0631247141038025E-108</v>
      </c>
      <c r="AG189" s="3"/>
      <c r="AH189" s="3"/>
    </row>
    <row r="190" spans="2:34" x14ac:dyDescent="0.25">
      <c r="B190" s="3">
        <f t="shared" ref="B190:AF190" si="126">$C37*EXP(-B$168/$A37/EXP(-$C$126))</f>
        <v>6.5522275925880558E-3</v>
      </c>
      <c r="C190" s="3">
        <f t="shared" si="126"/>
        <v>6.5522275925880558E-3</v>
      </c>
      <c r="D190" s="3">
        <f t="shared" si="126"/>
        <v>6.5522275925880558E-3</v>
      </c>
      <c r="E190" s="3">
        <f t="shared" si="126"/>
        <v>6.5522275925880558E-3</v>
      </c>
      <c r="F190" s="3">
        <f t="shared" si="126"/>
        <v>6.5522275925880558E-3</v>
      </c>
      <c r="G190" s="3">
        <f t="shared" si="126"/>
        <v>6.5522275925880558E-3</v>
      </c>
      <c r="H190" s="3">
        <f t="shared" si="126"/>
        <v>6.5522275925880558E-3</v>
      </c>
      <c r="I190" s="3">
        <f t="shared" si="126"/>
        <v>6.5522275925880558E-3</v>
      </c>
      <c r="J190" s="3">
        <f t="shared" si="126"/>
        <v>6.5522275925880558E-3</v>
      </c>
      <c r="K190" s="3">
        <f t="shared" si="126"/>
        <v>6.5522275925880558E-3</v>
      </c>
      <c r="L190" s="3">
        <f t="shared" si="126"/>
        <v>6.5522275925880558E-3</v>
      </c>
      <c r="M190" s="3">
        <f t="shared" si="126"/>
        <v>6.5522275925880558E-3</v>
      </c>
      <c r="N190" s="3">
        <f t="shared" si="126"/>
        <v>6.5522275925880558E-3</v>
      </c>
      <c r="O190" s="3">
        <f t="shared" si="126"/>
        <v>6.552227592588054E-3</v>
      </c>
      <c r="P190" s="3">
        <f t="shared" si="126"/>
        <v>6.552227592588041E-3</v>
      </c>
      <c r="Q190" s="3">
        <f t="shared" si="126"/>
        <v>6.5522275925879118E-3</v>
      </c>
      <c r="R190" s="3">
        <f t="shared" si="126"/>
        <v>6.5522275925866194E-3</v>
      </c>
      <c r="S190" s="3">
        <f t="shared" si="126"/>
        <v>6.5522275925736862E-3</v>
      </c>
      <c r="T190" s="3">
        <f t="shared" si="126"/>
        <v>6.5522275924443634E-3</v>
      </c>
      <c r="U190" s="3">
        <f t="shared" si="126"/>
        <v>6.5522275911511297E-3</v>
      </c>
      <c r="V190" s="3">
        <f t="shared" si="126"/>
        <v>6.5522275782187956E-3</v>
      </c>
      <c r="W190" s="3">
        <f t="shared" si="126"/>
        <v>6.5522274488954554E-3</v>
      </c>
      <c r="X190" s="3">
        <f t="shared" si="126"/>
        <v>6.5522261556621919E-3</v>
      </c>
      <c r="Y190" s="3">
        <f t="shared" si="126"/>
        <v>6.5522132233436043E-3</v>
      </c>
      <c r="Z190" s="3">
        <f t="shared" si="126"/>
        <v>6.5520839015615782E-3</v>
      </c>
      <c r="AA190" s="3">
        <f t="shared" si="126"/>
        <v>6.5507908241171486E-3</v>
      </c>
      <c r="AB190" s="3">
        <f t="shared" si="126"/>
        <v>6.5378740770091256E-3</v>
      </c>
      <c r="AC190" s="3">
        <f t="shared" si="126"/>
        <v>6.4100991495253156E-3</v>
      </c>
      <c r="AD190" s="3">
        <f t="shared" si="126"/>
        <v>5.261949823119636E-3</v>
      </c>
      <c r="AE190" s="3">
        <f t="shared" si="126"/>
        <v>7.3108227663223977E-4</v>
      </c>
      <c r="AF190" s="3">
        <f t="shared" si="126"/>
        <v>1.9595745353983975E-12</v>
      </c>
      <c r="AG190" s="3"/>
      <c r="AH190" s="3"/>
    </row>
    <row r="191" spans="2:34" x14ac:dyDescent="0.25">
      <c r="B191" s="3">
        <f t="shared" ref="B191:AF191" si="127">$C38*EXP(-B$168/$A38/EXP(-$C$126))</f>
        <v>1.7032131485439372E-3</v>
      </c>
      <c r="C191" s="3">
        <f t="shared" si="127"/>
        <v>1.7032131485439372E-3</v>
      </c>
      <c r="D191" s="3">
        <f t="shared" si="127"/>
        <v>1.7032131485439372E-3</v>
      </c>
      <c r="E191" s="3">
        <f t="shared" si="127"/>
        <v>1.7032131485439372E-3</v>
      </c>
      <c r="F191" s="3">
        <f t="shared" si="127"/>
        <v>1.7032131485439372E-3</v>
      </c>
      <c r="G191" s="3">
        <f t="shared" si="127"/>
        <v>1.7032131485439372E-3</v>
      </c>
      <c r="H191" s="3">
        <f t="shared" si="127"/>
        <v>1.7032131485439372E-3</v>
      </c>
      <c r="I191" s="3">
        <f t="shared" si="127"/>
        <v>1.7032131485439372E-3</v>
      </c>
      <c r="J191" s="3">
        <f t="shared" si="127"/>
        <v>1.7032131485439372E-3</v>
      </c>
      <c r="K191" s="3">
        <f t="shared" si="127"/>
        <v>1.7032131485439372E-3</v>
      </c>
      <c r="L191" s="3">
        <f t="shared" si="127"/>
        <v>1.7032131485439372E-3</v>
      </c>
      <c r="M191" s="3">
        <f t="shared" si="127"/>
        <v>1.7032131485439372E-3</v>
      </c>
      <c r="N191" s="3">
        <f t="shared" si="127"/>
        <v>1.7032131485439372E-3</v>
      </c>
      <c r="O191" s="3">
        <f t="shared" si="127"/>
        <v>1.7032131485439372E-3</v>
      </c>
      <c r="P191" s="3">
        <f t="shared" si="127"/>
        <v>1.7032131485439368E-3</v>
      </c>
      <c r="Q191" s="3">
        <f t="shared" si="127"/>
        <v>1.7032131485439337E-3</v>
      </c>
      <c r="R191" s="3">
        <f t="shared" si="127"/>
        <v>1.7032131485439036E-3</v>
      </c>
      <c r="S191" s="3">
        <f t="shared" si="127"/>
        <v>1.7032131485436002E-3</v>
      </c>
      <c r="T191" s="3">
        <f t="shared" si="127"/>
        <v>1.7032131485405677E-3</v>
      </c>
      <c r="U191" s="3">
        <f t="shared" si="127"/>
        <v>1.7032131485102426E-3</v>
      </c>
      <c r="V191" s="3">
        <f t="shared" si="127"/>
        <v>1.7032131482069906E-3</v>
      </c>
      <c r="W191" s="3">
        <f t="shared" si="127"/>
        <v>1.7032131451744717E-3</v>
      </c>
      <c r="X191" s="3">
        <f t="shared" si="127"/>
        <v>1.7032131148492814E-3</v>
      </c>
      <c r="Y191" s="3">
        <f t="shared" si="127"/>
        <v>1.7032128115974103E-3</v>
      </c>
      <c r="Z191" s="3">
        <f t="shared" si="127"/>
        <v>1.7032097790816683E-3</v>
      </c>
      <c r="AA191" s="3">
        <f t="shared" si="127"/>
        <v>1.7031794542212079E-3</v>
      </c>
      <c r="AB191" s="3">
        <f t="shared" si="127"/>
        <v>1.7028762353106218E-3</v>
      </c>
      <c r="AC191" s="3">
        <f t="shared" si="127"/>
        <v>1.6998470136513626E-3</v>
      </c>
      <c r="AD191" s="3">
        <f t="shared" si="127"/>
        <v>1.6698495961186598E-3</v>
      </c>
      <c r="AE191" s="3">
        <f t="shared" si="127"/>
        <v>1.3975023553162282E-3</v>
      </c>
      <c r="AF191" s="3">
        <f t="shared" si="127"/>
        <v>2.3556158883068353E-4</v>
      </c>
      <c r="AG191" s="3"/>
      <c r="AH191" s="3"/>
    </row>
    <row r="192" spans="2:34" x14ac:dyDescent="0.25">
      <c r="B192" s="3">
        <f t="shared" ref="B192:AF192" si="128">$C39*EXP(-B$168/$A39/EXP(-$C$126))</f>
        <v>4.5350630336780827E-3</v>
      </c>
      <c r="C192" s="3">
        <f t="shared" si="128"/>
        <v>4.5350630336780827E-3</v>
      </c>
      <c r="D192" s="3">
        <f t="shared" si="128"/>
        <v>4.5350630336780827E-3</v>
      </c>
      <c r="E192" s="3">
        <f t="shared" si="128"/>
        <v>4.5350630336780827E-3</v>
      </c>
      <c r="F192" s="3">
        <f t="shared" si="128"/>
        <v>4.5350630336780827E-3</v>
      </c>
      <c r="G192" s="3">
        <f t="shared" si="128"/>
        <v>4.5350630336780827E-3</v>
      </c>
      <c r="H192" s="3">
        <f t="shared" si="128"/>
        <v>4.5350630336780827E-3</v>
      </c>
      <c r="I192" s="3">
        <f t="shared" si="128"/>
        <v>4.5350630336780827E-3</v>
      </c>
      <c r="J192" s="3">
        <f t="shared" si="128"/>
        <v>4.5350630336780827E-3</v>
      </c>
      <c r="K192" s="3">
        <f t="shared" si="128"/>
        <v>4.5350630336780827E-3</v>
      </c>
      <c r="L192" s="3">
        <f t="shared" si="128"/>
        <v>4.5350630336780827E-3</v>
      </c>
      <c r="M192" s="3">
        <f t="shared" si="128"/>
        <v>4.5350630336780827E-3</v>
      </c>
      <c r="N192" s="3">
        <f t="shared" si="128"/>
        <v>4.5350630336780827E-3</v>
      </c>
      <c r="O192" s="3">
        <f t="shared" si="128"/>
        <v>4.5350630336780827E-3</v>
      </c>
      <c r="P192" s="3">
        <f t="shared" si="128"/>
        <v>4.5350630336780827E-3</v>
      </c>
      <c r="Q192" s="3">
        <f t="shared" si="128"/>
        <v>4.5350630336780801E-3</v>
      </c>
      <c r="R192" s="3">
        <f t="shared" si="128"/>
        <v>4.5350630336780584E-3</v>
      </c>
      <c r="S192" s="3">
        <f t="shared" si="128"/>
        <v>4.5350630336778346E-3</v>
      </c>
      <c r="T192" s="3">
        <f t="shared" si="128"/>
        <v>4.5350630336756011E-3</v>
      </c>
      <c r="U192" s="3">
        <f t="shared" si="128"/>
        <v>4.5350630336532692E-3</v>
      </c>
      <c r="V192" s="3">
        <f t="shared" si="128"/>
        <v>4.5350630334299478E-3</v>
      </c>
      <c r="W192" s="3">
        <f t="shared" si="128"/>
        <v>4.5350630311967316E-3</v>
      </c>
      <c r="X192" s="3">
        <f t="shared" si="128"/>
        <v>4.535063008864572E-3</v>
      </c>
      <c r="Y192" s="3">
        <f t="shared" si="128"/>
        <v>4.5350627855429817E-3</v>
      </c>
      <c r="Z192" s="3">
        <f t="shared" si="128"/>
        <v>4.5350605523276832E-3</v>
      </c>
      <c r="AA192" s="3">
        <f t="shared" si="128"/>
        <v>4.5350382202351842E-3</v>
      </c>
      <c r="AB192" s="3">
        <f t="shared" si="128"/>
        <v>4.5348149053584703E-3</v>
      </c>
      <c r="AC192" s="3">
        <f t="shared" si="128"/>
        <v>4.5325823613093291E-3</v>
      </c>
      <c r="AD192" s="3">
        <f t="shared" si="128"/>
        <v>4.5103172825828484E-3</v>
      </c>
      <c r="AE192" s="3">
        <f t="shared" si="128"/>
        <v>4.2935941260969432E-3</v>
      </c>
      <c r="AF192" s="3">
        <f t="shared" si="128"/>
        <v>2.6239764404636812E-3</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1.6861233379433117E-3</v>
      </c>
      <c r="C194" s="3">
        <f t="shared" si="130"/>
        <v>1.6861233379433117E-3</v>
      </c>
      <c r="D194" s="3">
        <f t="shared" si="130"/>
        <v>1.6861233379433117E-3</v>
      </c>
      <c r="E194" s="3">
        <f t="shared" si="130"/>
        <v>1.6861233379433117E-3</v>
      </c>
      <c r="F194" s="3">
        <f t="shared" si="130"/>
        <v>1.6861233379433117E-3</v>
      </c>
      <c r="G194" s="3">
        <f t="shared" si="130"/>
        <v>1.6861233379433117E-3</v>
      </c>
      <c r="H194" s="3">
        <f t="shared" si="130"/>
        <v>1.6861233379433117E-3</v>
      </c>
      <c r="I194" s="3">
        <f t="shared" si="130"/>
        <v>1.6861233379433117E-3</v>
      </c>
      <c r="J194" s="3">
        <f t="shared" si="130"/>
        <v>1.6861233379433117E-3</v>
      </c>
      <c r="K194" s="3">
        <f t="shared" si="130"/>
        <v>1.6861233379433117E-3</v>
      </c>
      <c r="L194" s="3">
        <f t="shared" si="130"/>
        <v>1.6861233379433117E-3</v>
      </c>
      <c r="M194" s="3">
        <f t="shared" si="130"/>
        <v>1.6861233379433117E-3</v>
      </c>
      <c r="N194" s="3">
        <f t="shared" si="130"/>
        <v>1.6861233379433117E-3</v>
      </c>
      <c r="O194" s="3">
        <f t="shared" si="130"/>
        <v>1.6861233379433117E-3</v>
      </c>
      <c r="P194" s="3">
        <f t="shared" si="130"/>
        <v>1.6861233379433117E-3</v>
      </c>
      <c r="Q194" s="3">
        <f t="shared" si="130"/>
        <v>1.6861233379433117E-3</v>
      </c>
      <c r="R194" s="3">
        <f t="shared" si="130"/>
        <v>1.6861233379433117E-3</v>
      </c>
      <c r="S194" s="3">
        <f t="shared" si="130"/>
        <v>1.6861233379433108E-3</v>
      </c>
      <c r="T194" s="3">
        <f t="shared" si="130"/>
        <v>1.6861233379433026E-3</v>
      </c>
      <c r="U194" s="3">
        <f t="shared" si="130"/>
        <v>1.6861233379432193E-3</v>
      </c>
      <c r="V194" s="3">
        <f t="shared" si="130"/>
        <v>1.6861233379423892E-3</v>
      </c>
      <c r="W194" s="3">
        <f t="shared" si="130"/>
        <v>1.686123337934086E-3</v>
      </c>
      <c r="X194" s="3">
        <f t="shared" si="130"/>
        <v>1.6861233378510558E-3</v>
      </c>
      <c r="Y194" s="3">
        <f t="shared" si="130"/>
        <v>1.6861233370207525E-3</v>
      </c>
      <c r="Z194" s="3">
        <f t="shared" si="130"/>
        <v>1.68612332871772E-3</v>
      </c>
      <c r="AA194" s="3">
        <f t="shared" si="130"/>
        <v>1.6861232456873976E-3</v>
      </c>
      <c r="AB194" s="3">
        <f t="shared" si="130"/>
        <v>1.6861224153843996E-3</v>
      </c>
      <c r="AC194" s="3">
        <f t="shared" si="130"/>
        <v>1.6861141123769071E-3</v>
      </c>
      <c r="AD194" s="3">
        <f t="shared" si="130"/>
        <v>1.6860310845507134E-3</v>
      </c>
      <c r="AE194" s="3">
        <f t="shared" si="130"/>
        <v>1.6852010311211826E-3</v>
      </c>
      <c r="AF194" s="3">
        <f t="shared" si="130"/>
        <v>1.6769229391557406E-3</v>
      </c>
      <c r="AG194" s="3"/>
      <c r="AH194" s="3"/>
    </row>
    <row r="195" spans="1:34" x14ac:dyDescent="0.25">
      <c r="B195" s="3">
        <f t="shared" ref="B195:AF195" si="131">$C42*EXP(-B$168/$A42/EXP(-$C$126))</f>
        <v>3.1917428644915027E-3</v>
      </c>
      <c r="C195" s="3">
        <f t="shared" si="131"/>
        <v>3.1917428644915027E-3</v>
      </c>
      <c r="D195" s="3">
        <f t="shared" si="131"/>
        <v>3.1917428644915027E-3</v>
      </c>
      <c r="E195" s="3">
        <f t="shared" si="131"/>
        <v>3.1917428644915027E-3</v>
      </c>
      <c r="F195" s="3">
        <f t="shared" si="131"/>
        <v>3.1917428644915027E-3</v>
      </c>
      <c r="G195" s="3">
        <f t="shared" si="131"/>
        <v>3.1917428644915027E-3</v>
      </c>
      <c r="H195" s="3">
        <f t="shared" si="131"/>
        <v>3.1917428644915027E-3</v>
      </c>
      <c r="I195" s="3">
        <f t="shared" si="131"/>
        <v>3.1917428644915027E-3</v>
      </c>
      <c r="J195" s="3">
        <f t="shared" si="131"/>
        <v>3.1917428644915027E-3</v>
      </c>
      <c r="K195" s="3">
        <f t="shared" si="131"/>
        <v>3.1917428644915027E-3</v>
      </c>
      <c r="L195" s="3">
        <f t="shared" si="131"/>
        <v>3.1917428644915027E-3</v>
      </c>
      <c r="M195" s="3">
        <f t="shared" si="131"/>
        <v>3.1917428644915027E-3</v>
      </c>
      <c r="N195" s="3">
        <f t="shared" si="131"/>
        <v>3.1917428644915027E-3</v>
      </c>
      <c r="O195" s="3">
        <f t="shared" si="131"/>
        <v>3.1917428644915027E-3</v>
      </c>
      <c r="P195" s="3">
        <f t="shared" si="131"/>
        <v>3.1917428644915027E-3</v>
      </c>
      <c r="Q195" s="3">
        <f t="shared" si="131"/>
        <v>3.1917428644915027E-3</v>
      </c>
      <c r="R195" s="3">
        <f t="shared" si="131"/>
        <v>3.1917428644915027E-3</v>
      </c>
      <c r="S195" s="3">
        <f t="shared" si="131"/>
        <v>3.1917428644915027E-3</v>
      </c>
      <c r="T195" s="3">
        <f t="shared" si="131"/>
        <v>3.191742864491501E-3</v>
      </c>
      <c r="U195" s="3">
        <f t="shared" si="131"/>
        <v>3.1917428644914854E-3</v>
      </c>
      <c r="V195" s="3">
        <f t="shared" si="131"/>
        <v>3.1917428644913279E-3</v>
      </c>
      <c r="W195" s="3">
        <f t="shared" si="131"/>
        <v>3.1917428644897563E-3</v>
      </c>
      <c r="X195" s="3">
        <f t="shared" si="131"/>
        <v>3.1917428644740392E-3</v>
      </c>
      <c r="Y195" s="3">
        <f t="shared" si="131"/>
        <v>3.1917428643168672E-3</v>
      </c>
      <c r="Z195" s="3">
        <f t="shared" si="131"/>
        <v>3.1917428627451466E-3</v>
      </c>
      <c r="AA195" s="3">
        <f t="shared" si="131"/>
        <v>3.1917428470279426E-3</v>
      </c>
      <c r="AB195" s="3">
        <f t="shared" si="131"/>
        <v>3.1917426898559059E-3</v>
      </c>
      <c r="AC195" s="3">
        <f t="shared" si="131"/>
        <v>3.1917411181359673E-3</v>
      </c>
      <c r="AD195" s="3">
        <f t="shared" si="131"/>
        <v>3.1917254009791486E-3</v>
      </c>
      <c r="AE195" s="3">
        <f t="shared" si="131"/>
        <v>3.1915682336676925E-3</v>
      </c>
      <c r="AF195" s="3">
        <f t="shared" si="131"/>
        <v>3.18999698614906E-3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1.5213277079669291E-4</v>
      </c>
      <c r="C198" s="3">
        <f t="shared" si="134"/>
        <v>1.5213277079669291E-4</v>
      </c>
      <c r="D198" s="3">
        <f t="shared" si="134"/>
        <v>1.5213277079669291E-4</v>
      </c>
      <c r="E198" s="3">
        <f t="shared" si="134"/>
        <v>1.5213277079669291E-4</v>
      </c>
      <c r="F198" s="3">
        <f t="shared" si="134"/>
        <v>1.5213277079669291E-4</v>
      </c>
      <c r="G198" s="3">
        <f t="shared" si="134"/>
        <v>1.5213277079669291E-4</v>
      </c>
      <c r="H198" s="3">
        <f t="shared" si="134"/>
        <v>1.5213277079669291E-4</v>
      </c>
      <c r="I198" s="3">
        <f t="shared" si="134"/>
        <v>1.5213277079669291E-4</v>
      </c>
      <c r="J198" s="3">
        <f t="shared" si="134"/>
        <v>1.5213277079669291E-4</v>
      </c>
      <c r="K198" s="3">
        <f t="shared" si="134"/>
        <v>1.5213277079669291E-4</v>
      </c>
      <c r="L198" s="3">
        <f t="shared" si="134"/>
        <v>1.5213277079669291E-4</v>
      </c>
      <c r="M198" s="3">
        <f t="shared" si="134"/>
        <v>1.5213277079669291E-4</v>
      </c>
      <c r="N198" s="3">
        <f t="shared" si="134"/>
        <v>1.5213277079669291E-4</v>
      </c>
      <c r="O198" s="3">
        <f t="shared" si="134"/>
        <v>1.5213277079669291E-4</v>
      </c>
      <c r="P198" s="3">
        <f t="shared" si="134"/>
        <v>1.5213277079669291E-4</v>
      </c>
      <c r="Q198" s="3">
        <f t="shared" si="134"/>
        <v>1.5213277079669291E-4</v>
      </c>
      <c r="R198" s="3">
        <f t="shared" si="134"/>
        <v>1.5213277079669291E-4</v>
      </c>
      <c r="S198" s="3">
        <f t="shared" si="134"/>
        <v>1.5213277079669291E-4</v>
      </c>
      <c r="T198" s="3">
        <f t="shared" si="134"/>
        <v>1.5213277079669291E-4</v>
      </c>
      <c r="U198" s="3">
        <f t="shared" si="134"/>
        <v>1.5213277079669291E-4</v>
      </c>
      <c r="V198" s="3">
        <f t="shared" si="134"/>
        <v>1.5213277079669291E-4</v>
      </c>
      <c r="W198" s="3">
        <f t="shared" si="134"/>
        <v>1.5213277079669283E-4</v>
      </c>
      <c r="X198" s="3">
        <f t="shared" si="134"/>
        <v>1.5213277079669207E-4</v>
      </c>
      <c r="Y198" s="3">
        <f t="shared" si="134"/>
        <v>1.5213277079668459E-4</v>
      </c>
      <c r="Z198" s="3">
        <f t="shared" si="134"/>
        <v>1.5213277079660967E-4</v>
      </c>
      <c r="AA198" s="3">
        <f t="shared" si="134"/>
        <v>1.5213277079586051E-4</v>
      </c>
      <c r="AB198" s="3">
        <f t="shared" si="134"/>
        <v>1.52132770788369E-4</v>
      </c>
      <c r="AC198" s="3">
        <f t="shared" si="134"/>
        <v>1.5213277071345375E-4</v>
      </c>
      <c r="AD198" s="3">
        <f t="shared" si="134"/>
        <v>1.5213276996430136E-4</v>
      </c>
      <c r="AE198" s="3">
        <f t="shared" si="134"/>
        <v>1.5213276247277762E-4</v>
      </c>
      <c r="AF198" s="3">
        <f t="shared" si="134"/>
        <v>1.5213268755756066E-4</v>
      </c>
      <c r="AG198" s="3"/>
      <c r="AH198" s="3"/>
    </row>
    <row r="199" spans="1:34" x14ac:dyDescent="0.25">
      <c r="B199" s="3">
        <f t="shared" ref="B199:AF199" si="135">$C46*EXP(-B$168/$A46/EXP(-$C$126))</f>
        <v>1.3986654220962105E-4</v>
      </c>
      <c r="C199" s="3">
        <f t="shared" si="135"/>
        <v>1.3986654220962105E-4</v>
      </c>
      <c r="D199" s="3">
        <f t="shared" si="135"/>
        <v>1.3986654220962105E-4</v>
      </c>
      <c r="E199" s="3">
        <f t="shared" si="135"/>
        <v>1.3986654220962105E-4</v>
      </c>
      <c r="F199" s="3">
        <f t="shared" si="135"/>
        <v>1.3986654220962105E-4</v>
      </c>
      <c r="G199" s="3">
        <f t="shared" si="135"/>
        <v>1.3986654220962105E-4</v>
      </c>
      <c r="H199" s="3">
        <f t="shared" si="135"/>
        <v>1.3986654220962105E-4</v>
      </c>
      <c r="I199" s="3">
        <f t="shared" si="135"/>
        <v>1.3986654220962105E-4</v>
      </c>
      <c r="J199" s="3">
        <f t="shared" si="135"/>
        <v>1.3986654220962105E-4</v>
      </c>
      <c r="K199" s="3">
        <f t="shared" si="135"/>
        <v>1.3986654220962105E-4</v>
      </c>
      <c r="L199" s="3">
        <f t="shared" si="135"/>
        <v>1.3986654220962105E-4</v>
      </c>
      <c r="M199" s="3">
        <f t="shared" si="135"/>
        <v>1.3986654220962105E-4</v>
      </c>
      <c r="N199" s="3">
        <f t="shared" si="135"/>
        <v>1.3986654220962105E-4</v>
      </c>
      <c r="O199" s="3">
        <f t="shared" si="135"/>
        <v>1.3986654220962105E-4</v>
      </c>
      <c r="P199" s="3">
        <f t="shared" si="135"/>
        <v>1.3986654220962105E-4</v>
      </c>
      <c r="Q199" s="3">
        <f t="shared" si="135"/>
        <v>1.3986654220962105E-4</v>
      </c>
      <c r="R199" s="3">
        <f t="shared" si="135"/>
        <v>1.3986654220962105E-4</v>
      </c>
      <c r="S199" s="3">
        <f t="shared" si="135"/>
        <v>1.3986654220962105E-4</v>
      </c>
      <c r="T199" s="3">
        <f t="shared" si="135"/>
        <v>1.3986654220962105E-4</v>
      </c>
      <c r="U199" s="3">
        <f t="shared" si="135"/>
        <v>1.3986654220962105E-4</v>
      </c>
      <c r="V199" s="3">
        <f t="shared" si="135"/>
        <v>1.3986654220962105E-4</v>
      </c>
      <c r="W199" s="3">
        <f t="shared" si="135"/>
        <v>1.3986654220962105E-4</v>
      </c>
      <c r="X199" s="3">
        <f t="shared" si="135"/>
        <v>1.3986654220962097E-4</v>
      </c>
      <c r="Y199" s="3">
        <f t="shared" si="135"/>
        <v>1.3986654220962029E-4</v>
      </c>
      <c r="Z199" s="3">
        <f t="shared" si="135"/>
        <v>1.3986654220961341E-4</v>
      </c>
      <c r="AA199" s="3">
        <f t="shared" si="135"/>
        <v>1.3986654220954453E-4</v>
      </c>
      <c r="AB199" s="3">
        <f t="shared" si="135"/>
        <v>1.3986654220885577E-4</v>
      </c>
      <c r="AC199" s="3">
        <f t="shared" si="135"/>
        <v>1.3986654220196829E-4</v>
      </c>
      <c r="AD199" s="3">
        <f t="shared" si="135"/>
        <v>1.3986654213309335E-4</v>
      </c>
      <c r="AE199" s="3">
        <f t="shared" si="135"/>
        <v>1.3986654144434394E-4</v>
      </c>
      <c r="AF199" s="3">
        <f t="shared" si="135"/>
        <v>1.3986653455685011E-4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8.4977640874607974E-4</v>
      </c>
      <c r="C201" s="3">
        <f t="shared" si="137"/>
        <v>8.4977640874607974E-4</v>
      </c>
      <c r="D201" s="3">
        <f t="shared" si="137"/>
        <v>8.4977640874607974E-4</v>
      </c>
      <c r="E201" s="3">
        <f t="shared" si="137"/>
        <v>8.4977640874607974E-4</v>
      </c>
      <c r="F201" s="3">
        <f t="shared" si="137"/>
        <v>8.4977640874607974E-4</v>
      </c>
      <c r="G201" s="3">
        <f t="shared" si="137"/>
        <v>8.4977640874607974E-4</v>
      </c>
      <c r="H201" s="3">
        <f t="shared" si="137"/>
        <v>8.4977640874607974E-4</v>
      </c>
      <c r="I201" s="3">
        <f t="shared" si="137"/>
        <v>8.4977640874607974E-4</v>
      </c>
      <c r="J201" s="3">
        <f t="shared" si="137"/>
        <v>8.4977640874607974E-4</v>
      </c>
      <c r="K201" s="3">
        <f t="shared" si="137"/>
        <v>8.4977640874607974E-4</v>
      </c>
      <c r="L201" s="3">
        <f t="shared" si="137"/>
        <v>8.4977640874607974E-4</v>
      </c>
      <c r="M201" s="3">
        <f t="shared" si="137"/>
        <v>8.4977640874607974E-4</v>
      </c>
      <c r="N201" s="3">
        <f t="shared" si="137"/>
        <v>8.4977640874607974E-4</v>
      </c>
      <c r="O201" s="3">
        <f t="shared" si="137"/>
        <v>8.4977640874607974E-4</v>
      </c>
      <c r="P201" s="3">
        <f t="shared" si="137"/>
        <v>8.4977640874607974E-4</v>
      </c>
      <c r="Q201" s="3">
        <f t="shared" si="137"/>
        <v>8.4977640874607974E-4</v>
      </c>
      <c r="R201" s="3">
        <f t="shared" si="137"/>
        <v>8.4977640874607974E-4</v>
      </c>
      <c r="S201" s="3">
        <f t="shared" si="137"/>
        <v>8.4977640874607974E-4</v>
      </c>
      <c r="T201" s="3">
        <f t="shared" si="137"/>
        <v>8.4977640874607974E-4</v>
      </c>
      <c r="U201" s="3">
        <f t="shared" si="137"/>
        <v>8.4977640874607974E-4</v>
      </c>
      <c r="V201" s="3">
        <f t="shared" si="137"/>
        <v>8.4977640874607974E-4</v>
      </c>
      <c r="W201" s="3">
        <f t="shared" si="137"/>
        <v>8.4977640874607974E-4</v>
      </c>
      <c r="X201" s="3">
        <f t="shared" si="137"/>
        <v>8.4977640874607974E-4</v>
      </c>
      <c r="Y201" s="3">
        <f t="shared" si="137"/>
        <v>8.4977640874607974E-4</v>
      </c>
      <c r="Z201" s="3">
        <f t="shared" si="137"/>
        <v>8.497764087460793E-4</v>
      </c>
      <c r="AA201" s="3">
        <f t="shared" si="137"/>
        <v>8.4977640874607508E-4</v>
      </c>
      <c r="AB201" s="3">
        <f t="shared" si="137"/>
        <v>8.4977640874603323E-4</v>
      </c>
      <c r="AC201" s="3">
        <f t="shared" si="137"/>
        <v>8.4977640874561483E-4</v>
      </c>
      <c r="AD201" s="3">
        <f t="shared" si="137"/>
        <v>8.4977640874143014E-4</v>
      </c>
      <c r="AE201" s="3">
        <f t="shared" si="137"/>
        <v>8.4977640869958438E-4</v>
      </c>
      <c r="AF201" s="3">
        <f t="shared" si="137"/>
        <v>8.4977640828112614E-4</v>
      </c>
      <c r="AG201" s="3"/>
      <c r="AH201" s="3"/>
    </row>
    <row r="202" spans="1:34" x14ac:dyDescent="0.25">
      <c r="A202" s="79">
        <f>AVERAGE(B202:AF202)</f>
        <v>1.156096777285478E-2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3.1064529323442832E-2</v>
      </c>
      <c r="M202" s="80">
        <f t="shared" si="138"/>
        <v>3.3754198791880248E-2</v>
      </c>
      <c r="N202" s="80">
        <f t="shared" si="138"/>
        <v>3.1319329703405091E-2</v>
      </c>
      <c r="O202" s="80">
        <f t="shared" si="138"/>
        <v>3.0091468177444403E-2</v>
      </c>
      <c r="P202" s="80">
        <f t="shared" si="138"/>
        <v>3.0047644265335197E-2</v>
      </c>
      <c r="Q202" s="80">
        <f t="shared" si="138"/>
        <v>2.9949545325175068E-2</v>
      </c>
      <c r="R202" s="80">
        <f t="shared" si="138"/>
        <v>2.9890060047805995E-2</v>
      </c>
      <c r="S202" s="80">
        <f t="shared" si="138"/>
        <v>2.9272946638079896E-2</v>
      </c>
      <c r="T202" s="80">
        <f t="shared" si="138"/>
        <v>2.0046861477424963E-2</v>
      </c>
      <c r="U202" s="80">
        <f t="shared" si="138"/>
        <v>1.5578312366026687E-2</v>
      </c>
      <c r="V202" s="80">
        <f t="shared" si="138"/>
        <v>7.7375104842477782E-2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7329.1276832665853</v>
      </c>
      <c r="C203" s="21">
        <f t="shared" ref="C203:AF203" si="139">(C170-C169)^2</f>
        <v>172004.02359663066</v>
      </c>
      <c r="D203" s="21">
        <f t="shared" si="139"/>
        <v>245307.15118841306</v>
      </c>
      <c r="E203" s="21">
        <f t="shared" si="139"/>
        <v>38717.897062647957</v>
      </c>
      <c r="F203" s="21">
        <f t="shared" si="139"/>
        <v>1886548.2233720524</v>
      </c>
      <c r="G203" s="21">
        <f t="shared" si="139"/>
        <v>1319608.1883139852</v>
      </c>
      <c r="H203" s="21">
        <f t="shared" si="139"/>
        <v>797192.30122455128</v>
      </c>
      <c r="I203" s="21">
        <f t="shared" si="139"/>
        <v>376568.98587257176</v>
      </c>
      <c r="J203" s="21">
        <f t="shared" si="139"/>
        <v>114436.24912069678</v>
      </c>
      <c r="K203" s="21">
        <f t="shared" si="139"/>
        <v>21280.796241469172</v>
      </c>
      <c r="L203" s="21">
        <f t="shared" si="139"/>
        <v>63387.772183652683</v>
      </c>
      <c r="M203" s="21">
        <f t="shared" si="139"/>
        <v>68228.791728380253</v>
      </c>
      <c r="N203" s="21">
        <f t="shared" si="139"/>
        <v>53087.482311366046</v>
      </c>
      <c r="O203" s="21">
        <f t="shared" si="139"/>
        <v>44742.6354849954</v>
      </c>
      <c r="P203" s="21">
        <f t="shared" si="139"/>
        <v>41019.829369306724</v>
      </c>
      <c r="Q203" s="21">
        <f t="shared" si="139"/>
        <v>37329.484754718302</v>
      </c>
      <c r="R203" s="21">
        <f t="shared" si="139"/>
        <v>33879.190965656686</v>
      </c>
      <c r="S203" s="21">
        <f t="shared" si="139"/>
        <v>29470.541369917159</v>
      </c>
      <c r="T203" s="21">
        <f t="shared" si="139"/>
        <v>12144.128973333683</v>
      </c>
      <c r="U203" s="21">
        <f t="shared" si="139"/>
        <v>5922.4742038161548</v>
      </c>
      <c r="V203" s="21">
        <f t="shared" si="139"/>
        <v>110843.19228018748</v>
      </c>
      <c r="W203" s="21">
        <f t="shared" si="139"/>
        <v>231610.47378465012</v>
      </c>
      <c r="X203" s="21">
        <f t="shared" si="139"/>
        <v>263035.23074834136</v>
      </c>
      <c r="Y203" s="21">
        <f t="shared" si="139"/>
        <v>155887.78275777146</v>
      </c>
      <c r="Z203" s="21">
        <f t="shared" si="139"/>
        <v>32731.92636455422</v>
      </c>
      <c r="AA203" s="21">
        <f t="shared" si="139"/>
        <v>5442.2491628031357</v>
      </c>
      <c r="AB203" s="21">
        <f t="shared" si="139"/>
        <v>147.52653019791356</v>
      </c>
      <c r="AC203" s="21">
        <f t="shared" si="139"/>
        <v>349.12211418221165</v>
      </c>
      <c r="AD203" s="21">
        <f t="shared" si="139"/>
        <v>62.06164719940567</v>
      </c>
      <c r="AE203" s="21">
        <f t="shared" si="139"/>
        <v>163.11572361850622</v>
      </c>
      <c r="AF203" s="21">
        <f t="shared" si="139"/>
        <v>97.722262710483093</v>
      </c>
      <c r="AG203" s="3"/>
      <c r="AH203" s="3"/>
    </row>
    <row r="204" spans="1:34" x14ac:dyDescent="0.25">
      <c r="A204" s="71">
        <f>SUM(B204:AF204)</f>
        <v>500055.52362533065</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63387.772183652683</v>
      </c>
      <c r="M204" s="60">
        <f t="shared" ref="M204" si="150">IF($A$64&lt;=M168,IF($B$64&gt;=M168,ABS(M203),0),0)</f>
        <v>68228.791728380253</v>
      </c>
      <c r="N204" s="60">
        <f t="shared" ref="N204" si="151">IF($A$64&lt;=N168,IF($B$64&gt;=N168,ABS(N203),0),0)</f>
        <v>53087.482311366046</v>
      </c>
      <c r="O204" s="60">
        <f t="shared" ref="O204" si="152">IF($A$64&lt;=O168,IF($B$64&gt;=O168,ABS(O203),0),0)</f>
        <v>44742.6354849954</v>
      </c>
      <c r="P204" s="60">
        <f t="shared" ref="P204" si="153">IF($A$64&lt;=P168,IF($B$64&gt;=P168,ABS(P203),0),0)</f>
        <v>41019.829369306724</v>
      </c>
      <c r="Q204" s="60">
        <f t="shared" ref="Q204" si="154">IF($A$64&lt;=Q168,IF($B$64&gt;=Q168,ABS(Q203),0),0)</f>
        <v>37329.484754718302</v>
      </c>
      <c r="R204" s="60">
        <f t="shared" ref="R204" si="155">IF($A$64&lt;=R168,IF($B$64&gt;=R168,ABS(R203),0),0)</f>
        <v>33879.190965656686</v>
      </c>
      <c r="S204" s="60">
        <f t="shared" ref="S204" si="156">IF($A$64&lt;=S168,IF($B$64&gt;=S168,ABS(S203),0),0)</f>
        <v>29470.541369917159</v>
      </c>
      <c r="T204" s="60">
        <f t="shared" ref="T204" si="157">IF($A$64&lt;=T168,IF($B$64&gt;=T168,ABS(T203),0),0)</f>
        <v>12144.128973333683</v>
      </c>
      <c r="U204" s="60">
        <f t="shared" ref="U204" si="158">IF($A$64&lt;=U168,IF($B$64&gt;=U168,ABS(U203),0),0)</f>
        <v>5922.4742038161548</v>
      </c>
      <c r="V204" s="60">
        <f t="shared" ref="V204" si="159">IF($A$64&lt;=V168,IF($B$64&gt;=V168,ABS(V203),0),0)</f>
        <v>110843.19228018748</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10752.349951229151</v>
      </c>
      <c r="C209" s="27">
        <f t="shared" ref="C209:AF209" si="170">($C$17+SUM(C210:C240))*$B$51</f>
        <v>10613.442105052764</v>
      </c>
      <c r="D209" s="27">
        <f t="shared" si="170"/>
        <v>9597.6274013462807</v>
      </c>
      <c r="E209" s="27">
        <f t="shared" si="170"/>
        <v>8352.8881595142593</v>
      </c>
      <c r="F209" s="27">
        <f t="shared" si="170"/>
        <v>8349.64326981452</v>
      </c>
      <c r="G209" s="27">
        <f t="shared" si="170"/>
        <v>8349.5463860775417</v>
      </c>
      <c r="H209" s="27">
        <f t="shared" si="170"/>
        <v>8348.5783242642738</v>
      </c>
      <c r="I209" s="27">
        <f t="shared" si="170"/>
        <v>8338.9748274873546</v>
      </c>
      <c r="J209" s="27">
        <f t="shared" si="170"/>
        <v>8250.235501809093</v>
      </c>
      <c r="K209" s="27">
        <f t="shared" si="170"/>
        <v>7807.0224950379734</v>
      </c>
      <c r="L209" s="27">
        <f t="shared" si="170"/>
        <v>7447.7008979233005</v>
      </c>
      <c r="M209" s="27">
        <f t="shared" si="170"/>
        <v>7092.2502878777732</v>
      </c>
      <c r="N209" s="27">
        <f t="shared" si="170"/>
        <v>6792.9439393262055</v>
      </c>
      <c r="O209" s="27">
        <f t="shared" si="170"/>
        <v>6511.2689990944864</v>
      </c>
      <c r="P209" s="27">
        <f t="shared" si="170"/>
        <v>6233.5488002129714</v>
      </c>
      <c r="Q209" s="27">
        <f t="shared" si="170"/>
        <v>5947.9319471115732</v>
      </c>
      <c r="R209" s="27">
        <f t="shared" si="170"/>
        <v>5670.604750196655</v>
      </c>
      <c r="S209" s="27">
        <f t="shared" si="170"/>
        <v>5356.1164467846875</v>
      </c>
      <c r="T209" s="27">
        <f t="shared" si="170"/>
        <v>4989.1687797657269</v>
      </c>
      <c r="U209" s="27">
        <f t="shared" si="170"/>
        <v>4602.2486790103367</v>
      </c>
      <c r="V209" s="27">
        <f t="shared" si="170"/>
        <v>4138.8343736264706</v>
      </c>
      <c r="W209" s="27">
        <f t="shared" si="170"/>
        <v>3594.6772938273812</v>
      </c>
      <c r="X209" s="27">
        <f t="shared" si="170"/>
        <v>2905.4882298077873</v>
      </c>
      <c r="Y209" s="27">
        <f t="shared" si="170"/>
        <v>2130.9432662591994</v>
      </c>
      <c r="Z209" s="27">
        <f t="shared" si="170"/>
        <v>1504.171133736606</v>
      </c>
      <c r="AA209" s="27">
        <f t="shared" si="170"/>
        <v>1048.3817958103139</v>
      </c>
      <c r="AB209" s="27">
        <f t="shared" si="170"/>
        <v>793.71964089231096</v>
      </c>
      <c r="AC209" s="27">
        <f t="shared" si="170"/>
        <v>651.89620963190885</v>
      </c>
      <c r="AD209" s="27">
        <f t="shared" si="170"/>
        <v>587.66300990692025</v>
      </c>
      <c r="AE209" s="27">
        <f t="shared" si="170"/>
        <v>549.28839485055255</v>
      </c>
      <c r="AF209" s="27">
        <f t="shared" si="170"/>
        <v>521.23268341649282</v>
      </c>
      <c r="AG209" s="27"/>
      <c r="AH209" s="27"/>
    </row>
    <row r="210" spans="1:34" x14ac:dyDescent="0.25">
      <c r="B210" s="3">
        <f t="shared" ref="B210:AF210" si="171">$C18*EXP(-B$207/$A18/EXP(-$D$126))</f>
        <v>0.22312674179154407</v>
      </c>
      <c r="C210" s="3">
        <f t="shared" si="171"/>
        <v>0.21022704327019376</v>
      </c>
      <c r="D210" s="3">
        <f t="shared" si="171"/>
        <v>0.11589325683404854</v>
      </c>
      <c r="E210" s="3">
        <f t="shared" si="171"/>
        <v>3.0043741812640782E-4</v>
      </c>
      <c r="F210" s="3">
        <f t="shared" si="171"/>
        <v>4.1182485716427228E-30</v>
      </c>
      <c r="G210" s="3">
        <f t="shared" si="171"/>
        <v>9.6449040156675288E-289</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5.6074297907385023E-2</v>
      </c>
      <c r="C211" s="3">
        <f t="shared" si="172"/>
        <v>5.607429705200119E-2</v>
      </c>
      <c r="D211" s="3">
        <f t="shared" si="172"/>
        <v>5.6074288498163601E-2</v>
      </c>
      <c r="E211" s="3">
        <f t="shared" si="172"/>
        <v>5.6074202959859445E-2</v>
      </c>
      <c r="F211" s="3">
        <f t="shared" si="172"/>
        <v>5.6073347583994522E-2</v>
      </c>
      <c r="G211" s="3">
        <f t="shared" si="172"/>
        <v>5.6064794542963897E-2</v>
      </c>
      <c r="H211" s="3">
        <f t="shared" si="172"/>
        <v>5.5979335854031149E-2</v>
      </c>
      <c r="I211" s="3">
        <f t="shared" si="172"/>
        <v>5.5131880786055028E-2</v>
      </c>
      <c r="J211" s="3">
        <f t="shared" si="172"/>
        <v>4.7331849607509094E-2</v>
      </c>
      <c r="K211" s="3">
        <f t="shared" si="172"/>
        <v>1.0295801269679408E-2</v>
      </c>
      <c r="L211" s="3">
        <f t="shared" si="172"/>
        <v>2.4418945409028983E-9</v>
      </c>
      <c r="M211" s="3">
        <f t="shared" si="172"/>
        <v>1.3752904638474782E-75</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2.8569534299057529E-2</v>
      </c>
      <c r="C212" s="3">
        <f t="shared" si="173"/>
        <v>2.8569534259743554E-2</v>
      </c>
      <c r="D212" s="3">
        <f t="shared" si="173"/>
        <v>2.8569533866603814E-2</v>
      </c>
      <c r="E212" s="3">
        <f t="shared" si="173"/>
        <v>2.8569529935206731E-2</v>
      </c>
      <c r="F212" s="3">
        <f t="shared" si="173"/>
        <v>2.8569490621265663E-2</v>
      </c>
      <c r="G212" s="3">
        <f t="shared" si="173"/>
        <v>2.8569097484830403E-2</v>
      </c>
      <c r="H212" s="3">
        <f t="shared" si="173"/>
        <v>2.8565166418006497E-2</v>
      </c>
      <c r="I212" s="3">
        <f t="shared" si="173"/>
        <v>2.852588548749364E-2</v>
      </c>
      <c r="J212" s="3">
        <f t="shared" si="173"/>
        <v>2.8136034869602748E-2</v>
      </c>
      <c r="K212" s="3">
        <f t="shared" si="173"/>
        <v>2.4518871876505383E-2</v>
      </c>
      <c r="L212" s="3">
        <f t="shared" si="173"/>
        <v>6.1926479498241168E-3</v>
      </c>
      <c r="M212" s="3">
        <f t="shared" si="173"/>
        <v>6.5408691451661171E-9</v>
      </c>
      <c r="N212" s="3">
        <f t="shared" si="173"/>
        <v>1.1303844049786455E-68</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3.8494837122043442E-2</v>
      </c>
      <c r="C213" s="3">
        <f t="shared" si="174"/>
        <v>3.8494837117264924E-2</v>
      </c>
      <c r="D213" s="3">
        <f t="shared" si="174"/>
        <v>3.8494837069479787E-2</v>
      </c>
      <c r="E213" s="3">
        <f t="shared" si="174"/>
        <v>3.849483659162839E-2</v>
      </c>
      <c r="F213" s="3">
        <f t="shared" si="174"/>
        <v>3.8494831813114742E-2</v>
      </c>
      <c r="G213" s="3">
        <f t="shared" si="174"/>
        <v>3.8494784028010889E-2</v>
      </c>
      <c r="H213" s="3">
        <f t="shared" si="174"/>
        <v>3.8494306180234833E-2</v>
      </c>
      <c r="I213" s="3">
        <f t="shared" si="174"/>
        <v>3.8489528028704187E-2</v>
      </c>
      <c r="J213" s="3">
        <f t="shared" si="174"/>
        <v>3.8441779121409399E-2</v>
      </c>
      <c r="K213" s="3">
        <f t="shared" si="174"/>
        <v>3.7967535922522354E-2</v>
      </c>
      <c r="L213" s="3">
        <f t="shared" si="174"/>
        <v>3.3535265388733887E-2</v>
      </c>
      <c r="M213" s="3">
        <f t="shared" si="174"/>
        <v>9.6915914499508052E-3</v>
      </c>
      <c r="N213" s="3">
        <f t="shared" si="174"/>
        <v>3.9384796297023921E-8</v>
      </c>
      <c r="O213" s="3">
        <f t="shared" si="174"/>
        <v>4.8379754277724368E-62</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2.5401059495107015E-2</v>
      </c>
      <c r="C214" s="3">
        <f t="shared" si="175"/>
        <v>2.5401059494822575E-2</v>
      </c>
      <c r="D214" s="3">
        <f t="shared" si="175"/>
        <v>2.5401059491978187E-2</v>
      </c>
      <c r="E214" s="3">
        <f t="shared" si="175"/>
        <v>2.5401059463534312E-2</v>
      </c>
      <c r="F214" s="3">
        <f t="shared" si="175"/>
        <v>2.5401059179095537E-2</v>
      </c>
      <c r="G214" s="3">
        <f t="shared" si="175"/>
        <v>2.5401056334707978E-2</v>
      </c>
      <c r="H214" s="3">
        <f t="shared" si="175"/>
        <v>2.5401027890849925E-2</v>
      </c>
      <c r="I214" s="3">
        <f t="shared" si="175"/>
        <v>2.5400743454021185E-2</v>
      </c>
      <c r="J214" s="3">
        <f t="shared" si="175"/>
        <v>2.5397899260907329E-2</v>
      </c>
      <c r="K214" s="3">
        <f t="shared" si="175"/>
        <v>2.5369474839865378E-2</v>
      </c>
      <c r="L214" s="3">
        <f t="shared" si="175"/>
        <v>2.5086974405960187E-2</v>
      </c>
      <c r="M214" s="3">
        <f t="shared" si="175"/>
        <v>2.2429334199844511E-2</v>
      </c>
      <c r="N214" s="3">
        <f t="shared" si="175"/>
        <v>7.3197683126532782E-3</v>
      </c>
      <c r="O214" s="3">
        <f t="shared" si="175"/>
        <v>1.0030136959546514E-7</v>
      </c>
      <c r="P214" s="3">
        <f t="shared" si="175"/>
        <v>2.3410039542381183E-56</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2.8782781461152859E-2</v>
      </c>
      <c r="C215" s="3">
        <f t="shared" si="176"/>
        <v>2.8782781461123782E-2</v>
      </c>
      <c r="D215" s="3">
        <f t="shared" si="176"/>
        <v>2.8782781460833039E-2</v>
      </c>
      <c r="E215" s="3">
        <f t="shared" si="176"/>
        <v>2.8782781457925559E-2</v>
      </c>
      <c r="F215" s="3">
        <f t="shared" si="176"/>
        <v>2.8782781428850785E-2</v>
      </c>
      <c r="G215" s="3">
        <f t="shared" si="176"/>
        <v>2.8782781138103068E-2</v>
      </c>
      <c r="H215" s="3">
        <f t="shared" si="176"/>
        <v>2.8782778230626034E-2</v>
      </c>
      <c r="I215" s="3">
        <f t="shared" si="176"/>
        <v>2.8782749155871878E-2</v>
      </c>
      <c r="J215" s="3">
        <f t="shared" si="176"/>
        <v>2.8782458409945623E-2</v>
      </c>
      <c r="K215" s="3">
        <f t="shared" si="176"/>
        <v>2.877955111220986E-2</v>
      </c>
      <c r="L215" s="3">
        <f t="shared" si="176"/>
        <v>2.8750494281494603E-2</v>
      </c>
      <c r="M215" s="3">
        <f t="shared" si="176"/>
        <v>2.8461534619989619E-2</v>
      </c>
      <c r="N215" s="3">
        <f t="shared" si="176"/>
        <v>2.5726949220134715E-2</v>
      </c>
      <c r="O215" s="3">
        <f t="shared" si="176"/>
        <v>9.36888807966825E-3</v>
      </c>
      <c r="P215" s="3">
        <f t="shared" si="176"/>
        <v>3.8431352355495386E-7</v>
      </c>
      <c r="Q215" s="3">
        <f t="shared" si="176"/>
        <v>5.1839622283475201E-51</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2.5701296027701079E-2</v>
      </c>
      <c r="C216" s="3">
        <f t="shared" si="177"/>
        <v>2.5701296027698738E-2</v>
      </c>
      <c r="D216" s="3">
        <f t="shared" si="177"/>
        <v>2.5701296027675315E-2</v>
      </c>
      <c r="E216" s="3">
        <f t="shared" si="177"/>
        <v>2.5701296027441121E-2</v>
      </c>
      <c r="F216" s="3">
        <f t="shared" si="177"/>
        <v>2.570129602509913E-2</v>
      </c>
      <c r="G216" s="3">
        <f t="shared" si="177"/>
        <v>2.5701296001679221E-2</v>
      </c>
      <c r="H216" s="3">
        <f t="shared" si="177"/>
        <v>2.5701295767480148E-2</v>
      </c>
      <c r="I216" s="3">
        <f t="shared" si="177"/>
        <v>2.5701293425489536E-2</v>
      </c>
      <c r="J216" s="3">
        <f t="shared" si="177"/>
        <v>2.5701270005595162E-2</v>
      </c>
      <c r="K216" s="3">
        <f t="shared" si="177"/>
        <v>2.5701035807825172E-2</v>
      </c>
      <c r="L216" s="3">
        <f t="shared" si="177"/>
        <v>2.569869394749651E-2</v>
      </c>
      <c r="M216" s="3">
        <f t="shared" si="177"/>
        <v>2.5675287077379014E-2</v>
      </c>
      <c r="N216" s="3">
        <f t="shared" si="177"/>
        <v>2.5442387746820457E-2</v>
      </c>
      <c r="O216" s="3">
        <f t="shared" si="177"/>
        <v>2.3226483153876702E-2</v>
      </c>
      <c r="P216" s="3">
        <f t="shared" si="177"/>
        <v>9.337687694576052E-3</v>
      </c>
      <c r="Q216" s="3">
        <f t="shared" si="177"/>
        <v>1.0299075239493894E-6</v>
      </c>
      <c r="R216" s="3">
        <f t="shared" si="177"/>
        <v>2.744018873092112E-46</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2.9863008376267434E-2</v>
      </c>
      <c r="C217" s="3">
        <f t="shared" si="178"/>
        <v>2.9863008376267191E-2</v>
      </c>
      <c r="D217" s="3">
        <f t="shared" si="178"/>
        <v>2.9863008376264735E-2</v>
      </c>
      <c r="E217" s="3">
        <f t="shared" si="178"/>
        <v>2.9863008376240185E-2</v>
      </c>
      <c r="F217" s="3">
        <f t="shared" si="178"/>
        <v>2.9863008375994708E-2</v>
      </c>
      <c r="G217" s="3">
        <f t="shared" si="178"/>
        <v>2.9863008373539942E-2</v>
      </c>
      <c r="H217" s="3">
        <f t="shared" si="178"/>
        <v>2.9863008348992269E-2</v>
      </c>
      <c r="I217" s="3">
        <f t="shared" si="178"/>
        <v>2.9863008103515561E-2</v>
      </c>
      <c r="J217" s="3">
        <f t="shared" si="178"/>
        <v>2.9863005648748567E-2</v>
      </c>
      <c r="K217" s="3">
        <f t="shared" si="178"/>
        <v>2.9862981101089727E-2</v>
      </c>
      <c r="L217" s="3">
        <f t="shared" si="178"/>
        <v>2.9862735625611148E-2</v>
      </c>
      <c r="M217" s="3">
        <f t="shared" si="178"/>
        <v>2.9860280981802868E-2</v>
      </c>
      <c r="N217" s="3">
        <f t="shared" si="178"/>
        <v>2.983574563809839E-2</v>
      </c>
      <c r="O217" s="3">
        <f t="shared" si="178"/>
        <v>2.9591498272012309E-2</v>
      </c>
      <c r="P217" s="3">
        <f t="shared" si="178"/>
        <v>2.7256340356073307E-2</v>
      </c>
      <c r="Q217" s="3">
        <f t="shared" si="178"/>
        <v>1.198045831871891E-2</v>
      </c>
      <c r="R217" s="3">
        <f t="shared" si="178"/>
        <v>3.2250193193960806E-6</v>
      </c>
      <c r="S217" s="3">
        <f t="shared" si="178"/>
        <v>6.4434906306601963E-42</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2.3136710280310713E-2</v>
      </c>
      <c r="C218" s="3">
        <f t="shared" si="179"/>
        <v>2.31367102803107E-2</v>
      </c>
      <c r="D218" s="3">
        <f t="shared" si="179"/>
        <v>2.3136710280310526E-2</v>
      </c>
      <c r="E218" s="3">
        <f t="shared" si="179"/>
        <v>2.3136710280308812E-2</v>
      </c>
      <c r="F218" s="3">
        <f t="shared" si="179"/>
        <v>2.3136710280291656E-2</v>
      </c>
      <c r="G218" s="3">
        <f t="shared" si="179"/>
        <v>2.3136710280120092E-2</v>
      </c>
      <c r="H218" s="3">
        <f t="shared" si="179"/>
        <v>2.3136710278404457E-2</v>
      </c>
      <c r="I218" s="3">
        <f t="shared" si="179"/>
        <v>2.3136710261248104E-2</v>
      </c>
      <c r="J218" s="3">
        <f t="shared" si="179"/>
        <v>2.3136710089684587E-2</v>
      </c>
      <c r="K218" s="3">
        <f t="shared" si="179"/>
        <v>2.3136708374049495E-2</v>
      </c>
      <c r="L218" s="3">
        <f t="shared" si="179"/>
        <v>2.3136691217705584E-2</v>
      </c>
      <c r="M218" s="3">
        <f t="shared" si="179"/>
        <v>2.3136519654966159E-2</v>
      </c>
      <c r="N218" s="3">
        <f t="shared" si="179"/>
        <v>2.3134804097539614E-2</v>
      </c>
      <c r="O218" s="3">
        <f t="shared" si="179"/>
        <v>2.3117655518126889E-2</v>
      </c>
      <c r="P218" s="3">
        <f t="shared" si="179"/>
        <v>2.2946867293946956E-2</v>
      </c>
      <c r="Q218" s="3">
        <f t="shared" si="179"/>
        <v>2.1306865544857119E-2</v>
      </c>
      <c r="R218" s="3">
        <f t="shared" si="179"/>
        <v>1.0150353746548508E-2</v>
      </c>
      <c r="S218" s="3">
        <f t="shared" si="179"/>
        <v>6.1107892297883418E-6</v>
      </c>
      <c r="T218" s="3">
        <f t="shared" si="179"/>
        <v>3.8217174034239551E-38</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3.7322629147916536E-2</v>
      </c>
      <c r="C219" s="3">
        <f t="shared" si="180"/>
        <v>3.7322629147916529E-2</v>
      </c>
      <c r="D219" s="3">
        <f t="shared" si="180"/>
        <v>3.7322629147916508E-2</v>
      </c>
      <c r="E219" s="3">
        <f t="shared" si="180"/>
        <v>3.7322629147916259E-2</v>
      </c>
      <c r="F219" s="3">
        <f t="shared" si="180"/>
        <v>3.7322629147913761E-2</v>
      </c>
      <c r="G219" s="3">
        <f t="shared" si="180"/>
        <v>3.7322629147888801E-2</v>
      </c>
      <c r="H219" s="3">
        <f t="shared" si="180"/>
        <v>3.732262914763914E-2</v>
      </c>
      <c r="I219" s="3">
        <f t="shared" si="180"/>
        <v>3.7322629145142575E-2</v>
      </c>
      <c r="J219" s="3">
        <f t="shared" si="180"/>
        <v>3.7322629120176976E-2</v>
      </c>
      <c r="K219" s="3">
        <f t="shared" si="180"/>
        <v>3.7322628870520888E-2</v>
      </c>
      <c r="L219" s="3">
        <f t="shared" si="180"/>
        <v>3.7322626373960159E-2</v>
      </c>
      <c r="M219" s="3">
        <f t="shared" si="180"/>
        <v>3.732260140836207E-2</v>
      </c>
      <c r="N219" s="3">
        <f t="shared" si="180"/>
        <v>3.7322351753299614E-2</v>
      </c>
      <c r="O219" s="3">
        <f t="shared" si="180"/>
        <v>3.7319855294521677E-2</v>
      </c>
      <c r="P219" s="3">
        <f t="shared" si="180"/>
        <v>3.7294899889123899E-2</v>
      </c>
      <c r="Q219" s="3">
        <f t="shared" si="180"/>
        <v>3.7046261804753275E-2</v>
      </c>
      <c r="R219" s="3">
        <f t="shared" si="180"/>
        <v>3.4649250907479688E-2</v>
      </c>
      <c r="S219" s="3">
        <f t="shared" si="180"/>
        <v>1.7749594406784221E-2</v>
      </c>
      <c r="T219" s="3">
        <f t="shared" si="180"/>
        <v>2.2086874807878028E-5</v>
      </c>
      <c r="U219" s="3">
        <f t="shared" si="180"/>
        <v>1.9660412685316162E-34</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3.2712076759715769E-2</v>
      </c>
      <c r="C220" s="3">
        <f t="shared" si="181"/>
        <v>3.2712076759715769E-2</v>
      </c>
      <c r="D220" s="3">
        <f t="shared" si="181"/>
        <v>3.2712076759715762E-2</v>
      </c>
      <c r="E220" s="3">
        <f t="shared" si="181"/>
        <v>3.2712076759715748E-2</v>
      </c>
      <c r="F220" s="3">
        <f t="shared" si="181"/>
        <v>3.2712076759715554E-2</v>
      </c>
      <c r="G220" s="3">
        <f t="shared" si="181"/>
        <v>3.2712076759713576E-2</v>
      </c>
      <c r="H220" s="3">
        <f t="shared" si="181"/>
        <v>3.2712076759693835E-2</v>
      </c>
      <c r="I220" s="3">
        <f t="shared" si="181"/>
        <v>3.2712076759496445E-2</v>
      </c>
      <c r="J220" s="3">
        <f t="shared" si="181"/>
        <v>3.2712076757522551E-2</v>
      </c>
      <c r="K220" s="3">
        <f t="shared" si="181"/>
        <v>3.271207673778357E-2</v>
      </c>
      <c r="L220" s="3">
        <f t="shared" si="181"/>
        <v>3.2712076540393813E-2</v>
      </c>
      <c r="M220" s="3">
        <f t="shared" si="181"/>
        <v>3.2712074566496233E-2</v>
      </c>
      <c r="N220" s="3">
        <f t="shared" si="181"/>
        <v>3.2712054827526989E-2</v>
      </c>
      <c r="O220" s="3">
        <f t="shared" si="181"/>
        <v>3.2711857438489707E-2</v>
      </c>
      <c r="P220" s="3">
        <f t="shared" si="181"/>
        <v>3.2709883613624646E-2</v>
      </c>
      <c r="Q220" s="3">
        <f t="shared" si="181"/>
        <v>3.2690151914292413E-2</v>
      </c>
      <c r="R220" s="3">
        <f t="shared" si="181"/>
        <v>3.2493488392939113E-2</v>
      </c>
      <c r="S220" s="3">
        <f t="shared" si="181"/>
        <v>3.0590764659694826E-2</v>
      </c>
      <c r="T220" s="3">
        <f t="shared" si="181"/>
        <v>1.6731322854423903E-2</v>
      </c>
      <c r="U220" s="3">
        <f t="shared" si="181"/>
        <v>4.0080187678408787E-5</v>
      </c>
      <c r="V220" s="3">
        <f t="shared" si="181"/>
        <v>2.4941606039247808E-31</v>
      </c>
      <c r="W220" s="3">
        <f t="shared" si="181"/>
        <v>2.1720564175776335E-293</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4.2271951558424573E-2</v>
      </c>
      <c r="C221" s="3">
        <f t="shared" si="182"/>
        <v>4.2271951558424573E-2</v>
      </c>
      <c r="D221" s="3">
        <f t="shared" si="182"/>
        <v>4.2271951558424573E-2</v>
      </c>
      <c r="E221" s="3">
        <f t="shared" si="182"/>
        <v>4.2271951558424566E-2</v>
      </c>
      <c r="F221" s="3">
        <f t="shared" si="182"/>
        <v>4.2271951558424552E-2</v>
      </c>
      <c r="G221" s="3">
        <f t="shared" si="182"/>
        <v>4.2271951558424316E-2</v>
      </c>
      <c r="H221" s="3">
        <f t="shared" si="182"/>
        <v>4.2271951558422012E-2</v>
      </c>
      <c r="I221" s="3">
        <f t="shared" si="182"/>
        <v>4.2271951558399003E-2</v>
      </c>
      <c r="J221" s="3">
        <f t="shared" si="182"/>
        <v>4.2271951558168902E-2</v>
      </c>
      <c r="K221" s="3">
        <f t="shared" si="182"/>
        <v>4.2271951555867916E-2</v>
      </c>
      <c r="L221" s="3">
        <f t="shared" si="182"/>
        <v>4.2271951532857975E-2</v>
      </c>
      <c r="M221" s="3">
        <f t="shared" si="182"/>
        <v>4.2271951302758626E-2</v>
      </c>
      <c r="N221" s="3">
        <f t="shared" si="182"/>
        <v>4.227194900176514E-2</v>
      </c>
      <c r="O221" s="3">
        <f t="shared" si="182"/>
        <v>4.2271925991837211E-2</v>
      </c>
      <c r="P221" s="3">
        <f t="shared" si="182"/>
        <v>4.2271695893246759E-2</v>
      </c>
      <c r="Q221" s="3">
        <f t="shared" si="182"/>
        <v>4.2269394976228329E-2</v>
      </c>
      <c r="R221" s="3">
        <f t="shared" si="182"/>
        <v>4.2246392693264995E-2</v>
      </c>
      <c r="S221" s="3">
        <f t="shared" si="182"/>
        <v>4.2017057200638246E-2</v>
      </c>
      <c r="T221" s="3">
        <f t="shared" si="182"/>
        <v>3.979107158595728E-2</v>
      </c>
      <c r="U221" s="3">
        <f t="shared" si="182"/>
        <v>2.3087965543288118E-2</v>
      </c>
      <c r="V221" s="3">
        <f t="shared" si="182"/>
        <v>9.9858714672985496E-5</v>
      </c>
      <c r="W221" s="3">
        <f t="shared" si="182"/>
        <v>2.2876471192331759E-28</v>
      </c>
      <c r="X221" s="3">
        <f t="shared" si="182"/>
        <v>9.1079292438859566E-265</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4.6527520280984086E-2</v>
      </c>
      <c r="C222" s="3">
        <f t="shared" si="183"/>
        <v>4.6527520280984086E-2</v>
      </c>
      <c r="D222" s="3">
        <f t="shared" si="183"/>
        <v>4.6527520280984086E-2</v>
      </c>
      <c r="E222" s="3">
        <f t="shared" si="183"/>
        <v>4.6527520280984086E-2</v>
      </c>
      <c r="F222" s="3">
        <f t="shared" si="183"/>
        <v>4.6527520280984086E-2</v>
      </c>
      <c r="G222" s="3">
        <f t="shared" si="183"/>
        <v>4.6527520280984058E-2</v>
      </c>
      <c r="H222" s="3">
        <f t="shared" si="183"/>
        <v>4.6527520280983836E-2</v>
      </c>
      <c r="I222" s="3">
        <f t="shared" si="183"/>
        <v>4.6527520280981546E-2</v>
      </c>
      <c r="J222" s="3">
        <f t="shared" si="183"/>
        <v>4.6527520280958704E-2</v>
      </c>
      <c r="K222" s="3">
        <f t="shared" si="183"/>
        <v>4.652752028073024E-2</v>
      </c>
      <c r="L222" s="3">
        <f t="shared" si="183"/>
        <v>4.6527520278445582E-2</v>
      </c>
      <c r="M222" s="3">
        <f t="shared" si="183"/>
        <v>4.6527520255599086E-2</v>
      </c>
      <c r="N222" s="3">
        <f t="shared" si="183"/>
        <v>4.6527520027134131E-2</v>
      </c>
      <c r="O222" s="3">
        <f t="shared" si="183"/>
        <v>4.6527517742484592E-2</v>
      </c>
      <c r="P222" s="3">
        <f t="shared" si="183"/>
        <v>4.6527494895995364E-2</v>
      </c>
      <c r="Q222" s="3">
        <f t="shared" si="183"/>
        <v>4.6527266431720116E-2</v>
      </c>
      <c r="R222" s="3">
        <f t="shared" si="183"/>
        <v>4.6524981850667328E-2</v>
      </c>
      <c r="S222" s="3">
        <f t="shared" si="183"/>
        <v>4.6502142208991029E-2</v>
      </c>
      <c r="T222" s="3">
        <f t="shared" si="183"/>
        <v>4.6274361558087333E-2</v>
      </c>
      <c r="U222" s="3">
        <f t="shared" si="183"/>
        <v>4.4057027442445246E-2</v>
      </c>
      <c r="V222" s="3">
        <f t="shared" si="183"/>
        <v>2.6962661081002957E-2</v>
      </c>
      <c r="W222" s="3">
        <f t="shared" si="183"/>
        <v>1.9871852869512871E-4</v>
      </c>
      <c r="X222" s="3">
        <f t="shared" si="183"/>
        <v>9.3971133658038947E-26</v>
      </c>
      <c r="Y222" s="3">
        <f t="shared" si="183"/>
        <v>5.2547916096637035E-239</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5.951973770461929E-2</v>
      </c>
      <c r="C223" s="3">
        <f t="shared" si="184"/>
        <v>5.951973770461929E-2</v>
      </c>
      <c r="D223" s="3">
        <f t="shared" si="184"/>
        <v>5.951973770461929E-2</v>
      </c>
      <c r="E223" s="3">
        <f t="shared" si="184"/>
        <v>5.951973770461929E-2</v>
      </c>
      <c r="F223" s="3">
        <f t="shared" si="184"/>
        <v>5.951973770461929E-2</v>
      </c>
      <c r="G223" s="3">
        <f t="shared" si="184"/>
        <v>5.951973770461929E-2</v>
      </c>
      <c r="H223" s="3">
        <f t="shared" si="184"/>
        <v>5.9519737704619262E-2</v>
      </c>
      <c r="I223" s="3">
        <f t="shared" si="184"/>
        <v>5.9519737704618998E-2</v>
      </c>
      <c r="J223" s="3">
        <f t="shared" si="184"/>
        <v>5.9519737704616361E-2</v>
      </c>
      <c r="K223" s="3">
        <f t="shared" si="184"/>
        <v>5.9519737704589994E-2</v>
      </c>
      <c r="L223" s="3">
        <f t="shared" si="184"/>
        <v>5.951973770432635E-2</v>
      </c>
      <c r="M223" s="3">
        <f t="shared" si="184"/>
        <v>5.9519737701689918E-2</v>
      </c>
      <c r="N223" s="3">
        <f t="shared" si="184"/>
        <v>5.9519737675325556E-2</v>
      </c>
      <c r="O223" s="3">
        <f t="shared" si="184"/>
        <v>5.9519737411681914E-2</v>
      </c>
      <c r="P223" s="3">
        <f t="shared" si="184"/>
        <v>5.9519734775245609E-2</v>
      </c>
      <c r="Q223" s="3">
        <f t="shared" si="184"/>
        <v>5.9519708410888987E-2</v>
      </c>
      <c r="R223" s="3">
        <f t="shared" si="184"/>
        <v>5.9519444767965023E-2</v>
      </c>
      <c r="S223" s="3">
        <f t="shared" si="184"/>
        <v>5.9516808402954008E-2</v>
      </c>
      <c r="T223" s="3">
        <f t="shared" si="184"/>
        <v>5.9490451174649933E-2</v>
      </c>
      <c r="U223" s="3">
        <f t="shared" si="184"/>
        <v>5.9227520020981035E-2</v>
      </c>
      <c r="V223" s="3">
        <f t="shared" si="184"/>
        <v>5.6661282994675974E-2</v>
      </c>
      <c r="W223" s="3">
        <f t="shared" si="184"/>
        <v>3.6384378698306227E-2</v>
      </c>
      <c r="X223" s="3">
        <f t="shared" si="184"/>
        <v>4.3371111760460225E-4</v>
      </c>
      <c r="Y223" s="3">
        <f t="shared" si="184"/>
        <v>2.5122130687003609E-23</v>
      </c>
      <c r="Z223" s="3">
        <f t="shared" si="184"/>
        <v>1.0681091294025765E-215</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8.0489091133812765E-2</v>
      </c>
      <c r="C224" s="3">
        <f t="shared" si="185"/>
        <v>8.0489091133812765E-2</v>
      </c>
      <c r="D224" s="3">
        <f t="shared" si="185"/>
        <v>8.0489091133812765E-2</v>
      </c>
      <c r="E224" s="3">
        <f t="shared" si="185"/>
        <v>8.0489091133812765E-2</v>
      </c>
      <c r="F224" s="3">
        <f t="shared" si="185"/>
        <v>8.0489091133812765E-2</v>
      </c>
      <c r="G224" s="3">
        <f t="shared" si="185"/>
        <v>8.0489091133812765E-2</v>
      </c>
      <c r="H224" s="3">
        <f t="shared" si="185"/>
        <v>8.0489091133812765E-2</v>
      </c>
      <c r="I224" s="3">
        <f t="shared" si="185"/>
        <v>8.0489091133812724E-2</v>
      </c>
      <c r="J224" s="3">
        <f t="shared" si="185"/>
        <v>8.0489091133812404E-2</v>
      </c>
      <c r="K224" s="3">
        <f t="shared" si="185"/>
        <v>8.0489091133809185E-2</v>
      </c>
      <c r="L224" s="3">
        <f t="shared" si="185"/>
        <v>8.048909113377703E-2</v>
      </c>
      <c r="M224" s="3">
        <f t="shared" si="185"/>
        <v>8.0489091133455412E-2</v>
      </c>
      <c r="N224" s="3">
        <f t="shared" si="185"/>
        <v>8.0489091130239235E-2</v>
      </c>
      <c r="O224" s="3">
        <f t="shared" si="185"/>
        <v>8.0489091098077475E-2</v>
      </c>
      <c r="P224" s="3">
        <f t="shared" si="185"/>
        <v>8.0489090776459798E-2</v>
      </c>
      <c r="Q224" s="3">
        <f t="shared" si="185"/>
        <v>8.0489087560283182E-2</v>
      </c>
      <c r="R224" s="3">
        <f t="shared" si="185"/>
        <v>8.0489055398524065E-2</v>
      </c>
      <c r="S224" s="3">
        <f t="shared" si="185"/>
        <v>8.0488733781639718E-2</v>
      </c>
      <c r="T224" s="3">
        <f t="shared" si="185"/>
        <v>8.0485517683476476E-2</v>
      </c>
      <c r="U224" s="3">
        <f t="shared" si="185"/>
        <v>8.0453363768828445E-2</v>
      </c>
      <c r="V224" s="3">
        <f t="shared" si="185"/>
        <v>8.0132530277082725E-2</v>
      </c>
      <c r="W224" s="3">
        <f t="shared" si="185"/>
        <v>7.6993728619513993E-2</v>
      </c>
      <c r="X224" s="3">
        <f t="shared" si="185"/>
        <v>5.1632161746557291E-2</v>
      </c>
      <c r="Y224" s="3">
        <f t="shared" si="185"/>
        <v>9.496637802730364E-4</v>
      </c>
      <c r="Z224" s="3">
        <f t="shared" si="185"/>
        <v>4.2079012004694932E-21</v>
      </c>
      <c r="AA224" s="3">
        <f t="shared" si="185"/>
        <v>1.2275017819665424E-194</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6.5723461611377515E-2</v>
      </c>
      <c r="C225" s="3">
        <f t="shared" si="186"/>
        <v>6.5723461611377515E-2</v>
      </c>
      <c r="D225" s="3">
        <f t="shared" si="186"/>
        <v>6.5723461611377515E-2</v>
      </c>
      <c r="E225" s="3">
        <f t="shared" si="186"/>
        <v>6.5723461611377515E-2</v>
      </c>
      <c r="F225" s="3">
        <f t="shared" si="186"/>
        <v>6.5723461611377515E-2</v>
      </c>
      <c r="G225" s="3">
        <f t="shared" si="186"/>
        <v>6.5723461611377515E-2</v>
      </c>
      <c r="H225" s="3">
        <f t="shared" si="186"/>
        <v>6.5723461611377515E-2</v>
      </c>
      <c r="I225" s="3">
        <f t="shared" si="186"/>
        <v>6.5723461611377515E-2</v>
      </c>
      <c r="J225" s="3">
        <f t="shared" si="186"/>
        <v>6.5723461611377487E-2</v>
      </c>
      <c r="K225" s="3">
        <f t="shared" si="186"/>
        <v>6.5723461611377251E-2</v>
      </c>
      <c r="L225" s="3">
        <f t="shared" si="186"/>
        <v>6.5723461611374878E-2</v>
      </c>
      <c r="M225" s="3">
        <f t="shared" si="186"/>
        <v>6.5723461611351189E-2</v>
      </c>
      <c r="N225" s="3">
        <f t="shared" si="186"/>
        <v>6.5723461611114295E-2</v>
      </c>
      <c r="O225" s="3">
        <f t="shared" si="186"/>
        <v>6.5723461608745259E-2</v>
      </c>
      <c r="P225" s="3">
        <f t="shared" si="186"/>
        <v>6.5723461585055001E-2</v>
      </c>
      <c r="Q225" s="3">
        <f t="shared" si="186"/>
        <v>6.5723461348152365E-2</v>
      </c>
      <c r="R225" s="3">
        <f t="shared" si="186"/>
        <v>6.5723458979126029E-2</v>
      </c>
      <c r="S225" s="3">
        <f t="shared" si="186"/>
        <v>6.5723435288867399E-2</v>
      </c>
      <c r="T225" s="3">
        <f t="shared" si="186"/>
        <v>6.5723198386750711E-2</v>
      </c>
      <c r="U225" s="3">
        <f t="shared" si="186"/>
        <v>6.5720829412549003E-2</v>
      </c>
      <c r="V225" s="3">
        <f t="shared" si="186"/>
        <v>6.5697144366419588E-2</v>
      </c>
      <c r="W225" s="3">
        <f t="shared" si="186"/>
        <v>6.5460762868216574E-2</v>
      </c>
      <c r="X225" s="3">
        <f t="shared" si="186"/>
        <v>6.3143224733759953E-2</v>
      </c>
      <c r="Y225" s="3">
        <f t="shared" si="186"/>
        <v>4.4033551205450383E-2</v>
      </c>
      <c r="Z225" s="3">
        <f t="shared" si="186"/>
        <v>1.1977143501422768E-3</v>
      </c>
      <c r="AA225" s="3">
        <f t="shared" si="186"/>
        <v>2.6549030446202778E-19</v>
      </c>
      <c r="AB225" s="3">
        <f t="shared" si="186"/>
        <v>7.6033116346508552E-176</v>
      </c>
      <c r="AC225" s="3">
        <f t="shared" si="186"/>
        <v>0</v>
      </c>
      <c r="AD225" s="3">
        <f t="shared" si="186"/>
        <v>0</v>
      </c>
      <c r="AE225" s="3">
        <f t="shared" si="186"/>
        <v>0</v>
      </c>
      <c r="AF225" s="3">
        <f t="shared" si="186"/>
        <v>0</v>
      </c>
      <c r="AG225" s="3"/>
      <c r="AH225" s="3"/>
    </row>
    <row r="226" spans="2:34" x14ac:dyDescent="0.25">
      <c r="B226" s="3">
        <f t="shared" ref="B226:AF226" si="187">$C34*EXP(-B$207/$A34/EXP(-$D$126))</f>
        <v>5.0766006496314589E-2</v>
      </c>
      <c r="C226" s="3">
        <f t="shared" si="187"/>
        <v>5.0766006496314589E-2</v>
      </c>
      <c r="D226" s="3">
        <f t="shared" si="187"/>
        <v>5.0766006496314589E-2</v>
      </c>
      <c r="E226" s="3">
        <f t="shared" si="187"/>
        <v>5.0766006496314589E-2</v>
      </c>
      <c r="F226" s="3">
        <f t="shared" si="187"/>
        <v>5.0766006496314589E-2</v>
      </c>
      <c r="G226" s="3">
        <f t="shared" si="187"/>
        <v>5.0766006496314589E-2</v>
      </c>
      <c r="H226" s="3">
        <f t="shared" si="187"/>
        <v>5.0766006496314589E-2</v>
      </c>
      <c r="I226" s="3">
        <f t="shared" si="187"/>
        <v>5.0766006496314589E-2</v>
      </c>
      <c r="J226" s="3">
        <f t="shared" si="187"/>
        <v>5.0766006496314589E-2</v>
      </c>
      <c r="K226" s="3">
        <f t="shared" si="187"/>
        <v>5.0766006496314575E-2</v>
      </c>
      <c r="L226" s="3">
        <f t="shared" si="187"/>
        <v>5.0766006496314402E-2</v>
      </c>
      <c r="M226" s="3">
        <f t="shared" si="187"/>
        <v>5.0766006496312757E-2</v>
      </c>
      <c r="N226" s="3">
        <f t="shared" si="187"/>
        <v>5.076600649629625E-2</v>
      </c>
      <c r="O226" s="3">
        <f t="shared" si="187"/>
        <v>5.076600649613118E-2</v>
      </c>
      <c r="P226" s="3">
        <f t="shared" si="187"/>
        <v>5.0766006494480473E-2</v>
      </c>
      <c r="Q226" s="3">
        <f t="shared" si="187"/>
        <v>5.0766006477973441E-2</v>
      </c>
      <c r="R226" s="3">
        <f t="shared" si="187"/>
        <v>5.0766006312903095E-2</v>
      </c>
      <c r="S226" s="3">
        <f t="shared" si="187"/>
        <v>5.0766004662199674E-2</v>
      </c>
      <c r="T226" s="3">
        <f t="shared" si="187"/>
        <v>5.0765988155168404E-2</v>
      </c>
      <c r="U226" s="3">
        <f t="shared" si="187"/>
        <v>5.0765823085150895E-2</v>
      </c>
      <c r="V226" s="3">
        <f t="shared" si="187"/>
        <v>5.0764172414496253E-2</v>
      </c>
      <c r="W226" s="3">
        <f t="shared" si="187"/>
        <v>5.0747668659633066E-2</v>
      </c>
      <c r="X226" s="3">
        <f t="shared" si="187"/>
        <v>5.0582925924524319E-2</v>
      </c>
      <c r="Y226" s="3">
        <f t="shared" si="187"/>
        <v>4.8964628302589935E-2</v>
      </c>
      <c r="Z226" s="3">
        <f t="shared" si="187"/>
        <v>3.5372651192602585E-2</v>
      </c>
      <c r="AA226" s="3">
        <f t="shared" si="187"/>
        <v>1.36936463136921E-3</v>
      </c>
      <c r="AB226" s="3">
        <f t="shared" si="187"/>
        <v>1.0352233423003078E-17</v>
      </c>
      <c r="AC226" s="3">
        <f t="shared" si="187"/>
        <v>6.3122406883257037E-159</v>
      </c>
      <c r="AD226" s="3">
        <f t="shared" si="187"/>
        <v>0</v>
      </c>
      <c r="AE226" s="3">
        <f t="shared" si="187"/>
        <v>0</v>
      </c>
      <c r="AF226" s="3">
        <f t="shared" si="187"/>
        <v>0</v>
      </c>
      <c r="AG226" s="3"/>
      <c r="AH226" s="3"/>
    </row>
    <row r="227" spans="2:34" x14ac:dyDescent="0.25">
      <c r="B227" s="3">
        <f t="shared" ref="B227:AF227" si="188">$C35*EXP(-B$207/$A35/EXP(-$D$126))</f>
        <v>2.7257633093652572E-2</v>
      </c>
      <c r="C227" s="3">
        <f t="shared" si="188"/>
        <v>2.7257633093652572E-2</v>
      </c>
      <c r="D227" s="3">
        <f t="shared" si="188"/>
        <v>2.7257633093652572E-2</v>
      </c>
      <c r="E227" s="3">
        <f t="shared" si="188"/>
        <v>2.7257633093652572E-2</v>
      </c>
      <c r="F227" s="3">
        <f t="shared" si="188"/>
        <v>2.7257633093652572E-2</v>
      </c>
      <c r="G227" s="3">
        <f t="shared" si="188"/>
        <v>2.7257633093652572E-2</v>
      </c>
      <c r="H227" s="3">
        <f t="shared" si="188"/>
        <v>2.7257633093652572E-2</v>
      </c>
      <c r="I227" s="3">
        <f t="shared" si="188"/>
        <v>2.7257633093652572E-2</v>
      </c>
      <c r="J227" s="3">
        <f t="shared" si="188"/>
        <v>2.7257633093652572E-2</v>
      </c>
      <c r="K227" s="3">
        <f t="shared" si="188"/>
        <v>2.7257633093652572E-2</v>
      </c>
      <c r="L227" s="3">
        <f t="shared" si="188"/>
        <v>2.7257633093652561E-2</v>
      </c>
      <c r="M227" s="3">
        <f t="shared" si="188"/>
        <v>2.7257633093652485E-2</v>
      </c>
      <c r="N227" s="3">
        <f t="shared" si="188"/>
        <v>2.7257633093651683E-2</v>
      </c>
      <c r="O227" s="3">
        <f t="shared" si="188"/>
        <v>2.7257633093643686E-2</v>
      </c>
      <c r="P227" s="3">
        <f t="shared" si="188"/>
        <v>2.7257633093563733E-2</v>
      </c>
      <c r="Q227" s="3">
        <f t="shared" si="188"/>
        <v>2.7257633092764213E-2</v>
      </c>
      <c r="R227" s="3">
        <f t="shared" si="188"/>
        <v>2.7257633084768987E-2</v>
      </c>
      <c r="S227" s="3">
        <f t="shared" si="188"/>
        <v>2.7257633004816716E-2</v>
      </c>
      <c r="T227" s="3">
        <f t="shared" si="188"/>
        <v>2.7257632205294046E-2</v>
      </c>
      <c r="U227" s="3">
        <f t="shared" si="188"/>
        <v>2.7257624210068609E-2</v>
      </c>
      <c r="V227" s="3">
        <f t="shared" si="188"/>
        <v>2.7257544257943241E-2</v>
      </c>
      <c r="W227" s="3">
        <f t="shared" si="188"/>
        <v>2.7256744749587808E-2</v>
      </c>
      <c r="X227" s="3">
        <f t="shared" si="188"/>
        <v>2.7248750955718805E-2</v>
      </c>
      <c r="Y227" s="3">
        <f t="shared" si="188"/>
        <v>2.7168941845704377E-2</v>
      </c>
      <c r="Z227" s="3">
        <f t="shared" si="188"/>
        <v>2.6383594887313438E-2</v>
      </c>
      <c r="AA227" s="3">
        <f t="shared" si="188"/>
        <v>1.9676435523398948E-2</v>
      </c>
      <c r="AB227" s="3">
        <f t="shared" si="188"/>
        <v>1.0472997401584701E-3</v>
      </c>
      <c r="AC227" s="3">
        <f t="shared" si="188"/>
        <v>1.9112464237675413E-16</v>
      </c>
      <c r="AD227" s="3">
        <f t="shared" si="188"/>
        <v>7.8302131771680188E-144</v>
      </c>
      <c r="AE227" s="3">
        <f t="shared" si="188"/>
        <v>0</v>
      </c>
      <c r="AF227" s="3">
        <f t="shared" si="188"/>
        <v>0</v>
      </c>
      <c r="AG227" s="3"/>
      <c r="AH227" s="3"/>
    </row>
    <row r="228" spans="2:34" x14ac:dyDescent="0.25">
      <c r="B228" s="3">
        <f t="shared" ref="B228:AF228" si="189">$C36*EXP(-B$207/$A36/EXP(-$D$126))</f>
        <v>1.5460526055255958E-2</v>
      </c>
      <c r="C228" s="3">
        <f t="shared" si="189"/>
        <v>1.5460526055255958E-2</v>
      </c>
      <c r="D228" s="3">
        <f t="shared" si="189"/>
        <v>1.5460526055255958E-2</v>
      </c>
      <c r="E228" s="3">
        <f t="shared" si="189"/>
        <v>1.5460526055255958E-2</v>
      </c>
      <c r="F228" s="3">
        <f t="shared" si="189"/>
        <v>1.5460526055255958E-2</v>
      </c>
      <c r="G228" s="3">
        <f t="shared" si="189"/>
        <v>1.5460526055255958E-2</v>
      </c>
      <c r="H228" s="3">
        <f t="shared" si="189"/>
        <v>1.5460526055255958E-2</v>
      </c>
      <c r="I228" s="3">
        <f t="shared" si="189"/>
        <v>1.5460526055255958E-2</v>
      </c>
      <c r="J228" s="3">
        <f t="shared" si="189"/>
        <v>1.5460526055255958E-2</v>
      </c>
      <c r="K228" s="3">
        <f t="shared" si="189"/>
        <v>1.5460526055255958E-2</v>
      </c>
      <c r="L228" s="3">
        <f t="shared" si="189"/>
        <v>1.5460526055255958E-2</v>
      </c>
      <c r="M228" s="3">
        <f t="shared" si="189"/>
        <v>1.5460526055255953E-2</v>
      </c>
      <c r="N228" s="3">
        <f t="shared" si="189"/>
        <v>1.5460526055255913E-2</v>
      </c>
      <c r="O228" s="3">
        <f t="shared" si="189"/>
        <v>1.5460526055255504E-2</v>
      </c>
      <c r="P228" s="3">
        <f t="shared" si="189"/>
        <v>1.5460526055251413E-2</v>
      </c>
      <c r="Q228" s="3">
        <f t="shared" si="189"/>
        <v>1.5460526055210505E-2</v>
      </c>
      <c r="R228" s="3">
        <f t="shared" si="189"/>
        <v>1.5460526054801419E-2</v>
      </c>
      <c r="S228" s="3">
        <f t="shared" si="189"/>
        <v>1.546052605071057E-2</v>
      </c>
      <c r="T228" s="3">
        <f t="shared" si="189"/>
        <v>1.5460526009802075E-2</v>
      </c>
      <c r="U228" s="3">
        <f t="shared" si="189"/>
        <v>1.5460525600717126E-2</v>
      </c>
      <c r="V228" s="3">
        <f t="shared" si="189"/>
        <v>1.5460521509868232E-2</v>
      </c>
      <c r="W228" s="3">
        <f t="shared" si="189"/>
        <v>1.5460480601438831E-2</v>
      </c>
      <c r="X228" s="3">
        <f t="shared" si="189"/>
        <v>1.5460071523098176E-2</v>
      </c>
      <c r="Y228" s="3">
        <f t="shared" si="189"/>
        <v>1.545598133496737E-2</v>
      </c>
      <c r="Z228" s="3">
        <f t="shared" si="189"/>
        <v>1.5415138922997805E-2</v>
      </c>
      <c r="AA228" s="3">
        <f t="shared" si="189"/>
        <v>1.5012603925337622E-2</v>
      </c>
      <c r="AB228" s="3">
        <f t="shared" si="189"/>
        <v>1.1522371284202115E-2</v>
      </c>
      <c r="AC228" s="3">
        <f t="shared" si="189"/>
        <v>8.1733528914133022E-4</v>
      </c>
      <c r="AD228" s="3">
        <f t="shared" si="189"/>
        <v>2.6362348714466701E-15</v>
      </c>
      <c r="AE228" s="3">
        <f t="shared" si="189"/>
        <v>3.2123481071971321E-130</v>
      </c>
      <c r="AF228" s="3">
        <f t="shared" si="189"/>
        <v>0</v>
      </c>
      <c r="AG228" s="3"/>
      <c r="AH228" s="3"/>
    </row>
    <row r="229" spans="2:34" x14ac:dyDescent="0.25">
      <c r="B229" s="3">
        <f t="shared" ref="B229:AF229" si="190">$C37*EXP(-B$207/$A37/EXP(-$D$126))</f>
        <v>6.5522275925880558E-3</v>
      </c>
      <c r="C229" s="3">
        <f t="shared" si="190"/>
        <v>6.5522275925880558E-3</v>
      </c>
      <c r="D229" s="3">
        <f t="shared" si="190"/>
        <v>6.5522275925880558E-3</v>
      </c>
      <c r="E229" s="3">
        <f t="shared" si="190"/>
        <v>6.5522275925880558E-3</v>
      </c>
      <c r="F229" s="3">
        <f t="shared" si="190"/>
        <v>6.5522275925880558E-3</v>
      </c>
      <c r="G229" s="3">
        <f t="shared" si="190"/>
        <v>6.5522275925880558E-3</v>
      </c>
      <c r="H229" s="3">
        <f t="shared" si="190"/>
        <v>6.5522275925880558E-3</v>
      </c>
      <c r="I229" s="3">
        <f t="shared" si="190"/>
        <v>6.5522275925880558E-3</v>
      </c>
      <c r="J229" s="3">
        <f t="shared" si="190"/>
        <v>6.5522275925880558E-3</v>
      </c>
      <c r="K229" s="3">
        <f t="shared" si="190"/>
        <v>6.5522275925880558E-3</v>
      </c>
      <c r="L229" s="3">
        <f t="shared" si="190"/>
        <v>6.5522275925880558E-3</v>
      </c>
      <c r="M229" s="3">
        <f t="shared" si="190"/>
        <v>6.5522275925880558E-3</v>
      </c>
      <c r="N229" s="3">
        <f t="shared" si="190"/>
        <v>6.552227592588054E-3</v>
      </c>
      <c r="O229" s="3">
        <f t="shared" si="190"/>
        <v>6.5522275925880384E-3</v>
      </c>
      <c r="P229" s="3">
        <f t="shared" si="190"/>
        <v>6.5522275925878823E-3</v>
      </c>
      <c r="Q229" s="3">
        <f t="shared" si="190"/>
        <v>6.5522275925863176E-3</v>
      </c>
      <c r="R229" s="3">
        <f t="shared" si="190"/>
        <v>6.5522275925706782E-3</v>
      </c>
      <c r="S229" s="3">
        <f t="shared" si="190"/>
        <v>6.5522275924142824E-3</v>
      </c>
      <c r="T229" s="3">
        <f t="shared" si="190"/>
        <v>6.552227590850326E-3</v>
      </c>
      <c r="U229" s="3">
        <f t="shared" si="190"/>
        <v>6.5522275752107556E-3</v>
      </c>
      <c r="V229" s="3">
        <f t="shared" si="190"/>
        <v>6.5522274188150589E-3</v>
      </c>
      <c r="W229" s="3">
        <f t="shared" si="190"/>
        <v>6.5522258548582936E-3</v>
      </c>
      <c r="X229" s="3">
        <f t="shared" si="190"/>
        <v>6.5522102153111727E-3</v>
      </c>
      <c r="Y229" s="3">
        <f t="shared" si="190"/>
        <v>6.5520538218931104E-3</v>
      </c>
      <c r="Z229" s="3">
        <f t="shared" si="190"/>
        <v>6.5504900930085904E-3</v>
      </c>
      <c r="AA229" s="3">
        <f t="shared" si="190"/>
        <v>6.5348733156547186E-3</v>
      </c>
      <c r="AB229" s="3">
        <f t="shared" si="190"/>
        <v>6.3807386914724266E-3</v>
      </c>
      <c r="AC229" s="3">
        <f t="shared" si="190"/>
        <v>5.0258419364883518E-3</v>
      </c>
      <c r="AD229" s="3">
        <f t="shared" si="190"/>
        <v>4.6194204194444408E-4</v>
      </c>
      <c r="AE229" s="3">
        <f t="shared" si="190"/>
        <v>1.9878066027024567E-14</v>
      </c>
      <c r="AF229" s="3">
        <f t="shared" si="190"/>
        <v>4.3275343076322741E-118</v>
      </c>
      <c r="AG229" s="3"/>
      <c r="AH229" s="3"/>
    </row>
    <row r="230" spans="2:34" x14ac:dyDescent="0.25">
      <c r="B230" s="3">
        <f t="shared" ref="B230:AF230" si="191">$C38*EXP(-B$207/$A38/EXP(-$D$126))</f>
        <v>1.7032131485439372E-3</v>
      </c>
      <c r="C230" s="3">
        <f t="shared" si="191"/>
        <v>1.7032131485439372E-3</v>
      </c>
      <c r="D230" s="3">
        <f t="shared" si="191"/>
        <v>1.7032131485439372E-3</v>
      </c>
      <c r="E230" s="3">
        <f t="shared" si="191"/>
        <v>1.7032131485439372E-3</v>
      </c>
      <c r="F230" s="3">
        <f t="shared" si="191"/>
        <v>1.7032131485439372E-3</v>
      </c>
      <c r="G230" s="3">
        <f t="shared" si="191"/>
        <v>1.7032131485439372E-3</v>
      </c>
      <c r="H230" s="3">
        <f t="shared" si="191"/>
        <v>1.7032131485439372E-3</v>
      </c>
      <c r="I230" s="3">
        <f t="shared" si="191"/>
        <v>1.7032131485439372E-3</v>
      </c>
      <c r="J230" s="3">
        <f t="shared" si="191"/>
        <v>1.7032131485439372E-3</v>
      </c>
      <c r="K230" s="3">
        <f t="shared" si="191"/>
        <v>1.7032131485439372E-3</v>
      </c>
      <c r="L230" s="3">
        <f t="shared" si="191"/>
        <v>1.7032131485439372E-3</v>
      </c>
      <c r="M230" s="3">
        <f t="shared" si="191"/>
        <v>1.7032131485439372E-3</v>
      </c>
      <c r="N230" s="3">
        <f t="shared" si="191"/>
        <v>1.7032131485439372E-3</v>
      </c>
      <c r="O230" s="3">
        <f t="shared" si="191"/>
        <v>1.7032131485439368E-3</v>
      </c>
      <c r="P230" s="3">
        <f t="shared" si="191"/>
        <v>1.7032131485439331E-3</v>
      </c>
      <c r="Q230" s="3">
        <f t="shared" si="191"/>
        <v>1.7032131485438967E-3</v>
      </c>
      <c r="R230" s="3">
        <f t="shared" si="191"/>
        <v>1.7032131485435298E-3</v>
      </c>
      <c r="S230" s="3">
        <f t="shared" si="191"/>
        <v>1.7032131485398623E-3</v>
      </c>
      <c r="T230" s="3">
        <f t="shared" si="191"/>
        <v>1.703213148503189E-3</v>
      </c>
      <c r="U230" s="3">
        <f t="shared" si="191"/>
        <v>1.7032131481364548E-3</v>
      </c>
      <c r="V230" s="3">
        <f t="shared" si="191"/>
        <v>1.7032131444691128E-3</v>
      </c>
      <c r="W230" s="3">
        <f t="shared" si="191"/>
        <v>1.7032131077956922E-3</v>
      </c>
      <c r="X230" s="3">
        <f t="shared" si="191"/>
        <v>1.7032127410615302E-3</v>
      </c>
      <c r="Y230" s="3">
        <f t="shared" si="191"/>
        <v>1.7032090737242552E-3</v>
      </c>
      <c r="Z230" s="3">
        <f t="shared" si="191"/>
        <v>1.7031724007858069E-3</v>
      </c>
      <c r="AA230" s="3">
        <f t="shared" si="191"/>
        <v>1.7028057148281513E-3</v>
      </c>
      <c r="AB230" s="3">
        <f t="shared" si="191"/>
        <v>1.6991431944765037E-3</v>
      </c>
      <c r="AC230" s="3">
        <f t="shared" si="191"/>
        <v>1.6629484762957735E-3</v>
      </c>
      <c r="AD230" s="3">
        <f t="shared" si="191"/>
        <v>1.3408090269188858E-3</v>
      </c>
      <c r="AE230" s="3">
        <f t="shared" si="191"/>
        <v>1.5568552710968551E-4</v>
      </c>
      <c r="AF230" s="3">
        <f t="shared" si="191"/>
        <v>6.9352385495920635E-14</v>
      </c>
      <c r="AG230" s="3"/>
      <c r="AH230" s="3"/>
    </row>
    <row r="231" spans="2:34" x14ac:dyDescent="0.25">
      <c r="B231" s="3">
        <f t="shared" ref="B231:AF231" si="192">$C39*EXP(-B$207/$A39/EXP(-$D$126))</f>
        <v>4.5350630336780827E-3</v>
      </c>
      <c r="C231" s="3">
        <f t="shared" si="192"/>
        <v>4.5350630336780827E-3</v>
      </c>
      <c r="D231" s="3">
        <f t="shared" si="192"/>
        <v>4.5350630336780827E-3</v>
      </c>
      <c r="E231" s="3">
        <f t="shared" si="192"/>
        <v>4.5350630336780827E-3</v>
      </c>
      <c r="F231" s="3">
        <f t="shared" si="192"/>
        <v>4.5350630336780827E-3</v>
      </c>
      <c r="G231" s="3">
        <f t="shared" si="192"/>
        <v>4.5350630336780827E-3</v>
      </c>
      <c r="H231" s="3">
        <f t="shared" si="192"/>
        <v>4.5350630336780827E-3</v>
      </c>
      <c r="I231" s="3">
        <f t="shared" si="192"/>
        <v>4.5350630336780827E-3</v>
      </c>
      <c r="J231" s="3">
        <f t="shared" si="192"/>
        <v>4.5350630336780827E-3</v>
      </c>
      <c r="K231" s="3">
        <f t="shared" si="192"/>
        <v>4.5350630336780827E-3</v>
      </c>
      <c r="L231" s="3">
        <f t="shared" si="192"/>
        <v>4.5350630336780827E-3</v>
      </c>
      <c r="M231" s="3">
        <f t="shared" si="192"/>
        <v>4.5350630336780827E-3</v>
      </c>
      <c r="N231" s="3">
        <f t="shared" si="192"/>
        <v>4.5350630336780827E-3</v>
      </c>
      <c r="O231" s="3">
        <f t="shared" si="192"/>
        <v>4.5350630336780818E-3</v>
      </c>
      <c r="P231" s="3">
        <f t="shared" si="192"/>
        <v>4.5350630336780801E-3</v>
      </c>
      <c r="Q231" s="3">
        <f t="shared" si="192"/>
        <v>4.5350630336780523E-3</v>
      </c>
      <c r="R231" s="3">
        <f t="shared" si="192"/>
        <v>4.5350630336777826E-3</v>
      </c>
      <c r="S231" s="3">
        <f t="shared" si="192"/>
        <v>4.5350630336750816E-3</v>
      </c>
      <c r="T231" s="3">
        <f t="shared" si="192"/>
        <v>4.5350630336480745E-3</v>
      </c>
      <c r="U231" s="3">
        <f t="shared" si="192"/>
        <v>4.5350630333780033E-3</v>
      </c>
      <c r="V231" s="3">
        <f t="shared" si="192"/>
        <v>4.5350630306772895E-3</v>
      </c>
      <c r="W231" s="3">
        <f t="shared" si="192"/>
        <v>4.5350630036701482E-3</v>
      </c>
      <c r="X231" s="3">
        <f t="shared" si="192"/>
        <v>4.535062733598748E-3</v>
      </c>
      <c r="Y231" s="3">
        <f t="shared" si="192"/>
        <v>4.5350600328856261E-3</v>
      </c>
      <c r="Z231" s="3">
        <f t="shared" si="192"/>
        <v>4.535033025842866E-3</v>
      </c>
      <c r="AA231" s="3">
        <f t="shared" si="192"/>
        <v>4.5347629642608365E-3</v>
      </c>
      <c r="AB231" s="3">
        <f t="shared" si="192"/>
        <v>4.5320632328029378E-3</v>
      </c>
      <c r="AC231" s="3">
        <f t="shared" si="192"/>
        <v>4.5051541599111303E-3</v>
      </c>
      <c r="AD231" s="3">
        <f t="shared" si="192"/>
        <v>4.2446962247105402E-3</v>
      </c>
      <c r="AE231" s="3">
        <f t="shared" si="192"/>
        <v>2.3400018480050685E-3</v>
      </c>
      <c r="AF231" s="3">
        <f t="shared" si="192"/>
        <v>6.0661347590943017E-6</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1.6861233379433117E-3</v>
      </c>
      <c r="C233" s="3">
        <f t="shared" si="194"/>
        <v>1.6861233379433117E-3</v>
      </c>
      <c r="D233" s="3">
        <f t="shared" si="194"/>
        <v>1.6861233379433117E-3</v>
      </c>
      <c r="E233" s="3">
        <f t="shared" si="194"/>
        <v>1.6861233379433117E-3</v>
      </c>
      <c r="F233" s="3">
        <f t="shared" si="194"/>
        <v>1.6861233379433117E-3</v>
      </c>
      <c r="G233" s="3">
        <f t="shared" si="194"/>
        <v>1.6861233379433117E-3</v>
      </c>
      <c r="H233" s="3">
        <f t="shared" si="194"/>
        <v>1.6861233379433117E-3</v>
      </c>
      <c r="I233" s="3">
        <f t="shared" si="194"/>
        <v>1.6861233379433117E-3</v>
      </c>
      <c r="J233" s="3">
        <f t="shared" si="194"/>
        <v>1.6861233379433117E-3</v>
      </c>
      <c r="K233" s="3">
        <f t="shared" si="194"/>
        <v>1.6861233379433117E-3</v>
      </c>
      <c r="L233" s="3">
        <f t="shared" si="194"/>
        <v>1.6861233379433117E-3</v>
      </c>
      <c r="M233" s="3">
        <f t="shared" si="194"/>
        <v>1.6861233379433117E-3</v>
      </c>
      <c r="N233" s="3">
        <f t="shared" si="194"/>
        <v>1.6861233379433117E-3</v>
      </c>
      <c r="O233" s="3">
        <f t="shared" si="194"/>
        <v>1.6861233379433117E-3</v>
      </c>
      <c r="P233" s="3">
        <f t="shared" si="194"/>
        <v>1.6861233379433117E-3</v>
      </c>
      <c r="Q233" s="3">
        <f t="shared" si="194"/>
        <v>1.6861233379433114E-3</v>
      </c>
      <c r="R233" s="3">
        <f t="shared" si="194"/>
        <v>1.6861233379433106E-3</v>
      </c>
      <c r="S233" s="3">
        <f t="shared" si="194"/>
        <v>1.6861233379433004E-3</v>
      </c>
      <c r="T233" s="3">
        <f t="shared" si="194"/>
        <v>1.6861233379432E-3</v>
      </c>
      <c r="U233" s="3">
        <f t="shared" si="194"/>
        <v>1.686123337942196E-3</v>
      </c>
      <c r="V233" s="3">
        <f t="shared" si="194"/>
        <v>1.6861233379321548E-3</v>
      </c>
      <c r="W233" s="3">
        <f t="shared" si="194"/>
        <v>1.6861233378317429E-3</v>
      </c>
      <c r="X233" s="3">
        <f t="shared" si="194"/>
        <v>1.6861233368276253E-3</v>
      </c>
      <c r="Y233" s="3">
        <f t="shared" si="194"/>
        <v>1.6861233267864483E-3</v>
      </c>
      <c r="Z233" s="3">
        <f t="shared" si="194"/>
        <v>1.6861232263746817E-3</v>
      </c>
      <c r="AA233" s="3">
        <f t="shared" si="194"/>
        <v>1.6861222222573429E-3</v>
      </c>
      <c r="AB233" s="3">
        <f t="shared" si="194"/>
        <v>1.6861121811168453E-3</v>
      </c>
      <c r="AC233" s="3">
        <f t="shared" si="194"/>
        <v>1.6860117730006273E-3</v>
      </c>
      <c r="AD233" s="3">
        <f t="shared" si="194"/>
        <v>1.6850080206418313E-3</v>
      </c>
      <c r="AE233" s="3">
        <f t="shared" si="194"/>
        <v>1.6750033050583093E-3</v>
      </c>
      <c r="AF233" s="3">
        <f t="shared" si="194"/>
        <v>1.5781657969943773E-3</v>
      </c>
      <c r="AG233" s="3"/>
      <c r="AH233" s="3"/>
    </row>
    <row r="234" spans="2:34" x14ac:dyDescent="0.25">
      <c r="B234" s="3">
        <f t="shared" ref="B234:AF234" si="195">$C42*EXP(-B$207/$A42/EXP(-$D$126))</f>
        <v>3.1917428644915027E-3</v>
      </c>
      <c r="C234" s="3">
        <f t="shared" si="195"/>
        <v>3.1917428644915027E-3</v>
      </c>
      <c r="D234" s="3">
        <f t="shared" si="195"/>
        <v>3.1917428644915027E-3</v>
      </c>
      <c r="E234" s="3">
        <f t="shared" si="195"/>
        <v>3.1917428644915027E-3</v>
      </c>
      <c r="F234" s="3">
        <f t="shared" si="195"/>
        <v>3.1917428644915027E-3</v>
      </c>
      <c r="G234" s="3">
        <f t="shared" si="195"/>
        <v>3.1917428644915027E-3</v>
      </c>
      <c r="H234" s="3">
        <f t="shared" si="195"/>
        <v>3.1917428644915027E-3</v>
      </c>
      <c r="I234" s="3">
        <f t="shared" si="195"/>
        <v>3.1917428644915027E-3</v>
      </c>
      <c r="J234" s="3">
        <f t="shared" si="195"/>
        <v>3.1917428644915027E-3</v>
      </c>
      <c r="K234" s="3">
        <f t="shared" si="195"/>
        <v>3.1917428644915027E-3</v>
      </c>
      <c r="L234" s="3">
        <f t="shared" si="195"/>
        <v>3.1917428644915027E-3</v>
      </c>
      <c r="M234" s="3">
        <f t="shared" si="195"/>
        <v>3.1917428644915027E-3</v>
      </c>
      <c r="N234" s="3">
        <f t="shared" si="195"/>
        <v>3.1917428644915027E-3</v>
      </c>
      <c r="O234" s="3">
        <f t="shared" si="195"/>
        <v>3.1917428644915027E-3</v>
      </c>
      <c r="P234" s="3">
        <f t="shared" si="195"/>
        <v>3.1917428644915027E-3</v>
      </c>
      <c r="Q234" s="3">
        <f t="shared" si="195"/>
        <v>3.1917428644915027E-3</v>
      </c>
      <c r="R234" s="3">
        <f t="shared" si="195"/>
        <v>3.1917428644915023E-3</v>
      </c>
      <c r="S234" s="3">
        <f t="shared" si="195"/>
        <v>3.1917428644915005E-3</v>
      </c>
      <c r="T234" s="3">
        <f t="shared" si="195"/>
        <v>3.1917428644914815E-3</v>
      </c>
      <c r="U234" s="3">
        <f t="shared" si="195"/>
        <v>3.1917428644912915E-3</v>
      </c>
      <c r="V234" s="3">
        <f t="shared" si="195"/>
        <v>3.1917428644893907E-3</v>
      </c>
      <c r="W234" s="3">
        <f t="shared" si="195"/>
        <v>3.1917428644703833E-3</v>
      </c>
      <c r="X234" s="3">
        <f t="shared" si="195"/>
        <v>3.1917428642803092E-3</v>
      </c>
      <c r="Y234" s="3">
        <f t="shared" si="195"/>
        <v>3.1917428623795671E-3</v>
      </c>
      <c r="Z234" s="3">
        <f t="shared" si="195"/>
        <v>3.1917428433721469E-3</v>
      </c>
      <c r="AA234" s="3">
        <f t="shared" si="195"/>
        <v>3.1917426532979496E-3</v>
      </c>
      <c r="AB234" s="3">
        <f t="shared" si="195"/>
        <v>3.1917407525565988E-3</v>
      </c>
      <c r="AC234" s="3">
        <f t="shared" si="195"/>
        <v>3.191721745205349E-3</v>
      </c>
      <c r="AD234" s="3">
        <f t="shared" si="195"/>
        <v>3.1915316779182984E-3</v>
      </c>
      <c r="AE234" s="3">
        <f t="shared" si="195"/>
        <v>3.1896316274553165E-3</v>
      </c>
      <c r="AF234" s="3">
        <f t="shared" si="195"/>
        <v>3.1706932266536746E-3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1.5213277079669291E-4</v>
      </c>
      <c r="C237" s="3">
        <f t="shared" si="198"/>
        <v>1.5213277079669291E-4</v>
      </c>
      <c r="D237" s="3">
        <f t="shared" si="198"/>
        <v>1.5213277079669291E-4</v>
      </c>
      <c r="E237" s="3">
        <f t="shared" si="198"/>
        <v>1.5213277079669291E-4</v>
      </c>
      <c r="F237" s="3">
        <f t="shared" si="198"/>
        <v>1.5213277079669291E-4</v>
      </c>
      <c r="G237" s="3">
        <f t="shared" si="198"/>
        <v>1.5213277079669291E-4</v>
      </c>
      <c r="H237" s="3">
        <f t="shared" si="198"/>
        <v>1.5213277079669291E-4</v>
      </c>
      <c r="I237" s="3">
        <f t="shared" si="198"/>
        <v>1.5213277079669291E-4</v>
      </c>
      <c r="J237" s="3">
        <f t="shared" si="198"/>
        <v>1.5213277079669291E-4</v>
      </c>
      <c r="K237" s="3">
        <f t="shared" si="198"/>
        <v>1.5213277079669291E-4</v>
      </c>
      <c r="L237" s="3">
        <f t="shared" si="198"/>
        <v>1.5213277079669291E-4</v>
      </c>
      <c r="M237" s="3">
        <f t="shared" si="198"/>
        <v>1.5213277079669291E-4</v>
      </c>
      <c r="N237" s="3">
        <f t="shared" si="198"/>
        <v>1.5213277079669291E-4</v>
      </c>
      <c r="O237" s="3">
        <f t="shared" si="198"/>
        <v>1.5213277079669291E-4</v>
      </c>
      <c r="P237" s="3">
        <f t="shared" si="198"/>
        <v>1.5213277079669291E-4</v>
      </c>
      <c r="Q237" s="3">
        <f t="shared" si="198"/>
        <v>1.5213277079669291E-4</v>
      </c>
      <c r="R237" s="3">
        <f t="shared" si="198"/>
        <v>1.5213277079669291E-4</v>
      </c>
      <c r="S237" s="3">
        <f t="shared" si="198"/>
        <v>1.5213277079669291E-4</v>
      </c>
      <c r="T237" s="3">
        <f t="shared" si="198"/>
        <v>1.5213277079669291E-4</v>
      </c>
      <c r="U237" s="3">
        <f t="shared" si="198"/>
        <v>1.5213277079669288E-4</v>
      </c>
      <c r="V237" s="3">
        <f t="shared" si="198"/>
        <v>1.521327707966928E-4</v>
      </c>
      <c r="W237" s="3">
        <f t="shared" si="198"/>
        <v>1.5213277079669191E-4</v>
      </c>
      <c r="X237" s="3">
        <f t="shared" si="198"/>
        <v>1.5213277079668286E-4</v>
      </c>
      <c r="Y237" s="3">
        <f t="shared" si="198"/>
        <v>1.5213277079659224E-4</v>
      </c>
      <c r="Z237" s="3">
        <f t="shared" si="198"/>
        <v>1.5213277079568628E-4</v>
      </c>
      <c r="AA237" s="3">
        <f t="shared" si="198"/>
        <v>1.5213277078662647E-4</v>
      </c>
      <c r="AB237" s="3">
        <f t="shared" si="198"/>
        <v>1.5213277069602859E-4</v>
      </c>
      <c r="AC237" s="3">
        <f t="shared" si="198"/>
        <v>1.5213276979004974E-4</v>
      </c>
      <c r="AD237" s="3">
        <f t="shared" si="198"/>
        <v>1.5213276073026155E-4</v>
      </c>
      <c r="AE237" s="3">
        <f t="shared" si="198"/>
        <v>1.5213267013240939E-4</v>
      </c>
      <c r="AF237" s="3">
        <f t="shared" si="198"/>
        <v>1.5213176415685499E-4</v>
      </c>
      <c r="AG237" s="3"/>
      <c r="AH237" s="3"/>
    </row>
    <row r="238" spans="2:34" x14ac:dyDescent="0.25">
      <c r="B238" s="3">
        <f t="shared" ref="B238:AF238" si="199">$C46*EXP(-B$207/$A46/EXP(-$D$126))</f>
        <v>1.3986654220962105E-4</v>
      </c>
      <c r="C238" s="3">
        <f t="shared" si="199"/>
        <v>1.3986654220962105E-4</v>
      </c>
      <c r="D238" s="3">
        <f t="shared" si="199"/>
        <v>1.3986654220962105E-4</v>
      </c>
      <c r="E238" s="3">
        <f t="shared" si="199"/>
        <v>1.3986654220962105E-4</v>
      </c>
      <c r="F238" s="3">
        <f t="shared" si="199"/>
        <v>1.3986654220962105E-4</v>
      </c>
      <c r="G238" s="3">
        <f t="shared" si="199"/>
        <v>1.3986654220962105E-4</v>
      </c>
      <c r="H238" s="3">
        <f t="shared" si="199"/>
        <v>1.3986654220962105E-4</v>
      </c>
      <c r="I238" s="3">
        <f t="shared" si="199"/>
        <v>1.3986654220962105E-4</v>
      </c>
      <c r="J238" s="3">
        <f t="shared" si="199"/>
        <v>1.3986654220962105E-4</v>
      </c>
      <c r="K238" s="3">
        <f t="shared" si="199"/>
        <v>1.3986654220962105E-4</v>
      </c>
      <c r="L238" s="3">
        <f t="shared" si="199"/>
        <v>1.3986654220962105E-4</v>
      </c>
      <c r="M238" s="3">
        <f t="shared" si="199"/>
        <v>1.3986654220962105E-4</v>
      </c>
      <c r="N238" s="3">
        <f t="shared" si="199"/>
        <v>1.3986654220962105E-4</v>
      </c>
      <c r="O238" s="3">
        <f t="shared" si="199"/>
        <v>1.3986654220962105E-4</v>
      </c>
      <c r="P238" s="3">
        <f t="shared" si="199"/>
        <v>1.3986654220962105E-4</v>
      </c>
      <c r="Q238" s="3">
        <f t="shared" si="199"/>
        <v>1.3986654220962105E-4</v>
      </c>
      <c r="R238" s="3">
        <f t="shared" si="199"/>
        <v>1.3986654220962105E-4</v>
      </c>
      <c r="S238" s="3">
        <f t="shared" si="199"/>
        <v>1.3986654220962105E-4</v>
      </c>
      <c r="T238" s="3">
        <f t="shared" si="199"/>
        <v>1.3986654220962105E-4</v>
      </c>
      <c r="U238" s="3">
        <f t="shared" si="199"/>
        <v>1.3986654220962105E-4</v>
      </c>
      <c r="V238" s="3">
        <f t="shared" si="199"/>
        <v>1.3986654220962103E-4</v>
      </c>
      <c r="W238" s="3">
        <f t="shared" si="199"/>
        <v>1.3986654220962097E-4</v>
      </c>
      <c r="X238" s="3">
        <f t="shared" si="199"/>
        <v>1.3986654220962013E-4</v>
      </c>
      <c r="Y238" s="3">
        <f t="shared" si="199"/>
        <v>1.3986654220961181E-4</v>
      </c>
      <c r="Z238" s="3">
        <f t="shared" si="199"/>
        <v>1.3986654220952852E-4</v>
      </c>
      <c r="AA238" s="3">
        <f t="shared" si="199"/>
        <v>1.3986654220869558E-4</v>
      </c>
      <c r="AB238" s="3">
        <f t="shared" si="199"/>
        <v>1.3986654220036625E-4</v>
      </c>
      <c r="AC238" s="3">
        <f t="shared" si="199"/>
        <v>1.3986654211707315E-4</v>
      </c>
      <c r="AD238" s="3">
        <f t="shared" si="199"/>
        <v>1.3986654128414196E-4</v>
      </c>
      <c r="AE238" s="3">
        <f t="shared" si="199"/>
        <v>1.3986653295483041E-4</v>
      </c>
      <c r="AF238" s="3">
        <f t="shared" si="199"/>
        <v>1.3986644966174208E-4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8.4977640874607974E-4</v>
      </c>
      <c r="C240" s="3">
        <f t="shared" si="201"/>
        <v>8.4977640874607974E-4</v>
      </c>
      <c r="D240" s="3">
        <f t="shared" si="201"/>
        <v>8.4977640874607974E-4</v>
      </c>
      <c r="E240" s="3">
        <f t="shared" si="201"/>
        <v>8.4977640874607974E-4</v>
      </c>
      <c r="F240" s="3">
        <f t="shared" si="201"/>
        <v>8.4977640874607974E-4</v>
      </c>
      <c r="G240" s="3">
        <f t="shared" si="201"/>
        <v>8.4977640874607974E-4</v>
      </c>
      <c r="H240" s="3">
        <f t="shared" si="201"/>
        <v>8.4977640874607974E-4</v>
      </c>
      <c r="I240" s="3">
        <f t="shared" si="201"/>
        <v>8.4977640874607974E-4</v>
      </c>
      <c r="J240" s="3">
        <f t="shared" si="201"/>
        <v>8.4977640874607974E-4</v>
      </c>
      <c r="K240" s="3">
        <f t="shared" si="201"/>
        <v>8.4977640874607974E-4</v>
      </c>
      <c r="L240" s="3">
        <f t="shared" si="201"/>
        <v>8.4977640874607974E-4</v>
      </c>
      <c r="M240" s="3">
        <f t="shared" si="201"/>
        <v>8.4977640874607974E-4</v>
      </c>
      <c r="N240" s="3">
        <f t="shared" si="201"/>
        <v>8.4977640874607974E-4</v>
      </c>
      <c r="O240" s="3">
        <f t="shared" si="201"/>
        <v>8.4977640874607974E-4</v>
      </c>
      <c r="P240" s="3">
        <f t="shared" si="201"/>
        <v>8.4977640874607974E-4</v>
      </c>
      <c r="Q240" s="3">
        <f t="shared" si="201"/>
        <v>8.4977640874607974E-4</v>
      </c>
      <c r="R240" s="3">
        <f t="shared" si="201"/>
        <v>8.4977640874607974E-4</v>
      </c>
      <c r="S240" s="3">
        <f t="shared" si="201"/>
        <v>8.4977640874607974E-4</v>
      </c>
      <c r="T240" s="3">
        <f t="shared" si="201"/>
        <v>8.4977640874607974E-4</v>
      </c>
      <c r="U240" s="3">
        <f t="shared" si="201"/>
        <v>8.4977640874607974E-4</v>
      </c>
      <c r="V240" s="3">
        <f t="shared" si="201"/>
        <v>8.4977640874607974E-4</v>
      </c>
      <c r="W240" s="3">
        <f t="shared" si="201"/>
        <v>8.4977640874607974E-4</v>
      </c>
      <c r="X240" s="3">
        <f t="shared" si="201"/>
        <v>8.4977640874607963E-4</v>
      </c>
      <c r="Y240" s="3">
        <f t="shared" si="201"/>
        <v>8.497764087460792E-4</v>
      </c>
      <c r="Z240" s="3">
        <f t="shared" si="201"/>
        <v>8.497764087460741E-4</v>
      </c>
      <c r="AA240" s="3">
        <f t="shared" si="201"/>
        <v>8.4977640874602347E-4</v>
      </c>
      <c r="AB240" s="3">
        <f t="shared" si="201"/>
        <v>8.4977640874551747E-4</v>
      </c>
      <c r="AC240" s="3">
        <f t="shared" si="201"/>
        <v>8.4977640874045696E-4</v>
      </c>
      <c r="AD240" s="3">
        <f t="shared" si="201"/>
        <v>8.4977640868985106E-4</v>
      </c>
      <c r="AE240" s="3">
        <f t="shared" si="201"/>
        <v>8.4977640818379352E-4</v>
      </c>
      <c r="AF240" s="3">
        <f t="shared" si="201"/>
        <v>8.4977640312321754E-4</v>
      </c>
      <c r="AG240" s="3"/>
      <c r="AH240" s="3"/>
    </row>
    <row r="241" spans="1:34" x14ac:dyDescent="0.25">
      <c r="A241" s="79">
        <f>AVERAGE(B241:AF241)</f>
        <v>1.3383298497006207E-2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2.9389718006826937E-2</v>
      </c>
      <c r="M241" s="80">
        <f t="shared" si="202"/>
        <v>2.7859287444922953E-2</v>
      </c>
      <c r="N241" s="80">
        <f t="shared" si="202"/>
        <v>2.6502524760767483E-2</v>
      </c>
      <c r="O241" s="80">
        <f t="shared" si="202"/>
        <v>2.6512256860645518E-2</v>
      </c>
      <c r="P241" s="80">
        <f t="shared" si="202"/>
        <v>2.6383256042468103E-2</v>
      </c>
      <c r="Q241" s="80">
        <f t="shared" si="202"/>
        <v>2.6299755327683527E-2</v>
      </c>
      <c r="R241" s="80">
        <f t="shared" si="202"/>
        <v>2.5976990847053093E-2</v>
      </c>
      <c r="S241" s="80">
        <f t="shared" si="202"/>
        <v>1.9306709018008086E-2</v>
      </c>
      <c r="T241" s="80">
        <f t="shared" si="202"/>
        <v>1.0650132281358851E-2</v>
      </c>
      <c r="U241" s="80">
        <f t="shared" si="202"/>
        <v>7.1046620961753945E-2</v>
      </c>
      <c r="V241" s="80">
        <f t="shared" si="202"/>
        <v>0.12495500185570388</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174367.85746128188</v>
      </c>
      <c r="C242" s="21">
        <f t="shared" ref="C242:AF242" si="203">(C209-C208)^2</f>
        <v>272135.16615879827</v>
      </c>
      <c r="D242" s="21">
        <f t="shared" si="203"/>
        <v>84488.487434389055</v>
      </c>
      <c r="E242" s="21">
        <f t="shared" si="203"/>
        <v>1749456.2863577867</v>
      </c>
      <c r="F242" s="21">
        <f t="shared" si="203"/>
        <v>1184268.8784266645</v>
      </c>
      <c r="G242" s="21">
        <f t="shared" si="203"/>
        <v>694008.26664632105</v>
      </c>
      <c r="H242" s="21">
        <f t="shared" si="203"/>
        <v>303877.78094542923</v>
      </c>
      <c r="I242" s="21">
        <f t="shared" si="203"/>
        <v>79880.816784826806</v>
      </c>
      <c r="J242" s="21">
        <f t="shared" si="203"/>
        <v>10845.994619655463</v>
      </c>
      <c r="K242" s="21">
        <f t="shared" si="203"/>
        <v>55116.003880383672</v>
      </c>
      <c r="L242" s="21">
        <f t="shared" si="203"/>
        <v>50856.388571142561</v>
      </c>
      <c r="M242" s="21">
        <f t="shared" si="203"/>
        <v>41309.491866699071</v>
      </c>
      <c r="N242" s="21">
        <f t="shared" si="203"/>
        <v>34199.590015878246</v>
      </c>
      <c r="O242" s="21">
        <f t="shared" si="203"/>
        <v>31445.875965157506</v>
      </c>
      <c r="P242" s="21">
        <f t="shared" si="203"/>
        <v>28533.263274755522</v>
      </c>
      <c r="Q242" s="21">
        <f t="shared" si="203"/>
        <v>25809.811928225528</v>
      </c>
      <c r="R242" s="21">
        <f t="shared" si="203"/>
        <v>22871.67677417177</v>
      </c>
      <c r="S242" s="21">
        <f t="shared" si="203"/>
        <v>11118.60020773239</v>
      </c>
      <c r="T242" s="21">
        <f t="shared" si="203"/>
        <v>2764.1698254198996</v>
      </c>
      <c r="U242" s="21">
        <f t="shared" si="203"/>
        <v>93198.788587671821</v>
      </c>
      <c r="V242" s="21">
        <f t="shared" si="203"/>
        <v>211345.53792619513</v>
      </c>
      <c r="W242" s="21">
        <f t="shared" si="203"/>
        <v>247069.74305948403</v>
      </c>
      <c r="X242" s="21">
        <f t="shared" si="203"/>
        <v>142429.11661817218</v>
      </c>
      <c r="Y242" s="21">
        <f t="shared" si="203"/>
        <v>31449.577619378597</v>
      </c>
      <c r="Z242" s="21">
        <f t="shared" si="203"/>
        <v>5153.6211908565838</v>
      </c>
      <c r="AA242" s="21">
        <f t="shared" si="203"/>
        <v>225.98768137003998</v>
      </c>
      <c r="AB242" s="21">
        <f t="shared" si="203"/>
        <v>307.98305926146651</v>
      </c>
      <c r="AC242" s="21">
        <f t="shared" si="203"/>
        <v>67.435847995178833</v>
      </c>
      <c r="AD242" s="21">
        <f t="shared" si="203"/>
        <v>139.79865459520386</v>
      </c>
      <c r="AE242" s="21">
        <f t="shared" si="203"/>
        <v>79.346943978176057</v>
      </c>
      <c r="AF242" s="21">
        <f t="shared" si="203"/>
        <v>9.6223273358578325</v>
      </c>
      <c r="AG242" s="3"/>
      <c r="AH242" s="3"/>
    </row>
    <row r="243" spans="1:34" x14ac:dyDescent="0.25">
      <c r="A243" s="71">
        <f>SUM(B243:AF243)</f>
        <v>553453.19494304946</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50856.388571142561</v>
      </c>
      <c r="M243" s="60">
        <f t="shared" ref="M243" si="214">IF($A$64&lt;=M207,IF($B$64&gt;=M207,ABS(M242),0),0)</f>
        <v>41309.491866699071</v>
      </c>
      <c r="N243" s="60">
        <f t="shared" ref="N243" si="215">IF($A$64&lt;=N207,IF($B$64&gt;=N207,ABS(N242),0),0)</f>
        <v>34199.590015878246</v>
      </c>
      <c r="O243" s="60">
        <f t="shared" ref="O243" si="216">IF($A$64&lt;=O207,IF($B$64&gt;=O207,ABS(O242),0),0)</f>
        <v>31445.875965157506</v>
      </c>
      <c r="P243" s="60">
        <f t="shared" ref="P243" si="217">IF($A$64&lt;=P207,IF($B$64&gt;=P207,ABS(P242),0),0)</f>
        <v>28533.263274755522</v>
      </c>
      <c r="Q243" s="60">
        <f t="shared" ref="Q243" si="218">IF($A$64&lt;=Q207,IF($B$64&gt;=Q207,ABS(Q242),0),0)</f>
        <v>25809.811928225528</v>
      </c>
      <c r="R243" s="60">
        <f t="shared" ref="R243" si="219">IF($A$64&lt;=R207,IF($B$64&gt;=R207,ABS(R242),0),0)</f>
        <v>22871.67677417177</v>
      </c>
      <c r="S243" s="60">
        <f t="shared" ref="S243" si="220">IF($A$64&lt;=S207,IF($B$64&gt;=S207,ABS(S242),0),0)</f>
        <v>11118.60020773239</v>
      </c>
      <c r="T243" s="60">
        <f t="shared" ref="T243" si="221">IF($A$64&lt;=T207,IF($B$64&gt;=T207,ABS(T242),0),0)</f>
        <v>2764.1698254198996</v>
      </c>
      <c r="U243" s="60">
        <f t="shared" ref="U243" si="222">IF($A$64&lt;=U207,IF($B$64&gt;=U207,ABS(U242),0),0)</f>
        <v>93198.788587671821</v>
      </c>
      <c r="V243" s="60">
        <f t="shared" ref="V243" si="223">IF($A$64&lt;=V207,IF($B$64&gt;=V207,ABS(V242),0),0)</f>
        <v>211345.53792619513</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10621.198229629559</v>
      </c>
      <c r="C248" s="27">
        <f t="shared" ref="C248:AF248" si="234">($C$17+SUM(C249:C279))*$B$51</f>
        <v>9641.0503938915281</v>
      </c>
      <c r="D248" s="27">
        <f t="shared" si="234"/>
        <v>8354.2075447790339</v>
      </c>
      <c r="E248" s="27">
        <f t="shared" si="234"/>
        <v>8349.6438262995089</v>
      </c>
      <c r="F248" s="27">
        <f t="shared" si="234"/>
        <v>8349.5519501380422</v>
      </c>
      <c r="G248" s="27">
        <f t="shared" si="234"/>
        <v>8348.6338859963962</v>
      </c>
      <c r="H248" s="27">
        <f t="shared" si="234"/>
        <v>8339.5226214199502</v>
      </c>
      <c r="I248" s="27">
        <f t="shared" si="234"/>
        <v>8254.9916245584664</v>
      </c>
      <c r="J248" s="27">
        <f t="shared" si="234"/>
        <v>7819.5803023988447</v>
      </c>
      <c r="K248" s="27">
        <f t="shared" si="234"/>
        <v>7455.9623070874559</v>
      </c>
      <c r="L248" s="27">
        <f t="shared" si="234"/>
        <v>7101.7148870155452</v>
      </c>
      <c r="M248" s="27">
        <f t="shared" si="234"/>
        <v>6799.9520637231753</v>
      </c>
      <c r="N248" s="27">
        <f t="shared" si="234"/>
        <v>6518.7714109366771</v>
      </c>
      <c r="O248" s="27">
        <f t="shared" si="234"/>
        <v>6240.4656604689981</v>
      </c>
      <c r="P248" s="27">
        <f t="shared" si="234"/>
        <v>5955.3226583117876</v>
      </c>
      <c r="Q248" s="27">
        <f t="shared" si="234"/>
        <v>5676.9545913382935</v>
      </c>
      <c r="R248" s="27">
        <f t="shared" si="234"/>
        <v>5364.9383598536469</v>
      </c>
      <c r="S248" s="27">
        <f t="shared" si="234"/>
        <v>4997.1343370774321</v>
      </c>
      <c r="T248" s="27">
        <f t="shared" si="234"/>
        <v>4611.8464074693438</v>
      </c>
      <c r="U248" s="27">
        <f t="shared" si="234"/>
        <v>4149.3018182934929</v>
      </c>
      <c r="V248" s="27">
        <f t="shared" si="234"/>
        <v>3607.5314965096154</v>
      </c>
      <c r="W248" s="27">
        <f t="shared" si="234"/>
        <v>2921.2645081130659</v>
      </c>
      <c r="X248" s="27">
        <f t="shared" si="234"/>
        <v>2144.5374985661228</v>
      </c>
      <c r="Y248" s="27">
        <f t="shared" si="234"/>
        <v>1514.8232490460152</v>
      </c>
      <c r="Z248" s="27">
        <f t="shared" si="234"/>
        <v>1055.2651628116005</v>
      </c>
      <c r="AA248" s="27">
        <f t="shared" si="234"/>
        <v>797.78715495014774</v>
      </c>
      <c r="AB248" s="27">
        <f t="shared" si="234"/>
        <v>654.12660229890776</v>
      </c>
      <c r="AC248" s="27">
        <f t="shared" si="234"/>
        <v>588.73090046440507</v>
      </c>
      <c r="AD248" s="27">
        <f t="shared" si="234"/>
        <v>550.39318216640288</v>
      </c>
      <c r="AE248" s="27">
        <f t="shared" si="234"/>
        <v>521.3292275054356</v>
      </c>
      <c r="AF248" s="27">
        <f t="shared" si="234"/>
        <v>512.0038540875438</v>
      </c>
      <c r="AG248" s="27"/>
      <c r="AH248" s="27"/>
    </row>
    <row r="249" spans="1:34" x14ac:dyDescent="0.25">
      <c r="B249" s="3">
        <f t="shared" ref="B249:AF249" si="235">$C18*EXP(-B$246/$A18/EXP(-$E$126))</f>
        <v>0.21094731697170943</v>
      </c>
      <c r="C249" s="3">
        <f t="shared" si="235"/>
        <v>0.11992573948663315</v>
      </c>
      <c r="D249" s="3">
        <f t="shared" si="235"/>
        <v>4.2295717453783813E-4</v>
      </c>
      <c r="E249" s="3">
        <f t="shared" si="235"/>
        <v>1.2593205992077212E-28</v>
      </c>
      <c r="F249" s="3">
        <f t="shared" si="235"/>
        <v>6.8950182292667982E-274</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5.6074297101129496E-2</v>
      </c>
      <c r="C250" s="3">
        <f t="shared" si="236"/>
        <v>5.6074288989446601E-2</v>
      </c>
      <c r="D250" s="3">
        <f t="shared" si="236"/>
        <v>5.607420787268215E-2</v>
      </c>
      <c r="E250" s="3">
        <f t="shared" si="236"/>
        <v>5.6073396711491488E-2</v>
      </c>
      <c r="F250" s="3">
        <f t="shared" si="236"/>
        <v>5.6065285744934495E-2</v>
      </c>
      <c r="G250" s="3">
        <f t="shared" si="236"/>
        <v>5.5984240579792885E-2</v>
      </c>
      <c r="H250" s="3">
        <f t="shared" si="236"/>
        <v>5.5180204581158875E-2</v>
      </c>
      <c r="I250" s="3">
        <f t="shared" si="236"/>
        <v>4.7748359496847068E-2</v>
      </c>
      <c r="J250" s="3">
        <f t="shared" si="236"/>
        <v>1.1238541201347029E-2</v>
      </c>
      <c r="K250" s="3">
        <f t="shared" si="236"/>
        <v>5.8644165782565907E-9</v>
      </c>
      <c r="L250" s="3">
        <f t="shared" si="236"/>
        <v>8.7775542027184228E-72</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2.8569534262001522E-2</v>
      </c>
      <c r="C251" s="3">
        <f t="shared" si="237"/>
        <v>2.8569533889183492E-2</v>
      </c>
      <c r="D251" s="3">
        <f t="shared" si="237"/>
        <v>2.8569530161003463E-2</v>
      </c>
      <c r="E251" s="3">
        <f t="shared" si="237"/>
        <v>2.8569492879229951E-2</v>
      </c>
      <c r="F251" s="3">
        <f t="shared" si="237"/>
        <v>2.8569120064170575E-2</v>
      </c>
      <c r="G251" s="3">
        <f t="shared" si="237"/>
        <v>2.8565392181142284E-2</v>
      </c>
      <c r="H251" s="3">
        <f t="shared" si="237"/>
        <v>2.8528140094491006E-2</v>
      </c>
      <c r="I251" s="3">
        <f t="shared" si="237"/>
        <v>2.8158280723425109E-2</v>
      </c>
      <c r="J251" s="3">
        <f t="shared" si="237"/>
        <v>2.4713422385923906E-2</v>
      </c>
      <c r="K251" s="3">
        <f t="shared" si="237"/>
        <v>6.7019389595405245E-3</v>
      </c>
      <c r="L251" s="3">
        <f t="shared" si="237"/>
        <v>1.4417044168889593E-8</v>
      </c>
      <c r="M251" s="3">
        <f t="shared" si="237"/>
        <v>3.0593829266712828E-65</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3.8494837117539371E-2</v>
      </c>
      <c r="C252" s="3">
        <f t="shared" si="238"/>
        <v>3.8494837072224286E-2</v>
      </c>
      <c r="D252" s="3">
        <f t="shared" si="238"/>
        <v>3.8494836619073415E-2</v>
      </c>
      <c r="E252" s="3">
        <f t="shared" si="238"/>
        <v>3.8494832087564955E-2</v>
      </c>
      <c r="F252" s="3">
        <f t="shared" si="238"/>
        <v>3.8494786772509705E-2</v>
      </c>
      <c r="G252" s="3">
        <f t="shared" si="238"/>
        <v>3.8494333624891117E-2</v>
      </c>
      <c r="H252" s="3">
        <f t="shared" si="238"/>
        <v>3.8489802442081368E-2</v>
      </c>
      <c r="I252" s="3">
        <f t="shared" si="238"/>
        <v>3.8444519938827089E-2</v>
      </c>
      <c r="J252" s="3">
        <f t="shared" si="238"/>
        <v>3.79946146581632E-2</v>
      </c>
      <c r="K252" s="3">
        <f t="shared" si="238"/>
        <v>3.3775210535904716E-2</v>
      </c>
      <c r="L252" s="3">
        <f t="shared" si="238"/>
        <v>1.0407784011171081E-2</v>
      </c>
      <c r="M252" s="3">
        <f t="shared" si="238"/>
        <v>8.0345273107868038E-8</v>
      </c>
      <c r="N252" s="3">
        <f t="shared" si="238"/>
        <v>6.0392211834471544E-59</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2.540105949483891E-2</v>
      </c>
      <c r="C253" s="3">
        <f t="shared" si="239"/>
        <v>2.540105949214155E-2</v>
      </c>
      <c r="D253" s="3">
        <f t="shared" si="239"/>
        <v>2.5401059465167963E-2</v>
      </c>
      <c r="E253" s="3">
        <f t="shared" si="239"/>
        <v>2.5401059195432056E-2</v>
      </c>
      <c r="F253" s="3">
        <f t="shared" si="239"/>
        <v>2.5401056498073168E-2</v>
      </c>
      <c r="G253" s="3">
        <f t="shared" si="239"/>
        <v>2.5401029524500015E-2</v>
      </c>
      <c r="H253" s="3">
        <f t="shared" si="239"/>
        <v>2.5400759790343883E-2</v>
      </c>
      <c r="I253" s="3">
        <f t="shared" si="239"/>
        <v>2.5398062606314799E-2</v>
      </c>
      <c r="J253" s="3">
        <f t="shared" si="239"/>
        <v>2.5371106513059263E-2</v>
      </c>
      <c r="K253" s="3">
        <f t="shared" si="239"/>
        <v>2.510311411446552E-2</v>
      </c>
      <c r="L253" s="3">
        <f t="shared" si="239"/>
        <v>2.2574051827374667E-2</v>
      </c>
      <c r="M253" s="3">
        <f t="shared" si="239"/>
        <v>7.8060026179364436E-3</v>
      </c>
      <c r="N253" s="3">
        <f t="shared" si="239"/>
        <v>1.9081848373483776E-7</v>
      </c>
      <c r="O253" s="3">
        <f t="shared" si="239"/>
        <v>1.4539113280718152E-53</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2.8782781461125454E-2</v>
      </c>
      <c r="C254" s="3">
        <f t="shared" si="240"/>
        <v>2.8782781460849734E-2</v>
      </c>
      <c r="D254" s="3">
        <f t="shared" si="240"/>
        <v>2.8782781458092547E-2</v>
      </c>
      <c r="E254" s="3">
        <f t="shared" si="240"/>
        <v>2.8782781430520675E-2</v>
      </c>
      <c r="F254" s="3">
        <f t="shared" si="240"/>
        <v>2.8782781154801939E-2</v>
      </c>
      <c r="G254" s="3">
        <f t="shared" si="240"/>
        <v>2.8782778397614717E-2</v>
      </c>
      <c r="H254" s="3">
        <f t="shared" si="240"/>
        <v>2.8782750825757066E-2</v>
      </c>
      <c r="I254" s="3">
        <f t="shared" si="240"/>
        <v>2.8782475108633167E-2</v>
      </c>
      <c r="J254" s="3">
        <f t="shared" si="240"/>
        <v>2.8779718082653959E-2</v>
      </c>
      <c r="K254" s="3">
        <f t="shared" si="240"/>
        <v>2.8752162343692982E-2</v>
      </c>
      <c r="L254" s="3">
        <f t="shared" si="240"/>
        <v>2.8478051903678456E-2</v>
      </c>
      <c r="M254" s="3">
        <f t="shared" si="240"/>
        <v>2.587664275554033E-2</v>
      </c>
      <c r="N254" s="3">
        <f t="shared" si="240"/>
        <v>9.9285187259163261E-3</v>
      </c>
      <c r="O254" s="3">
        <f t="shared" si="240"/>
        <v>6.8651455684336379E-7</v>
      </c>
      <c r="P254" s="3">
        <f t="shared" si="240"/>
        <v>1.7151521905095576E-48</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2.5701296027698873E-2</v>
      </c>
      <c r="C255" s="3">
        <f t="shared" si="241"/>
        <v>2.5701296027676665E-2</v>
      </c>
      <c r="D255" s="3">
        <f t="shared" si="241"/>
        <v>2.5701296027454572E-2</v>
      </c>
      <c r="E255" s="3">
        <f t="shared" si="241"/>
        <v>2.570129602523364E-2</v>
      </c>
      <c r="F255" s="3">
        <f t="shared" si="241"/>
        <v>2.5701296003024326E-2</v>
      </c>
      <c r="G255" s="3">
        <f t="shared" si="241"/>
        <v>2.570129578093119E-2</v>
      </c>
      <c r="H255" s="3">
        <f t="shared" si="241"/>
        <v>2.5701293559999946E-2</v>
      </c>
      <c r="I255" s="3">
        <f t="shared" si="241"/>
        <v>2.5701271350698076E-2</v>
      </c>
      <c r="J255" s="3">
        <f t="shared" si="241"/>
        <v>2.5701049258734895E-2</v>
      </c>
      <c r="K255" s="3">
        <f t="shared" si="241"/>
        <v>2.569882844465415E-2</v>
      </c>
      <c r="L255" s="3">
        <f t="shared" si="241"/>
        <v>2.5676630855576525E-2</v>
      </c>
      <c r="M255" s="3">
        <f t="shared" si="241"/>
        <v>2.54557067718767E-2</v>
      </c>
      <c r="N255" s="3">
        <f t="shared" si="241"/>
        <v>2.3348360035027989E-2</v>
      </c>
      <c r="O255" s="3">
        <f t="shared" si="241"/>
        <v>9.8393996548477563E-3</v>
      </c>
      <c r="P255" s="3">
        <f t="shared" si="241"/>
        <v>1.7381641788834359E-6</v>
      </c>
      <c r="Q255" s="3">
        <f t="shared" si="241"/>
        <v>5.1441395324088925E-44</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2.9863008376267201E-2</v>
      </c>
      <c r="C256" s="3">
        <f t="shared" si="242"/>
        <v>2.9863008376264877E-2</v>
      </c>
      <c r="D256" s="3">
        <f t="shared" si="242"/>
        <v>2.9863008376241597E-2</v>
      </c>
      <c r="E256" s="3">
        <f t="shared" si="242"/>
        <v>2.9863008376008811E-2</v>
      </c>
      <c r="F256" s="3">
        <f t="shared" si="242"/>
        <v>2.986300837368093E-2</v>
      </c>
      <c r="G256" s="3">
        <f t="shared" si="242"/>
        <v>2.9863008350402148E-2</v>
      </c>
      <c r="H256" s="3">
        <f t="shared" si="242"/>
        <v>2.9863008117614328E-2</v>
      </c>
      <c r="I256" s="3">
        <f t="shared" si="242"/>
        <v>2.9863005789736202E-2</v>
      </c>
      <c r="J256" s="3">
        <f t="shared" si="242"/>
        <v>2.9862982510964951E-2</v>
      </c>
      <c r="K256" s="3">
        <f t="shared" si="242"/>
        <v>2.9862749724250476E-2</v>
      </c>
      <c r="L256" s="3">
        <f t="shared" si="242"/>
        <v>2.9860421956906916E-2</v>
      </c>
      <c r="M256" s="3">
        <f t="shared" si="242"/>
        <v>2.983715426071281E-2</v>
      </c>
      <c r="N256" s="3">
        <f t="shared" si="242"/>
        <v>2.9605472151252504E-2</v>
      </c>
      <c r="O256" s="3">
        <f t="shared" si="242"/>
        <v>2.7385325781265887E-2</v>
      </c>
      <c r="P256" s="3">
        <f t="shared" si="242"/>
        <v>1.2559637728703815E-2</v>
      </c>
      <c r="Q256" s="3">
        <f t="shared" si="242"/>
        <v>5.1709355261441034E-6</v>
      </c>
      <c r="R256" s="3">
        <f t="shared" si="242"/>
        <v>7.2358444680087579E-40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2.31367102803107E-2</v>
      </c>
      <c r="C257" s="3">
        <f t="shared" si="243"/>
        <v>2.3136710280310537E-2</v>
      </c>
      <c r="D257" s="3">
        <f t="shared" si="243"/>
        <v>2.3136710280308909E-2</v>
      </c>
      <c r="E257" s="3">
        <f t="shared" si="243"/>
        <v>2.3136710280292638E-2</v>
      </c>
      <c r="F257" s="3">
        <f t="shared" si="243"/>
        <v>2.3136710280129945E-2</v>
      </c>
      <c r="G257" s="3">
        <f t="shared" si="243"/>
        <v>2.3136710278502993E-2</v>
      </c>
      <c r="H257" s="3">
        <f t="shared" si="243"/>
        <v>2.3136710262233465E-2</v>
      </c>
      <c r="I257" s="3">
        <f t="shared" si="243"/>
        <v>2.3136710099538205E-2</v>
      </c>
      <c r="J257" s="3">
        <f t="shared" si="243"/>
        <v>2.3136708472585667E-2</v>
      </c>
      <c r="K257" s="3">
        <f t="shared" si="243"/>
        <v>2.313669220306656E-2</v>
      </c>
      <c r="L257" s="3">
        <f t="shared" si="243"/>
        <v>2.3136529508504755E-2</v>
      </c>
      <c r="M257" s="3">
        <f t="shared" si="243"/>
        <v>2.3134902625808081E-2</v>
      </c>
      <c r="N257" s="3">
        <f t="shared" si="243"/>
        <v>2.3118640089343914E-2</v>
      </c>
      <c r="O257" s="3">
        <f t="shared" si="243"/>
        <v>2.2956642141365027E-2</v>
      </c>
      <c r="P257" s="3">
        <f t="shared" si="243"/>
        <v>2.1397802161985845E-2</v>
      </c>
      <c r="Q257" s="3">
        <f t="shared" si="243"/>
        <v>1.0591981248967678E-2</v>
      </c>
      <c r="R257" s="3">
        <f t="shared" si="243"/>
        <v>9.3552965267567209E-6</v>
      </c>
      <c r="S257" s="3">
        <f t="shared" si="243"/>
        <v>2.7030936978852542E-36</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3.7322629147916529E-2</v>
      </c>
      <c r="C258" s="3">
        <f t="shared" si="244"/>
        <v>3.7322629147916508E-2</v>
      </c>
      <c r="D258" s="3">
        <f t="shared" si="244"/>
        <v>3.7322629147916273E-2</v>
      </c>
      <c r="E258" s="3">
        <f t="shared" si="244"/>
        <v>3.7322629147913906E-2</v>
      </c>
      <c r="F258" s="3">
        <f t="shared" si="244"/>
        <v>3.7322629147890231E-2</v>
      </c>
      <c r="G258" s="3">
        <f t="shared" si="244"/>
        <v>3.7322629147653483E-2</v>
      </c>
      <c r="H258" s="3">
        <f t="shared" si="244"/>
        <v>3.7322629145285967E-2</v>
      </c>
      <c r="I258" s="3">
        <f t="shared" si="244"/>
        <v>3.7322629121610849E-2</v>
      </c>
      <c r="J258" s="3">
        <f t="shared" si="244"/>
        <v>3.7322628884859696E-2</v>
      </c>
      <c r="K258" s="3">
        <f t="shared" si="244"/>
        <v>3.732262651734819E-2</v>
      </c>
      <c r="L258" s="3">
        <f t="shared" si="244"/>
        <v>3.7322602842241405E-2</v>
      </c>
      <c r="M258" s="3">
        <f t="shared" si="244"/>
        <v>3.7322366091999529E-2</v>
      </c>
      <c r="N258" s="3">
        <f t="shared" si="244"/>
        <v>3.7319998672177584E-2</v>
      </c>
      <c r="O258" s="3">
        <f t="shared" si="244"/>
        <v>3.7296332731702582E-2</v>
      </c>
      <c r="P258" s="3">
        <f t="shared" si="244"/>
        <v>3.7060497166550951E-2</v>
      </c>
      <c r="Q258" s="3">
        <f t="shared" si="244"/>
        <v>3.4782624256067624E-2</v>
      </c>
      <c r="R258" s="3">
        <f t="shared" si="244"/>
        <v>1.8444776071519824E-2</v>
      </c>
      <c r="S258" s="3">
        <f t="shared" si="244"/>
        <v>3.2432752278856671E-5</v>
      </c>
      <c r="T258" s="3">
        <f t="shared" si="244"/>
        <v>9.1640612632762131E-33</v>
      </c>
      <c r="U258" s="3">
        <f t="shared" si="244"/>
        <v>2.9725541381094629E-308</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3.2712076759715769E-2</v>
      </c>
      <c r="C259" s="3">
        <f t="shared" si="245"/>
        <v>3.2712076759715762E-2</v>
      </c>
      <c r="D259" s="3">
        <f t="shared" si="245"/>
        <v>3.2712076759715748E-2</v>
      </c>
      <c r="E259" s="3">
        <f t="shared" si="245"/>
        <v>3.2712076759715561E-2</v>
      </c>
      <c r="F259" s="3">
        <f t="shared" si="245"/>
        <v>3.2712076759713687E-2</v>
      </c>
      <c r="G259" s="3">
        <f t="shared" si="245"/>
        <v>3.2712076759694973E-2</v>
      </c>
      <c r="H259" s="3">
        <f t="shared" si="245"/>
        <v>3.2712076759507783E-2</v>
      </c>
      <c r="I259" s="3">
        <f t="shared" si="245"/>
        <v>3.2712076757635919E-2</v>
      </c>
      <c r="J259" s="3">
        <f t="shared" si="245"/>
        <v>3.2712076738917267E-2</v>
      </c>
      <c r="K259" s="3">
        <f t="shared" si="245"/>
        <v>3.2712076551730737E-2</v>
      </c>
      <c r="L259" s="3">
        <f t="shared" si="245"/>
        <v>3.2712074679865505E-2</v>
      </c>
      <c r="M259" s="3">
        <f t="shared" si="245"/>
        <v>3.2712055961219073E-2</v>
      </c>
      <c r="N259" s="3">
        <f t="shared" si="245"/>
        <v>3.2711868775343905E-2</v>
      </c>
      <c r="O259" s="3">
        <f t="shared" si="245"/>
        <v>3.2709996975502836E-2</v>
      </c>
      <c r="P259" s="3">
        <f t="shared" si="245"/>
        <v>3.2691284866906381E-2</v>
      </c>
      <c r="Q259" s="3">
        <f t="shared" si="245"/>
        <v>3.2504751517260816E-2</v>
      </c>
      <c r="R259" s="3">
        <f t="shared" si="245"/>
        <v>3.0696966096510528E-2</v>
      </c>
      <c r="S259" s="3">
        <f t="shared" si="245"/>
        <v>1.7321340368208114E-2</v>
      </c>
      <c r="T259" s="3">
        <f t="shared" si="245"/>
        <v>5.6681574812897118E-5</v>
      </c>
      <c r="U259" s="3">
        <f t="shared" si="245"/>
        <v>7.9807926958902439E-30</v>
      </c>
      <c r="V259" s="3">
        <f t="shared" si="245"/>
        <v>2.4439214899022405E-278</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4.2271951558424573E-2</v>
      </c>
      <c r="C260" s="3">
        <f t="shared" si="246"/>
        <v>4.2271951558424573E-2</v>
      </c>
      <c r="D260" s="3">
        <f t="shared" si="246"/>
        <v>4.2271951558424566E-2</v>
      </c>
      <c r="E260" s="3">
        <f t="shared" si="246"/>
        <v>4.2271951558424552E-2</v>
      </c>
      <c r="F260" s="3">
        <f t="shared" si="246"/>
        <v>4.227195155842433E-2</v>
      </c>
      <c r="G260" s="3">
        <f t="shared" si="246"/>
        <v>4.2271951558422144E-2</v>
      </c>
      <c r="H260" s="3">
        <f t="shared" si="246"/>
        <v>4.2271951558400328E-2</v>
      </c>
      <c r="I260" s="3">
        <f t="shared" si="246"/>
        <v>4.2271951558182121E-2</v>
      </c>
      <c r="J260" s="3">
        <f t="shared" si="246"/>
        <v>4.2271951556000067E-2</v>
      </c>
      <c r="K260" s="3">
        <f t="shared" si="246"/>
        <v>4.2271951534179536E-2</v>
      </c>
      <c r="L260" s="3">
        <f t="shared" si="246"/>
        <v>4.22719513159742E-2</v>
      </c>
      <c r="M260" s="3">
        <f t="shared" si="246"/>
        <v>4.2271949133920912E-2</v>
      </c>
      <c r="N260" s="3">
        <f t="shared" si="246"/>
        <v>4.2271927313394256E-2</v>
      </c>
      <c r="O260" s="3">
        <f t="shared" si="246"/>
        <v>4.2271709108747141E-2</v>
      </c>
      <c r="P260" s="3">
        <f t="shared" si="246"/>
        <v>4.2269527124224701E-2</v>
      </c>
      <c r="Q260" s="3">
        <f t="shared" si="246"/>
        <v>4.22477134726831E-2</v>
      </c>
      <c r="R260" s="3">
        <f t="shared" si="246"/>
        <v>4.2030195144240182E-2</v>
      </c>
      <c r="S260" s="3">
        <f t="shared" si="246"/>
        <v>3.9915665995582009E-2</v>
      </c>
      <c r="T260" s="3">
        <f t="shared" si="246"/>
        <v>2.3821171439459169E-2</v>
      </c>
      <c r="U260" s="3">
        <f t="shared" si="246"/>
        <v>1.3650874149611831E-4</v>
      </c>
      <c r="V260" s="3">
        <f t="shared" si="246"/>
        <v>5.2135548133133196E-27</v>
      </c>
      <c r="W260" s="3">
        <f t="shared" si="246"/>
        <v>3.4424588279849228E-251</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4.6527520280984086E-2</v>
      </c>
      <c r="C261" s="3">
        <f t="shared" si="247"/>
        <v>4.6527520280984086E-2</v>
      </c>
      <c r="D261" s="3">
        <f t="shared" si="247"/>
        <v>4.6527520280984086E-2</v>
      </c>
      <c r="E261" s="3">
        <f t="shared" si="247"/>
        <v>4.6527520280984086E-2</v>
      </c>
      <c r="F261" s="3">
        <f t="shared" si="247"/>
        <v>4.6527520280984058E-2</v>
      </c>
      <c r="G261" s="3">
        <f t="shared" si="247"/>
        <v>4.6527520280983843E-2</v>
      </c>
      <c r="H261" s="3">
        <f t="shared" si="247"/>
        <v>4.6527520280981678E-2</v>
      </c>
      <c r="I261" s="3">
        <f t="shared" si="247"/>
        <v>4.6527520280960015E-2</v>
      </c>
      <c r="J261" s="3">
        <f t="shared" si="247"/>
        <v>4.6527520280743362E-2</v>
      </c>
      <c r="K261" s="3">
        <f t="shared" si="247"/>
        <v>4.6527520278576803E-2</v>
      </c>
      <c r="L261" s="3">
        <f t="shared" si="247"/>
        <v>4.6527520256911266E-2</v>
      </c>
      <c r="M261" s="3">
        <f t="shared" si="247"/>
        <v>4.6527520040255843E-2</v>
      </c>
      <c r="N261" s="3">
        <f t="shared" si="247"/>
        <v>4.6527517873701664E-2</v>
      </c>
      <c r="O261" s="3">
        <f t="shared" si="247"/>
        <v>4.6527496208165472E-2</v>
      </c>
      <c r="P261" s="3">
        <f t="shared" si="247"/>
        <v>4.6527279553358412E-2</v>
      </c>
      <c r="Q261" s="3">
        <f t="shared" si="247"/>
        <v>4.6525113060773823E-2</v>
      </c>
      <c r="R261" s="3">
        <f t="shared" si="247"/>
        <v>4.6503453682574414E-2</v>
      </c>
      <c r="S261" s="3">
        <f t="shared" si="247"/>
        <v>4.6287413710609578E-2</v>
      </c>
      <c r="T261" s="3">
        <f t="shared" si="247"/>
        <v>4.4181452599675521E-2</v>
      </c>
      <c r="U261" s="3">
        <f t="shared" si="247"/>
        <v>2.7733886974837984E-2</v>
      </c>
      <c r="V261" s="3">
        <f t="shared" si="247"/>
        <v>2.6346216074284672E-4</v>
      </c>
      <c r="W261" s="3">
        <f t="shared" si="247"/>
        <v>1.576860698821355E-24</v>
      </c>
      <c r="X261" s="3">
        <f t="shared" si="247"/>
        <v>9.3013101698595428E-227</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5.951973770461929E-2</v>
      </c>
      <c r="C262" s="3">
        <f t="shared" si="248"/>
        <v>5.951973770461929E-2</v>
      </c>
      <c r="D262" s="3">
        <f t="shared" si="248"/>
        <v>5.951973770461929E-2</v>
      </c>
      <c r="E262" s="3">
        <f t="shared" si="248"/>
        <v>5.951973770461929E-2</v>
      </c>
      <c r="F262" s="3">
        <f t="shared" si="248"/>
        <v>5.951973770461929E-2</v>
      </c>
      <c r="G262" s="3">
        <f t="shared" si="248"/>
        <v>5.9519737704619262E-2</v>
      </c>
      <c r="H262" s="3">
        <f t="shared" si="248"/>
        <v>5.9519737704619012E-2</v>
      </c>
      <c r="I262" s="3">
        <f t="shared" si="248"/>
        <v>5.9519737704616514E-2</v>
      </c>
      <c r="J262" s="3">
        <f t="shared" si="248"/>
        <v>5.9519737704591506E-2</v>
      </c>
      <c r="K262" s="3">
        <f t="shared" si="248"/>
        <v>5.9519737704341498E-2</v>
      </c>
      <c r="L262" s="3">
        <f t="shared" si="248"/>
        <v>5.9519737701841338E-2</v>
      </c>
      <c r="M262" s="3">
        <f t="shared" si="248"/>
        <v>5.9519737676839768E-2</v>
      </c>
      <c r="N262" s="3">
        <f t="shared" si="248"/>
        <v>5.9519737426824079E-2</v>
      </c>
      <c r="O262" s="3">
        <f t="shared" si="248"/>
        <v>5.9519734926667282E-2</v>
      </c>
      <c r="P262" s="3">
        <f t="shared" si="248"/>
        <v>5.9519709925105066E-2</v>
      </c>
      <c r="Q262" s="3">
        <f t="shared" si="248"/>
        <v>5.951945991006051E-2</v>
      </c>
      <c r="R262" s="3">
        <f t="shared" si="248"/>
        <v>5.9516959817375169E-2</v>
      </c>
      <c r="S262" s="3">
        <f t="shared" si="248"/>
        <v>5.9491964665644187E-2</v>
      </c>
      <c r="T262" s="3">
        <f t="shared" si="248"/>
        <v>5.9242589764020276E-2</v>
      </c>
      <c r="U262" s="3">
        <f t="shared" si="248"/>
        <v>5.6805616118294204E-2</v>
      </c>
      <c r="V262" s="3">
        <f t="shared" si="248"/>
        <v>3.7321893388587789E-2</v>
      </c>
      <c r="W262" s="3">
        <f t="shared" si="248"/>
        <v>5.593550992956161E-4</v>
      </c>
      <c r="X262" s="3">
        <f t="shared" si="248"/>
        <v>3.1983570024244205E-22</v>
      </c>
      <c r="Y262" s="3">
        <f t="shared" si="248"/>
        <v>1.1948690311265942E-204</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8.0489091133812765E-2</v>
      </c>
      <c r="C263" s="3">
        <f t="shared" si="249"/>
        <v>8.0489091133812765E-2</v>
      </c>
      <c r="D263" s="3">
        <f t="shared" si="249"/>
        <v>8.0489091133812765E-2</v>
      </c>
      <c r="E263" s="3">
        <f t="shared" si="249"/>
        <v>8.0489091133812765E-2</v>
      </c>
      <c r="F263" s="3">
        <f t="shared" si="249"/>
        <v>8.0489091133812765E-2</v>
      </c>
      <c r="G263" s="3">
        <f t="shared" si="249"/>
        <v>8.0489091133812765E-2</v>
      </c>
      <c r="H263" s="3">
        <f t="shared" si="249"/>
        <v>8.0489091133812724E-2</v>
      </c>
      <c r="I263" s="3">
        <f t="shared" si="249"/>
        <v>8.0489091133812432E-2</v>
      </c>
      <c r="J263" s="3">
        <f t="shared" si="249"/>
        <v>8.0489091133809379E-2</v>
      </c>
      <c r="K263" s="3">
        <f t="shared" si="249"/>
        <v>8.0489091133778876E-2</v>
      </c>
      <c r="L263" s="3">
        <f t="shared" si="249"/>
        <v>8.0489091133473883E-2</v>
      </c>
      <c r="M263" s="3">
        <f t="shared" si="249"/>
        <v>8.0489091130423948E-2</v>
      </c>
      <c r="N263" s="3">
        <f t="shared" si="249"/>
        <v>8.0489091099924664E-2</v>
      </c>
      <c r="O263" s="3">
        <f t="shared" si="249"/>
        <v>8.0489090794931661E-2</v>
      </c>
      <c r="P263" s="3">
        <f t="shared" si="249"/>
        <v>8.0489087745001783E-2</v>
      </c>
      <c r="Q263" s="3">
        <f t="shared" si="249"/>
        <v>8.0489057245709442E-2</v>
      </c>
      <c r="R263" s="3">
        <f t="shared" si="249"/>
        <v>8.0488752253421531E-2</v>
      </c>
      <c r="S263" s="3">
        <f t="shared" si="249"/>
        <v>8.0485702394104602E-2</v>
      </c>
      <c r="T263" s="3">
        <f t="shared" si="249"/>
        <v>8.0455210156260046E-2</v>
      </c>
      <c r="U263" s="3">
        <f t="shared" si="249"/>
        <v>8.0150922420151732E-2</v>
      </c>
      <c r="V263" s="3">
        <f t="shared" si="249"/>
        <v>7.7170628457380375E-2</v>
      </c>
      <c r="W263" s="3">
        <f t="shared" si="249"/>
        <v>5.2830796621470749E-2</v>
      </c>
      <c r="X263" s="3">
        <f t="shared" si="249"/>
        <v>1.1946436592800396E-3</v>
      </c>
      <c r="Y263" s="3">
        <f t="shared" si="249"/>
        <v>4.1759050236988494E-20</v>
      </c>
      <c r="Z263" s="3">
        <f t="shared" si="249"/>
        <v>1.1372944362145157E-184</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6.5723461611377515E-2</v>
      </c>
      <c r="C264" s="3">
        <f t="shared" si="250"/>
        <v>6.5723461611377515E-2</v>
      </c>
      <c r="D264" s="3">
        <f t="shared" si="250"/>
        <v>6.5723461611377515E-2</v>
      </c>
      <c r="E264" s="3">
        <f t="shared" si="250"/>
        <v>6.5723461611377515E-2</v>
      </c>
      <c r="F264" s="3">
        <f t="shared" si="250"/>
        <v>6.5723461611377515E-2</v>
      </c>
      <c r="G264" s="3">
        <f t="shared" si="250"/>
        <v>6.5723461611377515E-2</v>
      </c>
      <c r="H264" s="3">
        <f t="shared" si="250"/>
        <v>6.5723461611377515E-2</v>
      </c>
      <c r="I264" s="3">
        <f t="shared" si="250"/>
        <v>6.5723461611377487E-2</v>
      </c>
      <c r="J264" s="3">
        <f t="shared" si="250"/>
        <v>6.5723461611377265E-2</v>
      </c>
      <c r="K264" s="3">
        <f t="shared" si="250"/>
        <v>6.5723461611375017E-2</v>
      </c>
      <c r="L264" s="3">
        <f t="shared" si="250"/>
        <v>6.5723461611352549E-2</v>
      </c>
      <c r="M264" s="3">
        <f t="shared" si="250"/>
        <v>6.5723461611127895E-2</v>
      </c>
      <c r="N264" s="3">
        <f t="shared" si="250"/>
        <v>6.5723461608881331E-2</v>
      </c>
      <c r="O264" s="3">
        <f t="shared" si="250"/>
        <v>6.5723461586415635E-2</v>
      </c>
      <c r="P264" s="3">
        <f t="shared" si="250"/>
        <v>6.5723461361758675E-2</v>
      </c>
      <c r="Q264" s="3">
        <f t="shared" si="250"/>
        <v>6.5723459115189217E-2</v>
      </c>
      <c r="R264" s="3">
        <f t="shared" si="250"/>
        <v>6.5723436649498812E-2</v>
      </c>
      <c r="S264" s="3">
        <f t="shared" si="250"/>
        <v>6.5723211993017144E-2</v>
      </c>
      <c r="T264" s="3">
        <f t="shared" si="250"/>
        <v>6.5720965470435752E-2</v>
      </c>
      <c r="U264" s="3">
        <f t="shared" si="250"/>
        <v>6.5698504467620586E-2</v>
      </c>
      <c r="V264" s="3">
        <f t="shared" si="250"/>
        <v>6.547431620573213E-2</v>
      </c>
      <c r="W264" s="3">
        <f t="shared" si="250"/>
        <v>6.3274081630724371E-2</v>
      </c>
      <c r="X264" s="3">
        <f t="shared" si="250"/>
        <v>4.4954652022498029E-2</v>
      </c>
      <c r="Y264" s="3">
        <f t="shared" si="250"/>
        <v>1.4732028103818446E-3</v>
      </c>
      <c r="Z264" s="3">
        <f t="shared" si="250"/>
        <v>2.1044641042670454E-18</v>
      </c>
      <c r="AA264" s="3">
        <f t="shared" si="250"/>
        <v>7.4461427833685969E-167</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5.0766006496314589E-2</v>
      </c>
      <c r="C265" s="3">
        <f t="shared" si="251"/>
        <v>5.0766006496314589E-2</v>
      </c>
      <c r="D265" s="3">
        <f t="shared" si="251"/>
        <v>5.0766006496314589E-2</v>
      </c>
      <c r="E265" s="3">
        <f t="shared" si="251"/>
        <v>5.0766006496314589E-2</v>
      </c>
      <c r="F265" s="3">
        <f t="shared" si="251"/>
        <v>5.0766006496314589E-2</v>
      </c>
      <c r="G265" s="3">
        <f t="shared" si="251"/>
        <v>5.0766006496314589E-2</v>
      </c>
      <c r="H265" s="3">
        <f t="shared" si="251"/>
        <v>5.0766006496314589E-2</v>
      </c>
      <c r="I265" s="3">
        <f t="shared" si="251"/>
        <v>5.0766006496314589E-2</v>
      </c>
      <c r="J265" s="3">
        <f t="shared" si="251"/>
        <v>5.0766006496314575E-2</v>
      </c>
      <c r="K265" s="3">
        <f t="shared" si="251"/>
        <v>5.0766006496314416E-2</v>
      </c>
      <c r="L265" s="3">
        <f t="shared" si="251"/>
        <v>5.0766006496312847E-2</v>
      </c>
      <c r="M265" s="3">
        <f t="shared" si="251"/>
        <v>5.0766006496297193E-2</v>
      </c>
      <c r="N265" s="3">
        <f t="shared" si="251"/>
        <v>5.0766006496140659E-2</v>
      </c>
      <c r="O265" s="3">
        <f t="shared" si="251"/>
        <v>5.0766006494575279E-2</v>
      </c>
      <c r="P265" s="3">
        <f t="shared" si="251"/>
        <v>5.0766006478921509E-2</v>
      </c>
      <c r="Q265" s="3">
        <f t="shared" si="251"/>
        <v>5.0766006322383782E-2</v>
      </c>
      <c r="R265" s="3">
        <f t="shared" si="251"/>
        <v>5.0766004757006544E-2</v>
      </c>
      <c r="S265" s="3">
        <f t="shared" si="251"/>
        <v>5.0765989103236805E-2</v>
      </c>
      <c r="T265" s="3">
        <f t="shared" si="251"/>
        <v>5.0765832565804948E-2</v>
      </c>
      <c r="U265" s="3">
        <f t="shared" si="251"/>
        <v>5.0764267218033746E-2</v>
      </c>
      <c r="V265" s="3">
        <f t="shared" si="251"/>
        <v>5.0748616394760374E-2</v>
      </c>
      <c r="W265" s="3">
        <f t="shared" si="251"/>
        <v>5.0592373303289619E-2</v>
      </c>
      <c r="X265" s="3">
        <f t="shared" si="251"/>
        <v>4.9056156493903526E-2</v>
      </c>
      <c r="Y265" s="3">
        <f t="shared" si="251"/>
        <v>3.603945186999144E-2</v>
      </c>
      <c r="Z265" s="3">
        <f t="shared" si="251"/>
        <v>1.650535090596791E-3</v>
      </c>
      <c r="AA265" s="3">
        <f t="shared" si="251"/>
        <v>6.7002438710513983E-17</v>
      </c>
      <c r="AB265" s="3">
        <f t="shared" si="251"/>
        <v>8.1423373596377214E-151</v>
      </c>
      <c r="AC265" s="3">
        <f t="shared" si="251"/>
        <v>0</v>
      </c>
      <c r="AD265" s="3">
        <f t="shared" si="251"/>
        <v>0</v>
      </c>
      <c r="AE265" s="3">
        <f t="shared" si="251"/>
        <v>0</v>
      </c>
      <c r="AF265" s="3">
        <f t="shared" si="251"/>
        <v>0</v>
      </c>
      <c r="AG265" s="3"/>
      <c r="AH265" s="3"/>
    </row>
    <row r="266" spans="2:34" x14ac:dyDescent="0.25">
      <c r="B266" s="3">
        <f t="shared" ref="B266:AF266" si="252">$C35*EXP(-B$246/$A35/EXP(-$E$126))</f>
        <v>2.7257633093652572E-2</v>
      </c>
      <c r="C266" s="3">
        <f t="shared" si="252"/>
        <v>2.7257633093652572E-2</v>
      </c>
      <c r="D266" s="3">
        <f t="shared" si="252"/>
        <v>2.7257633093652572E-2</v>
      </c>
      <c r="E266" s="3">
        <f t="shared" si="252"/>
        <v>2.7257633093652572E-2</v>
      </c>
      <c r="F266" s="3">
        <f t="shared" si="252"/>
        <v>2.7257633093652572E-2</v>
      </c>
      <c r="G266" s="3">
        <f t="shared" si="252"/>
        <v>2.7257633093652572E-2</v>
      </c>
      <c r="H266" s="3">
        <f t="shared" si="252"/>
        <v>2.7257633093652572E-2</v>
      </c>
      <c r="I266" s="3">
        <f t="shared" si="252"/>
        <v>2.7257633093652572E-2</v>
      </c>
      <c r="J266" s="3">
        <f t="shared" si="252"/>
        <v>2.7257633093652572E-2</v>
      </c>
      <c r="K266" s="3">
        <f t="shared" si="252"/>
        <v>2.7257633093652561E-2</v>
      </c>
      <c r="L266" s="3">
        <f t="shared" si="252"/>
        <v>2.7257633093652488E-2</v>
      </c>
      <c r="M266" s="3">
        <f t="shared" si="252"/>
        <v>2.7257633093651732E-2</v>
      </c>
      <c r="N266" s="3">
        <f t="shared" si="252"/>
        <v>2.7257633093644148E-2</v>
      </c>
      <c r="O266" s="3">
        <f t="shared" si="252"/>
        <v>2.7257633093568327E-2</v>
      </c>
      <c r="P266" s="3">
        <f t="shared" si="252"/>
        <v>2.7257633092810134E-2</v>
      </c>
      <c r="Q266" s="3">
        <f t="shared" si="252"/>
        <v>2.7257633085228185E-2</v>
      </c>
      <c r="R266" s="3">
        <f t="shared" si="252"/>
        <v>2.7257633009408713E-2</v>
      </c>
      <c r="S266" s="3">
        <f t="shared" si="252"/>
        <v>2.7257632251214012E-2</v>
      </c>
      <c r="T266" s="3">
        <f t="shared" si="252"/>
        <v>2.7257624669268125E-2</v>
      </c>
      <c r="U266" s="3">
        <f t="shared" si="252"/>
        <v>2.7257548849925275E-2</v>
      </c>
      <c r="V266" s="3">
        <f t="shared" si="252"/>
        <v>2.7256790668096068E-2</v>
      </c>
      <c r="W266" s="3">
        <f t="shared" si="252"/>
        <v>2.7249210009612754E-2</v>
      </c>
      <c r="X266" s="3">
        <f t="shared" si="252"/>
        <v>2.7173519286380912E-2</v>
      </c>
      <c r="Y266" s="3">
        <f t="shared" si="252"/>
        <v>2.6428079852939549E-2</v>
      </c>
      <c r="Z266" s="3">
        <f t="shared" si="252"/>
        <v>2.0010725367529368E-2</v>
      </c>
      <c r="AA266" s="3">
        <f t="shared" si="252"/>
        <v>1.2394672165096344E-3</v>
      </c>
      <c r="AB266" s="3">
        <f t="shared" si="252"/>
        <v>1.030284511654861E-15</v>
      </c>
      <c r="AC266" s="3">
        <f t="shared" si="252"/>
        <v>1.6224765885771567E-136</v>
      </c>
      <c r="AD266" s="3">
        <f t="shared" si="252"/>
        <v>0</v>
      </c>
      <c r="AE266" s="3">
        <f t="shared" si="252"/>
        <v>0</v>
      </c>
      <c r="AF266" s="3">
        <f t="shared" si="252"/>
        <v>0</v>
      </c>
      <c r="AG266" s="3"/>
      <c r="AH266" s="3"/>
    </row>
    <row r="267" spans="2:34" x14ac:dyDescent="0.25">
      <c r="B267" s="3">
        <f t="shared" ref="B267:AF267" si="253">$C36*EXP(-B$246/$A36/EXP(-$E$126))</f>
        <v>1.5460526055255958E-2</v>
      </c>
      <c r="C267" s="3">
        <f t="shared" si="253"/>
        <v>1.5460526055255958E-2</v>
      </c>
      <c r="D267" s="3">
        <f t="shared" si="253"/>
        <v>1.5460526055255958E-2</v>
      </c>
      <c r="E267" s="3">
        <f t="shared" si="253"/>
        <v>1.5460526055255958E-2</v>
      </c>
      <c r="F267" s="3">
        <f t="shared" si="253"/>
        <v>1.5460526055255958E-2</v>
      </c>
      <c r="G267" s="3">
        <f t="shared" si="253"/>
        <v>1.5460526055255958E-2</v>
      </c>
      <c r="H267" s="3">
        <f t="shared" si="253"/>
        <v>1.5460526055255958E-2</v>
      </c>
      <c r="I267" s="3">
        <f t="shared" si="253"/>
        <v>1.5460526055255958E-2</v>
      </c>
      <c r="J267" s="3">
        <f t="shared" si="253"/>
        <v>1.5460526055255958E-2</v>
      </c>
      <c r="K267" s="3">
        <f t="shared" si="253"/>
        <v>1.5460526055255958E-2</v>
      </c>
      <c r="L267" s="3">
        <f t="shared" si="253"/>
        <v>1.5460526055255953E-2</v>
      </c>
      <c r="M267" s="3">
        <f t="shared" si="253"/>
        <v>1.5460526055255915E-2</v>
      </c>
      <c r="N267" s="3">
        <f t="shared" si="253"/>
        <v>1.5460526055255528E-2</v>
      </c>
      <c r="O267" s="3">
        <f t="shared" si="253"/>
        <v>1.5460526055251647E-2</v>
      </c>
      <c r="P267" s="3">
        <f t="shared" si="253"/>
        <v>1.5460526055212854E-2</v>
      </c>
      <c r="Q267" s="3">
        <f t="shared" si="253"/>
        <v>1.5460526054824914E-2</v>
      </c>
      <c r="R267" s="3">
        <f t="shared" si="253"/>
        <v>1.5460526050945524E-2</v>
      </c>
      <c r="S267" s="3">
        <f t="shared" si="253"/>
        <v>1.5460526012151622E-2</v>
      </c>
      <c r="T267" s="3">
        <f t="shared" si="253"/>
        <v>1.5460525624212603E-2</v>
      </c>
      <c r="U267" s="3">
        <f t="shared" si="253"/>
        <v>1.5460521744822941E-2</v>
      </c>
      <c r="V267" s="3">
        <f t="shared" si="253"/>
        <v>1.5460482950979853E-2</v>
      </c>
      <c r="W267" s="3">
        <f t="shared" si="253"/>
        <v>1.546009501790278E-2</v>
      </c>
      <c r="X267" s="3">
        <f t="shared" si="253"/>
        <v>1.5456216222460786E-2</v>
      </c>
      <c r="Y267" s="3">
        <f t="shared" si="253"/>
        <v>1.5417481751248149E-2</v>
      </c>
      <c r="Z267" s="3">
        <f t="shared" si="253"/>
        <v>1.5035436036892993E-2</v>
      </c>
      <c r="AA267" s="3">
        <f t="shared" si="253"/>
        <v>1.169881494354494E-2</v>
      </c>
      <c r="AB267" s="3">
        <f t="shared" si="253"/>
        <v>9.5148141287246105E-4</v>
      </c>
      <c r="AC267" s="3">
        <f t="shared" si="253"/>
        <v>1.2049934461760661E-14</v>
      </c>
      <c r="AD267" s="3">
        <f t="shared" si="253"/>
        <v>1.2788760236858432E-123</v>
      </c>
      <c r="AE267" s="3">
        <f t="shared" si="253"/>
        <v>0</v>
      </c>
      <c r="AF267" s="3">
        <f t="shared" si="253"/>
        <v>0</v>
      </c>
      <c r="AG267" s="3"/>
      <c r="AH267" s="3"/>
    </row>
    <row r="268" spans="2:34" x14ac:dyDescent="0.25">
      <c r="B268" s="3">
        <f t="shared" ref="B268:AF268" si="254">$C37*EXP(-B$246/$A37/EXP(-$E$126))</f>
        <v>6.5522275925880558E-3</v>
      </c>
      <c r="C268" s="3">
        <f t="shared" si="254"/>
        <v>6.5522275925880558E-3</v>
      </c>
      <c r="D268" s="3">
        <f t="shared" si="254"/>
        <v>6.5522275925880558E-3</v>
      </c>
      <c r="E268" s="3">
        <f t="shared" si="254"/>
        <v>6.5522275925880558E-3</v>
      </c>
      <c r="F268" s="3">
        <f t="shared" si="254"/>
        <v>6.5522275925880558E-3</v>
      </c>
      <c r="G268" s="3">
        <f t="shared" si="254"/>
        <v>6.5522275925880558E-3</v>
      </c>
      <c r="H268" s="3">
        <f t="shared" si="254"/>
        <v>6.5522275925880558E-3</v>
      </c>
      <c r="I268" s="3">
        <f t="shared" si="254"/>
        <v>6.5522275925880558E-3</v>
      </c>
      <c r="J268" s="3">
        <f t="shared" si="254"/>
        <v>6.5522275925880558E-3</v>
      </c>
      <c r="K268" s="3">
        <f t="shared" si="254"/>
        <v>6.5522275925880558E-3</v>
      </c>
      <c r="L268" s="3">
        <f t="shared" si="254"/>
        <v>6.5522275925880558E-3</v>
      </c>
      <c r="M268" s="3">
        <f t="shared" si="254"/>
        <v>6.552227592588054E-3</v>
      </c>
      <c r="N268" s="3">
        <f t="shared" si="254"/>
        <v>6.5522275925880393E-3</v>
      </c>
      <c r="O268" s="3">
        <f t="shared" si="254"/>
        <v>6.552227592587891E-3</v>
      </c>
      <c r="P268" s="3">
        <f t="shared" si="254"/>
        <v>6.5522275925864078E-3</v>
      </c>
      <c r="Q268" s="3">
        <f t="shared" si="254"/>
        <v>6.5522275925715768E-3</v>
      </c>
      <c r="R268" s="3">
        <f t="shared" si="254"/>
        <v>6.5522275924232648E-3</v>
      </c>
      <c r="S268" s="3">
        <f t="shared" si="254"/>
        <v>6.5522275909401509E-3</v>
      </c>
      <c r="T268" s="3">
        <f t="shared" si="254"/>
        <v>6.5522275761090024E-3</v>
      </c>
      <c r="U268" s="3">
        <f t="shared" si="254"/>
        <v>6.5522274277975238E-3</v>
      </c>
      <c r="V268" s="3">
        <f t="shared" si="254"/>
        <v>6.5522259446829292E-3</v>
      </c>
      <c r="W268" s="3">
        <f t="shared" si="254"/>
        <v>6.5522111135554364E-3</v>
      </c>
      <c r="X268" s="3">
        <f t="shared" si="254"/>
        <v>6.5520628041268788E-3</v>
      </c>
      <c r="Y268" s="3">
        <f t="shared" si="254"/>
        <v>6.5505798944630496E-3</v>
      </c>
      <c r="Z268" s="3">
        <f t="shared" si="254"/>
        <v>6.5357692445459645E-3</v>
      </c>
      <c r="AA268" s="3">
        <f t="shared" si="254"/>
        <v>6.389492061364307E-3</v>
      </c>
      <c r="AB268" s="3">
        <f t="shared" si="254"/>
        <v>5.0952157715667872E-3</v>
      </c>
      <c r="AC268" s="3">
        <f t="shared" si="254"/>
        <v>5.2981595565017151E-4</v>
      </c>
      <c r="AD268" s="3">
        <f t="shared" si="254"/>
        <v>7.8297800575783803E-14</v>
      </c>
      <c r="AE268" s="3">
        <f t="shared" si="254"/>
        <v>3.8904053889138196E-112</v>
      </c>
      <c r="AF268" s="3">
        <f t="shared" si="254"/>
        <v>0</v>
      </c>
      <c r="AG268" s="3"/>
      <c r="AH268" s="3"/>
    </row>
    <row r="269" spans="2:34" x14ac:dyDescent="0.25">
      <c r="B269" s="3">
        <f t="shared" ref="B269:AF269" si="255">$C38*EXP(-B$246/$A38/EXP(-$E$126))</f>
        <v>1.7032131485439372E-3</v>
      </c>
      <c r="C269" s="3">
        <f t="shared" si="255"/>
        <v>1.7032131485439372E-3</v>
      </c>
      <c r="D269" s="3">
        <f t="shared" si="255"/>
        <v>1.7032131485439372E-3</v>
      </c>
      <c r="E269" s="3">
        <f t="shared" si="255"/>
        <v>1.7032131485439372E-3</v>
      </c>
      <c r="F269" s="3">
        <f t="shared" si="255"/>
        <v>1.7032131485439372E-3</v>
      </c>
      <c r="G269" s="3">
        <f t="shared" si="255"/>
        <v>1.7032131485439372E-3</v>
      </c>
      <c r="H269" s="3">
        <f t="shared" si="255"/>
        <v>1.7032131485439372E-3</v>
      </c>
      <c r="I269" s="3">
        <f t="shared" si="255"/>
        <v>1.7032131485439372E-3</v>
      </c>
      <c r="J269" s="3">
        <f t="shared" si="255"/>
        <v>1.7032131485439372E-3</v>
      </c>
      <c r="K269" s="3">
        <f t="shared" si="255"/>
        <v>1.7032131485439372E-3</v>
      </c>
      <c r="L269" s="3">
        <f t="shared" si="255"/>
        <v>1.7032131485439372E-3</v>
      </c>
      <c r="M269" s="3">
        <f t="shared" si="255"/>
        <v>1.7032131485439372E-3</v>
      </c>
      <c r="N269" s="3">
        <f t="shared" si="255"/>
        <v>1.7032131485439368E-3</v>
      </c>
      <c r="O269" s="3">
        <f t="shared" si="255"/>
        <v>1.7032131485439335E-3</v>
      </c>
      <c r="P269" s="3">
        <f t="shared" si="255"/>
        <v>1.7032131485438986E-3</v>
      </c>
      <c r="Q269" s="3">
        <f t="shared" si="255"/>
        <v>1.7032131485435508E-3</v>
      </c>
      <c r="R269" s="3">
        <f t="shared" si="255"/>
        <v>1.7032131485400731E-3</v>
      </c>
      <c r="S269" s="3">
        <f t="shared" si="255"/>
        <v>1.7032131485052954E-3</v>
      </c>
      <c r="T269" s="3">
        <f t="shared" si="255"/>
        <v>1.7032131481575178E-3</v>
      </c>
      <c r="U269" s="3">
        <f t="shared" si="255"/>
        <v>1.7032131446797437E-3</v>
      </c>
      <c r="V269" s="3">
        <f t="shared" si="255"/>
        <v>1.7032131099020016E-3</v>
      </c>
      <c r="W269" s="3">
        <f t="shared" si="255"/>
        <v>1.7032127621246207E-3</v>
      </c>
      <c r="X269" s="3">
        <f t="shared" si="255"/>
        <v>1.7032092843547169E-3</v>
      </c>
      <c r="Y269" s="3">
        <f t="shared" si="255"/>
        <v>1.7031745070462431E-3</v>
      </c>
      <c r="Z269" s="3">
        <f t="shared" si="255"/>
        <v>1.7028267730150107E-3</v>
      </c>
      <c r="AA269" s="3">
        <f t="shared" si="255"/>
        <v>1.6993533351042031E-3</v>
      </c>
      <c r="AB269" s="3">
        <f t="shared" si="255"/>
        <v>1.6650062639196256E-3</v>
      </c>
      <c r="AC269" s="3">
        <f t="shared" si="255"/>
        <v>1.3574933378217883E-3</v>
      </c>
      <c r="AD269" s="3">
        <f t="shared" si="255"/>
        <v>1.7617977807679038E-4</v>
      </c>
      <c r="AE269" s="3">
        <f t="shared" si="255"/>
        <v>2.3885788132708369E-13</v>
      </c>
      <c r="AF269" s="3">
        <f t="shared" si="255"/>
        <v>5.0115809265123944E-102</v>
      </c>
      <c r="AG269" s="3"/>
      <c r="AH269" s="3"/>
    </row>
    <row r="270" spans="2:34" x14ac:dyDescent="0.25">
      <c r="B270" s="3">
        <f t="shared" ref="B270:AF270" si="256">$C39*EXP(-B$246/$A39/EXP(-$E$126))</f>
        <v>4.5350630336780827E-3</v>
      </c>
      <c r="C270" s="3">
        <f t="shared" si="256"/>
        <v>4.5350630336780827E-3</v>
      </c>
      <c r="D270" s="3">
        <f t="shared" si="256"/>
        <v>4.5350630336780827E-3</v>
      </c>
      <c r="E270" s="3">
        <f t="shared" si="256"/>
        <v>4.5350630336780827E-3</v>
      </c>
      <c r="F270" s="3">
        <f t="shared" si="256"/>
        <v>4.5350630336780827E-3</v>
      </c>
      <c r="G270" s="3">
        <f t="shared" si="256"/>
        <v>4.5350630336780827E-3</v>
      </c>
      <c r="H270" s="3">
        <f t="shared" si="256"/>
        <v>4.5350630336780827E-3</v>
      </c>
      <c r="I270" s="3">
        <f t="shared" si="256"/>
        <v>4.5350630336780827E-3</v>
      </c>
      <c r="J270" s="3">
        <f t="shared" si="256"/>
        <v>4.5350630336780827E-3</v>
      </c>
      <c r="K270" s="3">
        <f t="shared" si="256"/>
        <v>4.5350630336780827E-3</v>
      </c>
      <c r="L270" s="3">
        <f t="shared" si="256"/>
        <v>4.5350630336780827E-3</v>
      </c>
      <c r="M270" s="3">
        <f t="shared" si="256"/>
        <v>4.5350630336780827E-3</v>
      </c>
      <c r="N270" s="3">
        <f t="shared" si="256"/>
        <v>4.5350630336780818E-3</v>
      </c>
      <c r="O270" s="3">
        <f t="shared" si="256"/>
        <v>4.5350630336780801E-3</v>
      </c>
      <c r="P270" s="3">
        <f t="shared" si="256"/>
        <v>4.535063033678054E-3</v>
      </c>
      <c r="Q270" s="3">
        <f t="shared" si="256"/>
        <v>4.5350630336777982E-3</v>
      </c>
      <c r="R270" s="3">
        <f t="shared" si="256"/>
        <v>4.5350630336752368E-3</v>
      </c>
      <c r="S270" s="3">
        <f t="shared" si="256"/>
        <v>4.5350630336496254E-3</v>
      </c>
      <c r="T270" s="3">
        <f t="shared" si="256"/>
        <v>4.5350630333935152E-3</v>
      </c>
      <c r="U270" s="3">
        <f t="shared" si="256"/>
        <v>4.5350630308324032E-3</v>
      </c>
      <c r="V270" s="3">
        <f t="shared" si="256"/>
        <v>4.5350630052212824E-3</v>
      </c>
      <c r="W270" s="3">
        <f t="shared" si="256"/>
        <v>4.5350627491100894E-3</v>
      </c>
      <c r="X270" s="3">
        <f t="shared" si="256"/>
        <v>4.5350601879989485E-3</v>
      </c>
      <c r="Y270" s="3">
        <f t="shared" si="256"/>
        <v>4.5350345769670916E-3</v>
      </c>
      <c r="Z270" s="3">
        <f t="shared" si="256"/>
        <v>4.5347784746032705E-3</v>
      </c>
      <c r="AA270" s="3">
        <f t="shared" si="256"/>
        <v>4.5322182462736735E-3</v>
      </c>
      <c r="AB270" s="3">
        <f t="shared" si="256"/>
        <v>4.5066953279084008E-3</v>
      </c>
      <c r="AC270" s="3">
        <f t="shared" si="256"/>
        <v>4.2592392778497716E-3</v>
      </c>
      <c r="AD270" s="3">
        <f t="shared" si="256"/>
        <v>2.4214217434922417E-3</v>
      </c>
      <c r="AE270" s="3">
        <f t="shared" si="256"/>
        <v>8.5399323229198544E-6</v>
      </c>
      <c r="AF270" s="3">
        <f t="shared" si="256"/>
        <v>2.542695416348956E-30</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1.6861233379433117E-3</v>
      </c>
      <c r="C272" s="3">
        <f t="shared" si="258"/>
        <v>1.6861233379433117E-3</v>
      </c>
      <c r="D272" s="3">
        <f t="shared" si="258"/>
        <v>1.6861233379433117E-3</v>
      </c>
      <c r="E272" s="3">
        <f t="shared" si="258"/>
        <v>1.6861233379433117E-3</v>
      </c>
      <c r="F272" s="3">
        <f t="shared" si="258"/>
        <v>1.6861233379433117E-3</v>
      </c>
      <c r="G272" s="3">
        <f t="shared" si="258"/>
        <v>1.6861233379433117E-3</v>
      </c>
      <c r="H272" s="3">
        <f t="shared" si="258"/>
        <v>1.6861233379433117E-3</v>
      </c>
      <c r="I272" s="3">
        <f t="shared" si="258"/>
        <v>1.6861233379433117E-3</v>
      </c>
      <c r="J272" s="3">
        <f t="shared" si="258"/>
        <v>1.6861233379433117E-3</v>
      </c>
      <c r="K272" s="3">
        <f t="shared" si="258"/>
        <v>1.6861233379433117E-3</v>
      </c>
      <c r="L272" s="3">
        <f t="shared" si="258"/>
        <v>1.6861233379433117E-3</v>
      </c>
      <c r="M272" s="3">
        <f t="shared" si="258"/>
        <v>1.6861233379433117E-3</v>
      </c>
      <c r="N272" s="3">
        <f t="shared" si="258"/>
        <v>1.6861233379433117E-3</v>
      </c>
      <c r="O272" s="3">
        <f t="shared" si="258"/>
        <v>1.6861233379433117E-3</v>
      </c>
      <c r="P272" s="3">
        <f t="shared" si="258"/>
        <v>1.6861233379433114E-3</v>
      </c>
      <c r="Q272" s="3">
        <f t="shared" si="258"/>
        <v>1.6861233379433106E-3</v>
      </c>
      <c r="R272" s="3">
        <f t="shared" si="258"/>
        <v>1.686123337943301E-3</v>
      </c>
      <c r="S272" s="3">
        <f t="shared" si="258"/>
        <v>1.6861233379432058E-3</v>
      </c>
      <c r="T272" s="3">
        <f t="shared" si="258"/>
        <v>1.6861233379422537E-3</v>
      </c>
      <c r="U272" s="3">
        <f t="shared" si="258"/>
        <v>1.6861233379327314E-3</v>
      </c>
      <c r="V272" s="3">
        <f t="shared" si="258"/>
        <v>1.6861233378375102E-3</v>
      </c>
      <c r="W272" s="3">
        <f t="shared" si="258"/>
        <v>1.6861233368852962E-3</v>
      </c>
      <c r="X272" s="3">
        <f t="shared" si="258"/>
        <v>1.6861233273631556E-3</v>
      </c>
      <c r="Y272" s="3">
        <f t="shared" si="258"/>
        <v>1.6861232321417534E-3</v>
      </c>
      <c r="Z272" s="3">
        <f t="shared" si="258"/>
        <v>1.6861222799280282E-3</v>
      </c>
      <c r="AA272" s="3">
        <f t="shared" si="258"/>
        <v>1.6861127578203527E-3</v>
      </c>
      <c r="AB272" s="3">
        <f t="shared" si="258"/>
        <v>1.6860175397011479E-3</v>
      </c>
      <c r="AC272" s="3">
        <f t="shared" si="258"/>
        <v>1.6850656542025477E-3</v>
      </c>
      <c r="AD272" s="3">
        <f t="shared" si="258"/>
        <v>1.6755763068685577E-3</v>
      </c>
      <c r="AE272" s="3">
        <f t="shared" si="258"/>
        <v>1.5835728621489094E-3</v>
      </c>
      <c r="AF272" s="3">
        <f t="shared" si="258"/>
        <v>9.0027761078203942E-4</v>
      </c>
      <c r="AG272" s="3"/>
      <c r="AH272" s="3"/>
    </row>
    <row r="273" spans="1:34" x14ac:dyDescent="0.25">
      <c r="B273" s="3">
        <f t="shared" ref="B273:AF273" si="259">$C42*EXP(-B$246/$A42/EXP(-$E$126))</f>
        <v>3.1917428644915027E-3</v>
      </c>
      <c r="C273" s="3">
        <f t="shared" si="259"/>
        <v>3.1917428644915027E-3</v>
      </c>
      <c r="D273" s="3">
        <f t="shared" si="259"/>
        <v>3.1917428644915027E-3</v>
      </c>
      <c r="E273" s="3">
        <f t="shared" si="259"/>
        <v>3.1917428644915027E-3</v>
      </c>
      <c r="F273" s="3">
        <f t="shared" si="259"/>
        <v>3.1917428644915027E-3</v>
      </c>
      <c r="G273" s="3">
        <f t="shared" si="259"/>
        <v>3.1917428644915027E-3</v>
      </c>
      <c r="H273" s="3">
        <f t="shared" si="259"/>
        <v>3.1917428644915027E-3</v>
      </c>
      <c r="I273" s="3">
        <f t="shared" si="259"/>
        <v>3.1917428644915027E-3</v>
      </c>
      <c r="J273" s="3">
        <f t="shared" si="259"/>
        <v>3.1917428644915027E-3</v>
      </c>
      <c r="K273" s="3">
        <f t="shared" si="259"/>
        <v>3.1917428644915027E-3</v>
      </c>
      <c r="L273" s="3">
        <f t="shared" si="259"/>
        <v>3.1917428644915027E-3</v>
      </c>
      <c r="M273" s="3">
        <f t="shared" si="259"/>
        <v>3.1917428644915027E-3</v>
      </c>
      <c r="N273" s="3">
        <f t="shared" si="259"/>
        <v>3.1917428644915027E-3</v>
      </c>
      <c r="O273" s="3">
        <f t="shared" si="259"/>
        <v>3.1917428644915027E-3</v>
      </c>
      <c r="P273" s="3">
        <f t="shared" si="259"/>
        <v>3.1917428644915027E-3</v>
      </c>
      <c r="Q273" s="3">
        <f t="shared" si="259"/>
        <v>3.1917428644915023E-3</v>
      </c>
      <c r="R273" s="3">
        <f t="shared" si="259"/>
        <v>3.1917428644915005E-3</v>
      </c>
      <c r="S273" s="3">
        <f t="shared" si="259"/>
        <v>3.1917428644914823E-3</v>
      </c>
      <c r="T273" s="3">
        <f t="shared" si="259"/>
        <v>3.1917428644913023E-3</v>
      </c>
      <c r="U273" s="3">
        <f t="shared" si="259"/>
        <v>3.1917428644895E-3</v>
      </c>
      <c r="V273" s="3">
        <f t="shared" si="259"/>
        <v>3.1917428644714749E-3</v>
      </c>
      <c r="W273" s="3">
        <f t="shared" si="259"/>
        <v>3.1917428642912263E-3</v>
      </c>
      <c r="X273" s="3">
        <f t="shared" si="259"/>
        <v>3.191742862488735E-3</v>
      </c>
      <c r="Y273" s="3">
        <f t="shared" si="259"/>
        <v>3.1917428444638231E-3</v>
      </c>
      <c r="Z273" s="3">
        <f t="shared" si="259"/>
        <v>3.1917426642147136E-3</v>
      </c>
      <c r="AA273" s="3">
        <f t="shared" si="259"/>
        <v>3.1917408617241753E-3</v>
      </c>
      <c r="AB273" s="3">
        <f t="shared" si="259"/>
        <v>3.1917228368747797E-3</v>
      </c>
      <c r="AC273" s="3">
        <f t="shared" si="259"/>
        <v>3.1915425939793149E-3</v>
      </c>
      <c r="AD273" s="3">
        <f t="shared" si="259"/>
        <v>3.18974072475682E-3</v>
      </c>
      <c r="AE273" s="3">
        <f t="shared" si="259"/>
        <v>3.1717778889663564E-3</v>
      </c>
      <c r="AF273" s="3">
        <f t="shared" si="259"/>
        <v>2.9976202033543632E-3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1.5213277079669291E-4</v>
      </c>
      <c r="C276" s="3">
        <f t="shared" si="262"/>
        <v>1.5213277079669291E-4</v>
      </c>
      <c r="D276" s="3">
        <f t="shared" si="262"/>
        <v>1.5213277079669291E-4</v>
      </c>
      <c r="E276" s="3">
        <f t="shared" si="262"/>
        <v>1.5213277079669291E-4</v>
      </c>
      <c r="F276" s="3">
        <f t="shared" si="262"/>
        <v>1.5213277079669291E-4</v>
      </c>
      <c r="G276" s="3">
        <f t="shared" si="262"/>
        <v>1.5213277079669291E-4</v>
      </c>
      <c r="H276" s="3">
        <f t="shared" si="262"/>
        <v>1.5213277079669291E-4</v>
      </c>
      <c r="I276" s="3">
        <f t="shared" si="262"/>
        <v>1.5213277079669291E-4</v>
      </c>
      <c r="J276" s="3">
        <f t="shared" si="262"/>
        <v>1.5213277079669291E-4</v>
      </c>
      <c r="K276" s="3">
        <f t="shared" si="262"/>
        <v>1.5213277079669291E-4</v>
      </c>
      <c r="L276" s="3">
        <f t="shared" si="262"/>
        <v>1.5213277079669291E-4</v>
      </c>
      <c r="M276" s="3">
        <f t="shared" si="262"/>
        <v>1.5213277079669291E-4</v>
      </c>
      <c r="N276" s="3">
        <f t="shared" si="262"/>
        <v>1.5213277079669291E-4</v>
      </c>
      <c r="O276" s="3">
        <f t="shared" si="262"/>
        <v>1.5213277079669291E-4</v>
      </c>
      <c r="P276" s="3">
        <f t="shared" si="262"/>
        <v>1.5213277079669291E-4</v>
      </c>
      <c r="Q276" s="3">
        <f t="shared" si="262"/>
        <v>1.5213277079669291E-4</v>
      </c>
      <c r="R276" s="3">
        <f t="shared" si="262"/>
        <v>1.5213277079669291E-4</v>
      </c>
      <c r="S276" s="3">
        <f t="shared" si="262"/>
        <v>1.5213277079669291E-4</v>
      </c>
      <c r="T276" s="3">
        <f t="shared" si="262"/>
        <v>1.5213277079669288E-4</v>
      </c>
      <c r="U276" s="3">
        <f t="shared" si="262"/>
        <v>1.521327707966928E-4</v>
      </c>
      <c r="V276" s="3">
        <f t="shared" si="262"/>
        <v>1.5213277079669194E-4</v>
      </c>
      <c r="W276" s="3">
        <f t="shared" si="262"/>
        <v>1.5213277079668337E-4</v>
      </c>
      <c r="X276" s="3">
        <f t="shared" si="262"/>
        <v>1.5213277079659745E-4</v>
      </c>
      <c r="Y276" s="3">
        <f t="shared" si="262"/>
        <v>1.521327707957383E-4</v>
      </c>
      <c r="Z276" s="3">
        <f t="shared" si="262"/>
        <v>1.5213277078714684E-4</v>
      </c>
      <c r="AA276" s="3">
        <f t="shared" si="262"/>
        <v>1.5213277070123203E-4</v>
      </c>
      <c r="AB276" s="3">
        <f t="shared" si="262"/>
        <v>1.5213276984208393E-4</v>
      </c>
      <c r="AC276" s="3">
        <f t="shared" si="262"/>
        <v>1.5213276125060346E-4</v>
      </c>
      <c r="AD276" s="3">
        <f t="shared" si="262"/>
        <v>1.5213267533582537E-4</v>
      </c>
      <c r="AE276" s="3">
        <f t="shared" si="262"/>
        <v>1.5213181619071309E-4</v>
      </c>
      <c r="AF276" s="3">
        <f t="shared" si="262"/>
        <v>1.5212322500643926E-4</v>
      </c>
      <c r="AG276" s="3"/>
      <c r="AH276" s="3"/>
    </row>
    <row r="277" spans="1:34" x14ac:dyDescent="0.25">
      <c r="B277" s="3">
        <f t="shared" ref="B277:AF277" si="263">$C46*EXP(-B$246/$A46/EXP(-$E$126))</f>
        <v>1.3986654220962105E-4</v>
      </c>
      <c r="C277" s="3">
        <f t="shared" si="263"/>
        <v>1.3986654220962105E-4</v>
      </c>
      <c r="D277" s="3">
        <f t="shared" si="263"/>
        <v>1.3986654220962105E-4</v>
      </c>
      <c r="E277" s="3">
        <f t="shared" si="263"/>
        <v>1.3986654220962105E-4</v>
      </c>
      <c r="F277" s="3">
        <f t="shared" si="263"/>
        <v>1.3986654220962105E-4</v>
      </c>
      <c r="G277" s="3">
        <f t="shared" si="263"/>
        <v>1.3986654220962105E-4</v>
      </c>
      <c r="H277" s="3">
        <f t="shared" si="263"/>
        <v>1.3986654220962105E-4</v>
      </c>
      <c r="I277" s="3">
        <f t="shared" si="263"/>
        <v>1.3986654220962105E-4</v>
      </c>
      <c r="J277" s="3">
        <f t="shared" si="263"/>
        <v>1.3986654220962105E-4</v>
      </c>
      <c r="K277" s="3">
        <f t="shared" si="263"/>
        <v>1.3986654220962105E-4</v>
      </c>
      <c r="L277" s="3">
        <f t="shared" si="263"/>
        <v>1.3986654220962105E-4</v>
      </c>
      <c r="M277" s="3">
        <f t="shared" si="263"/>
        <v>1.3986654220962105E-4</v>
      </c>
      <c r="N277" s="3">
        <f t="shared" si="263"/>
        <v>1.3986654220962105E-4</v>
      </c>
      <c r="O277" s="3">
        <f t="shared" si="263"/>
        <v>1.3986654220962105E-4</v>
      </c>
      <c r="P277" s="3">
        <f t="shared" si="263"/>
        <v>1.3986654220962105E-4</v>
      </c>
      <c r="Q277" s="3">
        <f t="shared" si="263"/>
        <v>1.3986654220962105E-4</v>
      </c>
      <c r="R277" s="3">
        <f t="shared" si="263"/>
        <v>1.3986654220962105E-4</v>
      </c>
      <c r="S277" s="3">
        <f t="shared" si="263"/>
        <v>1.3986654220962105E-4</v>
      </c>
      <c r="T277" s="3">
        <f t="shared" si="263"/>
        <v>1.3986654220962105E-4</v>
      </c>
      <c r="U277" s="3">
        <f t="shared" si="263"/>
        <v>1.3986654220962103E-4</v>
      </c>
      <c r="V277" s="3">
        <f t="shared" si="263"/>
        <v>1.3986654220962097E-4</v>
      </c>
      <c r="W277" s="3">
        <f t="shared" si="263"/>
        <v>1.3986654220962016E-4</v>
      </c>
      <c r="X277" s="3">
        <f t="shared" si="263"/>
        <v>1.3986654220961227E-4</v>
      </c>
      <c r="Y277" s="3">
        <f t="shared" si="263"/>
        <v>1.3986654220953329E-4</v>
      </c>
      <c r="Z277" s="3">
        <f t="shared" si="263"/>
        <v>1.3986654220874342E-4</v>
      </c>
      <c r="AA277" s="3">
        <f t="shared" si="263"/>
        <v>1.3986654220084465E-4</v>
      </c>
      <c r="AB277" s="3">
        <f t="shared" si="263"/>
        <v>1.3986654212185703E-4</v>
      </c>
      <c r="AC277" s="3">
        <f t="shared" si="263"/>
        <v>1.398665413319807E-4</v>
      </c>
      <c r="AD277" s="3">
        <f t="shared" si="263"/>
        <v>1.3986653343321795E-4</v>
      </c>
      <c r="AE277" s="3">
        <f t="shared" si="263"/>
        <v>1.3986645444561473E-4</v>
      </c>
      <c r="AF277" s="3">
        <f t="shared" si="263"/>
        <v>1.39865664572036E-4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8.4977640874607974E-4</v>
      </c>
      <c r="C279" s="3">
        <f t="shared" si="265"/>
        <v>8.4977640874607974E-4</v>
      </c>
      <c r="D279" s="3">
        <f t="shared" si="265"/>
        <v>8.4977640874607974E-4</v>
      </c>
      <c r="E279" s="3">
        <f t="shared" si="265"/>
        <v>8.4977640874607974E-4</v>
      </c>
      <c r="F279" s="3">
        <f t="shared" si="265"/>
        <v>8.4977640874607974E-4</v>
      </c>
      <c r="G279" s="3">
        <f t="shared" si="265"/>
        <v>8.4977640874607974E-4</v>
      </c>
      <c r="H279" s="3">
        <f t="shared" si="265"/>
        <v>8.4977640874607974E-4</v>
      </c>
      <c r="I279" s="3">
        <f t="shared" si="265"/>
        <v>8.4977640874607974E-4</v>
      </c>
      <c r="J279" s="3">
        <f t="shared" si="265"/>
        <v>8.4977640874607974E-4</v>
      </c>
      <c r="K279" s="3">
        <f t="shared" si="265"/>
        <v>8.4977640874607974E-4</v>
      </c>
      <c r="L279" s="3">
        <f t="shared" si="265"/>
        <v>8.4977640874607974E-4</v>
      </c>
      <c r="M279" s="3">
        <f t="shared" si="265"/>
        <v>8.4977640874607974E-4</v>
      </c>
      <c r="N279" s="3">
        <f t="shared" si="265"/>
        <v>8.4977640874607974E-4</v>
      </c>
      <c r="O279" s="3">
        <f t="shared" si="265"/>
        <v>8.4977640874607974E-4</v>
      </c>
      <c r="P279" s="3">
        <f t="shared" si="265"/>
        <v>8.4977640874607974E-4</v>
      </c>
      <c r="Q279" s="3">
        <f t="shared" si="265"/>
        <v>8.4977640874607974E-4</v>
      </c>
      <c r="R279" s="3">
        <f t="shared" si="265"/>
        <v>8.4977640874607974E-4</v>
      </c>
      <c r="S279" s="3">
        <f t="shared" si="265"/>
        <v>8.4977640874607974E-4</v>
      </c>
      <c r="T279" s="3">
        <f t="shared" si="265"/>
        <v>8.4977640874607974E-4</v>
      </c>
      <c r="U279" s="3">
        <f t="shared" si="265"/>
        <v>8.4977640874607974E-4</v>
      </c>
      <c r="V279" s="3">
        <f t="shared" si="265"/>
        <v>8.4977640874607974E-4</v>
      </c>
      <c r="W279" s="3">
        <f t="shared" si="265"/>
        <v>8.4977640874607963E-4</v>
      </c>
      <c r="X279" s="3">
        <f t="shared" si="265"/>
        <v>8.497764087460792E-4</v>
      </c>
      <c r="Y279" s="3">
        <f t="shared" si="265"/>
        <v>8.4977640874607432E-4</v>
      </c>
      <c r="Z279" s="3">
        <f t="shared" si="265"/>
        <v>8.497764087460264E-4</v>
      </c>
      <c r="AA279" s="3">
        <f t="shared" si="265"/>
        <v>8.4977640874554653E-4</v>
      </c>
      <c r="AB279" s="3">
        <f t="shared" si="265"/>
        <v>8.4977640874074752E-4</v>
      </c>
      <c r="AC279" s="3">
        <f t="shared" si="265"/>
        <v>8.497764086927577E-4</v>
      </c>
      <c r="AD279" s="3">
        <f t="shared" si="265"/>
        <v>8.4977640821285859E-4</v>
      </c>
      <c r="AE279" s="3">
        <f t="shared" si="265"/>
        <v>8.4977640341386774E-4</v>
      </c>
      <c r="AF279" s="3">
        <f t="shared" si="265"/>
        <v>8.4977635542396142E-4</v>
      </c>
      <c r="AG279" s="3"/>
      <c r="AH279" s="3"/>
    </row>
    <row r="280" spans="1:34" x14ac:dyDescent="0.25">
      <c r="A280" s="79">
        <f>AVERAGE(B280:AF280)</f>
        <v>4.1711169683041602E-2</v>
      </c>
      <c r="B280" s="80">
        <f>IF($D$61&lt;=B246,IF($E$61&gt;=B246,ABS((B248-B247)/B247),0),0)</f>
        <v>5.0697355469627142E-2</v>
      </c>
      <c r="C280" s="80">
        <f t="shared" ref="C280:AF280" si="266">IF($D$61&lt;=C246,IF($E$61&gt;=C246,ABS((C248-C247)/C247),0),0)</f>
        <v>2.2533836548655366E-2</v>
      </c>
      <c r="D280" s="80">
        <f t="shared" si="266"/>
        <v>0.13407753252365559</v>
      </c>
      <c r="E280" s="80">
        <f t="shared" si="266"/>
        <v>0.11290240706335297</v>
      </c>
      <c r="F280" s="80">
        <f t="shared" si="266"/>
        <v>8.831043775664929E-2</v>
      </c>
      <c r="G280" s="80">
        <f t="shared" si="266"/>
        <v>5.9686443210072188E-2</v>
      </c>
      <c r="H280" s="80">
        <f t="shared" si="266"/>
        <v>3.0281386571066615E-2</v>
      </c>
      <c r="I280" s="80">
        <f t="shared" si="266"/>
        <v>9.5614490701988741E-3</v>
      </c>
      <c r="J280" s="80">
        <f t="shared" si="266"/>
        <v>2.577657793045016E-2</v>
      </c>
      <c r="K280" s="80">
        <f t="shared" si="266"/>
        <v>2.6820302089956668E-2</v>
      </c>
      <c r="L280" s="80">
        <f t="shared" si="266"/>
        <v>2.5094537503863153E-2</v>
      </c>
      <c r="M280" s="80">
        <f t="shared" si="266"/>
        <v>2.3677271389193323E-2</v>
      </c>
      <c r="N280" s="80">
        <f t="shared" si="266"/>
        <v>2.380482140714725E-2</v>
      </c>
      <c r="O280" s="80">
        <f t="shared" si="266"/>
        <v>2.3745638689742429E-2</v>
      </c>
      <c r="P280" s="80">
        <f t="shared" si="266"/>
        <v>2.3885383625438086E-2</v>
      </c>
      <c r="Q280" s="80">
        <f t="shared" si="266"/>
        <v>2.4009023020658594E-2</v>
      </c>
      <c r="R280" s="80">
        <f t="shared" si="266"/>
        <v>2.1019230513876382E-2</v>
      </c>
      <c r="S280" s="80">
        <f t="shared" si="266"/>
        <v>8.437488251563912E-4</v>
      </c>
      <c r="T280" s="80">
        <f t="shared" si="266"/>
        <v>5.3249002458481756E-2</v>
      </c>
      <c r="U280" s="80">
        <f t="shared" si="266"/>
        <v>0.10777912940963819</v>
      </c>
      <c r="V280" s="80">
        <f t="shared" si="266"/>
        <v>0.14578869704038958</v>
      </c>
      <c r="W280" s="80">
        <f t="shared" si="266"/>
        <v>0.13788278835251874</v>
      </c>
      <c r="X280" s="80">
        <f t="shared" si="266"/>
        <v>7.9790671668532154E-2</v>
      </c>
      <c r="Y280" s="80">
        <f t="shared" si="266"/>
        <v>4.1828588035968756E-2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262640.90248384007</v>
      </c>
      <c r="C281" s="21">
        <f t="shared" ref="C281:AF281" si="267">(C248-C247)^2</f>
        <v>49398.700047174563</v>
      </c>
      <c r="D281" s="21">
        <f t="shared" si="267"/>
        <v>1673264.210957146</v>
      </c>
      <c r="E281" s="21">
        <f t="shared" si="267"/>
        <v>1129274.4457476272</v>
      </c>
      <c r="F281" s="21">
        <f t="shared" si="267"/>
        <v>654118.53016619838</v>
      </c>
      <c r="G281" s="21">
        <f t="shared" si="267"/>
        <v>280825.69124935765</v>
      </c>
      <c r="H281" s="21">
        <f t="shared" si="267"/>
        <v>67817.602637878168</v>
      </c>
      <c r="I281" s="21">
        <f t="shared" si="267"/>
        <v>6350.7590227447299</v>
      </c>
      <c r="J281" s="21">
        <f t="shared" si="267"/>
        <v>42805.569116820858</v>
      </c>
      <c r="K281" s="21">
        <f t="shared" si="267"/>
        <v>42222.958218111082</v>
      </c>
      <c r="L281" s="21">
        <f t="shared" si="267"/>
        <v>33416.414530016664</v>
      </c>
      <c r="M281" s="21">
        <f t="shared" si="267"/>
        <v>27194.946389030003</v>
      </c>
      <c r="N281" s="21">
        <f t="shared" si="267"/>
        <v>25268.999270945682</v>
      </c>
      <c r="O281" s="21">
        <f t="shared" si="267"/>
        <v>23039.642292766108</v>
      </c>
      <c r="P281" s="21">
        <f t="shared" si="267"/>
        <v>21236.033551396133</v>
      </c>
      <c r="Q281" s="21">
        <f t="shared" si="267"/>
        <v>19502.406821767065</v>
      </c>
      <c r="R281" s="21">
        <f t="shared" si="267"/>
        <v>13268.284569325966</v>
      </c>
      <c r="S281" s="21">
        <f t="shared" si="267"/>
        <v>17.807444187432086</v>
      </c>
      <c r="T281" s="21">
        <f t="shared" si="267"/>
        <v>54363.888117093389</v>
      </c>
      <c r="U281" s="21">
        <f t="shared" si="267"/>
        <v>162972.01591204171</v>
      </c>
      <c r="V281" s="21">
        <f t="shared" si="267"/>
        <v>210697.26814817832</v>
      </c>
      <c r="W281" s="21">
        <f t="shared" si="267"/>
        <v>125304.54467284416</v>
      </c>
      <c r="X281" s="21">
        <f t="shared" si="267"/>
        <v>25112.641012250024</v>
      </c>
      <c r="Y281" s="21">
        <f t="shared" si="267"/>
        <v>3698.9443086790666</v>
      </c>
      <c r="Z281" s="21">
        <f t="shared" si="267"/>
        <v>37.026823832304011</v>
      </c>
      <c r="AA281" s="21">
        <f t="shared" si="267"/>
        <v>186.60663565706329</v>
      </c>
      <c r="AB281" s="21">
        <f t="shared" si="267"/>
        <v>30.302126959053172</v>
      </c>
      <c r="AC281" s="21">
        <f t="shared" si="267"/>
        <v>118.05803330479131</v>
      </c>
      <c r="AD281" s="21">
        <f t="shared" si="267"/>
        <v>68.277841561564415</v>
      </c>
      <c r="AE281" s="21">
        <f t="shared" si="267"/>
        <v>5.129629761365333</v>
      </c>
      <c r="AF281" s="21">
        <f t="shared" si="267"/>
        <v>29.562842600021519</v>
      </c>
      <c r="AG281" s="3"/>
      <c r="AH281" s="3"/>
    </row>
    <row r="282" spans="1:34" s="3" customFormat="1" x14ac:dyDescent="0.25">
      <c r="A282" s="71">
        <f>SUM(B282:AF282)</f>
        <v>4953813.2066874206</v>
      </c>
      <c r="B282" s="21">
        <f>IF($D$61&lt;=B246,IF($E$61&gt;=B246,ABS(B281),0),0)</f>
        <v>262640.90248384007</v>
      </c>
      <c r="C282" s="21">
        <f t="shared" ref="C282:AF282" si="268">IF($D$61&lt;=C246,IF($E$61&gt;=C246,ABS(C281),0),0)</f>
        <v>49398.700047174563</v>
      </c>
      <c r="D282" s="21">
        <f t="shared" si="268"/>
        <v>1673264.210957146</v>
      </c>
      <c r="E282" s="21">
        <f t="shared" si="268"/>
        <v>1129274.4457476272</v>
      </c>
      <c r="F282" s="21">
        <f t="shared" si="268"/>
        <v>654118.53016619838</v>
      </c>
      <c r="G282" s="21">
        <f t="shared" si="268"/>
        <v>280825.69124935765</v>
      </c>
      <c r="H282" s="21">
        <f t="shared" si="268"/>
        <v>67817.602637878168</v>
      </c>
      <c r="I282" s="21">
        <f t="shared" si="268"/>
        <v>6350.7590227447299</v>
      </c>
      <c r="J282" s="21">
        <f t="shared" si="268"/>
        <v>42805.569116820858</v>
      </c>
      <c r="K282" s="21">
        <f t="shared" si="268"/>
        <v>42222.958218111082</v>
      </c>
      <c r="L282" s="21">
        <f t="shared" si="268"/>
        <v>33416.414530016664</v>
      </c>
      <c r="M282" s="21">
        <f t="shared" si="268"/>
        <v>27194.946389030003</v>
      </c>
      <c r="N282" s="21">
        <f t="shared" si="268"/>
        <v>25268.999270945682</v>
      </c>
      <c r="O282" s="21">
        <f t="shared" si="268"/>
        <v>23039.642292766108</v>
      </c>
      <c r="P282" s="21">
        <f t="shared" si="268"/>
        <v>21236.033551396133</v>
      </c>
      <c r="Q282" s="21">
        <f t="shared" si="268"/>
        <v>19502.406821767065</v>
      </c>
      <c r="R282" s="21">
        <f t="shared" si="268"/>
        <v>13268.284569325966</v>
      </c>
      <c r="S282" s="21">
        <f t="shared" si="268"/>
        <v>17.807444187432086</v>
      </c>
      <c r="T282" s="21">
        <f t="shared" si="268"/>
        <v>54363.888117093389</v>
      </c>
      <c r="U282" s="21">
        <f t="shared" si="268"/>
        <v>162972.01591204171</v>
      </c>
      <c r="V282" s="21">
        <f t="shared" si="268"/>
        <v>210697.26814817832</v>
      </c>
      <c r="W282" s="21">
        <f t="shared" si="268"/>
        <v>125304.54467284416</v>
      </c>
      <c r="X282" s="21">
        <f t="shared" si="268"/>
        <v>25112.641012250024</v>
      </c>
      <c r="Y282" s="21">
        <f t="shared" si="268"/>
        <v>3698.9443086790666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8746.757097418069</v>
      </c>
      <c r="C287" s="27">
        <f t="shared" ref="C287:AF287" si="269">($C$17+SUM(C288:C318))*$B$51</f>
        <v>8349.6511303221814</v>
      </c>
      <c r="D287" s="27">
        <f t="shared" si="269"/>
        <v>8349.6246396429051</v>
      </c>
      <c r="E287" s="27">
        <f t="shared" si="269"/>
        <v>8349.3601349583259</v>
      </c>
      <c r="F287" s="27">
        <f t="shared" si="269"/>
        <v>8346.7208643210379</v>
      </c>
      <c r="G287" s="27">
        <f t="shared" si="269"/>
        <v>8320.897008525284</v>
      </c>
      <c r="H287" s="27">
        <f t="shared" si="269"/>
        <v>8111.7026709197817</v>
      </c>
      <c r="I287" s="27">
        <f t="shared" si="269"/>
        <v>7630.3771177424105</v>
      </c>
      <c r="J287" s="27">
        <f t="shared" si="269"/>
        <v>7302.658161185911</v>
      </c>
      <c r="K287" s="27">
        <f t="shared" si="269"/>
        <v>6944.2594631896918</v>
      </c>
      <c r="L287" s="27">
        <f t="shared" si="269"/>
        <v>6669.061068132778</v>
      </c>
      <c r="M287" s="27">
        <f t="shared" si="269"/>
        <v>6379.2386032975865</v>
      </c>
      <c r="N287" s="27">
        <f t="shared" si="269"/>
        <v>6103.4584061556561</v>
      </c>
      <c r="O287" s="27">
        <f t="shared" si="269"/>
        <v>5809.4209809419999</v>
      </c>
      <c r="P287" s="27">
        <f t="shared" si="269"/>
        <v>5537.9369008791909</v>
      </c>
      <c r="Q287" s="27">
        <f t="shared" si="269"/>
        <v>5176.3993852239792</v>
      </c>
      <c r="R287" s="27">
        <f t="shared" si="269"/>
        <v>4817.3482766513607</v>
      </c>
      <c r="S287" s="27">
        <f t="shared" si="269"/>
        <v>4391.6206352776817</v>
      </c>
      <c r="T287" s="27">
        <f t="shared" si="269"/>
        <v>3903.4145813318032</v>
      </c>
      <c r="U287" s="27">
        <f t="shared" si="269"/>
        <v>3301.3692193870861</v>
      </c>
      <c r="V287" s="27">
        <f t="shared" si="269"/>
        <v>2553.5919471559896</v>
      </c>
      <c r="W287" s="27">
        <f t="shared" si="269"/>
        <v>1849.9618645706764</v>
      </c>
      <c r="X287" s="27">
        <f t="shared" si="269"/>
        <v>1297.7636451853084</v>
      </c>
      <c r="Y287" s="27">
        <f t="shared" si="269"/>
        <v>933.97306180369344</v>
      </c>
      <c r="Z287" s="27">
        <f t="shared" si="269"/>
        <v>729.7900647329991</v>
      </c>
      <c r="AA287" s="27">
        <f t="shared" si="269"/>
        <v>621.94879590412518</v>
      </c>
      <c r="AB287" s="27">
        <f t="shared" si="269"/>
        <v>572.87434588300925</v>
      </c>
      <c r="AC287" s="27">
        <f t="shared" si="269"/>
        <v>530.21401921806398</v>
      </c>
      <c r="AD287" s="27">
        <f t="shared" si="269"/>
        <v>518.9399206478264</v>
      </c>
      <c r="AE287" s="27">
        <f t="shared" si="269"/>
        <v>501.69946681306942</v>
      </c>
      <c r="AF287" s="27">
        <f t="shared" si="269"/>
        <v>475.66993383966269</v>
      </c>
      <c r="AG287" s="27"/>
      <c r="AH287" s="27"/>
    </row>
    <row r="288" spans="1:34" x14ac:dyDescent="0.25">
      <c r="B288" s="3">
        <f t="shared" ref="B288:AF288" si="270">$C18*EXP(-B$285/$A18/EXP(-$F$126))</f>
        <v>3.6877066850045499E-2</v>
      </c>
      <c r="C288" s="3">
        <f t="shared" si="270"/>
        <v>3.1969515245165471E-9</v>
      </c>
      <c r="D288" s="3">
        <f t="shared" si="270"/>
        <v>7.6653652977742423E-80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5.6074272050609032E-2</v>
      </c>
      <c r="C289" s="3">
        <f t="shared" si="271"/>
        <v>5.6074038484781777E-2</v>
      </c>
      <c r="D289" s="3">
        <f t="shared" si="271"/>
        <v>5.6071702880016457E-2</v>
      </c>
      <c r="E289" s="3">
        <f t="shared" si="271"/>
        <v>5.6048352182258648E-2</v>
      </c>
      <c r="F289" s="3">
        <f t="shared" si="271"/>
        <v>5.5815379370635118E-2</v>
      </c>
      <c r="G289" s="3">
        <f t="shared" si="271"/>
        <v>5.3538253705260642E-2</v>
      </c>
      <c r="H289" s="3">
        <f t="shared" si="271"/>
        <v>3.5299406699679438E-2</v>
      </c>
      <c r="I289" s="3">
        <f t="shared" si="271"/>
        <v>5.4802384041392651E-4</v>
      </c>
      <c r="J289" s="3">
        <f t="shared" si="271"/>
        <v>4.4577931239926676E-22</v>
      </c>
      <c r="K289" s="3">
        <f t="shared" si="271"/>
        <v>5.6535923674074468E-203</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2.8569533110663743E-2</v>
      </c>
      <c r="C290" s="3">
        <f t="shared" si="272"/>
        <v>2.8569522375807954E-2</v>
      </c>
      <c r="D290" s="3">
        <f t="shared" si="272"/>
        <v>2.8569415027471907E-2</v>
      </c>
      <c r="E290" s="3">
        <f t="shared" si="272"/>
        <v>2.8568341566295712E-2</v>
      </c>
      <c r="F290" s="3">
        <f t="shared" si="272"/>
        <v>2.8557609172653969E-2</v>
      </c>
      <c r="G290" s="3">
        <f t="shared" si="272"/>
        <v>2.8450506740188133E-2</v>
      </c>
      <c r="H290" s="3">
        <f t="shared" si="272"/>
        <v>2.7401327933988112E-2</v>
      </c>
      <c r="I290" s="3">
        <f t="shared" si="272"/>
        <v>1.8818614753083676E-2</v>
      </c>
      <c r="J290" s="3">
        <f t="shared" si="272"/>
        <v>4.3928671085615432E-4</v>
      </c>
      <c r="K290" s="3">
        <f t="shared" si="272"/>
        <v>2.110338889710502E-20</v>
      </c>
      <c r="L290" s="3">
        <f t="shared" si="272"/>
        <v>1.381635779956385E-183</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3.8494836977597181E-2</v>
      </c>
      <c r="C291" s="3">
        <f t="shared" si="273"/>
        <v>3.8494835672802367E-2</v>
      </c>
      <c r="D291" s="3">
        <f t="shared" si="273"/>
        <v>3.8494822624856678E-2</v>
      </c>
      <c r="E291" s="3">
        <f t="shared" si="273"/>
        <v>3.8494692145643002E-2</v>
      </c>
      <c r="F291" s="3">
        <f t="shared" si="273"/>
        <v>3.8493387377830479E-2</v>
      </c>
      <c r="G291" s="3">
        <f t="shared" si="273"/>
        <v>3.8480342131820465E-2</v>
      </c>
      <c r="H291" s="3">
        <f t="shared" si="273"/>
        <v>3.8350132578501721E-2</v>
      </c>
      <c r="I291" s="3">
        <f t="shared" si="273"/>
        <v>3.7072025829796275E-2</v>
      </c>
      <c r="J291" s="3">
        <f t="shared" si="273"/>
        <v>2.6414403805583402E-2</v>
      </c>
      <c r="K291" s="3">
        <f t="shared" si="273"/>
        <v>8.9081136662242212E-4</v>
      </c>
      <c r="L291" s="3">
        <f t="shared" si="273"/>
        <v>1.6952553423950462E-18</v>
      </c>
      <c r="M291" s="3">
        <f t="shared" si="273"/>
        <v>1.0561578690343701E-165</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2.5401059486508917E-2</v>
      </c>
      <c r="C292" s="3">
        <f t="shared" si="274"/>
        <v>2.5401059408841627E-2</v>
      </c>
      <c r="D292" s="3">
        <f t="shared" si="274"/>
        <v>2.5401058632168714E-2</v>
      </c>
      <c r="E292" s="3">
        <f t="shared" si="274"/>
        <v>2.5401050865440901E-2</v>
      </c>
      <c r="F292" s="3">
        <f t="shared" si="274"/>
        <v>2.5400973198293385E-2</v>
      </c>
      <c r="G292" s="3">
        <f t="shared" si="274"/>
        <v>2.5400196539879377E-2</v>
      </c>
      <c r="H292" s="3">
        <f t="shared" si="274"/>
        <v>2.5392431261707493E-2</v>
      </c>
      <c r="I292" s="3">
        <f t="shared" si="274"/>
        <v>2.5314908929181177E-2</v>
      </c>
      <c r="J292" s="3">
        <f t="shared" si="274"/>
        <v>2.455258414175706E-2</v>
      </c>
      <c r="K292" s="3">
        <f t="shared" si="274"/>
        <v>1.8084462071830631E-2</v>
      </c>
      <c r="L292" s="3">
        <f t="shared" si="274"/>
        <v>8.499423419301435E-4</v>
      </c>
      <c r="M292" s="3">
        <f t="shared" si="274"/>
        <v>4.4691832939486411E-17</v>
      </c>
      <c r="N292" s="3">
        <f t="shared" si="274"/>
        <v>7.221296571613356E-150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2.8782781460273979E-2</v>
      </c>
      <c r="C293" s="3">
        <f t="shared" si="275"/>
        <v>2.8782781452334979E-2</v>
      </c>
      <c r="D293" s="3">
        <f t="shared" si="275"/>
        <v>2.8782781372945002E-2</v>
      </c>
      <c r="E293" s="3">
        <f t="shared" si="275"/>
        <v>2.8782780579045229E-2</v>
      </c>
      <c r="F293" s="3">
        <f t="shared" si="275"/>
        <v>2.8782772640048682E-2</v>
      </c>
      <c r="G293" s="3">
        <f t="shared" si="275"/>
        <v>2.8782693250203686E-2</v>
      </c>
      <c r="H293" s="3">
        <f t="shared" si="275"/>
        <v>2.8781899363797318E-2</v>
      </c>
      <c r="I293" s="3">
        <f t="shared" si="275"/>
        <v>2.8773961703970886E-2</v>
      </c>
      <c r="J293" s="3">
        <f t="shared" si="275"/>
        <v>2.8694705406623347E-2</v>
      </c>
      <c r="K293" s="3">
        <f t="shared" si="275"/>
        <v>2.7914050652172451E-2</v>
      </c>
      <c r="L293" s="3">
        <f t="shared" si="275"/>
        <v>2.118525911138314E-2</v>
      </c>
      <c r="M293" s="3">
        <f t="shared" si="275"/>
        <v>1.3432070389176182E-3</v>
      </c>
      <c r="N293" s="3">
        <f t="shared" si="275"/>
        <v>1.4100507631056195E-15</v>
      </c>
      <c r="O293" s="3">
        <f t="shared" si="275"/>
        <v>2.291672942953018E-135</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2.5701296027630285E-2</v>
      </c>
      <c r="C294" s="3">
        <f t="shared" si="276"/>
        <v>2.5701296026990793E-2</v>
      </c>
      <c r="D294" s="3">
        <f t="shared" si="276"/>
        <v>2.5701296020595885E-2</v>
      </c>
      <c r="E294" s="3">
        <f t="shared" si="276"/>
        <v>2.5701295956646768E-2</v>
      </c>
      <c r="F294" s="3">
        <f t="shared" si="276"/>
        <v>2.5701295317155624E-2</v>
      </c>
      <c r="G294" s="3">
        <f t="shared" si="276"/>
        <v>2.5701288922245068E-2</v>
      </c>
      <c r="H294" s="3">
        <f t="shared" si="276"/>
        <v>2.5701224973227008E-2</v>
      </c>
      <c r="I294" s="3">
        <f t="shared" si="276"/>
        <v>2.5700585491797719E-2</v>
      </c>
      <c r="J294" s="3">
        <f t="shared" si="276"/>
        <v>2.5694191552553716E-2</v>
      </c>
      <c r="K294" s="3">
        <f t="shared" si="276"/>
        <v>2.5630339584498365E-2</v>
      </c>
      <c r="L294" s="3">
        <f t="shared" si="276"/>
        <v>2.5000482390480763E-2</v>
      </c>
      <c r="M294" s="3">
        <f t="shared" si="276"/>
        <v>1.949344831960895E-2</v>
      </c>
      <c r="N294" s="3">
        <f t="shared" si="276"/>
        <v>1.6191664463601672E-3</v>
      </c>
      <c r="O294" s="3">
        <f t="shared" si="276"/>
        <v>2.5311608229772272E-14</v>
      </c>
      <c r="P294" s="3">
        <f t="shared" si="276"/>
        <v>2.2059831171951635E-122</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2.9863008376260016E-2</v>
      </c>
      <c r="C295" s="3">
        <f t="shared" si="277"/>
        <v>2.9863008376192986E-2</v>
      </c>
      <c r="D295" s="3">
        <f t="shared" si="277"/>
        <v>2.98630083755227E-2</v>
      </c>
      <c r="E295" s="3">
        <f t="shared" si="277"/>
        <v>2.9863008368819846E-2</v>
      </c>
      <c r="F295" s="3">
        <f t="shared" si="277"/>
        <v>2.9863008301791324E-2</v>
      </c>
      <c r="G295" s="3">
        <f t="shared" si="277"/>
        <v>2.9863007631506077E-2</v>
      </c>
      <c r="H295" s="3">
        <f t="shared" si="277"/>
        <v>2.986300092865448E-2</v>
      </c>
      <c r="I295" s="3">
        <f t="shared" si="277"/>
        <v>2.9862933900221246E-2</v>
      </c>
      <c r="J295" s="3">
        <f t="shared" si="277"/>
        <v>2.9862263624163412E-2</v>
      </c>
      <c r="K295" s="3">
        <f t="shared" si="277"/>
        <v>2.9855561690971522E-2</v>
      </c>
      <c r="L295" s="3">
        <f t="shared" si="277"/>
        <v>2.9788625029022995E-2</v>
      </c>
      <c r="M295" s="3">
        <f t="shared" si="277"/>
        <v>2.9127457161279683E-2</v>
      </c>
      <c r="N295" s="3">
        <f t="shared" si="277"/>
        <v>2.3271464632062294E-2</v>
      </c>
      <c r="O295" s="3">
        <f t="shared" si="277"/>
        <v>2.4662390379106805E-3</v>
      </c>
      <c r="P295" s="3">
        <f t="shared" si="277"/>
        <v>4.4070672136019667E-13</v>
      </c>
      <c r="Q295" s="3">
        <f t="shared" si="277"/>
        <v>1.4631698264462315E-110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2.3136710280310196E-2</v>
      </c>
      <c r="C296" s="3">
        <f t="shared" si="278"/>
        <v>2.3136710280305513E-2</v>
      </c>
      <c r="D296" s="3">
        <f t="shared" si="278"/>
        <v>2.3136710280258665E-2</v>
      </c>
      <c r="E296" s="3">
        <f t="shared" si="278"/>
        <v>2.3136710279790203E-2</v>
      </c>
      <c r="F296" s="3">
        <f t="shared" si="278"/>
        <v>2.3136710275105582E-2</v>
      </c>
      <c r="G296" s="3">
        <f t="shared" si="278"/>
        <v>2.3136710228259388E-2</v>
      </c>
      <c r="H296" s="3">
        <f t="shared" si="278"/>
        <v>2.3136709759797463E-2</v>
      </c>
      <c r="I296" s="3">
        <f t="shared" si="278"/>
        <v>2.3136705075178704E-2</v>
      </c>
      <c r="J296" s="3">
        <f t="shared" si="278"/>
        <v>2.3136658229043275E-2</v>
      </c>
      <c r="K296" s="3">
        <f t="shared" si="278"/>
        <v>2.3136189772905814E-2</v>
      </c>
      <c r="L296" s="3">
        <f t="shared" si="278"/>
        <v>2.3131505733174389E-2</v>
      </c>
      <c r="M296" s="3">
        <f t="shared" si="278"/>
        <v>2.3084717461121278E-2</v>
      </c>
      <c r="N296" s="3">
        <f t="shared" si="278"/>
        <v>2.2622008427146255E-2</v>
      </c>
      <c r="O296" s="3">
        <f t="shared" si="278"/>
        <v>1.8475539254734531E-2</v>
      </c>
      <c r="P296" s="3">
        <f t="shared" si="278"/>
        <v>2.4392524905383329E-3</v>
      </c>
      <c r="Q296" s="3">
        <f t="shared" si="278"/>
        <v>3.9251214197695877E-12</v>
      </c>
      <c r="R296" s="3">
        <f t="shared" si="278"/>
        <v>4.5689508110206878E-100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3.732262914791646E-2</v>
      </c>
      <c r="C297" s="3">
        <f t="shared" si="279"/>
        <v>3.732262914791578E-2</v>
      </c>
      <c r="D297" s="3">
        <f t="shared" si="279"/>
        <v>3.7322629147908959E-2</v>
      </c>
      <c r="E297" s="3">
        <f t="shared" si="279"/>
        <v>3.7322629147840791E-2</v>
      </c>
      <c r="F297" s="3">
        <f t="shared" si="279"/>
        <v>3.7322629147159093E-2</v>
      </c>
      <c r="G297" s="3">
        <f t="shared" si="279"/>
        <v>3.7322629140342123E-2</v>
      </c>
      <c r="H297" s="3">
        <f t="shared" si="279"/>
        <v>3.7322629072172403E-2</v>
      </c>
      <c r="I297" s="3">
        <f t="shared" si="279"/>
        <v>3.7322628390475197E-2</v>
      </c>
      <c r="J297" s="3">
        <f t="shared" si="279"/>
        <v>3.7322621573503821E-2</v>
      </c>
      <c r="K297" s="3">
        <f t="shared" si="279"/>
        <v>3.7322553403858517E-2</v>
      </c>
      <c r="L297" s="3">
        <f t="shared" si="279"/>
        <v>3.7321871714253614E-2</v>
      </c>
      <c r="M297" s="3">
        <f t="shared" si="279"/>
        <v>3.7315055502968535E-2</v>
      </c>
      <c r="N297" s="3">
        <f t="shared" si="279"/>
        <v>3.7246961820258585E-2</v>
      </c>
      <c r="O297" s="3">
        <f t="shared" si="279"/>
        <v>3.6572821986922244E-2</v>
      </c>
      <c r="P297" s="3">
        <f t="shared" si="279"/>
        <v>3.0467348179343979E-2</v>
      </c>
      <c r="Q297" s="3">
        <f t="shared" si="279"/>
        <v>4.9045197910721032E-3</v>
      </c>
      <c r="R297" s="3">
        <f t="shared" si="279"/>
        <v>5.730794667918108E-11</v>
      </c>
      <c r="S297" s="3">
        <f t="shared" si="279"/>
        <v>2.7189324365554899E-90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3.2712076759715762E-2</v>
      </c>
      <c r="C298" s="3">
        <f t="shared" si="280"/>
        <v>3.2712076759715714E-2</v>
      </c>
      <c r="D298" s="3">
        <f t="shared" si="280"/>
        <v>3.2712076759715172E-2</v>
      </c>
      <c r="E298" s="3">
        <f t="shared" si="280"/>
        <v>3.2712076759709781E-2</v>
      </c>
      <c r="F298" s="3">
        <f t="shared" si="280"/>
        <v>3.271207675965588E-2</v>
      </c>
      <c r="G298" s="3">
        <f t="shared" si="280"/>
        <v>3.2712076759116901E-2</v>
      </c>
      <c r="H298" s="3">
        <f t="shared" si="280"/>
        <v>3.2712076753727087E-2</v>
      </c>
      <c r="I298" s="3">
        <f t="shared" si="280"/>
        <v>3.2712076699828917E-2</v>
      </c>
      <c r="J298" s="3">
        <f t="shared" si="280"/>
        <v>3.2712076160847252E-2</v>
      </c>
      <c r="K298" s="3">
        <f t="shared" si="280"/>
        <v>3.2712070771031075E-2</v>
      </c>
      <c r="L298" s="3">
        <f t="shared" si="280"/>
        <v>3.2712016872918172E-2</v>
      </c>
      <c r="M298" s="3">
        <f t="shared" si="280"/>
        <v>3.2711477896673405E-2</v>
      </c>
      <c r="N298" s="3">
        <f t="shared" si="280"/>
        <v>3.2706088622622954E-2</v>
      </c>
      <c r="O298" s="3">
        <f t="shared" si="280"/>
        <v>3.2652244692075512E-2</v>
      </c>
      <c r="P298" s="3">
        <f t="shared" si="280"/>
        <v>3.2118656756898664E-2</v>
      </c>
      <c r="Q298" s="3">
        <f t="shared" si="280"/>
        <v>2.7239597919023546E-2</v>
      </c>
      <c r="R298" s="3">
        <f t="shared" si="280"/>
        <v>5.2436521911166682E-3</v>
      </c>
      <c r="S298" s="3">
        <f t="shared" si="280"/>
        <v>3.6640865584019463E-10</v>
      </c>
      <c r="T298" s="3">
        <f t="shared" si="280"/>
        <v>1.0169139309464069E-81</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4.2271951558424573E-2</v>
      </c>
      <c r="C299" s="3">
        <f t="shared" si="281"/>
        <v>4.2271951558424566E-2</v>
      </c>
      <c r="D299" s="3">
        <f t="shared" si="281"/>
        <v>4.2271951558424503E-2</v>
      </c>
      <c r="E299" s="3">
        <f t="shared" si="281"/>
        <v>4.2271951558423872E-2</v>
      </c>
      <c r="F299" s="3">
        <f t="shared" si="281"/>
        <v>4.2271951558417592E-2</v>
      </c>
      <c r="G299" s="3">
        <f t="shared" si="281"/>
        <v>4.227195155835476E-2</v>
      </c>
      <c r="H299" s="3">
        <f t="shared" si="281"/>
        <v>4.2271951557726464E-2</v>
      </c>
      <c r="I299" s="3">
        <f t="shared" si="281"/>
        <v>4.2271951551443497E-2</v>
      </c>
      <c r="J299" s="3">
        <f t="shared" si="281"/>
        <v>4.2271951488613832E-2</v>
      </c>
      <c r="K299" s="3">
        <f t="shared" si="281"/>
        <v>4.2271950860317146E-2</v>
      </c>
      <c r="L299" s="3">
        <f t="shared" si="281"/>
        <v>4.2271944577350846E-2</v>
      </c>
      <c r="M299" s="3">
        <f t="shared" si="281"/>
        <v>4.2271881747739222E-2</v>
      </c>
      <c r="N299" s="3">
        <f t="shared" si="281"/>
        <v>4.2271253456759118E-2</v>
      </c>
      <c r="O299" s="3">
        <f t="shared" si="281"/>
        <v>4.2264971060544318E-2</v>
      </c>
      <c r="P299" s="3">
        <f t="shared" si="281"/>
        <v>4.2202198428789098E-2</v>
      </c>
      <c r="Q299" s="3">
        <f t="shared" si="281"/>
        <v>4.1579577033830896E-2</v>
      </c>
      <c r="R299" s="3">
        <f t="shared" si="281"/>
        <v>3.5836863087209701E-2</v>
      </c>
      <c r="S299" s="3">
        <f t="shared" si="281"/>
        <v>8.1064216718128492E-3</v>
      </c>
      <c r="T299" s="3">
        <f t="shared" si="281"/>
        <v>2.8432904257830693E-9</v>
      </c>
      <c r="U299" s="3">
        <f t="shared" si="281"/>
        <v>8.0120110969073097E-74</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4.6527520280984086E-2</v>
      </c>
      <c r="C300" s="3">
        <f t="shared" si="282"/>
        <v>4.6527520280984086E-2</v>
      </c>
      <c r="D300" s="3">
        <f t="shared" si="282"/>
        <v>4.6527520280984079E-2</v>
      </c>
      <c r="E300" s="3">
        <f t="shared" si="282"/>
        <v>4.6527520280984017E-2</v>
      </c>
      <c r="F300" s="3">
        <f t="shared" si="282"/>
        <v>4.6527520280983392E-2</v>
      </c>
      <c r="G300" s="3">
        <f t="shared" si="282"/>
        <v>4.6527520280977154E-2</v>
      </c>
      <c r="H300" s="3">
        <f t="shared" si="282"/>
        <v>4.6527520280914766E-2</v>
      </c>
      <c r="I300" s="3">
        <f t="shared" si="282"/>
        <v>4.6527520280290939E-2</v>
      </c>
      <c r="J300" s="3">
        <f t="shared" si="282"/>
        <v>4.6527520274052603E-2</v>
      </c>
      <c r="K300" s="3">
        <f t="shared" si="282"/>
        <v>4.6527520211669206E-2</v>
      </c>
      <c r="L300" s="3">
        <f t="shared" si="282"/>
        <v>4.6527519587835318E-2</v>
      </c>
      <c r="M300" s="3">
        <f t="shared" si="282"/>
        <v>4.6527513349496855E-2</v>
      </c>
      <c r="N300" s="3">
        <f t="shared" si="282"/>
        <v>4.6527450966158228E-2</v>
      </c>
      <c r="O300" s="3">
        <f t="shared" si="282"/>
        <v>4.6526827137372287E-2</v>
      </c>
      <c r="P300" s="3">
        <f t="shared" si="282"/>
        <v>4.6520589309522409E-2</v>
      </c>
      <c r="Q300" s="3">
        <f t="shared" si="282"/>
        <v>4.6458257009159239E-2</v>
      </c>
      <c r="R300" s="3">
        <f t="shared" si="282"/>
        <v>4.5839509091356347E-2</v>
      </c>
      <c r="S300" s="3">
        <f t="shared" si="282"/>
        <v>4.008763320914039E-2</v>
      </c>
      <c r="T300" s="3">
        <f t="shared" si="282"/>
        <v>1.0488538987101391E-2</v>
      </c>
      <c r="U300" s="3">
        <f t="shared" si="282"/>
        <v>1.576742612054405E-8</v>
      </c>
      <c r="V300" s="3">
        <f t="shared" si="282"/>
        <v>9.2943470209828926E-67</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5.951973770461929E-2</v>
      </c>
      <c r="C301" s="3">
        <f t="shared" si="283"/>
        <v>5.951973770461929E-2</v>
      </c>
      <c r="D301" s="3">
        <f t="shared" si="283"/>
        <v>5.951973770461929E-2</v>
      </c>
      <c r="E301" s="3">
        <f t="shared" si="283"/>
        <v>5.9519737704619283E-2</v>
      </c>
      <c r="F301" s="3">
        <f t="shared" si="283"/>
        <v>5.9519737704619213E-2</v>
      </c>
      <c r="G301" s="3">
        <f t="shared" si="283"/>
        <v>5.9519737704618492E-2</v>
      </c>
      <c r="H301" s="3">
        <f t="shared" si="283"/>
        <v>5.9519737704611296E-2</v>
      </c>
      <c r="I301" s="3">
        <f t="shared" si="283"/>
        <v>5.9519737704539298E-2</v>
      </c>
      <c r="J301" s="3">
        <f t="shared" si="283"/>
        <v>5.9519737703819409E-2</v>
      </c>
      <c r="K301" s="3">
        <f t="shared" si="283"/>
        <v>5.9519737696620501E-2</v>
      </c>
      <c r="L301" s="3">
        <f t="shared" si="283"/>
        <v>5.9519737624631412E-2</v>
      </c>
      <c r="M301" s="3">
        <f t="shared" si="283"/>
        <v>5.9519736904740557E-2</v>
      </c>
      <c r="N301" s="3">
        <f t="shared" si="283"/>
        <v>5.9519729705832448E-2</v>
      </c>
      <c r="O301" s="3">
        <f t="shared" si="283"/>
        <v>5.9519657716799283E-2</v>
      </c>
      <c r="P301" s="3">
        <f t="shared" si="283"/>
        <v>5.9518937831256467E-2</v>
      </c>
      <c r="Q301" s="3">
        <f t="shared" si="283"/>
        <v>5.951173945469368E-2</v>
      </c>
      <c r="R301" s="3">
        <f t="shared" si="283"/>
        <v>5.9439803554177439E-2</v>
      </c>
      <c r="S301" s="3">
        <f t="shared" si="283"/>
        <v>5.8725209708960106E-2</v>
      </c>
      <c r="T301" s="3">
        <f t="shared" si="283"/>
        <v>5.2035134958046118E-2</v>
      </c>
      <c r="U301" s="3">
        <f t="shared" si="283"/>
        <v>1.5524505474872483E-2</v>
      </c>
      <c r="V301" s="3">
        <f t="shared" si="283"/>
        <v>8.6741848010112582E-8</v>
      </c>
      <c r="W301" s="3">
        <f t="shared" si="283"/>
        <v>2.5723948196220651E-60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8.0489091133812765E-2</v>
      </c>
      <c r="C302" s="3">
        <f t="shared" si="284"/>
        <v>8.0489091133812765E-2</v>
      </c>
      <c r="D302" s="3">
        <f t="shared" si="284"/>
        <v>8.0489091133812765E-2</v>
      </c>
      <c r="E302" s="3">
        <f t="shared" si="284"/>
        <v>8.0489091133812765E-2</v>
      </c>
      <c r="F302" s="3">
        <f t="shared" si="284"/>
        <v>8.0489091133812751E-2</v>
      </c>
      <c r="G302" s="3">
        <f t="shared" si="284"/>
        <v>8.0489091133812668E-2</v>
      </c>
      <c r="H302" s="3">
        <f t="shared" si="284"/>
        <v>8.0489091133811794E-2</v>
      </c>
      <c r="I302" s="3">
        <f t="shared" si="284"/>
        <v>8.0489091133803009E-2</v>
      </c>
      <c r="J302" s="3">
        <f t="shared" si="284"/>
        <v>8.048909113371519E-2</v>
      </c>
      <c r="K302" s="3">
        <f t="shared" si="284"/>
        <v>8.0489091132837004E-2</v>
      </c>
      <c r="L302" s="3">
        <f t="shared" si="284"/>
        <v>8.0489091124055084E-2</v>
      </c>
      <c r="M302" s="3">
        <f t="shared" si="284"/>
        <v>8.048909103623593E-2</v>
      </c>
      <c r="N302" s="3">
        <f t="shared" si="284"/>
        <v>8.0489090158044355E-2</v>
      </c>
      <c r="O302" s="3">
        <f t="shared" si="284"/>
        <v>8.048908137612916E-2</v>
      </c>
      <c r="P302" s="3">
        <f t="shared" si="284"/>
        <v>8.0488993557029959E-2</v>
      </c>
      <c r="Q302" s="3">
        <f t="shared" si="284"/>
        <v>8.0488115371307803E-2</v>
      </c>
      <c r="R302" s="3">
        <f t="shared" si="284"/>
        <v>8.0479334041054854E-2</v>
      </c>
      <c r="S302" s="3">
        <f t="shared" si="284"/>
        <v>8.0391573414115985E-2</v>
      </c>
      <c r="T302" s="3">
        <f t="shared" si="284"/>
        <v>7.9519213500811953E-2</v>
      </c>
      <c r="U302" s="3">
        <f t="shared" si="284"/>
        <v>7.1299674684244072E-2</v>
      </c>
      <c r="V302" s="3">
        <f t="shared" si="284"/>
        <v>2.3946512451954456E-2</v>
      </c>
      <c r="W302" s="3">
        <f t="shared" si="284"/>
        <v>4.3731010217210417E-7</v>
      </c>
      <c r="X302" s="3">
        <f t="shared" si="284"/>
        <v>1.8041053259095401E-54</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6.5723461611377515E-2</v>
      </c>
      <c r="C303" s="3">
        <f t="shared" si="285"/>
        <v>6.5723461611377515E-2</v>
      </c>
      <c r="D303" s="3">
        <f t="shared" si="285"/>
        <v>6.5723461611377515E-2</v>
      </c>
      <c r="E303" s="3">
        <f t="shared" si="285"/>
        <v>6.5723461611377515E-2</v>
      </c>
      <c r="F303" s="3">
        <f t="shared" si="285"/>
        <v>6.5723461611377515E-2</v>
      </c>
      <c r="G303" s="3">
        <f t="shared" si="285"/>
        <v>6.5723461611377501E-2</v>
      </c>
      <c r="H303" s="3">
        <f t="shared" si="285"/>
        <v>6.5723461611377446E-2</v>
      </c>
      <c r="I303" s="3">
        <f t="shared" si="285"/>
        <v>6.5723461611376793E-2</v>
      </c>
      <c r="J303" s="3">
        <f t="shared" si="285"/>
        <v>6.5723461611370326E-2</v>
      </c>
      <c r="K303" s="3">
        <f t="shared" si="285"/>
        <v>6.5723461611305642E-2</v>
      </c>
      <c r="L303" s="3">
        <f t="shared" si="285"/>
        <v>6.572346161065877E-2</v>
      </c>
      <c r="M303" s="3">
        <f t="shared" si="285"/>
        <v>6.5723461604190042E-2</v>
      </c>
      <c r="N303" s="3">
        <f t="shared" si="285"/>
        <v>6.5723461539502689E-2</v>
      </c>
      <c r="O303" s="3">
        <f t="shared" si="285"/>
        <v>6.5723460892629343E-2</v>
      </c>
      <c r="P303" s="3">
        <f t="shared" si="285"/>
        <v>6.5723454423896155E-2</v>
      </c>
      <c r="Q303" s="3">
        <f t="shared" si="285"/>
        <v>6.5723389736599303E-2</v>
      </c>
      <c r="R303" s="3">
        <f t="shared" si="285"/>
        <v>6.5722742867132478E-2</v>
      </c>
      <c r="S303" s="3">
        <f t="shared" si="285"/>
        <v>6.5716274522621534E-2</v>
      </c>
      <c r="T303" s="3">
        <f t="shared" si="285"/>
        <v>6.5651626080496434E-2</v>
      </c>
      <c r="U303" s="3">
        <f t="shared" si="285"/>
        <v>6.5008629244236893E-2</v>
      </c>
      <c r="V303" s="3">
        <f t="shared" si="285"/>
        <v>5.8915046227244056E-2</v>
      </c>
      <c r="W303" s="3">
        <f t="shared" si="285"/>
        <v>2.2018025152548727E-2</v>
      </c>
      <c r="X303" s="3">
        <f t="shared" si="285"/>
        <v>1.1703069139416377E-6</v>
      </c>
      <c r="Y303" s="3">
        <f t="shared" si="285"/>
        <v>2.1062690361582841E-49</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5.0766006496314589E-2</v>
      </c>
      <c r="C304" s="3">
        <f t="shared" si="286"/>
        <v>5.0766006496314589E-2</v>
      </c>
      <c r="D304" s="3">
        <f t="shared" si="286"/>
        <v>5.0766006496314589E-2</v>
      </c>
      <c r="E304" s="3">
        <f t="shared" si="286"/>
        <v>5.0766006496314589E-2</v>
      </c>
      <c r="F304" s="3">
        <f t="shared" si="286"/>
        <v>5.0766006496314589E-2</v>
      </c>
      <c r="G304" s="3">
        <f t="shared" si="286"/>
        <v>5.0766006496314589E-2</v>
      </c>
      <c r="H304" s="3">
        <f t="shared" si="286"/>
        <v>5.0766006496314582E-2</v>
      </c>
      <c r="I304" s="3">
        <f t="shared" si="286"/>
        <v>5.076600649631454E-2</v>
      </c>
      <c r="J304" s="3">
        <f t="shared" si="286"/>
        <v>5.0766006496314089E-2</v>
      </c>
      <c r="K304" s="3">
        <f t="shared" si="286"/>
        <v>5.0766006496309579E-2</v>
      </c>
      <c r="L304" s="3">
        <f t="shared" si="286"/>
        <v>5.0766006496264504E-2</v>
      </c>
      <c r="M304" s="3">
        <f t="shared" si="286"/>
        <v>5.0766006495813774E-2</v>
      </c>
      <c r="N304" s="3">
        <f t="shared" si="286"/>
        <v>5.0766006491306456E-2</v>
      </c>
      <c r="O304" s="3">
        <f t="shared" si="286"/>
        <v>5.0766006446233254E-2</v>
      </c>
      <c r="P304" s="3">
        <f t="shared" si="286"/>
        <v>5.0766005995501219E-2</v>
      </c>
      <c r="Q304" s="3">
        <f t="shared" si="286"/>
        <v>5.0766001488181098E-2</v>
      </c>
      <c r="R304" s="3">
        <f t="shared" si="286"/>
        <v>5.0765956415001937E-2</v>
      </c>
      <c r="S304" s="3">
        <f t="shared" si="286"/>
        <v>5.0765505685411327E-2</v>
      </c>
      <c r="T304" s="3">
        <f t="shared" si="286"/>
        <v>5.0760998609600518E-2</v>
      </c>
      <c r="U304" s="3">
        <f t="shared" si="286"/>
        <v>5.0715949853789868E-2</v>
      </c>
      <c r="V304" s="3">
        <f t="shared" si="286"/>
        <v>5.0267655314610325E-2</v>
      </c>
      <c r="W304" s="3">
        <f t="shared" si="286"/>
        <v>4.5996975462965953E-2</v>
      </c>
      <c r="X304" s="3">
        <f t="shared" si="286"/>
        <v>1.892935195722591E-2</v>
      </c>
      <c r="Y304" s="3">
        <f t="shared" si="286"/>
        <v>2.6375484933163056E-6</v>
      </c>
      <c r="Z304" s="3">
        <f t="shared" si="286"/>
        <v>7.2752433229269608E-45</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2.7257633093652572E-2</v>
      </c>
      <c r="C305" s="3">
        <f t="shared" si="287"/>
        <v>2.7257633093652572E-2</v>
      </c>
      <c r="D305" s="3">
        <f t="shared" si="287"/>
        <v>2.7257633093652572E-2</v>
      </c>
      <c r="E305" s="3">
        <f t="shared" si="287"/>
        <v>2.7257633093652572E-2</v>
      </c>
      <c r="F305" s="3">
        <f t="shared" si="287"/>
        <v>2.7257633093652572E-2</v>
      </c>
      <c r="G305" s="3">
        <f t="shared" si="287"/>
        <v>2.7257633093652572E-2</v>
      </c>
      <c r="H305" s="3">
        <f t="shared" si="287"/>
        <v>2.7257633093652572E-2</v>
      </c>
      <c r="I305" s="3">
        <f t="shared" si="287"/>
        <v>2.7257633093652568E-2</v>
      </c>
      <c r="J305" s="3">
        <f t="shared" si="287"/>
        <v>2.7257633093652547E-2</v>
      </c>
      <c r="K305" s="3">
        <f t="shared" si="287"/>
        <v>2.7257633093652329E-2</v>
      </c>
      <c r="L305" s="3">
        <f t="shared" si="287"/>
        <v>2.7257633093650143E-2</v>
      </c>
      <c r="M305" s="3">
        <f t="shared" si="287"/>
        <v>2.7257633093628313E-2</v>
      </c>
      <c r="N305" s="3">
        <f t="shared" si="287"/>
        <v>2.7257633093410002E-2</v>
      </c>
      <c r="O305" s="3">
        <f t="shared" si="287"/>
        <v>2.725763309122687E-2</v>
      </c>
      <c r="P305" s="3">
        <f t="shared" si="287"/>
        <v>2.7257633069395541E-2</v>
      </c>
      <c r="Q305" s="3">
        <f t="shared" si="287"/>
        <v>2.7257632851082261E-2</v>
      </c>
      <c r="R305" s="3">
        <f t="shared" si="287"/>
        <v>2.7257630667949548E-2</v>
      </c>
      <c r="S305" s="3">
        <f t="shared" si="287"/>
        <v>2.7257608836632048E-2</v>
      </c>
      <c r="T305" s="3">
        <f t="shared" si="287"/>
        <v>2.7257390524418758E-2</v>
      </c>
      <c r="U305" s="3">
        <f t="shared" si="287"/>
        <v>2.7255207498451603E-2</v>
      </c>
      <c r="V305" s="3">
        <f t="shared" si="287"/>
        <v>2.7233386852508992E-2</v>
      </c>
      <c r="W305" s="3">
        <f t="shared" si="287"/>
        <v>2.701613892311628E-2</v>
      </c>
      <c r="X305" s="3">
        <f t="shared" si="287"/>
        <v>2.4936731933434965E-2</v>
      </c>
      <c r="Y305" s="3">
        <f t="shared" si="287"/>
        <v>1.1194432835023877E-2</v>
      </c>
      <c r="Z305" s="3">
        <f t="shared" si="287"/>
        <v>3.7207259030024008E-6</v>
      </c>
      <c r="AA305" s="3">
        <f t="shared" si="287"/>
        <v>6.1218615791829502E-41</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1.5460526055255958E-2</v>
      </c>
      <c r="C306" s="3">
        <f t="shared" si="288"/>
        <v>1.5460526055255958E-2</v>
      </c>
      <c r="D306" s="3">
        <f t="shared" si="288"/>
        <v>1.5460526055255958E-2</v>
      </c>
      <c r="E306" s="3">
        <f t="shared" si="288"/>
        <v>1.5460526055255958E-2</v>
      </c>
      <c r="F306" s="3">
        <f t="shared" si="288"/>
        <v>1.5460526055255958E-2</v>
      </c>
      <c r="G306" s="3">
        <f t="shared" si="288"/>
        <v>1.5460526055255958E-2</v>
      </c>
      <c r="H306" s="3">
        <f t="shared" si="288"/>
        <v>1.5460526055255958E-2</v>
      </c>
      <c r="I306" s="3">
        <f t="shared" si="288"/>
        <v>1.5460526055255958E-2</v>
      </c>
      <c r="J306" s="3">
        <f t="shared" si="288"/>
        <v>1.5460526055255957E-2</v>
      </c>
      <c r="K306" s="3">
        <f t="shared" si="288"/>
        <v>1.5460526055255946E-2</v>
      </c>
      <c r="L306" s="3">
        <f t="shared" si="288"/>
        <v>1.5460526055255835E-2</v>
      </c>
      <c r="M306" s="3">
        <f t="shared" si="288"/>
        <v>1.5460526055254718E-2</v>
      </c>
      <c r="N306" s="3">
        <f t="shared" si="288"/>
        <v>1.5460526055243546E-2</v>
      </c>
      <c r="O306" s="3">
        <f t="shared" si="288"/>
        <v>1.5460526055131844E-2</v>
      </c>
      <c r="P306" s="3">
        <f t="shared" si="288"/>
        <v>1.5460526054014819E-2</v>
      </c>
      <c r="Q306" s="3">
        <f t="shared" si="288"/>
        <v>1.546052604284457E-2</v>
      </c>
      <c r="R306" s="3">
        <f t="shared" si="288"/>
        <v>1.5460525931142074E-2</v>
      </c>
      <c r="S306" s="3">
        <f t="shared" si="288"/>
        <v>1.5460524814117171E-2</v>
      </c>
      <c r="T306" s="3">
        <f t="shared" si="288"/>
        <v>1.5460513643872572E-2</v>
      </c>
      <c r="U306" s="3">
        <f t="shared" si="288"/>
        <v>1.5460401941870454E-2</v>
      </c>
      <c r="V306" s="3">
        <f t="shared" si="288"/>
        <v>1.5459284966235814E-2</v>
      </c>
      <c r="W306" s="3">
        <f t="shared" si="288"/>
        <v>1.5448119647356868E-2</v>
      </c>
      <c r="X306" s="3">
        <f t="shared" si="288"/>
        <v>1.5336909021354608E-2</v>
      </c>
      <c r="Y306" s="3">
        <f t="shared" si="288"/>
        <v>1.4267898474070589E-2</v>
      </c>
      <c r="Z306" s="3">
        <f t="shared" si="288"/>
        <v>6.9275824073298043E-3</v>
      </c>
      <c r="AA306" s="3">
        <f t="shared" si="288"/>
        <v>5.0442732387007417E-6</v>
      </c>
      <c r="AB306" s="3">
        <f t="shared" si="288"/>
        <v>2.1133315241870685E-37</v>
      </c>
      <c r="AC306" s="3">
        <f t="shared" si="288"/>
        <v>0</v>
      </c>
      <c r="AD306" s="3">
        <f t="shared" si="288"/>
        <v>0</v>
      </c>
      <c r="AE306" s="3">
        <f t="shared" si="288"/>
        <v>0</v>
      </c>
      <c r="AF306" s="3">
        <f t="shared" si="288"/>
        <v>0</v>
      </c>
      <c r="AG306" s="3"/>
      <c r="AH306" s="3"/>
    </row>
    <row r="307" spans="1:34" x14ac:dyDescent="0.25">
      <c r="B307" s="3">
        <f t="shared" ref="B307:AF307" si="289">$C37*EXP(-B$285/$A37/EXP(-$F$126))</f>
        <v>6.5522275925880558E-3</v>
      </c>
      <c r="C307" s="3">
        <f t="shared" si="289"/>
        <v>6.5522275925880558E-3</v>
      </c>
      <c r="D307" s="3">
        <f t="shared" si="289"/>
        <v>6.5522275925880558E-3</v>
      </c>
      <c r="E307" s="3">
        <f t="shared" si="289"/>
        <v>6.5522275925880558E-3</v>
      </c>
      <c r="F307" s="3">
        <f t="shared" si="289"/>
        <v>6.5522275925880558E-3</v>
      </c>
      <c r="G307" s="3">
        <f t="shared" si="289"/>
        <v>6.5522275925880558E-3</v>
      </c>
      <c r="H307" s="3">
        <f t="shared" si="289"/>
        <v>6.5522275925880558E-3</v>
      </c>
      <c r="I307" s="3">
        <f t="shared" si="289"/>
        <v>6.5522275925880558E-3</v>
      </c>
      <c r="J307" s="3">
        <f t="shared" si="289"/>
        <v>6.5522275925880558E-3</v>
      </c>
      <c r="K307" s="3">
        <f t="shared" si="289"/>
        <v>6.5522275925880549E-3</v>
      </c>
      <c r="L307" s="3">
        <f t="shared" si="289"/>
        <v>6.5522275925880506E-3</v>
      </c>
      <c r="M307" s="3">
        <f t="shared" si="289"/>
        <v>6.5522275925880081E-3</v>
      </c>
      <c r="N307" s="3">
        <f t="shared" si="289"/>
        <v>6.5522275925875813E-3</v>
      </c>
      <c r="O307" s="3">
        <f t="shared" si="289"/>
        <v>6.5522275925833104E-3</v>
      </c>
      <c r="P307" s="3">
        <f t="shared" si="289"/>
        <v>6.5522275925406059E-3</v>
      </c>
      <c r="Q307" s="3">
        <f t="shared" si="289"/>
        <v>6.5522275921135603E-3</v>
      </c>
      <c r="R307" s="3">
        <f t="shared" si="289"/>
        <v>6.5522275878431057E-3</v>
      </c>
      <c r="S307" s="3">
        <f t="shared" si="289"/>
        <v>6.5522275451385531E-3</v>
      </c>
      <c r="T307" s="3">
        <f t="shared" si="289"/>
        <v>6.5522271180930474E-3</v>
      </c>
      <c r="U307" s="3">
        <f t="shared" si="289"/>
        <v>6.5522228476395192E-3</v>
      </c>
      <c r="V307" s="3">
        <f t="shared" si="289"/>
        <v>6.5521801432573204E-3</v>
      </c>
      <c r="W307" s="3">
        <f t="shared" si="289"/>
        <v>6.551753114743048E-3</v>
      </c>
      <c r="X307" s="3">
        <f t="shared" si="289"/>
        <v>6.5474843600029399E-3</v>
      </c>
      <c r="Y307" s="3">
        <f t="shared" si="289"/>
        <v>6.5049494844500611E-3</v>
      </c>
      <c r="Z307" s="3">
        <f t="shared" si="289"/>
        <v>6.0945060763769061E-3</v>
      </c>
      <c r="AA307" s="3">
        <f t="shared" si="289"/>
        <v>3.1760283849986532E-3</v>
      </c>
      <c r="AB307" s="3">
        <f t="shared" si="289"/>
        <v>4.6918377269514039E-6</v>
      </c>
      <c r="AC307" s="3">
        <f t="shared" si="289"/>
        <v>2.3223574308014328E-34</v>
      </c>
      <c r="AD307" s="3">
        <f t="shared" si="289"/>
        <v>0</v>
      </c>
      <c r="AE307" s="3">
        <f t="shared" si="289"/>
        <v>0</v>
      </c>
      <c r="AF307" s="3">
        <f t="shared" si="289"/>
        <v>0</v>
      </c>
      <c r="AG307" s="3"/>
      <c r="AH307" s="3"/>
    </row>
    <row r="308" spans="1:34" x14ac:dyDescent="0.25">
      <c r="B308" s="3">
        <f t="shared" ref="B308:AF308" si="290">$C38*EXP(-B$285/$A38/EXP(-$F$126))</f>
        <v>1.7032131485439372E-3</v>
      </c>
      <c r="C308" s="3">
        <f t="shared" si="290"/>
        <v>1.7032131485439372E-3</v>
      </c>
      <c r="D308" s="3">
        <f t="shared" si="290"/>
        <v>1.7032131485439372E-3</v>
      </c>
      <c r="E308" s="3">
        <f t="shared" si="290"/>
        <v>1.7032131485439372E-3</v>
      </c>
      <c r="F308" s="3">
        <f t="shared" si="290"/>
        <v>1.7032131485439372E-3</v>
      </c>
      <c r="G308" s="3">
        <f t="shared" si="290"/>
        <v>1.7032131485439372E-3</v>
      </c>
      <c r="H308" s="3">
        <f t="shared" si="290"/>
        <v>1.7032131485439372E-3</v>
      </c>
      <c r="I308" s="3">
        <f t="shared" si="290"/>
        <v>1.7032131485439372E-3</v>
      </c>
      <c r="J308" s="3">
        <f t="shared" si="290"/>
        <v>1.7032131485439372E-3</v>
      </c>
      <c r="K308" s="3">
        <f t="shared" si="290"/>
        <v>1.7032131485439372E-3</v>
      </c>
      <c r="L308" s="3">
        <f t="shared" si="290"/>
        <v>1.703213148543937E-3</v>
      </c>
      <c r="M308" s="3">
        <f t="shared" si="290"/>
        <v>1.7032131485439361E-3</v>
      </c>
      <c r="N308" s="3">
        <f t="shared" si="290"/>
        <v>1.7032131485439262E-3</v>
      </c>
      <c r="O308" s="3">
        <f t="shared" si="290"/>
        <v>1.703213148543826E-3</v>
      </c>
      <c r="P308" s="3">
        <f t="shared" si="290"/>
        <v>1.7032131485428246E-3</v>
      </c>
      <c r="Q308" s="3">
        <f t="shared" si="290"/>
        <v>1.7032131485328107E-3</v>
      </c>
      <c r="R308" s="3">
        <f t="shared" si="290"/>
        <v>1.7032131484326723E-3</v>
      </c>
      <c r="S308" s="3">
        <f t="shared" si="290"/>
        <v>1.703213147431288E-3</v>
      </c>
      <c r="T308" s="3">
        <f t="shared" si="290"/>
        <v>1.7032131374174447E-3</v>
      </c>
      <c r="U308" s="3">
        <f t="shared" si="290"/>
        <v>1.7032130372790155E-3</v>
      </c>
      <c r="V308" s="3">
        <f t="shared" si="290"/>
        <v>1.7032120358950458E-3</v>
      </c>
      <c r="W308" s="3">
        <f t="shared" si="290"/>
        <v>1.7032020220877307E-3</v>
      </c>
      <c r="X308" s="3">
        <f t="shared" si="290"/>
        <v>1.7031018872526399E-3</v>
      </c>
      <c r="Y308" s="3">
        <f t="shared" si="290"/>
        <v>1.7021008626372141E-3</v>
      </c>
      <c r="Z308" s="3">
        <f t="shared" si="290"/>
        <v>1.6921229197173298E-3</v>
      </c>
      <c r="AA308" s="3">
        <f t="shared" si="290"/>
        <v>1.5955046338614251E-3</v>
      </c>
      <c r="AB308" s="3">
        <f t="shared" si="290"/>
        <v>8.862570204689372E-4</v>
      </c>
      <c r="AC308" s="3">
        <f t="shared" si="290"/>
        <v>2.4784255321525592E-6</v>
      </c>
      <c r="AD308" s="3">
        <f t="shared" si="290"/>
        <v>7.2499954531272365E-32</v>
      </c>
      <c r="AE308" s="3">
        <f t="shared" si="290"/>
        <v>3.3262610617316628E-287</v>
      </c>
      <c r="AF308" s="3">
        <f t="shared" si="290"/>
        <v>0</v>
      </c>
      <c r="AG308" s="3"/>
      <c r="AH308" s="3"/>
    </row>
    <row r="309" spans="1:34" x14ac:dyDescent="0.25">
      <c r="B309" s="3">
        <f t="shared" ref="B309:AF309" si="291">$C39*EXP(-B$285/$A39/EXP(-$F$126))</f>
        <v>4.5350630336780827E-3</v>
      </c>
      <c r="C309" s="3">
        <f t="shared" si="291"/>
        <v>4.5350630336780827E-3</v>
      </c>
      <c r="D309" s="3">
        <f t="shared" si="291"/>
        <v>4.5350630336780827E-3</v>
      </c>
      <c r="E309" s="3">
        <f t="shared" si="291"/>
        <v>4.5350630336780827E-3</v>
      </c>
      <c r="F309" s="3">
        <f t="shared" si="291"/>
        <v>4.5350630336780827E-3</v>
      </c>
      <c r="G309" s="3">
        <f t="shared" si="291"/>
        <v>4.5350630336780827E-3</v>
      </c>
      <c r="H309" s="3">
        <f t="shared" si="291"/>
        <v>4.5350630336780827E-3</v>
      </c>
      <c r="I309" s="3">
        <f t="shared" si="291"/>
        <v>4.5350630336780827E-3</v>
      </c>
      <c r="J309" s="3">
        <f t="shared" si="291"/>
        <v>4.5350630336780827E-3</v>
      </c>
      <c r="K309" s="3">
        <f t="shared" si="291"/>
        <v>4.5350630336780827E-3</v>
      </c>
      <c r="L309" s="3">
        <f t="shared" si="291"/>
        <v>4.5350630336780827E-3</v>
      </c>
      <c r="M309" s="3">
        <f t="shared" si="291"/>
        <v>4.5350630336780818E-3</v>
      </c>
      <c r="N309" s="3">
        <f t="shared" si="291"/>
        <v>4.5350630336780749E-3</v>
      </c>
      <c r="O309" s="3">
        <f t="shared" si="291"/>
        <v>4.5350630336780003E-3</v>
      </c>
      <c r="P309" s="3">
        <f t="shared" si="291"/>
        <v>4.5350630336772639E-3</v>
      </c>
      <c r="Q309" s="3">
        <f t="shared" si="291"/>
        <v>4.5350630336698887E-3</v>
      </c>
      <c r="R309" s="3">
        <f t="shared" si="291"/>
        <v>4.5350630335961447E-3</v>
      </c>
      <c r="S309" s="3">
        <f t="shared" si="291"/>
        <v>4.5350630328587025E-3</v>
      </c>
      <c r="T309" s="3">
        <f t="shared" si="291"/>
        <v>4.5350630254842803E-3</v>
      </c>
      <c r="U309" s="3">
        <f t="shared" si="291"/>
        <v>4.5350629517400629E-3</v>
      </c>
      <c r="V309" s="3">
        <f t="shared" si="291"/>
        <v>4.5350622142979477E-3</v>
      </c>
      <c r="W309" s="3">
        <f t="shared" si="291"/>
        <v>4.5350548398833965E-3</v>
      </c>
      <c r="X309" s="3">
        <f t="shared" si="291"/>
        <v>4.5349810963974122E-3</v>
      </c>
      <c r="Y309" s="3">
        <f t="shared" si="291"/>
        <v>4.5342437274862712E-3</v>
      </c>
      <c r="Z309" s="3">
        <f t="shared" si="291"/>
        <v>4.5268766292795018E-3</v>
      </c>
      <c r="AA309" s="3">
        <f t="shared" si="291"/>
        <v>4.4538607894248688E-3</v>
      </c>
      <c r="AB309" s="3">
        <f t="shared" si="291"/>
        <v>3.7854405963713752E-3</v>
      </c>
      <c r="AC309" s="3">
        <f t="shared" si="291"/>
        <v>7.4458520655501037E-4</v>
      </c>
      <c r="AD309" s="3">
        <f t="shared" si="291"/>
        <v>6.4549678555184868E-11</v>
      </c>
      <c r="AE309" s="3">
        <f t="shared" si="291"/>
        <v>1.547714634347553E-81</v>
      </c>
      <c r="AF309" s="3">
        <f t="shared" si="291"/>
        <v>0</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1.6861233379433117E-3</v>
      </c>
      <c r="C311" s="3">
        <f t="shared" si="293"/>
        <v>1.6861233379433117E-3</v>
      </c>
      <c r="D311" s="3">
        <f t="shared" si="293"/>
        <v>1.6861233379433117E-3</v>
      </c>
      <c r="E311" s="3">
        <f t="shared" si="293"/>
        <v>1.6861233379433117E-3</v>
      </c>
      <c r="F311" s="3">
        <f t="shared" si="293"/>
        <v>1.6861233379433117E-3</v>
      </c>
      <c r="G311" s="3">
        <f t="shared" si="293"/>
        <v>1.6861233379433117E-3</v>
      </c>
      <c r="H311" s="3">
        <f t="shared" si="293"/>
        <v>1.6861233379433117E-3</v>
      </c>
      <c r="I311" s="3">
        <f t="shared" si="293"/>
        <v>1.6861233379433117E-3</v>
      </c>
      <c r="J311" s="3">
        <f t="shared" si="293"/>
        <v>1.6861233379433117E-3</v>
      </c>
      <c r="K311" s="3">
        <f t="shared" si="293"/>
        <v>1.6861233379433117E-3</v>
      </c>
      <c r="L311" s="3">
        <f t="shared" si="293"/>
        <v>1.6861233379433117E-3</v>
      </c>
      <c r="M311" s="3">
        <f t="shared" si="293"/>
        <v>1.6861233379433117E-3</v>
      </c>
      <c r="N311" s="3">
        <f t="shared" si="293"/>
        <v>1.6861233379433117E-3</v>
      </c>
      <c r="O311" s="3">
        <f t="shared" si="293"/>
        <v>1.6861233379433112E-3</v>
      </c>
      <c r="P311" s="3">
        <f t="shared" si="293"/>
        <v>1.6861233379433086E-3</v>
      </c>
      <c r="Q311" s="3">
        <f t="shared" si="293"/>
        <v>1.6861233379432811E-3</v>
      </c>
      <c r="R311" s="3">
        <f t="shared" si="293"/>
        <v>1.686123337943007E-3</v>
      </c>
      <c r="S311" s="3">
        <f t="shared" si="293"/>
        <v>1.6861233379402653E-3</v>
      </c>
      <c r="T311" s="3">
        <f t="shared" si="293"/>
        <v>1.6861233379128473E-3</v>
      </c>
      <c r="U311" s="3">
        <f t="shared" si="293"/>
        <v>1.6861233376386684E-3</v>
      </c>
      <c r="V311" s="3">
        <f t="shared" si="293"/>
        <v>1.6861233348968796E-3</v>
      </c>
      <c r="W311" s="3">
        <f t="shared" si="293"/>
        <v>1.6861233074789924E-3</v>
      </c>
      <c r="X311" s="3">
        <f t="shared" si="293"/>
        <v>1.686123033300144E-3</v>
      </c>
      <c r="Y311" s="3">
        <f t="shared" si="293"/>
        <v>1.6861202915141125E-3</v>
      </c>
      <c r="Z311" s="3">
        <f t="shared" si="293"/>
        <v>1.686092873899006E-3</v>
      </c>
      <c r="AA311" s="3">
        <f t="shared" si="293"/>
        <v>1.6858187222674819E-3</v>
      </c>
      <c r="AB311" s="3">
        <f t="shared" si="293"/>
        <v>1.6830796564315481E-3</v>
      </c>
      <c r="AC311" s="3">
        <f t="shared" si="293"/>
        <v>1.6559325780548715E-3</v>
      </c>
      <c r="AD311" s="3">
        <f t="shared" si="293"/>
        <v>1.4074158807806541E-3</v>
      </c>
      <c r="AE311" s="3">
        <f t="shared" si="293"/>
        <v>2.7683462931749455E-4</v>
      </c>
      <c r="AF311" s="3">
        <f t="shared" si="293"/>
        <v>2.399938405715265E-11</v>
      </c>
      <c r="AG311" s="3"/>
      <c r="AH311" s="3"/>
    </row>
    <row r="312" spans="1:34" x14ac:dyDescent="0.25">
      <c r="B312" s="3">
        <f t="shared" ref="B312:AF312" si="294">$C42*EXP(-B$285/$A42/EXP(-$F$126))</f>
        <v>3.1917428644915027E-3</v>
      </c>
      <c r="C312" s="3">
        <f t="shared" si="294"/>
        <v>3.1917428644915027E-3</v>
      </c>
      <c r="D312" s="3">
        <f t="shared" si="294"/>
        <v>3.1917428644915027E-3</v>
      </c>
      <c r="E312" s="3">
        <f t="shared" si="294"/>
        <v>3.1917428644915027E-3</v>
      </c>
      <c r="F312" s="3">
        <f t="shared" si="294"/>
        <v>3.1917428644915027E-3</v>
      </c>
      <c r="G312" s="3">
        <f t="shared" si="294"/>
        <v>3.1917428644915027E-3</v>
      </c>
      <c r="H312" s="3">
        <f t="shared" si="294"/>
        <v>3.1917428644915027E-3</v>
      </c>
      <c r="I312" s="3">
        <f t="shared" si="294"/>
        <v>3.1917428644915027E-3</v>
      </c>
      <c r="J312" s="3">
        <f t="shared" si="294"/>
        <v>3.1917428644915027E-3</v>
      </c>
      <c r="K312" s="3">
        <f t="shared" si="294"/>
        <v>3.1917428644915027E-3</v>
      </c>
      <c r="L312" s="3">
        <f t="shared" si="294"/>
        <v>3.1917428644915027E-3</v>
      </c>
      <c r="M312" s="3">
        <f t="shared" si="294"/>
        <v>3.1917428644915027E-3</v>
      </c>
      <c r="N312" s="3">
        <f t="shared" si="294"/>
        <v>3.1917428644915027E-3</v>
      </c>
      <c r="O312" s="3">
        <f t="shared" si="294"/>
        <v>3.1917428644915027E-3</v>
      </c>
      <c r="P312" s="3">
        <f t="shared" si="294"/>
        <v>3.1917428644915018E-3</v>
      </c>
      <c r="Q312" s="3">
        <f t="shared" si="294"/>
        <v>3.1917428644914971E-3</v>
      </c>
      <c r="R312" s="3">
        <f t="shared" si="294"/>
        <v>3.191742864491445E-3</v>
      </c>
      <c r="S312" s="3">
        <f t="shared" si="294"/>
        <v>3.1917428644909263E-3</v>
      </c>
      <c r="T312" s="3">
        <f t="shared" si="294"/>
        <v>3.1917428644857361E-3</v>
      </c>
      <c r="U312" s="3">
        <f t="shared" si="294"/>
        <v>3.1917428644338353E-3</v>
      </c>
      <c r="V312" s="3">
        <f t="shared" si="294"/>
        <v>3.191742863914829E-3</v>
      </c>
      <c r="W312" s="3">
        <f t="shared" si="294"/>
        <v>3.1917428587247671E-3</v>
      </c>
      <c r="X312" s="3">
        <f t="shared" si="294"/>
        <v>3.1917428068241474E-3</v>
      </c>
      <c r="Y312" s="3">
        <f t="shared" si="294"/>
        <v>3.1917422878179969E-3</v>
      </c>
      <c r="Z312" s="3">
        <f t="shared" si="294"/>
        <v>3.1917370977611339E-3</v>
      </c>
      <c r="AA312" s="3">
        <f t="shared" si="294"/>
        <v>3.1916851976566706E-3</v>
      </c>
      <c r="AB312" s="3">
        <f t="shared" si="294"/>
        <v>3.1911662430262376E-3</v>
      </c>
      <c r="AC312" s="3">
        <f t="shared" si="294"/>
        <v>3.185981335350458E-3</v>
      </c>
      <c r="AD312" s="3">
        <f t="shared" si="294"/>
        <v>3.1345933426984861E-3</v>
      </c>
      <c r="AE312" s="3">
        <f t="shared" si="294"/>
        <v>2.6641642955568313E-3</v>
      </c>
      <c r="AF312" s="3">
        <f t="shared" si="294"/>
        <v>5.2403340425027077E-4</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1.5213277079669291E-4</v>
      </c>
      <c r="C315" s="3">
        <f t="shared" si="297"/>
        <v>1.5213277079669291E-4</v>
      </c>
      <c r="D315" s="3">
        <f t="shared" si="297"/>
        <v>1.5213277079669291E-4</v>
      </c>
      <c r="E315" s="3">
        <f t="shared" si="297"/>
        <v>1.5213277079669291E-4</v>
      </c>
      <c r="F315" s="3">
        <f t="shared" si="297"/>
        <v>1.5213277079669291E-4</v>
      </c>
      <c r="G315" s="3">
        <f t="shared" si="297"/>
        <v>1.5213277079669291E-4</v>
      </c>
      <c r="H315" s="3">
        <f t="shared" si="297"/>
        <v>1.5213277079669291E-4</v>
      </c>
      <c r="I315" s="3">
        <f t="shared" si="297"/>
        <v>1.5213277079669291E-4</v>
      </c>
      <c r="J315" s="3">
        <f t="shared" si="297"/>
        <v>1.5213277079669291E-4</v>
      </c>
      <c r="K315" s="3">
        <f t="shared" si="297"/>
        <v>1.5213277079669291E-4</v>
      </c>
      <c r="L315" s="3">
        <f t="shared" si="297"/>
        <v>1.5213277079669291E-4</v>
      </c>
      <c r="M315" s="3">
        <f t="shared" si="297"/>
        <v>1.5213277079669291E-4</v>
      </c>
      <c r="N315" s="3">
        <f t="shared" si="297"/>
        <v>1.5213277079669291E-4</v>
      </c>
      <c r="O315" s="3">
        <f t="shared" si="297"/>
        <v>1.5213277079669291E-4</v>
      </c>
      <c r="P315" s="3">
        <f t="shared" si="297"/>
        <v>1.5213277079669291E-4</v>
      </c>
      <c r="Q315" s="3">
        <f t="shared" si="297"/>
        <v>1.5213277079669291E-4</v>
      </c>
      <c r="R315" s="3">
        <f t="shared" si="297"/>
        <v>1.5213277079669291E-4</v>
      </c>
      <c r="S315" s="3">
        <f t="shared" si="297"/>
        <v>1.5213277079669288E-4</v>
      </c>
      <c r="T315" s="3">
        <f t="shared" si="297"/>
        <v>1.5213277079669264E-4</v>
      </c>
      <c r="U315" s="3">
        <f t="shared" si="297"/>
        <v>1.5213277079669015E-4</v>
      </c>
      <c r="V315" s="3">
        <f t="shared" si="297"/>
        <v>1.5213277079666543E-4</v>
      </c>
      <c r="W315" s="3">
        <f t="shared" si="297"/>
        <v>1.5213277079641804E-4</v>
      </c>
      <c r="X315" s="3">
        <f t="shared" si="297"/>
        <v>1.5213277079394421E-4</v>
      </c>
      <c r="Y315" s="3">
        <f t="shared" si="297"/>
        <v>1.5213277076920606E-4</v>
      </c>
      <c r="Z315" s="3">
        <f t="shared" si="297"/>
        <v>1.5213277052182446E-4</v>
      </c>
      <c r="AA315" s="3">
        <f t="shared" si="297"/>
        <v>1.521327680480083E-4</v>
      </c>
      <c r="AB315" s="3">
        <f t="shared" si="297"/>
        <v>1.5213274330984889E-4</v>
      </c>
      <c r="AC315" s="3">
        <f t="shared" si="297"/>
        <v>1.5213249592847615E-4</v>
      </c>
      <c r="AD315" s="3">
        <f t="shared" si="297"/>
        <v>1.5213002213687333E-4</v>
      </c>
      <c r="AE315" s="3">
        <f t="shared" si="297"/>
        <v>1.5210528643315363E-4</v>
      </c>
      <c r="AF315" s="3">
        <f t="shared" si="297"/>
        <v>1.5185815049378429E-4</v>
      </c>
      <c r="AG315" s="3"/>
      <c r="AH315" s="3"/>
    </row>
    <row r="316" spans="1:34" x14ac:dyDescent="0.25">
      <c r="B316" s="3">
        <f t="shared" ref="B316:AF316" si="298">$C46*EXP(-B$285/$A46/EXP(-$F$126))</f>
        <v>1.3986654220962105E-4</v>
      </c>
      <c r="C316" s="3">
        <f t="shared" si="298"/>
        <v>1.3986654220962105E-4</v>
      </c>
      <c r="D316" s="3">
        <f t="shared" si="298"/>
        <v>1.3986654220962105E-4</v>
      </c>
      <c r="E316" s="3">
        <f t="shared" si="298"/>
        <v>1.3986654220962105E-4</v>
      </c>
      <c r="F316" s="3">
        <f t="shared" si="298"/>
        <v>1.3986654220962105E-4</v>
      </c>
      <c r="G316" s="3">
        <f t="shared" si="298"/>
        <v>1.3986654220962105E-4</v>
      </c>
      <c r="H316" s="3">
        <f t="shared" si="298"/>
        <v>1.3986654220962105E-4</v>
      </c>
      <c r="I316" s="3">
        <f t="shared" si="298"/>
        <v>1.3986654220962105E-4</v>
      </c>
      <c r="J316" s="3">
        <f t="shared" si="298"/>
        <v>1.3986654220962105E-4</v>
      </c>
      <c r="K316" s="3">
        <f t="shared" si="298"/>
        <v>1.3986654220962105E-4</v>
      </c>
      <c r="L316" s="3">
        <f t="shared" si="298"/>
        <v>1.3986654220962105E-4</v>
      </c>
      <c r="M316" s="3">
        <f t="shared" si="298"/>
        <v>1.3986654220962105E-4</v>
      </c>
      <c r="N316" s="3">
        <f t="shared" si="298"/>
        <v>1.3986654220962105E-4</v>
      </c>
      <c r="O316" s="3">
        <f t="shared" si="298"/>
        <v>1.3986654220962105E-4</v>
      </c>
      <c r="P316" s="3">
        <f t="shared" si="298"/>
        <v>1.3986654220962105E-4</v>
      </c>
      <c r="Q316" s="3">
        <f t="shared" si="298"/>
        <v>1.3986654220962105E-4</v>
      </c>
      <c r="R316" s="3">
        <f t="shared" si="298"/>
        <v>1.3986654220962105E-4</v>
      </c>
      <c r="S316" s="3">
        <f t="shared" si="298"/>
        <v>1.3986654220962105E-4</v>
      </c>
      <c r="T316" s="3">
        <f t="shared" si="298"/>
        <v>1.3986654220962103E-4</v>
      </c>
      <c r="U316" s="3">
        <f t="shared" si="298"/>
        <v>1.3986654220962081E-4</v>
      </c>
      <c r="V316" s="3">
        <f t="shared" si="298"/>
        <v>1.3986654220961853E-4</v>
      </c>
      <c r="W316" s="3">
        <f t="shared" si="298"/>
        <v>1.3986654220959579E-4</v>
      </c>
      <c r="X316" s="3">
        <f t="shared" si="298"/>
        <v>1.3986654220936835E-4</v>
      </c>
      <c r="Y316" s="3">
        <f t="shared" si="298"/>
        <v>1.3986654220709399E-4</v>
      </c>
      <c r="Z316" s="3">
        <f t="shared" si="298"/>
        <v>1.3986654218435044E-4</v>
      </c>
      <c r="AA316" s="3">
        <f t="shared" si="298"/>
        <v>1.398665419569148E-4</v>
      </c>
      <c r="AB316" s="3">
        <f t="shared" si="298"/>
        <v>1.3986653968255859E-4</v>
      </c>
      <c r="AC316" s="3">
        <f t="shared" si="298"/>
        <v>1.3986651693899849E-4</v>
      </c>
      <c r="AD316" s="3">
        <f t="shared" si="298"/>
        <v>1.3986628950360091E-4</v>
      </c>
      <c r="AE316" s="3">
        <f t="shared" si="298"/>
        <v>1.3986401516996572E-4</v>
      </c>
      <c r="AF316" s="3">
        <f t="shared" si="298"/>
        <v>1.398412738675476E-4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8.4977640874607974E-4</v>
      </c>
      <c r="C318" s="3">
        <f t="shared" si="300"/>
        <v>8.4977640874607974E-4</v>
      </c>
      <c r="D318" s="3">
        <f t="shared" si="300"/>
        <v>8.4977640874607974E-4</v>
      </c>
      <c r="E318" s="3">
        <f t="shared" si="300"/>
        <v>8.4977640874607974E-4</v>
      </c>
      <c r="F318" s="3">
        <f t="shared" si="300"/>
        <v>8.4977640874607974E-4</v>
      </c>
      <c r="G318" s="3">
        <f t="shared" si="300"/>
        <v>8.4977640874607974E-4</v>
      </c>
      <c r="H318" s="3">
        <f t="shared" si="300"/>
        <v>8.4977640874607974E-4</v>
      </c>
      <c r="I318" s="3">
        <f t="shared" si="300"/>
        <v>8.4977640874607974E-4</v>
      </c>
      <c r="J318" s="3">
        <f t="shared" si="300"/>
        <v>8.4977640874607974E-4</v>
      </c>
      <c r="K318" s="3">
        <f t="shared" si="300"/>
        <v>8.4977640874607974E-4</v>
      </c>
      <c r="L318" s="3">
        <f t="shared" si="300"/>
        <v>8.4977640874607974E-4</v>
      </c>
      <c r="M318" s="3">
        <f t="shared" si="300"/>
        <v>8.4977640874607974E-4</v>
      </c>
      <c r="N318" s="3">
        <f t="shared" si="300"/>
        <v>8.4977640874607974E-4</v>
      </c>
      <c r="O318" s="3">
        <f t="shared" si="300"/>
        <v>8.4977640874607974E-4</v>
      </c>
      <c r="P318" s="3">
        <f t="shared" si="300"/>
        <v>8.4977640874607974E-4</v>
      </c>
      <c r="Q318" s="3">
        <f t="shared" si="300"/>
        <v>8.4977640874607974E-4</v>
      </c>
      <c r="R318" s="3">
        <f t="shared" si="300"/>
        <v>8.4977640874607974E-4</v>
      </c>
      <c r="S318" s="3">
        <f t="shared" si="300"/>
        <v>8.4977640874607974E-4</v>
      </c>
      <c r="T318" s="3">
        <f t="shared" si="300"/>
        <v>8.4977640874607974E-4</v>
      </c>
      <c r="U318" s="3">
        <f t="shared" si="300"/>
        <v>8.4977640874607974E-4</v>
      </c>
      <c r="V318" s="3">
        <f t="shared" si="300"/>
        <v>8.4977640874607952E-4</v>
      </c>
      <c r="W318" s="3">
        <f t="shared" si="300"/>
        <v>8.4977640874607822E-4</v>
      </c>
      <c r="X318" s="3">
        <f t="shared" si="300"/>
        <v>8.4977640874606434E-4</v>
      </c>
      <c r="Y318" s="3">
        <f t="shared" si="300"/>
        <v>8.4977640874592622E-4</v>
      </c>
      <c r="Z318" s="3">
        <f t="shared" si="300"/>
        <v>8.497764087445444E-4</v>
      </c>
      <c r="AA318" s="3">
        <f t="shared" si="300"/>
        <v>8.4977640873072624E-4</v>
      </c>
      <c r="AB318" s="3">
        <f t="shared" si="300"/>
        <v>8.4977640859254489E-4</v>
      </c>
      <c r="AC318" s="3">
        <f t="shared" si="300"/>
        <v>8.4977640721073183E-4</v>
      </c>
      <c r="AD318" s="3">
        <f t="shared" si="300"/>
        <v>8.4977639339260051E-4</v>
      </c>
      <c r="AE318" s="3">
        <f t="shared" si="300"/>
        <v>8.4977625521129904E-4</v>
      </c>
      <c r="AF318" s="3">
        <f t="shared" si="300"/>
        <v>8.4977487339952108E-4</v>
      </c>
      <c r="AG318" s="3"/>
      <c r="AH318" s="3"/>
    </row>
    <row r="319" spans="1:34" x14ac:dyDescent="0.25">
      <c r="A319" s="79">
        <f>AVERAGE(B319:AF319)</f>
        <v>1.288315841133256E-2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2.8924530683680675E-2</v>
      </c>
      <c r="M319" s="80">
        <f t="shared" si="301"/>
        <v>3.0307465156854545E-2</v>
      </c>
      <c r="N319" s="80">
        <f t="shared" si="301"/>
        <v>3.096444865541137E-2</v>
      </c>
      <c r="O319" s="80">
        <f t="shared" si="301"/>
        <v>3.2458413682089737E-2</v>
      </c>
      <c r="P319" s="80">
        <f t="shared" si="301"/>
        <v>3.3342794401689232E-2</v>
      </c>
      <c r="Q319" s="80">
        <f t="shared" si="301"/>
        <v>3.8577285177830295E-2</v>
      </c>
      <c r="R319" s="80">
        <f t="shared" si="301"/>
        <v>2.6189920357747871E-2</v>
      </c>
      <c r="S319" s="80">
        <f t="shared" si="301"/>
        <v>1.1569008906768529E-2</v>
      </c>
      <c r="T319" s="80">
        <f t="shared" si="301"/>
        <v>5.6212772909079056E-2</v>
      </c>
      <c r="U319" s="80">
        <f t="shared" si="301"/>
        <v>7.5800510890870088E-2</v>
      </c>
      <c r="V319" s="80">
        <f t="shared" si="301"/>
        <v>3.5030759929287961E-2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1167012.2156917145</v>
      </c>
      <c r="C320" s="21">
        <f t="shared" ref="C320:AF320" si="302">(C287-C286)^2</f>
        <v>1451933.4171850649</v>
      </c>
      <c r="D320" s="21">
        <f t="shared" si="302"/>
        <v>917576.95290222461</v>
      </c>
      <c r="E320" s="21">
        <f t="shared" si="302"/>
        <v>494813.80914270732</v>
      </c>
      <c r="F320" s="21">
        <f t="shared" si="302"/>
        <v>175709.14643443041</v>
      </c>
      <c r="G320" s="21">
        <f t="shared" si="302"/>
        <v>31222.559659293864</v>
      </c>
      <c r="H320" s="21">
        <f t="shared" si="302"/>
        <v>13811.947230947731</v>
      </c>
      <c r="I320" s="21">
        <f t="shared" si="302"/>
        <v>76518.90385307312</v>
      </c>
      <c r="J320" s="21">
        <f t="shared" si="302"/>
        <v>53959.776781404471</v>
      </c>
      <c r="K320" s="21">
        <f t="shared" si="302"/>
        <v>49552.388606653214</v>
      </c>
      <c r="L320" s="21">
        <f t="shared" si="302"/>
        <v>39459.907578399296</v>
      </c>
      <c r="M320" s="21">
        <f t="shared" si="302"/>
        <v>39752.900116467885</v>
      </c>
      <c r="N320" s="21">
        <f t="shared" si="302"/>
        <v>38036.387277792404</v>
      </c>
      <c r="O320" s="21">
        <f t="shared" si="302"/>
        <v>37982.277148429188</v>
      </c>
      <c r="P320" s="21">
        <f t="shared" si="302"/>
        <v>36488.415949182134</v>
      </c>
      <c r="Q320" s="21">
        <f t="shared" si="302"/>
        <v>43140.991245491547</v>
      </c>
      <c r="R320" s="21">
        <f t="shared" si="302"/>
        <v>16785.563109998617</v>
      </c>
      <c r="S320" s="21">
        <f t="shared" si="302"/>
        <v>2522.6146520622251</v>
      </c>
      <c r="T320" s="21">
        <f t="shared" si="302"/>
        <v>43157.526711276696</v>
      </c>
      <c r="U320" s="21">
        <f t="shared" si="302"/>
        <v>54108.932845129428</v>
      </c>
      <c r="V320" s="21">
        <f t="shared" si="302"/>
        <v>7469.5700438006897</v>
      </c>
      <c r="W320" s="21">
        <f t="shared" si="302"/>
        <v>411.56163775108672</v>
      </c>
      <c r="X320" s="21">
        <f t="shared" si="302"/>
        <v>4080.884153008762</v>
      </c>
      <c r="Y320" s="21">
        <f t="shared" si="302"/>
        <v>2004.8409279082355</v>
      </c>
      <c r="Z320" s="21">
        <f t="shared" si="302"/>
        <v>410.45427166124819</v>
      </c>
      <c r="AA320" s="21">
        <f t="shared" si="302"/>
        <v>29.95255469990547</v>
      </c>
      <c r="AB320" s="21">
        <f t="shared" si="302"/>
        <v>6.6844797622248651</v>
      </c>
      <c r="AC320" s="21">
        <f t="shared" si="302"/>
        <v>22.818709345853787</v>
      </c>
      <c r="AD320" s="21">
        <f t="shared" si="302"/>
        <v>8.2468890484669295</v>
      </c>
      <c r="AE320" s="21">
        <f t="shared" si="302"/>
        <v>6.1210808646035835</v>
      </c>
      <c r="AF320" s="21">
        <f t="shared" si="302"/>
        <v>21.608891767768515</v>
      </c>
      <c r="AG320" s="3"/>
      <c r="AH320" s="3"/>
    </row>
    <row r="321" spans="1:34" x14ac:dyDescent="0.25">
      <c r="A321" s="71">
        <f>SUM(B321:AF321)</f>
        <v>358905.08667803003</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39459.907578399296</v>
      </c>
      <c r="M321" s="60">
        <f t="shared" ref="M321" si="313">IF($A$64&lt;=M285,IF($B$64&gt;=M285,ABS(M320),0),0)</f>
        <v>39752.900116467885</v>
      </c>
      <c r="N321" s="60">
        <f t="shared" ref="N321" si="314">IF($A$64&lt;=N285,IF($B$64&gt;=N285,ABS(N320),0),0)</f>
        <v>38036.387277792404</v>
      </c>
      <c r="O321" s="60">
        <f t="shared" ref="O321" si="315">IF($A$64&lt;=O285,IF($B$64&gt;=O285,ABS(O320),0),0)</f>
        <v>37982.277148429188</v>
      </c>
      <c r="P321" s="60">
        <f t="shared" ref="P321" si="316">IF($A$64&lt;=P285,IF($B$64&gt;=P285,ABS(P320),0),0)</f>
        <v>36488.415949182134</v>
      </c>
      <c r="Q321" s="60">
        <f t="shared" ref="Q321" si="317">IF($A$64&lt;=Q285,IF($B$64&gt;=Q285,ABS(Q320),0),0)</f>
        <v>43140.991245491547</v>
      </c>
      <c r="R321" s="60">
        <f t="shared" ref="R321" si="318">IF($A$64&lt;=R285,IF($B$64&gt;=R285,ABS(R320),0),0)</f>
        <v>16785.563109998617</v>
      </c>
      <c r="S321" s="60">
        <f t="shared" ref="S321" si="319">IF($A$64&lt;=S285,IF($B$64&gt;=S285,ABS(S320),0),0)</f>
        <v>2522.6146520622251</v>
      </c>
      <c r="T321" s="60">
        <f t="shared" ref="T321" si="320">IF($A$64&lt;=T285,IF($B$64&gt;=T285,ABS(T320),0),0)</f>
        <v>43157.526711276696</v>
      </c>
      <c r="U321" s="60">
        <f t="shared" ref="U321" si="321">IF($A$64&lt;=U285,IF($B$64&gt;=U285,ABS(U320),0),0)</f>
        <v>54108.932845129428</v>
      </c>
      <c r="V321" s="60">
        <f t="shared" ref="V321" si="322">IF($A$64&lt;=V285,IF($B$64&gt;=V285,ABS(V320),0),0)</f>
        <v>7469.5700438006897</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8349.5826919553947</v>
      </c>
      <c r="C326" s="27">
        <f t="shared" ref="C326:AF326" si="333">($C$17+SUM(C327:C357))*$B$51</f>
        <v>8348.9409437869144</v>
      </c>
      <c r="D326" s="27">
        <f t="shared" si="333"/>
        <v>8342.5574051202566</v>
      </c>
      <c r="E326" s="27">
        <f t="shared" si="333"/>
        <v>8281.993187427106</v>
      </c>
      <c r="F326" s="27">
        <f t="shared" si="333"/>
        <v>7908.5326192162584</v>
      </c>
      <c r="G326" s="27">
        <f t="shared" si="333"/>
        <v>7511.1668386025895</v>
      </c>
      <c r="H326" s="27">
        <f t="shared" si="333"/>
        <v>7165.6975688995099</v>
      </c>
      <c r="I326" s="27">
        <f t="shared" si="333"/>
        <v>6845.8197856596844</v>
      </c>
      <c r="J326" s="27">
        <f t="shared" si="333"/>
        <v>6567.5169742450153</v>
      </c>
      <c r="K326" s="27">
        <f t="shared" si="333"/>
        <v>6284.6347533772059</v>
      </c>
      <c r="L326" s="27">
        <f t="shared" si="333"/>
        <v>6002.3572810671931</v>
      </c>
      <c r="M326" s="27">
        <f t="shared" si="333"/>
        <v>5716.7063193817385</v>
      </c>
      <c r="N326" s="27">
        <f t="shared" si="333"/>
        <v>5420.125124508897</v>
      </c>
      <c r="O326" s="27">
        <f t="shared" si="333"/>
        <v>5047.4326710995574</v>
      </c>
      <c r="P326" s="27">
        <f t="shared" si="333"/>
        <v>4672.2278334687817</v>
      </c>
      <c r="Q326" s="27">
        <f t="shared" si="333"/>
        <v>4216.2957575119162</v>
      </c>
      <c r="R326" s="27">
        <f t="shared" si="333"/>
        <v>3690.2917900649536</v>
      </c>
      <c r="S326" s="27">
        <f t="shared" si="333"/>
        <v>3025.138098780526</v>
      </c>
      <c r="T326" s="27">
        <f t="shared" si="333"/>
        <v>2241.8125071175077</v>
      </c>
      <c r="U326" s="27">
        <f t="shared" si="333"/>
        <v>1593.7374840296891</v>
      </c>
      <c r="V326" s="27">
        <f t="shared" si="333"/>
        <v>1109.8055758107091</v>
      </c>
      <c r="W326" s="27">
        <f t="shared" si="333"/>
        <v>829.87293702797479</v>
      </c>
      <c r="X326" s="27">
        <f t="shared" si="333"/>
        <v>672.13724065061297</v>
      </c>
      <c r="Y326" s="27">
        <f t="shared" si="333"/>
        <v>597.10619066084712</v>
      </c>
      <c r="Z326" s="27">
        <f t="shared" si="333"/>
        <v>557.71721527309683</v>
      </c>
      <c r="AA326" s="27">
        <f t="shared" si="333"/>
        <v>522.23571358713662</v>
      </c>
      <c r="AB326" s="27">
        <f t="shared" si="333"/>
        <v>514.63615654854232</v>
      </c>
      <c r="AC326" s="27">
        <f t="shared" si="333"/>
        <v>492.42390410683078</v>
      </c>
      <c r="AD326" s="27">
        <f t="shared" si="333"/>
        <v>470.45064427339349</v>
      </c>
      <c r="AE326" s="27">
        <f t="shared" si="333"/>
        <v>469.9529529682406</v>
      </c>
      <c r="AF326" s="27">
        <f t="shared" si="333"/>
        <v>469.38002436441803</v>
      </c>
      <c r="AG326" s="27"/>
      <c r="AH326" s="27"/>
    </row>
    <row r="327" spans="1:34" x14ac:dyDescent="0.25">
      <c r="B327" s="3">
        <f t="shared" ref="B327:AF327" si="334">$C18*EXP(-B$363/$A18/EXP(-$G$126))</f>
        <v>8.0719966461278453E-192</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5.6067999673160979E-2</v>
      </c>
      <c r="C328" s="3">
        <f t="shared" si="335"/>
        <v>5.6011346534826922E-2</v>
      </c>
      <c r="D328" s="3">
        <f t="shared" si="335"/>
        <v>5.5447954067949355E-2</v>
      </c>
      <c r="E328" s="3">
        <f t="shared" si="335"/>
        <v>5.0116490695838213E-2</v>
      </c>
      <c r="F328" s="3">
        <f t="shared" si="335"/>
        <v>1.8236098113664414E-2</v>
      </c>
      <c r="G328" s="3">
        <f t="shared" si="335"/>
        <v>7.4206951941024371E-7</v>
      </c>
      <c r="H328" s="3">
        <f t="shared" si="335"/>
        <v>9.2378589027655237E-51</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2.8569244813497246E-2</v>
      </c>
      <c r="C329" s="3">
        <f t="shared" si="336"/>
        <v>2.8566639536137872E-2</v>
      </c>
      <c r="D329" s="3">
        <f t="shared" si="336"/>
        <v>2.8540599825848705E-2</v>
      </c>
      <c r="E329" s="3">
        <f t="shared" si="336"/>
        <v>2.8281504656267022E-2</v>
      </c>
      <c r="F329" s="3">
        <f t="shared" si="336"/>
        <v>2.5816458362485216E-2</v>
      </c>
      <c r="G329" s="3">
        <f t="shared" si="336"/>
        <v>1.0371419026421472E-2</v>
      </c>
      <c r="H329" s="3">
        <f t="shared" si="336"/>
        <v>1.1356731516986174E-6</v>
      </c>
      <c r="I329" s="3">
        <f t="shared" si="336"/>
        <v>2.8145251702334722E-46</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3.849480193564439E-2</v>
      </c>
      <c r="C330" s="3">
        <f t="shared" si="337"/>
        <v>3.8494485254721808E-2</v>
      </c>
      <c r="D330" s="3">
        <f t="shared" si="337"/>
        <v>3.8491318588778634E-2</v>
      </c>
      <c r="E330" s="3">
        <f t="shared" si="337"/>
        <v>3.8459666253254143E-2</v>
      </c>
      <c r="F330" s="3">
        <f t="shared" si="337"/>
        <v>3.8144570938331526E-2</v>
      </c>
      <c r="G330" s="3">
        <f t="shared" si="337"/>
        <v>3.513216907927133E-2</v>
      </c>
      <c r="H330" s="3">
        <f t="shared" si="337"/>
        <v>1.5432179434832854E-2</v>
      </c>
      <c r="I330" s="3">
        <f t="shared" si="337"/>
        <v>4.1271501173371744E-6</v>
      </c>
      <c r="J330" s="3">
        <f t="shared" si="337"/>
        <v>7.72467613930374E-42</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2.5401057400652464E-2</v>
      </c>
      <c r="C331" s="3">
        <f t="shared" si="338"/>
        <v>2.540103855028485E-2</v>
      </c>
      <c r="D331" s="3">
        <f t="shared" si="338"/>
        <v>2.5400850047378087E-2</v>
      </c>
      <c r="E331" s="3">
        <f t="shared" si="338"/>
        <v>2.5398965095247902E-2</v>
      </c>
      <c r="F331" s="3">
        <f t="shared" si="338"/>
        <v>2.5380123265576496E-2</v>
      </c>
      <c r="G331" s="3">
        <f t="shared" si="338"/>
        <v>2.5192472024117941E-2</v>
      </c>
      <c r="H331" s="3">
        <f t="shared" si="338"/>
        <v>2.3390600106734841E-2</v>
      </c>
      <c r="I331" s="3">
        <f t="shared" si="338"/>
        <v>1.1136459865450964E-2</v>
      </c>
      <c r="J331" s="3">
        <f t="shared" si="338"/>
        <v>6.6650755587385691E-6</v>
      </c>
      <c r="K331" s="3">
        <f t="shared" si="338"/>
        <v>3.9299252173246807E-38</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2.8782781247061826E-2</v>
      </c>
      <c r="C332" s="3">
        <f t="shared" si="339"/>
        <v>2.8782779320213531E-2</v>
      </c>
      <c r="D332" s="3">
        <f t="shared" si="339"/>
        <v>2.8782760051737692E-2</v>
      </c>
      <c r="E332" s="3">
        <f t="shared" si="339"/>
        <v>2.8782567367688704E-2</v>
      </c>
      <c r="F332" s="3">
        <f t="shared" si="339"/>
        <v>2.8780640598142428E-2</v>
      </c>
      <c r="G332" s="3">
        <f t="shared" si="339"/>
        <v>2.8761379995280029E-2</v>
      </c>
      <c r="H332" s="3">
        <f t="shared" si="339"/>
        <v>2.8569481473037697E-2</v>
      </c>
      <c r="I332" s="3">
        <f t="shared" si="339"/>
        <v>2.6719525372831968E-2</v>
      </c>
      <c r="J332" s="3">
        <f t="shared" si="339"/>
        <v>1.3680203303189007E-2</v>
      </c>
      <c r="K332" s="3">
        <f t="shared" si="339"/>
        <v>1.6932873863682557E-5</v>
      </c>
      <c r="L332" s="3">
        <f t="shared" si="339"/>
        <v>1.4292621418427687E-34</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2.5701296010455916E-2</v>
      </c>
      <c r="C333" s="3">
        <f t="shared" si="340"/>
        <v>2.5701295855247094E-2</v>
      </c>
      <c r="D333" s="3">
        <f t="shared" si="340"/>
        <v>2.5701294303158959E-2</v>
      </c>
      <c r="E333" s="3">
        <f t="shared" si="340"/>
        <v>2.570127878228276E-2</v>
      </c>
      <c r="F333" s="3">
        <f t="shared" si="340"/>
        <v>2.570112357403628E-2</v>
      </c>
      <c r="G333" s="3">
        <f t="shared" si="340"/>
        <v>2.569957154312159E-2</v>
      </c>
      <c r="H333" s="3">
        <f t="shared" si="340"/>
        <v>2.5684056387834938E-2</v>
      </c>
      <c r="I333" s="3">
        <f t="shared" si="340"/>
        <v>2.552941907126835E-2</v>
      </c>
      <c r="J333" s="3">
        <f t="shared" si="340"/>
        <v>2.4033338844856807E-2</v>
      </c>
      <c r="K333" s="3">
        <f t="shared" si="340"/>
        <v>1.3138502899845809E-2</v>
      </c>
      <c r="L333" s="3">
        <f t="shared" si="340"/>
        <v>3.1323017839241021E-5</v>
      </c>
      <c r="M333" s="3">
        <f t="shared" si="340"/>
        <v>1.8579788395898438E-31</v>
      </c>
      <c r="N333" s="3">
        <f t="shared" si="340"/>
        <v>1.0018724183843503E-293</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2.9863008374459876E-2</v>
      </c>
      <c r="C334" s="3">
        <f t="shared" si="341"/>
        <v>2.9863008358191601E-2</v>
      </c>
      <c r="D334" s="3">
        <f t="shared" si="341"/>
        <v>2.9863008195508849E-2</v>
      </c>
      <c r="E334" s="3">
        <f t="shared" si="341"/>
        <v>2.986300656868135E-2</v>
      </c>
      <c r="F334" s="3">
        <f t="shared" si="341"/>
        <v>2.9862990300411278E-2</v>
      </c>
      <c r="G334" s="3">
        <f t="shared" si="341"/>
        <v>2.9862827618197953E-2</v>
      </c>
      <c r="H334" s="3">
        <f t="shared" si="341"/>
        <v>2.9861200844806604E-2</v>
      </c>
      <c r="I334" s="3">
        <f t="shared" si="341"/>
        <v>2.9844937984100692E-2</v>
      </c>
      <c r="J334" s="3">
        <f t="shared" si="341"/>
        <v>2.9682795716972344E-2</v>
      </c>
      <c r="K334" s="3">
        <f t="shared" si="341"/>
        <v>2.8109040880415263E-2</v>
      </c>
      <c r="L334" s="3">
        <f t="shared" si="341"/>
        <v>1.6302652317045481E-2</v>
      </c>
      <c r="M334" s="3">
        <f t="shared" si="341"/>
        <v>7.020703961560065E-5</v>
      </c>
      <c r="N334" s="3">
        <f t="shared" si="341"/>
        <v>1.5402974723519095E-28</v>
      </c>
      <c r="O334" s="3">
        <f t="shared" si="341"/>
        <v>3.9796421556602239E-265</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2.3136710280184384E-2</v>
      </c>
      <c r="C335" s="3">
        <f t="shared" si="342"/>
        <v>2.3136710279047398E-2</v>
      </c>
      <c r="D335" s="3">
        <f t="shared" si="342"/>
        <v>2.313671026767751E-2</v>
      </c>
      <c r="E335" s="3">
        <f t="shared" si="342"/>
        <v>2.3136710153978637E-2</v>
      </c>
      <c r="F335" s="3">
        <f t="shared" si="342"/>
        <v>2.3136709016989936E-2</v>
      </c>
      <c r="G335" s="3">
        <f t="shared" si="342"/>
        <v>2.3136697647106009E-2</v>
      </c>
      <c r="H335" s="3">
        <f t="shared" si="342"/>
        <v>2.3136583948574062E-2</v>
      </c>
      <c r="I335" s="3">
        <f t="shared" si="342"/>
        <v>2.3135446993984739E-2</v>
      </c>
      <c r="J335" s="3">
        <f t="shared" si="342"/>
        <v>2.3124080520547447E-2</v>
      </c>
      <c r="K335" s="3">
        <f t="shared" si="342"/>
        <v>2.3010722473851865E-2</v>
      </c>
      <c r="L335" s="3">
        <f t="shared" si="342"/>
        <v>2.1907260390515687E-2</v>
      </c>
      <c r="M335" s="3">
        <f t="shared" si="342"/>
        <v>1.3401895525500147E-2</v>
      </c>
      <c r="N335" s="3">
        <f t="shared" si="342"/>
        <v>9.8389285235318732E-5</v>
      </c>
      <c r="O335" s="3">
        <f t="shared" si="342"/>
        <v>4.4746964630962621E-26</v>
      </c>
      <c r="P335" s="3">
        <f t="shared" si="342"/>
        <v>1.6940309152845701E-239</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3.7322629147898148E-2</v>
      </c>
      <c r="C336" s="3">
        <f t="shared" si="343"/>
        <v>3.7322629147732697E-2</v>
      </c>
      <c r="D336" s="3">
        <f t="shared" si="343"/>
        <v>3.7322629146078173E-2</v>
      </c>
      <c r="E336" s="3">
        <f t="shared" si="343"/>
        <v>3.7322629129532922E-2</v>
      </c>
      <c r="F336" s="3">
        <f t="shared" si="343"/>
        <v>3.7322628964080409E-2</v>
      </c>
      <c r="G336" s="3">
        <f t="shared" si="343"/>
        <v>3.7322627309555302E-2</v>
      </c>
      <c r="H336" s="3">
        <f t="shared" si="343"/>
        <v>3.7322610764308269E-2</v>
      </c>
      <c r="I336" s="3">
        <f t="shared" si="343"/>
        <v>3.732244531224134E-2</v>
      </c>
      <c r="J336" s="3">
        <f t="shared" si="343"/>
        <v>3.732079083191147E-2</v>
      </c>
      <c r="K336" s="3">
        <f t="shared" si="343"/>
        <v>3.7304250061889817E-2</v>
      </c>
      <c r="L336" s="3">
        <f t="shared" si="343"/>
        <v>3.713924502861999E-2</v>
      </c>
      <c r="M336" s="3">
        <f t="shared" si="343"/>
        <v>3.5528808685504815E-2</v>
      </c>
      <c r="N336" s="3">
        <f t="shared" si="343"/>
        <v>2.2806381705144069E-2</v>
      </c>
      <c r="O336" s="3">
        <f t="shared" si="343"/>
        <v>2.7090300455983853E-4</v>
      </c>
      <c r="P336" s="3">
        <f t="shared" si="343"/>
        <v>1.5149146038572036E-23</v>
      </c>
      <c r="Q336" s="3">
        <f t="shared" si="343"/>
        <v>4.5303468838891626E-216</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3.2712076759714319E-2</v>
      </c>
      <c r="C337" s="3">
        <f t="shared" si="344"/>
        <v>3.2712076759701232E-2</v>
      </c>
      <c r="D337" s="3">
        <f t="shared" si="344"/>
        <v>3.271207675957042E-2</v>
      </c>
      <c r="E337" s="3">
        <f t="shared" si="344"/>
        <v>3.2712076758262272E-2</v>
      </c>
      <c r="F337" s="3">
        <f t="shared" si="344"/>
        <v>3.2712076745180826E-2</v>
      </c>
      <c r="G337" s="3">
        <f t="shared" si="344"/>
        <v>3.2712076614366335E-2</v>
      </c>
      <c r="H337" s="3">
        <f t="shared" si="344"/>
        <v>3.2712075306221472E-2</v>
      </c>
      <c r="I337" s="3">
        <f t="shared" si="344"/>
        <v>3.2712062224775691E-2</v>
      </c>
      <c r="J337" s="3">
        <f t="shared" si="344"/>
        <v>3.2711931410605619E-2</v>
      </c>
      <c r="K337" s="3">
        <f t="shared" si="344"/>
        <v>3.2710623297676163E-2</v>
      </c>
      <c r="L337" s="3">
        <f t="shared" si="344"/>
        <v>3.2697545045083674E-2</v>
      </c>
      <c r="M337" s="3">
        <f t="shared" si="344"/>
        <v>3.2567049764174467E-2</v>
      </c>
      <c r="N337" s="3">
        <f t="shared" si="344"/>
        <v>3.1290400951815761E-2</v>
      </c>
      <c r="O337" s="3">
        <f t="shared" si="344"/>
        <v>2.0976751441178224E-2</v>
      </c>
      <c r="P337" s="3">
        <f t="shared" si="344"/>
        <v>3.8459999302286382E-4</v>
      </c>
      <c r="Q337" s="3">
        <f t="shared" si="344"/>
        <v>1.6508958300633334E-21</v>
      </c>
      <c r="R337" s="3">
        <f t="shared" si="344"/>
        <v>3.506094810656336E-195</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4.2271951558424406E-2</v>
      </c>
      <c r="C338" s="3">
        <f t="shared" si="345"/>
        <v>4.2271951558422879E-2</v>
      </c>
      <c r="D338" s="3">
        <f t="shared" si="345"/>
        <v>4.2271951558407628E-2</v>
      </c>
      <c r="E338" s="3">
        <f t="shared" si="345"/>
        <v>4.2271951558255139E-2</v>
      </c>
      <c r="F338" s="3">
        <f t="shared" si="345"/>
        <v>4.227195155673022E-2</v>
      </c>
      <c r="G338" s="3">
        <f t="shared" si="345"/>
        <v>4.2271951541481036E-2</v>
      </c>
      <c r="H338" s="3">
        <f t="shared" si="345"/>
        <v>4.227195138898919E-2</v>
      </c>
      <c r="I338" s="3">
        <f t="shared" si="345"/>
        <v>4.2271949864070749E-2</v>
      </c>
      <c r="J338" s="3">
        <f t="shared" si="345"/>
        <v>4.2271934614889435E-2</v>
      </c>
      <c r="K338" s="3">
        <f t="shared" si="345"/>
        <v>4.2271782123378794E-2</v>
      </c>
      <c r="L338" s="3">
        <f t="shared" si="345"/>
        <v>4.2270257238527426E-2</v>
      </c>
      <c r="M338" s="3">
        <f t="shared" si="345"/>
        <v>4.2255011415110219E-2</v>
      </c>
      <c r="N338" s="3">
        <f t="shared" si="345"/>
        <v>4.2102855287206628E-2</v>
      </c>
      <c r="O338" s="3">
        <f t="shared" si="345"/>
        <v>4.0611105263609684E-2</v>
      </c>
      <c r="P338" s="3">
        <f t="shared" si="345"/>
        <v>2.831244716630071E-2</v>
      </c>
      <c r="Q338" s="3">
        <f t="shared" si="345"/>
        <v>7.6789776744403434E-4</v>
      </c>
      <c r="R338" s="3">
        <f t="shared" si="345"/>
        <v>1.6541061071255883E-19</v>
      </c>
      <c r="S338" s="3">
        <f t="shared" si="345"/>
        <v>3.5576479245075815E-176</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4.6527520280984072E-2</v>
      </c>
      <c r="C339" s="3">
        <f t="shared" si="346"/>
        <v>4.6527520280983913E-2</v>
      </c>
      <c r="D339" s="3">
        <f t="shared" si="346"/>
        <v>4.65275202809824E-2</v>
      </c>
      <c r="E339" s="3">
        <f t="shared" si="346"/>
        <v>4.6527520280967259E-2</v>
      </c>
      <c r="F339" s="3">
        <f t="shared" si="346"/>
        <v>4.6527520280815853E-2</v>
      </c>
      <c r="G339" s="3">
        <f t="shared" si="346"/>
        <v>4.6527520279301765E-2</v>
      </c>
      <c r="H339" s="3">
        <f t="shared" si="346"/>
        <v>4.6527520264160897E-2</v>
      </c>
      <c r="I339" s="3">
        <f t="shared" si="346"/>
        <v>4.6527520112752199E-2</v>
      </c>
      <c r="J339" s="3">
        <f t="shared" si="346"/>
        <v>4.6527518598665253E-2</v>
      </c>
      <c r="K339" s="3">
        <f t="shared" si="346"/>
        <v>4.6527503457798498E-2</v>
      </c>
      <c r="L339" s="3">
        <f t="shared" si="346"/>
        <v>4.6527352049401928E-2</v>
      </c>
      <c r="M339" s="3">
        <f t="shared" si="346"/>
        <v>4.6525837992534971E-2</v>
      </c>
      <c r="N339" s="3">
        <f t="shared" si="346"/>
        <v>4.6510700133410167E-2</v>
      </c>
      <c r="O339" s="3">
        <f t="shared" si="346"/>
        <v>4.6359592170681072E-2</v>
      </c>
      <c r="P339" s="3">
        <f t="shared" si="346"/>
        <v>4.4875252363323209E-2</v>
      </c>
      <c r="Q339" s="3">
        <f t="shared" si="346"/>
        <v>3.2410063004142731E-2</v>
      </c>
      <c r="R339" s="3">
        <f t="shared" si="346"/>
        <v>1.251438722546683E-3</v>
      </c>
      <c r="S339" s="3">
        <f t="shared" si="346"/>
        <v>9.2194863536235824E-18</v>
      </c>
      <c r="T339" s="3">
        <f t="shared" si="346"/>
        <v>4.3418827794300758E-159</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5.951973770461929E-2</v>
      </c>
      <c r="C340" s="3">
        <f t="shared" si="347"/>
        <v>5.9519737704619269E-2</v>
      </c>
      <c r="D340" s="3">
        <f t="shared" si="347"/>
        <v>5.9519737704619095E-2</v>
      </c>
      <c r="E340" s="3">
        <f t="shared" si="347"/>
        <v>5.9519737704617347E-2</v>
      </c>
      <c r="F340" s="3">
        <f t="shared" si="347"/>
        <v>5.9519737704599875E-2</v>
      </c>
      <c r="G340" s="3">
        <f t="shared" si="347"/>
        <v>5.9519737704425153E-2</v>
      </c>
      <c r="H340" s="3">
        <f t="shared" si="347"/>
        <v>5.9519737702677933E-2</v>
      </c>
      <c r="I340" s="3">
        <f t="shared" si="347"/>
        <v>5.9519737685205694E-2</v>
      </c>
      <c r="J340" s="3">
        <f t="shared" si="347"/>
        <v>5.9519737510483325E-2</v>
      </c>
      <c r="K340" s="3">
        <f t="shared" si="347"/>
        <v>5.951973576325964E-2</v>
      </c>
      <c r="L340" s="3">
        <f t="shared" si="347"/>
        <v>5.9519718291025592E-2</v>
      </c>
      <c r="M340" s="3">
        <f t="shared" si="347"/>
        <v>5.9519543568967263E-2</v>
      </c>
      <c r="N340" s="3">
        <f t="shared" si="347"/>
        <v>5.9517796376593324E-2</v>
      </c>
      <c r="O340" s="3">
        <f t="shared" si="347"/>
        <v>5.9500327273485087E-2</v>
      </c>
      <c r="P340" s="3">
        <f t="shared" si="347"/>
        <v>5.9325917999398944E-2</v>
      </c>
      <c r="Q340" s="3">
        <f t="shared" si="347"/>
        <v>5.7609697316334217E-2</v>
      </c>
      <c r="R340" s="3">
        <f t="shared" si="347"/>
        <v>4.295432080317179E-2</v>
      </c>
      <c r="S340" s="3">
        <f t="shared" si="347"/>
        <v>2.2809695376498885E-3</v>
      </c>
      <c r="T340" s="3">
        <f t="shared" si="347"/>
        <v>4.0667340792243688E-16</v>
      </c>
      <c r="U340" s="3">
        <f t="shared" si="347"/>
        <v>1.3198016693614835E-143</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8.0489091133812765E-2</v>
      </c>
      <c r="C341" s="3">
        <f t="shared" si="348"/>
        <v>8.0489091133812765E-2</v>
      </c>
      <c r="D341" s="3">
        <f t="shared" si="348"/>
        <v>8.0489091133812737E-2</v>
      </c>
      <c r="E341" s="3">
        <f t="shared" si="348"/>
        <v>8.0489091133812529E-2</v>
      </c>
      <c r="F341" s="3">
        <f t="shared" si="348"/>
        <v>8.0489091133810392E-2</v>
      </c>
      <c r="G341" s="3">
        <f t="shared" si="348"/>
        <v>8.048909113378909E-2</v>
      </c>
      <c r="H341" s="3">
        <f t="shared" si="348"/>
        <v>8.0489091133575941E-2</v>
      </c>
      <c r="I341" s="3">
        <f t="shared" si="348"/>
        <v>8.0489091131444507E-2</v>
      </c>
      <c r="J341" s="3">
        <f t="shared" si="348"/>
        <v>8.0489091110130209E-2</v>
      </c>
      <c r="K341" s="3">
        <f t="shared" si="348"/>
        <v>8.0489090896987192E-2</v>
      </c>
      <c r="L341" s="3">
        <f t="shared" si="348"/>
        <v>8.0489088765556979E-2</v>
      </c>
      <c r="M341" s="3">
        <f t="shared" si="348"/>
        <v>8.0489067451258084E-2</v>
      </c>
      <c r="N341" s="3">
        <f t="shared" si="348"/>
        <v>8.048885430857948E-2</v>
      </c>
      <c r="O341" s="3">
        <f t="shared" si="348"/>
        <v>8.0486722912836525E-2</v>
      </c>
      <c r="P341" s="3">
        <f t="shared" si="348"/>
        <v>8.0465412059399208E-2</v>
      </c>
      <c r="Q341" s="3">
        <f t="shared" si="348"/>
        <v>8.0252613620340363E-2</v>
      </c>
      <c r="R341" s="3">
        <f t="shared" si="348"/>
        <v>7.8155337071048228E-2</v>
      </c>
      <c r="S341" s="3">
        <f t="shared" si="348"/>
        <v>5.997264367678086E-2</v>
      </c>
      <c r="T341" s="3">
        <f t="shared" si="348"/>
        <v>4.2452055612649782E-3</v>
      </c>
      <c r="U341" s="3">
        <f t="shared" si="348"/>
        <v>1.3407692276205554E-14</v>
      </c>
      <c r="V341" s="3">
        <f t="shared" si="348"/>
        <v>1.3240583568849222E-129</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6.5723461611377515E-2</v>
      </c>
      <c r="C342" s="3">
        <f t="shared" si="349"/>
        <v>6.5723461611377515E-2</v>
      </c>
      <c r="D342" s="3">
        <f t="shared" si="349"/>
        <v>6.5723461611377515E-2</v>
      </c>
      <c r="E342" s="3">
        <f t="shared" si="349"/>
        <v>6.5723461611377501E-2</v>
      </c>
      <c r="F342" s="3">
        <f t="shared" si="349"/>
        <v>6.5723461611377335E-2</v>
      </c>
      <c r="G342" s="3">
        <f t="shared" si="349"/>
        <v>6.5723461611375766E-2</v>
      </c>
      <c r="H342" s="3">
        <f t="shared" si="349"/>
        <v>6.5723461611360071E-2</v>
      </c>
      <c r="I342" s="3">
        <f t="shared" si="349"/>
        <v>6.5723461611203071E-2</v>
      </c>
      <c r="J342" s="3">
        <f t="shared" si="349"/>
        <v>6.5723461609633063E-2</v>
      </c>
      <c r="K342" s="3">
        <f t="shared" si="349"/>
        <v>6.5723461593933011E-2</v>
      </c>
      <c r="L342" s="3">
        <f t="shared" si="349"/>
        <v>6.5723461436932487E-2</v>
      </c>
      <c r="M342" s="3">
        <f t="shared" si="349"/>
        <v>6.5723459866927209E-2</v>
      </c>
      <c r="N342" s="3">
        <f t="shared" si="349"/>
        <v>6.5723444166876477E-2</v>
      </c>
      <c r="O342" s="3">
        <f t="shared" si="349"/>
        <v>6.5723287166575495E-2</v>
      </c>
      <c r="P342" s="3">
        <f t="shared" si="349"/>
        <v>6.5721717184192938E-2</v>
      </c>
      <c r="Q342" s="3">
        <f t="shared" si="349"/>
        <v>6.5706019422904757E-2</v>
      </c>
      <c r="R342" s="3">
        <f t="shared" si="349"/>
        <v>6.5549247881588016E-2</v>
      </c>
      <c r="S342" s="3">
        <f t="shared" si="349"/>
        <v>6.400195864491548E-2</v>
      </c>
      <c r="T342" s="3">
        <f t="shared" si="349"/>
        <v>5.0402117703047429E-2</v>
      </c>
      <c r="U342" s="3">
        <f t="shared" si="349"/>
        <v>4.623852564641321E-3</v>
      </c>
      <c r="V342" s="3">
        <f t="shared" si="349"/>
        <v>1.95234207386071E-13</v>
      </c>
      <c r="W342" s="3">
        <f t="shared" si="349"/>
        <v>3.5162137826955082E-117</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5.0766006496314589E-2</v>
      </c>
      <c r="C343" s="3">
        <f t="shared" si="350"/>
        <v>5.0766006496314589E-2</v>
      </c>
      <c r="D343" s="3">
        <f t="shared" si="350"/>
        <v>5.0766006496314589E-2</v>
      </c>
      <c r="E343" s="3">
        <f t="shared" si="350"/>
        <v>5.0766006496314589E-2</v>
      </c>
      <c r="F343" s="3">
        <f t="shared" si="350"/>
        <v>5.0766006496314575E-2</v>
      </c>
      <c r="G343" s="3">
        <f t="shared" si="350"/>
        <v>5.0766006496314464E-2</v>
      </c>
      <c r="H343" s="3">
        <f t="shared" si="350"/>
        <v>5.0766006496313375E-2</v>
      </c>
      <c r="I343" s="3">
        <f t="shared" si="350"/>
        <v>5.0766006496302432E-2</v>
      </c>
      <c r="J343" s="3">
        <f t="shared" si="350"/>
        <v>5.076600649619304E-2</v>
      </c>
      <c r="K343" s="3">
        <f t="shared" si="350"/>
        <v>5.0766006495099082E-2</v>
      </c>
      <c r="L343" s="3">
        <f t="shared" si="350"/>
        <v>5.0766006484159507E-2</v>
      </c>
      <c r="M343" s="3">
        <f t="shared" si="350"/>
        <v>5.0766006374763806E-2</v>
      </c>
      <c r="N343" s="3">
        <f t="shared" si="350"/>
        <v>5.0766005280806742E-2</v>
      </c>
      <c r="O343" s="3">
        <f t="shared" si="350"/>
        <v>5.0765994341237429E-2</v>
      </c>
      <c r="P343" s="3">
        <f t="shared" si="350"/>
        <v>5.0765884945673946E-2</v>
      </c>
      <c r="Q343" s="3">
        <f t="shared" si="350"/>
        <v>5.0764791003004545E-2</v>
      </c>
      <c r="R343" s="3">
        <f t="shared" si="350"/>
        <v>5.0753852872748563E-2</v>
      </c>
      <c r="S343" s="3">
        <f t="shared" si="350"/>
        <v>5.0644601110689247E-2</v>
      </c>
      <c r="T343" s="3">
        <f t="shared" si="350"/>
        <v>4.9564934848421331E-2</v>
      </c>
      <c r="U343" s="3">
        <f t="shared" si="350"/>
        <v>3.9956587248406616E-2</v>
      </c>
      <c r="V343" s="3">
        <f t="shared" si="350"/>
        <v>4.6315554183291932E-3</v>
      </c>
      <c r="W343" s="3">
        <f t="shared" si="350"/>
        <v>2.0282040243141975E-12</v>
      </c>
      <c r="X343" s="3">
        <f t="shared" si="350"/>
        <v>5.2596808417519581E-106</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2.7257633093652572E-2</v>
      </c>
      <c r="C344" s="3">
        <f t="shared" si="351"/>
        <v>2.7257633093652572E-2</v>
      </c>
      <c r="D344" s="3">
        <f t="shared" si="351"/>
        <v>2.7257633093652572E-2</v>
      </c>
      <c r="E344" s="3">
        <f t="shared" si="351"/>
        <v>2.7257633093652572E-2</v>
      </c>
      <c r="F344" s="3">
        <f t="shared" si="351"/>
        <v>2.7257633093652572E-2</v>
      </c>
      <c r="G344" s="3">
        <f t="shared" si="351"/>
        <v>2.7257633093652565E-2</v>
      </c>
      <c r="H344" s="3">
        <f t="shared" si="351"/>
        <v>2.7257633093652513E-2</v>
      </c>
      <c r="I344" s="3">
        <f t="shared" si="351"/>
        <v>2.7257633093651982E-2</v>
      </c>
      <c r="J344" s="3">
        <f t="shared" si="351"/>
        <v>2.7257633093646684E-2</v>
      </c>
      <c r="K344" s="3">
        <f t="shared" si="351"/>
        <v>2.7257633093593695E-2</v>
      </c>
      <c r="L344" s="3">
        <f t="shared" si="351"/>
        <v>2.7257633093063838E-2</v>
      </c>
      <c r="M344" s="3">
        <f t="shared" si="351"/>
        <v>2.7257633087765226E-2</v>
      </c>
      <c r="N344" s="3">
        <f t="shared" si="351"/>
        <v>2.725763303477912E-2</v>
      </c>
      <c r="O344" s="3">
        <f t="shared" si="351"/>
        <v>2.7257632504918056E-2</v>
      </c>
      <c r="P344" s="3">
        <f t="shared" si="351"/>
        <v>2.7257627206307974E-2</v>
      </c>
      <c r="Q344" s="3">
        <f t="shared" si="351"/>
        <v>2.7257574220263845E-2</v>
      </c>
      <c r="R344" s="3">
        <f t="shared" si="351"/>
        <v>2.7257044365487457E-2</v>
      </c>
      <c r="S344" s="3">
        <f t="shared" si="351"/>
        <v>2.7251746384176594E-2</v>
      </c>
      <c r="T344" s="3">
        <f t="shared" si="351"/>
        <v>2.7198823175645551E-2</v>
      </c>
      <c r="U344" s="3">
        <f t="shared" si="351"/>
        <v>2.667521104648176E-2</v>
      </c>
      <c r="V344" s="3">
        <f t="shared" si="351"/>
        <v>2.1962681785210159E-2</v>
      </c>
      <c r="W344" s="3">
        <f t="shared" si="351"/>
        <v>3.1438398871689835E-3</v>
      </c>
      <c r="X344" s="3">
        <f t="shared" si="351"/>
        <v>1.1355621937659977E-11</v>
      </c>
      <c r="Y344" s="3">
        <f t="shared" si="351"/>
        <v>4.2925560967209932E-96</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1.5460526055255958E-2</v>
      </c>
      <c r="C345" s="3">
        <f t="shared" si="352"/>
        <v>1.5460526055255958E-2</v>
      </c>
      <c r="D345" s="3">
        <f t="shared" si="352"/>
        <v>1.5460526055255958E-2</v>
      </c>
      <c r="E345" s="3">
        <f t="shared" si="352"/>
        <v>1.5460526055255958E-2</v>
      </c>
      <c r="F345" s="3">
        <f t="shared" si="352"/>
        <v>1.5460526055255958E-2</v>
      </c>
      <c r="G345" s="3">
        <f t="shared" si="352"/>
        <v>1.5460526055255958E-2</v>
      </c>
      <c r="H345" s="3">
        <f t="shared" si="352"/>
        <v>1.5460526055255955E-2</v>
      </c>
      <c r="I345" s="3">
        <f t="shared" si="352"/>
        <v>1.5460526055255927E-2</v>
      </c>
      <c r="J345" s="3">
        <f t="shared" si="352"/>
        <v>1.5460526055255658E-2</v>
      </c>
      <c r="K345" s="3">
        <f t="shared" si="352"/>
        <v>1.5460526055252945E-2</v>
      </c>
      <c r="L345" s="3">
        <f t="shared" si="352"/>
        <v>1.5460526055225835E-2</v>
      </c>
      <c r="M345" s="3">
        <f t="shared" si="352"/>
        <v>1.5460526054954725E-2</v>
      </c>
      <c r="N345" s="3">
        <f t="shared" si="352"/>
        <v>1.546052605224363E-2</v>
      </c>
      <c r="O345" s="3">
        <f t="shared" si="352"/>
        <v>1.5460526025132681E-2</v>
      </c>
      <c r="P345" s="3">
        <f t="shared" si="352"/>
        <v>1.5460525754023187E-2</v>
      </c>
      <c r="Q345" s="3">
        <f t="shared" si="352"/>
        <v>1.546052304292852E-2</v>
      </c>
      <c r="R345" s="3">
        <f t="shared" si="352"/>
        <v>1.5460495932007988E-2</v>
      </c>
      <c r="S345" s="3">
        <f t="shared" si="352"/>
        <v>1.5460224825417385E-2</v>
      </c>
      <c r="T345" s="3">
        <f t="shared" si="352"/>
        <v>1.5457514020966132E-2</v>
      </c>
      <c r="U345" s="3">
        <f t="shared" si="352"/>
        <v>1.5430432104975137E-2</v>
      </c>
      <c r="V345" s="3">
        <f t="shared" si="352"/>
        <v>1.5162208923815316E-2</v>
      </c>
      <c r="W345" s="3">
        <f t="shared" si="352"/>
        <v>1.2723493224696261E-2</v>
      </c>
      <c r="X345" s="3">
        <f t="shared" si="352"/>
        <v>2.2031558790925553E-3</v>
      </c>
      <c r="Y345" s="3">
        <f t="shared" si="352"/>
        <v>5.3386795579972336E-11</v>
      </c>
      <c r="Z345" s="3">
        <f t="shared" si="352"/>
        <v>3.7266631415021327E-87</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6.5522275925880558E-3</v>
      </c>
      <c r="C346" s="3">
        <f t="shared" si="353"/>
        <v>6.5522275925880558E-3</v>
      </c>
      <c r="D346" s="3">
        <f t="shared" si="353"/>
        <v>6.5522275925880558E-3</v>
      </c>
      <c r="E346" s="3">
        <f t="shared" si="353"/>
        <v>6.5522275925880558E-3</v>
      </c>
      <c r="F346" s="3">
        <f t="shared" si="353"/>
        <v>6.5522275925880558E-3</v>
      </c>
      <c r="G346" s="3">
        <f t="shared" si="353"/>
        <v>6.5522275925880558E-3</v>
      </c>
      <c r="H346" s="3">
        <f t="shared" si="353"/>
        <v>6.5522275925880558E-3</v>
      </c>
      <c r="I346" s="3">
        <f t="shared" si="353"/>
        <v>6.552227592588054E-3</v>
      </c>
      <c r="J346" s="3">
        <f t="shared" si="353"/>
        <v>6.5522275925880445E-3</v>
      </c>
      <c r="K346" s="3">
        <f t="shared" si="353"/>
        <v>6.5522275925879404E-3</v>
      </c>
      <c r="L346" s="3">
        <f t="shared" si="353"/>
        <v>6.5522275925869039E-3</v>
      </c>
      <c r="M346" s="3">
        <f t="shared" si="353"/>
        <v>6.5522275925765398E-3</v>
      </c>
      <c r="N346" s="3">
        <f t="shared" si="353"/>
        <v>6.5522275924728927E-3</v>
      </c>
      <c r="O346" s="3">
        <f t="shared" si="353"/>
        <v>6.552227591436424E-3</v>
      </c>
      <c r="P346" s="3">
        <f t="shared" si="353"/>
        <v>6.5522275810717418E-3</v>
      </c>
      <c r="Q346" s="3">
        <f t="shared" si="353"/>
        <v>6.5522274774249111E-3</v>
      </c>
      <c r="R346" s="3">
        <f t="shared" si="353"/>
        <v>6.552226440956703E-3</v>
      </c>
      <c r="S346" s="3">
        <f t="shared" si="353"/>
        <v>6.5522160762836335E-3</v>
      </c>
      <c r="T346" s="3">
        <f t="shared" si="353"/>
        <v>6.5521124304546863E-3</v>
      </c>
      <c r="U346" s="3">
        <f t="shared" si="353"/>
        <v>6.5510760623342674E-3</v>
      </c>
      <c r="V346" s="3">
        <f t="shared" si="353"/>
        <v>6.5407213927605396E-3</v>
      </c>
      <c r="W346" s="3">
        <f t="shared" si="353"/>
        <v>6.4380706079230762E-3</v>
      </c>
      <c r="X346" s="3">
        <f t="shared" si="353"/>
        <v>5.4961247948474967E-3</v>
      </c>
      <c r="Y346" s="3">
        <f t="shared" si="353"/>
        <v>1.1299652395316943E-3</v>
      </c>
      <c r="Z346" s="3">
        <f t="shared" si="353"/>
        <v>1.5245794750961597E-10</v>
      </c>
      <c r="AA346" s="3">
        <f t="shared" si="353"/>
        <v>3.0478944172815763E-79</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1.7032131485439372E-3</v>
      </c>
      <c r="C347" s="3">
        <f t="shared" si="354"/>
        <v>1.7032131485439372E-3</v>
      </c>
      <c r="D347" s="3">
        <f t="shared" si="354"/>
        <v>1.7032131485439372E-3</v>
      </c>
      <c r="E347" s="3">
        <f t="shared" si="354"/>
        <v>1.7032131485439372E-3</v>
      </c>
      <c r="F347" s="3">
        <f t="shared" si="354"/>
        <v>1.7032131485439372E-3</v>
      </c>
      <c r="G347" s="3">
        <f t="shared" si="354"/>
        <v>1.7032131485439372E-3</v>
      </c>
      <c r="H347" s="3">
        <f t="shared" si="354"/>
        <v>1.7032131485439372E-3</v>
      </c>
      <c r="I347" s="3">
        <f t="shared" si="354"/>
        <v>1.7032131485439372E-3</v>
      </c>
      <c r="J347" s="3">
        <f t="shared" si="354"/>
        <v>1.703213148543937E-3</v>
      </c>
      <c r="K347" s="3">
        <f t="shared" si="354"/>
        <v>1.7032131485439346E-3</v>
      </c>
      <c r="L347" s="3">
        <f t="shared" si="354"/>
        <v>1.7032131485439101E-3</v>
      </c>
      <c r="M347" s="3">
        <f t="shared" si="354"/>
        <v>1.7032131485436672E-3</v>
      </c>
      <c r="N347" s="3">
        <f t="shared" si="354"/>
        <v>1.7032131485412367E-3</v>
      </c>
      <c r="O347" s="3">
        <f t="shared" si="354"/>
        <v>1.7032131485169323E-3</v>
      </c>
      <c r="P347" s="3">
        <f t="shared" si="354"/>
        <v>1.7032131482738896E-3</v>
      </c>
      <c r="Q347" s="3">
        <f t="shared" si="354"/>
        <v>1.7032131458434624E-3</v>
      </c>
      <c r="R347" s="3">
        <f t="shared" si="354"/>
        <v>1.7032131215391889E-3</v>
      </c>
      <c r="S347" s="3">
        <f t="shared" si="354"/>
        <v>1.7032128784964743E-3</v>
      </c>
      <c r="T347" s="3">
        <f t="shared" si="354"/>
        <v>1.7032104480712346E-3</v>
      </c>
      <c r="U347" s="3">
        <f t="shared" si="354"/>
        <v>1.7031861440095838E-3</v>
      </c>
      <c r="V347" s="3">
        <f t="shared" si="354"/>
        <v>1.7029431224667121E-3</v>
      </c>
      <c r="W347" s="3">
        <f t="shared" si="354"/>
        <v>1.7005148133949868E-3</v>
      </c>
      <c r="X347" s="3">
        <f t="shared" si="354"/>
        <v>1.6764213556935529E-3</v>
      </c>
      <c r="Y347" s="3">
        <f t="shared" si="354"/>
        <v>1.4534859429815624E-3</v>
      </c>
      <c r="Z347" s="3">
        <f t="shared" si="354"/>
        <v>3.4888905821969801E-4</v>
      </c>
      <c r="AA347" s="3">
        <f t="shared" si="354"/>
        <v>2.2154016967012926E-10</v>
      </c>
      <c r="AB347" s="3">
        <f t="shared" si="354"/>
        <v>2.3610426360650601E-72</v>
      </c>
      <c r="AC347" s="3">
        <f t="shared" si="354"/>
        <v>0</v>
      </c>
      <c r="AD347" s="3">
        <f t="shared" si="354"/>
        <v>0</v>
      </c>
      <c r="AE347" s="3">
        <f t="shared" si="354"/>
        <v>0</v>
      </c>
      <c r="AF347" s="3">
        <f t="shared" si="354"/>
        <v>0</v>
      </c>
      <c r="AG347" s="3"/>
      <c r="AH347" s="3"/>
    </row>
    <row r="348" spans="2:34" x14ac:dyDescent="0.25">
      <c r="B348" s="3">
        <f t="shared" ref="B348:AF348" si="355">$C39*EXP(-B$363/$A39/EXP(-$G$126))</f>
        <v>4.5350630336780827E-3</v>
      </c>
      <c r="C348" s="3">
        <f t="shared" si="355"/>
        <v>4.5350630336780827E-3</v>
      </c>
      <c r="D348" s="3">
        <f t="shared" si="355"/>
        <v>4.5350630336780827E-3</v>
      </c>
      <c r="E348" s="3">
        <f t="shared" si="355"/>
        <v>4.5350630336780827E-3</v>
      </c>
      <c r="F348" s="3">
        <f t="shared" si="355"/>
        <v>4.5350630336780827E-3</v>
      </c>
      <c r="G348" s="3">
        <f t="shared" si="355"/>
        <v>4.5350630336780827E-3</v>
      </c>
      <c r="H348" s="3">
        <f t="shared" si="355"/>
        <v>4.5350630336780827E-3</v>
      </c>
      <c r="I348" s="3">
        <f t="shared" si="355"/>
        <v>4.5350630336780827E-3</v>
      </c>
      <c r="J348" s="3">
        <f t="shared" si="355"/>
        <v>4.5350630336780827E-3</v>
      </c>
      <c r="K348" s="3">
        <f t="shared" si="355"/>
        <v>4.5350630336780809E-3</v>
      </c>
      <c r="L348" s="3">
        <f t="shared" si="355"/>
        <v>4.5350630336780627E-3</v>
      </c>
      <c r="M348" s="3">
        <f t="shared" si="355"/>
        <v>4.535063033677884E-3</v>
      </c>
      <c r="N348" s="3">
        <f t="shared" si="355"/>
        <v>4.5350630336760938E-3</v>
      </c>
      <c r="O348" s="3">
        <f t="shared" si="355"/>
        <v>4.5350630336581958E-3</v>
      </c>
      <c r="P348" s="3">
        <f t="shared" si="355"/>
        <v>4.5350630334792131E-3</v>
      </c>
      <c r="Q348" s="3">
        <f t="shared" si="355"/>
        <v>4.5350630316893913E-3</v>
      </c>
      <c r="R348" s="3">
        <f t="shared" si="355"/>
        <v>4.535063013791172E-3</v>
      </c>
      <c r="S348" s="3">
        <f t="shared" si="355"/>
        <v>4.5350628348089792E-3</v>
      </c>
      <c r="T348" s="3">
        <f t="shared" si="355"/>
        <v>4.5350610449874451E-3</v>
      </c>
      <c r="U348" s="3">
        <f t="shared" si="355"/>
        <v>4.5350431468109513E-3</v>
      </c>
      <c r="V348" s="3">
        <f t="shared" si="355"/>
        <v>4.5348641689310224E-3</v>
      </c>
      <c r="W348" s="3">
        <f t="shared" si="355"/>
        <v>4.5330747785758659E-3</v>
      </c>
      <c r="X348" s="3">
        <f t="shared" si="355"/>
        <v>4.5152196627747986E-3</v>
      </c>
      <c r="Y348" s="3">
        <f t="shared" si="355"/>
        <v>4.3404912328262523E-3</v>
      </c>
      <c r="Z348" s="3">
        <f t="shared" si="355"/>
        <v>2.925087644915099E-3</v>
      </c>
      <c r="AA348" s="3">
        <f t="shared" si="355"/>
        <v>5.6511766687910351E-5</v>
      </c>
      <c r="AB348" s="3">
        <f t="shared" si="355"/>
        <v>4.0939156993294908E-22</v>
      </c>
      <c r="AC348" s="3">
        <f t="shared" si="355"/>
        <v>1.6298176084633581E-193</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1.6861233379433117E-3</v>
      </c>
      <c r="C350" s="3">
        <f t="shared" si="357"/>
        <v>1.6861233379433117E-3</v>
      </c>
      <c r="D350" s="3">
        <f t="shared" si="357"/>
        <v>1.6861233379433117E-3</v>
      </c>
      <c r="E350" s="3">
        <f t="shared" si="357"/>
        <v>1.6861233379433117E-3</v>
      </c>
      <c r="F350" s="3">
        <f t="shared" si="357"/>
        <v>1.6861233379433117E-3</v>
      </c>
      <c r="G350" s="3">
        <f t="shared" si="357"/>
        <v>1.6861233379433117E-3</v>
      </c>
      <c r="H350" s="3">
        <f t="shared" si="357"/>
        <v>1.6861233379433117E-3</v>
      </c>
      <c r="I350" s="3">
        <f t="shared" si="357"/>
        <v>1.6861233379433117E-3</v>
      </c>
      <c r="J350" s="3">
        <f t="shared" si="357"/>
        <v>1.6861233379433117E-3</v>
      </c>
      <c r="K350" s="3">
        <f t="shared" si="357"/>
        <v>1.6861233379433117E-3</v>
      </c>
      <c r="L350" s="3">
        <f t="shared" si="357"/>
        <v>1.6861233379433117E-3</v>
      </c>
      <c r="M350" s="3">
        <f t="shared" si="357"/>
        <v>1.686123337943311E-3</v>
      </c>
      <c r="N350" s="3">
        <f t="shared" si="357"/>
        <v>1.6861233379433043E-3</v>
      </c>
      <c r="O350" s="3">
        <f t="shared" si="357"/>
        <v>1.6861233379432377E-3</v>
      </c>
      <c r="P350" s="3">
        <f t="shared" si="357"/>
        <v>1.6861233379425722E-3</v>
      </c>
      <c r="Q350" s="3">
        <f t="shared" si="357"/>
        <v>1.6861233379359178E-3</v>
      </c>
      <c r="R350" s="3">
        <f t="shared" si="357"/>
        <v>1.6861233378693728E-3</v>
      </c>
      <c r="S350" s="3">
        <f t="shared" si="357"/>
        <v>1.686123337203922E-3</v>
      </c>
      <c r="T350" s="3">
        <f t="shared" si="357"/>
        <v>1.6861233305494158E-3</v>
      </c>
      <c r="U350" s="3">
        <f t="shared" si="357"/>
        <v>1.6861232640043534E-3</v>
      </c>
      <c r="V350" s="3">
        <f t="shared" si="357"/>
        <v>1.6861225985538764E-3</v>
      </c>
      <c r="W350" s="3">
        <f t="shared" si="357"/>
        <v>1.6861159440635489E-3</v>
      </c>
      <c r="X350" s="3">
        <f t="shared" si="357"/>
        <v>1.6860494006047074E-3</v>
      </c>
      <c r="Y350" s="3">
        <f t="shared" si="357"/>
        <v>1.6853841104387021E-3</v>
      </c>
      <c r="Z350" s="3">
        <f t="shared" si="357"/>
        <v>1.6787456299522593E-3</v>
      </c>
      <c r="AA350" s="3">
        <f t="shared" si="357"/>
        <v>1.6137821043406878E-3</v>
      </c>
      <c r="AB350" s="3">
        <f t="shared" si="357"/>
        <v>1.0875391382643975E-3</v>
      </c>
      <c r="AC350" s="3">
        <f t="shared" si="357"/>
        <v>2.1010911639658773E-5</v>
      </c>
      <c r="AD350" s="3">
        <f t="shared" si="357"/>
        <v>1.5221060331356709E-22</v>
      </c>
      <c r="AE350" s="3">
        <f t="shared" si="357"/>
        <v>6.0596147965604932E-194</v>
      </c>
      <c r="AF350" s="3">
        <f t="shared" si="357"/>
        <v>0</v>
      </c>
      <c r="AG350" s="3"/>
      <c r="AH350" s="3"/>
    </row>
    <row r="351" spans="2:34" x14ac:dyDescent="0.25">
      <c r="B351" s="3">
        <f t="shared" ref="B351:AF351" si="358">$C42*EXP(-B$363/$A42/EXP(-$G$126))</f>
        <v>3.1917428644915027E-3</v>
      </c>
      <c r="C351" s="3">
        <f t="shared" si="358"/>
        <v>3.1917428644915027E-3</v>
      </c>
      <c r="D351" s="3">
        <f t="shared" si="358"/>
        <v>3.1917428644915027E-3</v>
      </c>
      <c r="E351" s="3">
        <f t="shared" si="358"/>
        <v>3.1917428644915027E-3</v>
      </c>
      <c r="F351" s="3">
        <f t="shared" si="358"/>
        <v>3.1917428644915027E-3</v>
      </c>
      <c r="G351" s="3">
        <f t="shared" si="358"/>
        <v>3.1917428644915027E-3</v>
      </c>
      <c r="H351" s="3">
        <f t="shared" si="358"/>
        <v>3.1917428644915027E-3</v>
      </c>
      <c r="I351" s="3">
        <f t="shared" si="358"/>
        <v>3.1917428644915027E-3</v>
      </c>
      <c r="J351" s="3">
        <f t="shared" si="358"/>
        <v>3.1917428644915027E-3</v>
      </c>
      <c r="K351" s="3">
        <f t="shared" si="358"/>
        <v>3.1917428644915027E-3</v>
      </c>
      <c r="L351" s="3">
        <f t="shared" si="358"/>
        <v>3.1917428644915027E-3</v>
      </c>
      <c r="M351" s="3">
        <f t="shared" si="358"/>
        <v>3.1917428644915027E-3</v>
      </c>
      <c r="N351" s="3">
        <f t="shared" si="358"/>
        <v>3.1917428644915014E-3</v>
      </c>
      <c r="O351" s="3">
        <f t="shared" si="358"/>
        <v>3.1917428644914888E-3</v>
      </c>
      <c r="P351" s="3">
        <f t="shared" si="358"/>
        <v>3.1917428644913626E-3</v>
      </c>
      <c r="Q351" s="3">
        <f t="shared" si="358"/>
        <v>3.1917428644901032E-3</v>
      </c>
      <c r="R351" s="3">
        <f t="shared" si="358"/>
        <v>3.1917428644775065E-3</v>
      </c>
      <c r="S351" s="3">
        <f t="shared" si="358"/>
        <v>3.19174286435154E-3</v>
      </c>
      <c r="T351" s="3">
        <f t="shared" si="358"/>
        <v>3.1917428630918771E-3</v>
      </c>
      <c r="U351" s="3">
        <f t="shared" si="358"/>
        <v>3.1917428504952463E-3</v>
      </c>
      <c r="V351" s="3">
        <f t="shared" si="358"/>
        <v>3.1917427245289408E-3</v>
      </c>
      <c r="W351" s="3">
        <f t="shared" si="358"/>
        <v>3.19174146486616E-3</v>
      </c>
      <c r="X351" s="3">
        <f t="shared" si="358"/>
        <v>3.1917288682656972E-3</v>
      </c>
      <c r="Y351" s="3">
        <f t="shared" si="358"/>
        <v>3.1916029049953026E-3</v>
      </c>
      <c r="Z351" s="3">
        <f t="shared" si="358"/>
        <v>3.1903435456753886E-3</v>
      </c>
      <c r="AA351" s="3">
        <f t="shared" si="358"/>
        <v>3.1777772509999857E-3</v>
      </c>
      <c r="AB351" s="3">
        <f t="shared" si="358"/>
        <v>3.0548047111762615E-3</v>
      </c>
      <c r="AC351" s="3">
        <f t="shared" si="358"/>
        <v>2.0586544331001547E-3</v>
      </c>
      <c r="AD351" s="3">
        <f t="shared" si="358"/>
        <v>3.9772551505124227E-5</v>
      </c>
      <c r="AE351" s="3">
        <f t="shared" si="358"/>
        <v>2.8812667264223461E-22</v>
      </c>
      <c r="AF351" s="3">
        <f t="shared" si="358"/>
        <v>1.1470532346750145E-193</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1.5213277079669291E-4</v>
      </c>
      <c r="C354" s="3">
        <f t="shared" si="361"/>
        <v>1.5213277079669291E-4</v>
      </c>
      <c r="D354" s="3">
        <f t="shared" si="361"/>
        <v>1.5213277079669291E-4</v>
      </c>
      <c r="E354" s="3">
        <f t="shared" si="361"/>
        <v>1.5213277079669291E-4</v>
      </c>
      <c r="F354" s="3">
        <f t="shared" si="361"/>
        <v>1.5213277079669291E-4</v>
      </c>
      <c r="G354" s="3">
        <f t="shared" si="361"/>
        <v>1.5213277079669291E-4</v>
      </c>
      <c r="H354" s="3">
        <f t="shared" si="361"/>
        <v>1.5213277079669291E-4</v>
      </c>
      <c r="I354" s="3">
        <f t="shared" si="361"/>
        <v>1.5213277079669291E-4</v>
      </c>
      <c r="J354" s="3">
        <f t="shared" si="361"/>
        <v>1.5213277079669291E-4</v>
      </c>
      <c r="K354" s="3">
        <f t="shared" si="361"/>
        <v>1.5213277079669291E-4</v>
      </c>
      <c r="L354" s="3">
        <f t="shared" si="361"/>
        <v>1.5213277079669291E-4</v>
      </c>
      <c r="M354" s="3">
        <f t="shared" si="361"/>
        <v>1.5213277079669291E-4</v>
      </c>
      <c r="N354" s="3">
        <f t="shared" si="361"/>
        <v>1.5213277079669291E-4</v>
      </c>
      <c r="O354" s="3">
        <f t="shared" si="361"/>
        <v>1.5213277079669291E-4</v>
      </c>
      <c r="P354" s="3">
        <f t="shared" si="361"/>
        <v>1.5213277079669291E-4</v>
      </c>
      <c r="Q354" s="3">
        <f t="shared" si="361"/>
        <v>1.5213277079669286E-4</v>
      </c>
      <c r="R354" s="3">
        <f t="shared" si="361"/>
        <v>1.5213277079669226E-4</v>
      </c>
      <c r="S354" s="3">
        <f t="shared" si="361"/>
        <v>1.5213277079668624E-4</v>
      </c>
      <c r="T354" s="3">
        <f t="shared" si="361"/>
        <v>1.5213277079662621E-4</v>
      </c>
      <c r="U354" s="3">
        <f t="shared" si="361"/>
        <v>1.5213277079602577E-4</v>
      </c>
      <c r="V354" s="3">
        <f t="shared" si="361"/>
        <v>1.5213277079002165E-4</v>
      </c>
      <c r="W354" s="3">
        <f t="shared" si="361"/>
        <v>1.5213277072998049E-4</v>
      </c>
      <c r="X354" s="3">
        <f t="shared" si="361"/>
        <v>1.521327701295686E-4</v>
      </c>
      <c r="Y354" s="3">
        <f t="shared" si="361"/>
        <v>1.5213276412544987E-4</v>
      </c>
      <c r="Z354" s="3">
        <f t="shared" si="361"/>
        <v>1.5213270408427575E-4</v>
      </c>
      <c r="AA354" s="3">
        <f t="shared" si="361"/>
        <v>1.521321036738378E-4</v>
      </c>
      <c r="AB354" s="3">
        <f t="shared" si="361"/>
        <v>1.5212609969978436E-4</v>
      </c>
      <c r="AC354" s="3">
        <f t="shared" si="361"/>
        <v>1.5206607298995798E-4</v>
      </c>
      <c r="AD354" s="3">
        <f t="shared" si="361"/>
        <v>1.5146710706169191E-4</v>
      </c>
      <c r="AE354" s="3">
        <f t="shared" si="361"/>
        <v>1.4560568463214095E-4</v>
      </c>
      <c r="AF354" s="3">
        <f t="shared" si="361"/>
        <v>9.8124697482582999E-5</v>
      </c>
      <c r="AG354" s="3"/>
      <c r="AH354" s="3"/>
    </row>
    <row r="355" spans="1:34" x14ac:dyDescent="0.25">
      <c r="B355" s="3">
        <f t="shared" ref="B355:AF355" si="362">$C46*EXP(-B$363/$A46/EXP(-$G$126))</f>
        <v>1.3986654220962105E-4</v>
      </c>
      <c r="C355" s="3">
        <f t="shared" si="362"/>
        <v>1.3986654220962105E-4</v>
      </c>
      <c r="D355" s="3">
        <f t="shared" si="362"/>
        <v>1.3986654220962105E-4</v>
      </c>
      <c r="E355" s="3">
        <f t="shared" si="362"/>
        <v>1.3986654220962105E-4</v>
      </c>
      <c r="F355" s="3">
        <f t="shared" si="362"/>
        <v>1.3986654220962105E-4</v>
      </c>
      <c r="G355" s="3">
        <f t="shared" si="362"/>
        <v>1.3986654220962105E-4</v>
      </c>
      <c r="H355" s="3">
        <f t="shared" si="362"/>
        <v>1.3986654220962105E-4</v>
      </c>
      <c r="I355" s="3">
        <f t="shared" si="362"/>
        <v>1.3986654220962105E-4</v>
      </c>
      <c r="J355" s="3">
        <f t="shared" si="362"/>
        <v>1.3986654220962105E-4</v>
      </c>
      <c r="K355" s="3">
        <f t="shared" si="362"/>
        <v>1.3986654220962105E-4</v>
      </c>
      <c r="L355" s="3">
        <f t="shared" si="362"/>
        <v>1.3986654220962105E-4</v>
      </c>
      <c r="M355" s="3">
        <f t="shared" si="362"/>
        <v>1.3986654220962105E-4</v>
      </c>
      <c r="N355" s="3">
        <f t="shared" si="362"/>
        <v>1.3986654220962105E-4</v>
      </c>
      <c r="O355" s="3">
        <f t="shared" si="362"/>
        <v>1.3986654220962105E-4</v>
      </c>
      <c r="P355" s="3">
        <f t="shared" si="362"/>
        <v>1.3986654220962105E-4</v>
      </c>
      <c r="Q355" s="3">
        <f t="shared" si="362"/>
        <v>1.3986654220962105E-4</v>
      </c>
      <c r="R355" s="3">
        <f t="shared" si="362"/>
        <v>1.39866542209621E-4</v>
      </c>
      <c r="S355" s="3">
        <f t="shared" si="362"/>
        <v>1.3986654220962046E-4</v>
      </c>
      <c r="T355" s="3">
        <f t="shared" si="362"/>
        <v>1.3986654220961493E-4</v>
      </c>
      <c r="U355" s="3">
        <f t="shared" si="362"/>
        <v>1.3986654220955971E-4</v>
      </c>
      <c r="V355" s="3">
        <f t="shared" si="362"/>
        <v>1.3986654220900772E-4</v>
      </c>
      <c r="W355" s="3">
        <f t="shared" si="362"/>
        <v>1.3986654220348769E-4</v>
      </c>
      <c r="X355" s="3">
        <f t="shared" si="362"/>
        <v>1.3986654214828755E-4</v>
      </c>
      <c r="Y355" s="3">
        <f t="shared" si="362"/>
        <v>1.3986654159628593E-4</v>
      </c>
      <c r="Z355" s="3">
        <f t="shared" si="362"/>
        <v>1.3986653607626996E-4</v>
      </c>
      <c r="AA355" s="3">
        <f t="shared" si="362"/>
        <v>1.3986648087612228E-4</v>
      </c>
      <c r="AB355" s="3">
        <f t="shared" si="362"/>
        <v>1.398659288758437E-4</v>
      </c>
      <c r="AC355" s="3">
        <f t="shared" si="362"/>
        <v>1.3986040899287584E-4</v>
      </c>
      <c r="AD355" s="3">
        <f t="shared" si="362"/>
        <v>1.3980522214325977E-4</v>
      </c>
      <c r="AE355" s="3">
        <f t="shared" si="362"/>
        <v>1.3925454990578433E-4</v>
      </c>
      <c r="AF355" s="3">
        <f t="shared" si="362"/>
        <v>1.3386572484621321E-4</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8.4977640874607974E-4</v>
      </c>
      <c r="C357" s="3">
        <f t="shared" si="364"/>
        <v>8.4977640874607974E-4</v>
      </c>
      <c r="D357" s="3">
        <f t="shared" si="364"/>
        <v>8.4977640874607974E-4</v>
      </c>
      <c r="E357" s="3">
        <f t="shared" si="364"/>
        <v>8.4977640874607974E-4</v>
      </c>
      <c r="F357" s="3">
        <f t="shared" si="364"/>
        <v>8.4977640874607974E-4</v>
      </c>
      <c r="G357" s="3">
        <f t="shared" si="364"/>
        <v>8.4977640874607974E-4</v>
      </c>
      <c r="H357" s="3">
        <f t="shared" si="364"/>
        <v>8.4977640874607974E-4</v>
      </c>
      <c r="I357" s="3">
        <f t="shared" si="364"/>
        <v>8.4977640874607974E-4</v>
      </c>
      <c r="J357" s="3">
        <f t="shared" si="364"/>
        <v>8.4977640874607974E-4</v>
      </c>
      <c r="K357" s="3">
        <f t="shared" si="364"/>
        <v>8.4977640874607974E-4</v>
      </c>
      <c r="L357" s="3">
        <f t="shared" si="364"/>
        <v>8.4977640874607974E-4</v>
      </c>
      <c r="M357" s="3">
        <f t="shared" si="364"/>
        <v>8.4977640874607974E-4</v>
      </c>
      <c r="N357" s="3">
        <f t="shared" si="364"/>
        <v>8.4977640874607974E-4</v>
      </c>
      <c r="O357" s="3">
        <f t="shared" si="364"/>
        <v>8.4977640874607974E-4</v>
      </c>
      <c r="P357" s="3">
        <f t="shared" si="364"/>
        <v>8.4977640874607974E-4</v>
      </c>
      <c r="Q357" s="3">
        <f t="shared" si="364"/>
        <v>8.4977640874607974E-4</v>
      </c>
      <c r="R357" s="3">
        <f t="shared" si="364"/>
        <v>8.4977640874607974E-4</v>
      </c>
      <c r="S357" s="3">
        <f t="shared" si="364"/>
        <v>8.4977640874607974E-4</v>
      </c>
      <c r="T357" s="3">
        <f t="shared" si="364"/>
        <v>8.4977640874607941E-4</v>
      </c>
      <c r="U357" s="3">
        <f t="shared" si="364"/>
        <v>8.4977640874607605E-4</v>
      </c>
      <c r="V357" s="3">
        <f t="shared" si="364"/>
        <v>8.4977640874604244E-4</v>
      </c>
      <c r="W357" s="3">
        <f t="shared" si="364"/>
        <v>8.497764087457071E-4</v>
      </c>
      <c r="X357" s="3">
        <f t="shared" si="364"/>
        <v>8.4977640874235334E-4</v>
      </c>
      <c r="Y357" s="3">
        <f t="shared" si="364"/>
        <v>8.4977640870881582E-4</v>
      </c>
      <c r="Z357" s="3">
        <f t="shared" si="364"/>
        <v>8.4977640837344043E-4</v>
      </c>
      <c r="AA357" s="3">
        <f t="shared" si="364"/>
        <v>8.4977640501968663E-4</v>
      </c>
      <c r="AB357" s="3">
        <f t="shared" si="364"/>
        <v>8.4977637148214952E-4</v>
      </c>
      <c r="AC357" s="3">
        <f t="shared" si="364"/>
        <v>8.4977603610685167E-4</v>
      </c>
      <c r="AD357" s="3">
        <f t="shared" si="364"/>
        <v>8.4977268236115277E-4</v>
      </c>
      <c r="AE357" s="3">
        <f t="shared" si="364"/>
        <v>8.4973914563213218E-4</v>
      </c>
      <c r="AF357" s="3">
        <f t="shared" si="364"/>
        <v>8.4940385112827245E-4</v>
      </c>
      <c r="AG357" s="3"/>
      <c r="AH357" s="3"/>
    </row>
    <row r="358" spans="1:34" x14ac:dyDescent="0.25">
      <c r="A358" s="79">
        <f>AVERAGE(B358:AF358)</f>
        <v>6.2053066769634669E-3</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1.2311426846622491E-2</v>
      </c>
      <c r="M358" s="80">
        <f t="shared" si="365"/>
        <v>1.3399759124354453E-2</v>
      </c>
      <c r="N358" s="80">
        <f t="shared" si="365"/>
        <v>1.4067563353706167E-2</v>
      </c>
      <c r="O358" s="80">
        <f t="shared" si="365"/>
        <v>1.8460437103101333E-2</v>
      </c>
      <c r="P358" s="80">
        <f t="shared" si="365"/>
        <v>1.7474992928934396E-2</v>
      </c>
      <c r="Q358" s="80">
        <f t="shared" si="365"/>
        <v>1.0248808601403585E-2</v>
      </c>
      <c r="R358" s="80">
        <f t="shared" si="365"/>
        <v>2.2558451334616439E-2</v>
      </c>
      <c r="S358" s="80">
        <f t="shared" si="365"/>
        <v>4.498987564000765E-2</v>
      </c>
      <c r="T358" s="80">
        <f t="shared" si="365"/>
        <v>1.5289034757002478E-2</v>
      </c>
      <c r="U358" s="80">
        <f t="shared" si="365"/>
        <v>1.8773873940929702E-3</v>
      </c>
      <c r="V358" s="80">
        <f t="shared" si="365"/>
        <v>2.1686769902025494E-2</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640403.03349894821</v>
      </c>
      <c r="C359" s="21">
        <f t="shared" ref="C359:AF359" si="366">(C326-C325)^2</f>
        <v>222159.44971543775</v>
      </c>
      <c r="D359" s="21">
        <f t="shared" si="366"/>
        <v>36601.373901648476</v>
      </c>
      <c r="E359" s="21">
        <f t="shared" si="366"/>
        <v>68.750839976816195</v>
      </c>
      <c r="F359" s="21">
        <f t="shared" si="366"/>
        <v>4977.8109051750962</v>
      </c>
      <c r="G359" s="21">
        <f t="shared" si="366"/>
        <v>13030.719008902914</v>
      </c>
      <c r="H359" s="21">
        <f t="shared" si="366"/>
        <v>7287.2431424155802</v>
      </c>
      <c r="I359" s="21">
        <f t="shared" si="366"/>
        <v>6173.8139726688141</v>
      </c>
      <c r="J359" s="21">
        <f t="shared" si="366"/>
        <v>5843.6890054546666</v>
      </c>
      <c r="K359" s="21">
        <f t="shared" si="366"/>
        <v>5715.6912563641254</v>
      </c>
      <c r="L359" s="21">
        <f t="shared" si="366"/>
        <v>5597.8390097411666</v>
      </c>
      <c r="M359" s="21">
        <f t="shared" si="366"/>
        <v>6028.4173740931055</v>
      </c>
      <c r="N359" s="21">
        <f t="shared" si="366"/>
        <v>5980.8384868341664</v>
      </c>
      <c r="O359" s="21">
        <f t="shared" si="366"/>
        <v>9011.7557049020306</v>
      </c>
      <c r="P359" s="21">
        <f t="shared" si="366"/>
        <v>6905.4950191627586</v>
      </c>
      <c r="Q359" s="21">
        <f t="shared" si="366"/>
        <v>1906.148948142755</v>
      </c>
      <c r="R359" s="21">
        <f t="shared" si="366"/>
        <v>6627.7129725783179</v>
      </c>
      <c r="S359" s="21">
        <f t="shared" si="366"/>
        <v>16962.733152900819</v>
      </c>
      <c r="T359" s="21">
        <f t="shared" si="366"/>
        <v>1139.6705342487451</v>
      </c>
      <c r="U359" s="21">
        <f t="shared" si="366"/>
        <v>8.9189190057044527</v>
      </c>
      <c r="V359" s="21">
        <f t="shared" si="366"/>
        <v>605.24010046378066</v>
      </c>
      <c r="W359" s="21">
        <f t="shared" si="366"/>
        <v>3.1117548651665605</v>
      </c>
      <c r="X359" s="21">
        <f t="shared" si="366"/>
        <v>7.2744412296153067</v>
      </c>
      <c r="Y359" s="21">
        <f t="shared" si="366"/>
        <v>41.89458381116399</v>
      </c>
      <c r="Z359" s="21">
        <f t="shared" si="366"/>
        <v>28.721386598329861</v>
      </c>
      <c r="AA359" s="21">
        <f t="shared" si="366"/>
        <v>1.5916291359531676</v>
      </c>
      <c r="AB359" s="21">
        <f t="shared" si="366"/>
        <v>8.723462749035118</v>
      </c>
      <c r="AC359" s="21">
        <f t="shared" si="366"/>
        <v>4.239804740777541</v>
      </c>
      <c r="AD359" s="21">
        <f t="shared" si="366"/>
        <v>1.5289872301994021</v>
      </c>
      <c r="AE359" s="21">
        <f t="shared" si="366"/>
        <v>1.5353543242397714</v>
      </c>
      <c r="AF359" s="21">
        <f t="shared" si="366"/>
        <v>0.81622470808508907</v>
      </c>
      <c r="AG359" s="3"/>
      <c r="AH359" s="3"/>
    </row>
    <row r="360" spans="1:34" x14ac:dyDescent="0.25">
      <c r="A360" s="71">
        <f>SUM(B360:AF360)</f>
        <v>60774.770222073355</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5597.8390097411666</v>
      </c>
      <c r="M360" s="60">
        <f t="shared" si="367"/>
        <v>6028.4173740931055</v>
      </c>
      <c r="N360" s="60">
        <f t="shared" si="367"/>
        <v>5980.8384868341664</v>
      </c>
      <c r="O360" s="60">
        <f t="shared" si="367"/>
        <v>9011.7557049020306</v>
      </c>
      <c r="P360" s="60">
        <f t="shared" si="367"/>
        <v>6905.4950191627586</v>
      </c>
      <c r="Q360" s="60">
        <f t="shared" si="367"/>
        <v>1906.148948142755</v>
      </c>
      <c r="R360" s="60">
        <f t="shared" si="367"/>
        <v>6627.7129725783179</v>
      </c>
      <c r="S360" s="60">
        <f t="shared" si="367"/>
        <v>16962.733152900819</v>
      </c>
      <c r="T360" s="60">
        <f t="shared" si="367"/>
        <v>1139.6705342487451</v>
      </c>
      <c r="U360" s="60">
        <f t="shared" si="367"/>
        <v>8.9189190057044527</v>
      </c>
      <c r="V360" s="60">
        <f t="shared" si="367"/>
        <v>605.24010046378066</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8333.5753455856793</v>
      </c>
      <c r="C365" s="27">
        <f t="shared" ref="C365:AF365" si="368">($C$17+SUM(C366:C396))*$B$51</f>
        <v>8205.2097697883801</v>
      </c>
      <c r="D365" s="27">
        <f t="shared" si="368"/>
        <v>7719.7742606119537</v>
      </c>
      <c r="E365" s="27">
        <f t="shared" si="368"/>
        <v>7384.9837390777529</v>
      </c>
      <c r="F365" s="27">
        <f t="shared" si="368"/>
        <v>7022.5889705428372</v>
      </c>
      <c r="G365" s="27">
        <f t="shared" si="368"/>
        <v>6738.7714569592854</v>
      </c>
      <c r="H365" s="27">
        <f t="shared" si="368"/>
        <v>6452.9419121777646</v>
      </c>
      <c r="I365" s="27">
        <f t="shared" si="368"/>
        <v>6178.2687942477169</v>
      </c>
      <c r="J365" s="27">
        <f t="shared" si="368"/>
        <v>5888.621087111489</v>
      </c>
      <c r="K365" s="27">
        <f t="shared" si="368"/>
        <v>5617.6803552215579</v>
      </c>
      <c r="L365" s="27">
        <f t="shared" si="368"/>
        <v>5282.9045449019995</v>
      </c>
      <c r="M365" s="27">
        <f t="shared" si="368"/>
        <v>4921.9685633876124</v>
      </c>
      <c r="N365" s="27">
        <f t="shared" si="368"/>
        <v>4520.7593593796928</v>
      </c>
      <c r="O365" s="27">
        <f t="shared" si="368"/>
        <v>4049.7739931187762</v>
      </c>
      <c r="P365" s="27">
        <f t="shared" si="368"/>
        <v>3485.2444638150232</v>
      </c>
      <c r="Q365" s="27">
        <f t="shared" si="368"/>
        <v>2773.3232109649089</v>
      </c>
      <c r="R365" s="27">
        <f t="shared" si="368"/>
        <v>2023.7127177067002</v>
      </c>
      <c r="S365" s="27">
        <f t="shared" si="368"/>
        <v>1423.6678910362366</v>
      </c>
      <c r="T365" s="27">
        <f t="shared" si="368"/>
        <v>1000.8891120073912</v>
      </c>
      <c r="U365" s="27">
        <f t="shared" si="368"/>
        <v>766.26977390218508</v>
      </c>
      <c r="V365" s="27">
        <f t="shared" si="368"/>
        <v>637.79708287608651</v>
      </c>
      <c r="W365" s="27">
        <f t="shared" si="368"/>
        <v>580.7752566036927</v>
      </c>
      <c r="X365" s="27">
        <f t="shared" si="368"/>
        <v>540.79311058993289</v>
      </c>
      <c r="Y365" s="27">
        <f t="shared" si="368"/>
        <v>520.48822155667267</v>
      </c>
      <c r="Z365" s="27">
        <f t="shared" si="368"/>
        <v>507.80495735793909</v>
      </c>
      <c r="AA365" s="27">
        <f t="shared" si="368"/>
        <v>482.66861122640512</v>
      </c>
      <c r="AB365" s="27">
        <f t="shared" si="368"/>
        <v>470.01388103619337</v>
      </c>
      <c r="AC365" s="27">
        <f t="shared" si="368"/>
        <v>469.85837355106963</v>
      </c>
      <c r="AD365" s="27">
        <f t="shared" si="368"/>
        <v>468.84194202454825</v>
      </c>
      <c r="AE365" s="27">
        <f t="shared" si="368"/>
        <v>467.34875861866169</v>
      </c>
      <c r="AF365" s="27">
        <f t="shared" si="368"/>
        <v>466.01486566800071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5.4655668816042884E-2</v>
      </c>
      <c r="C367" s="3">
        <f t="shared" si="370"/>
        <v>4.33987801866388E-2</v>
      </c>
      <c r="D367" s="3">
        <f t="shared" si="370"/>
        <v>4.3241487115761408E-3</v>
      </c>
      <c r="E367" s="3">
        <f t="shared" si="370"/>
        <v>4.1699572764381711E-13</v>
      </c>
      <c r="F367" s="3">
        <f t="shared" si="370"/>
        <v>2.9002901396051894E-113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2.8503570546785036E-2</v>
      </c>
      <c r="C368" s="3">
        <f t="shared" si="371"/>
        <v>2.7916708330593117E-2</v>
      </c>
      <c r="D368" s="3">
        <f t="shared" si="371"/>
        <v>2.2673242880690937E-2</v>
      </c>
      <c r="E368" s="3">
        <f t="shared" si="371"/>
        <v>2.8314438388348105E-3</v>
      </c>
      <c r="F368" s="3">
        <f t="shared" si="371"/>
        <v>2.611867057369471E-12</v>
      </c>
      <c r="G368" s="3">
        <f t="shared" si="371"/>
        <v>1.1651510394136745E-102</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3.8486810961545749E-2</v>
      </c>
      <c r="C369" s="3">
        <f t="shared" si="372"/>
        <v>3.8414650775772108E-2</v>
      </c>
      <c r="D369" s="3">
        <f t="shared" si="372"/>
        <v>3.7700448471642507E-2</v>
      </c>
      <c r="E369" s="3">
        <f t="shared" si="372"/>
        <v>3.1249479421315177E-2</v>
      </c>
      <c r="F369" s="3">
        <f t="shared" si="372"/>
        <v>4.7841577516872739E-3</v>
      </c>
      <c r="G369" s="3">
        <f t="shared" si="372"/>
        <v>3.3840170129794975E-11</v>
      </c>
      <c r="H369" s="3">
        <f t="shared" si="372"/>
        <v>1.0609697461100983E-92</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2.5400581696399423E-2</v>
      </c>
      <c r="C370" s="3">
        <f t="shared" si="373"/>
        <v>2.5396281912163206E-2</v>
      </c>
      <c r="D370" s="3">
        <f t="shared" si="373"/>
        <v>2.5353324081944857E-2</v>
      </c>
      <c r="E370" s="3">
        <f t="shared" si="373"/>
        <v>2.4927722044220831E-2</v>
      </c>
      <c r="F370" s="3">
        <f t="shared" si="373"/>
        <v>2.104550972750761E-2</v>
      </c>
      <c r="G370" s="3">
        <f t="shared" si="373"/>
        <v>3.8719345180261455E-3</v>
      </c>
      <c r="H370" s="3">
        <f t="shared" si="373"/>
        <v>1.7203370947616896E-10</v>
      </c>
      <c r="I370" s="3">
        <f t="shared" si="373"/>
        <v>5.1578541075906096E-84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2.8782732621090896E-2</v>
      </c>
      <c r="C371" s="3">
        <f t="shared" si="374"/>
        <v>2.8782293064233456E-2</v>
      </c>
      <c r="D371" s="3">
        <f t="shared" si="374"/>
        <v>2.877789786484139E-2</v>
      </c>
      <c r="E371" s="3">
        <f t="shared" si="374"/>
        <v>2.8733982768300068E-2</v>
      </c>
      <c r="F371" s="3">
        <f t="shared" si="374"/>
        <v>2.8298500776791823E-2</v>
      </c>
      <c r="G371" s="3">
        <f t="shared" si="374"/>
        <v>2.4290666692980658E-2</v>
      </c>
      <c r="H371" s="3">
        <f t="shared" si="374"/>
        <v>5.2747211574947703E-3</v>
      </c>
      <c r="I371" s="3">
        <f t="shared" si="374"/>
        <v>1.2297029602389073E-9</v>
      </c>
      <c r="J371" s="3">
        <f t="shared" si="374"/>
        <v>5.8318634001444019E-76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2.5701292093601068E-2</v>
      </c>
      <c r="C372" s="3">
        <f t="shared" si="375"/>
        <v>2.5701256686725737E-2</v>
      </c>
      <c r="D372" s="3">
        <f t="shared" si="375"/>
        <v>2.570090262065516E-2</v>
      </c>
      <c r="E372" s="3">
        <f t="shared" si="375"/>
        <v>2.5697362228211323E-2</v>
      </c>
      <c r="F372" s="3">
        <f t="shared" si="375"/>
        <v>2.5661985116294521E-2</v>
      </c>
      <c r="G372" s="3">
        <f t="shared" si="375"/>
        <v>2.5310881632529751E-2</v>
      </c>
      <c r="H372" s="3">
        <f t="shared" si="375"/>
        <v>2.2053499475451654E-2</v>
      </c>
      <c r="I372" s="3">
        <f t="shared" si="375"/>
        <v>5.5613460772859407E-3</v>
      </c>
      <c r="J372" s="3">
        <f t="shared" si="375"/>
        <v>5.7836766112696817E-9</v>
      </c>
      <c r="K372" s="3">
        <f t="shared" si="375"/>
        <v>8.5594291876440177E-69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2.9863007963913116E-2</v>
      </c>
      <c r="C373" s="3">
        <f t="shared" si="376"/>
        <v>2.9863004252724239E-2</v>
      </c>
      <c r="D373" s="3">
        <f t="shared" si="376"/>
        <v>2.9862967140860855E-2</v>
      </c>
      <c r="E373" s="3">
        <f t="shared" si="376"/>
        <v>2.986259602476362E-2</v>
      </c>
      <c r="F373" s="3">
        <f t="shared" si="376"/>
        <v>2.9858885117440278E-2</v>
      </c>
      <c r="G373" s="3">
        <f t="shared" si="376"/>
        <v>2.982180139744596E-2</v>
      </c>
      <c r="H373" s="3">
        <f t="shared" si="376"/>
        <v>2.945348790231881E-2</v>
      </c>
      <c r="I373" s="3">
        <f t="shared" si="376"/>
        <v>2.6011494859626939E-2</v>
      </c>
      <c r="J373" s="3">
        <f t="shared" si="376"/>
        <v>7.5067354338308459E-3</v>
      </c>
      <c r="K373" s="3">
        <f t="shared" si="376"/>
        <v>3.0082165384938954E-8</v>
      </c>
      <c r="L373" s="3">
        <f t="shared" si="376"/>
        <v>3.212838838071455E-62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2.3136710251491298E-2</v>
      </c>
      <c r="C374" s="3">
        <f t="shared" si="377"/>
        <v>2.3136709992116526E-2</v>
      </c>
      <c r="D374" s="3">
        <f t="shared" si="377"/>
        <v>2.3136707398368976E-2</v>
      </c>
      <c r="E374" s="3">
        <f t="shared" si="377"/>
        <v>2.3136681460909456E-2</v>
      </c>
      <c r="F374" s="3">
        <f t="shared" si="377"/>
        <v>2.3136422087913489E-2</v>
      </c>
      <c r="G374" s="3">
        <f t="shared" si="377"/>
        <v>2.3133828517871529E-2</v>
      </c>
      <c r="H374" s="3">
        <f t="shared" si="377"/>
        <v>2.3107908802590636E-2</v>
      </c>
      <c r="I374" s="3">
        <f t="shared" si="377"/>
        <v>2.2850303553019362E-2</v>
      </c>
      <c r="J374" s="3">
        <f t="shared" si="377"/>
        <v>2.0427031698174163E-2</v>
      </c>
      <c r="K374" s="3">
        <f t="shared" si="377"/>
        <v>6.6579135715505895E-3</v>
      </c>
      <c r="L374" s="3">
        <f t="shared" si="377"/>
        <v>9.0088022998771058E-8</v>
      </c>
      <c r="M374" s="3">
        <f t="shared" si="377"/>
        <v>1.853344221296384E-56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3.7322629143722787E-2</v>
      </c>
      <c r="C375" s="3">
        <f t="shared" si="378"/>
        <v>3.7322629105979041E-2</v>
      </c>
      <c r="D375" s="3">
        <f t="shared" si="378"/>
        <v>3.7322628728541633E-2</v>
      </c>
      <c r="E375" s="3">
        <f t="shared" si="378"/>
        <v>3.732262495416775E-2</v>
      </c>
      <c r="F375" s="3">
        <f t="shared" si="378"/>
        <v>3.7322587210449856E-2</v>
      </c>
      <c r="G375" s="3">
        <f t="shared" si="378"/>
        <v>3.7322209775370263E-2</v>
      </c>
      <c r="H375" s="3">
        <f t="shared" si="378"/>
        <v>3.7318435634498388E-2</v>
      </c>
      <c r="I375" s="3">
        <f t="shared" si="378"/>
        <v>3.7280715210336809E-2</v>
      </c>
      <c r="J375" s="3">
        <f t="shared" si="378"/>
        <v>3.6905601593736501E-2</v>
      </c>
      <c r="K375" s="3">
        <f t="shared" si="378"/>
        <v>3.3355912465468998E-2</v>
      </c>
      <c r="L375" s="3">
        <f t="shared" si="378"/>
        <v>1.2133279138193807E-2</v>
      </c>
      <c r="M375" s="3">
        <f t="shared" si="378"/>
        <v>4.9207559394531778E-7</v>
      </c>
      <c r="N375" s="3">
        <f t="shared" si="378"/>
        <v>5.9233608141644709E-51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3.2712076759384194E-2</v>
      </c>
      <c r="C376" s="3">
        <f t="shared" si="379"/>
        <v>3.2712076756399998E-2</v>
      </c>
      <c r="D376" s="3">
        <f t="shared" si="379"/>
        <v>3.2712076726558029E-2</v>
      </c>
      <c r="E376" s="3">
        <f t="shared" si="379"/>
        <v>3.2712076428138372E-2</v>
      </c>
      <c r="F376" s="3">
        <f t="shared" si="379"/>
        <v>3.2712073443941996E-2</v>
      </c>
      <c r="G376" s="3">
        <f t="shared" si="379"/>
        <v>3.2712043601993132E-2</v>
      </c>
      <c r="H376" s="3">
        <f t="shared" si="379"/>
        <v>3.2711745184001793E-2</v>
      </c>
      <c r="I376" s="3">
        <f t="shared" si="379"/>
        <v>3.2708761153813028E-2</v>
      </c>
      <c r="J376" s="3">
        <f t="shared" si="379"/>
        <v>3.2678935819331886E-2</v>
      </c>
      <c r="K376" s="3">
        <f t="shared" si="379"/>
        <v>3.2382174175425396E-2</v>
      </c>
      <c r="L376" s="3">
        <f t="shared" si="379"/>
        <v>2.9558813303236887E-2</v>
      </c>
      <c r="M376" s="3">
        <f t="shared" si="379"/>
        <v>1.1871262135741882E-2</v>
      </c>
      <c r="N376" s="3">
        <f t="shared" si="379"/>
        <v>1.2959728403805089E-6</v>
      </c>
      <c r="O376" s="3">
        <f t="shared" si="379"/>
        <v>3.1159175104144651E-46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4.2271951558385923E-2</v>
      </c>
      <c r="C377" s="3">
        <f t="shared" si="380"/>
        <v>4.2271951558038048E-2</v>
      </c>
      <c r="D377" s="3">
        <f t="shared" si="380"/>
        <v>4.2271951554559338E-2</v>
      </c>
      <c r="E377" s="3">
        <f t="shared" si="380"/>
        <v>4.2271951519772241E-2</v>
      </c>
      <c r="F377" s="3">
        <f t="shared" si="380"/>
        <v>4.2271951171901266E-2</v>
      </c>
      <c r="G377" s="3">
        <f t="shared" si="380"/>
        <v>4.2271947693191675E-2</v>
      </c>
      <c r="H377" s="3">
        <f t="shared" si="380"/>
        <v>4.22719129061115E-2</v>
      </c>
      <c r="I377" s="3">
        <f t="shared" si="380"/>
        <v>4.2271565036884291E-2</v>
      </c>
      <c r="J377" s="3">
        <f t="shared" si="380"/>
        <v>4.2268086502058322E-2</v>
      </c>
      <c r="K377" s="3">
        <f t="shared" si="380"/>
        <v>4.223331689362237E-2</v>
      </c>
      <c r="L377" s="3">
        <f t="shared" si="380"/>
        <v>4.188719000960562E-2</v>
      </c>
      <c r="M377" s="3">
        <f t="shared" si="380"/>
        <v>3.8578166564134424E-2</v>
      </c>
      <c r="N377" s="3">
        <f t="shared" si="380"/>
        <v>1.6941238412344534E-2</v>
      </c>
      <c r="O377" s="3">
        <f t="shared" si="380"/>
        <v>4.5183602932429821E-6</v>
      </c>
      <c r="P377" s="3">
        <f t="shared" si="380"/>
        <v>8.2288264133881576E-42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4.6527520280980249E-2</v>
      </c>
      <c r="C378" s="3">
        <f t="shared" si="381"/>
        <v>4.6527520280945707E-2</v>
      </c>
      <c r="D378" s="3">
        <f t="shared" si="381"/>
        <v>4.652752028060031E-2</v>
      </c>
      <c r="E378" s="3">
        <f t="shared" si="381"/>
        <v>4.6527520277146309E-2</v>
      </c>
      <c r="F378" s="3">
        <f t="shared" si="381"/>
        <v>4.6527520242606299E-2</v>
      </c>
      <c r="G378" s="3">
        <f t="shared" si="381"/>
        <v>4.652751989720625E-2</v>
      </c>
      <c r="H378" s="3">
        <f t="shared" si="381"/>
        <v>4.6527516443205907E-2</v>
      </c>
      <c r="I378" s="3">
        <f t="shared" si="381"/>
        <v>4.6527481903216567E-2</v>
      </c>
      <c r="J378" s="3">
        <f t="shared" si="381"/>
        <v>4.652713650473337E-2</v>
      </c>
      <c r="K378" s="3">
        <f t="shared" si="381"/>
        <v>4.6523682660922598E-2</v>
      </c>
      <c r="L378" s="3">
        <f t="shared" si="381"/>
        <v>4.6489158321059397E-2</v>
      </c>
      <c r="M378" s="3">
        <f t="shared" si="381"/>
        <v>4.6145320882168397E-2</v>
      </c>
      <c r="N378" s="3">
        <f t="shared" si="381"/>
        <v>4.2843756178680532E-2</v>
      </c>
      <c r="O378" s="3">
        <f t="shared" si="381"/>
        <v>2.0393239849676663E-2</v>
      </c>
      <c r="P378" s="3">
        <f t="shared" si="381"/>
        <v>1.2175115984446144E-5</v>
      </c>
      <c r="Q378" s="3">
        <f t="shared" si="381"/>
        <v>7.0039317845722821E-38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5.9519737704618846E-2</v>
      </c>
      <c r="C379" s="3">
        <f t="shared" si="382"/>
        <v>5.9519737704614863E-2</v>
      </c>
      <c r="D379" s="3">
        <f t="shared" si="382"/>
        <v>5.9519737704575006E-2</v>
      </c>
      <c r="E379" s="3">
        <f t="shared" si="382"/>
        <v>5.9519737704176422E-2</v>
      </c>
      <c r="F379" s="3">
        <f t="shared" si="382"/>
        <v>5.9519737700190575E-2</v>
      </c>
      <c r="G379" s="3">
        <f t="shared" si="382"/>
        <v>5.9519737660332153E-2</v>
      </c>
      <c r="H379" s="3">
        <f t="shared" si="382"/>
        <v>5.9519737261747946E-2</v>
      </c>
      <c r="I379" s="3">
        <f t="shared" si="382"/>
        <v>5.9519733275906025E-2</v>
      </c>
      <c r="J379" s="3">
        <f t="shared" si="382"/>
        <v>5.9519693417501449E-2</v>
      </c>
      <c r="K379" s="3">
        <f t="shared" si="382"/>
        <v>5.9519294834923776E-2</v>
      </c>
      <c r="L379" s="3">
        <f t="shared" si="382"/>
        <v>5.9515309155948368E-2</v>
      </c>
      <c r="M379" s="3">
        <f t="shared" si="382"/>
        <v>5.9475467042687476E-2</v>
      </c>
      <c r="N379" s="3">
        <f t="shared" si="382"/>
        <v>5.9078509929414671E-2</v>
      </c>
      <c r="O379" s="3">
        <f t="shared" si="382"/>
        <v>5.5251777291990968E-2</v>
      </c>
      <c r="P379" s="3">
        <f t="shared" si="382"/>
        <v>2.828221685847614E-2</v>
      </c>
      <c r="Q379" s="3">
        <f t="shared" si="382"/>
        <v>3.4928939642445038E-5</v>
      </c>
      <c r="R379" s="3">
        <f t="shared" si="382"/>
        <v>2.8834002990303848E-34</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8.048909113381271E-2</v>
      </c>
      <c r="C380" s="3">
        <f t="shared" si="383"/>
        <v>8.0489091133812224E-2</v>
      </c>
      <c r="D380" s="3">
        <f t="shared" si="383"/>
        <v>8.0489091133807353E-2</v>
      </c>
      <c r="E380" s="3">
        <f t="shared" si="383"/>
        <v>8.0489091133758739E-2</v>
      </c>
      <c r="F380" s="3">
        <f t="shared" si="383"/>
        <v>8.0489091133272503E-2</v>
      </c>
      <c r="G380" s="3">
        <f t="shared" si="383"/>
        <v>8.0489091128410198E-2</v>
      </c>
      <c r="H380" s="3">
        <f t="shared" si="383"/>
        <v>8.0489091079787092E-2</v>
      </c>
      <c r="I380" s="3">
        <f t="shared" si="383"/>
        <v>8.0489090593556037E-2</v>
      </c>
      <c r="J380" s="3">
        <f t="shared" si="383"/>
        <v>8.0489085731245649E-2</v>
      </c>
      <c r="K380" s="3">
        <f t="shared" si="383"/>
        <v>8.0489037108157968E-2</v>
      </c>
      <c r="L380" s="3">
        <f t="shared" si="383"/>
        <v>8.0488550878896614E-2</v>
      </c>
      <c r="M380" s="3">
        <f t="shared" si="383"/>
        <v>8.0483688747830573E-2</v>
      </c>
      <c r="N380" s="3">
        <f t="shared" si="383"/>
        <v>8.0435083588310974E-2</v>
      </c>
      <c r="O380" s="3">
        <f t="shared" si="383"/>
        <v>7.9950643502991012E-2</v>
      </c>
      <c r="P380" s="3">
        <f t="shared" si="383"/>
        <v>7.5263849128537896E-2</v>
      </c>
      <c r="Q380" s="3">
        <f t="shared" si="383"/>
        <v>4.1136850693011554E-2</v>
      </c>
      <c r="R380" s="3">
        <f t="shared" si="383"/>
        <v>9.7876221048490733E-5</v>
      </c>
      <c r="S380" s="3">
        <f t="shared" si="383"/>
        <v>5.6903465983183482E-31</v>
      </c>
      <c r="T380" s="3">
        <f t="shared" si="383"/>
        <v>2.5104639489249103E-293</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6.5723461611377501E-2</v>
      </c>
      <c r="C381" s="3">
        <f t="shared" si="384"/>
        <v>6.5723461611377473E-2</v>
      </c>
      <c r="D381" s="3">
        <f t="shared" si="384"/>
        <v>6.5723461611377113E-2</v>
      </c>
      <c r="E381" s="3">
        <f t="shared" si="384"/>
        <v>6.5723461611373532E-2</v>
      </c>
      <c r="F381" s="3">
        <f t="shared" si="384"/>
        <v>6.5723461611337713E-2</v>
      </c>
      <c r="G381" s="3">
        <f t="shared" si="384"/>
        <v>6.5723461610979569E-2</v>
      </c>
      <c r="H381" s="3">
        <f t="shared" si="384"/>
        <v>6.5723461607398004E-2</v>
      </c>
      <c r="I381" s="3">
        <f t="shared" si="384"/>
        <v>6.5723461571582362E-2</v>
      </c>
      <c r="J381" s="3">
        <f t="shared" si="384"/>
        <v>6.5723461213425982E-2</v>
      </c>
      <c r="K381" s="3">
        <f t="shared" si="384"/>
        <v>6.5723457631862311E-2</v>
      </c>
      <c r="L381" s="3">
        <f t="shared" si="384"/>
        <v>6.5723421816236277E-2</v>
      </c>
      <c r="M381" s="3">
        <f t="shared" si="384"/>
        <v>6.5723063661049436E-2</v>
      </c>
      <c r="N381" s="3">
        <f t="shared" si="384"/>
        <v>6.5719482216525085E-2</v>
      </c>
      <c r="O381" s="3">
        <f t="shared" si="384"/>
        <v>6.5683678503520956E-2</v>
      </c>
      <c r="P381" s="3">
        <f t="shared" si="384"/>
        <v>6.5326712436631823E-2</v>
      </c>
      <c r="Q381" s="3">
        <f t="shared" si="384"/>
        <v>6.1862029622062026E-2</v>
      </c>
      <c r="R381" s="3">
        <f t="shared" si="384"/>
        <v>3.5872180956540697E-2</v>
      </c>
      <c r="S381" s="3">
        <f t="shared" si="384"/>
        <v>1.5420340116823055E-4</v>
      </c>
      <c r="T381" s="3">
        <f t="shared" si="384"/>
        <v>3.3224286528753577E-28</v>
      </c>
      <c r="U381" s="3">
        <f t="shared" si="384"/>
        <v>7.162634178434326E-265</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5.0766006496314589E-2</v>
      </c>
      <c r="C382" s="3">
        <f t="shared" si="385"/>
        <v>5.0766006496314589E-2</v>
      </c>
      <c r="D382" s="3">
        <f t="shared" si="385"/>
        <v>5.0766006496314561E-2</v>
      </c>
      <c r="E382" s="3">
        <f t="shared" si="385"/>
        <v>5.0766006496314312E-2</v>
      </c>
      <c r="F382" s="3">
        <f t="shared" si="385"/>
        <v>5.0766006496311814E-2</v>
      </c>
      <c r="G382" s="3">
        <f t="shared" si="385"/>
        <v>5.0766006496286861E-2</v>
      </c>
      <c r="H382" s="3">
        <f t="shared" si="385"/>
        <v>5.0766006496037304E-2</v>
      </c>
      <c r="I382" s="3">
        <f t="shared" si="385"/>
        <v>5.0766006493541724E-2</v>
      </c>
      <c r="J382" s="3">
        <f t="shared" si="385"/>
        <v>5.0766006468585902E-2</v>
      </c>
      <c r="K382" s="3">
        <f t="shared" si="385"/>
        <v>5.0766006219027694E-2</v>
      </c>
      <c r="L382" s="3">
        <f t="shared" si="385"/>
        <v>5.0766003723445717E-2</v>
      </c>
      <c r="M382" s="3">
        <f t="shared" si="385"/>
        <v>5.0765978767632669E-2</v>
      </c>
      <c r="N382" s="3">
        <f t="shared" si="385"/>
        <v>5.0765729210176982E-2</v>
      </c>
      <c r="O382" s="3">
        <f t="shared" si="385"/>
        <v>5.076323370309227E-2</v>
      </c>
      <c r="P382" s="3">
        <f t="shared" si="385"/>
        <v>5.0738285378234139E-2</v>
      </c>
      <c r="Q382" s="3">
        <f t="shared" si="385"/>
        <v>5.0489475503162448E-2</v>
      </c>
      <c r="R382" s="3">
        <f t="shared" si="385"/>
        <v>4.8067505265672682E-2</v>
      </c>
      <c r="S382" s="3">
        <f t="shared" si="385"/>
        <v>2.9400777568166812E-2</v>
      </c>
      <c r="T382" s="3">
        <f t="shared" si="385"/>
        <v>2.1549200167827836E-4</v>
      </c>
      <c r="U382" s="3">
        <f t="shared" si="385"/>
        <v>9.6417206325160487E-26</v>
      </c>
      <c r="V382" s="3">
        <f t="shared" si="385"/>
        <v>3.1001908347466172E-239</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2.7257633093652572E-2</v>
      </c>
      <c r="C383" s="3">
        <f t="shared" si="386"/>
        <v>2.7257633093652572E-2</v>
      </c>
      <c r="D383" s="3">
        <f t="shared" si="386"/>
        <v>2.7257633093652572E-2</v>
      </c>
      <c r="E383" s="3">
        <f t="shared" si="386"/>
        <v>2.7257633093652561E-2</v>
      </c>
      <c r="F383" s="3">
        <f t="shared" si="386"/>
        <v>2.725763309365244E-2</v>
      </c>
      <c r="G383" s="3">
        <f t="shared" si="386"/>
        <v>2.7257633093651229E-2</v>
      </c>
      <c r="H383" s="3">
        <f t="shared" si="386"/>
        <v>2.7257633093639141E-2</v>
      </c>
      <c r="I383" s="3">
        <f t="shared" si="386"/>
        <v>2.7257633093518266E-2</v>
      </c>
      <c r="J383" s="3">
        <f t="shared" si="386"/>
        <v>2.7257633092309524E-2</v>
      </c>
      <c r="K383" s="3">
        <f t="shared" si="386"/>
        <v>2.7257633080222107E-2</v>
      </c>
      <c r="L383" s="3">
        <f t="shared" si="386"/>
        <v>2.7257632959347914E-2</v>
      </c>
      <c r="M383" s="3">
        <f t="shared" si="386"/>
        <v>2.7257631750606023E-2</v>
      </c>
      <c r="N383" s="3">
        <f t="shared" si="386"/>
        <v>2.7257619663190066E-2</v>
      </c>
      <c r="O383" s="3">
        <f t="shared" si="386"/>
        <v>2.7257498789325312E-2</v>
      </c>
      <c r="P383" s="3">
        <f t="shared" si="386"/>
        <v>2.7256290080158185E-2</v>
      </c>
      <c r="Q383" s="3">
        <f t="shared" si="386"/>
        <v>2.7244205936046203E-2</v>
      </c>
      <c r="R383" s="3">
        <f t="shared" si="386"/>
        <v>2.7123658767799895E-2</v>
      </c>
      <c r="S383" s="3">
        <f t="shared" si="386"/>
        <v>2.5947137212895613E-2</v>
      </c>
      <c r="T383" s="3">
        <f t="shared" si="386"/>
        <v>1.6653334773254046E-2</v>
      </c>
      <c r="U383" s="3">
        <f t="shared" si="386"/>
        <v>1.975235367777999E-4</v>
      </c>
      <c r="V383" s="3">
        <f t="shared" si="386"/>
        <v>1.0884168609738995E-23</v>
      </c>
      <c r="W383" s="3">
        <f t="shared" si="386"/>
        <v>2.8090491449598749E-216</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1.5460526055255958E-2</v>
      </c>
      <c r="C384" s="3">
        <f t="shared" si="387"/>
        <v>1.5460526055255958E-2</v>
      </c>
      <c r="D384" s="3">
        <f t="shared" si="387"/>
        <v>1.5460526055255958E-2</v>
      </c>
      <c r="E384" s="3">
        <f t="shared" si="387"/>
        <v>1.5460526055255958E-2</v>
      </c>
      <c r="F384" s="3">
        <f t="shared" si="387"/>
        <v>1.5460526055255951E-2</v>
      </c>
      <c r="G384" s="3">
        <f t="shared" si="387"/>
        <v>1.5460526055255889E-2</v>
      </c>
      <c r="H384" s="3">
        <f t="shared" si="387"/>
        <v>1.5460526055255271E-2</v>
      </c>
      <c r="I384" s="3">
        <f t="shared" si="387"/>
        <v>1.5460526055249087E-2</v>
      </c>
      <c r="J384" s="3">
        <f t="shared" si="387"/>
        <v>1.5460526055187239E-2</v>
      </c>
      <c r="K384" s="3">
        <f t="shared" si="387"/>
        <v>1.5460526054568772E-2</v>
      </c>
      <c r="L384" s="3">
        <f t="shared" si="387"/>
        <v>1.5460526048384106E-2</v>
      </c>
      <c r="M384" s="3">
        <f t="shared" si="387"/>
        <v>1.546052598653744E-2</v>
      </c>
      <c r="N384" s="3">
        <f t="shared" si="387"/>
        <v>1.5460525368070781E-2</v>
      </c>
      <c r="O384" s="3">
        <f t="shared" si="387"/>
        <v>1.5460519183405567E-2</v>
      </c>
      <c r="P384" s="3">
        <f t="shared" si="387"/>
        <v>1.5460457336889492E-2</v>
      </c>
      <c r="Q384" s="3">
        <f t="shared" si="387"/>
        <v>1.5459838885335793E-2</v>
      </c>
      <c r="R384" s="3">
        <f t="shared" si="387"/>
        <v>1.5453655730302105E-2</v>
      </c>
      <c r="S384" s="3">
        <f t="shared" si="387"/>
        <v>1.5391960029143083E-2</v>
      </c>
      <c r="T384" s="3">
        <f t="shared" si="387"/>
        <v>1.4788388997093544E-2</v>
      </c>
      <c r="U384" s="3">
        <f t="shared" si="387"/>
        <v>9.9126610250800332E-3</v>
      </c>
      <c r="V384" s="3">
        <f t="shared" si="387"/>
        <v>1.8150314271616485E-4</v>
      </c>
      <c r="W384" s="3">
        <f t="shared" si="387"/>
        <v>7.6881719701032219E-22</v>
      </c>
      <c r="X384" s="3">
        <f t="shared" si="387"/>
        <v>1.4295932476408885E-195</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6.5522275925880558E-3</v>
      </c>
      <c r="C385" s="3">
        <f t="shared" si="388"/>
        <v>6.5522275925880558E-3</v>
      </c>
      <c r="D385" s="3">
        <f t="shared" si="388"/>
        <v>6.5522275925880558E-3</v>
      </c>
      <c r="E385" s="3">
        <f t="shared" si="388"/>
        <v>6.5522275925880558E-3</v>
      </c>
      <c r="F385" s="3">
        <f t="shared" si="388"/>
        <v>6.5522275925880558E-3</v>
      </c>
      <c r="G385" s="3">
        <f t="shared" si="388"/>
        <v>6.5522275925880532E-3</v>
      </c>
      <c r="H385" s="3">
        <f t="shared" si="388"/>
        <v>6.5522275925880297E-3</v>
      </c>
      <c r="I385" s="3">
        <f t="shared" si="388"/>
        <v>6.5522275925877929E-3</v>
      </c>
      <c r="J385" s="3">
        <f t="shared" si="388"/>
        <v>6.5522275925854294E-3</v>
      </c>
      <c r="K385" s="3">
        <f t="shared" si="388"/>
        <v>6.5522275925617842E-3</v>
      </c>
      <c r="L385" s="3">
        <f t="shared" si="388"/>
        <v>6.5522275923253406E-3</v>
      </c>
      <c r="M385" s="3">
        <f t="shared" si="388"/>
        <v>6.5522275899609038E-3</v>
      </c>
      <c r="N385" s="3">
        <f t="shared" si="388"/>
        <v>6.5522275663165421E-3</v>
      </c>
      <c r="O385" s="3">
        <f t="shared" si="388"/>
        <v>6.5522273298729275E-3</v>
      </c>
      <c r="P385" s="3">
        <f t="shared" si="388"/>
        <v>6.5522249654372481E-3</v>
      </c>
      <c r="Q385" s="3">
        <f t="shared" si="388"/>
        <v>6.5522013211273839E-3</v>
      </c>
      <c r="R385" s="3">
        <f t="shared" si="388"/>
        <v>6.5519648827214415E-3</v>
      </c>
      <c r="S385" s="3">
        <f t="shared" si="388"/>
        <v>6.5496009678690167E-3</v>
      </c>
      <c r="T385" s="3">
        <f t="shared" si="388"/>
        <v>6.526008677458092E-3</v>
      </c>
      <c r="U385" s="3">
        <f t="shared" si="388"/>
        <v>6.2947096198961959E-3</v>
      </c>
      <c r="V385" s="3">
        <f t="shared" si="388"/>
        <v>4.3878951030485334E-3</v>
      </c>
      <c r="W385" s="3">
        <f t="shared" si="388"/>
        <v>1.1886708135238972E-4</v>
      </c>
      <c r="X385" s="3">
        <f t="shared" si="388"/>
        <v>2.5299691387578212E-20</v>
      </c>
      <c r="Y385" s="3">
        <f t="shared" si="388"/>
        <v>4.8267128987962958E-177</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1.7032131485439372E-3</v>
      </c>
      <c r="C386" s="3">
        <f t="shared" si="389"/>
        <v>1.7032131485439372E-3</v>
      </c>
      <c r="D386" s="3">
        <f t="shared" si="389"/>
        <v>1.7032131485439372E-3</v>
      </c>
      <c r="E386" s="3">
        <f t="shared" si="389"/>
        <v>1.7032131485439372E-3</v>
      </c>
      <c r="F386" s="3">
        <f t="shared" si="389"/>
        <v>1.7032131485439372E-3</v>
      </c>
      <c r="G386" s="3">
        <f t="shared" si="389"/>
        <v>1.7032131485439372E-3</v>
      </c>
      <c r="H386" s="3">
        <f t="shared" si="389"/>
        <v>1.7032131485439366E-3</v>
      </c>
      <c r="I386" s="3">
        <f t="shared" si="389"/>
        <v>1.7032131485439309E-3</v>
      </c>
      <c r="J386" s="3">
        <f t="shared" si="389"/>
        <v>1.7032131485438756E-3</v>
      </c>
      <c r="K386" s="3">
        <f t="shared" si="389"/>
        <v>1.7032131485433212E-3</v>
      </c>
      <c r="L386" s="3">
        <f t="shared" si="389"/>
        <v>1.7032131485377768E-3</v>
      </c>
      <c r="M386" s="3">
        <f t="shared" si="389"/>
        <v>1.7032131484823328E-3</v>
      </c>
      <c r="N386" s="3">
        <f t="shared" si="389"/>
        <v>1.7032131479278933E-3</v>
      </c>
      <c r="O386" s="3">
        <f t="shared" si="389"/>
        <v>1.7032131423834976E-3</v>
      </c>
      <c r="P386" s="3">
        <f t="shared" si="389"/>
        <v>1.7032130869395418E-3</v>
      </c>
      <c r="Q386" s="3">
        <f t="shared" si="389"/>
        <v>1.7032125325000824E-3</v>
      </c>
      <c r="R386" s="3">
        <f t="shared" si="389"/>
        <v>1.7032069881154157E-3</v>
      </c>
      <c r="S386" s="3">
        <f t="shared" si="389"/>
        <v>1.7031515452614002E-3</v>
      </c>
      <c r="T386" s="3">
        <f t="shared" si="389"/>
        <v>1.702597215974328E-3</v>
      </c>
      <c r="U386" s="3">
        <f t="shared" si="389"/>
        <v>1.6970638364678012E-3</v>
      </c>
      <c r="V386" s="3">
        <f t="shared" si="389"/>
        <v>1.6427095409746021E-3</v>
      </c>
      <c r="W386" s="3">
        <f t="shared" si="389"/>
        <v>1.1862788444137963E-3</v>
      </c>
      <c r="X386" s="3">
        <f t="shared" si="389"/>
        <v>4.5755872835238329E-5</v>
      </c>
      <c r="Y386" s="3">
        <f t="shared" si="389"/>
        <v>3.3346283120182891E-19</v>
      </c>
      <c r="Z386" s="3">
        <f t="shared" si="389"/>
        <v>1.4094618369775168E-160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4.5350630336780827E-3</v>
      </c>
      <c r="C387" s="3">
        <f t="shared" si="390"/>
        <v>4.5350630336780827E-3</v>
      </c>
      <c r="D387" s="3">
        <f t="shared" si="390"/>
        <v>4.5350630336780827E-3</v>
      </c>
      <c r="E387" s="3">
        <f t="shared" si="390"/>
        <v>4.5350630336780827E-3</v>
      </c>
      <c r="F387" s="3">
        <f t="shared" si="390"/>
        <v>4.5350630336780827E-3</v>
      </c>
      <c r="G387" s="3">
        <f t="shared" si="390"/>
        <v>4.5350630336780827E-3</v>
      </c>
      <c r="H387" s="3">
        <f t="shared" si="390"/>
        <v>4.5350630336780818E-3</v>
      </c>
      <c r="I387" s="3">
        <f t="shared" si="390"/>
        <v>4.5350630336780783E-3</v>
      </c>
      <c r="J387" s="3">
        <f t="shared" si="390"/>
        <v>4.5350630336780376E-3</v>
      </c>
      <c r="K387" s="3">
        <f t="shared" si="390"/>
        <v>4.535063033677629E-3</v>
      </c>
      <c r="L387" s="3">
        <f t="shared" si="390"/>
        <v>4.5350630336735464E-3</v>
      </c>
      <c r="M387" s="3">
        <f t="shared" si="390"/>
        <v>4.5350630336327162E-3</v>
      </c>
      <c r="N387" s="3">
        <f t="shared" si="390"/>
        <v>4.5350630332244134E-3</v>
      </c>
      <c r="O387" s="3">
        <f t="shared" si="390"/>
        <v>4.5350630291413948E-3</v>
      </c>
      <c r="P387" s="3">
        <f t="shared" si="390"/>
        <v>4.535062988311204E-3</v>
      </c>
      <c r="Q387" s="3">
        <f t="shared" si="390"/>
        <v>4.5350625800093221E-3</v>
      </c>
      <c r="R387" s="3">
        <f t="shared" si="390"/>
        <v>4.535058496992519E-3</v>
      </c>
      <c r="S387" s="3">
        <f t="shared" si="390"/>
        <v>4.5350176670266697E-3</v>
      </c>
      <c r="T387" s="3">
        <f t="shared" si="390"/>
        <v>4.5346093875856123E-3</v>
      </c>
      <c r="U387" s="3">
        <f t="shared" si="390"/>
        <v>4.5305286142454208E-3</v>
      </c>
      <c r="V387" s="3">
        <f t="shared" si="390"/>
        <v>4.4899223162427849E-3</v>
      </c>
      <c r="W387" s="3">
        <f t="shared" si="390"/>
        <v>4.1033477107528943E-3</v>
      </c>
      <c r="X387" s="3">
        <f t="shared" si="390"/>
        <v>1.6677588313764825E-3</v>
      </c>
      <c r="Y387" s="3">
        <f t="shared" si="390"/>
        <v>2.0515520538117498E-7</v>
      </c>
      <c r="Z387" s="3">
        <f t="shared" si="390"/>
        <v>1.6277041003238321E-46</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1.6861233379433117E-3</v>
      </c>
      <c r="C389" s="3">
        <f t="shared" si="392"/>
        <v>1.6861233379433117E-3</v>
      </c>
      <c r="D389" s="3">
        <f t="shared" si="392"/>
        <v>1.6861233379433117E-3</v>
      </c>
      <c r="E389" s="3">
        <f t="shared" si="392"/>
        <v>1.6861233379433117E-3</v>
      </c>
      <c r="F389" s="3">
        <f t="shared" si="392"/>
        <v>1.6861233379433117E-3</v>
      </c>
      <c r="G389" s="3">
        <f t="shared" si="392"/>
        <v>1.6861233379433117E-3</v>
      </c>
      <c r="H389" s="3">
        <f t="shared" si="392"/>
        <v>1.6861233379433117E-3</v>
      </c>
      <c r="I389" s="3">
        <f t="shared" si="392"/>
        <v>1.6861233379433117E-3</v>
      </c>
      <c r="J389" s="3">
        <f t="shared" si="392"/>
        <v>1.6861233379433114E-3</v>
      </c>
      <c r="K389" s="3">
        <f t="shared" si="392"/>
        <v>1.6861233379433099E-3</v>
      </c>
      <c r="L389" s="3">
        <f t="shared" si="392"/>
        <v>1.6861233379432948E-3</v>
      </c>
      <c r="M389" s="3">
        <f t="shared" si="392"/>
        <v>1.686123337943143E-3</v>
      </c>
      <c r="N389" s="3">
        <f t="shared" si="392"/>
        <v>1.6861233379416251E-3</v>
      </c>
      <c r="O389" s="3">
        <f t="shared" si="392"/>
        <v>1.6861233379264445E-3</v>
      </c>
      <c r="P389" s="3">
        <f t="shared" si="392"/>
        <v>1.6861233377746389E-3</v>
      </c>
      <c r="Q389" s="3">
        <f t="shared" si="392"/>
        <v>1.6861233362565843E-3</v>
      </c>
      <c r="R389" s="3">
        <f t="shared" si="392"/>
        <v>1.6861233210760374E-3</v>
      </c>
      <c r="S389" s="3">
        <f t="shared" si="392"/>
        <v>1.6861231692705766E-3</v>
      </c>
      <c r="T389" s="3">
        <f t="shared" si="392"/>
        <v>1.6861216512167219E-3</v>
      </c>
      <c r="U389" s="3">
        <f t="shared" si="392"/>
        <v>1.6861064707533423E-3</v>
      </c>
      <c r="V389" s="3">
        <f t="shared" si="392"/>
        <v>1.6859546736363326E-3</v>
      </c>
      <c r="W389" s="3">
        <f t="shared" si="392"/>
        <v>1.6844374538943676E-3</v>
      </c>
      <c r="X389" s="3">
        <f t="shared" si="392"/>
        <v>1.6693401495743883E-3</v>
      </c>
      <c r="Y389" s="3">
        <f t="shared" si="392"/>
        <v>1.5256128277417538E-3</v>
      </c>
      <c r="Z389" s="3">
        <f t="shared" si="392"/>
        <v>6.2006791675490568E-4</v>
      </c>
      <c r="AA389" s="3">
        <f t="shared" si="392"/>
        <v>7.6276112840090464E-8</v>
      </c>
      <c r="AB389" s="3">
        <f t="shared" si="392"/>
        <v>6.0517568343391885E-47</v>
      </c>
      <c r="AC389" s="3">
        <f t="shared" si="392"/>
        <v>0</v>
      </c>
      <c r="AD389" s="3">
        <f t="shared" si="392"/>
        <v>0</v>
      </c>
      <c r="AE389" s="3">
        <f t="shared" si="392"/>
        <v>0</v>
      </c>
      <c r="AF389" s="3">
        <f t="shared" si="392"/>
        <v>0</v>
      </c>
      <c r="AG389" s="3"/>
      <c r="AH389" s="3"/>
    </row>
    <row r="390" spans="1:34" x14ac:dyDescent="0.25">
      <c r="B390" s="3">
        <f t="shared" ref="B390:AF390" si="393">$C42*EXP(-B$363/$A42/EXP(-$H$126))</f>
        <v>3.1917428644915027E-3</v>
      </c>
      <c r="C390" s="3">
        <f t="shared" si="393"/>
        <v>3.1917428644915027E-3</v>
      </c>
      <c r="D390" s="3">
        <f t="shared" si="393"/>
        <v>3.1917428644915027E-3</v>
      </c>
      <c r="E390" s="3">
        <f t="shared" si="393"/>
        <v>3.1917428644915027E-3</v>
      </c>
      <c r="F390" s="3">
        <f t="shared" si="393"/>
        <v>3.1917428644915027E-3</v>
      </c>
      <c r="G390" s="3">
        <f t="shared" si="393"/>
        <v>3.1917428644915027E-3</v>
      </c>
      <c r="H390" s="3">
        <f t="shared" si="393"/>
        <v>3.1917428644915027E-3</v>
      </c>
      <c r="I390" s="3">
        <f t="shared" si="393"/>
        <v>3.1917428644915027E-3</v>
      </c>
      <c r="J390" s="3">
        <f t="shared" si="393"/>
        <v>3.1917428644915027E-3</v>
      </c>
      <c r="K390" s="3">
        <f t="shared" si="393"/>
        <v>3.1917428644915023E-3</v>
      </c>
      <c r="L390" s="3">
        <f t="shared" si="393"/>
        <v>3.1917428644914997E-3</v>
      </c>
      <c r="M390" s="3">
        <f t="shared" si="393"/>
        <v>3.1917428644914706E-3</v>
      </c>
      <c r="N390" s="3">
        <f t="shared" si="393"/>
        <v>3.1917428644911835E-3</v>
      </c>
      <c r="O390" s="3">
        <f t="shared" si="393"/>
        <v>3.1917428644883099E-3</v>
      </c>
      <c r="P390" s="3">
        <f t="shared" si="393"/>
        <v>3.1917428644595738E-3</v>
      </c>
      <c r="Q390" s="3">
        <f t="shared" si="393"/>
        <v>3.1917428641722138E-3</v>
      </c>
      <c r="R390" s="3">
        <f t="shared" si="393"/>
        <v>3.1917428612986166E-3</v>
      </c>
      <c r="S390" s="3">
        <f t="shared" si="393"/>
        <v>3.1917428325626391E-3</v>
      </c>
      <c r="T390" s="3">
        <f t="shared" si="393"/>
        <v>3.1917425452028798E-3</v>
      </c>
      <c r="U390" s="3">
        <f t="shared" si="393"/>
        <v>3.1917396716067141E-3</v>
      </c>
      <c r="V390" s="3">
        <f t="shared" si="393"/>
        <v>3.191710935787346E-3</v>
      </c>
      <c r="W390" s="3">
        <f t="shared" si="393"/>
        <v>3.1914235918225464E-3</v>
      </c>
      <c r="X390" s="3">
        <f t="shared" si="393"/>
        <v>3.1885515745885109E-3</v>
      </c>
      <c r="Y390" s="3">
        <f t="shared" si="393"/>
        <v>3.1599731709498263E-3</v>
      </c>
      <c r="Z390" s="3">
        <f t="shared" si="393"/>
        <v>2.8879049043120221E-3</v>
      </c>
      <c r="AA390" s="3">
        <f t="shared" si="393"/>
        <v>1.173755978739154E-3</v>
      </c>
      <c r="AB390" s="3">
        <f t="shared" si="393"/>
        <v>1.4438667291413321E-7</v>
      </c>
      <c r="AC390" s="3">
        <f t="shared" si="393"/>
        <v>1.1455657637240528E-46</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1.5213277079669291E-4</v>
      </c>
      <c r="C393" s="3">
        <f t="shared" si="396"/>
        <v>1.5213277079669291E-4</v>
      </c>
      <c r="D393" s="3">
        <f t="shared" si="396"/>
        <v>1.5213277079669291E-4</v>
      </c>
      <c r="E393" s="3">
        <f t="shared" si="396"/>
        <v>1.5213277079669291E-4</v>
      </c>
      <c r="F393" s="3">
        <f t="shared" si="396"/>
        <v>1.5213277079669291E-4</v>
      </c>
      <c r="G393" s="3">
        <f t="shared" si="396"/>
        <v>1.5213277079669291E-4</v>
      </c>
      <c r="H393" s="3">
        <f t="shared" si="396"/>
        <v>1.5213277079669291E-4</v>
      </c>
      <c r="I393" s="3">
        <f t="shared" si="396"/>
        <v>1.5213277079669291E-4</v>
      </c>
      <c r="J393" s="3">
        <f t="shared" si="396"/>
        <v>1.5213277079669291E-4</v>
      </c>
      <c r="K393" s="3">
        <f t="shared" si="396"/>
        <v>1.5213277079669291E-4</v>
      </c>
      <c r="L393" s="3">
        <f t="shared" si="396"/>
        <v>1.5213277079669291E-4</v>
      </c>
      <c r="M393" s="3">
        <f t="shared" si="396"/>
        <v>1.5213277079669291E-4</v>
      </c>
      <c r="N393" s="3">
        <f t="shared" si="396"/>
        <v>1.5213277079669288E-4</v>
      </c>
      <c r="O393" s="3">
        <f t="shared" si="396"/>
        <v>1.5213277079669275E-4</v>
      </c>
      <c r="P393" s="3">
        <f t="shared" si="396"/>
        <v>1.5213277079669139E-4</v>
      </c>
      <c r="Q393" s="3">
        <f t="shared" si="396"/>
        <v>1.5213277079667771E-4</v>
      </c>
      <c r="R393" s="3">
        <f t="shared" si="396"/>
        <v>1.5213277079654074E-4</v>
      </c>
      <c r="S393" s="3">
        <f t="shared" si="396"/>
        <v>1.5213277079517104E-4</v>
      </c>
      <c r="T393" s="3">
        <f t="shared" si="396"/>
        <v>1.5213277078147418E-4</v>
      </c>
      <c r="U393" s="3">
        <f t="shared" si="396"/>
        <v>1.5213277064450565E-4</v>
      </c>
      <c r="V393" s="3">
        <f t="shared" si="396"/>
        <v>1.5213276927482014E-4</v>
      </c>
      <c r="W393" s="3">
        <f t="shared" si="396"/>
        <v>1.5213275557796605E-4</v>
      </c>
      <c r="X393" s="3">
        <f t="shared" si="396"/>
        <v>1.5213261860949289E-4</v>
      </c>
      <c r="Y393" s="3">
        <f t="shared" si="396"/>
        <v>1.5213124893154352E-4</v>
      </c>
      <c r="Z393" s="3">
        <f t="shared" si="396"/>
        <v>1.5211755283026199E-4</v>
      </c>
      <c r="AA393" s="3">
        <f t="shared" si="396"/>
        <v>1.5198065961607153E-4</v>
      </c>
      <c r="AB393" s="3">
        <f t="shared" si="396"/>
        <v>1.5061848480591746E-4</v>
      </c>
      <c r="AC393" s="3">
        <f t="shared" si="396"/>
        <v>1.3765049176677369E-4</v>
      </c>
      <c r="AD393" s="3">
        <f t="shared" si="396"/>
        <v>5.5946470898814187E-5</v>
      </c>
      <c r="AE393" s="3">
        <f t="shared" si="396"/>
        <v>6.8821159940283703E-9</v>
      </c>
      <c r="AF393" s="3">
        <f t="shared" si="396"/>
        <v>5.4602798898380292E-48</v>
      </c>
      <c r="AG393" s="3"/>
      <c r="AH393" s="3"/>
    </row>
    <row r="394" spans="1:34" x14ac:dyDescent="0.25">
      <c r="B394" s="3">
        <f t="shared" ref="B394:AF394" si="397">$C46*EXP(-B$363/$A46/EXP(-$H$126))</f>
        <v>1.3986654220962105E-4</v>
      </c>
      <c r="C394" s="3">
        <f t="shared" si="397"/>
        <v>1.3986654220962105E-4</v>
      </c>
      <c r="D394" s="3">
        <f t="shared" si="397"/>
        <v>1.3986654220962105E-4</v>
      </c>
      <c r="E394" s="3">
        <f t="shared" si="397"/>
        <v>1.3986654220962105E-4</v>
      </c>
      <c r="F394" s="3">
        <f t="shared" si="397"/>
        <v>1.3986654220962105E-4</v>
      </c>
      <c r="G394" s="3">
        <f t="shared" si="397"/>
        <v>1.3986654220962105E-4</v>
      </c>
      <c r="H394" s="3">
        <f t="shared" si="397"/>
        <v>1.3986654220962105E-4</v>
      </c>
      <c r="I394" s="3">
        <f t="shared" si="397"/>
        <v>1.3986654220962105E-4</v>
      </c>
      <c r="J394" s="3">
        <f t="shared" si="397"/>
        <v>1.3986654220962105E-4</v>
      </c>
      <c r="K394" s="3">
        <f t="shared" si="397"/>
        <v>1.3986654220962105E-4</v>
      </c>
      <c r="L394" s="3">
        <f t="shared" si="397"/>
        <v>1.3986654220962105E-4</v>
      </c>
      <c r="M394" s="3">
        <f t="shared" si="397"/>
        <v>1.3986654220962105E-4</v>
      </c>
      <c r="N394" s="3">
        <f t="shared" si="397"/>
        <v>1.3986654220962105E-4</v>
      </c>
      <c r="O394" s="3">
        <f t="shared" si="397"/>
        <v>1.3986654220962103E-4</v>
      </c>
      <c r="P394" s="3">
        <f t="shared" si="397"/>
        <v>1.3986654220962092E-4</v>
      </c>
      <c r="Q394" s="3">
        <f t="shared" si="397"/>
        <v>1.3986654220961964E-4</v>
      </c>
      <c r="R394" s="3">
        <f t="shared" si="397"/>
        <v>1.3986654220960707E-4</v>
      </c>
      <c r="S394" s="3">
        <f t="shared" si="397"/>
        <v>1.3986654220948114E-4</v>
      </c>
      <c r="T394" s="3">
        <f t="shared" si="397"/>
        <v>1.3986654220822189E-4</v>
      </c>
      <c r="U394" s="3">
        <f t="shared" si="397"/>
        <v>1.3986654219562937E-4</v>
      </c>
      <c r="V394" s="3">
        <f t="shared" si="397"/>
        <v>1.3986654206970441E-4</v>
      </c>
      <c r="W394" s="3">
        <f t="shared" si="397"/>
        <v>1.3986654081045452E-4</v>
      </c>
      <c r="X394" s="3">
        <f t="shared" si="397"/>
        <v>1.3986652821795645E-4</v>
      </c>
      <c r="Y394" s="3">
        <f t="shared" si="397"/>
        <v>1.3986640229303815E-4</v>
      </c>
      <c r="Z394" s="3">
        <f t="shared" si="397"/>
        <v>1.398651430500906E-4</v>
      </c>
      <c r="AA394" s="3">
        <f t="shared" si="397"/>
        <v>1.3985255124414393E-4</v>
      </c>
      <c r="AB394" s="3">
        <f t="shared" si="397"/>
        <v>1.3972669551680451E-4</v>
      </c>
      <c r="AC394" s="3">
        <f t="shared" si="397"/>
        <v>1.3847435074201624E-4</v>
      </c>
      <c r="AD394" s="3">
        <f t="shared" si="397"/>
        <v>1.2655194680310827E-4</v>
      </c>
      <c r="AE394" s="3">
        <f t="shared" si="397"/>
        <v>5.1435594004302666E-5</v>
      </c>
      <c r="AF394" s="3">
        <f t="shared" si="397"/>
        <v>6.3272216901685586E-9</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8.4977640874607974E-4</v>
      </c>
      <c r="C396" s="3">
        <f t="shared" si="399"/>
        <v>8.4977640874607974E-4</v>
      </c>
      <c r="D396" s="3">
        <f t="shared" si="399"/>
        <v>8.4977640874607974E-4</v>
      </c>
      <c r="E396" s="3">
        <f t="shared" si="399"/>
        <v>8.4977640874607974E-4</v>
      </c>
      <c r="F396" s="3">
        <f t="shared" si="399"/>
        <v>8.4977640874607974E-4</v>
      </c>
      <c r="G396" s="3">
        <f t="shared" si="399"/>
        <v>8.4977640874607974E-4</v>
      </c>
      <c r="H396" s="3">
        <f t="shared" si="399"/>
        <v>8.4977640874607974E-4</v>
      </c>
      <c r="I396" s="3">
        <f t="shared" si="399"/>
        <v>8.4977640874607974E-4</v>
      </c>
      <c r="J396" s="3">
        <f t="shared" si="399"/>
        <v>8.4977640874607974E-4</v>
      </c>
      <c r="K396" s="3">
        <f t="shared" si="399"/>
        <v>8.4977640874607974E-4</v>
      </c>
      <c r="L396" s="3">
        <f t="shared" si="399"/>
        <v>8.4977640874607974E-4</v>
      </c>
      <c r="M396" s="3">
        <f t="shared" si="399"/>
        <v>8.4977640874607974E-4</v>
      </c>
      <c r="N396" s="3">
        <f t="shared" si="399"/>
        <v>8.4977640874607974E-4</v>
      </c>
      <c r="O396" s="3">
        <f t="shared" si="399"/>
        <v>8.4977640874607974E-4</v>
      </c>
      <c r="P396" s="3">
        <f t="shared" si="399"/>
        <v>8.4977640874607974E-4</v>
      </c>
      <c r="Q396" s="3">
        <f t="shared" si="399"/>
        <v>8.4977640874607963E-4</v>
      </c>
      <c r="R396" s="3">
        <f t="shared" si="399"/>
        <v>8.4977640874607887E-4</v>
      </c>
      <c r="S396" s="3">
        <f t="shared" si="399"/>
        <v>8.4977640874607128E-4</v>
      </c>
      <c r="T396" s="3">
        <f t="shared" si="399"/>
        <v>8.4977640874599474E-4</v>
      </c>
      <c r="U396" s="3">
        <f t="shared" si="399"/>
        <v>8.4977640874522972E-4</v>
      </c>
      <c r="V396" s="3">
        <f t="shared" si="399"/>
        <v>8.4977640873757894E-4</v>
      </c>
      <c r="W396" s="3">
        <f t="shared" si="399"/>
        <v>8.4977640866107157E-4</v>
      </c>
      <c r="X396" s="3">
        <f t="shared" si="399"/>
        <v>8.4977640789599888E-4</v>
      </c>
      <c r="Y396" s="3">
        <f t="shared" si="399"/>
        <v>8.4977640024527117E-4</v>
      </c>
      <c r="Z396" s="3">
        <f t="shared" si="399"/>
        <v>8.4977632373799778E-4</v>
      </c>
      <c r="AA396" s="3">
        <f t="shared" si="399"/>
        <v>8.4977555866564271E-4</v>
      </c>
      <c r="AB396" s="3">
        <f t="shared" si="399"/>
        <v>8.4976790797997601E-4</v>
      </c>
      <c r="AC396" s="3">
        <f t="shared" si="399"/>
        <v>8.4969140491163717E-4</v>
      </c>
      <c r="AD396" s="3">
        <f t="shared" si="399"/>
        <v>8.4892675293476668E-4</v>
      </c>
      <c r="AE396" s="3">
        <f t="shared" si="399"/>
        <v>8.4131797796672232E-4</v>
      </c>
      <c r="AF396" s="3">
        <f t="shared" si="399"/>
        <v>7.6888194399627352E-4</v>
      </c>
      <c r="AG396" s="3"/>
      <c r="AH396" s="3"/>
    </row>
    <row r="397" spans="1:34" x14ac:dyDescent="0.25">
      <c r="A397" s="79">
        <f>AVERAGE(B397:AF397)</f>
        <v>2.9176699119954784E-4</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4.8071922520263297E-4</v>
      </c>
      <c r="M397" s="80">
        <f t="shared" si="400"/>
        <v>7.7490538765430524E-4</v>
      </c>
      <c r="N397" s="80">
        <f t="shared" si="400"/>
        <v>1.006067034284078E-3</v>
      </c>
      <c r="O397" s="80">
        <f t="shared" si="400"/>
        <v>1.218217582784084E-3</v>
      </c>
      <c r="P397" s="80">
        <f t="shared" si="400"/>
        <v>1.2263118753012548E-3</v>
      </c>
      <c r="Q397" s="80">
        <f t="shared" si="400"/>
        <v>1.2625252976839637E-3</v>
      </c>
      <c r="R397" s="80">
        <f t="shared" si="400"/>
        <v>1.063702340584797E-3</v>
      </c>
      <c r="S397" s="80">
        <f t="shared" si="400"/>
        <v>9.524305379589623E-4</v>
      </c>
      <c r="T397" s="80">
        <f t="shared" si="400"/>
        <v>5.7447250614052015E-4</v>
      </c>
      <c r="U397" s="80">
        <f t="shared" si="400"/>
        <v>3.3959007925707499E-4</v>
      </c>
      <c r="V397" s="80">
        <f t="shared" si="400"/>
        <v>1.4583486033430766E-4</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8630.4840451372529</v>
      </c>
      <c r="C398" s="21">
        <f t="shared" ref="C398:AF398" si="401">(C365-C364)^2</f>
        <v>14417.839876793902</v>
      </c>
      <c r="D398" s="21">
        <f t="shared" si="401"/>
        <v>1015.2243928757081</v>
      </c>
      <c r="E398" s="21">
        <f t="shared" si="401"/>
        <v>26.595141714244665</v>
      </c>
      <c r="F398" s="21">
        <f t="shared" si="401"/>
        <v>0.61024416624878863</v>
      </c>
      <c r="G398" s="21">
        <f t="shared" si="401"/>
        <v>2.0988146616676647E-3</v>
      </c>
      <c r="H398" s="21">
        <f t="shared" si="401"/>
        <v>2.7034855858382579E-4</v>
      </c>
      <c r="I398" s="21">
        <f t="shared" si="401"/>
        <v>0.1271379858736538</v>
      </c>
      <c r="J398" s="21">
        <f t="shared" si="401"/>
        <v>0.46159883503865823</v>
      </c>
      <c r="K398" s="21">
        <f t="shared" si="401"/>
        <v>2.4084316536876824</v>
      </c>
      <c r="L398" s="21">
        <f t="shared" si="401"/>
        <v>6.4433402015937311</v>
      </c>
      <c r="M398" s="21">
        <f t="shared" si="401"/>
        <v>14.569624773149702</v>
      </c>
      <c r="N398" s="21">
        <f t="shared" si="401"/>
        <v>20.644444350367916</v>
      </c>
      <c r="O398" s="21">
        <f t="shared" si="401"/>
        <v>24.398890419904081</v>
      </c>
      <c r="P398" s="21">
        <f t="shared" si="401"/>
        <v>18.222327654886648</v>
      </c>
      <c r="Q398" s="21">
        <f t="shared" si="401"/>
        <v>12.290752101381896</v>
      </c>
      <c r="R398" s="21">
        <f t="shared" si="401"/>
        <v>4.6239648341994997</v>
      </c>
      <c r="S398" s="21">
        <f t="shared" si="401"/>
        <v>1.842093494946683</v>
      </c>
      <c r="T398" s="21">
        <f t="shared" si="401"/>
        <v>0.3302262475240258</v>
      </c>
      <c r="U398" s="21">
        <f t="shared" si="401"/>
        <v>6.7759219149547481E-2</v>
      </c>
      <c r="V398" s="21">
        <f t="shared" si="401"/>
        <v>8.6489043843268384E-3</v>
      </c>
      <c r="W398" s="21">
        <f t="shared" si="401"/>
        <v>1.9924370631714591E-3</v>
      </c>
      <c r="X398" s="21">
        <f t="shared" si="401"/>
        <v>1.3413519835214235E-6</v>
      </c>
      <c r="Y398" s="21">
        <f t="shared" si="401"/>
        <v>0.36780946089148314</v>
      </c>
      <c r="Z398" s="21">
        <f t="shared" si="401"/>
        <v>2.3761511805826583</v>
      </c>
      <c r="AA398" s="21">
        <f t="shared" si="401"/>
        <v>4.4574802573419445</v>
      </c>
      <c r="AB398" s="21">
        <f t="shared" si="401"/>
        <v>2.3328446662173699</v>
      </c>
      <c r="AC398" s="21">
        <f t="shared" si="401"/>
        <v>0.20688532993802233</v>
      </c>
      <c r="AD398" s="21">
        <f t="shared" si="401"/>
        <v>4.8607150662142939E-2</v>
      </c>
      <c r="AE398" s="21">
        <f t="shared" si="401"/>
        <v>5.6134947978189818E-2</v>
      </c>
      <c r="AF398" s="21">
        <f t="shared" si="401"/>
        <v>2.1065912960055937E-2</v>
      </c>
      <c r="AG398" s="3"/>
      <c r="AH398" s="3"/>
    </row>
    <row r="399" spans="1:34" x14ac:dyDescent="0.25">
      <c r="A399" s="71">
        <f>SUM(B399:AF399)</f>
        <v>103.44207220148805</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6.4433402015937311</v>
      </c>
      <c r="M399" s="60">
        <f t="shared" ref="M399" si="412">IF($A$64&lt;=M363,IF($B$64&gt;=M363,ABS(M398),0),0)</f>
        <v>14.569624773149702</v>
      </c>
      <c r="N399" s="60">
        <f t="shared" ref="N399" si="413">IF($A$64&lt;=N363,IF($B$64&gt;=N363,ABS(N398),0),0)</f>
        <v>20.644444350367916</v>
      </c>
      <c r="O399" s="60">
        <f t="shared" ref="O399" si="414">IF($A$64&lt;=O363,IF($B$64&gt;=O363,ABS(O398),0),0)</f>
        <v>24.398890419904081</v>
      </c>
      <c r="P399" s="60">
        <f t="shared" ref="P399" si="415">IF($A$64&lt;=P363,IF($B$64&gt;=P363,ABS(P398),0),0)</f>
        <v>18.222327654886648</v>
      </c>
      <c r="Q399" s="60">
        <f t="shared" ref="Q399" si="416">IF($A$64&lt;=Q363,IF($B$64&gt;=Q363,ABS(Q398),0),0)</f>
        <v>12.290752101381896</v>
      </c>
      <c r="R399" s="60">
        <f t="shared" ref="R399" si="417">IF($A$64&lt;=R363,IF($B$64&gt;=R363,ABS(R398),0),0)</f>
        <v>4.6239648341994997</v>
      </c>
      <c r="S399" s="60">
        <f t="shared" ref="S399" si="418">IF($A$64&lt;=S363,IF($B$64&gt;=S363,ABS(S398),0),0)</f>
        <v>1.842093494946683</v>
      </c>
      <c r="T399" s="60">
        <f t="shared" ref="T399" si="419">IF($A$64&lt;=T363,IF($B$64&gt;=T363,ABS(T398),0),0)</f>
        <v>0.3302262475240258</v>
      </c>
      <c r="U399" s="60">
        <f t="shared" ref="U399" si="420">IF($A$64&lt;=U363,IF($B$64&gt;=U363,ABS(U398),0),0)</f>
        <v>6.7759219149547481E-2</v>
      </c>
      <c r="V399" s="60">
        <f t="shared" ref="V399" si="421">IF($A$64&lt;=V363,IF($B$64&gt;=V363,ABS(V398),0),0)</f>
        <v>8.6489043843268384E-3</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-22.869278143205829</v>
      </c>
      <c r="C403" s="107">
        <f t="shared" ref="C403:H403" si="432">IF(C125=$B$2,0,C126)</f>
        <v>-19.023716525364829</v>
      </c>
      <c r="D403" s="107">
        <f t="shared" si="432"/>
        <v>-16.53105789690397</v>
      </c>
      <c r="E403" s="107">
        <f t="shared" si="432"/>
        <v>-14.281547476415687</v>
      </c>
      <c r="F403" s="107">
        <f t="shared" si="432"/>
        <v>-10.921386422257637</v>
      </c>
      <c r="G403" s="107">
        <f t="shared" si="432"/>
        <v>-5.4295324985427138</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1.169495883007662E-25</v>
      </c>
      <c r="C404" s="3">
        <f t="shared" ref="C404:H419" si="433">$A404/EXP(-C$403)</f>
        <v>5.4714809028854452E-24</v>
      </c>
      <c r="D404" s="3">
        <f t="shared" si="433"/>
        <v>6.6168726373319759E-23</v>
      </c>
      <c r="E404" s="3">
        <f t="shared" si="433"/>
        <v>6.2748411787779559E-22</v>
      </c>
      <c r="F404" s="3">
        <f t="shared" si="433"/>
        <v>1.8067669682294661E-20</v>
      </c>
      <c r="G404" s="3">
        <f t="shared" si="433"/>
        <v>4.3851453853980748E-18</v>
      </c>
      <c r="H404" s="3">
        <f t="shared" si="433"/>
        <v>1.0000000000000001E-15</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1.1694958830076619E-24</v>
      </c>
      <c r="C405" s="3">
        <f t="shared" si="433"/>
        <v>5.4714809028854454E-23</v>
      </c>
      <c r="D405" s="3">
        <f t="shared" si="433"/>
        <v>6.6168726373319756E-22</v>
      </c>
      <c r="E405" s="3">
        <f t="shared" si="433"/>
        <v>6.2748411787779549E-21</v>
      </c>
      <c r="F405" s="3">
        <f t="shared" si="433"/>
        <v>1.806766968229466E-19</v>
      </c>
      <c r="G405" s="3">
        <f t="shared" si="433"/>
        <v>4.3851453853980739E-17</v>
      </c>
      <c r="H405" s="3">
        <f t="shared" si="433"/>
        <v>1E-14</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1.1694958830076618E-23</v>
      </c>
      <c r="C406" s="3">
        <f t="shared" si="433"/>
        <v>5.4714809028854454E-22</v>
      </c>
      <c r="D406" s="3">
        <f t="shared" si="433"/>
        <v>6.616872637331976E-21</v>
      </c>
      <c r="E406" s="3">
        <f t="shared" si="433"/>
        <v>6.2748411787779549E-20</v>
      </c>
      <c r="F406" s="3">
        <f t="shared" si="433"/>
        <v>1.8067669682294662E-18</v>
      </c>
      <c r="G406" s="3">
        <f t="shared" si="433"/>
        <v>4.3851453853980744E-16</v>
      </c>
      <c r="H406" s="3">
        <f t="shared" si="433"/>
        <v>1E-13</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1.1694958830076618E-22</v>
      </c>
      <c r="C407" s="3">
        <f t="shared" si="433"/>
        <v>5.471480902885445E-21</v>
      </c>
      <c r="D407" s="3">
        <f t="shared" si="433"/>
        <v>6.6168726373319753E-20</v>
      </c>
      <c r="E407" s="3">
        <f t="shared" si="433"/>
        <v>6.2748411787779549E-19</v>
      </c>
      <c r="F407" s="3">
        <f t="shared" si="433"/>
        <v>1.8067669682294659E-17</v>
      </c>
      <c r="G407" s="3">
        <f t="shared" si="433"/>
        <v>4.3851453853980741E-15</v>
      </c>
      <c r="H407" s="3">
        <f t="shared" si="433"/>
        <v>9.9999999999999998E-13</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1.1694958830076618E-21</v>
      </c>
      <c r="C408" s="3">
        <f t="shared" si="433"/>
        <v>5.4714809028854453E-20</v>
      </c>
      <c r="D408" s="3">
        <f t="shared" si="433"/>
        <v>6.6168726373319753E-19</v>
      </c>
      <c r="E408" s="3">
        <f t="shared" si="433"/>
        <v>6.2748411787779545E-18</v>
      </c>
      <c r="F408" s="3">
        <f t="shared" si="433"/>
        <v>1.8067669682294658E-16</v>
      </c>
      <c r="G408" s="3">
        <f t="shared" si="433"/>
        <v>4.3851453853980736E-14</v>
      </c>
      <c r="H408" s="3">
        <f t="shared" si="433"/>
        <v>9.9999999999999994E-12</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1.1694958830076618E-20</v>
      </c>
      <c r="C409" s="3">
        <f t="shared" si="433"/>
        <v>5.4714809028854453E-19</v>
      </c>
      <c r="D409" s="3">
        <f t="shared" si="433"/>
        <v>6.6168726373319755E-18</v>
      </c>
      <c r="E409" s="3">
        <f t="shared" si="433"/>
        <v>6.2748411787779556E-17</v>
      </c>
      <c r="F409" s="3">
        <f t="shared" si="433"/>
        <v>1.8067669682294661E-15</v>
      </c>
      <c r="G409" s="3">
        <f t="shared" si="433"/>
        <v>4.3851453853980744E-13</v>
      </c>
      <c r="H409" s="3">
        <f t="shared" si="433"/>
        <v>1E-10</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1.169495883007662E-19</v>
      </c>
      <c r="C410" s="3">
        <f t="shared" si="433"/>
        <v>5.4714809028854453E-18</v>
      </c>
      <c r="D410" s="3">
        <f t="shared" si="433"/>
        <v>6.6168726373319759E-17</v>
      </c>
      <c r="E410" s="3">
        <f t="shared" si="433"/>
        <v>6.2748411787779559E-16</v>
      </c>
      <c r="F410" s="3">
        <f t="shared" si="433"/>
        <v>1.806766968229466E-14</v>
      </c>
      <c r="G410" s="3">
        <f t="shared" si="433"/>
        <v>4.3851453853980742E-12</v>
      </c>
      <c r="H410" s="3">
        <f t="shared" si="433"/>
        <v>1.0000000000000001E-9</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1.1694958830076619E-18</v>
      </c>
      <c r="C411" s="3">
        <f t="shared" si="433"/>
        <v>5.471480902885445E-17</v>
      </c>
      <c r="D411" s="3">
        <f t="shared" si="433"/>
        <v>6.6168726373319757E-16</v>
      </c>
      <c r="E411" s="3">
        <f t="shared" si="433"/>
        <v>6.2748411787779549E-15</v>
      </c>
      <c r="F411" s="3">
        <f t="shared" si="433"/>
        <v>1.806766968229466E-13</v>
      </c>
      <c r="G411" s="3">
        <f t="shared" si="433"/>
        <v>4.3851453853980742E-11</v>
      </c>
      <c r="H411" s="3">
        <f t="shared" si="433"/>
        <v>1E-8</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1.1694958830076617E-17</v>
      </c>
      <c r="C412" s="3">
        <f t="shared" si="433"/>
        <v>5.4714809028854449E-16</v>
      </c>
      <c r="D412" s="3">
        <f t="shared" si="433"/>
        <v>6.6168726373319755E-15</v>
      </c>
      <c r="E412" s="3">
        <f t="shared" si="433"/>
        <v>6.2748411787779547E-14</v>
      </c>
      <c r="F412" s="3">
        <f t="shared" si="433"/>
        <v>1.806766968229466E-12</v>
      </c>
      <c r="G412" s="3">
        <f t="shared" si="433"/>
        <v>4.3851453853980741E-10</v>
      </c>
      <c r="H412" s="3">
        <f t="shared" si="433"/>
        <v>9.9999999999999995E-8</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1.1694958830076618E-16</v>
      </c>
      <c r="C413" s="3">
        <f t="shared" si="433"/>
        <v>5.4714809028854451E-15</v>
      </c>
      <c r="D413" s="3">
        <f t="shared" si="433"/>
        <v>6.6168726373319752E-14</v>
      </c>
      <c r="E413" s="3">
        <f t="shared" si="433"/>
        <v>6.2748411787779552E-13</v>
      </c>
      <c r="F413" s="3">
        <f t="shared" si="433"/>
        <v>1.8067669682294659E-11</v>
      </c>
      <c r="G413" s="3">
        <f t="shared" si="433"/>
        <v>4.3851453853980744E-9</v>
      </c>
      <c r="H413" s="3">
        <f t="shared" si="433"/>
        <v>9.9999999999999995E-7</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1.1694958830076619E-15</v>
      </c>
      <c r="C414" s="3">
        <f t="shared" si="433"/>
        <v>5.4714809028854456E-14</v>
      </c>
      <c r="D414" s="3">
        <f t="shared" si="433"/>
        <v>6.6168726373319757E-13</v>
      </c>
      <c r="E414" s="3">
        <f t="shared" si="433"/>
        <v>6.2748411787779554E-12</v>
      </c>
      <c r="F414" s="3">
        <f t="shared" si="433"/>
        <v>1.8067669682294661E-10</v>
      </c>
      <c r="G414" s="3">
        <f t="shared" si="433"/>
        <v>4.3851453853980744E-8</v>
      </c>
      <c r="H414" s="3">
        <f t="shared" si="433"/>
        <v>1.0000000000000001E-5</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1.1694958830076619E-14</v>
      </c>
      <c r="C415" s="3">
        <f t="shared" si="433"/>
        <v>5.4714809028854454E-13</v>
      </c>
      <c r="D415" s="3">
        <f t="shared" si="433"/>
        <v>6.6168726373319759E-12</v>
      </c>
      <c r="E415" s="3">
        <f t="shared" si="433"/>
        <v>6.2748411787779554E-11</v>
      </c>
      <c r="F415" s="3">
        <f t="shared" si="433"/>
        <v>1.8067669682294661E-9</v>
      </c>
      <c r="G415" s="3">
        <f t="shared" si="433"/>
        <v>4.3851453853980745E-7</v>
      </c>
      <c r="H415" s="3">
        <f t="shared" si="433"/>
        <v>1E-4</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1.1694958830076618E-13</v>
      </c>
      <c r="C416" s="3">
        <f t="shared" si="433"/>
        <v>5.4714809028854452E-12</v>
      </c>
      <c r="D416" s="3">
        <f t="shared" si="433"/>
        <v>6.6168726373319759E-11</v>
      </c>
      <c r="E416" s="3">
        <f t="shared" si="433"/>
        <v>6.2748411787779549E-10</v>
      </c>
      <c r="F416" s="3">
        <f t="shared" si="433"/>
        <v>1.8067669682294661E-8</v>
      </c>
      <c r="G416" s="3">
        <f t="shared" si="433"/>
        <v>4.3851453853980745E-6</v>
      </c>
      <c r="H416" s="3">
        <f t="shared" si="433"/>
        <v>1E-3</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1.1694958830076617E-12</v>
      </c>
      <c r="C417" s="3">
        <f t="shared" si="433"/>
        <v>5.4714809028854452E-11</v>
      </c>
      <c r="D417" s="3">
        <f t="shared" si="433"/>
        <v>6.6168726373319754E-10</v>
      </c>
      <c r="E417" s="3">
        <f t="shared" si="433"/>
        <v>6.2748411787779549E-9</v>
      </c>
      <c r="F417" s="3">
        <f t="shared" si="433"/>
        <v>1.8067669682294659E-7</v>
      </c>
      <c r="G417" s="3">
        <f t="shared" si="433"/>
        <v>4.3851453853980742E-5</v>
      </c>
      <c r="H417" s="3">
        <f t="shared" si="433"/>
        <v>0.01</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1.1694958830076618E-11</v>
      </c>
      <c r="C418" s="3">
        <f t="shared" si="433"/>
        <v>5.4714809028854457E-10</v>
      </c>
      <c r="D418" s="3">
        <f t="shared" si="433"/>
        <v>6.616872637331976E-9</v>
      </c>
      <c r="E418" s="3">
        <f t="shared" si="433"/>
        <v>6.2748411787779561E-8</v>
      </c>
      <c r="F418" s="3">
        <f t="shared" si="433"/>
        <v>1.8067669682294661E-6</v>
      </c>
      <c r="G418" s="3">
        <f t="shared" si="433"/>
        <v>4.3851453853980746E-4</v>
      </c>
      <c r="H418" s="3">
        <f t="shared" si="433"/>
        <v>0.1</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1.1694958830076617E-10</v>
      </c>
      <c r="C419" s="3">
        <f t="shared" si="433"/>
        <v>5.4714809028854451E-9</v>
      </c>
      <c r="D419" s="3">
        <f t="shared" si="433"/>
        <v>6.6168726373319753E-8</v>
      </c>
      <c r="E419" s="3">
        <f t="shared" si="433"/>
        <v>6.274841178777955E-7</v>
      </c>
      <c r="F419" s="3">
        <f t="shared" si="433"/>
        <v>1.806766968229466E-5</v>
      </c>
      <c r="G419" s="3">
        <f t="shared" si="433"/>
        <v>4.3851453853980746E-3</v>
      </c>
      <c r="H419" s="3">
        <f t="shared" si="433"/>
        <v>1</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1.1694958830076618E-9</v>
      </c>
      <c r="C420" s="3">
        <f t="shared" si="434"/>
        <v>5.4714809028854455E-8</v>
      </c>
      <c r="D420" s="3">
        <f t="shared" si="434"/>
        <v>6.6168726373319756E-7</v>
      </c>
      <c r="E420" s="3">
        <f t="shared" si="434"/>
        <v>6.2748411787779554E-6</v>
      </c>
      <c r="F420" s="3">
        <f t="shared" si="434"/>
        <v>1.806766968229466E-4</v>
      </c>
      <c r="G420" s="3">
        <f t="shared" si="434"/>
        <v>4.3851453853980739E-2</v>
      </c>
      <c r="H420" s="3">
        <f t="shared" si="434"/>
        <v>10</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1.1694958830076618E-8</v>
      </c>
      <c r="C421" s="3">
        <f t="shared" si="434"/>
        <v>5.4714809028854451E-7</v>
      </c>
      <c r="D421" s="3">
        <f t="shared" si="434"/>
        <v>6.6168726373319758E-6</v>
      </c>
      <c r="E421" s="3">
        <f t="shared" si="434"/>
        <v>6.2748411787779551E-5</v>
      </c>
      <c r="F421" s="3">
        <f t="shared" si="434"/>
        <v>1.806766968229466E-3</v>
      </c>
      <c r="G421" s="3">
        <f t="shared" si="434"/>
        <v>0.43851453853980743</v>
      </c>
      <c r="H421" s="3">
        <f t="shared" si="434"/>
        <v>100</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1.1694958830076618E-7</v>
      </c>
      <c r="C422" s="3">
        <f t="shared" si="434"/>
        <v>5.4714809028854455E-6</v>
      </c>
      <c r="D422" s="3">
        <f t="shared" si="434"/>
        <v>6.6168726373319749E-5</v>
      </c>
      <c r="E422" s="3">
        <f t="shared" si="434"/>
        <v>6.2748411787779551E-4</v>
      </c>
      <c r="F422" s="3">
        <f t="shared" si="434"/>
        <v>1.806766968229466E-2</v>
      </c>
      <c r="G422" s="3">
        <f t="shared" si="434"/>
        <v>4.385145385398074</v>
      </c>
      <c r="H422" s="3">
        <f t="shared" si="434"/>
        <v>1000</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1.1694958830076618E-6</v>
      </c>
      <c r="C423" s="3">
        <f t="shared" si="434"/>
        <v>5.4714809028854453E-5</v>
      </c>
      <c r="D423" s="3">
        <f t="shared" si="434"/>
        <v>6.616872637331976E-4</v>
      </c>
      <c r="E423" s="3">
        <f t="shared" si="434"/>
        <v>6.2748411787779549E-3</v>
      </c>
      <c r="F423" s="3">
        <f t="shared" si="434"/>
        <v>0.1806766968229466</v>
      </c>
      <c r="G423" s="3">
        <f t="shared" si="434"/>
        <v>43.851453853980743</v>
      </c>
      <c r="H423" s="3">
        <f t="shared" si="434"/>
        <v>10000</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1.1694958830076617E-5</v>
      </c>
      <c r="C424" s="3">
        <f t="shared" si="434"/>
        <v>5.4714809028854456E-4</v>
      </c>
      <c r="D424" s="3">
        <f t="shared" si="434"/>
        <v>6.6168726373319756E-3</v>
      </c>
      <c r="E424" s="3">
        <f t="shared" si="434"/>
        <v>6.2748411787779554E-2</v>
      </c>
      <c r="F424" s="3">
        <f t="shared" si="434"/>
        <v>1.806766968229466</v>
      </c>
      <c r="G424" s="3">
        <f t="shared" si="434"/>
        <v>438.5145385398074</v>
      </c>
      <c r="H424" s="3">
        <f t="shared" si="434"/>
        <v>100000</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1.1694958830076618E-4</v>
      </c>
      <c r="C425" s="3">
        <f t="shared" si="434"/>
        <v>5.4714809028854451E-3</v>
      </c>
      <c r="D425" s="3">
        <f t="shared" si="434"/>
        <v>6.6168726373319761E-2</v>
      </c>
      <c r="E425" s="3">
        <f t="shared" si="434"/>
        <v>0.62748411787779557</v>
      </c>
      <c r="F425" s="3">
        <f t="shared" si="434"/>
        <v>18.06766968229466</v>
      </c>
      <c r="G425" s="3">
        <f t="shared" si="434"/>
        <v>4385.1453853980738</v>
      </c>
      <c r="H425" s="3">
        <f t="shared" si="434"/>
        <v>1000000</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1.1694958830076618E-3</v>
      </c>
      <c r="C426" s="3">
        <f t="shared" si="434"/>
        <v>5.471480902885445E-2</v>
      </c>
      <c r="D426" s="3">
        <f t="shared" si="434"/>
        <v>0.66168726373319753</v>
      </c>
      <c r="E426" s="3">
        <f t="shared" si="434"/>
        <v>6.2748411787779554</v>
      </c>
      <c r="F426" s="3">
        <f t="shared" si="434"/>
        <v>180.67669682294658</v>
      </c>
      <c r="G426" s="3">
        <f t="shared" si="434"/>
        <v>43851.45385398074</v>
      </c>
      <c r="H426" s="3">
        <f t="shared" si="434"/>
        <v>10000000</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1.1694958830076619E-2</v>
      </c>
      <c r="C427" s="3">
        <f t="shared" si="434"/>
        <v>0.5471480902885445</v>
      </c>
      <c r="D427" s="3">
        <f t="shared" si="434"/>
        <v>6.6168726373319755</v>
      </c>
      <c r="E427" s="3">
        <f t="shared" si="434"/>
        <v>62.748411787779553</v>
      </c>
      <c r="F427" s="3">
        <f t="shared" si="434"/>
        <v>1806.7669682294659</v>
      </c>
      <c r="G427" s="3">
        <f t="shared" si="434"/>
        <v>438514.53853980743</v>
      </c>
      <c r="H427" s="3">
        <f t="shared" si="434"/>
        <v>100000000</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0.11694958830076618</v>
      </c>
      <c r="C428" s="3">
        <f t="shared" si="434"/>
        <v>5.4714809028854452</v>
      </c>
      <c r="D428" s="3">
        <f t="shared" si="434"/>
        <v>66.168726373319757</v>
      </c>
      <c r="E428" s="3">
        <f t="shared" si="434"/>
        <v>627.48411787779548</v>
      </c>
      <c r="F428" s="3">
        <f t="shared" si="434"/>
        <v>18067.669682294658</v>
      </c>
      <c r="G428" s="3">
        <f t="shared" si="434"/>
        <v>4385145.3853980741</v>
      </c>
      <c r="H428" s="3">
        <f t="shared" si="434"/>
        <v>1000000000</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1.1694958830076618</v>
      </c>
      <c r="C429" s="3">
        <f t="shared" si="434"/>
        <v>54.714809028854454</v>
      </c>
      <c r="D429" s="3">
        <f t="shared" si="434"/>
        <v>661.6872637331976</v>
      </c>
      <c r="E429" s="3">
        <f t="shared" si="434"/>
        <v>6274.8411787779551</v>
      </c>
      <c r="F429" s="3">
        <f t="shared" si="434"/>
        <v>180676.6968229466</v>
      </c>
      <c r="G429" s="3">
        <f t="shared" si="434"/>
        <v>43851453.853980742</v>
      </c>
      <c r="H429" s="3">
        <f t="shared" si="434"/>
        <v>10000000000</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11.694958830076619</v>
      </c>
      <c r="C430" s="3">
        <f t="shared" si="434"/>
        <v>547.14809028854449</v>
      </c>
      <c r="D430" s="3">
        <f t="shared" si="434"/>
        <v>6616.872637331976</v>
      </c>
      <c r="E430" s="3">
        <f t="shared" si="434"/>
        <v>62748.411787779551</v>
      </c>
      <c r="F430" s="3">
        <f t="shared" si="434"/>
        <v>1806766.9682294659</v>
      </c>
      <c r="G430" s="3">
        <f t="shared" si="434"/>
        <v>438514538.53980744</v>
      </c>
      <c r="H430" s="3">
        <f t="shared" si="434"/>
        <v>100000000000</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116.94958830076618</v>
      </c>
      <c r="C431" s="3">
        <f t="shared" si="434"/>
        <v>5471.4809028854452</v>
      </c>
      <c r="D431" s="3">
        <f t="shared" si="434"/>
        <v>66168.726373319761</v>
      </c>
      <c r="E431" s="3">
        <f t="shared" si="434"/>
        <v>627484.11787779548</v>
      </c>
      <c r="F431" s="3">
        <f t="shared" si="434"/>
        <v>18067669.682294659</v>
      </c>
      <c r="G431" s="3">
        <f t="shared" si="434"/>
        <v>4385145385.3980742</v>
      </c>
      <c r="H431" s="3">
        <f t="shared" si="434"/>
        <v>1000000000000</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1169.4958830076619</v>
      </c>
      <c r="C432" s="3">
        <f t="shared" si="434"/>
        <v>54714.809028854448</v>
      </c>
      <c r="D432" s="3">
        <f t="shared" si="434"/>
        <v>661687.26373319759</v>
      </c>
      <c r="E432" s="3">
        <f t="shared" si="434"/>
        <v>6274841.1787779555</v>
      </c>
      <c r="F432" s="3">
        <f t="shared" si="434"/>
        <v>180676696.82294661</v>
      </c>
      <c r="G432" s="3">
        <f t="shared" si="434"/>
        <v>43851453853.980743</v>
      </c>
      <c r="H432" s="3">
        <f t="shared" si="434"/>
        <v>10000000000000</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11694.958830076617</v>
      </c>
      <c r="C433" s="3">
        <f t="shared" si="434"/>
        <v>547148.09028854454</v>
      </c>
      <c r="D433" s="3">
        <f t="shared" si="434"/>
        <v>6616872.6373319756</v>
      </c>
      <c r="E433" s="3">
        <f t="shared" si="434"/>
        <v>62748411.787779555</v>
      </c>
      <c r="F433" s="3">
        <f t="shared" si="434"/>
        <v>1806766968.229466</v>
      </c>
      <c r="G433" s="3">
        <f t="shared" si="434"/>
        <v>438514538539.80743</v>
      </c>
      <c r="H433" s="3">
        <f t="shared" si="434"/>
        <v>100000000000000</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116949.58830076618</v>
      </c>
      <c r="C434" s="3">
        <f t="shared" si="434"/>
        <v>5471480.9028854454</v>
      </c>
      <c r="D434" s="3">
        <f t="shared" si="434"/>
        <v>66168726.373319753</v>
      </c>
      <c r="E434" s="3">
        <f t="shared" si="434"/>
        <v>627484117.87779546</v>
      </c>
      <c r="F434" s="3">
        <f t="shared" si="434"/>
        <v>18067669682.294659</v>
      </c>
      <c r="G434" s="3">
        <f t="shared" si="434"/>
        <v>4385145385398.0742</v>
      </c>
      <c r="H434" s="3">
        <f t="shared" si="434"/>
        <v>1000000000000000</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-22.869278143205829</v>
      </c>
      <c r="M1" s="54">
        <v>1</v>
      </c>
      <c r="N1" s="56">
        <f>INDEX($H$217:$P$217,1,Q1)</f>
        <v>0.13834279619103665</v>
      </c>
      <c r="O1" s="11"/>
      <c r="P1" s="55">
        <v>1</v>
      </c>
      <c r="Q1" s="11">
        <v>2</v>
      </c>
    </row>
    <row r="2" spans="1:17" x14ac:dyDescent="0.25">
      <c r="A2" s="11">
        <f>'Mastercurve bestimmen'!M119</f>
        <v>0</v>
      </c>
      <c r="B2" s="11">
        <f>'Mastercurve bestimmen'!N119</f>
        <v>-19.023716525364829</v>
      </c>
      <c r="M2" s="54">
        <v>2</v>
      </c>
      <c r="N2" s="56">
        <f t="shared" ref="N2:N9" si="0">INDEX($H$217:$P$217,1,Q2)</f>
        <v>-3.2908412904334005E-3</v>
      </c>
      <c r="O2" s="11"/>
      <c r="P2" s="55">
        <v>2</v>
      </c>
      <c r="Q2" s="11">
        <f>Q1+1</f>
        <v>3</v>
      </c>
    </row>
    <row r="3" spans="1:17" x14ac:dyDescent="0.25">
      <c r="A3" s="11">
        <f>'Mastercurve bestimmen'!M120</f>
        <v>25</v>
      </c>
      <c r="B3" s="11">
        <f>'Mastercurve bestimmen'!N120</f>
        <v>-16.53105789690397</v>
      </c>
      <c r="M3" s="54">
        <v>3</v>
      </c>
      <c r="N3" s="56">
        <f t="shared" si="0"/>
        <v>-1.5510731410745281E-4</v>
      </c>
      <c r="O3" s="11"/>
      <c r="P3" s="55">
        <v>3</v>
      </c>
      <c r="Q3" s="11">
        <f t="shared" ref="Q3:Q8" si="1">Q2+1</f>
        <v>4</v>
      </c>
    </row>
    <row r="4" spans="1:17" x14ac:dyDescent="0.25">
      <c r="A4" s="11">
        <f>'Mastercurve bestimmen'!M121</f>
        <v>50</v>
      </c>
      <c r="B4" s="11">
        <f>'Mastercurve bestimmen'!N121</f>
        <v>-14.281547476415687</v>
      </c>
      <c r="M4" s="54">
        <v>4</v>
      </c>
      <c r="N4" s="56">
        <f t="shared" si="0"/>
        <v>-3.0644184589683188E-6</v>
      </c>
      <c r="O4" s="11"/>
      <c r="P4" s="55">
        <v>4</v>
      </c>
      <c r="Q4" s="11">
        <f t="shared" si="1"/>
        <v>5</v>
      </c>
    </row>
    <row r="5" spans="1:17" x14ac:dyDescent="0.25">
      <c r="A5" s="11">
        <f>'Mastercurve bestimmen'!M122</f>
        <v>80</v>
      </c>
      <c r="B5" s="11">
        <f>'Mastercurve bestimmen'!N122</f>
        <v>-10.921386422257637</v>
      </c>
      <c r="M5" s="54">
        <v>5</v>
      </c>
      <c r="N5" s="56">
        <f t="shared" si="0"/>
        <v>-3.2116360029072318E-8</v>
      </c>
      <c r="O5" s="11"/>
      <c r="P5" s="55">
        <v>5</v>
      </c>
      <c r="Q5" s="11">
        <f t="shared" si="1"/>
        <v>6</v>
      </c>
    </row>
    <row r="6" spans="1:17" x14ac:dyDescent="0.25">
      <c r="A6" s="11">
        <f>'Mastercurve bestimmen'!M123</f>
        <v>125</v>
      </c>
      <c r="B6" s="11">
        <f>'Mastercurve bestimmen'!N123</f>
        <v>-5.4295324985427138</v>
      </c>
      <c r="M6" s="54">
        <v>6</v>
      </c>
      <c r="N6" s="56">
        <f t="shared" si="0"/>
        <v>-1.8440816766512693E-10</v>
      </c>
      <c r="O6" s="11"/>
      <c r="P6" s="55">
        <v>6</v>
      </c>
      <c r="Q6" s="11">
        <f t="shared" si="1"/>
        <v>7</v>
      </c>
    </row>
    <row r="7" spans="1:17" x14ac:dyDescent="0.25">
      <c r="A7" s="11">
        <f>'Mastercurve bestimmen'!M124</f>
        <v>160</v>
      </c>
      <c r="B7" s="11">
        <f>'Mastercurve bestimmen'!N124</f>
        <v>0</v>
      </c>
      <c r="M7" s="54">
        <v>7</v>
      </c>
      <c r="N7" s="56">
        <f t="shared" si="0"/>
        <v>-5.4624698498068876E-13</v>
      </c>
      <c r="O7" s="11"/>
      <c r="P7" s="55">
        <v>7</v>
      </c>
      <c r="Q7" s="11">
        <f t="shared" si="1"/>
        <v>8</v>
      </c>
    </row>
    <row r="8" spans="1:17" x14ac:dyDescent="0.25">
      <c r="A8" s="11"/>
      <c r="B8" s="11"/>
      <c r="M8" s="54">
        <v>8</v>
      </c>
      <c r="N8" s="56">
        <f t="shared" si="0"/>
        <v>-6.5170944295392318E-16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-22.869278143205829</v>
      </c>
      <c r="E15" s="11">
        <f>A15-'Mastercurve bestimmen'!$B$2</f>
        <v>-200</v>
      </c>
      <c r="F15" s="11">
        <f>B15</f>
        <v>-22.869278143205829</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-22.798924986547075</v>
      </c>
      <c r="E16" s="11">
        <f>A16-'Mastercurve bestimmen'!$B$2</f>
        <v>-199</v>
      </c>
      <c r="F16" s="11">
        <f t="shared" ref="F16:F79" si="4">B16</f>
        <v>-22.798924986547075</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-22.728475072350658</v>
      </c>
      <c r="E17" s="11">
        <f>A17-'Mastercurve bestimmen'!$B$2</f>
        <v>-198</v>
      </c>
      <c r="F17" s="11">
        <f t="shared" si="4"/>
        <v>-22.728475072350658</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-22.657831643078911</v>
      </c>
      <c r="E18" s="11">
        <f>A18-'Mastercurve bestimmen'!$B$2</f>
        <v>-197</v>
      </c>
      <c r="F18" s="11">
        <f t="shared" si="4"/>
        <v>-22.657831643078911</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-22.586897941194181</v>
      </c>
      <c r="E19" s="11">
        <f>A19-'Mastercurve bestimmen'!$B$2</f>
        <v>-196</v>
      </c>
      <c r="F19" s="11">
        <f t="shared" si="4"/>
        <v>-22.586897941194181</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-22.515577209158792</v>
      </c>
      <c r="E20" s="11">
        <f>A20-'Mastercurve bestimmen'!$B$2</f>
        <v>-195</v>
      </c>
      <c r="F20" s="11">
        <f t="shared" si="4"/>
        <v>-22.515577209158792</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-22.443772689435086</v>
      </c>
      <c r="E21" s="11">
        <f>A21-'Mastercurve bestimmen'!$B$2</f>
        <v>-194</v>
      </c>
      <c r="F21" s="11">
        <f t="shared" si="4"/>
        <v>-22.443772689435086</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-22.371387624485401</v>
      </c>
      <c r="E22" s="11">
        <f>A22-'Mastercurve bestimmen'!$B$2</f>
        <v>-193</v>
      </c>
      <c r="F22" s="11">
        <f t="shared" si="4"/>
        <v>-22.371387624485401</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-22.298325256772074</v>
      </c>
      <c r="E23" s="11">
        <f>A23-'Mastercurve bestimmen'!$B$2</f>
        <v>-192</v>
      </c>
      <c r="F23" s="11">
        <f t="shared" si="4"/>
        <v>-22.298325256772074</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-22.224488828757444</v>
      </c>
      <c r="E24" s="11">
        <f>A24-'Mastercurve bestimmen'!$B$2</f>
        <v>-191</v>
      </c>
      <c r="F24" s="11">
        <f t="shared" si="4"/>
        <v>-22.224488828757444</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-22.149781582903838</v>
      </c>
      <c r="E25" s="11">
        <f>A25-'Mastercurve bestimmen'!$B$2</f>
        <v>-190</v>
      </c>
      <c r="F25" s="11">
        <f t="shared" si="4"/>
        <v>-22.149781582903838</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-22.074106761673605</v>
      </c>
      <c r="E26" s="11">
        <f>A26-'Mastercurve bestimmen'!$B$2</f>
        <v>-189</v>
      </c>
      <c r="F26" s="11">
        <f t="shared" si="4"/>
        <v>-22.074106761673605</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-21.997367607529071</v>
      </c>
      <c r="E27" s="11">
        <f>A27-'Mastercurve bestimmen'!$B$2</f>
        <v>-188</v>
      </c>
      <c r="F27" s="11">
        <f t="shared" si="4"/>
        <v>-21.997367607529071</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-21.919467362932579</v>
      </c>
      <c r="E28" s="11">
        <f>A28-'Mastercurve bestimmen'!$B$2</f>
        <v>-187</v>
      </c>
      <c r="F28" s="11">
        <f t="shared" si="4"/>
        <v>-21.919467362932579</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-21.840309270346467</v>
      </c>
      <c r="E29" s="11">
        <f>A29-'Mastercurve bestimmen'!$B$2</f>
        <v>-186</v>
      </c>
      <c r="F29" s="11">
        <f t="shared" si="4"/>
        <v>-21.840309270346467</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-21.759796572233064</v>
      </c>
      <c r="E30" s="11">
        <f>A30-'Mastercurve bestimmen'!$B$2</f>
        <v>-185</v>
      </c>
      <c r="F30" s="11">
        <f t="shared" si="4"/>
        <v>-21.759796572233064</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-21.67783251105471</v>
      </c>
      <c r="E31" s="11">
        <f>A31-'Mastercurve bestimmen'!$B$2</f>
        <v>-184</v>
      </c>
      <c r="F31" s="11">
        <f t="shared" si="4"/>
        <v>-21.67783251105471</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-21.594320329273749</v>
      </c>
      <c r="E32" s="11">
        <f>A32-'Mastercurve bestimmen'!$B$2</f>
        <v>-183</v>
      </c>
      <c r="F32" s="11">
        <f t="shared" si="4"/>
        <v>-21.594320329273749</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-21.509163269352506</v>
      </c>
      <c r="E33" s="11">
        <f>A33-'Mastercurve bestimmen'!$B$2</f>
        <v>-182</v>
      </c>
      <c r="F33" s="11">
        <f t="shared" si="4"/>
        <v>-21.509163269352506</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-21.422264573753328</v>
      </c>
      <c r="E34" s="11">
        <f>A34-'Mastercurve bestimmen'!$B$2</f>
        <v>-181</v>
      </c>
      <c r="F34" s="11">
        <f t="shared" si="4"/>
        <v>-21.422264573753328</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-21.333527484938546</v>
      </c>
      <c r="E35" s="11">
        <f>A35-'Mastercurve bestimmen'!$B$2</f>
        <v>-180</v>
      </c>
      <c r="F35" s="11">
        <f t="shared" si="4"/>
        <v>-21.333527484938546</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-21.2428552453705</v>
      </c>
      <c r="E36" s="11">
        <f>A36-'Mastercurve bestimmen'!$B$2</f>
        <v>-179</v>
      </c>
      <c r="F36" s="11">
        <f t="shared" si="4"/>
        <v>-21.2428552453705</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-21.150151097511522</v>
      </c>
      <c r="E37" s="11">
        <f>A37-'Mastercurve bestimmen'!$B$2</f>
        <v>-178</v>
      </c>
      <c r="F37" s="11">
        <f t="shared" si="4"/>
        <v>-21.150151097511522</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-21.055318283823951</v>
      </c>
      <c r="E38" s="11">
        <f>A38-'Mastercurve bestimmen'!$B$2</f>
        <v>-177</v>
      </c>
      <c r="F38" s="11">
        <f t="shared" si="4"/>
        <v>-21.055318283823951</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-20.958260046770125</v>
      </c>
      <c r="E39" s="11">
        <f>A39-'Mastercurve bestimmen'!$B$2</f>
        <v>-176</v>
      </c>
      <c r="F39" s="11">
        <f t="shared" si="4"/>
        <v>-20.958260046770125</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-20.858879628812375</v>
      </c>
      <c r="E40" s="11">
        <f>A40-'Mastercurve bestimmen'!$B$2</f>
        <v>-175</v>
      </c>
      <c r="F40" s="11">
        <f t="shared" si="4"/>
        <v>-20.858879628812375</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-20.757080272413049</v>
      </c>
      <c r="E41" s="11">
        <f>A41-'Mastercurve bestimmen'!$B$2</f>
        <v>-174</v>
      </c>
      <c r="F41" s="11">
        <f t="shared" si="4"/>
        <v>-20.757080272413049</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-20.652765220034475</v>
      </c>
      <c r="E42" s="11">
        <f>A42-'Mastercurve bestimmen'!$B$2</f>
        <v>-173</v>
      </c>
      <c r="F42" s="11">
        <f t="shared" si="4"/>
        <v>-20.652765220034475</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-20.54583771413899</v>
      </c>
      <c r="E43" s="11">
        <f>A43-'Mastercurve bestimmen'!$B$2</f>
        <v>-172</v>
      </c>
      <c r="F43" s="11">
        <f t="shared" si="4"/>
        <v>-20.54583771413899</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-20.436200997188937</v>
      </c>
      <c r="E44" s="11">
        <f>A44-'Mastercurve bestimmen'!$B$2</f>
        <v>-171</v>
      </c>
      <c r="F44" s="11">
        <f t="shared" si="4"/>
        <v>-20.436200997188937</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-20.323758311646642</v>
      </c>
      <c r="E45" s="11">
        <f>A45-'Mastercurve bestimmen'!$B$2</f>
        <v>-170</v>
      </c>
      <c r="F45" s="11">
        <f t="shared" si="4"/>
        <v>-20.323758311646642</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-20.208412899974455</v>
      </c>
      <c r="E46" s="11">
        <f>A46-'Mastercurve bestimmen'!$B$2</f>
        <v>-169</v>
      </c>
      <c r="F46" s="11">
        <f t="shared" si="4"/>
        <v>-20.208412899974455</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-20.090068004634698</v>
      </c>
      <c r="E47" s="11">
        <f>A47-'Mastercurve bestimmen'!$B$2</f>
        <v>-168</v>
      </c>
      <c r="F47" s="11">
        <f t="shared" si="4"/>
        <v>-20.090068004634698</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-19.968626868089718</v>
      </c>
      <c r="E48" s="11">
        <f>A48-'Mastercurve bestimmen'!$B$2</f>
        <v>-167</v>
      </c>
      <c r="F48" s="11">
        <f t="shared" si="4"/>
        <v>-19.968626868089718</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-19.843992732801851</v>
      </c>
      <c r="E49" s="11">
        <f>A49-'Mastercurve bestimmen'!$B$2</f>
        <v>-166</v>
      </c>
      <c r="F49" s="11">
        <f t="shared" si="4"/>
        <v>-19.843992732801851</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-19.71606884123343</v>
      </c>
      <c r="E50" s="11">
        <f>A50-'Mastercurve bestimmen'!$B$2</f>
        <v>-165</v>
      </c>
      <c r="F50" s="11">
        <f t="shared" si="4"/>
        <v>-19.71606884123343</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-19.584758435846798</v>
      </c>
      <c r="E51" s="11">
        <f>A51-'Mastercurve bestimmen'!$B$2</f>
        <v>-164</v>
      </c>
      <c r="F51" s="11">
        <f t="shared" si="4"/>
        <v>-19.584758435846798</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-19.449964759104279</v>
      </c>
      <c r="E52" s="11">
        <f>A52-'Mastercurve bestimmen'!$B$2</f>
        <v>-163</v>
      </c>
      <c r="F52" s="11">
        <f t="shared" si="4"/>
        <v>-19.449964759104279</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-19.31159105346822</v>
      </c>
      <c r="E53" s="11">
        <f>A53-'Mastercurve bestimmen'!$B$2</f>
        <v>-162</v>
      </c>
      <c r="F53" s="11">
        <f t="shared" si="4"/>
        <v>-19.31159105346822</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-19.169540561400961</v>
      </c>
      <c r="E54" s="11">
        <f>A54-'Mastercurve bestimmen'!$B$2</f>
        <v>-161</v>
      </c>
      <c r="F54" s="11">
        <f t="shared" si="4"/>
        <v>-19.169540561400961</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-19.023716525364829</v>
      </c>
      <c r="E55" s="11">
        <f>A55-'Mastercurve bestimmen'!$B$2</f>
        <v>-160</v>
      </c>
      <c r="F55" s="11">
        <f t="shared" si="4"/>
        <v>-19.023716525364829</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-18.946081958336485</v>
      </c>
      <c r="E56" s="11">
        <f>A56-'Mastercurve bestimmen'!$B$2</f>
        <v>-159</v>
      </c>
      <c r="F56" s="11">
        <f t="shared" si="4"/>
        <v>-18.946081958336485</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-18.864811434416687</v>
      </c>
      <c r="E57" s="11">
        <f>A57-'Mastercurve bestimmen'!$B$2</f>
        <v>-158</v>
      </c>
      <c r="F57" s="11">
        <f t="shared" si="4"/>
        <v>-18.864811434416687</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-18.780139298220515</v>
      </c>
      <c r="E58" s="11">
        <f>A58-'Mastercurve bestimmen'!$B$2</f>
        <v>-157</v>
      </c>
      <c r="F58" s="11">
        <f t="shared" si="4"/>
        <v>-18.780139298220515</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-18.692299894363053</v>
      </c>
      <c r="E59" s="11">
        <f>A59-'Mastercurve bestimmen'!$B$2</f>
        <v>-156</v>
      </c>
      <c r="F59" s="11">
        <f t="shared" si="4"/>
        <v>-18.692299894363053</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-18.601527567459375</v>
      </c>
      <c r="E60" s="11">
        <f>A60-'Mastercurve bestimmen'!$B$2</f>
        <v>-155</v>
      </c>
      <c r="F60" s="11">
        <f t="shared" si="4"/>
        <v>-18.601527567459375</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-18.508056662124567</v>
      </c>
      <c r="E61" s="11">
        <f>A61-'Mastercurve bestimmen'!$B$2</f>
        <v>-154</v>
      </c>
      <c r="F61" s="11">
        <f t="shared" si="4"/>
        <v>-18.508056662124567</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-18.412121522973703</v>
      </c>
      <c r="E62" s="11">
        <f>A62-'Mastercurve bestimmen'!$B$2</f>
        <v>-153</v>
      </c>
      <c r="F62" s="11">
        <f t="shared" si="4"/>
        <v>-18.412121522973703</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-18.313956494621866</v>
      </c>
      <c r="E63" s="11">
        <f>A63-'Mastercurve bestimmen'!$B$2</f>
        <v>-152</v>
      </c>
      <c r="F63" s="11">
        <f t="shared" si="4"/>
        <v>-18.313956494621866</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-18.213795921684135</v>
      </c>
      <c r="E64" s="11">
        <f>A64-'Mastercurve bestimmen'!$B$2</f>
        <v>-151</v>
      </c>
      <c r="F64" s="11">
        <f t="shared" si="4"/>
        <v>-18.213795921684135</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-18.111874148775591</v>
      </c>
      <c r="E65" s="11">
        <f>A65-'Mastercurve bestimmen'!$B$2</f>
        <v>-150</v>
      </c>
      <c r="F65" s="11">
        <f t="shared" si="4"/>
        <v>-18.111874148775591</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-18.00842552051131</v>
      </c>
      <c r="E66" s="11">
        <f>A66-'Mastercurve bestimmen'!$B$2</f>
        <v>-149</v>
      </c>
      <c r="F66" s="11">
        <f t="shared" si="4"/>
        <v>-18.00842552051131</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-17.903684381506377</v>
      </c>
      <c r="E67" s="11">
        <f>A67-'Mastercurve bestimmen'!$B$2</f>
        <v>-148</v>
      </c>
      <c r="F67" s="11">
        <f t="shared" si="4"/>
        <v>-17.903684381506377</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-17.79788507637587</v>
      </c>
      <c r="E68" s="11">
        <f>A68-'Mastercurve bestimmen'!$B$2</f>
        <v>-147</v>
      </c>
      <c r="F68" s="11">
        <f t="shared" si="4"/>
        <v>-17.79788507637587</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-17.691261949734866</v>
      </c>
      <c r="E69" s="11">
        <f>A69-'Mastercurve bestimmen'!$B$2</f>
        <v>-146</v>
      </c>
      <c r="F69" s="11">
        <f t="shared" si="4"/>
        <v>-17.691261949734866</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-17.584049346198444</v>
      </c>
      <c r="E70" s="11">
        <f>A70-'Mastercurve bestimmen'!$B$2</f>
        <v>-145</v>
      </c>
      <c r="F70" s="11">
        <f t="shared" si="4"/>
        <v>-17.584049346198444</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-17.47648161038169</v>
      </c>
      <c r="E71" s="11">
        <f>A71-'Mastercurve bestimmen'!$B$2</f>
        <v>-144</v>
      </c>
      <c r="F71" s="11">
        <f t="shared" si="4"/>
        <v>-17.47648161038169</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-17.368793086899679</v>
      </c>
      <c r="E72" s="11">
        <f>A72-'Mastercurve bestimmen'!$B$2</f>
        <v>-143</v>
      </c>
      <c r="F72" s="11">
        <f t="shared" si="4"/>
        <v>-17.368793086899679</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-17.261218120367495</v>
      </c>
      <c r="E73" s="11">
        <f>A73-'Mastercurve bestimmen'!$B$2</f>
        <v>-142</v>
      </c>
      <c r="F73" s="11">
        <f t="shared" si="4"/>
        <v>-17.261218120367495</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-17.153991055400212</v>
      </c>
      <c r="E74" s="11">
        <f>A74-'Mastercurve bestimmen'!$B$2</f>
        <v>-141</v>
      </c>
      <c r="F74" s="11">
        <f t="shared" si="4"/>
        <v>-17.153991055400212</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-17.047346236612913</v>
      </c>
      <c r="E75" s="11">
        <f>A75-'Mastercurve bestimmen'!$B$2</f>
        <v>-140</v>
      </c>
      <c r="F75" s="11">
        <f t="shared" si="4"/>
        <v>-17.047346236612913</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-16.94151800862068</v>
      </c>
      <c r="E76" s="11">
        <f>A76-'Mastercurve bestimmen'!$B$2</f>
        <v>-139</v>
      </c>
      <c r="F76" s="11">
        <f t="shared" si="4"/>
        <v>-16.94151800862068</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-16.836740716038587</v>
      </c>
      <c r="E77" s="11">
        <f>A77-'Mastercurve bestimmen'!$B$2</f>
        <v>-138</v>
      </c>
      <c r="F77" s="11">
        <f t="shared" si="4"/>
        <v>-16.836740716038587</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-16.733248703481721</v>
      </c>
      <c r="E78" s="11">
        <f>A78-'Mastercurve bestimmen'!$B$2</f>
        <v>-137</v>
      </c>
      <c r="F78" s="11">
        <f t="shared" si="4"/>
        <v>-16.733248703481721</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-16.631276315565152</v>
      </c>
      <c r="E79" s="11">
        <f>A79-'Mastercurve bestimmen'!$B$2</f>
        <v>-136</v>
      </c>
      <c r="F79" s="11">
        <f t="shared" si="4"/>
        <v>-16.631276315565152</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-16.53105789690397</v>
      </c>
      <c r="E80" s="11">
        <f>A80-'Mastercurve bestimmen'!$B$2</f>
        <v>-135</v>
      </c>
      <c r="F80" s="11">
        <f t="shared" ref="F80:F143" si="10">B80</f>
        <v>-16.53105789690397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-16.432763821043739</v>
      </c>
      <c r="E81" s="11">
        <f>A81-'Mastercurve bestimmen'!$B$2</f>
        <v>-134</v>
      </c>
      <c r="F81" s="11">
        <f t="shared" si="10"/>
        <v>-16.432763821043739</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-16.336308577252005</v>
      </c>
      <c r="E82" s="11">
        <f>A82-'Mastercurve bestimmen'!$B$2</f>
        <v>-133</v>
      </c>
      <c r="F82" s="11">
        <f t="shared" si="10"/>
        <v>-16.336308577252005</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-16.241542683726792</v>
      </c>
      <c r="E83" s="11">
        <f>A83-'Mastercurve bestimmen'!$B$2</f>
        <v>-132</v>
      </c>
      <c r="F83" s="11">
        <f t="shared" si="10"/>
        <v>-16.241542683726792</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-16.148316658666129</v>
      </c>
      <c r="E84" s="11">
        <f>A84-'Mastercurve bestimmen'!$B$2</f>
        <v>-131</v>
      </c>
      <c r="F84" s="11">
        <f t="shared" si="10"/>
        <v>-16.148316658666129</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-16.056481020268052</v>
      </c>
      <c r="E85" s="11">
        <f>A85-'Mastercurve bestimmen'!$B$2</f>
        <v>-130</v>
      </c>
      <c r="F85" s="11">
        <f t="shared" si="10"/>
        <v>-16.056481020268052</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-15.965886286730592</v>
      </c>
      <c r="E86" s="11">
        <f>A86-'Mastercurve bestimmen'!$B$2</f>
        <v>-129</v>
      </c>
      <c r="F86" s="11">
        <f t="shared" si="10"/>
        <v>-15.965886286730592</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-15.876382976251772</v>
      </c>
      <c r="E87" s="11">
        <f>A87-'Mastercurve bestimmen'!$B$2</f>
        <v>-128</v>
      </c>
      <c r="F87" s="11">
        <f t="shared" si="10"/>
        <v>-15.876382976251772</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-15.787821607029628</v>
      </c>
      <c r="E88" s="11">
        <f>A88-'Mastercurve bestimmen'!$B$2</f>
        <v>-127</v>
      </c>
      <c r="F88" s="11">
        <f t="shared" si="10"/>
        <v>-15.787821607029628</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-15.700052697262187</v>
      </c>
      <c r="E89" s="11">
        <f>A89-'Mastercurve bestimmen'!$B$2</f>
        <v>-126</v>
      </c>
      <c r="F89" s="11">
        <f t="shared" si="10"/>
        <v>-15.700052697262187</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-15.612926765147483</v>
      </c>
      <c r="E90" s="11">
        <f>A90-'Mastercurve bestimmen'!$B$2</f>
        <v>-125</v>
      </c>
      <c r="F90" s="11">
        <f t="shared" si="10"/>
        <v>-15.612926765147483</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-15.526294328883543</v>
      </c>
      <c r="E91" s="11">
        <f>A91-'Mastercurve bestimmen'!$B$2</f>
        <v>-124</v>
      </c>
      <c r="F91" s="11">
        <f t="shared" si="10"/>
        <v>-15.526294328883543</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-15.440005906668397</v>
      </c>
      <c r="E92" s="11">
        <f>A92-'Mastercurve bestimmen'!$B$2</f>
        <v>-123</v>
      </c>
      <c r="F92" s="11">
        <f t="shared" si="10"/>
        <v>-15.440005906668397</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-15.353912016700079</v>
      </c>
      <c r="E93" s="11">
        <f>A93-'Mastercurve bestimmen'!$B$2</f>
        <v>-122</v>
      </c>
      <c r="F93" s="11">
        <f t="shared" si="10"/>
        <v>-15.353912016700079</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-15.267863177176615</v>
      </c>
      <c r="E94" s="11">
        <f>A94-'Mastercurve bestimmen'!$B$2</f>
        <v>-121</v>
      </c>
      <c r="F94" s="11">
        <f t="shared" si="10"/>
        <v>-15.267863177176615</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-15.181709906296039</v>
      </c>
      <c r="E95" s="11">
        <f>A95-'Mastercurve bestimmen'!$B$2</f>
        <v>-120</v>
      </c>
      <c r="F95" s="11">
        <f t="shared" si="10"/>
        <v>-15.181709906296039</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-15.095302722256381</v>
      </c>
      <c r="E96" s="11">
        <f>A96-'Mastercurve bestimmen'!$B$2</f>
        <v>-119</v>
      </c>
      <c r="F96" s="11">
        <f t="shared" si="10"/>
        <v>-15.095302722256381</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-15.008492143255667</v>
      </c>
      <c r="E97" s="11">
        <f>A97-'Mastercurve bestimmen'!$B$2</f>
        <v>-118</v>
      </c>
      <c r="F97" s="11">
        <f t="shared" si="10"/>
        <v>-15.008492143255667</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-14.921128687491933</v>
      </c>
      <c r="E98" s="11">
        <f>A98-'Mastercurve bestimmen'!$B$2</f>
        <v>-117</v>
      </c>
      <c r="F98" s="11">
        <f t="shared" si="10"/>
        <v>-14.921128687491933</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-14.833062873163202</v>
      </c>
      <c r="E99" s="11">
        <f>A99-'Mastercurve bestimmen'!$B$2</f>
        <v>-116</v>
      </c>
      <c r="F99" s="11">
        <f t="shared" si="10"/>
        <v>-14.833062873163202</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-14.744145218467512</v>
      </c>
      <c r="E100" s="11">
        <f>A100-'Mastercurve bestimmen'!$B$2</f>
        <v>-115</v>
      </c>
      <c r="F100" s="11">
        <f t="shared" si="10"/>
        <v>-14.744145218467512</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-14.65422624160289</v>
      </c>
      <c r="E101" s="11">
        <f>A101-'Mastercurve bestimmen'!$B$2</f>
        <v>-114</v>
      </c>
      <c r="F101" s="11">
        <f t="shared" si="10"/>
        <v>-14.65422624160289</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-14.563156460767367</v>
      </c>
      <c r="E102" s="11">
        <f>A102-'Mastercurve bestimmen'!$B$2</f>
        <v>-113</v>
      </c>
      <c r="F102" s="11">
        <f t="shared" si="10"/>
        <v>-14.563156460767367</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-14.470786394158971</v>
      </c>
      <c r="E103" s="11">
        <f>A103-'Mastercurve bestimmen'!$B$2</f>
        <v>-112</v>
      </c>
      <c r="F103" s="11">
        <f t="shared" si="10"/>
        <v>-14.470786394158971</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-14.376966559975735</v>
      </c>
      <c r="E104" s="11">
        <f>A104-'Mastercurve bestimmen'!$B$2</f>
        <v>-111</v>
      </c>
      <c r="F104" s="11">
        <f t="shared" si="10"/>
        <v>-14.376966559975735</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-14.281547476415685</v>
      </c>
      <c r="E105" s="11">
        <f>A105-'Mastercurve bestimmen'!$B$2</f>
        <v>-110</v>
      </c>
      <c r="F105" s="11">
        <f t="shared" si="10"/>
        <v>-14.281547476415685</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-14.184416235460217</v>
      </c>
      <c r="E106" s="11">
        <f>A106-'Mastercurve bestimmen'!$B$2</f>
        <v>-109</v>
      </c>
      <c r="F106" s="11">
        <f t="shared" si="10"/>
        <v>-14.184416235460217</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-14.085606224224135</v>
      </c>
      <c r="E107" s="11">
        <f>A107-'Mastercurve bestimmen'!$B$2</f>
        <v>-108</v>
      </c>
      <c r="F107" s="11">
        <f t="shared" si="10"/>
        <v>-14.085606224224135</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-13.985187403605613</v>
      </c>
      <c r="E108" s="11">
        <f>A108-'Mastercurve bestimmen'!$B$2</f>
        <v>-107</v>
      </c>
      <c r="F108" s="11">
        <f t="shared" si="10"/>
        <v>-13.985187403605613</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-13.883229734502821</v>
      </c>
      <c r="E109" s="11">
        <f>A109-'Mastercurve bestimmen'!$B$2</f>
        <v>-106</v>
      </c>
      <c r="F109" s="11">
        <f t="shared" si="10"/>
        <v>-13.883229734502821</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-13.77980317781393</v>
      </c>
      <c r="E110" s="11">
        <f>A110-'Mastercurve bestimmen'!$B$2</f>
        <v>-105</v>
      </c>
      <c r="F110" s="11">
        <f t="shared" si="10"/>
        <v>-13.77980317781393</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-13.674977694437111</v>
      </c>
      <c r="E111" s="11">
        <f>A111-'Mastercurve bestimmen'!$B$2</f>
        <v>-104</v>
      </c>
      <c r="F111" s="11">
        <f t="shared" si="10"/>
        <v>-13.674977694437111</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-13.568823245270533</v>
      </c>
      <c r="E112" s="11">
        <f>A112-'Mastercurve bestimmen'!$B$2</f>
        <v>-103</v>
      </c>
      <c r="F112" s="11">
        <f t="shared" si="10"/>
        <v>-13.568823245270533</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-13.461409791212368</v>
      </c>
      <c r="E113" s="11">
        <f>A113-'Mastercurve bestimmen'!$B$2</f>
        <v>-102</v>
      </c>
      <c r="F113" s="11">
        <f t="shared" si="10"/>
        <v>-13.461409791212368</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-13.352807293160783</v>
      </c>
      <c r="E114" s="11">
        <f>A114-'Mastercurve bestimmen'!$B$2</f>
        <v>-101</v>
      </c>
      <c r="F114" s="11">
        <f t="shared" si="10"/>
        <v>-13.352807293160783</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-13.243085712013951</v>
      </c>
      <c r="E115" s="11">
        <f>A115-'Mastercurve bestimmen'!$B$2</f>
        <v>-100</v>
      </c>
      <c r="F115" s="11">
        <f t="shared" si="10"/>
        <v>-13.243085712013951</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-13.132315008670041</v>
      </c>
      <c r="E116" s="11">
        <f>A116-'Mastercurve bestimmen'!$B$2</f>
        <v>-99</v>
      </c>
      <c r="F116" s="11">
        <f t="shared" si="10"/>
        <v>-13.132315008670041</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-13.020565144027227</v>
      </c>
      <c r="E117" s="11">
        <f>A117-'Mastercurve bestimmen'!$B$2</f>
        <v>-98</v>
      </c>
      <c r="F117" s="11">
        <f t="shared" si="10"/>
        <v>-13.020565144027227</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-12.907906078983675</v>
      </c>
      <c r="E118" s="11">
        <f>A118-'Mastercurve bestimmen'!$B$2</f>
        <v>-97</v>
      </c>
      <c r="F118" s="11">
        <f t="shared" si="10"/>
        <v>-12.907906078983675</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-12.794407774437556</v>
      </c>
      <c r="E119" s="11">
        <f>A119-'Mastercurve bestimmen'!$B$2</f>
        <v>-96</v>
      </c>
      <c r="F119" s="11">
        <f t="shared" si="10"/>
        <v>-12.794407774437556</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-12.680140191287041</v>
      </c>
      <c r="E120" s="11">
        <f>A120-'Mastercurve bestimmen'!$B$2</f>
        <v>-95</v>
      </c>
      <c r="F120" s="11">
        <f t="shared" si="10"/>
        <v>-12.680140191287041</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-12.565173290430302</v>
      </c>
      <c r="E121" s="11">
        <f>A121-'Mastercurve bestimmen'!$B$2</f>
        <v>-94</v>
      </c>
      <c r="F121" s="11">
        <f t="shared" si="10"/>
        <v>-12.565173290430302</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-12.449577032765506</v>
      </c>
      <c r="E122" s="11">
        <f>A122-'Mastercurve bestimmen'!$B$2</f>
        <v>-93</v>
      </c>
      <c r="F122" s="11">
        <f t="shared" si="10"/>
        <v>-12.449577032765506</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-12.333421379190826</v>
      </c>
      <c r="E123" s="11">
        <f>A123-'Mastercurve bestimmen'!$B$2</f>
        <v>-92</v>
      </c>
      <c r="F123" s="11">
        <f t="shared" si="10"/>
        <v>-12.333421379190826</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-12.216776290604431</v>
      </c>
      <c r="E124" s="11">
        <f>A124-'Mastercurve bestimmen'!$B$2</f>
        <v>-91</v>
      </c>
      <c r="F124" s="11">
        <f t="shared" si="10"/>
        <v>-12.216776290604431</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-12.099711727904491</v>
      </c>
      <c r="E125" s="11">
        <f>A125-'Mastercurve bestimmen'!$B$2</f>
        <v>-90</v>
      </c>
      <c r="F125" s="11">
        <f t="shared" si="10"/>
        <v>-12.099711727904491</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-11.982297651989178</v>
      </c>
      <c r="E126" s="11">
        <f>A126-'Mastercurve bestimmen'!$B$2</f>
        <v>-89</v>
      </c>
      <c r="F126" s="11">
        <f t="shared" si="10"/>
        <v>-11.982297651989178</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-11.864604023756661</v>
      </c>
      <c r="E127" s="11">
        <f>A127-'Mastercurve bestimmen'!$B$2</f>
        <v>-88</v>
      </c>
      <c r="F127" s="11">
        <f t="shared" si="10"/>
        <v>-11.864604023756661</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-11.746700804105112</v>
      </c>
      <c r="E128" s="11">
        <f>A128-'Mastercurve bestimmen'!$B$2</f>
        <v>-87</v>
      </c>
      <c r="F128" s="11">
        <f t="shared" si="10"/>
        <v>-11.746700804105112</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-11.628657953932697</v>
      </c>
      <c r="E129" s="11">
        <f>A129-'Mastercurve bestimmen'!$B$2</f>
        <v>-86</v>
      </c>
      <c r="F129" s="11">
        <f t="shared" si="10"/>
        <v>-11.628657953932697</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-11.51054543413759</v>
      </c>
      <c r="E130" s="11">
        <f>A130-'Mastercurve bestimmen'!$B$2</f>
        <v>-85</v>
      </c>
      <c r="F130" s="11">
        <f t="shared" si="10"/>
        <v>-11.51054543413759</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-11.392433205617964</v>
      </c>
      <c r="E131" s="11">
        <f>A131-'Mastercurve bestimmen'!$B$2</f>
        <v>-84</v>
      </c>
      <c r="F131" s="11">
        <f t="shared" si="10"/>
        <v>-11.392433205617964</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-11.274391229271984</v>
      </c>
      <c r="E132" s="11">
        <f>A132-'Mastercurve bestimmen'!$B$2</f>
        <v>-83</v>
      </c>
      <c r="F132" s="11">
        <f t="shared" si="10"/>
        <v>-11.274391229271984</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-11.156489465997822</v>
      </c>
      <c r="E133" s="11">
        <f>A133-'Mastercurve bestimmen'!$B$2</f>
        <v>-82</v>
      </c>
      <c r="F133" s="11">
        <f t="shared" si="10"/>
        <v>-11.156489465997822</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-11.03879787669365</v>
      </c>
      <c r="E134" s="11">
        <f>A134-'Mastercurve bestimmen'!$B$2</f>
        <v>-81</v>
      </c>
      <c r="F134" s="11">
        <f t="shared" si="10"/>
        <v>-11.03879787669365</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-10.921386422257635</v>
      </c>
      <c r="E135" s="11">
        <f>A135-'Mastercurve bestimmen'!$B$2</f>
        <v>-80</v>
      </c>
      <c r="F135" s="11">
        <f t="shared" si="10"/>
        <v>-10.921386422257635</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-10.804307146506728</v>
      </c>
      <c r="E136" s="11">
        <f>A136-'Mastercurve bestimmen'!$B$2</f>
        <v>-79</v>
      </c>
      <c r="F136" s="11">
        <f t="shared" si="10"/>
        <v>-10.804307146506728</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-10.68754042493298</v>
      </c>
      <c r="E137" s="11">
        <f>A137-'Mastercurve bestimmen'!$B$2</f>
        <v>-78</v>
      </c>
      <c r="F137" s="11">
        <f t="shared" si="10"/>
        <v>-10.68754042493298</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-10.571048715947224</v>
      </c>
      <c r="E138" s="11">
        <f>A138-'Mastercurve bestimmen'!$B$2</f>
        <v>-77</v>
      </c>
      <c r="F138" s="11">
        <f t="shared" si="10"/>
        <v>-10.571048715947224</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-10.45479447796029</v>
      </c>
      <c r="E139" s="11">
        <f>A139-'Mastercurve bestimmen'!$B$2</f>
        <v>-76</v>
      </c>
      <c r="F139" s="11">
        <f t="shared" si="10"/>
        <v>-10.45479447796029</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-10.338740169383005</v>
      </c>
      <c r="E140" s="11">
        <f>A140-'Mastercurve bestimmen'!$B$2</f>
        <v>-75</v>
      </c>
      <c r="F140" s="11">
        <f t="shared" si="10"/>
        <v>-10.338740169383005</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-10.222848248626203</v>
      </c>
      <c r="E141" s="11">
        <f>A141-'Mastercurve bestimmen'!$B$2</f>
        <v>-74</v>
      </c>
      <c r="F141" s="11">
        <f t="shared" si="10"/>
        <v>-10.222848248626203</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-10.107081174100717</v>
      </c>
      <c r="E142" s="11">
        <f>A142-'Mastercurve bestimmen'!$B$2</f>
        <v>-73</v>
      </c>
      <c r="F142" s="11">
        <f t="shared" si="10"/>
        <v>-10.107081174100717</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-9.991401404217374</v>
      </c>
      <c r="E143" s="11">
        <f>A143-'Mastercurve bestimmen'!$B$2</f>
        <v>-72</v>
      </c>
      <c r="F143" s="11">
        <f t="shared" si="10"/>
        <v>-9.991401404217374</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-9.8757713973870072</v>
      </c>
      <c r="E144" s="11">
        <f>A144-'Mastercurve bestimmen'!$B$2</f>
        <v>-71</v>
      </c>
      <c r="F144" s="11">
        <f t="shared" ref="F144:F207" si="15">B144</f>
        <v>-9.8757713973870072</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-9.760153612020444</v>
      </c>
      <c r="E145" s="11">
        <f>A145-'Mastercurve bestimmen'!$B$2</f>
        <v>-70</v>
      </c>
      <c r="F145" s="11">
        <f t="shared" si="15"/>
        <v>-9.760153612020444</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-9.644510506528519</v>
      </c>
      <c r="E146" s="11">
        <f>A146-'Mastercurve bestimmen'!$B$2</f>
        <v>-69</v>
      </c>
      <c r="F146" s="11">
        <f t="shared" si="15"/>
        <v>-9.644510506528519</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-9.5288045393220582</v>
      </c>
      <c r="E147" s="11">
        <f>A147-'Mastercurve bestimmen'!$B$2</f>
        <v>-68</v>
      </c>
      <c r="F147" s="11">
        <f t="shared" si="15"/>
        <v>-9.5288045393220582</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-9.4129981688118978</v>
      </c>
      <c r="E148" s="11">
        <f>A148-'Mastercurve bestimmen'!$B$2</f>
        <v>-67</v>
      </c>
      <c r="F148" s="11">
        <f t="shared" si="15"/>
        <v>-9.4129981688118978</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-9.2970538534088654</v>
      </c>
      <c r="E149" s="11">
        <f>A149-'Mastercurve bestimmen'!$B$2</f>
        <v>-66</v>
      </c>
      <c r="F149" s="11">
        <f t="shared" si="15"/>
        <v>-9.2970538534088654</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-9.1809340515237903</v>
      </c>
      <c r="E150" s="11">
        <f>A150-'Mastercurve bestimmen'!$B$2</f>
        <v>-65</v>
      </c>
      <c r="F150" s="11">
        <f t="shared" si="15"/>
        <v>-9.1809340515237903</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-9.0646012215675054</v>
      </c>
      <c r="E151" s="11">
        <f>A151-'Mastercurve bestimmen'!$B$2</f>
        <v>-64</v>
      </c>
      <c r="F151" s="11">
        <f t="shared" si="15"/>
        <v>-9.0646012215675054</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-8.9480178219508417</v>
      </c>
      <c r="E152" s="11">
        <f>A152-'Mastercurve bestimmen'!$B$2</f>
        <v>-63</v>
      </c>
      <c r="F152" s="11">
        <f t="shared" si="15"/>
        <v>-8.9480178219508417</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-8.8311463110846287</v>
      </c>
      <c r="E153" s="11">
        <f>A153-'Mastercurve bestimmen'!$B$2</f>
        <v>-62</v>
      </c>
      <c r="F153" s="11">
        <f t="shared" si="15"/>
        <v>-8.8311463110846287</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-8.7139491473796973</v>
      </c>
      <c r="E154" s="11">
        <f>A154-'Mastercurve bestimmen'!$B$2</f>
        <v>-61</v>
      </c>
      <c r="F154" s="11">
        <f t="shared" si="15"/>
        <v>-8.7139491473796973</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-8.5963887892468769</v>
      </c>
      <c r="E155" s="11">
        <f>A155-'Mastercurve bestimmen'!$B$2</f>
        <v>-60</v>
      </c>
      <c r="F155" s="11">
        <f t="shared" si="15"/>
        <v>-8.5963887892468769</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-8.4784276950970021</v>
      </c>
      <c r="E156" s="11">
        <f>A156-'Mastercurve bestimmen'!$B$2</f>
        <v>-59</v>
      </c>
      <c r="F156" s="11">
        <f t="shared" si="15"/>
        <v>-8.4784276950970021</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-8.3600283233408987</v>
      </c>
      <c r="E157" s="11">
        <f>A157-'Mastercurve bestimmen'!$B$2</f>
        <v>-58</v>
      </c>
      <c r="F157" s="11">
        <f t="shared" si="15"/>
        <v>-8.3600283233408987</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-8.2411531323894032</v>
      </c>
      <c r="E158" s="11">
        <f>A158-'Mastercurve bestimmen'!$B$2</f>
        <v>-57</v>
      </c>
      <c r="F158" s="11">
        <f t="shared" si="15"/>
        <v>-8.2411531323894032</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-8.1217645806533412</v>
      </c>
      <c r="E159" s="11">
        <f>A159-'Mastercurve bestimmen'!$B$2</f>
        <v>-56</v>
      </c>
      <c r="F159" s="11">
        <f t="shared" si="15"/>
        <v>-8.1217645806533412</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-8.0018251265435438</v>
      </c>
      <c r="E160" s="11">
        <f>A160-'Mastercurve bestimmen'!$B$2</f>
        <v>-55</v>
      </c>
      <c r="F160" s="11">
        <f t="shared" si="15"/>
        <v>-8.0018251265435438</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-7.881297228470844</v>
      </c>
      <c r="E161" s="11">
        <f>A161-'Mastercurve bestimmen'!$B$2</f>
        <v>-54</v>
      </c>
      <c r="F161" s="11">
        <f t="shared" si="15"/>
        <v>-7.881297228470844</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-7.760143344846071</v>
      </c>
      <c r="E162" s="11">
        <f>A162-'Mastercurve bestimmen'!$B$2</f>
        <v>-53</v>
      </c>
      <c r="F162" s="11">
        <f t="shared" si="15"/>
        <v>-7.760143344846071</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-7.6383259340800578</v>
      </c>
      <c r="E163" s="11">
        <f>A163-'Mastercurve bestimmen'!$B$2</f>
        <v>-52</v>
      </c>
      <c r="F163" s="11">
        <f t="shared" si="15"/>
        <v>-7.6383259340800578</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-7.5158074545836318</v>
      </c>
      <c r="E164" s="11">
        <f>A164-'Mastercurve bestimmen'!$B$2</f>
        <v>-51</v>
      </c>
      <c r="F164" s="11">
        <f t="shared" si="15"/>
        <v>-7.5158074545836318</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-7.3925503647676241</v>
      </c>
      <c r="E165" s="11">
        <f>A165-'Mastercurve bestimmen'!$B$2</f>
        <v>-50</v>
      </c>
      <c r="F165" s="11">
        <f t="shared" si="15"/>
        <v>-7.3925503647676241</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-7.2685171230428685</v>
      </c>
      <c r="E166" s="11">
        <f>A166-'Mastercurve bestimmen'!$B$2</f>
        <v>-49</v>
      </c>
      <c r="F166" s="11">
        <f t="shared" si="15"/>
        <v>-7.2685171230428685</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-7.1436701878201925</v>
      </c>
      <c r="E167" s="11">
        <f>A167-'Mastercurve bestimmen'!$B$2</f>
        <v>-48</v>
      </c>
      <c r="F167" s="11">
        <f t="shared" si="15"/>
        <v>-7.1436701878201925</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-7.0179720175104281</v>
      </c>
      <c r="E168" s="11">
        <f>A168-'Mastercurve bestimmen'!$B$2</f>
        <v>-47</v>
      </c>
      <c r="F168" s="11">
        <f t="shared" si="15"/>
        <v>-7.0179720175104281</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-6.8913850705244055</v>
      </c>
      <c r="E169" s="11">
        <f>A169-'Mastercurve bestimmen'!$B$2</f>
        <v>-46</v>
      </c>
      <c r="F169" s="11">
        <f t="shared" si="15"/>
        <v>-6.8913850705244055</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-6.7638718052729558</v>
      </c>
      <c r="E170" s="11">
        <f>A170-'Mastercurve bestimmen'!$B$2</f>
        <v>-45</v>
      </c>
      <c r="F170" s="11">
        <f t="shared" si="15"/>
        <v>-6.7638718052729558</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-6.6353946801669101</v>
      </c>
      <c r="E171" s="11">
        <f>A171-'Mastercurve bestimmen'!$B$2</f>
        <v>-44</v>
      </c>
      <c r="F171" s="11">
        <f t="shared" si="15"/>
        <v>-6.6353946801669101</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-6.5059161536170977</v>
      </c>
      <c r="E172" s="11">
        <f>A172-'Mastercurve bestimmen'!$B$2</f>
        <v>-43</v>
      </c>
      <c r="F172" s="11">
        <f t="shared" si="15"/>
        <v>-6.5059161536170977</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-6.3753986840343515</v>
      </c>
      <c r="E173" s="11">
        <f>A173-'Mastercurve bestimmen'!$B$2</f>
        <v>-42</v>
      </c>
      <c r="F173" s="11">
        <f t="shared" si="15"/>
        <v>-6.3753986840343515</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-6.243804729829499</v>
      </c>
      <c r="E174" s="11">
        <f>A174-'Mastercurve bestimmen'!$B$2</f>
        <v>-41</v>
      </c>
      <c r="F174" s="11">
        <f t="shared" si="15"/>
        <v>-6.243804729829499</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-6.1110967494133739</v>
      </c>
      <c r="E175" s="11">
        <f>A175-'Mastercurve bestimmen'!$B$2</f>
        <v>-40</v>
      </c>
      <c r="F175" s="11">
        <f t="shared" si="15"/>
        <v>-6.1110967494133739</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-5.9772372011968056</v>
      </c>
      <c r="E176" s="11">
        <f>A176-'Mastercurve bestimmen'!$B$2</f>
        <v>-39</v>
      </c>
      <c r="F176" s="11">
        <f t="shared" si="15"/>
        <v>-5.9772372011968056</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-5.8421885435906251</v>
      </c>
      <c r="E177" s="11">
        <f>A177-'Mastercurve bestimmen'!$B$2</f>
        <v>-38</v>
      </c>
      <c r="F177" s="11">
        <f t="shared" si="15"/>
        <v>-5.8421885435906251</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-5.7059132350056618</v>
      </c>
      <c r="E178" s="11">
        <f>A178-'Mastercurve bestimmen'!$B$2</f>
        <v>-37</v>
      </c>
      <c r="F178" s="11">
        <f t="shared" si="15"/>
        <v>-5.7059132350056618</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-5.5683737338527477</v>
      </c>
      <c r="E179" s="11">
        <f>A179-'Mastercurve bestimmen'!$B$2</f>
        <v>-36</v>
      </c>
      <c r="F179" s="11">
        <f t="shared" si="15"/>
        <v>-5.5683737338527477</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-5.4295324985427147</v>
      </c>
      <c r="E180" s="11">
        <f>A180-'Mastercurve bestimmen'!$B$2</f>
        <v>-35</v>
      </c>
      <c r="F180" s="11">
        <f t="shared" si="15"/>
        <v>-5.4295324985427147</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-5.2893646219214725</v>
      </c>
      <c r="E181" s="11">
        <f>A181-'Mastercurve bestimmen'!$B$2</f>
        <v>-34</v>
      </c>
      <c r="F181" s="11">
        <f t="shared" si="15"/>
        <v>-5.2893646219214725</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-5.1478957345752629</v>
      </c>
      <c r="E182" s="11">
        <f>A182-'Mastercurve bestimmen'!$B$2</f>
        <v>-33</v>
      </c>
      <c r="F182" s="11">
        <f t="shared" si="15"/>
        <v>-5.1478957345752629</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-5.00516410152541</v>
      </c>
      <c r="E183" s="11">
        <f>A183-'Mastercurve bestimmen'!$B$2</f>
        <v>-32</v>
      </c>
      <c r="F183" s="11">
        <f t="shared" si="15"/>
        <v>-5.00516410152541</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-4.861207987793235</v>
      </c>
      <c r="E184" s="11">
        <f>A184-'Mastercurve bestimmen'!$B$2</f>
        <v>-31</v>
      </c>
      <c r="F184" s="11">
        <f t="shared" si="15"/>
        <v>-4.861207987793235</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-4.7160656584000593</v>
      </c>
      <c r="E185" s="11">
        <f>A185-'Mastercurve bestimmen'!$B$2</f>
        <v>-30</v>
      </c>
      <c r="F185" s="11">
        <f t="shared" si="15"/>
        <v>-4.7160656584000593</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-4.5697753783672086</v>
      </c>
      <c r="E186" s="11">
        <f>A186-'Mastercurve bestimmen'!$B$2</f>
        <v>-29</v>
      </c>
      <c r="F186" s="11">
        <f t="shared" si="15"/>
        <v>-4.5697753783672086</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-4.4223754127160024</v>
      </c>
      <c r="E187" s="11">
        <f>A187-'Mastercurve bestimmen'!$B$2</f>
        <v>-28</v>
      </c>
      <c r="F187" s="11">
        <f t="shared" si="15"/>
        <v>-4.4223754127160024</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-4.2739040264677648</v>
      </c>
      <c r="E188" s="11">
        <f>A188-'Mastercurve bestimmen'!$B$2</f>
        <v>-27</v>
      </c>
      <c r="F188" s="11">
        <f t="shared" si="15"/>
        <v>-4.2739040264677648</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-4.1243994846438179</v>
      </c>
      <c r="E189" s="11">
        <f>A189-'Mastercurve bestimmen'!$B$2</f>
        <v>-26</v>
      </c>
      <c r="F189" s="11">
        <f t="shared" si="15"/>
        <v>-4.1243994846438179</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-3.9739000522654853</v>
      </c>
      <c r="E190" s="11">
        <f>A190-'Mastercurve bestimmen'!$B$2</f>
        <v>-25</v>
      </c>
      <c r="F190" s="11">
        <f t="shared" si="15"/>
        <v>-3.9739000522654853</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-3.8224439943540878</v>
      </c>
      <c r="E191" s="11">
        <f>A191-'Mastercurve bestimmen'!$B$2</f>
        <v>-24</v>
      </c>
      <c r="F191" s="11">
        <f t="shared" si="15"/>
        <v>-3.8224439943540878</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-3.6700695759309485</v>
      </c>
      <c r="E192" s="11">
        <f>A192-'Mastercurve bestimmen'!$B$2</f>
        <v>-23</v>
      </c>
      <c r="F192" s="11">
        <f t="shared" si="15"/>
        <v>-3.6700695759309485</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-3.516815062017391</v>
      </c>
      <c r="E193" s="11">
        <f>A193-'Mastercurve bestimmen'!$B$2</f>
        <v>-22</v>
      </c>
      <c r="F193" s="11">
        <f t="shared" si="15"/>
        <v>-3.516815062017391</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-3.3627187176347371</v>
      </c>
      <c r="E194" s="11">
        <f>A194-'Mastercurve bestimmen'!$B$2</f>
        <v>-21</v>
      </c>
      <c r="F194" s="11">
        <f t="shared" si="15"/>
        <v>-3.3627187176347371</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-3.2078188078043088</v>
      </c>
      <c r="E195" s="11">
        <f>A195-'Mastercurve bestimmen'!$B$2</f>
        <v>-20</v>
      </c>
      <c r="F195" s="11">
        <f t="shared" si="15"/>
        <v>-3.2078188078043088</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-3.0521535975474299</v>
      </c>
      <c r="E196" s="11">
        <f>A196-'Mastercurve bestimmen'!$B$2</f>
        <v>-19</v>
      </c>
      <c r="F196" s="11">
        <f t="shared" si="15"/>
        <v>-3.0521535975474299</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-2.8957613518854219</v>
      </c>
      <c r="E197" s="11">
        <f>A197-'Mastercurve bestimmen'!$B$2</f>
        <v>-18</v>
      </c>
      <c r="F197" s="11">
        <f t="shared" si="15"/>
        <v>-2.8957613518854219</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-2.7386803358396086</v>
      </c>
      <c r="E198" s="11">
        <f>A198-'Mastercurve bestimmen'!$B$2</f>
        <v>-17</v>
      </c>
      <c r="F198" s="11">
        <f t="shared" si="15"/>
        <v>-2.7386803358396086</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-2.5809488144313111</v>
      </c>
      <c r="E199" s="11">
        <f>A199-'Mastercurve bestimmen'!$B$2</f>
        <v>-16</v>
      </c>
      <c r="F199" s="11">
        <f t="shared" si="15"/>
        <v>-2.5809488144313111</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-2.4226050526818526</v>
      </c>
      <c r="E200" s="11">
        <f>A200-'Mastercurve bestimmen'!$B$2</f>
        <v>-15</v>
      </c>
      <c r="F200" s="11">
        <f t="shared" si="15"/>
        <v>-2.4226050526818526</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-2.2636873156125557</v>
      </c>
      <c r="E201" s="11">
        <f>A201-'Mastercurve bestimmen'!$B$2</f>
        <v>-14</v>
      </c>
      <c r="F201" s="11">
        <f t="shared" si="15"/>
        <v>-2.2636873156125557</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-2.104233868244743</v>
      </c>
      <c r="E202" s="11">
        <f>A202-'Mastercurve bestimmen'!$B$2</f>
        <v>-13</v>
      </c>
      <c r="F202" s="11">
        <f t="shared" si="15"/>
        <v>-2.104233868244743</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-1.9442829755997371</v>
      </c>
      <c r="E203" s="11">
        <f>A203-'Mastercurve bestimmen'!$B$2</f>
        <v>-12</v>
      </c>
      <c r="F203" s="11">
        <f t="shared" si="15"/>
        <v>-1.9442829755997371</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-1.7838729026988602</v>
      </c>
      <c r="E204" s="11">
        <f>A204-'Mastercurve bestimmen'!$B$2</f>
        <v>-11</v>
      </c>
      <c r="F204" s="11">
        <f t="shared" si="15"/>
        <v>-1.7838729026988602</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-1.6230419145634352</v>
      </c>
      <c r="E205" s="11">
        <f>A205-'Mastercurve bestimmen'!$B$2</f>
        <v>-10</v>
      </c>
      <c r="F205" s="11">
        <f t="shared" si="15"/>
        <v>-1.6230419145634352</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-1.4618282762147847</v>
      </c>
      <c r="E206" s="11">
        <f>A206-'Mastercurve bestimmen'!$B$2</f>
        <v>-9</v>
      </c>
      <c r="F206" s="11">
        <f t="shared" si="15"/>
        <v>-1.4618282762147847</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-1.3002702526742311</v>
      </c>
      <c r="E207" s="11">
        <f>A207-'Mastercurve bestimmen'!$B$2</f>
        <v>-8</v>
      </c>
      <c r="F207" s="11">
        <f t="shared" si="15"/>
        <v>-1.3002702526742311</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-1.1384061089630972</v>
      </c>
      <c r="E208" s="11">
        <f>A208-'Mastercurve bestimmen'!$B$2</f>
        <v>-7</v>
      </c>
      <c r="F208" s="11">
        <f t="shared" ref="F208:F215" si="21">B208</f>
        <v>-1.1384061089630972</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-0.97627411010270515</v>
      </c>
      <c r="E209" s="11">
        <f>A209-'Mastercurve bestimmen'!$B$2</f>
        <v>-6</v>
      </c>
      <c r="F209" s="11">
        <f t="shared" si="21"/>
        <v>-0.97627411010270515</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-0.81391252111437773</v>
      </c>
      <c r="E210" s="11">
        <f>A210-'Mastercurve bestimmen'!$B$2</f>
        <v>-5</v>
      </c>
      <c r="F210" s="11">
        <f t="shared" si="21"/>
        <v>-0.81391252111437773</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-0.65135960701943763</v>
      </c>
      <c r="E211" s="11">
        <f>A211-'Mastercurve bestimmen'!$B$2</f>
        <v>-4</v>
      </c>
      <c r="F211" s="11">
        <f t="shared" si="21"/>
        <v>-0.65135960701943763</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-0.48865363283920715</v>
      </c>
      <c r="E212" s="11">
        <f>A212-'Mastercurve bestimmen'!$B$2</f>
        <v>-3</v>
      </c>
      <c r="F212" s="11">
        <f t="shared" si="21"/>
        <v>-0.48865363283920715</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-0.32583286359500901</v>
      </c>
      <c r="E213" s="11">
        <f>A213-'Mastercurve bestimmen'!$B$2</f>
        <v>-2</v>
      </c>
      <c r="F213" s="11">
        <f t="shared" si="21"/>
        <v>-0.32583286359500901</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-0.1629355643081658</v>
      </c>
      <c r="E214" s="11">
        <f>A214-'Mastercurve bestimmen'!$B$2</f>
        <v>-1</v>
      </c>
      <c r="F214" s="11">
        <f t="shared" si="21"/>
        <v>-0.1629355643081658</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0.13834279619103665</v>
      </c>
      <c r="J217" s="98">
        <v>-3.2908412904334005E-3</v>
      </c>
      <c r="K217" s="98">
        <v>-1.5510731410745281E-4</v>
      </c>
      <c r="L217" s="98">
        <v>-3.0644184589683188E-6</v>
      </c>
      <c r="M217" s="98">
        <v>-3.2116360029072318E-8</v>
      </c>
      <c r="N217" s="98">
        <v>-1.8440816766512693E-10</v>
      </c>
      <c r="O217" s="98">
        <v>-5.4624698498068876E-13</v>
      </c>
      <c r="P217" s="98">
        <v>-6.5170944295392318E-16</v>
      </c>
    </row>
    <row r="218" spans="1:16" x14ac:dyDescent="0.25">
      <c r="G218" s="11"/>
      <c r="H218" s="11">
        <v>0</v>
      </c>
      <c r="I218" s="11">
        <v>2.7853293317339875E-3</v>
      </c>
      <c r="J218" s="11">
        <v>2.7623281258521483E-4</v>
      </c>
      <c r="K218" s="3">
        <v>1.048106581247397E-5</v>
      </c>
      <c r="L218" s="3">
        <v>1.9980446169089784E-7</v>
      </c>
      <c r="M218" s="3">
        <v>2.1035602564299803E-9</v>
      </c>
      <c r="N218" s="3">
        <v>1.2409960026001891E-11</v>
      </c>
      <c r="O218" s="11">
        <v>3.8419319862036253E-14</v>
      </c>
      <c r="P218" s="11">
        <v>4.8576019674187363E-17</v>
      </c>
    </row>
    <row r="219" spans="1:16" x14ac:dyDescent="0.25">
      <c r="G219" s="11"/>
      <c r="H219" s="11">
        <v>0.99999315175615411</v>
      </c>
      <c r="I219" s="11">
        <v>3.8036365684123899E-2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-22.815519819440169</v>
      </c>
      <c r="G222">
        <f>F15</f>
        <v>-22.869278143205829</v>
      </c>
    </row>
    <row r="223" spans="1:16" x14ac:dyDescent="0.25">
      <c r="E223" s="11">
        <f t="shared" ref="E223:E286" si="25">E16</f>
        <v>-199</v>
      </c>
      <c r="F223" s="11">
        <f t="shared" ref="F223:F286" si="26">$H$217*0+E223*$I$217+E223^2*$J$217+E223^3*$K$217+E223^4*$L$217+E223^5*$M$217+E223^6*$N$217+E223^7*$O$217+E223^8*$P$217</f>
        <v>-22.762343449494892</v>
      </c>
      <c r="G223" s="11">
        <f t="shared" ref="G223:G286" si="27">F16</f>
        <v>-22.798924986547075</v>
      </c>
    </row>
    <row r="224" spans="1:16" x14ac:dyDescent="0.25">
      <c r="E224" s="11">
        <f t="shared" si="25"/>
        <v>-198</v>
      </c>
      <c r="F224" s="11">
        <f t="shared" si="26"/>
        <v>-22.707440734337524</v>
      </c>
      <c r="G224" s="11">
        <f t="shared" si="27"/>
        <v>-22.728475072350658</v>
      </c>
    </row>
    <row r="225" spans="5:7" x14ac:dyDescent="0.25">
      <c r="E225" s="11">
        <f t="shared" si="25"/>
        <v>-197</v>
      </c>
      <c r="F225" s="11">
        <f t="shared" si="26"/>
        <v>-22.650603325507063</v>
      </c>
      <c r="G225" s="11">
        <f t="shared" si="27"/>
        <v>-22.657831643078911</v>
      </c>
    </row>
    <row r="226" spans="5:7" x14ac:dyDescent="0.25">
      <c r="E226" s="11">
        <f t="shared" si="25"/>
        <v>-196</v>
      </c>
      <c r="F226" s="11">
        <f t="shared" si="26"/>
        <v>-22.591656999959014</v>
      </c>
      <c r="G226" s="11">
        <f t="shared" si="27"/>
        <v>-22.586897941194181</v>
      </c>
    </row>
    <row r="227" spans="5:7" x14ac:dyDescent="0.25">
      <c r="E227" s="11">
        <f t="shared" si="25"/>
        <v>-195</v>
      </c>
      <c r="F227" s="11">
        <f t="shared" si="26"/>
        <v>-22.530459246048167</v>
      </c>
      <c r="G227" s="11">
        <f t="shared" si="27"/>
        <v>-22.515577209158792</v>
      </c>
    </row>
    <row r="228" spans="5:7" x14ac:dyDescent="0.25">
      <c r="E228" s="11">
        <f t="shared" si="25"/>
        <v>-194</v>
      </c>
      <c r="F228" s="11">
        <f t="shared" si="26"/>
        <v>-22.466896949787724</v>
      </c>
      <c r="G228" s="11">
        <f t="shared" si="27"/>
        <v>-22.443772689435086</v>
      </c>
    </row>
    <row r="229" spans="5:7" x14ac:dyDescent="0.25">
      <c r="E229" s="11">
        <f t="shared" si="25"/>
        <v>-193</v>
      </c>
      <c r="F229" s="11">
        <f t="shared" si="26"/>
        <v>-22.400884179026207</v>
      </c>
      <c r="G229" s="11">
        <f t="shared" si="27"/>
        <v>-22.371387624485401</v>
      </c>
    </row>
    <row r="230" spans="5:7" x14ac:dyDescent="0.25">
      <c r="E230" s="11">
        <f t="shared" si="25"/>
        <v>-192</v>
      </c>
      <c r="F230" s="11">
        <f t="shared" si="26"/>
        <v>-22.332360063157694</v>
      </c>
      <c r="G230" s="11">
        <f t="shared" si="27"/>
        <v>-22.298325256772074</v>
      </c>
    </row>
    <row r="231" spans="5:7" x14ac:dyDescent="0.25">
      <c r="E231" s="11">
        <f t="shared" si="25"/>
        <v>-191</v>
      </c>
      <c r="F231" s="11">
        <f t="shared" si="26"/>
        <v>-22.261286765983641</v>
      </c>
      <c r="G231" s="11">
        <f t="shared" si="27"/>
        <v>-22.224488828757444</v>
      </c>
    </row>
    <row r="232" spans="5:7" x14ac:dyDescent="0.25">
      <c r="E232" s="11">
        <f t="shared" si="25"/>
        <v>-190</v>
      </c>
      <c r="F232" s="11">
        <f t="shared" si="26"/>
        <v>-22.187647549385247</v>
      </c>
      <c r="G232" s="11">
        <f t="shared" si="27"/>
        <v>-22.149781582903838</v>
      </c>
    </row>
    <row r="233" spans="5:7" x14ac:dyDescent="0.25">
      <c r="E233" s="11">
        <f t="shared" si="25"/>
        <v>-189</v>
      </c>
      <c r="F233" s="11">
        <f t="shared" si="26"/>
        <v>-22.11144492555286</v>
      </c>
      <c r="G233" s="11">
        <f t="shared" si="27"/>
        <v>-22.074106761673605</v>
      </c>
    </row>
    <row r="234" spans="5:7" x14ac:dyDescent="0.25">
      <c r="E234" s="11">
        <f t="shared" si="25"/>
        <v>-188</v>
      </c>
      <c r="F234" s="11">
        <f t="shared" si="26"/>
        <v>-22.032698895438216</v>
      </c>
      <c r="G234" s="11">
        <f t="shared" si="27"/>
        <v>-21.997367607529071</v>
      </c>
    </row>
    <row r="235" spans="5:7" x14ac:dyDescent="0.25">
      <c r="E235" s="11">
        <f t="shared" si="25"/>
        <v>-187</v>
      </c>
      <c r="F235" s="11">
        <f t="shared" si="26"/>
        <v>-21.951445271205785</v>
      </c>
      <c r="G235" s="11">
        <f t="shared" si="27"/>
        <v>-21.919467362932579</v>
      </c>
    </row>
    <row r="236" spans="5:7" x14ac:dyDescent="0.25">
      <c r="E236" s="11">
        <f t="shared" si="25"/>
        <v>-186</v>
      </c>
      <c r="F236" s="11">
        <f t="shared" si="26"/>
        <v>-21.867734080456785</v>
      </c>
      <c r="G236" s="11">
        <f t="shared" si="27"/>
        <v>-21.840309270346467</v>
      </c>
    </row>
    <row r="237" spans="5:7" x14ac:dyDescent="0.25">
      <c r="E237" s="11">
        <f t="shared" si="25"/>
        <v>-185</v>
      </c>
      <c r="F237" s="11">
        <f t="shared" si="26"/>
        <v>-21.781628050007271</v>
      </c>
      <c r="G237" s="11">
        <f t="shared" si="27"/>
        <v>-21.759796572233064</v>
      </c>
    </row>
    <row r="238" spans="5:7" x14ac:dyDescent="0.25">
      <c r="E238" s="11">
        <f t="shared" si="25"/>
        <v>-184</v>
      </c>
      <c r="F238" s="11">
        <f t="shared" si="26"/>
        <v>-21.693201167070697</v>
      </c>
      <c r="G238" s="11">
        <f t="shared" si="27"/>
        <v>-21.67783251105471</v>
      </c>
    </row>
    <row r="239" spans="5:7" x14ac:dyDescent="0.25">
      <c r="E239" s="11">
        <f t="shared" si="25"/>
        <v>-183</v>
      </c>
      <c r="F239" s="11">
        <f t="shared" si="26"/>
        <v>-21.60253731567434</v>
      </c>
      <c r="G239" s="11">
        <f t="shared" si="27"/>
        <v>-21.594320329273749</v>
      </c>
    </row>
    <row r="240" spans="5:7" x14ac:dyDescent="0.25">
      <c r="E240" s="11">
        <f t="shared" si="25"/>
        <v>-182</v>
      </c>
      <c r="F240" s="11">
        <f t="shared" si="26"/>
        <v>-21.509728986215009</v>
      </c>
      <c r="G240" s="11">
        <f t="shared" si="27"/>
        <v>-21.509163269352506</v>
      </c>
    </row>
    <row r="241" spans="5:7" x14ac:dyDescent="0.25">
      <c r="E241" s="11">
        <f t="shared" si="25"/>
        <v>-181</v>
      </c>
      <c r="F241" s="11">
        <f t="shared" si="26"/>
        <v>-21.414876056021171</v>
      </c>
      <c r="G241" s="11">
        <f t="shared" si="27"/>
        <v>-21.422264573753328</v>
      </c>
    </row>
    <row r="242" spans="5:7" x14ac:dyDescent="0.25">
      <c r="E242" s="11">
        <f t="shared" si="25"/>
        <v>-180</v>
      </c>
      <c r="F242" s="11">
        <f t="shared" si="26"/>
        <v>-21.318084638896266</v>
      </c>
      <c r="G242" s="11">
        <f t="shared" si="27"/>
        <v>-21.333527484938546</v>
      </c>
    </row>
    <row r="243" spans="5:7" x14ac:dyDescent="0.25">
      <c r="E243" s="11">
        <f t="shared" si="25"/>
        <v>-179</v>
      </c>
      <c r="F243" s="11">
        <f t="shared" si="26"/>
        <v>-21.219466001565479</v>
      </c>
      <c r="G243" s="11">
        <f t="shared" si="27"/>
        <v>-21.2428552453705</v>
      </c>
    </row>
    <row r="244" spans="5:7" x14ac:dyDescent="0.25">
      <c r="E244" s="11">
        <f t="shared" si="25"/>
        <v>-178</v>
      </c>
      <c r="F244" s="11">
        <f t="shared" si="26"/>
        <v>-21.119135545034283</v>
      </c>
      <c r="G244" s="11">
        <f t="shared" si="27"/>
        <v>-21.150151097511522</v>
      </c>
    </row>
    <row r="245" spans="5:7" x14ac:dyDescent="0.25">
      <c r="E245" s="11">
        <f t="shared" si="25"/>
        <v>-177</v>
      </c>
      <c r="F245" s="11">
        <f t="shared" si="26"/>
        <v>-21.017211848845818</v>
      </c>
      <c r="G245" s="11">
        <f t="shared" si="27"/>
        <v>-21.055318283823951</v>
      </c>
    </row>
    <row r="246" spans="5:7" x14ac:dyDescent="0.25">
      <c r="E246" s="11">
        <f t="shared" si="25"/>
        <v>-176</v>
      </c>
      <c r="F246" s="11">
        <f t="shared" si="26"/>
        <v>-20.913815776298293</v>
      </c>
      <c r="G246" s="11">
        <f t="shared" si="27"/>
        <v>-20.958260046770125</v>
      </c>
    </row>
    <row r="247" spans="5:7" x14ac:dyDescent="0.25">
      <c r="E247" s="11">
        <f t="shared" si="25"/>
        <v>-175</v>
      </c>
      <c r="F247" s="11">
        <f t="shared" si="26"/>
        <v>-20.809069638665733</v>
      </c>
      <c r="G247" s="11">
        <f t="shared" si="27"/>
        <v>-20.858879628812375</v>
      </c>
    </row>
    <row r="248" spans="5:7" x14ac:dyDescent="0.25">
      <c r="E248" s="11">
        <f t="shared" si="25"/>
        <v>-174</v>
      </c>
      <c r="F248" s="11">
        <f t="shared" si="26"/>
        <v>-20.703096416520566</v>
      </c>
      <c r="G248" s="11">
        <f t="shared" si="27"/>
        <v>-20.757080272413049</v>
      </c>
    </row>
    <row r="249" spans="5:7" x14ac:dyDescent="0.25">
      <c r="E249" s="11">
        <f t="shared" si="25"/>
        <v>-173</v>
      </c>
      <c r="F249" s="11">
        <f t="shared" si="26"/>
        <v>-20.596019036266966</v>
      </c>
      <c r="G249" s="11">
        <f t="shared" si="27"/>
        <v>-20.652765220034475</v>
      </c>
    </row>
    <row r="250" spans="5:7" x14ac:dyDescent="0.25">
      <c r="E250" s="11">
        <f t="shared" si="25"/>
        <v>-172</v>
      </c>
      <c r="F250" s="11">
        <f t="shared" si="26"/>
        <v>-20.487959700039994</v>
      </c>
      <c r="G250" s="11">
        <f t="shared" si="27"/>
        <v>-20.54583771413899</v>
      </c>
    </row>
    <row r="251" spans="5:7" x14ac:dyDescent="0.25">
      <c r="E251" s="11">
        <f t="shared" si="25"/>
        <v>-171</v>
      </c>
      <c r="F251" s="11">
        <f t="shared" si="26"/>
        <v>-20.379039267115161</v>
      </c>
      <c r="G251" s="11">
        <f t="shared" si="27"/>
        <v>-20.436200997188937</v>
      </c>
    </row>
    <row r="252" spans="5:7" x14ac:dyDescent="0.25">
      <c r="E252" s="11">
        <f t="shared" si="25"/>
        <v>-170</v>
      </c>
      <c r="F252" s="11">
        <f t="shared" si="26"/>
        <v>-20.269376685043881</v>
      </c>
      <c r="G252" s="11">
        <f t="shared" si="27"/>
        <v>-20.323758311646642</v>
      </c>
    </row>
    <row r="253" spans="5:7" x14ac:dyDescent="0.25">
      <c r="E253" s="11">
        <f t="shared" si="25"/>
        <v>-169</v>
      </c>
      <c r="F253" s="11">
        <f t="shared" si="26"/>
        <v>-20.159088468729237</v>
      </c>
      <c r="G253" s="11">
        <f t="shared" si="27"/>
        <v>-20.208412899974455</v>
      </c>
    </row>
    <row r="254" spans="5:7" x14ac:dyDescent="0.25">
      <c r="E254" s="11">
        <f t="shared" si="25"/>
        <v>-168</v>
      </c>
      <c r="F254" s="11">
        <f t="shared" si="26"/>
        <v>-20.048288225678675</v>
      </c>
      <c r="G254" s="11">
        <f t="shared" si="27"/>
        <v>-20.090068004634698</v>
      </c>
    </row>
    <row r="255" spans="5:7" x14ac:dyDescent="0.25">
      <c r="E255" s="11">
        <f t="shared" si="25"/>
        <v>-167</v>
      </c>
      <c r="F255" s="11">
        <f t="shared" si="26"/>
        <v>-19.937086225721657</v>
      </c>
      <c r="G255" s="11">
        <f t="shared" si="27"/>
        <v>-19.968626868089718</v>
      </c>
    </row>
    <row r="256" spans="5:7" x14ac:dyDescent="0.25">
      <c r="E256" s="11">
        <f t="shared" si="25"/>
        <v>-166</v>
      </c>
      <c r="F256" s="11">
        <f t="shared" si="26"/>
        <v>-19.825589013476701</v>
      </c>
      <c r="G256" s="11">
        <f t="shared" si="27"/>
        <v>-19.843992732801851</v>
      </c>
    </row>
    <row r="257" spans="5:7" x14ac:dyDescent="0.25">
      <c r="E257" s="11">
        <f t="shared" si="25"/>
        <v>-165</v>
      </c>
      <c r="F257" s="11">
        <f t="shared" si="26"/>
        <v>-19.713899061910126</v>
      </c>
      <c r="G257" s="11">
        <f t="shared" si="27"/>
        <v>-19.71606884123343</v>
      </c>
    </row>
    <row r="258" spans="5:7" x14ac:dyDescent="0.25">
      <c r="E258" s="11">
        <f t="shared" si="25"/>
        <v>-164</v>
      </c>
      <c r="F258" s="11">
        <f t="shared" si="26"/>
        <v>-19.602114465320369</v>
      </c>
      <c r="G258" s="11">
        <f t="shared" si="27"/>
        <v>-19.584758435846798</v>
      </c>
    </row>
    <row r="259" spans="5:7" x14ac:dyDescent="0.25">
      <c r="E259" s="11">
        <f t="shared" si="25"/>
        <v>-163</v>
      </c>
      <c r="F259" s="11">
        <f t="shared" si="26"/>
        <v>-19.490328670136705</v>
      </c>
      <c r="G259" s="11">
        <f t="shared" si="27"/>
        <v>-19.449964759104279</v>
      </c>
    </row>
    <row r="260" spans="5:7" x14ac:dyDescent="0.25">
      <c r="E260" s="11">
        <f t="shared" si="25"/>
        <v>-162</v>
      </c>
      <c r="F260" s="11">
        <f t="shared" si="26"/>
        <v>-19.378630241935412</v>
      </c>
      <c r="G260" s="11">
        <f t="shared" si="27"/>
        <v>-19.31159105346822</v>
      </c>
    </row>
    <row r="261" spans="5:7" x14ac:dyDescent="0.25">
      <c r="E261" s="11">
        <f t="shared" si="25"/>
        <v>-161</v>
      </c>
      <c r="F261" s="11">
        <f t="shared" si="26"/>
        <v>-19.26710266710063</v>
      </c>
      <c r="G261" s="11">
        <f t="shared" si="27"/>
        <v>-19.169540561400961</v>
      </c>
    </row>
    <row r="262" spans="5:7" x14ac:dyDescent="0.25">
      <c r="E262" s="11">
        <f t="shared" si="25"/>
        <v>-160</v>
      </c>
      <c r="F262" s="11">
        <f t="shared" si="26"/>
        <v>-19.155824187592657</v>
      </c>
      <c r="G262" s="11">
        <f t="shared" si="27"/>
        <v>-19.023716525364829</v>
      </c>
    </row>
    <row r="263" spans="5:7" x14ac:dyDescent="0.25">
      <c r="E263" s="11">
        <f t="shared" si="25"/>
        <v>-159</v>
      </c>
      <c r="F263" s="11">
        <f t="shared" si="26"/>
        <v>-19.044867667294739</v>
      </c>
      <c r="G263" s="11">
        <f t="shared" si="27"/>
        <v>-18.946081958336485</v>
      </c>
    </row>
    <row r="264" spans="5:7" x14ac:dyDescent="0.25">
      <c r="E264" s="11">
        <f t="shared" si="25"/>
        <v>-158</v>
      </c>
      <c r="F264" s="11">
        <f t="shared" si="26"/>
        <v>-18.934300488463919</v>
      </c>
      <c r="G264" s="11">
        <f t="shared" si="27"/>
        <v>-18.864811434416687</v>
      </c>
    </row>
    <row r="265" spans="5:7" x14ac:dyDescent="0.25">
      <c r="E265" s="11">
        <f t="shared" si="25"/>
        <v>-157</v>
      </c>
      <c r="F265" s="11">
        <f t="shared" si="26"/>
        <v>-18.824184476812718</v>
      </c>
      <c r="G265" s="11">
        <f t="shared" si="27"/>
        <v>-18.780139298220515</v>
      </c>
    </row>
    <row r="266" spans="5:7" x14ac:dyDescent="0.25">
      <c r="E266" s="11">
        <f t="shared" si="25"/>
        <v>-156</v>
      </c>
      <c r="F266" s="11">
        <f t="shared" si="26"/>
        <v>-18.714575853773312</v>
      </c>
      <c r="G266" s="11">
        <f t="shared" si="27"/>
        <v>-18.692299894363053</v>
      </c>
    </row>
    <row r="267" spans="5:7" x14ac:dyDescent="0.25">
      <c r="E267" s="11">
        <f t="shared" si="25"/>
        <v>-155</v>
      </c>
      <c r="F267" s="11">
        <f t="shared" si="26"/>
        <v>-18.605525214563102</v>
      </c>
      <c r="G267" s="11">
        <f t="shared" si="27"/>
        <v>-18.601527567459375</v>
      </c>
    </row>
    <row r="268" spans="5:7" x14ac:dyDescent="0.25">
      <c r="E268" s="11">
        <f t="shared" si="25"/>
        <v>-154</v>
      </c>
      <c r="F268" s="11">
        <f t="shared" si="26"/>
        <v>-18.497077530625035</v>
      </c>
      <c r="G268" s="11">
        <f t="shared" si="27"/>
        <v>-18.508056662124567</v>
      </c>
    </row>
    <row r="269" spans="5:7" x14ac:dyDescent="0.25">
      <c r="E269" s="11">
        <f t="shared" si="25"/>
        <v>-153</v>
      </c>
      <c r="F269" s="11">
        <f t="shared" si="26"/>
        <v>-18.38927217512034</v>
      </c>
      <c r="G269" s="11">
        <f t="shared" si="27"/>
        <v>-18.412121522973703</v>
      </c>
    </row>
    <row r="270" spans="5:7" x14ac:dyDescent="0.25">
      <c r="E270" s="11">
        <f t="shared" si="25"/>
        <v>-152</v>
      </c>
      <c r="F270" s="11">
        <f t="shared" si="26"/>
        <v>-18.282142970117661</v>
      </c>
      <c r="G270" s="11">
        <f t="shared" si="27"/>
        <v>-18.313956494621866</v>
      </c>
    </row>
    <row r="271" spans="5:7" x14ac:dyDescent="0.25">
      <c r="E271" s="11">
        <f t="shared" si="25"/>
        <v>-151</v>
      </c>
      <c r="F271" s="11">
        <f t="shared" si="26"/>
        <v>-18.175718254183494</v>
      </c>
      <c r="G271" s="11">
        <f t="shared" si="27"/>
        <v>-18.213795921684135</v>
      </c>
    </row>
    <row r="272" spans="5:7" x14ac:dyDescent="0.25">
      <c r="E272" s="11">
        <f t="shared" si="25"/>
        <v>-150</v>
      </c>
      <c r="F272" s="11">
        <f t="shared" si="26"/>
        <v>-18.070020969081725</v>
      </c>
      <c r="G272" s="11">
        <f t="shared" si="27"/>
        <v>-18.111874148775591</v>
      </c>
    </row>
    <row r="273" spans="5:7" x14ac:dyDescent="0.25">
      <c r="E273" s="11">
        <f t="shared" si="25"/>
        <v>-149</v>
      </c>
      <c r="F273" s="11">
        <f t="shared" si="26"/>
        <v>-17.965068764349439</v>
      </c>
      <c r="G273" s="11">
        <f t="shared" si="27"/>
        <v>-18.00842552051131</v>
      </c>
    </row>
    <row r="274" spans="5:7" x14ac:dyDescent="0.25">
      <c r="E274" s="11">
        <f t="shared" si="25"/>
        <v>-148</v>
      </c>
      <c r="F274" s="11">
        <f t="shared" si="26"/>
        <v>-17.860874118489619</v>
      </c>
      <c r="G274" s="11">
        <f t="shared" si="27"/>
        <v>-17.903684381506377</v>
      </c>
    </row>
    <row r="275" spans="5:7" x14ac:dyDescent="0.25">
      <c r="E275" s="11">
        <f t="shared" si="25"/>
        <v>-147</v>
      </c>
      <c r="F275" s="11">
        <f t="shared" si="26"/>
        <v>-17.757444475615841</v>
      </c>
      <c r="G275" s="11">
        <f t="shared" si="27"/>
        <v>-17.79788507637587</v>
      </c>
    </row>
    <row r="276" spans="5:7" x14ac:dyDescent="0.25">
      <c r="E276" s="11">
        <f t="shared" si="25"/>
        <v>-146</v>
      </c>
      <c r="F276" s="11">
        <f t="shared" si="26"/>
        <v>-17.654782396338533</v>
      </c>
      <c r="G276" s="11">
        <f t="shared" si="27"/>
        <v>-17.691261949734866</v>
      </c>
    </row>
    <row r="277" spans="5:7" x14ac:dyDescent="0.25">
      <c r="E277" s="11">
        <f t="shared" si="25"/>
        <v>-145</v>
      </c>
      <c r="F277" s="11">
        <f t="shared" si="26"/>
        <v>-17.552885721770437</v>
      </c>
      <c r="G277" s="11">
        <f t="shared" si="27"/>
        <v>-17.584049346198444</v>
      </c>
    </row>
    <row r="278" spans="5:7" x14ac:dyDescent="0.25">
      <c r="E278" s="11">
        <f t="shared" si="25"/>
        <v>-144</v>
      </c>
      <c r="F278" s="11">
        <f t="shared" si="26"/>
        <v>-17.451747749512776</v>
      </c>
      <c r="G278" s="11">
        <f t="shared" si="27"/>
        <v>-17.47648161038169</v>
      </c>
    </row>
    <row r="279" spans="5:7" x14ac:dyDescent="0.25">
      <c r="E279" s="11">
        <f t="shared" si="25"/>
        <v>-143</v>
      </c>
      <c r="F279" s="11">
        <f t="shared" si="26"/>
        <v>-17.351357420535166</v>
      </c>
      <c r="G279" s="11">
        <f t="shared" si="27"/>
        <v>-17.368793086899679</v>
      </c>
    </row>
    <row r="280" spans="5:7" x14ac:dyDescent="0.25">
      <c r="E280" s="11">
        <f t="shared" si="25"/>
        <v>-142</v>
      </c>
      <c r="F280" s="11">
        <f t="shared" si="26"/>
        <v>-17.251699515869319</v>
      </c>
      <c r="G280" s="11">
        <f t="shared" si="27"/>
        <v>-17.261218120367495</v>
      </c>
    </row>
    <row r="281" spans="5:7" x14ac:dyDescent="0.25">
      <c r="E281" s="11">
        <f t="shared" si="25"/>
        <v>-141</v>
      </c>
      <c r="F281" s="11">
        <f t="shared" si="26"/>
        <v>-17.152754862085075</v>
      </c>
      <c r="G281" s="11">
        <f t="shared" si="27"/>
        <v>-17.153991055400212</v>
      </c>
    </row>
    <row r="282" spans="5:7" x14ac:dyDescent="0.25">
      <c r="E282" s="11">
        <f t="shared" si="25"/>
        <v>-140</v>
      </c>
      <c r="F282" s="11">
        <f t="shared" si="26"/>
        <v>-17.054500544516742</v>
      </c>
      <c r="G282" s="11">
        <f t="shared" si="27"/>
        <v>-17.047346236612913</v>
      </c>
    </row>
    <row r="283" spans="5:7" x14ac:dyDescent="0.25">
      <c r="E283" s="11">
        <f t="shared" si="25"/>
        <v>-139</v>
      </c>
      <c r="F283" s="11">
        <f t="shared" si="26"/>
        <v>-16.956910127261338</v>
      </c>
      <c r="G283" s="11">
        <f t="shared" si="27"/>
        <v>-16.94151800862068</v>
      </c>
    </row>
    <row r="284" spans="5:7" x14ac:dyDescent="0.25">
      <c r="E284" s="11">
        <f t="shared" si="25"/>
        <v>-138</v>
      </c>
      <c r="F284" s="11">
        <f t="shared" si="26"/>
        <v>-16.859953878976214</v>
      </c>
      <c r="G284" s="11">
        <f t="shared" si="27"/>
        <v>-16.836740716038587</v>
      </c>
    </row>
    <row r="285" spans="5:7" x14ac:dyDescent="0.25">
      <c r="E285" s="11">
        <f t="shared" si="25"/>
        <v>-137</v>
      </c>
      <c r="F285" s="11">
        <f t="shared" si="26"/>
        <v>-16.763599003539184</v>
      </c>
      <c r="G285" s="11">
        <f t="shared" si="27"/>
        <v>-16.733248703481721</v>
      </c>
    </row>
    <row r="286" spans="5:7" x14ac:dyDescent="0.25">
      <c r="E286" s="11">
        <f t="shared" si="25"/>
        <v>-136</v>
      </c>
      <c r="F286" s="11">
        <f t="shared" si="26"/>
        <v>-16.66780987465728</v>
      </c>
      <c r="G286" s="11">
        <f t="shared" si="27"/>
        <v>-16.631276315565152</v>
      </c>
    </row>
    <row r="287" spans="5:7" x14ac:dyDescent="0.25">
      <c r="E287" s="11">
        <f t="shared" ref="E287:E350" si="28">E80</f>
        <v>-135</v>
      </c>
      <c r="F287" s="11">
        <f t="shared" ref="F287:F350" si="29">$H$217*0+E287*$I$217+E287^2*$J$217+E287^3*$K$217+E287^4*$L$217+E287^5*$M$217+E287^6*$N$217+E287^7*$O$217+E287^8*$P$217</f>
        <v>-16.572548273541685</v>
      </c>
      <c r="G287" s="11">
        <f t="shared" ref="G287:G350" si="30">F80</f>
        <v>-16.53105789690397</v>
      </c>
    </row>
    <row r="288" spans="5:7" x14ac:dyDescent="0.25">
      <c r="E288" s="11">
        <f t="shared" si="28"/>
        <v>-134</v>
      </c>
      <c r="F288" s="11">
        <f t="shared" si="29"/>
        <v>-16.477773628784206</v>
      </c>
      <c r="G288" s="11">
        <f t="shared" si="30"/>
        <v>-16.432763821043739</v>
      </c>
    </row>
    <row r="289" spans="5:7" x14ac:dyDescent="0.25">
      <c r="E289" s="11">
        <f t="shared" si="28"/>
        <v>-133</v>
      </c>
      <c r="F289" s="11">
        <f t="shared" si="29"/>
        <v>-16.383443257604974</v>
      </c>
      <c r="G289" s="11">
        <f t="shared" si="30"/>
        <v>-16.336308577252005</v>
      </c>
    </row>
    <row r="290" spans="5:7" x14ac:dyDescent="0.25">
      <c r="E290" s="11">
        <f t="shared" si="28"/>
        <v>-132</v>
      </c>
      <c r="F290" s="11">
        <f t="shared" si="29"/>
        <v>-16.289512607661592</v>
      </c>
      <c r="G290" s="11">
        <f t="shared" si="30"/>
        <v>-16.241542683726792</v>
      </c>
    </row>
    <row r="291" spans="5:7" x14ac:dyDescent="0.25">
      <c r="E291" s="11">
        <f t="shared" si="28"/>
        <v>-131</v>
      </c>
      <c r="F291" s="11">
        <f t="shared" si="29"/>
        <v>-16.195935498640033</v>
      </c>
      <c r="G291" s="11">
        <f t="shared" si="30"/>
        <v>-16.148316658666129</v>
      </c>
    </row>
    <row r="292" spans="5:7" x14ac:dyDescent="0.25">
      <c r="E292" s="11">
        <f t="shared" si="28"/>
        <v>-130</v>
      </c>
      <c r="F292" s="11">
        <f t="shared" si="29"/>
        <v>-16.102664362872183</v>
      </c>
      <c r="G292" s="11">
        <f t="shared" si="30"/>
        <v>-16.056481020268052</v>
      </c>
    </row>
    <row r="293" spans="5:7" x14ac:dyDescent="0.25">
      <c r="E293" s="11">
        <f t="shared" si="28"/>
        <v>-129</v>
      </c>
      <c r="F293" s="11">
        <f t="shared" si="29"/>
        <v>-16.00965048425082</v>
      </c>
      <c r="G293" s="11">
        <f t="shared" si="30"/>
        <v>-15.965886286730592</v>
      </c>
    </row>
    <row r="294" spans="5:7" x14ac:dyDescent="0.25">
      <c r="E294" s="11">
        <f t="shared" si="28"/>
        <v>-128</v>
      </c>
      <c r="F294" s="11">
        <f t="shared" si="29"/>
        <v>-15.916844234740935</v>
      </c>
      <c r="G294" s="11">
        <f t="shared" si="30"/>
        <v>-15.876382976251772</v>
      </c>
    </row>
    <row r="295" spans="5:7" x14ac:dyDescent="0.25">
      <c r="E295" s="11">
        <f t="shared" si="28"/>
        <v>-127</v>
      </c>
      <c r="F295" s="11">
        <f t="shared" si="29"/>
        <v>-15.824195307809099</v>
      </c>
      <c r="G295" s="11">
        <f t="shared" si="30"/>
        <v>-15.787821607029628</v>
      </c>
    </row>
    <row r="296" spans="5:7" x14ac:dyDescent="0.25">
      <c r="E296" s="11">
        <f t="shared" si="28"/>
        <v>-126</v>
      </c>
      <c r="F296" s="11">
        <f t="shared" si="29"/>
        <v>-15.731652948123127</v>
      </c>
      <c r="G296" s="11">
        <f t="shared" si="30"/>
        <v>-15.700052697262187</v>
      </c>
    </row>
    <row r="297" spans="5:7" x14ac:dyDescent="0.25">
      <c r="E297" s="11">
        <f t="shared" si="28"/>
        <v>-125</v>
      </c>
      <c r="F297" s="11">
        <f t="shared" si="29"/>
        <v>-15.639166176898982</v>
      </c>
      <c r="G297" s="11">
        <f t="shared" si="30"/>
        <v>-15.612926765147483</v>
      </c>
    </row>
    <row r="298" spans="5:7" x14ac:dyDescent="0.25">
      <c r="E298" s="11">
        <f t="shared" si="28"/>
        <v>-124</v>
      </c>
      <c r="F298" s="11">
        <f t="shared" si="29"/>
        <v>-15.546684012294619</v>
      </c>
      <c r="G298" s="11">
        <f t="shared" si="30"/>
        <v>-15.526294328883543</v>
      </c>
    </row>
    <row r="299" spans="5:7" x14ac:dyDescent="0.25">
      <c r="E299" s="11">
        <f t="shared" si="28"/>
        <v>-123</v>
      </c>
      <c r="F299" s="11">
        <f t="shared" si="29"/>
        <v>-15.454155684283691</v>
      </c>
      <c r="G299" s="11">
        <f t="shared" si="30"/>
        <v>-15.440005906668397</v>
      </c>
    </row>
    <row r="300" spans="5:7" x14ac:dyDescent="0.25">
      <c r="E300" s="11">
        <f t="shared" si="28"/>
        <v>-122</v>
      </c>
      <c r="F300" s="11">
        <f t="shared" si="29"/>
        <v>-15.361530843460905</v>
      </c>
      <c r="G300" s="11">
        <f t="shared" si="30"/>
        <v>-15.353912016700079</v>
      </c>
    </row>
    <row r="301" spans="5:7" x14ac:dyDescent="0.25">
      <c r="E301" s="11">
        <f t="shared" si="28"/>
        <v>-121</v>
      </c>
      <c r="F301" s="11">
        <f t="shared" si="29"/>
        <v>-15.268759763263926</v>
      </c>
      <c r="G301" s="11">
        <f t="shared" si="30"/>
        <v>-15.267863177176615</v>
      </c>
    </row>
    <row r="302" spans="5:7" x14ac:dyDescent="0.25">
      <c r="E302" s="11">
        <f t="shared" si="28"/>
        <v>-120</v>
      </c>
      <c r="F302" s="11">
        <f t="shared" si="29"/>
        <v>-15.175793535116608</v>
      </c>
      <c r="G302" s="11">
        <f t="shared" si="30"/>
        <v>-15.181709906296039</v>
      </c>
    </row>
    <row r="303" spans="5:7" x14ac:dyDescent="0.25">
      <c r="E303" s="11">
        <f t="shared" si="28"/>
        <v>-119</v>
      </c>
      <c r="F303" s="11">
        <f t="shared" si="29"/>
        <v>-15.082584256030579</v>
      </c>
      <c r="G303" s="11">
        <f t="shared" si="30"/>
        <v>-15.095302722256381</v>
      </c>
    </row>
    <row r="304" spans="5:7" x14ac:dyDescent="0.25">
      <c r="E304" s="11">
        <f t="shared" si="28"/>
        <v>-118</v>
      </c>
      <c r="F304" s="11">
        <f t="shared" si="29"/>
        <v>-14.989085208223344</v>
      </c>
      <c r="G304" s="11">
        <f t="shared" si="30"/>
        <v>-15.008492143255667</v>
      </c>
    </row>
    <row r="305" spans="5:7" x14ac:dyDescent="0.25">
      <c r="E305" s="11">
        <f t="shared" si="28"/>
        <v>-117</v>
      </c>
      <c r="F305" s="11">
        <f t="shared" si="29"/>
        <v>-14.895251030340315</v>
      </c>
      <c r="G305" s="11">
        <f t="shared" si="30"/>
        <v>-14.921128687491933</v>
      </c>
    </row>
    <row r="306" spans="5:7" x14ac:dyDescent="0.25">
      <c r="E306" s="11">
        <f t="shared" si="28"/>
        <v>-116</v>
      </c>
      <c r="F306" s="11">
        <f t="shared" si="29"/>
        <v>-14.801037879895045</v>
      </c>
      <c r="G306" s="11">
        <f t="shared" si="30"/>
        <v>-14.833062873163202</v>
      </c>
    </row>
    <row r="307" spans="5:7" x14ac:dyDescent="0.25">
      <c r="E307" s="11">
        <f t="shared" si="28"/>
        <v>-115</v>
      </c>
      <c r="F307" s="11">
        <f t="shared" si="29"/>
        <v>-14.7064035865649</v>
      </c>
      <c r="G307" s="11">
        <f t="shared" si="30"/>
        <v>-14.744145218467512</v>
      </c>
    </row>
    <row r="308" spans="5:7" x14ac:dyDescent="0.25">
      <c r="E308" s="11">
        <f t="shared" si="28"/>
        <v>-114</v>
      </c>
      <c r="F308" s="11">
        <f t="shared" si="29"/>
        <v>-14.611307796009044</v>
      </c>
      <c r="G308" s="11">
        <f t="shared" si="30"/>
        <v>-14.65422624160289</v>
      </c>
    </row>
    <row r="309" spans="5:7" x14ac:dyDescent="0.25">
      <c r="E309" s="11">
        <f t="shared" si="28"/>
        <v>-113</v>
      </c>
      <c r="F309" s="11">
        <f t="shared" si="29"/>
        <v>-14.515712103899933</v>
      </c>
      <c r="G309" s="11">
        <f t="shared" si="30"/>
        <v>-14.563156460767367</v>
      </c>
    </row>
    <row r="310" spans="5:7" x14ac:dyDescent="0.25">
      <c r="E310" s="11">
        <f t="shared" si="28"/>
        <v>-112</v>
      </c>
      <c r="F310" s="11">
        <f t="shared" si="29"/>
        <v>-14.419580179887191</v>
      </c>
      <c r="G310" s="11">
        <f t="shared" si="30"/>
        <v>-14.470786394158971</v>
      </c>
    </row>
    <row r="311" spans="5:7" x14ac:dyDescent="0.25">
      <c r="E311" s="11">
        <f t="shared" si="28"/>
        <v>-111</v>
      </c>
      <c r="F311" s="11">
        <f t="shared" si="29"/>
        <v>-14.322877881237352</v>
      </c>
      <c r="G311" s="11">
        <f t="shared" si="30"/>
        <v>-14.376966559975735</v>
      </c>
    </row>
    <row r="312" spans="5:7" x14ac:dyDescent="0.25">
      <c r="E312" s="11">
        <f t="shared" si="28"/>
        <v>-110</v>
      </c>
      <c r="F312" s="11">
        <f t="shared" si="29"/>
        <v>-14.225573355919821</v>
      </c>
      <c r="G312" s="11">
        <f t="shared" si="30"/>
        <v>-14.281547476415685</v>
      </c>
    </row>
    <row r="313" spans="5:7" x14ac:dyDescent="0.25">
      <c r="E313" s="11">
        <f t="shared" si="28"/>
        <v>-109</v>
      </c>
      <c r="F313" s="11">
        <f t="shared" si="29"/>
        <v>-14.127637134938883</v>
      </c>
      <c r="G313" s="11">
        <f t="shared" si="30"/>
        <v>-14.184416235460217</v>
      </c>
    </row>
    <row r="314" spans="5:7" x14ac:dyDescent="0.25">
      <c r="E314" s="11">
        <f t="shared" si="28"/>
        <v>-108</v>
      </c>
      <c r="F314" s="11">
        <f t="shared" si="29"/>
        <v>-14.029042213729577</v>
      </c>
      <c r="G314" s="11">
        <f t="shared" si="30"/>
        <v>-14.085606224224135</v>
      </c>
    </row>
    <row r="315" spans="5:7" x14ac:dyDescent="0.25">
      <c r="E315" s="11">
        <f t="shared" si="28"/>
        <v>-107</v>
      </c>
      <c r="F315" s="11">
        <f t="shared" si="29"/>
        <v>-13.92976412247298</v>
      </c>
      <c r="G315" s="11">
        <f t="shared" si="30"/>
        <v>-13.985187403605613</v>
      </c>
    </row>
    <row r="316" spans="5:7" x14ac:dyDescent="0.25">
      <c r="E316" s="11">
        <f t="shared" si="28"/>
        <v>-106</v>
      </c>
      <c r="F316" s="11">
        <f t="shared" si="29"/>
        <v>-13.829780985201749</v>
      </c>
      <c r="G316" s="11">
        <f t="shared" si="30"/>
        <v>-13.883229734502821</v>
      </c>
    </row>
    <row r="317" spans="5:7" x14ac:dyDescent="0.25">
      <c r="E317" s="11">
        <f t="shared" si="28"/>
        <v>-105</v>
      </c>
      <c r="F317" s="11">
        <f t="shared" si="29"/>
        <v>-13.729073567601244</v>
      </c>
      <c r="G317" s="11">
        <f t="shared" si="30"/>
        <v>-13.77980317781393</v>
      </c>
    </row>
    <row r="318" spans="5:7" x14ac:dyDescent="0.25">
      <c r="E318" s="11">
        <f t="shared" si="28"/>
        <v>-104</v>
      </c>
      <c r="F318" s="11">
        <f t="shared" si="29"/>
        <v>-13.627625313432612</v>
      </c>
      <c r="G318" s="11">
        <f t="shared" si="30"/>
        <v>-13.674977694437111</v>
      </c>
    </row>
    <row r="319" spans="5:7" x14ac:dyDescent="0.25">
      <c r="E319" s="11">
        <f t="shared" si="28"/>
        <v>-103</v>
      </c>
      <c r="F319" s="11">
        <f t="shared" si="29"/>
        <v>-13.525422369533318</v>
      </c>
      <c r="G319" s="11">
        <f t="shared" si="30"/>
        <v>-13.568823245270533</v>
      </c>
    </row>
    <row r="320" spans="5:7" x14ac:dyDescent="0.25">
      <c r="E320" s="11">
        <f t="shared" si="28"/>
        <v>-102</v>
      </c>
      <c r="F320" s="11">
        <f t="shared" si="29"/>
        <v>-13.422453599375578</v>
      </c>
      <c r="G320" s="11">
        <f t="shared" si="30"/>
        <v>-13.461409791212368</v>
      </c>
    </row>
    <row r="321" spans="5:7" x14ac:dyDescent="0.25">
      <c r="E321" s="11">
        <f t="shared" si="28"/>
        <v>-101</v>
      </c>
      <c r="F321" s="11">
        <f t="shared" si="29"/>
        <v>-13.318710585190654</v>
      </c>
      <c r="G321" s="11">
        <f t="shared" si="30"/>
        <v>-13.352807293160783</v>
      </c>
    </row>
    <row r="322" spans="5:7" x14ac:dyDescent="0.25">
      <c r="E322" s="11">
        <f t="shared" si="28"/>
        <v>-100</v>
      </c>
      <c r="F322" s="11">
        <f t="shared" si="29"/>
        <v>-13.214187618690826</v>
      </c>
      <c r="G322" s="11">
        <f t="shared" si="30"/>
        <v>-13.243085712013951</v>
      </c>
    </row>
    <row r="323" spans="5:7" x14ac:dyDescent="0.25">
      <c r="E323" s="11">
        <f t="shared" si="28"/>
        <v>-99</v>
      </c>
      <c r="F323" s="11">
        <f t="shared" si="29"/>
        <v>-13.108881680450564</v>
      </c>
      <c r="G323" s="11">
        <f t="shared" si="30"/>
        <v>-13.132315008670041</v>
      </c>
    </row>
    <row r="324" spans="5:7" x14ac:dyDescent="0.25">
      <c r="E324" s="11">
        <f t="shared" si="28"/>
        <v>-98</v>
      </c>
      <c r="F324" s="11">
        <f t="shared" si="29"/>
        <v>-13.002792408031492</v>
      </c>
      <c r="G324" s="11">
        <f t="shared" si="30"/>
        <v>-13.020565144027227</v>
      </c>
    </row>
    <row r="325" spans="5:7" x14ac:dyDescent="0.25">
      <c r="E325" s="11">
        <f t="shared" si="28"/>
        <v>-97</v>
      </c>
      <c r="F325" s="11">
        <f t="shared" si="29"/>
        <v>-12.895922052964558</v>
      </c>
      <c r="G325" s="11">
        <f t="shared" si="30"/>
        <v>-12.907906078983675</v>
      </c>
    </row>
    <row r="326" spans="5:7" x14ac:dyDescent="0.25">
      <c r="E326" s="11">
        <f t="shared" si="28"/>
        <v>-96</v>
      </c>
      <c r="F326" s="11">
        <f t="shared" si="29"/>
        <v>-12.78827542672639</v>
      </c>
      <c r="G326" s="11">
        <f t="shared" si="30"/>
        <v>-12.794407774437556</v>
      </c>
    </row>
    <row r="327" spans="5:7" x14ac:dyDescent="0.25">
      <c r="E327" s="11">
        <f t="shared" si="28"/>
        <v>-95</v>
      </c>
      <c r="F327" s="11">
        <f t="shared" si="29"/>
        <v>-12.679859835876798</v>
      </c>
      <c r="G327" s="11">
        <f t="shared" si="30"/>
        <v>-12.680140191287041</v>
      </c>
    </row>
    <row r="328" spans="5:7" x14ac:dyDescent="0.25">
      <c r="E328" s="11">
        <f t="shared" si="28"/>
        <v>-94</v>
      </c>
      <c r="F328" s="11">
        <f t="shared" si="29"/>
        <v>-12.570685006546061</v>
      </c>
      <c r="G328" s="11">
        <f t="shared" si="30"/>
        <v>-12.565173290430302</v>
      </c>
    </row>
    <row r="329" spans="5:7" x14ac:dyDescent="0.25">
      <c r="E329" s="11">
        <f t="shared" si="28"/>
        <v>-93</v>
      </c>
      <c r="F329" s="11">
        <f t="shared" si="29"/>
        <v>-12.460762998491489</v>
      </c>
      <c r="G329" s="11">
        <f t="shared" si="30"/>
        <v>-12.449577032765506</v>
      </c>
    </row>
    <row r="330" spans="5:7" x14ac:dyDescent="0.25">
      <c r="E330" s="11">
        <f t="shared" si="28"/>
        <v>-92</v>
      </c>
      <c r="F330" s="11">
        <f t="shared" si="29"/>
        <v>-12.350108108965557</v>
      </c>
      <c r="G330" s="11">
        <f t="shared" si="30"/>
        <v>-12.333421379190826</v>
      </c>
    </row>
    <row r="331" spans="5:7" x14ac:dyDescent="0.25">
      <c r="E331" s="11">
        <f t="shared" si="28"/>
        <v>-91</v>
      </c>
      <c r="F331" s="11">
        <f t="shared" si="29"/>
        <v>-12.238736766666197</v>
      </c>
      <c r="G331" s="11">
        <f t="shared" si="30"/>
        <v>-12.216776290604431</v>
      </c>
    </row>
    <row r="332" spans="5:7" x14ac:dyDescent="0.25">
      <c r="E332" s="11">
        <f t="shared" si="28"/>
        <v>-90</v>
      </c>
      <c r="F332" s="11">
        <f t="shared" si="29"/>
        <v>-12.126667416065041</v>
      </c>
      <c r="G332" s="11">
        <f t="shared" si="30"/>
        <v>-12.099711727904491</v>
      </c>
    </row>
    <row r="333" spans="5:7" x14ac:dyDescent="0.25">
      <c r="E333" s="11">
        <f t="shared" si="28"/>
        <v>-89</v>
      </c>
      <c r="F333" s="11">
        <f t="shared" si="29"/>
        <v>-12.013920392436249</v>
      </c>
      <c r="G333" s="11">
        <f t="shared" si="30"/>
        <v>-11.982297651989178</v>
      </c>
    </row>
    <row r="334" spans="5:7" x14ac:dyDescent="0.25">
      <c r="E334" s="11">
        <f t="shared" si="28"/>
        <v>-88</v>
      </c>
      <c r="F334" s="11">
        <f t="shared" si="29"/>
        <v>-11.9005177879349</v>
      </c>
      <c r="G334" s="11">
        <f t="shared" si="30"/>
        <v>-11.864604023756661</v>
      </c>
    </row>
    <row r="335" spans="5:7" x14ac:dyDescent="0.25">
      <c r="E335" s="11">
        <f t="shared" si="28"/>
        <v>-87</v>
      </c>
      <c r="F335" s="11">
        <f t="shared" si="29"/>
        <v>-11.786483309099593</v>
      </c>
      <c r="G335" s="11">
        <f t="shared" si="30"/>
        <v>-11.746700804105112</v>
      </c>
    </row>
    <row r="336" spans="5:7" x14ac:dyDescent="0.25">
      <c r="E336" s="11">
        <f t="shared" si="28"/>
        <v>-86</v>
      </c>
      <c r="F336" s="11">
        <f t="shared" si="29"/>
        <v>-11.671842126180525</v>
      </c>
      <c r="G336" s="11">
        <f t="shared" si="30"/>
        <v>-11.628657953932697</v>
      </c>
    </row>
    <row r="337" spans="5:7" x14ac:dyDescent="0.25">
      <c r="E337" s="11">
        <f t="shared" si="28"/>
        <v>-85</v>
      </c>
      <c r="F337" s="11">
        <f t="shared" si="29"/>
        <v>-11.556620714721275</v>
      </c>
      <c r="G337" s="11">
        <f t="shared" si="30"/>
        <v>-11.51054543413759</v>
      </c>
    </row>
    <row r="338" spans="5:7" x14ac:dyDescent="0.25">
      <c r="E338" s="11">
        <f t="shared" si="28"/>
        <v>-84</v>
      </c>
      <c r="F338" s="11">
        <f t="shared" si="29"/>
        <v>-11.440846689847207</v>
      </c>
      <c r="G338" s="11">
        <f t="shared" si="30"/>
        <v>-11.392433205617964</v>
      </c>
    </row>
    <row r="339" spans="5:7" x14ac:dyDescent="0.25">
      <c r="E339" s="11">
        <f t="shared" si="28"/>
        <v>-83</v>
      </c>
      <c r="F339" s="11">
        <f t="shared" si="29"/>
        <v>-11.324548633741458</v>
      </c>
      <c r="G339" s="11">
        <f t="shared" si="30"/>
        <v>-11.274391229271984</v>
      </c>
    </row>
    <row r="340" spans="5:7" x14ac:dyDescent="0.25">
      <c r="E340" s="11">
        <f t="shared" si="28"/>
        <v>-82</v>
      </c>
      <c r="F340" s="11">
        <f t="shared" si="29"/>
        <v>-11.207755916814159</v>
      </c>
      <c r="G340" s="11">
        <f t="shared" si="30"/>
        <v>-11.156489465997822</v>
      </c>
    </row>
    <row r="341" spans="5:7" x14ac:dyDescent="0.25">
      <c r="E341" s="11">
        <f t="shared" si="28"/>
        <v>-81</v>
      </c>
      <c r="F341" s="11">
        <f t="shared" si="29"/>
        <v>-11.090498513098508</v>
      </c>
      <c r="G341" s="11">
        <f t="shared" si="30"/>
        <v>-11.03879787669365</v>
      </c>
    </row>
    <row r="342" spans="5:7" x14ac:dyDescent="0.25">
      <c r="E342" s="11">
        <f t="shared" si="28"/>
        <v>-80</v>
      </c>
      <c r="F342" s="11">
        <f t="shared" si="29"/>
        <v>-10.972806810431612</v>
      </c>
      <c r="G342" s="11">
        <f t="shared" si="30"/>
        <v>-10.921386422257635</v>
      </c>
    </row>
    <row r="343" spans="5:7" x14ac:dyDescent="0.25">
      <c r="E343" s="11">
        <f t="shared" si="28"/>
        <v>-79</v>
      </c>
      <c r="F343" s="11">
        <f t="shared" si="29"/>
        <v>-10.854711416006145</v>
      </c>
      <c r="G343" s="11">
        <f t="shared" si="30"/>
        <v>-10.804307146506728</v>
      </c>
    </row>
    <row r="344" spans="5:7" x14ac:dyDescent="0.25">
      <c r="E344" s="11">
        <f t="shared" si="28"/>
        <v>-78</v>
      </c>
      <c r="F344" s="11">
        <f t="shared" si="29"/>
        <v>-10.736242957903976</v>
      </c>
      <c r="G344" s="11">
        <f t="shared" si="30"/>
        <v>-10.68754042493298</v>
      </c>
    </row>
    <row r="345" spans="5:7" x14ac:dyDescent="0.25">
      <c r="E345" s="11">
        <f t="shared" si="28"/>
        <v>-77</v>
      </c>
      <c r="F345" s="11">
        <f t="shared" si="29"/>
        <v>-10.617431883249544</v>
      </c>
      <c r="G345" s="11">
        <f t="shared" si="30"/>
        <v>-10.571048715947224</v>
      </c>
    </row>
    <row r="346" spans="5:7" x14ac:dyDescent="0.25">
      <c r="E346" s="11">
        <f t="shared" si="28"/>
        <v>-76</v>
      </c>
      <c r="F346" s="11">
        <f t="shared" si="29"/>
        <v>-10.498308253647185</v>
      </c>
      <c r="G346" s="11">
        <f t="shared" si="30"/>
        <v>-10.45479447796029</v>
      </c>
    </row>
    <row r="347" spans="5:7" x14ac:dyDescent="0.25">
      <c r="E347" s="11">
        <f t="shared" si="28"/>
        <v>-75</v>
      </c>
      <c r="F347" s="11">
        <f t="shared" si="29"/>
        <v>-10.378901538592778</v>
      </c>
      <c r="G347" s="11">
        <f t="shared" si="30"/>
        <v>-10.338740169383005</v>
      </c>
    </row>
    <row r="348" spans="5:7" x14ac:dyDescent="0.25">
      <c r="E348" s="11">
        <f t="shared" si="28"/>
        <v>-74</v>
      </c>
      <c r="F348" s="11">
        <f t="shared" si="29"/>
        <v>-10.259240407576065</v>
      </c>
      <c r="G348" s="11">
        <f t="shared" si="30"/>
        <v>-10.222848248626203</v>
      </c>
    </row>
    <row r="349" spans="5:7" x14ac:dyDescent="0.25">
      <c r="E349" s="11">
        <f t="shared" si="28"/>
        <v>-73</v>
      </c>
      <c r="F349" s="11">
        <f t="shared" si="29"/>
        <v>-10.139352521616917</v>
      </c>
      <c r="G349" s="11">
        <f t="shared" si="30"/>
        <v>-10.107081174100717</v>
      </c>
    </row>
    <row r="350" spans="5:7" x14ac:dyDescent="0.25">
      <c r="E350" s="11">
        <f t="shared" si="28"/>
        <v>-72</v>
      </c>
      <c r="F350" s="11">
        <f t="shared" si="29"/>
        <v>-10.019264325004448</v>
      </c>
      <c r="G350" s="11">
        <f t="shared" si="30"/>
        <v>-9.991401404217374</v>
      </c>
    </row>
    <row r="351" spans="5:7" x14ac:dyDescent="0.25">
      <c r="E351" s="11">
        <f t="shared" ref="E351:E414" si="31">E144</f>
        <v>-71</v>
      </c>
      <c r="F351" s="11">
        <f t="shared" ref="F351:F414" si="32">$H$217*0+E351*$I$217+E351^2*$J$217+E351^3*$K$217+E351^4*$L$217+E351^5*$M$217+E351^6*$N$217+E351^7*$O$217+E351^8*$P$217</f>
        <v>-9.8990008380345156</v>
      </c>
      <c r="G351" s="11">
        <f t="shared" ref="G351:G414" si="33">F144</f>
        <v>-9.8757713973870072</v>
      </c>
    </row>
    <row r="352" spans="5:7" x14ac:dyDescent="0.25">
      <c r="E352" s="11">
        <f t="shared" si="31"/>
        <v>-70</v>
      </c>
      <c r="F352" s="11">
        <f t="shared" si="32"/>
        <v>-9.7785854515674355</v>
      </c>
      <c r="G352" s="11">
        <f t="shared" si="33"/>
        <v>-9.760153612020444</v>
      </c>
    </row>
    <row r="353" spans="5:7" x14ac:dyDescent="0.25">
      <c r="E353" s="11">
        <f t="shared" si="31"/>
        <v>-69</v>
      </c>
      <c r="F353" s="11">
        <f t="shared" si="32"/>
        <v>-9.6580397242536851</v>
      </c>
      <c r="G353" s="11">
        <f t="shared" si="33"/>
        <v>-9.644510506528519</v>
      </c>
    </row>
    <row r="354" spans="5:7" x14ac:dyDescent="0.25">
      <c r="E354" s="11">
        <f t="shared" si="31"/>
        <v>-68</v>
      </c>
      <c r="F354" s="11">
        <f t="shared" si="32"/>
        <v>-9.5373831833021985</v>
      </c>
      <c r="G354" s="11">
        <f t="shared" si="33"/>
        <v>-9.5288045393220582</v>
      </c>
    </row>
    <row r="355" spans="5:7" x14ac:dyDescent="0.25">
      <c r="E355" s="11">
        <f t="shared" si="31"/>
        <v>-67</v>
      </c>
      <c r="F355" s="11">
        <f t="shared" si="32"/>
        <v>-9.4166331296914514</v>
      </c>
      <c r="G355" s="11">
        <f t="shared" si="33"/>
        <v>-9.4129981688118978</v>
      </c>
    </row>
    <row r="356" spans="5:7" x14ac:dyDescent="0.25">
      <c r="E356" s="11">
        <f t="shared" si="31"/>
        <v>-66</v>
      </c>
      <c r="F356" s="11">
        <f t="shared" si="32"/>
        <v>-9.2958044487505571</v>
      </c>
      <c r="G356" s="11">
        <f t="shared" si="33"/>
        <v>-9.2970538534088654</v>
      </c>
    </row>
    <row r="357" spans="5:7" x14ac:dyDescent="0.25">
      <c r="E357" s="11">
        <f t="shared" si="31"/>
        <v>-65</v>
      </c>
      <c r="F357" s="11">
        <f t="shared" si="32"/>
        <v>-9.1749094270631062</v>
      </c>
      <c r="G357" s="11">
        <f t="shared" si="33"/>
        <v>-9.1809340515237903</v>
      </c>
    </row>
    <row r="358" spans="5:7" x14ac:dyDescent="0.25">
      <c r="E358" s="11">
        <f t="shared" si="31"/>
        <v>-64</v>
      </c>
      <c r="F358" s="11">
        <f t="shared" si="32"/>
        <v>-9.0539575766735112</v>
      </c>
      <c r="G358" s="11">
        <f t="shared" si="33"/>
        <v>-9.0646012215675054</v>
      </c>
    </row>
    <row r="359" spans="5:7" x14ac:dyDescent="0.25">
      <c r="E359" s="11">
        <f t="shared" si="31"/>
        <v>-63</v>
      </c>
      <c r="F359" s="11">
        <f t="shared" si="32"/>
        <v>-8.9329554676012037</v>
      </c>
      <c r="G359" s="11">
        <f t="shared" si="33"/>
        <v>-8.9480178219508417</v>
      </c>
    </row>
    <row r="360" spans="5:7" x14ac:dyDescent="0.25">
      <c r="E360" s="11">
        <f t="shared" si="31"/>
        <v>-62</v>
      </c>
      <c r="F360" s="11">
        <f t="shared" si="32"/>
        <v>-8.8119065696948535</v>
      </c>
      <c r="G360" s="11">
        <f t="shared" si="33"/>
        <v>-8.8311463110846287</v>
      </c>
    </row>
    <row r="361" spans="5:7" x14ac:dyDescent="0.25">
      <c r="E361" s="11">
        <f t="shared" si="31"/>
        <v>-61</v>
      </c>
      <c r="F361" s="11">
        <f t="shared" si="32"/>
        <v>-8.6908111048847161</v>
      </c>
      <c r="G361" s="11">
        <f t="shared" si="33"/>
        <v>-8.7139491473796973</v>
      </c>
    </row>
    <row r="362" spans="5:7" x14ac:dyDescent="0.25">
      <c r="E362" s="11">
        <f t="shared" si="31"/>
        <v>-60</v>
      </c>
      <c r="F362" s="11">
        <f t="shared" si="32"/>
        <v>-8.5696659109176814</v>
      </c>
      <c r="G362" s="11">
        <f t="shared" si="33"/>
        <v>-8.5963887892468769</v>
      </c>
    </row>
    <row r="363" spans="5:7" x14ac:dyDescent="0.25">
      <c r="E363" s="11">
        <f t="shared" si="31"/>
        <v>-59</v>
      </c>
      <c r="F363" s="11">
        <f t="shared" si="32"/>
        <v>-8.4484643176856924</v>
      </c>
      <c r="G363" s="11">
        <f t="shared" si="33"/>
        <v>-8.4784276950970021</v>
      </c>
    </row>
    <row r="364" spans="5:7" x14ac:dyDescent="0.25">
      <c r="E364" s="11">
        <f t="shared" si="31"/>
        <v>-58</v>
      </c>
      <c r="F364" s="11">
        <f t="shared" si="32"/>
        <v>-8.3271960372847555</v>
      </c>
      <c r="G364" s="11">
        <f t="shared" si="33"/>
        <v>-8.3600283233408987</v>
      </c>
    </row>
    <row r="365" spans="5:7" x14ac:dyDescent="0.25">
      <c r="E365" s="11">
        <f t="shared" si="31"/>
        <v>-57</v>
      </c>
      <c r="F365" s="11">
        <f t="shared" si="32"/>
        <v>-8.205847068967703</v>
      </c>
      <c r="G365" s="11">
        <f t="shared" si="33"/>
        <v>-8.2411531323894032</v>
      </c>
    </row>
    <row r="366" spans="5:7" x14ac:dyDescent="0.25">
      <c r="E366" s="11">
        <f t="shared" si="31"/>
        <v>-56</v>
      </c>
      <c r="F366" s="11">
        <f t="shared" si="32"/>
        <v>-8.0843996201804202</v>
      </c>
      <c r="G366" s="11">
        <f t="shared" si="33"/>
        <v>-8.1217645806533412</v>
      </c>
    </row>
    <row r="367" spans="5:7" x14ac:dyDescent="0.25">
      <c r="E367" s="11">
        <f t="shared" si="31"/>
        <v>-55</v>
      </c>
      <c r="F367" s="11">
        <f t="shared" si="32"/>
        <v>-7.9628320448973708</v>
      </c>
      <c r="G367" s="11">
        <f t="shared" si="33"/>
        <v>-8.0018251265435438</v>
      </c>
    </row>
    <row r="368" spans="5:7" x14ac:dyDescent="0.25">
      <c r="E368" s="11">
        <f t="shared" si="31"/>
        <v>-54</v>
      </c>
      <c r="F368" s="11">
        <f t="shared" si="32"/>
        <v>-7.841118800498637</v>
      </c>
      <c r="G368" s="11">
        <f t="shared" si="33"/>
        <v>-7.881297228470844</v>
      </c>
    </row>
    <row r="369" spans="5:7" x14ac:dyDescent="0.25">
      <c r="E369" s="11">
        <f t="shared" si="31"/>
        <v>-53</v>
      </c>
      <c r="F369" s="11">
        <f t="shared" si="32"/>
        <v>-7.7192304244568577</v>
      </c>
      <c r="G369" s="11">
        <f t="shared" si="33"/>
        <v>-7.760143344846071</v>
      </c>
    </row>
    <row r="370" spans="5:7" x14ac:dyDescent="0.25">
      <c r="E370" s="11">
        <f t="shared" si="31"/>
        <v>-52</v>
      </c>
      <c r="F370" s="11">
        <f t="shared" si="32"/>
        <v>-7.5971335321287778</v>
      </c>
      <c r="G370" s="11">
        <f t="shared" si="33"/>
        <v>-7.6383259340800578</v>
      </c>
    </row>
    <row r="371" spans="5:7" x14ac:dyDescent="0.25">
      <c r="E371" s="11">
        <f t="shared" si="31"/>
        <v>-51</v>
      </c>
      <c r="F371" s="11">
        <f t="shared" si="32"/>
        <v>-7.4747908369724794</v>
      </c>
      <c r="G371" s="11">
        <f t="shared" si="33"/>
        <v>-7.5158074545836318</v>
      </c>
    </row>
    <row r="372" spans="5:7" x14ac:dyDescent="0.25">
      <c r="E372" s="11">
        <f t="shared" si="31"/>
        <v>-50</v>
      </c>
      <c r="F372" s="11">
        <f t="shared" si="32"/>
        <v>-7.3521611945374596</v>
      </c>
      <c r="G372" s="11">
        <f t="shared" si="33"/>
        <v>-7.3925503647676241</v>
      </c>
    </row>
    <row r="373" spans="5:7" x14ac:dyDescent="0.25">
      <c r="E373" s="11">
        <f t="shared" si="31"/>
        <v>-49</v>
      </c>
      <c r="F373" s="11">
        <f t="shared" si="32"/>
        <v>-7.2291996716011679</v>
      </c>
      <c r="G373" s="11">
        <f t="shared" si="33"/>
        <v>-7.2685171230428685</v>
      </c>
    </row>
    <row r="374" spans="5:7" x14ac:dyDescent="0.25">
      <c r="E374" s="11">
        <f t="shared" si="31"/>
        <v>-48</v>
      </c>
      <c r="F374" s="11">
        <f t="shared" si="32"/>
        <v>-7.1058576418518244</v>
      </c>
      <c r="G374" s="11">
        <f t="shared" si="33"/>
        <v>-7.1436701878201925</v>
      </c>
    </row>
    <row r="375" spans="5:7" x14ac:dyDescent="0.25">
      <c r="E375" s="11">
        <f t="shared" si="31"/>
        <v>-47</v>
      </c>
      <c r="F375" s="11">
        <f t="shared" si="32"/>
        <v>-6.9820829095435721</v>
      </c>
      <c r="G375" s="11">
        <f t="shared" si="33"/>
        <v>-7.0179720175104281</v>
      </c>
    </row>
    <row r="376" spans="5:7" x14ac:dyDescent="0.25">
      <c r="E376" s="11">
        <f t="shared" si="31"/>
        <v>-46</v>
      </c>
      <c r="F376" s="11">
        <f t="shared" si="32"/>
        <v>-6.8578198625764086</v>
      </c>
      <c r="G376" s="11">
        <f t="shared" si="33"/>
        <v>-6.8913850705244055</v>
      </c>
    </row>
    <row r="377" spans="5:7" x14ac:dyDescent="0.25">
      <c r="E377" s="11">
        <f t="shared" si="31"/>
        <v>-45</v>
      </c>
      <c r="F377" s="11">
        <f t="shared" si="32"/>
        <v>-6.7330096564794788</v>
      </c>
      <c r="G377" s="11">
        <f t="shared" si="33"/>
        <v>-6.7638718052729558</v>
      </c>
    </row>
    <row r="378" spans="5:7" x14ac:dyDescent="0.25">
      <c r="E378" s="11">
        <f t="shared" si="31"/>
        <v>-44</v>
      </c>
      <c r="F378" s="11">
        <f t="shared" si="32"/>
        <v>-6.6075904308027145</v>
      </c>
      <c r="G378" s="11">
        <f t="shared" si="33"/>
        <v>-6.6353946801669101</v>
      </c>
    </row>
    <row r="379" spans="5:7" x14ac:dyDescent="0.25">
      <c r="E379" s="11">
        <f t="shared" si="31"/>
        <v>-43</v>
      </c>
      <c r="F379" s="11">
        <f t="shared" si="32"/>
        <v>-6.4814975594480178</v>
      </c>
      <c r="G379" s="11">
        <f t="shared" si="33"/>
        <v>-6.5059161536170977</v>
      </c>
    </row>
    <row r="380" spans="5:7" x14ac:dyDescent="0.25">
      <c r="E380" s="11">
        <f t="shared" si="31"/>
        <v>-42</v>
      </c>
      <c r="F380" s="11">
        <f t="shared" si="32"/>
        <v>-6.3546639364974347</v>
      </c>
      <c r="G380" s="11">
        <f t="shared" si="33"/>
        <v>-6.3753986840343515</v>
      </c>
    </row>
    <row r="381" spans="5:7" x14ac:dyDescent="0.25">
      <c r="E381" s="11">
        <f t="shared" si="31"/>
        <v>-41</v>
      </c>
      <c r="F381" s="11">
        <f t="shared" si="32"/>
        <v>-6.2270202991221586</v>
      </c>
      <c r="G381" s="11">
        <f t="shared" si="33"/>
        <v>-6.243804729829499</v>
      </c>
    </row>
    <row r="382" spans="5:7" x14ac:dyDescent="0.25">
      <c r="E382" s="11">
        <f t="shared" si="31"/>
        <v>-40</v>
      </c>
      <c r="F382" s="11">
        <f t="shared" si="32"/>
        <v>-6.0984955891822823</v>
      </c>
      <c r="G382" s="11">
        <f t="shared" si="33"/>
        <v>-6.1110967494133739</v>
      </c>
    </row>
    <row r="383" spans="5:7" x14ac:dyDescent="0.25">
      <c r="E383" s="11">
        <f t="shared" si="31"/>
        <v>-39</v>
      </c>
      <c r="F383" s="11">
        <f t="shared" si="32"/>
        <v>-5.9690173551537695</v>
      </c>
      <c r="G383" s="11">
        <f t="shared" si="33"/>
        <v>-5.9772372011968056</v>
      </c>
    </row>
    <row r="384" spans="5:7" x14ac:dyDescent="0.25">
      <c r="E384" s="11">
        <f t="shared" si="31"/>
        <v>-38</v>
      </c>
      <c r="F384" s="11">
        <f t="shared" si="32"/>
        <v>-5.8385121960450794</v>
      </c>
      <c r="G384" s="11">
        <f t="shared" si="33"/>
        <v>-5.8421885435906251</v>
      </c>
    </row>
    <row r="385" spans="5:7" x14ac:dyDescent="0.25">
      <c r="E385" s="11">
        <f t="shared" si="31"/>
        <v>-37</v>
      </c>
      <c r="F385" s="11">
        <f t="shared" si="32"/>
        <v>-5.7069062489924463</v>
      </c>
      <c r="G385" s="11">
        <f t="shared" si="33"/>
        <v>-5.7059132350056618</v>
      </c>
    </row>
    <row r="386" spans="5:7" x14ac:dyDescent="0.25">
      <c r="E386" s="11">
        <f t="shared" si="31"/>
        <v>-36</v>
      </c>
      <c r="F386" s="11">
        <f t="shared" si="32"/>
        <v>-5.5741257222488709</v>
      </c>
      <c r="G386" s="11">
        <f t="shared" si="33"/>
        <v>-5.5683737338527477</v>
      </c>
    </row>
    <row r="387" spans="5:7" x14ac:dyDescent="0.25">
      <c r="E387" s="11">
        <f t="shared" si="31"/>
        <v>-35</v>
      </c>
      <c r="F387" s="11">
        <f t="shared" si="32"/>
        <v>-5.4400974753082787</v>
      </c>
      <c r="G387" s="11">
        <f t="shared" si="33"/>
        <v>-5.4295324985427147</v>
      </c>
    </row>
    <row r="388" spans="5:7" x14ac:dyDescent="0.25">
      <c r="E388" s="11">
        <f t="shared" si="31"/>
        <v>-34</v>
      </c>
      <c r="F388" s="11">
        <f t="shared" si="32"/>
        <v>-5.3047496479325673</v>
      </c>
      <c r="G388" s="11">
        <f t="shared" si="33"/>
        <v>-5.2893646219214725</v>
      </c>
    </row>
    <row r="389" spans="5:7" x14ac:dyDescent="0.25">
      <c r="E389" s="11">
        <f t="shared" si="31"/>
        <v>-33</v>
      </c>
      <c r="F389" s="11">
        <f t="shared" si="32"/>
        <v>-5.1680123398754771</v>
      </c>
      <c r="G389" s="11">
        <f t="shared" si="33"/>
        <v>-5.1478957345752629</v>
      </c>
    </row>
    <row r="390" spans="5:7" x14ac:dyDescent="0.25">
      <c r="E390" s="11">
        <f t="shared" si="31"/>
        <v>-32</v>
      </c>
      <c r="F390" s="11">
        <f t="shared" si="32"/>
        <v>-5.0298183431235648</v>
      </c>
      <c r="G390" s="11">
        <f t="shared" si="33"/>
        <v>-5.00516410152541</v>
      </c>
    </row>
    <row r="391" spans="5:7" x14ac:dyDescent="0.25">
      <c r="E391" s="11">
        <f t="shared" si="31"/>
        <v>-31</v>
      </c>
      <c r="F391" s="11">
        <f t="shared" si="32"/>
        <v>-4.8901039285008174</v>
      </c>
      <c r="G391" s="11">
        <f t="shared" si="33"/>
        <v>-4.861207987793235</v>
      </c>
    </row>
    <row r="392" spans="5:7" x14ac:dyDescent="0.25">
      <c r="E392" s="11">
        <f t="shared" si="31"/>
        <v>-30</v>
      </c>
      <c r="F392" s="11">
        <f t="shared" si="32"/>
        <v>-4.7488096885096853</v>
      </c>
      <c r="G392" s="11">
        <f t="shared" si="33"/>
        <v>-4.7160656584000593</v>
      </c>
    </row>
    <row r="393" spans="5:7" x14ac:dyDescent="0.25">
      <c r="E393" s="11">
        <f t="shared" si="31"/>
        <v>-29</v>
      </c>
      <c r="F393" s="11">
        <f t="shared" si="32"/>
        <v>-4.6058814383076552</v>
      </c>
      <c r="G393" s="11">
        <f t="shared" si="33"/>
        <v>-4.5697753783672086</v>
      </c>
    </row>
    <row r="394" spans="5:7" x14ac:dyDescent="0.25">
      <c r="E394" s="11">
        <f t="shared" si="31"/>
        <v>-28</v>
      </c>
      <c r="F394" s="11">
        <f t="shared" si="32"/>
        <v>-4.4612711767446882</v>
      </c>
      <c r="G394" s="11">
        <f t="shared" si="33"/>
        <v>-4.4223754127160024</v>
      </c>
    </row>
    <row r="395" spans="5:7" x14ac:dyDescent="0.25">
      <c r="E395" s="11">
        <f t="shared" si="31"/>
        <v>-27</v>
      </c>
      <c r="F395" s="11">
        <f t="shared" si="32"/>
        <v>-4.3149381094131911</v>
      </c>
      <c r="G395" s="11">
        <f t="shared" si="33"/>
        <v>-4.2739040264677648</v>
      </c>
    </row>
    <row r="396" spans="5:7" x14ac:dyDescent="0.25">
      <c r="E396" s="11">
        <f t="shared" si="31"/>
        <v>-26</v>
      </c>
      <c r="F396" s="11">
        <f t="shared" si="32"/>
        <v>-4.1668497356884302</v>
      </c>
      <c r="G396" s="11">
        <f t="shared" si="33"/>
        <v>-4.1243994846438179</v>
      </c>
    </row>
    <row r="397" spans="5:7" x14ac:dyDescent="0.25">
      <c r="E397" s="11">
        <f t="shared" si="31"/>
        <v>-25</v>
      </c>
      <c r="F397" s="11">
        <f t="shared" si="32"/>
        <v>-4.0169830017635633</v>
      </c>
      <c r="G397" s="11">
        <f t="shared" si="33"/>
        <v>-3.9739000522654853</v>
      </c>
    </row>
    <row r="398" spans="5:7" x14ac:dyDescent="0.25">
      <c r="E398" s="11">
        <f t="shared" si="31"/>
        <v>-24</v>
      </c>
      <c r="F398" s="11">
        <f t="shared" si="32"/>
        <v>-3.8653255217097691</v>
      </c>
      <c r="G398" s="11">
        <f t="shared" si="33"/>
        <v>-3.8224439943540878</v>
      </c>
    </row>
    <row r="399" spans="5:7" x14ac:dyDescent="0.25">
      <c r="E399" s="11">
        <f t="shared" si="31"/>
        <v>-23</v>
      </c>
      <c r="F399" s="11">
        <f t="shared" si="32"/>
        <v>-3.7118768686182411</v>
      </c>
      <c r="G399" s="11">
        <f t="shared" si="33"/>
        <v>-3.6700695759309485</v>
      </c>
    </row>
    <row r="400" spans="5:7" x14ac:dyDescent="0.25">
      <c r="E400" s="11">
        <f t="shared" si="31"/>
        <v>-22</v>
      </c>
      <c r="F400" s="11">
        <f t="shared" si="32"/>
        <v>-3.5566499379070282</v>
      </c>
      <c r="G400" s="11">
        <f t="shared" si="33"/>
        <v>-3.516815062017391</v>
      </c>
    </row>
    <row r="401" spans="5:7" x14ac:dyDescent="0.25">
      <c r="E401" s="11">
        <f t="shared" si="31"/>
        <v>-21</v>
      </c>
      <c r="F401" s="11">
        <f t="shared" si="32"/>
        <v>-3.3996723849020576</v>
      </c>
      <c r="G401" s="11">
        <f t="shared" si="33"/>
        <v>-3.3627187176347371</v>
      </c>
    </row>
    <row r="402" spans="5:7" x14ac:dyDescent="0.25">
      <c r="E402" s="11">
        <f t="shared" si="31"/>
        <v>-20</v>
      </c>
      <c r="F402" s="11">
        <f t="shared" si="32"/>
        <v>-3.2409881388279027</v>
      </c>
      <c r="G402" s="11">
        <f t="shared" si="33"/>
        <v>-3.2078188078043088</v>
      </c>
    </row>
    <row r="403" spans="5:7" x14ac:dyDescent="0.25">
      <c r="E403" s="11">
        <f t="shared" si="31"/>
        <v>-19</v>
      </c>
      <c r="F403" s="11">
        <f t="shared" si="32"/>
        <v>-3.0806589953701424</v>
      </c>
      <c r="G403" s="11">
        <f t="shared" si="33"/>
        <v>-3.0521535975474299</v>
      </c>
    </row>
    <row r="404" spans="5:7" x14ac:dyDescent="0.25">
      <c r="E404" s="11">
        <f t="shared" si="31"/>
        <v>-18</v>
      </c>
      <c r="F404" s="11">
        <f t="shared" si="32"/>
        <v>-2.9187662899974605</v>
      </c>
      <c r="G404" s="11">
        <f t="shared" si="33"/>
        <v>-2.8957613518854219</v>
      </c>
    </row>
    <row r="405" spans="5:7" x14ac:dyDescent="0.25">
      <c r="E405" s="11">
        <f t="shared" si="31"/>
        <v>-17</v>
      </c>
      <c r="F405" s="11">
        <f t="shared" si="32"/>
        <v>-2.7554126542578845</v>
      </c>
      <c r="G405" s="11">
        <f t="shared" si="33"/>
        <v>-2.7386803358396086</v>
      </c>
    </row>
    <row r="406" spans="5:7" x14ac:dyDescent="0.25">
      <c r="E406" s="11">
        <f t="shared" si="31"/>
        <v>-16</v>
      </c>
      <c r="F406" s="11">
        <f t="shared" si="32"/>
        <v>-2.5907238572898379</v>
      </c>
      <c r="G406" s="11">
        <f t="shared" si="33"/>
        <v>-2.5809488144313111</v>
      </c>
    </row>
    <row r="407" spans="5:7" x14ac:dyDescent="0.25">
      <c r="E407" s="11">
        <f t="shared" si="31"/>
        <v>-15</v>
      </c>
      <c r="F407" s="11">
        <f t="shared" si="32"/>
        <v>-2.4248507348149886</v>
      </c>
      <c r="G407" s="11">
        <f t="shared" si="33"/>
        <v>-2.4226050526818526</v>
      </c>
    </row>
    <row r="408" spans="5:7" x14ac:dyDescent="0.25">
      <c r="E408" s="11">
        <f t="shared" si="31"/>
        <v>-14</v>
      </c>
      <c r="F408" s="11">
        <f t="shared" si="32"/>
        <v>-2.2579712079061163</v>
      </c>
      <c r="G408" s="11">
        <f t="shared" si="33"/>
        <v>-2.2636873156125557</v>
      </c>
    </row>
    <row r="409" spans="5:7" x14ac:dyDescent="0.25">
      <c r="E409" s="11">
        <f t="shared" si="31"/>
        <v>-13</v>
      </c>
      <c r="F409" s="11">
        <f t="shared" si="32"/>
        <v>-2.0902923938495177</v>
      </c>
      <c r="G409" s="11">
        <f t="shared" si="33"/>
        <v>-2.104233868244743</v>
      </c>
    </row>
    <row r="410" spans="5:7" x14ac:dyDescent="0.25">
      <c r="E410" s="11">
        <f t="shared" si="31"/>
        <v>-12</v>
      </c>
      <c r="F410" s="11">
        <f t="shared" si="32"/>
        <v>-1.9220528114477469</v>
      </c>
      <c r="G410" s="11">
        <f t="shared" si="33"/>
        <v>-1.9442829755997371</v>
      </c>
    </row>
    <row r="411" spans="5:7" x14ac:dyDescent="0.25">
      <c r="E411" s="11">
        <f t="shared" si="31"/>
        <v>-11</v>
      </c>
      <c r="F411" s="11">
        <f t="shared" si="32"/>
        <v>-1.7535246831347573</v>
      </c>
      <c r="G411" s="11">
        <f t="shared" si="33"/>
        <v>-1.7838729026988602</v>
      </c>
    </row>
    <row r="412" spans="5:7" x14ac:dyDescent="0.25">
      <c r="E412" s="11">
        <f t="shared" si="31"/>
        <v>-10</v>
      </c>
      <c r="F412" s="11">
        <f t="shared" si="32"/>
        <v>-1.5850163363017893</v>
      </c>
      <c r="G412" s="11">
        <f t="shared" si="33"/>
        <v>-1.6230419145634352</v>
      </c>
    </row>
    <row r="413" spans="5:7" x14ac:dyDescent="0.25">
      <c r="E413" s="11">
        <f t="shared" si="31"/>
        <v>-9</v>
      </c>
      <c r="F413" s="11">
        <f t="shared" si="32"/>
        <v>-1.4168747062586278</v>
      </c>
      <c r="G413" s="11">
        <f t="shared" si="33"/>
        <v>-1.4618282762147847</v>
      </c>
    </row>
    <row r="414" spans="5:7" x14ac:dyDescent="0.25">
      <c r="E414" s="11">
        <f t="shared" si="31"/>
        <v>-8</v>
      </c>
      <c r="F414" s="11">
        <f t="shared" si="32"/>
        <v>-1.2494879432811339</v>
      </c>
      <c r="G414" s="11">
        <f t="shared" si="33"/>
        <v>-1.3002702526742311</v>
      </c>
    </row>
    <row r="415" spans="5:7" x14ac:dyDescent="0.25">
      <c r="E415" s="11">
        <f t="shared" ref="E415:E422" si="34">E208</f>
        <v>-7</v>
      </c>
      <c r="F415" s="11">
        <f t="shared" ref="F415:F422" si="35">$H$217*0+E415*$I$217+E415^2*$J$217+E415^3*$K$217+E415^4*$L$217+E415^5*$M$217+E415^6*$N$217+E415^7*$O$217+E415^8*$P$217</f>
        <v>-1.0832881262222231</v>
      </c>
      <c r="G415" s="11">
        <f t="shared" ref="G415:G422" si="36">F208</f>
        <v>-1.1384061089630972</v>
      </c>
    </row>
    <row r="416" spans="5:7" x14ac:dyDescent="0.25">
      <c r="E416" s="11">
        <f t="shared" si="34"/>
        <v>-6</v>
      </c>
      <c r="F416" s="11">
        <f t="shared" si="35"/>
        <v>-0.91875408518974566</v>
      </c>
      <c r="G416" s="11">
        <f t="shared" si="36"/>
        <v>-0.97627411010270515</v>
      </c>
    </row>
    <row r="417" spans="5:7" x14ac:dyDescent="0.25">
      <c r="E417" s="11">
        <f t="shared" si="34"/>
        <v>-5</v>
      </c>
      <c r="F417" s="11">
        <f t="shared" si="35"/>
        <v>-0.75641433582099904</v>
      </c>
      <c r="G417" s="11">
        <f t="shared" si="36"/>
        <v>-0.81391252111437773</v>
      </c>
    </row>
    <row r="418" spans="5:7" x14ac:dyDescent="0.25">
      <c r="E418" s="11">
        <f t="shared" si="34"/>
        <v>-4</v>
      </c>
      <c r="F418" s="11">
        <f t="shared" si="35"/>
        <v>-0.59685012770988455</v>
      </c>
      <c r="G418" s="11">
        <f t="shared" si="36"/>
        <v>-0.65135960701943763</v>
      </c>
    </row>
    <row r="419" spans="5:7" x14ac:dyDescent="0.25">
      <c r="E419" s="11">
        <f t="shared" si="34"/>
        <v>-3</v>
      </c>
      <c r="F419" s="11">
        <f t="shared" si="35"/>
        <v>-0.44069860956898665</v>
      </c>
      <c r="G419" s="11">
        <f t="shared" si="36"/>
        <v>-0.48865363283920715</v>
      </c>
    </row>
    <row r="420" spans="5:7" x14ac:dyDescent="0.25">
      <c r="E420" s="11">
        <f t="shared" si="34"/>
        <v>-2</v>
      </c>
      <c r="F420" s="11">
        <f t="shared" si="35"/>
        <v>-0.28865611373513977</v>
      </c>
      <c r="G420" s="11">
        <f t="shared" si="36"/>
        <v>-0.32583286359500901</v>
      </c>
    </row>
    <row r="421" spans="5:7" x14ac:dyDescent="0.25">
      <c r="E421" s="11">
        <f t="shared" si="34"/>
        <v>-1</v>
      </c>
      <c r="F421" s="11">
        <f t="shared" si="35"/>
        <v>-0.14148156265332407</v>
      </c>
      <c r="G421" s="11">
        <f t="shared" si="36"/>
        <v>-0.1629355643081658</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2022-01-09T09:53:00Z</dcterms:modified>
</cp:coreProperties>
</file>